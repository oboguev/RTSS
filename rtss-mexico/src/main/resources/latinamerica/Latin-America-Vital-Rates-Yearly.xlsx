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25DA5240-18A0-44B7-99BA-1BB7A72EB1DF}" xr6:coauthVersionLast="47" xr6:coauthVersionMax="47" xr10:uidLastSave="{00000000-0000-0000-0000-000000000000}"/>
  <bookViews>
    <workbookView xWindow="57480" yWindow="-120" windowWidth="51840" windowHeight="21120" tabRatio="746" activeTab="14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Доминиканская республика" sheetId="33" r:id="rId15"/>
    <sheet name="Колумбия" sheetId="8" r:id="rId16"/>
    <sheet name="Коста-Рика-Бриньоли" sheetId="25" r:id="rId17"/>
    <sheet name="Коста-Рика-Колвер" sheetId="6" r:id="rId18"/>
    <sheet name="Куба-Бриньоли" sheetId="26" r:id="rId19"/>
    <sheet name="Куба-Колвер" sheetId="18" r:id="rId20"/>
    <sheet name="Мексика-Бриньоли" sheetId="29" r:id="rId21"/>
    <sheet name="Мексика-Колвер" sheetId="19" r:id="rId22"/>
    <sheet name="Панама" sheetId="17" r:id="rId23"/>
    <sheet name="Парагвай" sheetId="10" r:id="rId24"/>
    <sheet name="Перу" sheetId="11" r:id="rId25"/>
    <sheet name="Сальвадор" sheetId="12" r:id="rId26"/>
    <sheet name="Уругвай-Бриньоли" sheetId="27" r:id="rId27"/>
    <sheet name="Уругвай-Ротман" sheetId="16" r:id="rId28"/>
    <sheet name="Уругвай-Митчел" sheetId="20" r:id="rId29"/>
    <sheet name="Чили-Бриньоли" sheetId="28" r:id="rId30"/>
    <sheet name="Чили-Колвер" sheetId="13" r:id="rId31"/>
    <sheet name="Эквадор" sheetId="9" r:id="rId32"/>
  </sheets>
  <definedNames>
    <definedName name="LIFT" localSheetId="13">'Гондурас-правка'!$B$118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5" i="33" l="1"/>
  <c r="AK74" i="33"/>
  <c r="AK73" i="33"/>
  <c r="AK72" i="33"/>
  <c r="AK71" i="33"/>
  <c r="AK70" i="33"/>
  <c r="AK69" i="33"/>
  <c r="AK68" i="33"/>
  <c r="AK67" i="33"/>
  <c r="AK66" i="33"/>
  <c r="AK65" i="33"/>
  <c r="AK64" i="33"/>
  <c r="AK63" i="33"/>
  <c r="AK62" i="33"/>
  <c r="AK61" i="33"/>
  <c r="AK60" i="33"/>
  <c r="AK59" i="33"/>
  <c r="AK58" i="33"/>
  <c r="AK57" i="33"/>
  <c r="AK56" i="33"/>
  <c r="AK55" i="33"/>
  <c r="AK54" i="33"/>
  <c r="AK53" i="33"/>
  <c r="AK52" i="33"/>
  <c r="AK51" i="33"/>
  <c r="AK50" i="33"/>
  <c r="AK49" i="33"/>
  <c r="AK48" i="33"/>
  <c r="AK47" i="33"/>
  <c r="AK46" i="33"/>
  <c r="AK45" i="33"/>
  <c r="AK44" i="33"/>
  <c r="AK43" i="33"/>
  <c r="AK42" i="33"/>
  <c r="AK41" i="33"/>
  <c r="AK40" i="33"/>
  <c r="AK39" i="33"/>
  <c r="AK38" i="33"/>
  <c r="AK37" i="33"/>
  <c r="AK36" i="33"/>
  <c r="AK35" i="33"/>
  <c r="AK34" i="33"/>
  <c r="AK33" i="33"/>
  <c r="AK32" i="33"/>
  <c r="AK31" i="33"/>
  <c r="AK30" i="33"/>
  <c r="AK29" i="33"/>
  <c r="AK28" i="33"/>
  <c r="AK27" i="33"/>
  <c r="AK26" i="33"/>
  <c r="AK25" i="33"/>
  <c r="AK24" i="33"/>
  <c r="AK23" i="33"/>
  <c r="AK22" i="33"/>
  <c r="AK21" i="33"/>
  <c r="AK20" i="33"/>
  <c r="AK19" i="33"/>
  <c r="AK18" i="33"/>
  <c r="AK17" i="33"/>
  <c r="AK16" i="33"/>
  <c r="AK15" i="33"/>
  <c r="AK14" i="33"/>
  <c r="AK13" i="33"/>
  <c r="AK12" i="33"/>
  <c r="AK11" i="33"/>
  <c r="AK10" i="33"/>
  <c r="AK9" i="33"/>
  <c r="AK8" i="33"/>
  <c r="AK7" i="33"/>
  <c r="AK6" i="33"/>
  <c r="AK5" i="33"/>
  <c r="AI5" i="33"/>
  <c r="AI6" i="33" s="1"/>
  <c r="AI7" i="33" s="1"/>
  <c r="AI8" i="33" s="1"/>
  <c r="AI9" i="33" s="1"/>
  <c r="AI10" i="33" s="1"/>
  <c r="AI11" i="33" s="1"/>
  <c r="AI12" i="33" s="1"/>
  <c r="AI13" i="33" s="1"/>
  <c r="AI14" i="33" s="1"/>
  <c r="AI15" i="33" s="1"/>
  <c r="AI16" i="33" s="1"/>
  <c r="AI17" i="33" s="1"/>
  <c r="AI18" i="33" s="1"/>
  <c r="AI19" i="33" s="1"/>
  <c r="AI20" i="33" s="1"/>
  <c r="AI21" i="33" s="1"/>
  <c r="AI22" i="33" s="1"/>
  <c r="AI23" i="33" s="1"/>
  <c r="AI24" i="33" s="1"/>
  <c r="AI25" i="33" s="1"/>
  <c r="AI26" i="33" s="1"/>
  <c r="AI27" i="33" s="1"/>
  <c r="AI28" i="33" s="1"/>
  <c r="AI29" i="33" s="1"/>
  <c r="AI30" i="33" s="1"/>
  <c r="AI31" i="33" s="1"/>
  <c r="AI32" i="33" s="1"/>
  <c r="AI33" i="33" s="1"/>
  <c r="AI34" i="33" s="1"/>
  <c r="AI35" i="33" s="1"/>
  <c r="AI36" i="33" s="1"/>
  <c r="AI37" i="33" s="1"/>
  <c r="AI38" i="33" s="1"/>
  <c r="AI39" i="33" s="1"/>
  <c r="AI40" i="33" s="1"/>
  <c r="AI41" i="33" s="1"/>
  <c r="AI42" i="33" s="1"/>
  <c r="AI43" i="33" s="1"/>
  <c r="AI44" i="33" s="1"/>
  <c r="AI45" i="33" s="1"/>
  <c r="AI46" i="33" s="1"/>
  <c r="AI47" i="33" s="1"/>
  <c r="AI48" i="33" s="1"/>
  <c r="AI49" i="33" s="1"/>
  <c r="AI50" i="33" s="1"/>
  <c r="AI51" i="33" s="1"/>
  <c r="AI52" i="33" s="1"/>
  <c r="AI53" i="33" s="1"/>
  <c r="AI54" i="33" s="1"/>
  <c r="AI55" i="33" s="1"/>
  <c r="AI56" i="33" s="1"/>
  <c r="AI57" i="33" s="1"/>
  <c r="AI58" i="33" s="1"/>
  <c r="AI59" i="33" s="1"/>
  <c r="AI60" i="33" s="1"/>
  <c r="AI61" i="33" s="1"/>
  <c r="AI62" i="33" s="1"/>
  <c r="AI63" i="33" s="1"/>
  <c r="AI64" i="33" s="1"/>
  <c r="AI65" i="33" s="1"/>
  <c r="AI66" i="33" s="1"/>
  <c r="AI67" i="33" s="1"/>
  <c r="AI68" i="33" s="1"/>
  <c r="AI69" i="33" s="1"/>
  <c r="AI70" i="33" s="1"/>
  <c r="AI71" i="33" s="1"/>
  <c r="AI72" i="33" s="1"/>
  <c r="AI73" i="33" s="1"/>
  <c r="AI74" i="33" s="1"/>
  <c r="AI75" i="33" s="1"/>
  <c r="AI76" i="33" s="1"/>
  <c r="AK4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D53" i="33"/>
  <c r="D52" i="33"/>
  <c r="D51" i="33"/>
  <c r="D50" i="33"/>
  <c r="D49" i="33"/>
  <c r="D48" i="33"/>
  <c r="D47" i="33"/>
  <c r="D46" i="33"/>
  <c r="D45" i="33"/>
  <c r="D44" i="33"/>
  <c r="D43" i="33"/>
  <c r="D42" i="33"/>
  <c r="D41" i="33"/>
  <c r="D40" i="33"/>
  <c r="D39" i="33"/>
  <c r="D38" i="33"/>
  <c r="D37" i="33"/>
  <c r="D36" i="33"/>
  <c r="D35" i="33"/>
  <c r="D34" i="33"/>
  <c r="D33" i="33"/>
  <c r="D32" i="33"/>
  <c r="D31" i="33"/>
  <c r="D30" i="33"/>
  <c r="D29" i="33"/>
  <c r="D28" i="33"/>
  <c r="D27" i="33"/>
  <c r="D26" i="33"/>
  <c r="D25" i="33"/>
  <c r="D24" i="33"/>
  <c r="D23" i="33"/>
  <c r="D22" i="33"/>
  <c r="D21" i="33"/>
  <c r="D20" i="33"/>
  <c r="D19" i="33"/>
  <c r="D18" i="33"/>
  <c r="D17" i="33"/>
  <c r="D16" i="33"/>
  <c r="D15" i="33"/>
  <c r="D14" i="33"/>
  <c r="D13" i="33"/>
  <c r="D12" i="33"/>
  <c r="D11" i="33"/>
  <c r="D10" i="33"/>
  <c r="D9" i="33"/>
  <c r="D8" i="33"/>
  <c r="D7" i="33"/>
  <c r="D6" i="33"/>
  <c r="D5" i="33"/>
  <c r="D4" i="33"/>
  <c r="D3" i="33"/>
  <c r="A5" i="33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4" i="33"/>
  <c r="AH74" i="21"/>
  <c r="AH73" i="21"/>
  <c r="AH72" i="21"/>
  <c r="AH71" i="21"/>
  <c r="AH70" i="21"/>
  <c r="AH69" i="21"/>
  <c r="AH68" i="21"/>
  <c r="AH67" i="21"/>
  <c r="AH66" i="21"/>
  <c r="AH65" i="21"/>
  <c r="AH64" i="21"/>
  <c r="AH63" i="21"/>
  <c r="AH62" i="21"/>
  <c r="AH61" i="21"/>
  <c r="AH60" i="21"/>
  <c r="AH59" i="21"/>
  <c r="AH58" i="21"/>
  <c r="AH57" i="21"/>
  <c r="AH56" i="21"/>
  <c r="AH55" i="21"/>
  <c r="AH54" i="21"/>
  <c r="AH53" i="21"/>
  <c r="AH52" i="21"/>
  <c r="AH51" i="21"/>
  <c r="AH50" i="21"/>
  <c r="AH49" i="21"/>
  <c r="AH48" i="21"/>
  <c r="AH47" i="21"/>
  <c r="AH46" i="21"/>
  <c r="AH45" i="21"/>
  <c r="AH44" i="21"/>
  <c r="AH43" i="21"/>
  <c r="AH42" i="21"/>
  <c r="AH41" i="21"/>
  <c r="AH40" i="21"/>
  <c r="AH39" i="21"/>
  <c r="AH38" i="21"/>
  <c r="AH37" i="21"/>
  <c r="AH36" i="21"/>
  <c r="AH35" i="21"/>
  <c r="AH34" i="21"/>
  <c r="AH33" i="21"/>
  <c r="AH32" i="21"/>
  <c r="AH31" i="21"/>
  <c r="AH30" i="21"/>
  <c r="AH29" i="21"/>
  <c r="AH28" i="21"/>
  <c r="AH27" i="21"/>
  <c r="AH26" i="21"/>
  <c r="AH25" i="21"/>
  <c r="AH24" i="21"/>
  <c r="AH23" i="21"/>
  <c r="AH22" i="21"/>
  <c r="AH21" i="21"/>
  <c r="AH20" i="21"/>
  <c r="AH19" i="21"/>
  <c r="AH18" i="21"/>
  <c r="AH17" i="21"/>
  <c r="AH16" i="21"/>
  <c r="AH15" i="21"/>
  <c r="AH14" i="21"/>
  <c r="AH13" i="21"/>
  <c r="AH12" i="21"/>
  <c r="AH11" i="21"/>
  <c r="AH10" i="21"/>
  <c r="AH9" i="21"/>
  <c r="AH8" i="21"/>
  <c r="AH7" i="21"/>
  <c r="AH6" i="21"/>
  <c r="AH5" i="21"/>
  <c r="AH4" i="21"/>
  <c r="AF4" i="21"/>
  <c r="AF5" i="21" s="1"/>
  <c r="AF6" i="21" s="1"/>
  <c r="AF7" i="21" s="1"/>
  <c r="AF8" i="21" s="1"/>
  <c r="AF9" i="21" s="1"/>
  <c r="AF10" i="21" s="1"/>
  <c r="AF11" i="21" s="1"/>
  <c r="AF12" i="21" s="1"/>
  <c r="AF13" i="21" s="1"/>
  <c r="AF14" i="21" s="1"/>
  <c r="AF15" i="21" s="1"/>
  <c r="AF16" i="21" s="1"/>
  <c r="AF17" i="21" s="1"/>
  <c r="AF18" i="21" s="1"/>
  <c r="AF19" i="21" s="1"/>
  <c r="AF20" i="21" s="1"/>
  <c r="AF21" i="21" s="1"/>
  <c r="AF22" i="21" s="1"/>
  <c r="AF23" i="21" s="1"/>
  <c r="AF24" i="21" s="1"/>
  <c r="AF25" i="21" s="1"/>
  <c r="AF26" i="21" s="1"/>
  <c r="AF27" i="21" s="1"/>
  <c r="AF28" i="21" s="1"/>
  <c r="AF29" i="21" s="1"/>
  <c r="AF30" i="21" s="1"/>
  <c r="AF31" i="21" s="1"/>
  <c r="AF32" i="21" s="1"/>
  <c r="AF33" i="21" s="1"/>
  <c r="AF34" i="21" s="1"/>
  <c r="AF35" i="21" s="1"/>
  <c r="AF36" i="21" s="1"/>
  <c r="AF37" i="21" s="1"/>
  <c r="AF38" i="21" s="1"/>
  <c r="AF39" i="21" s="1"/>
  <c r="AF40" i="21" s="1"/>
  <c r="AF41" i="21" s="1"/>
  <c r="AF42" i="21" s="1"/>
  <c r="AF43" i="21" s="1"/>
  <c r="AF44" i="21" s="1"/>
  <c r="AF45" i="21" s="1"/>
  <c r="AF46" i="21" s="1"/>
  <c r="AF47" i="21" s="1"/>
  <c r="AF48" i="21" s="1"/>
  <c r="AF49" i="21" s="1"/>
  <c r="AF50" i="21" s="1"/>
  <c r="AF51" i="21" s="1"/>
  <c r="AF52" i="21" s="1"/>
  <c r="AF53" i="21" s="1"/>
  <c r="AF54" i="21" s="1"/>
  <c r="AF55" i="21" s="1"/>
  <c r="AF56" i="21" s="1"/>
  <c r="AF57" i="21" s="1"/>
  <c r="AF58" i="21" s="1"/>
  <c r="AF59" i="21" s="1"/>
  <c r="AF60" i="21" s="1"/>
  <c r="AF61" i="21" s="1"/>
  <c r="AF62" i="21" s="1"/>
  <c r="AF63" i="21" s="1"/>
  <c r="AF64" i="21" s="1"/>
  <c r="AF65" i="21" s="1"/>
  <c r="AF66" i="21" s="1"/>
  <c r="AF67" i="21" s="1"/>
  <c r="AF68" i="21" s="1"/>
  <c r="AF69" i="21" s="1"/>
  <c r="AF70" i="21" s="1"/>
  <c r="AF71" i="21" s="1"/>
  <c r="AF72" i="21" s="1"/>
  <c r="AF73" i="21" s="1"/>
  <c r="AF74" i="21" s="1"/>
  <c r="AF75" i="21" s="1"/>
  <c r="AH3" i="21"/>
  <c r="AH74" i="22"/>
  <c r="AH73" i="22"/>
  <c r="AH72" i="22"/>
  <c r="AH71" i="22"/>
  <c r="AH70" i="22"/>
  <c r="AH69" i="22"/>
  <c r="AH68" i="22"/>
  <c r="AH67" i="22"/>
  <c r="AH66" i="22"/>
  <c r="AH65" i="22"/>
  <c r="AH64" i="22"/>
  <c r="AH63" i="22"/>
  <c r="AH62" i="22"/>
  <c r="AH61" i="22"/>
  <c r="AH60" i="22"/>
  <c r="AH59" i="22"/>
  <c r="AH58" i="22"/>
  <c r="AH57" i="22"/>
  <c r="AH56" i="22"/>
  <c r="AH55" i="22"/>
  <c r="AH54" i="22"/>
  <c r="AH53" i="22"/>
  <c r="AH52" i="22"/>
  <c r="AH51" i="22"/>
  <c r="AH50" i="22"/>
  <c r="AH49" i="22"/>
  <c r="AH48" i="22"/>
  <c r="AH47" i="22"/>
  <c r="AH46" i="22"/>
  <c r="AH45" i="22"/>
  <c r="AH44" i="22"/>
  <c r="AH43" i="22"/>
  <c r="AH42" i="22"/>
  <c r="AH41" i="22"/>
  <c r="AH40" i="22"/>
  <c r="AH39" i="22"/>
  <c r="AH38" i="22"/>
  <c r="AH37" i="22"/>
  <c r="AH36" i="22"/>
  <c r="AH35" i="22"/>
  <c r="AH34" i="22"/>
  <c r="AH33" i="22"/>
  <c r="AH32" i="22"/>
  <c r="AH31" i="2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AH13" i="22"/>
  <c r="AH12" i="22"/>
  <c r="AH11" i="22"/>
  <c r="AH10" i="22"/>
  <c r="AH9" i="22"/>
  <c r="AH8" i="22"/>
  <c r="AH7" i="22"/>
  <c r="AH6" i="22"/>
  <c r="AH5" i="22"/>
  <c r="AH4" i="22"/>
  <c r="AF4" i="22"/>
  <c r="AF5" i="22" s="1"/>
  <c r="AF6" i="22" s="1"/>
  <c r="AF7" i="22" s="1"/>
  <c r="AF8" i="22" s="1"/>
  <c r="AF9" i="22" s="1"/>
  <c r="AF10" i="22" s="1"/>
  <c r="AF11" i="22" s="1"/>
  <c r="AF12" i="22" s="1"/>
  <c r="AF13" i="22" s="1"/>
  <c r="AF14" i="22" s="1"/>
  <c r="AF15" i="22" s="1"/>
  <c r="AF16" i="22" s="1"/>
  <c r="AF17" i="22" s="1"/>
  <c r="AF18" i="22" s="1"/>
  <c r="AF19" i="22" s="1"/>
  <c r="AF20" i="22" s="1"/>
  <c r="AF21" i="22" s="1"/>
  <c r="AF22" i="22" s="1"/>
  <c r="AF23" i="22" s="1"/>
  <c r="AF24" i="22" s="1"/>
  <c r="AF25" i="22" s="1"/>
  <c r="AF26" i="22" s="1"/>
  <c r="AF27" i="22" s="1"/>
  <c r="AF28" i="22" s="1"/>
  <c r="AF29" i="22" s="1"/>
  <c r="AF30" i="22" s="1"/>
  <c r="AF31" i="22" s="1"/>
  <c r="AF32" i="22" s="1"/>
  <c r="AF33" i="22" s="1"/>
  <c r="AF34" i="22" s="1"/>
  <c r="AF35" i="22" s="1"/>
  <c r="AF36" i="22" s="1"/>
  <c r="AF37" i="22" s="1"/>
  <c r="AF38" i="22" s="1"/>
  <c r="AF39" i="22" s="1"/>
  <c r="AF40" i="22" s="1"/>
  <c r="AF41" i="22" s="1"/>
  <c r="AF42" i="22" s="1"/>
  <c r="AF43" i="22" s="1"/>
  <c r="AF44" i="22" s="1"/>
  <c r="AF45" i="22" s="1"/>
  <c r="AF46" i="22" s="1"/>
  <c r="AF47" i="22" s="1"/>
  <c r="AF48" i="22" s="1"/>
  <c r="AF49" i="22" s="1"/>
  <c r="AF50" i="22" s="1"/>
  <c r="AF51" i="22" s="1"/>
  <c r="AF52" i="22" s="1"/>
  <c r="AF53" i="22" s="1"/>
  <c r="AF54" i="22" s="1"/>
  <c r="AF55" i="22" s="1"/>
  <c r="AF56" i="22" s="1"/>
  <c r="AF57" i="22" s="1"/>
  <c r="AF58" i="22" s="1"/>
  <c r="AF59" i="22" s="1"/>
  <c r="AF60" i="22" s="1"/>
  <c r="AF61" i="22" s="1"/>
  <c r="AF62" i="22" s="1"/>
  <c r="AF63" i="22" s="1"/>
  <c r="AF64" i="22" s="1"/>
  <c r="AF65" i="22" s="1"/>
  <c r="AF66" i="22" s="1"/>
  <c r="AF67" i="22" s="1"/>
  <c r="AF68" i="22" s="1"/>
  <c r="AF69" i="22" s="1"/>
  <c r="AF70" i="22" s="1"/>
  <c r="AF71" i="22" s="1"/>
  <c r="AF72" i="22" s="1"/>
  <c r="AF73" i="22" s="1"/>
  <c r="AF74" i="22" s="1"/>
  <c r="AF75" i="22" s="1"/>
  <c r="AH3" i="22"/>
  <c r="AG74" i="10"/>
  <c r="AG73" i="10"/>
  <c r="AG72" i="10"/>
  <c r="AG71" i="10"/>
  <c r="AG70" i="10"/>
  <c r="AG69" i="10"/>
  <c r="AG68" i="10"/>
  <c r="AG67" i="10"/>
  <c r="AG66" i="10"/>
  <c r="AG65" i="10"/>
  <c r="AG64" i="10"/>
  <c r="AG63" i="10"/>
  <c r="AG62" i="10"/>
  <c r="AG61" i="10"/>
  <c r="AG60" i="10"/>
  <c r="AG59" i="10"/>
  <c r="AG58" i="10"/>
  <c r="AG57" i="10"/>
  <c r="AG56" i="10"/>
  <c r="AG55" i="10"/>
  <c r="AG54" i="10"/>
  <c r="AG53" i="10"/>
  <c r="AE54" i="10"/>
  <c r="AE55" i="10" s="1"/>
  <c r="AE56" i="10" s="1"/>
  <c r="AE57" i="10" s="1"/>
  <c r="AE58" i="10" s="1"/>
  <c r="AE59" i="10" s="1"/>
  <c r="AE60" i="10" s="1"/>
  <c r="AE61" i="10" s="1"/>
  <c r="AE62" i="10" s="1"/>
  <c r="AE63" i="10" s="1"/>
  <c r="AE64" i="10" s="1"/>
  <c r="AE65" i="10" s="1"/>
  <c r="AE66" i="10" s="1"/>
  <c r="AE67" i="10" s="1"/>
  <c r="AE68" i="10" s="1"/>
  <c r="AE69" i="10" s="1"/>
  <c r="AE70" i="10" s="1"/>
  <c r="AE71" i="10" s="1"/>
  <c r="AE72" i="10" s="1"/>
  <c r="AE73" i="10" s="1"/>
  <c r="AE74" i="10" s="1"/>
  <c r="AE75" i="10" s="1"/>
  <c r="AG52" i="10"/>
  <c r="AG51" i="10"/>
  <c r="AG50" i="10"/>
  <c r="AG49" i="10"/>
  <c r="AG48" i="10"/>
  <c r="AG47" i="10"/>
  <c r="AG46" i="10"/>
  <c r="AG45" i="10"/>
  <c r="AG44" i="10"/>
  <c r="AG43" i="10"/>
  <c r="AG42" i="10"/>
  <c r="AG41" i="10"/>
  <c r="AG40" i="10"/>
  <c r="AG39" i="10"/>
  <c r="AG38" i="10"/>
  <c r="AG37" i="10"/>
  <c r="AG36" i="10"/>
  <c r="AG35" i="10"/>
  <c r="AG34" i="10"/>
  <c r="AG33" i="10"/>
  <c r="AG32" i="10"/>
  <c r="AG31" i="10"/>
  <c r="AG30" i="10"/>
  <c r="AG29" i="10"/>
  <c r="AG28" i="10"/>
  <c r="AG27" i="10"/>
  <c r="AG26" i="10"/>
  <c r="AG25" i="10"/>
  <c r="AG24" i="10"/>
  <c r="AG23" i="10"/>
  <c r="AG22" i="10"/>
  <c r="AG21" i="10"/>
  <c r="AG20" i="10"/>
  <c r="AG19" i="10"/>
  <c r="AG18" i="10"/>
  <c r="AG17" i="10"/>
  <c r="AG16" i="10"/>
  <c r="AG15" i="10"/>
  <c r="AG14" i="10"/>
  <c r="AG13" i="10"/>
  <c r="AG12" i="10"/>
  <c r="AG11" i="10"/>
  <c r="AG10" i="10"/>
  <c r="AG9" i="10"/>
  <c r="AG8" i="10"/>
  <c r="AG7" i="10"/>
  <c r="AG6" i="10"/>
  <c r="AG5" i="10"/>
  <c r="AG4" i="10"/>
  <c r="AE44" i="10"/>
  <c r="AE45" i="10" s="1"/>
  <c r="AE46" i="10" s="1"/>
  <c r="AE47" i="10" s="1"/>
  <c r="AE48" i="10" s="1"/>
  <c r="AE49" i="10" s="1"/>
  <c r="AE50" i="10" s="1"/>
  <c r="AE51" i="10" s="1"/>
  <c r="AE52" i="10" s="1"/>
  <c r="AE53" i="10" s="1"/>
  <c r="AE4" i="10"/>
  <c r="AE5" i="10" s="1"/>
  <c r="AE6" i="10" s="1"/>
  <c r="AE7" i="10" s="1"/>
  <c r="AE8" i="10" s="1"/>
  <c r="AE9" i="10" s="1"/>
  <c r="AE10" i="10" s="1"/>
  <c r="AE11" i="10" s="1"/>
  <c r="AE12" i="10" s="1"/>
  <c r="AE13" i="10" s="1"/>
  <c r="AE14" i="10" s="1"/>
  <c r="AE15" i="10" s="1"/>
  <c r="AE16" i="10" s="1"/>
  <c r="AE17" i="10" s="1"/>
  <c r="AE18" i="10" s="1"/>
  <c r="AE19" i="10" s="1"/>
  <c r="AE20" i="10" s="1"/>
  <c r="AE21" i="10" s="1"/>
  <c r="AE22" i="10" s="1"/>
  <c r="AE23" i="10" s="1"/>
  <c r="AE24" i="10" s="1"/>
  <c r="AE25" i="10" s="1"/>
  <c r="AE26" i="10" s="1"/>
  <c r="AE27" i="10" s="1"/>
  <c r="AE28" i="10" s="1"/>
  <c r="AE29" i="10" s="1"/>
  <c r="AE30" i="10" s="1"/>
  <c r="AE31" i="10" s="1"/>
  <c r="AE32" i="10" s="1"/>
  <c r="AE33" i="10" s="1"/>
  <c r="AE34" i="10" s="1"/>
  <c r="AE35" i="10" s="1"/>
  <c r="AE36" i="10" s="1"/>
  <c r="AE37" i="10" s="1"/>
  <c r="AE38" i="10" s="1"/>
  <c r="AE39" i="10" s="1"/>
  <c r="AE40" i="10" s="1"/>
  <c r="AE41" i="10" s="1"/>
  <c r="AE42" i="10" s="1"/>
  <c r="AE43" i="10" s="1"/>
  <c r="AG3" i="10"/>
  <c r="AG42" i="11"/>
  <c r="AE43" i="11"/>
  <c r="AG41" i="11"/>
  <c r="AG40" i="11"/>
  <c r="AG39" i="11"/>
  <c r="AG38" i="11"/>
  <c r="AG37" i="11"/>
  <c r="AG36" i="11"/>
  <c r="AG35" i="11"/>
  <c r="AG34" i="11"/>
  <c r="AG33" i="11"/>
  <c r="AG32" i="11"/>
  <c r="AG31" i="11"/>
  <c r="AG30" i="11"/>
  <c r="AG29" i="11"/>
  <c r="AG28" i="11"/>
  <c r="AG27" i="11"/>
  <c r="AG26" i="11"/>
  <c r="AG25" i="11"/>
  <c r="AG24" i="11"/>
  <c r="AG23" i="11"/>
  <c r="AG22" i="11"/>
  <c r="AG21" i="11"/>
  <c r="AG20" i="11"/>
  <c r="AG19" i="11"/>
  <c r="AG18" i="11"/>
  <c r="AG17" i="11"/>
  <c r="AG16" i="11"/>
  <c r="AG15" i="11"/>
  <c r="AG14" i="11"/>
  <c r="AG13" i="11"/>
  <c r="AG12" i="11"/>
  <c r="AG11" i="11"/>
  <c r="AG10" i="11"/>
  <c r="AG9" i="11"/>
  <c r="AG8" i="11"/>
  <c r="AG7" i="11"/>
  <c r="AG6" i="11"/>
  <c r="AG5" i="11"/>
  <c r="AG4" i="11"/>
  <c r="AE19" i="11"/>
  <c r="AE20" i="11" s="1"/>
  <c r="AE21" i="11" s="1"/>
  <c r="AE22" i="11" s="1"/>
  <c r="AE23" i="11" s="1"/>
  <c r="AE24" i="11" s="1"/>
  <c r="AE25" i="11" s="1"/>
  <c r="AE26" i="11" s="1"/>
  <c r="AE27" i="11" s="1"/>
  <c r="AE28" i="11" s="1"/>
  <c r="AE29" i="11" s="1"/>
  <c r="AE30" i="11" s="1"/>
  <c r="AE31" i="11" s="1"/>
  <c r="AE32" i="11" s="1"/>
  <c r="AE33" i="11" s="1"/>
  <c r="AE34" i="11" s="1"/>
  <c r="AE35" i="11" s="1"/>
  <c r="AE36" i="11" s="1"/>
  <c r="AE37" i="11" s="1"/>
  <c r="AE38" i="11" s="1"/>
  <c r="AE39" i="11" s="1"/>
  <c r="AE40" i="11" s="1"/>
  <c r="AE41" i="11" s="1"/>
  <c r="AE42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E15" i="11" s="1"/>
  <c r="AE16" i="11" s="1"/>
  <c r="AE17" i="11" s="1"/>
  <c r="AE18" i="11" s="1"/>
  <c r="AG3" i="11"/>
  <c r="A102" i="32" l="1"/>
  <c r="A103" i="32" s="1"/>
  <c r="Q101" i="32"/>
  <c r="P101" i="32"/>
  <c r="R101" i="32" s="1"/>
  <c r="O101" i="32"/>
  <c r="Q100" i="32"/>
  <c r="R100" i="32" s="1"/>
  <c r="P100" i="32"/>
  <c r="O100" i="32"/>
  <c r="Q99" i="32"/>
  <c r="P99" i="32"/>
  <c r="R99" i="32" s="1"/>
  <c r="O99" i="32"/>
  <c r="Q98" i="32"/>
  <c r="P98" i="32"/>
  <c r="R98" i="32" s="1"/>
  <c r="O98" i="32"/>
  <c r="Q97" i="32"/>
  <c r="P97" i="32"/>
  <c r="R97" i="32" s="1"/>
  <c r="O97" i="32"/>
  <c r="Q96" i="32"/>
  <c r="R96" i="32" s="1"/>
  <c r="P96" i="32"/>
  <c r="O96" i="32"/>
  <c r="Q95" i="32"/>
  <c r="P95" i="32"/>
  <c r="R95" i="32" s="1"/>
  <c r="O95" i="32"/>
  <c r="Q94" i="32"/>
  <c r="P94" i="32"/>
  <c r="R94" i="32" s="1"/>
  <c r="O94" i="32"/>
  <c r="Q93" i="32"/>
  <c r="P93" i="32"/>
  <c r="R93" i="32" s="1"/>
  <c r="O93" i="32"/>
  <c r="Q92" i="32"/>
  <c r="R92" i="32" s="1"/>
  <c r="P92" i="32"/>
  <c r="O92" i="32"/>
  <c r="Q91" i="32"/>
  <c r="P91" i="32"/>
  <c r="R91" i="32" s="1"/>
  <c r="O91" i="32"/>
  <c r="Q90" i="32"/>
  <c r="P90" i="32"/>
  <c r="R90" i="32" s="1"/>
  <c r="O90" i="32"/>
  <c r="Q89" i="32"/>
  <c r="P89" i="32"/>
  <c r="R89" i="32" s="1"/>
  <c r="O89" i="32"/>
  <c r="Q88" i="32"/>
  <c r="R88" i="32" s="1"/>
  <c r="P88" i="32"/>
  <c r="O88" i="32"/>
  <c r="Q87" i="32"/>
  <c r="P87" i="32"/>
  <c r="R87" i="32" s="1"/>
  <c r="O87" i="32"/>
  <c r="Q86" i="32"/>
  <c r="P86" i="32"/>
  <c r="R86" i="32" s="1"/>
  <c r="O86" i="32"/>
  <c r="Q85" i="32"/>
  <c r="P85" i="32"/>
  <c r="R85" i="32" s="1"/>
  <c r="O85" i="32"/>
  <c r="Q84" i="32"/>
  <c r="R84" i="32" s="1"/>
  <c r="P84" i="32"/>
  <c r="O84" i="32"/>
  <c r="Q83" i="32"/>
  <c r="P83" i="32"/>
  <c r="R83" i="32" s="1"/>
  <c r="O83" i="32"/>
  <c r="Q82" i="32"/>
  <c r="P82" i="32"/>
  <c r="R82" i="32" s="1"/>
  <c r="O82" i="32"/>
  <c r="Q81" i="32"/>
  <c r="P81" i="32"/>
  <c r="R81" i="32" s="1"/>
  <c r="O81" i="32"/>
  <c r="Q80" i="32"/>
  <c r="R80" i="32" s="1"/>
  <c r="P80" i="32"/>
  <c r="O80" i="32"/>
  <c r="Q79" i="32"/>
  <c r="P79" i="32"/>
  <c r="R79" i="32" s="1"/>
  <c r="O79" i="32"/>
  <c r="Q78" i="32"/>
  <c r="P78" i="32"/>
  <c r="R78" i="32" s="1"/>
  <c r="O78" i="32"/>
  <c r="Q77" i="32"/>
  <c r="P77" i="32"/>
  <c r="R77" i="32" s="1"/>
  <c r="O77" i="32"/>
  <c r="Q76" i="32"/>
  <c r="R76" i="32" s="1"/>
  <c r="P76" i="32"/>
  <c r="O76" i="32"/>
  <c r="Q75" i="32"/>
  <c r="P75" i="32"/>
  <c r="R75" i="32" s="1"/>
  <c r="O75" i="32"/>
  <c r="Q74" i="32"/>
  <c r="P74" i="32"/>
  <c r="R74" i="32" s="1"/>
  <c r="O74" i="32"/>
  <c r="Q73" i="32"/>
  <c r="P73" i="32"/>
  <c r="R73" i="32" s="1"/>
  <c r="O73" i="32"/>
  <c r="Q72" i="32"/>
  <c r="R72" i="32" s="1"/>
  <c r="P72" i="32"/>
  <c r="O72" i="32"/>
  <c r="Q71" i="32"/>
  <c r="P71" i="32"/>
  <c r="R71" i="32" s="1"/>
  <c r="O71" i="32"/>
  <c r="Q70" i="32"/>
  <c r="P70" i="32"/>
  <c r="R70" i="32" s="1"/>
  <c r="O70" i="32"/>
  <c r="Q69" i="32"/>
  <c r="P69" i="32"/>
  <c r="R69" i="32" s="1"/>
  <c r="O69" i="32"/>
  <c r="Q68" i="32"/>
  <c r="R68" i="32" s="1"/>
  <c r="P68" i="32"/>
  <c r="O68" i="32"/>
  <c r="Q67" i="32"/>
  <c r="P67" i="32"/>
  <c r="R67" i="32" s="1"/>
  <c r="O67" i="32"/>
  <c r="Q66" i="32"/>
  <c r="P66" i="32"/>
  <c r="R66" i="32" s="1"/>
  <c r="O66" i="32"/>
  <c r="Q65" i="32"/>
  <c r="P65" i="32"/>
  <c r="R65" i="32" s="1"/>
  <c r="O65" i="32"/>
  <c r="Q64" i="32"/>
  <c r="R64" i="32" s="1"/>
  <c r="P64" i="32"/>
  <c r="O64" i="32"/>
  <c r="Q63" i="32"/>
  <c r="P63" i="32"/>
  <c r="R63" i="32" s="1"/>
  <c r="O63" i="32"/>
  <c r="Q62" i="32"/>
  <c r="P62" i="32"/>
  <c r="R62" i="32" s="1"/>
  <c r="O62" i="32"/>
  <c r="Q61" i="32"/>
  <c r="P61" i="32"/>
  <c r="R61" i="32" s="1"/>
  <c r="O61" i="32"/>
  <c r="Q60" i="32"/>
  <c r="R60" i="32" s="1"/>
  <c r="P60" i="32"/>
  <c r="O60" i="32"/>
  <c r="Q59" i="32"/>
  <c r="P59" i="32"/>
  <c r="R59" i="32" s="1"/>
  <c r="O59" i="32"/>
  <c r="Q58" i="32"/>
  <c r="P58" i="32"/>
  <c r="R58" i="32" s="1"/>
  <c r="O58" i="32"/>
  <c r="Q57" i="32"/>
  <c r="P57" i="32"/>
  <c r="R57" i="32" s="1"/>
  <c r="O57" i="32"/>
  <c r="Q56" i="32"/>
  <c r="R56" i="32" s="1"/>
  <c r="P56" i="32"/>
  <c r="O56" i="32"/>
  <c r="Q55" i="32"/>
  <c r="P55" i="32"/>
  <c r="R55" i="32" s="1"/>
  <c r="O55" i="32"/>
  <c r="Q54" i="32"/>
  <c r="P54" i="32"/>
  <c r="R54" i="32" s="1"/>
  <c r="O54" i="32"/>
  <c r="Q53" i="32"/>
  <c r="P53" i="32"/>
  <c r="R53" i="32" s="1"/>
  <c r="O53" i="32"/>
  <c r="Q52" i="32"/>
  <c r="O52" i="32"/>
  <c r="K52" i="32"/>
  <c r="E52" i="32" a="1"/>
  <c r="E52" i="32" s="1"/>
  <c r="O51" i="32"/>
  <c r="K51" i="32"/>
  <c r="E51" i="32" a="1"/>
  <c r="E51" i="32" s="1"/>
  <c r="Q50" i="32"/>
  <c r="R50" i="32" s="1"/>
  <c r="P50" i="32"/>
  <c r="O50" i="32"/>
  <c r="K50" i="32"/>
  <c r="E50" i="32" a="1"/>
  <c r="E50" i="32" s="1"/>
  <c r="O49" i="32"/>
  <c r="K49" i="32"/>
  <c r="E49" i="32" a="1"/>
  <c r="E49" i="32" s="1"/>
  <c r="Q48" i="32"/>
  <c r="P48" i="32"/>
  <c r="R48" i="32" s="1"/>
  <c r="O48" i="32"/>
  <c r="K48" i="32"/>
  <c r="E48" i="32" a="1"/>
  <c r="E48" i="32" s="1"/>
  <c r="O47" i="32"/>
  <c r="K47" i="32"/>
  <c r="E47" i="32" a="1"/>
  <c r="E47" i="32" s="1"/>
  <c r="Q46" i="32"/>
  <c r="R46" i="32" s="1"/>
  <c r="P46" i="32"/>
  <c r="O46" i="32"/>
  <c r="K46" i="32"/>
  <c r="E46" i="32"/>
  <c r="E46" i="32" a="1"/>
  <c r="Q45" i="32"/>
  <c r="O45" i="32"/>
  <c r="K45" i="32"/>
  <c r="E45" i="32"/>
  <c r="E45" i="32" a="1"/>
  <c r="P44" i="32"/>
  <c r="O44" i="32"/>
  <c r="K44" i="32"/>
  <c r="E44" i="32" a="1"/>
  <c r="E44" i="32" s="1"/>
  <c r="R43" i="32"/>
  <c r="Q43" i="32"/>
  <c r="P43" i="32"/>
  <c r="O43" i="32"/>
  <c r="K43" i="32"/>
  <c r="P52" i="32" s="1"/>
  <c r="R52" i="32" s="1"/>
  <c r="E43" i="32"/>
  <c r="Q47" i="32" s="1"/>
  <c r="E43" i="32" a="1"/>
  <c r="K42" i="32"/>
  <c r="E42" i="32"/>
  <c r="E42" i="32" a="1"/>
  <c r="A42" i="32"/>
  <c r="A41" i="32" s="1"/>
  <c r="K41" i="32"/>
  <c r="E41" i="32" a="1"/>
  <c r="E41" i="32" s="1"/>
  <c r="K40" i="32"/>
  <c r="E40" i="32"/>
  <c r="E40" i="32" a="1"/>
  <c r="K39" i="32"/>
  <c r="E39" i="32" a="1"/>
  <c r="E39" i="32" s="1"/>
  <c r="K38" i="32"/>
  <c r="E38" i="32"/>
  <c r="E38" i="32" a="1"/>
  <c r="K37" i="32"/>
  <c r="E37" i="32" a="1"/>
  <c r="E37" i="32" s="1"/>
  <c r="K36" i="32"/>
  <c r="E36" i="32"/>
  <c r="E36" i="32" a="1"/>
  <c r="K35" i="32"/>
  <c r="E35" i="32" a="1"/>
  <c r="E35" i="32" s="1"/>
  <c r="K34" i="32"/>
  <c r="E34" i="32"/>
  <c r="E34" i="32" a="1"/>
  <c r="K33" i="32"/>
  <c r="E33" i="32" a="1"/>
  <c r="E33" i="32" s="1"/>
  <c r="K32" i="32"/>
  <c r="E32" i="32"/>
  <c r="E32" i="32" a="1"/>
  <c r="K31" i="32"/>
  <c r="E31" i="32" a="1"/>
  <c r="E31" i="32" s="1"/>
  <c r="K30" i="32"/>
  <c r="E30" i="32"/>
  <c r="E30" i="32" a="1"/>
  <c r="K29" i="32"/>
  <c r="E29" i="32" a="1"/>
  <c r="E29" i="32" s="1"/>
  <c r="K28" i="32"/>
  <c r="E28" i="32"/>
  <c r="E28" i="32" a="1"/>
  <c r="K27" i="32"/>
  <c r="E27" i="32" a="1"/>
  <c r="E27" i="32" s="1"/>
  <c r="K26" i="32"/>
  <c r="E26" i="32"/>
  <c r="E26" i="32" a="1"/>
  <c r="K25" i="32"/>
  <c r="E25" i="32" a="1"/>
  <c r="E25" i="32" s="1"/>
  <c r="K24" i="32"/>
  <c r="E24" i="32"/>
  <c r="E24" i="32" a="1"/>
  <c r="K23" i="32"/>
  <c r="E23" i="32" a="1"/>
  <c r="E23" i="32" s="1"/>
  <c r="K22" i="32"/>
  <c r="E22" i="32"/>
  <c r="E22" i="32" a="1"/>
  <c r="K21" i="32"/>
  <c r="E21" i="32" a="1"/>
  <c r="E21" i="32" s="1"/>
  <c r="K20" i="32"/>
  <c r="E20" i="32"/>
  <c r="E20" i="32" a="1"/>
  <c r="K19" i="32"/>
  <c r="E19" i="32" a="1"/>
  <c r="E19" i="32" s="1"/>
  <c r="K18" i="32"/>
  <c r="E18" i="32"/>
  <c r="E18" i="32" a="1"/>
  <c r="K17" i="32"/>
  <c r="E17" i="32" a="1"/>
  <c r="E17" i="32" s="1"/>
  <c r="K16" i="32"/>
  <c r="E16" i="32"/>
  <c r="E16" i="32" a="1"/>
  <c r="K15" i="32"/>
  <c r="E15" i="32" a="1"/>
  <c r="E15" i="32" s="1"/>
  <c r="K14" i="32"/>
  <c r="E14" i="32"/>
  <c r="E14" i="32" a="1"/>
  <c r="K13" i="32"/>
  <c r="E13" i="32" a="1"/>
  <c r="E13" i="32" s="1"/>
  <c r="K12" i="32"/>
  <c r="E12" i="32"/>
  <c r="E12" i="32" a="1"/>
  <c r="K11" i="32"/>
  <c r="E11" i="32" a="1"/>
  <c r="E11" i="32" s="1"/>
  <c r="K10" i="32"/>
  <c r="E10" i="32"/>
  <c r="E10" i="32" a="1"/>
  <c r="K9" i="32"/>
  <c r="E9" i="32" a="1"/>
  <c r="E9" i="32" s="1"/>
  <c r="K8" i="32"/>
  <c r="E8" i="32"/>
  <c r="E8" i="32" a="1"/>
  <c r="K7" i="32"/>
  <c r="E7" i="32" a="1"/>
  <c r="E7" i="32" s="1"/>
  <c r="K6" i="32"/>
  <c r="E6" i="32"/>
  <c r="E6" i="32" a="1"/>
  <c r="K5" i="32"/>
  <c r="E5" i="32" a="1"/>
  <c r="E5" i="32" s="1"/>
  <c r="K4" i="32"/>
  <c r="E4" i="32"/>
  <c r="E4" i="32" a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48" i="22"/>
  <c r="G47" i="22"/>
  <c r="G46" i="22"/>
  <c r="G45" i="22"/>
  <c r="G44" i="22"/>
  <c r="G4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F12" i="22"/>
  <c r="F11" i="22"/>
  <c r="F10" i="22"/>
  <c r="F9" i="22"/>
  <c r="F8" i="22"/>
  <c r="F7" i="22"/>
  <c r="F6" i="22"/>
  <c r="F5" i="22"/>
  <c r="F4" i="22"/>
  <c r="F3" i="22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Q41" i="32" l="1"/>
  <c r="A40" i="32"/>
  <c r="P41" i="32"/>
  <c r="R41" i="32" s="1"/>
  <c r="O41" i="32"/>
  <c r="Q103" i="32"/>
  <c r="P103" i="32"/>
  <c r="R103" i="32" s="1"/>
  <c r="O103" i="32"/>
  <c r="A104" i="32"/>
  <c r="O42" i="32"/>
  <c r="Q44" i="32"/>
  <c r="R44" i="32" s="1"/>
  <c r="P51" i="32"/>
  <c r="P102" i="32"/>
  <c r="R102" i="32" s="1"/>
  <c r="P42" i="32"/>
  <c r="R42" i="32" s="1"/>
  <c r="Q51" i="32"/>
  <c r="Q102" i="32"/>
  <c r="Q42" i="32"/>
  <c r="P49" i="32"/>
  <c r="O102" i="32"/>
  <c r="Q49" i="32"/>
  <c r="P47" i="32"/>
  <c r="R47" i="32" s="1"/>
  <c r="P45" i="32"/>
  <c r="R45" i="32" s="1"/>
  <c r="J129" i="29"/>
  <c r="I129" i="29"/>
  <c r="J128" i="29"/>
  <c r="K128" i="29" s="1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K118" i="29" s="1"/>
  <c r="J117" i="29"/>
  <c r="I117" i="29"/>
  <c r="K117" i="29" s="1"/>
  <c r="J116" i="29"/>
  <c r="K116" i="29" s="1"/>
  <c r="I116" i="29"/>
  <c r="J115" i="29"/>
  <c r="I115" i="29"/>
  <c r="K115" i="29" s="1"/>
  <c r="J114" i="29"/>
  <c r="I114" i="29"/>
  <c r="J113" i="29"/>
  <c r="K113" i="29" s="1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K104" i="29" s="1"/>
  <c r="I104" i="29"/>
  <c r="J103" i="29"/>
  <c r="I103" i="29"/>
  <c r="K103" i="29" s="1"/>
  <c r="J102" i="29"/>
  <c r="I102" i="29"/>
  <c r="K102" i="29" s="1"/>
  <c r="J101" i="29"/>
  <c r="I101" i="29"/>
  <c r="J100" i="29"/>
  <c r="I100" i="29"/>
  <c r="J99" i="29"/>
  <c r="I99" i="29"/>
  <c r="K99" i="29" s="1"/>
  <c r="J98" i="29"/>
  <c r="K98" i="29" s="1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K87" i="29" s="1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H66" i="29"/>
  <c r="J65" i="29"/>
  <c r="K65" i="29" s="1"/>
  <c r="I65" i="29"/>
  <c r="H65" i="29"/>
  <c r="J64" i="29"/>
  <c r="I64" i="29"/>
  <c r="H64" i="29"/>
  <c r="J63" i="29"/>
  <c r="I63" i="29"/>
  <c r="H63" i="29"/>
  <c r="J62" i="29"/>
  <c r="K62" i="29" s="1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K51" i="29" s="1"/>
  <c r="H51" i="29"/>
  <c r="J50" i="29"/>
  <c r="K50" i="29" s="1"/>
  <c r="I50" i="29"/>
  <c r="H50" i="29"/>
  <c r="J49" i="29"/>
  <c r="I49" i="29"/>
  <c r="H49" i="29"/>
  <c r="J48" i="29"/>
  <c r="I48" i="29"/>
  <c r="H48" i="29"/>
  <c r="J47" i="29"/>
  <c r="K47" i="29" s="1"/>
  <c r="I47" i="29"/>
  <c r="H47" i="29"/>
  <c r="J46" i="29"/>
  <c r="I46" i="29"/>
  <c r="H46" i="29"/>
  <c r="J45" i="29"/>
  <c r="I45" i="29"/>
  <c r="K45" i="29" s="1"/>
  <c r="H45" i="29"/>
  <c r="J44" i="29"/>
  <c r="K44" i="29" s="1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H18" i="29"/>
  <c r="J17" i="29"/>
  <c r="K17" i="29" s="1"/>
  <c r="I17" i="29"/>
  <c r="H17" i="29"/>
  <c r="J16" i="29"/>
  <c r="I16" i="29"/>
  <c r="H16" i="29"/>
  <c r="J15" i="29"/>
  <c r="I15" i="29"/>
  <c r="H15" i="29"/>
  <c r="J14" i="29"/>
  <c r="K14" i="29" s="1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K3" i="29" s="1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K118" i="26" s="1"/>
  <c r="J117" i="26"/>
  <c r="I117" i="26"/>
  <c r="J116" i="26"/>
  <c r="I116" i="26"/>
  <c r="K116" i="26" s="1"/>
  <c r="J115" i="26"/>
  <c r="I115" i="26"/>
  <c r="K115" i="26" s="1"/>
  <c r="J114" i="26"/>
  <c r="I114" i="26"/>
  <c r="J113" i="26"/>
  <c r="I113" i="26"/>
  <c r="K113" i="26" s="1"/>
  <c r="J112" i="26"/>
  <c r="I112" i="26"/>
  <c r="K112" i="26" s="1"/>
  <c r="J111" i="26"/>
  <c r="I111" i="26"/>
  <c r="K111" i="26" s="1"/>
  <c r="J110" i="26"/>
  <c r="I110" i="26"/>
  <c r="J109" i="26"/>
  <c r="I109" i="26"/>
  <c r="K109" i="26" s="1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K103" i="26" s="1"/>
  <c r="J102" i="26"/>
  <c r="I102" i="26"/>
  <c r="J101" i="26"/>
  <c r="I101" i="26"/>
  <c r="J100" i="26"/>
  <c r="I100" i="26"/>
  <c r="K100" i="26" s="1"/>
  <c r="J99" i="26"/>
  <c r="I99" i="26"/>
  <c r="K99" i="26" s="1"/>
  <c r="J98" i="26"/>
  <c r="I98" i="26"/>
  <c r="J97" i="26"/>
  <c r="I97" i="26"/>
  <c r="K97" i="26" s="1"/>
  <c r="J96" i="26"/>
  <c r="I96" i="26"/>
  <c r="K96" i="26" s="1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K86" i="26" s="1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K81" i="26" s="1"/>
  <c r="J80" i="26"/>
  <c r="I80" i="26"/>
  <c r="K80" i="26" s="1"/>
  <c r="J79" i="26"/>
  <c r="I79" i="26"/>
  <c r="K79" i="26" s="1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J70" i="26"/>
  <c r="I70" i="26"/>
  <c r="J69" i="26"/>
  <c r="I69" i="26"/>
  <c r="J68" i="26"/>
  <c r="I68" i="26"/>
  <c r="K68" i="26" s="1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H62" i="26"/>
  <c r="J61" i="26"/>
  <c r="I61" i="26"/>
  <c r="K61" i="26" s="1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K55" i="26" s="1"/>
  <c r="H55" i="26"/>
  <c r="J54" i="26"/>
  <c r="I54" i="26"/>
  <c r="K54" i="26" s="1"/>
  <c r="H54" i="26"/>
  <c r="J53" i="26"/>
  <c r="I53" i="26"/>
  <c r="H53" i="26"/>
  <c r="J52" i="26"/>
  <c r="I52" i="26"/>
  <c r="K52" i="26" s="1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K45" i="26" s="1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K36" i="26" s="1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K29" i="26" s="1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K20" i="26" s="1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K13" i="26" s="1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K117" i="28" s="1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K101" i="28" s="1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K173" i="28" s="1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K165" i="28" s="1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K157" i="28" s="1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K149" i="28" s="1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K141" i="28" s="1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K133" i="28" s="1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K125" i="28" s="1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K64" i="28" s="1"/>
  <c r="H64" i="28"/>
  <c r="J63" i="28"/>
  <c r="I63" i="28"/>
  <c r="K63" i="28" s="1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K48" i="28" s="1"/>
  <c r="H48" i="28"/>
  <c r="J47" i="28"/>
  <c r="I47" i="28"/>
  <c r="K47" i="28" s="1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K32" i="28" s="1"/>
  <c r="H32" i="28"/>
  <c r="J31" i="28"/>
  <c r="I31" i="28"/>
  <c r="K31" i="28" s="1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K16" i="28" s="1"/>
  <c r="H16" i="28"/>
  <c r="J15" i="28"/>
  <c r="I15" i="28"/>
  <c r="K15" i="28" s="1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K127" i="27" s="1"/>
  <c r="J126" i="27"/>
  <c r="I126" i="27"/>
  <c r="K126" i="27" s="1"/>
  <c r="J125" i="27"/>
  <c r="I125" i="27"/>
  <c r="J124" i="27"/>
  <c r="I124" i="27"/>
  <c r="K124" i="27" s="1"/>
  <c r="J123" i="27"/>
  <c r="I123" i="27"/>
  <c r="K123" i="27" s="1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K111" i="27" s="1"/>
  <c r="J110" i="27"/>
  <c r="I110" i="27"/>
  <c r="K110" i="27" s="1"/>
  <c r="J109" i="27"/>
  <c r="I109" i="27"/>
  <c r="J108" i="27"/>
  <c r="I108" i="27"/>
  <c r="K108" i="27" s="1"/>
  <c r="J107" i="27"/>
  <c r="I107" i="27"/>
  <c r="K107" i="27" s="1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K97" i="27" s="1"/>
  <c r="J96" i="27"/>
  <c r="I96" i="27"/>
  <c r="J95" i="27"/>
  <c r="I95" i="27"/>
  <c r="K95" i="27" s="1"/>
  <c r="J94" i="27"/>
  <c r="I94" i="27"/>
  <c r="K94" i="27" s="1"/>
  <c r="J93" i="27"/>
  <c r="I93" i="27"/>
  <c r="J92" i="27"/>
  <c r="I92" i="27"/>
  <c r="K92" i="27" s="1"/>
  <c r="J91" i="27"/>
  <c r="I91" i="27"/>
  <c r="K91" i="27" s="1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K79" i="27" s="1"/>
  <c r="J78" i="27"/>
  <c r="I78" i="27"/>
  <c r="K78" i="27" s="1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K66" i="27" s="1"/>
  <c r="H66" i="27"/>
  <c r="J65" i="27"/>
  <c r="I65" i="27"/>
  <c r="K65" i="27" s="1"/>
  <c r="H65" i="27"/>
  <c r="J64" i="27"/>
  <c r="I64" i="27"/>
  <c r="H64" i="27"/>
  <c r="J63" i="27"/>
  <c r="I63" i="27"/>
  <c r="K63" i="27" s="1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K50" i="27" s="1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K34" i="27" s="1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K18" i="27" s="1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K164" i="25" s="1"/>
  <c r="J163" i="25"/>
  <c r="I163" i="25"/>
  <c r="J162" i="25"/>
  <c r="I162" i="25"/>
  <c r="J161" i="25"/>
  <c r="I161" i="25"/>
  <c r="J160" i="25"/>
  <c r="I160" i="25"/>
  <c r="K160" i="25" s="1"/>
  <c r="J159" i="25"/>
  <c r="I159" i="25"/>
  <c r="J158" i="25"/>
  <c r="I158" i="25"/>
  <c r="K158" i="25" s="1"/>
  <c r="J157" i="25"/>
  <c r="I157" i="25"/>
  <c r="K157" i="25" s="1"/>
  <c r="J156" i="25"/>
  <c r="I156" i="25"/>
  <c r="K156" i="25" s="1"/>
  <c r="J155" i="25"/>
  <c r="I155" i="25"/>
  <c r="J154" i="25"/>
  <c r="I154" i="25"/>
  <c r="K154" i="25" s="1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K148" i="25" s="1"/>
  <c r="J147" i="25"/>
  <c r="I147" i="25"/>
  <c r="J146" i="25"/>
  <c r="I146" i="25"/>
  <c r="J145" i="25"/>
  <c r="I145" i="25"/>
  <c r="J144" i="25"/>
  <c r="I144" i="25"/>
  <c r="K144" i="25" s="1"/>
  <c r="J143" i="25"/>
  <c r="I143" i="25"/>
  <c r="J142" i="25"/>
  <c r="I142" i="25"/>
  <c r="K142" i="25" s="1"/>
  <c r="J141" i="25"/>
  <c r="I141" i="25"/>
  <c r="K141" i="25" s="1"/>
  <c r="J140" i="25"/>
  <c r="I140" i="25"/>
  <c r="K140" i="25" s="1"/>
  <c r="J139" i="25"/>
  <c r="I139" i="25"/>
  <c r="J138" i="25"/>
  <c r="I138" i="25"/>
  <c r="K138" i="25" s="1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K132" i="25" s="1"/>
  <c r="J131" i="25"/>
  <c r="I131" i="25"/>
  <c r="K131" i="25" s="1"/>
  <c r="J130" i="25"/>
  <c r="I130" i="25"/>
  <c r="J129" i="25"/>
  <c r="I129" i="25"/>
  <c r="K129" i="25" s="1"/>
  <c r="J128" i="25"/>
  <c r="I128" i="25"/>
  <c r="K128" i="25" s="1"/>
  <c r="J127" i="25"/>
  <c r="I127" i="25"/>
  <c r="J126" i="25"/>
  <c r="I126" i="25"/>
  <c r="K126" i="25" s="1"/>
  <c r="J125" i="25"/>
  <c r="I125" i="25"/>
  <c r="K125" i="25" s="1"/>
  <c r="J124" i="25"/>
  <c r="I124" i="25"/>
  <c r="K124" i="25" s="1"/>
  <c r="J123" i="25"/>
  <c r="I123" i="25"/>
  <c r="J122" i="25"/>
  <c r="I122" i="25"/>
  <c r="K122" i="25" s="1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K116" i="25" s="1"/>
  <c r="J115" i="25"/>
  <c r="I115" i="25"/>
  <c r="K115" i="25" s="1"/>
  <c r="J114" i="25"/>
  <c r="I114" i="25"/>
  <c r="J113" i="25"/>
  <c r="I113" i="25"/>
  <c r="J112" i="25"/>
  <c r="I112" i="25"/>
  <c r="K112" i="25" s="1"/>
  <c r="J111" i="25"/>
  <c r="I111" i="25"/>
  <c r="J110" i="25"/>
  <c r="I110" i="25"/>
  <c r="K110" i="25" s="1"/>
  <c r="J109" i="25"/>
  <c r="I109" i="25"/>
  <c r="K109" i="25" s="1"/>
  <c r="J108" i="25"/>
  <c r="I108" i="25"/>
  <c r="K108" i="25" s="1"/>
  <c r="J107" i="25"/>
  <c r="I107" i="25"/>
  <c r="J106" i="25"/>
  <c r="I106" i="25"/>
  <c r="K106" i="25" s="1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K100" i="25" s="1"/>
  <c r="J99" i="25"/>
  <c r="I99" i="25"/>
  <c r="K99" i="25" s="1"/>
  <c r="J98" i="25"/>
  <c r="I98" i="25"/>
  <c r="J97" i="25"/>
  <c r="I97" i="25"/>
  <c r="J96" i="25"/>
  <c r="I96" i="25"/>
  <c r="K96" i="25" s="1"/>
  <c r="J95" i="25"/>
  <c r="I95" i="25"/>
  <c r="J94" i="25"/>
  <c r="I94" i="25"/>
  <c r="K94" i="25" s="1"/>
  <c r="J93" i="25"/>
  <c r="I93" i="25"/>
  <c r="K93" i="25" s="1"/>
  <c r="H93" i="25"/>
  <c r="J92" i="25"/>
  <c r="I92" i="25"/>
  <c r="K92" i="25" s="1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K84" i="25" s="1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K68" i="25" s="1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K52" i="25" s="1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K36" i="25" s="1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K20" i="25" s="1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K4" i="25" s="1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K136" i="24" s="1"/>
  <c r="J135" i="24"/>
  <c r="I135" i="24"/>
  <c r="J134" i="24"/>
  <c r="I134" i="24"/>
  <c r="K134" i="24" s="1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K128" i="24" s="1"/>
  <c r="J127" i="24"/>
  <c r="I127" i="24"/>
  <c r="J126" i="24"/>
  <c r="I126" i="24"/>
  <c r="K126" i="24" s="1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K120" i="24" s="1"/>
  <c r="J119" i="24"/>
  <c r="I119" i="24"/>
  <c r="J118" i="24"/>
  <c r="I118" i="24"/>
  <c r="K118" i="24" s="1"/>
  <c r="J117" i="24"/>
  <c r="I117" i="24"/>
  <c r="J116" i="24"/>
  <c r="I116" i="24"/>
  <c r="K116" i="24" s="1"/>
  <c r="J115" i="24"/>
  <c r="I115" i="24"/>
  <c r="J114" i="24"/>
  <c r="I114" i="24"/>
  <c r="J113" i="24"/>
  <c r="I113" i="24"/>
  <c r="J112" i="24"/>
  <c r="I112" i="24"/>
  <c r="K112" i="24" s="1"/>
  <c r="J111" i="24"/>
  <c r="I111" i="24"/>
  <c r="J110" i="24"/>
  <c r="I110" i="24"/>
  <c r="K110" i="24" s="1"/>
  <c r="J109" i="24"/>
  <c r="I109" i="24"/>
  <c r="J108" i="24"/>
  <c r="I108" i="24"/>
  <c r="K108" i="24" s="1"/>
  <c r="J107" i="24"/>
  <c r="I107" i="24"/>
  <c r="J106" i="24"/>
  <c r="I106" i="24"/>
  <c r="J105" i="24"/>
  <c r="I105" i="24"/>
  <c r="J104" i="24"/>
  <c r="I104" i="24"/>
  <c r="K104" i="24" s="1"/>
  <c r="J103" i="24"/>
  <c r="I103" i="24"/>
  <c r="J102" i="24"/>
  <c r="I102" i="24"/>
  <c r="K102" i="24" s="1"/>
  <c r="J101" i="24"/>
  <c r="I101" i="24"/>
  <c r="J100" i="24"/>
  <c r="I100" i="24"/>
  <c r="K100" i="24" s="1"/>
  <c r="J99" i="24"/>
  <c r="I99" i="24"/>
  <c r="J98" i="24"/>
  <c r="I98" i="24"/>
  <c r="J97" i="24"/>
  <c r="I97" i="24"/>
  <c r="J96" i="24"/>
  <c r="I96" i="24"/>
  <c r="K96" i="24" s="1"/>
  <c r="J95" i="24"/>
  <c r="I95" i="24"/>
  <c r="J94" i="24"/>
  <c r="I94" i="24"/>
  <c r="K94" i="24" s="1"/>
  <c r="J93" i="24"/>
  <c r="I93" i="24"/>
  <c r="J92" i="24"/>
  <c r="I92" i="24"/>
  <c r="K92" i="24" s="1"/>
  <c r="J91" i="24"/>
  <c r="I91" i="24"/>
  <c r="J90" i="24"/>
  <c r="I90" i="24"/>
  <c r="J89" i="24"/>
  <c r="I89" i="24"/>
  <c r="J88" i="24"/>
  <c r="I88" i="24"/>
  <c r="K88" i="24" s="1"/>
  <c r="J87" i="24"/>
  <c r="I87" i="24"/>
  <c r="J86" i="24"/>
  <c r="I86" i="24"/>
  <c r="K86" i="24" s="1"/>
  <c r="J85" i="24"/>
  <c r="I85" i="24"/>
  <c r="J84" i="24"/>
  <c r="I84" i="24"/>
  <c r="K84" i="24" s="1"/>
  <c r="J83" i="24"/>
  <c r="I83" i="24"/>
  <c r="J82" i="24"/>
  <c r="I82" i="24"/>
  <c r="J81" i="24"/>
  <c r="I81" i="24"/>
  <c r="J80" i="24"/>
  <c r="I80" i="24"/>
  <c r="K80" i="24" s="1"/>
  <c r="J79" i="24"/>
  <c r="I79" i="24"/>
  <c r="J78" i="24"/>
  <c r="I78" i="24"/>
  <c r="K78" i="24" s="1"/>
  <c r="J77" i="24"/>
  <c r="I77" i="24"/>
  <c r="J76" i="24"/>
  <c r="I76" i="24"/>
  <c r="K76" i="24" s="1"/>
  <c r="J75" i="24"/>
  <c r="I75" i="24"/>
  <c r="J74" i="24"/>
  <c r="I74" i="24"/>
  <c r="J73" i="24"/>
  <c r="I73" i="24"/>
  <c r="J72" i="24"/>
  <c r="I72" i="24"/>
  <c r="K72" i="24" s="1"/>
  <c r="J71" i="24"/>
  <c r="I71" i="24"/>
  <c r="J70" i="24"/>
  <c r="I70" i="24"/>
  <c r="K70" i="24" s="1"/>
  <c r="J69" i="24"/>
  <c r="I69" i="24"/>
  <c r="J68" i="24"/>
  <c r="I68" i="24"/>
  <c r="K68" i="24" s="1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K62" i="24" s="1"/>
  <c r="J61" i="24"/>
  <c r="I61" i="24"/>
  <c r="J60" i="24"/>
  <c r="I60" i="24"/>
  <c r="K60" i="24" s="1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K54" i="24" s="1"/>
  <c r="J53" i="24"/>
  <c r="I53" i="24"/>
  <c r="J52" i="24"/>
  <c r="I52" i="24"/>
  <c r="K52" i="24" s="1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K46" i="24" s="1"/>
  <c r="J45" i="24"/>
  <c r="I45" i="24"/>
  <c r="J44" i="24"/>
  <c r="I44" i="24"/>
  <c r="K44" i="24" s="1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K38" i="24" s="1"/>
  <c r="J37" i="24"/>
  <c r="I37" i="24"/>
  <c r="J36" i="24"/>
  <c r="I36" i="24"/>
  <c r="K36" i="24" s="1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K30" i="24" s="1"/>
  <c r="J29" i="24"/>
  <c r="I29" i="24"/>
  <c r="J28" i="24"/>
  <c r="I28" i="24"/>
  <c r="K28" i="24" s="1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K22" i="24" s="1"/>
  <c r="J21" i="24"/>
  <c r="I21" i="24"/>
  <c r="J20" i="24"/>
  <c r="I20" i="24"/>
  <c r="K20" i="24" s="1"/>
  <c r="J19" i="24"/>
  <c r="I19" i="24"/>
  <c r="J18" i="24"/>
  <c r="I18" i="24"/>
  <c r="J17" i="24"/>
  <c r="I17" i="24"/>
  <c r="J16" i="24"/>
  <c r="I16" i="24"/>
  <c r="K16" i="24" s="1"/>
  <c r="J15" i="24"/>
  <c r="I15" i="24"/>
  <c r="K15" i="24" s="1"/>
  <c r="J14" i="24"/>
  <c r="I14" i="24"/>
  <c r="K14" i="24" s="1"/>
  <c r="J13" i="24"/>
  <c r="I13" i="24"/>
  <c r="J12" i="24"/>
  <c r="I12" i="24"/>
  <c r="K12" i="24" s="1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K6" i="24" s="1"/>
  <c r="J5" i="24"/>
  <c r="I5" i="24"/>
  <c r="J4" i="24"/>
  <c r="I4" i="24"/>
  <c r="K4" i="24" s="1"/>
  <c r="K3" i="24"/>
  <c r="J3" i="24"/>
  <c r="I3" i="24"/>
  <c r="R51" i="32" l="1"/>
  <c r="P104" i="32"/>
  <c r="Q104" i="32"/>
  <c r="A105" i="32"/>
  <c r="O104" i="32"/>
  <c r="A39" i="32"/>
  <c r="Q40" i="32"/>
  <c r="P40" i="32"/>
  <c r="R40" i="32" s="1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48" i="23"/>
  <c r="J143" i="23"/>
  <c r="J141" i="23"/>
  <c r="J140" i="23"/>
  <c r="J139" i="23"/>
  <c r="J138" i="23"/>
  <c r="J132" i="23"/>
  <c r="J127" i="23"/>
  <c r="J125" i="23"/>
  <c r="J124" i="23"/>
  <c r="J123" i="23"/>
  <c r="J122" i="23"/>
  <c r="J121" i="23"/>
  <c r="J116" i="23"/>
  <c r="J111" i="23"/>
  <c r="J109" i="23"/>
  <c r="J108" i="23"/>
  <c r="J107" i="23"/>
  <c r="J106" i="23"/>
  <c r="J105" i="23"/>
  <c r="J100" i="23"/>
  <c r="J95" i="23"/>
  <c r="J93" i="23"/>
  <c r="J92" i="23"/>
  <c r="J91" i="23"/>
  <c r="J90" i="23"/>
  <c r="J89" i="23"/>
  <c r="J84" i="23"/>
  <c r="J77" i="23"/>
  <c r="J76" i="23"/>
  <c r="J75" i="23"/>
  <c r="J74" i="23"/>
  <c r="J73" i="23"/>
  <c r="J68" i="23"/>
  <c r="J61" i="23"/>
  <c r="J60" i="23"/>
  <c r="J59" i="23"/>
  <c r="J58" i="23"/>
  <c r="J57" i="23"/>
  <c r="J52" i="23"/>
  <c r="J45" i="23"/>
  <c r="J44" i="23"/>
  <c r="J43" i="23"/>
  <c r="J42" i="23"/>
  <c r="J41" i="23"/>
  <c r="J36" i="23"/>
  <c r="J29" i="23"/>
  <c r="J28" i="23"/>
  <c r="J27" i="23"/>
  <c r="J26" i="23"/>
  <c r="J25" i="23"/>
  <c r="J20" i="23"/>
  <c r="J13" i="23"/>
  <c r="J12" i="23"/>
  <c r="J11" i="23"/>
  <c r="J10" i="23"/>
  <c r="J9" i="23"/>
  <c r="J4" i="23"/>
  <c r="I154" i="23"/>
  <c r="H154" i="23"/>
  <c r="I153" i="23"/>
  <c r="H153" i="23"/>
  <c r="I152" i="23"/>
  <c r="H152" i="23"/>
  <c r="J152" i="23" s="1"/>
  <c r="I151" i="23"/>
  <c r="H151" i="23"/>
  <c r="J151" i="23" s="1"/>
  <c r="I150" i="23"/>
  <c r="J150" i="23" s="1"/>
  <c r="H150" i="23"/>
  <c r="I149" i="23"/>
  <c r="H149" i="23"/>
  <c r="J149" i="23" s="1"/>
  <c r="I148" i="23"/>
  <c r="H148" i="23"/>
  <c r="I147" i="23"/>
  <c r="H147" i="23"/>
  <c r="J147" i="23" s="1"/>
  <c r="I146" i="23"/>
  <c r="H146" i="23"/>
  <c r="J146" i="23" s="1"/>
  <c r="I145" i="23"/>
  <c r="H145" i="23"/>
  <c r="J145" i="23" s="1"/>
  <c r="I144" i="23"/>
  <c r="H144" i="23"/>
  <c r="J144" i="23" s="1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J137" i="23" s="1"/>
  <c r="I136" i="23"/>
  <c r="H136" i="23"/>
  <c r="J136" i="23" s="1"/>
  <c r="I135" i="23"/>
  <c r="H135" i="23"/>
  <c r="J135" i="23" s="1"/>
  <c r="I134" i="23"/>
  <c r="J134" i="23" s="1"/>
  <c r="H134" i="23"/>
  <c r="I133" i="23"/>
  <c r="H133" i="23"/>
  <c r="J133" i="23" s="1"/>
  <c r="I132" i="23"/>
  <c r="H132" i="23"/>
  <c r="I131" i="23"/>
  <c r="H131" i="23"/>
  <c r="J131" i="23" s="1"/>
  <c r="I130" i="23"/>
  <c r="H130" i="23"/>
  <c r="J130" i="23" s="1"/>
  <c r="I129" i="23"/>
  <c r="H129" i="23"/>
  <c r="J129" i="23" s="1"/>
  <c r="I128" i="23"/>
  <c r="H128" i="23"/>
  <c r="J128" i="23" s="1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J120" i="23" s="1"/>
  <c r="I119" i="23"/>
  <c r="H119" i="23"/>
  <c r="J119" i="23" s="1"/>
  <c r="I118" i="23"/>
  <c r="J118" i="23" s="1"/>
  <c r="H118" i="23"/>
  <c r="I117" i="23"/>
  <c r="H117" i="23"/>
  <c r="J117" i="23" s="1"/>
  <c r="I116" i="23"/>
  <c r="H116" i="23"/>
  <c r="I115" i="23"/>
  <c r="H115" i="23"/>
  <c r="J115" i="23" s="1"/>
  <c r="I114" i="23"/>
  <c r="H114" i="23"/>
  <c r="J114" i="23" s="1"/>
  <c r="I113" i="23"/>
  <c r="H113" i="23"/>
  <c r="J113" i="23" s="1"/>
  <c r="I112" i="23"/>
  <c r="H112" i="23"/>
  <c r="J112" i="23" s="1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J104" i="23" s="1"/>
  <c r="I103" i="23"/>
  <c r="H103" i="23"/>
  <c r="J103" i="23" s="1"/>
  <c r="I102" i="23"/>
  <c r="J102" i="23" s="1"/>
  <c r="H102" i="23"/>
  <c r="I101" i="23"/>
  <c r="H101" i="23"/>
  <c r="J101" i="23" s="1"/>
  <c r="I100" i="23"/>
  <c r="H100" i="23"/>
  <c r="I99" i="23"/>
  <c r="H99" i="23"/>
  <c r="J99" i="23" s="1"/>
  <c r="I98" i="23"/>
  <c r="H98" i="23"/>
  <c r="J98" i="23" s="1"/>
  <c r="I97" i="23"/>
  <c r="H97" i="23"/>
  <c r="J97" i="23" s="1"/>
  <c r="I96" i="23"/>
  <c r="H96" i="23"/>
  <c r="J96" i="23" s="1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J88" i="23" s="1"/>
  <c r="I87" i="23"/>
  <c r="H87" i="23"/>
  <c r="J87" i="23" s="1"/>
  <c r="I86" i="23"/>
  <c r="J86" i="23" s="1"/>
  <c r="H86" i="23"/>
  <c r="I85" i="23"/>
  <c r="H85" i="23"/>
  <c r="J85" i="23" s="1"/>
  <c r="I84" i="23"/>
  <c r="H84" i="23"/>
  <c r="I83" i="23"/>
  <c r="H83" i="23"/>
  <c r="J83" i="23" s="1"/>
  <c r="I82" i="23"/>
  <c r="H82" i="23"/>
  <c r="J82" i="23" s="1"/>
  <c r="I81" i="23"/>
  <c r="H81" i="23"/>
  <c r="J81" i="23" s="1"/>
  <c r="I78" i="23"/>
  <c r="I80" i="23" s="1"/>
  <c r="H78" i="23"/>
  <c r="H80" i="23" s="1"/>
  <c r="I77" i="23"/>
  <c r="H77" i="23"/>
  <c r="I76" i="23"/>
  <c r="H76" i="23"/>
  <c r="I75" i="23"/>
  <c r="H75" i="23"/>
  <c r="I74" i="23"/>
  <c r="H74" i="23"/>
  <c r="I73" i="23"/>
  <c r="H73" i="23"/>
  <c r="I72" i="23"/>
  <c r="H72" i="23"/>
  <c r="J72" i="23" s="1"/>
  <c r="I71" i="23"/>
  <c r="H71" i="23"/>
  <c r="J71" i="23" s="1"/>
  <c r="I70" i="23"/>
  <c r="H70" i="23"/>
  <c r="J70" i="23" s="1"/>
  <c r="I69" i="23"/>
  <c r="H69" i="23"/>
  <c r="J69" i="23" s="1"/>
  <c r="I68" i="23"/>
  <c r="H68" i="23"/>
  <c r="I67" i="23"/>
  <c r="H67" i="23"/>
  <c r="J67" i="23" s="1"/>
  <c r="I66" i="23"/>
  <c r="J66" i="23" s="1"/>
  <c r="H66" i="23"/>
  <c r="I65" i="23"/>
  <c r="H65" i="23"/>
  <c r="J65" i="23" s="1"/>
  <c r="I64" i="23"/>
  <c r="H64" i="23"/>
  <c r="J64" i="23" s="1"/>
  <c r="I63" i="23"/>
  <c r="H63" i="23"/>
  <c r="J63" i="23" s="1"/>
  <c r="I62" i="23"/>
  <c r="H62" i="23"/>
  <c r="J62" i="23" s="1"/>
  <c r="I61" i="23"/>
  <c r="H61" i="23"/>
  <c r="I60" i="23"/>
  <c r="H60" i="23"/>
  <c r="I59" i="23"/>
  <c r="H59" i="23"/>
  <c r="I58" i="23"/>
  <c r="H58" i="23"/>
  <c r="I57" i="23"/>
  <c r="H57" i="23"/>
  <c r="I56" i="23"/>
  <c r="H56" i="23"/>
  <c r="J56" i="23" s="1"/>
  <c r="I55" i="23"/>
  <c r="H55" i="23"/>
  <c r="J55" i="23" s="1"/>
  <c r="I54" i="23"/>
  <c r="H54" i="23"/>
  <c r="J54" i="23" s="1"/>
  <c r="I53" i="23"/>
  <c r="H53" i="23"/>
  <c r="J53" i="23" s="1"/>
  <c r="I52" i="23"/>
  <c r="H52" i="23"/>
  <c r="I51" i="23"/>
  <c r="H51" i="23"/>
  <c r="J51" i="23" s="1"/>
  <c r="I50" i="23"/>
  <c r="J50" i="23" s="1"/>
  <c r="H50" i="23"/>
  <c r="I49" i="23"/>
  <c r="H49" i="23"/>
  <c r="J49" i="23" s="1"/>
  <c r="I48" i="23"/>
  <c r="H48" i="23"/>
  <c r="J48" i="23" s="1"/>
  <c r="I47" i="23"/>
  <c r="H47" i="23"/>
  <c r="J47" i="23" s="1"/>
  <c r="I46" i="23"/>
  <c r="H46" i="23"/>
  <c r="J46" i="23" s="1"/>
  <c r="I45" i="23"/>
  <c r="H45" i="23"/>
  <c r="I44" i="23"/>
  <c r="H44" i="23"/>
  <c r="I43" i="23"/>
  <c r="H43" i="23"/>
  <c r="I42" i="23"/>
  <c r="H42" i="23"/>
  <c r="I41" i="23"/>
  <c r="H41" i="23"/>
  <c r="I40" i="23"/>
  <c r="H40" i="23"/>
  <c r="J40" i="23" s="1"/>
  <c r="I39" i="23"/>
  <c r="H39" i="23"/>
  <c r="J39" i="23" s="1"/>
  <c r="I38" i="23"/>
  <c r="H38" i="23"/>
  <c r="J38" i="23" s="1"/>
  <c r="I37" i="23"/>
  <c r="H37" i="23"/>
  <c r="J37" i="23" s="1"/>
  <c r="I36" i="23"/>
  <c r="H36" i="23"/>
  <c r="I35" i="23"/>
  <c r="H35" i="23"/>
  <c r="J35" i="23" s="1"/>
  <c r="I34" i="23"/>
  <c r="J34" i="23" s="1"/>
  <c r="H34" i="23"/>
  <c r="I33" i="23"/>
  <c r="H33" i="23"/>
  <c r="J33" i="23" s="1"/>
  <c r="I32" i="23"/>
  <c r="H32" i="23"/>
  <c r="J32" i="23" s="1"/>
  <c r="I31" i="23"/>
  <c r="H31" i="23"/>
  <c r="J31" i="23" s="1"/>
  <c r="I30" i="23"/>
  <c r="H30" i="23"/>
  <c r="J30" i="23" s="1"/>
  <c r="I29" i="23"/>
  <c r="H29" i="23"/>
  <c r="I28" i="23"/>
  <c r="H28" i="23"/>
  <c r="I27" i="23"/>
  <c r="H27" i="23"/>
  <c r="I26" i="23"/>
  <c r="H26" i="23"/>
  <c r="I25" i="23"/>
  <c r="H25" i="23"/>
  <c r="I24" i="23"/>
  <c r="H24" i="23"/>
  <c r="J24" i="23" s="1"/>
  <c r="I23" i="23"/>
  <c r="H23" i="23"/>
  <c r="J23" i="23" s="1"/>
  <c r="I22" i="23"/>
  <c r="H22" i="23"/>
  <c r="J22" i="23" s="1"/>
  <c r="I21" i="23"/>
  <c r="H21" i="23"/>
  <c r="J21" i="23" s="1"/>
  <c r="I20" i="23"/>
  <c r="H20" i="23"/>
  <c r="I19" i="23"/>
  <c r="H19" i="23"/>
  <c r="J19" i="23" s="1"/>
  <c r="I18" i="23"/>
  <c r="J18" i="23" s="1"/>
  <c r="H18" i="23"/>
  <c r="I17" i="23"/>
  <c r="H17" i="23"/>
  <c r="J17" i="23" s="1"/>
  <c r="I16" i="23"/>
  <c r="H16" i="23"/>
  <c r="J16" i="23" s="1"/>
  <c r="I15" i="23"/>
  <c r="H15" i="23"/>
  <c r="J15" i="23" s="1"/>
  <c r="I14" i="23"/>
  <c r="H14" i="23"/>
  <c r="J14" i="23" s="1"/>
  <c r="I13" i="23"/>
  <c r="H13" i="23"/>
  <c r="I12" i="23"/>
  <c r="H12" i="23"/>
  <c r="I11" i="23"/>
  <c r="H11" i="23"/>
  <c r="I10" i="23"/>
  <c r="H10" i="23"/>
  <c r="I9" i="23"/>
  <c r="H9" i="23"/>
  <c r="I8" i="23"/>
  <c r="H8" i="23"/>
  <c r="J8" i="23" s="1"/>
  <c r="I7" i="23"/>
  <c r="H7" i="23"/>
  <c r="J7" i="23" s="1"/>
  <c r="I6" i="23"/>
  <c r="H6" i="23"/>
  <c r="J6" i="23" s="1"/>
  <c r="I5" i="23"/>
  <c r="H5" i="23"/>
  <c r="J5" i="23" s="1"/>
  <c r="I4" i="23"/>
  <c r="H4" i="23"/>
  <c r="I3" i="23"/>
  <c r="H3" i="23"/>
  <c r="J3" i="23" s="1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O39" i="32" l="1"/>
  <c r="Q39" i="32"/>
  <c r="A38" i="32"/>
  <c r="P39" i="32"/>
  <c r="R39" i="32" s="1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J79" i="23" s="1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A116" i="28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M57" i="19" s="1"/>
  <c r="H56" i="19"/>
  <c r="L56" i="19" s="1"/>
  <c r="G56" i="19"/>
  <c r="K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H49" i="19"/>
  <c r="L49" i="19" s="1"/>
  <c r="G49" i="19"/>
  <c r="K49" i="19" s="1"/>
  <c r="M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L45" i="19" s="1"/>
  <c r="G45" i="19"/>
  <c r="K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H41" i="19"/>
  <c r="L41" i="19" s="1"/>
  <c r="G41" i="19"/>
  <c r="K41" i="19" s="1"/>
  <c r="M41" i="19" s="1"/>
  <c r="H40" i="19"/>
  <c r="L40" i="19" s="1"/>
  <c r="G40" i="19"/>
  <c r="K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M33" i="19" s="1"/>
  <c r="H32" i="19"/>
  <c r="L32" i="19" s="1"/>
  <c r="G32" i="19"/>
  <c r="K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H25" i="19"/>
  <c r="L25" i="19" s="1"/>
  <c r="G25" i="19"/>
  <c r="K25" i="19" s="1"/>
  <c r="M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H17" i="19"/>
  <c r="L17" i="19" s="1"/>
  <c r="G17" i="19"/>
  <c r="K17" i="19" s="1"/>
  <c r="M17" i="19" s="1"/>
  <c r="H16" i="19"/>
  <c r="L16" i="19" s="1"/>
  <c r="G16" i="19"/>
  <c r="K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86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A107" i="32" l="1"/>
  <c r="Q106" i="32"/>
  <c r="P106" i="32"/>
  <c r="R106" i="32" s="1"/>
  <c r="O106" i="32"/>
  <c r="R105" i="32"/>
  <c r="A37" i="32"/>
  <c r="Q38" i="32"/>
  <c r="P38" i="32"/>
  <c r="R38" i="32" s="1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36" i="32" l="1"/>
  <c r="Q37" i="32"/>
  <c r="P37" i="32"/>
  <c r="R37" i="32" s="1"/>
  <c r="O37" i="32"/>
  <c r="Q107" i="32"/>
  <c r="A108" i="32"/>
  <c r="P107" i="32"/>
  <c r="R107" i="32" s="1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L120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K43" i="3"/>
  <c r="J43" i="3"/>
  <c r="J42" i="3"/>
  <c r="J41" i="3"/>
  <c r="L40" i="3"/>
  <c r="J40" i="3"/>
  <c r="J39" i="3"/>
  <c r="K38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K19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K3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M122" i="3" s="1"/>
  <c r="H121" i="3"/>
  <c r="L121" i="3" s="1"/>
  <c r="G121" i="3"/>
  <c r="K121" i="3" s="1"/>
  <c r="H120" i="3"/>
  <c r="G120" i="3"/>
  <c r="K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M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8" i="3"/>
  <c r="L98" i="3" s="1"/>
  <c r="G95" i="3"/>
  <c r="K95" i="3" s="1"/>
  <c r="H94" i="3"/>
  <c r="L94" i="3" s="1"/>
  <c r="H71" i="3"/>
  <c r="L71" i="3" s="1"/>
  <c r="G71" i="3"/>
  <c r="K71" i="3" s="1"/>
  <c r="H70" i="3"/>
  <c r="L70" i="3" s="1"/>
  <c r="G70" i="3"/>
  <c r="K70" i="3" s="1"/>
  <c r="M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M59" i="3" s="1"/>
  <c r="H58" i="3"/>
  <c r="L58" i="3" s="1"/>
  <c r="G58" i="3"/>
  <c r="K58" i="3" s="1"/>
  <c r="H57" i="3"/>
  <c r="L57" i="3" s="1"/>
  <c r="G57" i="3"/>
  <c r="K57" i="3" s="1"/>
  <c r="M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H39" i="3"/>
  <c r="L39" i="3" s="1"/>
  <c r="G39" i="3"/>
  <c r="K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M35" i="3" s="1"/>
  <c r="H34" i="3"/>
  <c r="L34" i="3" s="1"/>
  <c r="G34" i="3"/>
  <c r="K34" i="3" s="1"/>
  <c r="H33" i="3"/>
  <c r="L33" i="3" s="1"/>
  <c r="G33" i="3"/>
  <c r="K33" i="3" s="1"/>
  <c r="M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M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M11" i="3" s="1"/>
  <c r="H10" i="3"/>
  <c r="L10" i="3" s="1"/>
  <c r="G10" i="3"/>
  <c r="K10" i="3" s="1"/>
  <c r="H9" i="3"/>
  <c r="L9" i="3" s="1"/>
  <c r="G9" i="3"/>
  <c r="K9" i="3" s="1"/>
  <c r="M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M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P108" i="32" l="1"/>
  <c r="A109" i="32"/>
  <c r="Q108" i="32"/>
  <c r="O108" i="32"/>
  <c r="A35" i="32"/>
  <c r="Q36" i="32"/>
  <c r="P36" i="32"/>
  <c r="R36" i="32" s="1"/>
  <c r="O36" i="32"/>
  <c r="H102" i="3"/>
  <c r="L102" i="3" s="1"/>
  <c r="M102" i="3" s="1"/>
  <c r="M27" i="3"/>
  <c r="G103" i="3"/>
  <c r="K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6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112" i="3"/>
  <c r="M120" i="3"/>
  <c r="M128" i="3"/>
  <c r="G87" i="3"/>
  <c r="K87" i="3" s="1"/>
  <c r="M87" i="3" s="1"/>
  <c r="A119" i="28"/>
  <c r="H118" i="28"/>
  <c r="A99" i="25"/>
  <c r="H98" i="25"/>
  <c r="M98" i="3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10" i="32" l="1"/>
  <c r="Q109" i="32"/>
  <c r="P109" i="32"/>
  <c r="R109" i="32" s="1"/>
  <c r="O109" i="32"/>
  <c r="O35" i="32"/>
  <c r="Q35" i="32"/>
  <c r="A34" i="32"/>
  <c r="P35" i="32"/>
  <c r="R35" i="32" s="1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A33" i="32" l="1"/>
  <c r="Q34" i="32"/>
  <c r="P34" i="32"/>
  <c r="R34" i="32" s="1"/>
  <c r="O34" i="32"/>
  <c r="O110" i="32"/>
  <c r="A111" i="32"/>
  <c r="Q110" i="32"/>
  <c r="P110" i="32"/>
  <c r="R110" i="32" s="1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M132" i="3" s="1"/>
  <c r="F132" i="3"/>
  <c r="J132" i="3"/>
  <c r="A112" i="32" l="1"/>
  <c r="Q111" i="32"/>
  <c r="P111" i="32"/>
  <c r="R111" i="32" s="1"/>
  <c r="O111" i="32"/>
  <c r="A32" i="32"/>
  <c r="Q33" i="32"/>
  <c r="P33" i="32"/>
  <c r="R33" i="32" s="1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A31" i="32" l="1"/>
  <c r="Q32" i="32"/>
  <c r="P32" i="32"/>
  <c r="R32" i="32" s="1"/>
  <c r="O32" i="32"/>
  <c r="A113" i="32"/>
  <c r="Q112" i="32"/>
  <c r="P112" i="32"/>
  <c r="R112" i="32" s="1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P113" i="32" l="1"/>
  <c r="O113" i="32"/>
  <c r="A114" i="32"/>
  <c r="Q113" i="32"/>
  <c r="O31" i="32"/>
  <c r="Q31" i="32"/>
  <c r="A30" i="32"/>
  <c r="P31" i="32"/>
  <c r="R31" i="32" s="1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A29" i="32" l="1"/>
  <c r="Q30" i="32"/>
  <c r="P30" i="32"/>
  <c r="R30" i="32" s="1"/>
  <c r="O30" i="32"/>
  <c r="O114" i="32"/>
  <c r="A115" i="32"/>
  <c r="Q114" i="32"/>
  <c r="P114" i="32"/>
  <c r="R114" i="32" s="1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A116" i="32" l="1"/>
  <c r="Q115" i="32"/>
  <c r="P115" i="32"/>
  <c r="R115" i="32" s="1"/>
  <c r="O115" i="32"/>
  <c r="A28" i="32"/>
  <c r="Q29" i="32"/>
  <c r="P29" i="32"/>
  <c r="R29" i="32" s="1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27" i="32" l="1"/>
  <c r="Q28" i="32"/>
  <c r="P28" i="32"/>
  <c r="R28" i="32" s="1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Q27" i="32" l="1"/>
  <c r="A26" i="32"/>
  <c r="P27" i="32"/>
  <c r="R27" i="32" s="1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A25" i="32" l="1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O25" i="32" l="1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R25" i="32" l="1"/>
  <c r="A23" i="32"/>
  <c r="Q24" i="32"/>
  <c r="P24" i="32"/>
  <c r="R24" i="32" s="1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Q23" i="32" l="1"/>
  <c r="A22" i="32"/>
  <c r="P23" i="32"/>
  <c r="R23" i="32" s="1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21" i="32" l="1"/>
  <c r="Q22" i="32"/>
  <c r="P22" i="32"/>
  <c r="R22" i="32" s="1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O21" i="32" l="1"/>
  <c r="Q21" i="32"/>
  <c r="A20" i="32"/>
  <c r="P21" i="32"/>
  <c r="R21" i="32" s="1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A19" i="32" l="1"/>
  <c r="Q20" i="32"/>
  <c r="P20" i="32"/>
  <c r="R20" i="32" s="1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Q19" i="32" l="1"/>
  <c r="A18" i="32"/>
  <c r="P19" i="32"/>
  <c r="R19" i="32" s="1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7" i="32" l="1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O17" i="32" l="1"/>
  <c r="Q17" i="32"/>
  <c r="A16" i="32"/>
  <c r="P17" i="32"/>
  <c r="R17" i="32" s="1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A15" i="32" l="1"/>
  <c r="Q16" i="32"/>
  <c r="P16" i="32"/>
  <c r="R16" i="32" s="1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Q15" i="32" l="1"/>
  <c r="A14" i="32"/>
  <c r="P15" i="32"/>
  <c r="R15" i="32" s="1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A13" i="32" l="1"/>
  <c r="Q14" i="32"/>
  <c r="P14" i="32"/>
  <c r="R14" i="32" s="1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O13" i="32" l="1"/>
  <c r="Q13" i="32"/>
  <c r="A12" i="32"/>
  <c r="P13" i="32"/>
  <c r="R13" i="32" s="1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A11" i="32" l="1"/>
  <c r="Q12" i="32"/>
  <c r="P12" i="32"/>
  <c r="R12" i="32" s="1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Q11" i="32" l="1"/>
  <c r="A10" i="32"/>
  <c r="P11" i="32"/>
  <c r="R11" i="32" s="1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A9" i="32" l="1"/>
  <c r="Q10" i="32"/>
  <c r="P10" i="32"/>
  <c r="R10" i="32" s="1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A8" i="32" l="1"/>
  <c r="Q9" i="32"/>
  <c r="P9" i="32"/>
  <c r="R9" i="32" s="1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A7" i="32" l="1"/>
  <c r="Q8" i="32"/>
  <c r="P8" i="32"/>
  <c r="R8" i="32" s="1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O7" i="32" l="1"/>
  <c r="A6" i="32"/>
  <c r="Q7" i="32"/>
  <c r="P7" i="32"/>
  <c r="R7" i="32" s="1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A5" i="32" l="1"/>
  <c r="Q6" i="32"/>
  <c r="P6" i="32"/>
  <c r="R6" i="32" s="1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A4" i="32" l="1"/>
  <c r="Q5" i="32"/>
  <c r="P5" i="32"/>
  <c r="R5" i="32" s="1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3" i="32" l="1"/>
  <c r="Q4" i="32"/>
  <c r="P4" i="32"/>
  <c r="R4" i="32" s="1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O3" i="32" l="1"/>
  <c r="Q3" i="32"/>
  <c r="P3" i="32"/>
  <c r="R3" i="32" s="1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A108" i="27" l="1"/>
  <c r="H107" i="27"/>
  <c r="A107" i="26"/>
  <c r="H106" i="26"/>
  <c r="A133" i="25"/>
  <c r="H132" i="25"/>
  <c r="A153" i="28"/>
  <c r="H152" i="28"/>
  <c r="A122" i="29"/>
  <c r="H121" i="29"/>
  <c r="A112" i="24"/>
  <c r="H111" i="24"/>
  <c r="A113" i="24" l="1"/>
  <c r="H112" i="24"/>
  <c r="A123" i="29"/>
  <c r="H122" i="29"/>
  <c r="A154" i="28"/>
  <c r="H153" i="28"/>
  <c r="A134" i="25"/>
  <c r="H133" i="25"/>
  <c r="A108" i="26"/>
  <c r="H107" i="26"/>
  <c r="A109" i="27"/>
  <c r="H108" i="27"/>
  <c r="A110" i="27" l="1"/>
  <c r="H109" i="27"/>
  <c r="A109" i="26"/>
  <c r="H108" i="26"/>
  <c r="A135" i="25"/>
  <c r="H134" i="25"/>
  <c r="A155" i="28"/>
  <c r="H154" i="28"/>
  <c r="A124" i="29"/>
  <c r="H123" i="29"/>
  <c r="A114" i="24"/>
  <c r="H113" i="24"/>
  <c r="A115" i="24" l="1"/>
  <c r="H114" i="24"/>
  <c r="A125" i="29"/>
  <c r="H124" i="29"/>
  <c r="A136" i="25"/>
  <c r="H135" i="25"/>
  <c r="A156" i="28"/>
  <c r="H155" i="28"/>
  <c r="A110" i="26"/>
  <c r="H109" i="26"/>
  <c r="A111" i="27"/>
  <c r="H110" i="27"/>
  <c r="A112" i="27" l="1"/>
  <c r="H111" i="27"/>
  <c r="A111" i="26"/>
  <c r="H110" i="26"/>
  <c r="A157" i="28"/>
  <c r="H156" i="28"/>
  <c r="A137" i="25"/>
  <c r="H136" i="25"/>
  <c r="A126" i="29"/>
  <c r="H125" i="29"/>
  <c r="A116" i="24"/>
  <c r="H115" i="24"/>
  <c r="A117" i="24" l="1"/>
  <c r="H116" i="24"/>
  <c r="A127" i="29"/>
  <c r="H126" i="29"/>
  <c r="A138" i="25"/>
  <c r="H137" i="25"/>
  <c r="A158" i="28"/>
  <c r="H157" i="28"/>
  <c r="A112" i="26"/>
  <c r="H111" i="26"/>
  <c r="A113" i="27"/>
  <c r="H112" i="27"/>
  <c r="A114" i="27" l="1"/>
  <c r="H113" i="27"/>
  <c r="A113" i="26"/>
  <c r="H112" i="26"/>
  <c r="A159" i="28"/>
  <c r="H158" i="28"/>
  <c r="A139" i="25"/>
  <c r="H138" i="25"/>
  <c r="A128" i="29"/>
  <c r="H127" i="29"/>
  <c r="A118" i="24"/>
  <c r="H117" i="24"/>
  <c r="A119" i="24" l="1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A161" i="28" l="1"/>
  <c r="H160" i="28"/>
  <c r="A141" i="25"/>
  <c r="H140" i="25"/>
  <c r="A116" i="27"/>
  <c r="H115" i="27"/>
  <c r="A115" i="26"/>
  <c r="H114" i="26"/>
  <c r="A120" i="24"/>
  <c r="H119" i="24"/>
  <c r="A121" i="24" l="1"/>
  <c r="H120" i="24"/>
  <c r="A116" i="26"/>
  <c r="H115" i="26"/>
  <c r="A117" i="27"/>
  <c r="H116" i="27"/>
  <c r="A142" i="25"/>
  <c r="H141" i="25"/>
  <c r="A162" i="28"/>
  <c r="H161" i="28"/>
  <c r="A163" i="28" l="1"/>
  <c r="H162" i="28"/>
  <c r="A143" i="25"/>
  <c r="H142" i="25"/>
  <c r="A118" i="27"/>
  <c r="H117" i="27"/>
  <c r="A117" i="26"/>
  <c r="H116" i="26"/>
  <c r="A122" i="24"/>
  <c r="H121" i="24"/>
  <c r="A118" i="26" l="1"/>
  <c r="H117" i="26"/>
  <c r="A123" i="24"/>
  <c r="H122" i="24"/>
  <c r="A119" i="27"/>
  <c r="H118" i="27"/>
  <c r="A144" i="25"/>
  <c r="H143" i="25"/>
  <c r="A164" i="28"/>
  <c r="H163" i="28"/>
  <c r="A165" i="28" l="1"/>
  <c r="H164" i="28"/>
  <c r="A145" i="25"/>
  <c r="H144" i="25"/>
  <c r="A120" i="27"/>
  <c r="H119" i="27"/>
  <c r="A124" i="24"/>
  <c r="H123" i="24"/>
  <c r="A119" i="26"/>
  <c r="H118" i="26"/>
  <c r="A120" i="26" l="1"/>
  <c r="H119" i="26"/>
  <c r="A125" i="24"/>
  <c r="H124" i="24"/>
  <c r="A121" i="27"/>
  <c r="H120" i="27"/>
  <c r="A146" i="25"/>
  <c r="H145" i="25"/>
  <c r="A166" i="28"/>
  <c r="H165" i="28"/>
  <c r="A167" i="28" l="1"/>
  <c r="H166" i="28"/>
  <c r="A147" i="25"/>
  <c r="H146" i="25"/>
  <c r="A122" i="27"/>
  <c r="H121" i="27"/>
  <c r="A126" i="24"/>
  <c r="H125" i="24"/>
  <c r="A121" i="26"/>
  <c r="H120" i="26"/>
  <c r="A122" i="26" l="1"/>
  <c r="H121" i="26"/>
  <c r="A127" i="24"/>
  <c r="H126" i="24"/>
  <c r="A123" i="27"/>
  <c r="H122" i="27"/>
  <c r="A148" i="25"/>
  <c r="H147" i="25"/>
  <c r="A168" i="28"/>
  <c r="H167" i="28"/>
  <c r="A169" i="28" l="1"/>
  <c r="H168" i="28"/>
  <c r="A149" i="25"/>
  <c r="H148" i="25"/>
  <c r="A124" i="27"/>
  <c r="H123" i="27"/>
  <c r="A128" i="24"/>
  <c r="H127" i="24"/>
  <c r="A123" i="26"/>
  <c r="H122" i="26"/>
  <c r="A124" i="26" l="1"/>
  <c r="H124" i="26" s="1"/>
  <c r="H123" i="26"/>
  <c r="A129" i="24"/>
  <c r="H128" i="24"/>
  <c r="A125" i="27"/>
  <c r="H124" i="27"/>
  <c r="A150" i="25"/>
  <c r="H149" i="25"/>
  <c r="A170" i="28"/>
  <c r="H169" i="28"/>
  <c r="H125" i="27" l="1"/>
  <c r="A126" i="27"/>
  <c r="A171" i="28"/>
  <c r="H170" i="28"/>
  <c r="A151" i="25"/>
  <c r="H150" i="25"/>
  <c r="H129" i="24"/>
  <c r="A130" i="24"/>
  <c r="A172" i="28" l="1"/>
  <c r="H171" i="28"/>
  <c r="A131" i="24"/>
  <c r="H130" i="24"/>
  <c r="A152" i="25"/>
  <c r="H151" i="25"/>
  <c r="A127" i="27"/>
  <c r="H126" i="27"/>
  <c r="A153" i="25" l="1"/>
  <c r="H152" i="25"/>
  <c r="A132" i="24"/>
  <c r="H131" i="24"/>
  <c r="A128" i="27"/>
  <c r="H127" i="27"/>
  <c r="A173" i="28"/>
  <c r="H172" i="28"/>
  <c r="A174" i="28" l="1"/>
  <c r="H174" i="28" s="1"/>
  <c r="H173" i="28"/>
  <c r="H128" i="27"/>
  <c r="A129" i="27"/>
  <c r="H129" i="27" s="1"/>
  <c r="A133" i="24"/>
  <c r="H132" i="24"/>
  <c r="A154" i="25"/>
  <c r="H153" i="25"/>
  <c r="A155" i="25" l="1"/>
  <c r="H154" i="25"/>
  <c r="A134" i="24"/>
  <c r="H133" i="24"/>
  <c r="A135" i="24" l="1"/>
  <c r="H134" i="24"/>
  <c r="A156" i="25"/>
  <c r="H155" i="25"/>
  <c r="A157" i="25" l="1"/>
  <c r="H156" i="25"/>
  <c r="A136" i="24"/>
  <c r="H135" i="24"/>
  <c r="A137" i="24" l="1"/>
  <c r="H136" i="24"/>
  <c r="A158" i="25"/>
  <c r="H157" i="25"/>
  <c r="A159" i="25" l="1"/>
  <c r="H158" i="25"/>
  <c r="A138" i="24"/>
  <c r="H137" i="24"/>
  <c r="A139" i="24" l="1"/>
  <c r="H139" i="24" s="1"/>
  <c r="H138" i="24"/>
  <c r="A160" i="25"/>
  <c r="H159" i="25"/>
  <c r="A161" i="25" l="1"/>
  <c r="H160" i="25"/>
  <c r="A162" i="25" l="1"/>
  <c r="H161" i="25"/>
  <c r="A163" i="25" l="1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<sst xmlns="http://schemas.openxmlformats.org/spreadsheetml/2006/main" count="397" uniqueCount="156">
  <si>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</si>
  <si>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</si>
  <si>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</si>
  <si>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</si>
  <si>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</si>
  <si>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</si>
  <si>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</si>
  <si>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</si>
  <si>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</si>
  <si>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</si>
  <si>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</si>
  <si>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</si>
  <si>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</si>
  <si>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</si>
  <si>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</si>
  <si>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</si>
  <si>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</si>
  <si>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</si>
  <si>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</si>
  <si>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</si>
  <si>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</si>
  <si>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</si>
  <si>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</si>
  <si>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</si>
  <si>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</si>
  <si>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</si>
  <si>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</si>
  <si>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</si>
  <si>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</si>
  <si>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</si>
  <si>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</si>
  <si>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</si>
  <si>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</si>
  <si>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</si>
  <si>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</si>
  <si>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</si>
  <si>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</si>
  <si>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</si>
  <si>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</si>
  <si>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</si>
  <si>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</si>
  <si>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</si>
  <si>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</si>
  <si>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</si>
  <si>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</si>
  <si>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</si>
  <si>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</si>
  <si>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</si>
  <si>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</si>
  <si>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</si>
  <si>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</si>
  <si>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</si>
  <si>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</si>
  <si>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</si>
  <si>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</si>
  <si>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</si>
  <si>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</si>
  <si>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</si>
  <si>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</si>
  <si>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</si>
  <si>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</si>
  <si>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</si>
  <si>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</si>
  <si>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</si>
  <si>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</si>
  <si>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</si>
  <si>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</si>
  <si>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</si>
  <si>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</si>
  <si>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</si>
  <si>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</si>
  <si>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</si>
  <si>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</si>
  <si>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</si>
  <si>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</si>
  <si>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</si>
  <si>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</si>
  <si>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</si>
  <si>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</si>
  <si>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</si>
  <si>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</si>
  <si>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</si>
  <si>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</si>
  <si>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</si>
  <si>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</si>
  <si>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</si>
  <si>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</si>
  <si>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</si>
  <si>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</si>
  <si>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</si>
  <si>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</si>
  <si>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</si>
  <si>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</si>
  <si>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</si>
  <si>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</si>
  <si>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</si>
  <si>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</si>
  <si>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</si>
  <si>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</si>
  <si>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</si>
  <si>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</si>
  <si>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</si>
  <si>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</si>
  <si>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</si>
  <si>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</si>
  <si>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</si>
  <si>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</si>
  <si>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</si>
  <si>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</si>
  <si>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</si>
  <si>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</si>
  <si>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</si>
  <si>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</si>
  <si>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</si>
  <si>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</si>
  <si>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</si>
  <si>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</si>
  <si>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</si>
  <si>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</si>
  <si>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</si>
  <si>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</si>
  <si>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</si>
  <si>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</si>
  <si>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</si>
  <si>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</si>
  <si>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</si>
  <si>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</si>
  <si>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</si>
  <si>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</si>
  <si>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</si>
  <si>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ер2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</si>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</sst>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</a:t>
            </a:r>
            <a:r>
              <a:rPr lang="en-US"/>
              <a:t>(</a:t>
            </a:r>
            <a:r>
              <a:rPr lang="ru-RU"/>
              <a:t>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'Боливия-Колвер'!$B$3:$B$86</c:f>
              <c:numCache>
                <c:formatCode>0.00</c:formatCode>
                <c:ptCount val="84"/>
                <c:pt idx="0">
                  <c:v>44.447000000000003</c:v>
                </c:pt>
                <c:pt idx="1">
                  <c:v>44.607999999999997</c:v>
                </c:pt>
                <c:pt idx="2">
                  <c:v>44.91</c:v>
                </c:pt>
                <c:pt idx="3">
                  <c:v>45.396999999999998</c:v>
                </c:pt>
                <c:pt idx="4">
                  <c:v>46.04</c:v>
                </c:pt>
                <c:pt idx="5">
                  <c:v>47.201999999999998</c:v>
                </c:pt>
                <c:pt idx="6">
                  <c:v>47.566000000000003</c:v>
                </c:pt>
                <c:pt idx="7">
                  <c:v>47.484999999999999</c:v>
                </c:pt>
                <c:pt idx="8">
                  <c:v>46.917999999999999</c:v>
                </c:pt>
                <c:pt idx="9">
                  <c:v>45.920999999999999</c:v>
                </c:pt>
                <c:pt idx="10">
                  <c:v>44.078000000000003</c:v>
                </c:pt>
                <c:pt idx="11">
                  <c:v>42.966000000000001</c:v>
                </c:pt>
                <c:pt idx="12">
                  <c:v>42.142000000000003</c:v>
                </c:pt>
                <c:pt idx="13">
                  <c:v>41.631</c:v>
                </c:pt>
                <c:pt idx="14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E-4E5C-8443-3E59EC55C029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'Боливия-Колвер'!$C$3:$C$86</c:f>
              <c:numCache>
                <c:formatCode>0.00</c:formatCode>
                <c:ptCount val="84"/>
                <c:pt idx="0">
                  <c:v>20.672999999999998</c:v>
                </c:pt>
                <c:pt idx="1">
                  <c:v>20.631</c:v>
                </c:pt>
                <c:pt idx="2">
                  <c:v>20.552</c:v>
                </c:pt>
                <c:pt idx="3">
                  <c:v>20.425999999999998</c:v>
                </c:pt>
                <c:pt idx="4">
                  <c:v>20.245000000000001</c:v>
                </c:pt>
                <c:pt idx="5">
                  <c:v>20.048999999999999</c:v>
                </c:pt>
                <c:pt idx="6">
                  <c:v>19.7</c:v>
                </c:pt>
                <c:pt idx="7">
                  <c:v>19.239000000000001</c:v>
                </c:pt>
                <c:pt idx="8">
                  <c:v>18.663</c:v>
                </c:pt>
                <c:pt idx="9">
                  <c:v>17.992999999999999</c:v>
                </c:pt>
                <c:pt idx="10">
                  <c:v>17.081</c:v>
                </c:pt>
                <c:pt idx="11">
                  <c:v>16.492999999999999</c:v>
                </c:pt>
                <c:pt idx="12">
                  <c:v>16.064</c:v>
                </c:pt>
                <c:pt idx="13">
                  <c:v>15.798</c:v>
                </c:pt>
                <c:pt idx="14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E-4E5C-8443-3E59EC55C029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'Боливия-Колвер'!$D$3:$D$86</c:f>
              <c:numCache>
                <c:formatCode>General</c:formatCode>
                <c:ptCount val="84"/>
                <c:pt idx="10" formatCode="0.0">
                  <c:v>43</c:v>
                </c:pt>
                <c:pt idx="11" formatCode="0.0">
                  <c:v>43</c:v>
                </c:pt>
                <c:pt idx="12" formatCode="0.0">
                  <c:v>43</c:v>
                </c:pt>
                <c:pt idx="13" formatCode="0.0">
                  <c:v>43.2</c:v>
                </c:pt>
                <c:pt idx="14" formatCode="0.0">
                  <c:v>43.3</c:v>
                </c:pt>
                <c:pt idx="15" formatCode="0.0">
                  <c:v>43.5</c:v>
                </c:pt>
                <c:pt idx="16" formatCode="0.0">
                  <c:v>43.5</c:v>
                </c:pt>
                <c:pt idx="17" formatCode="0.0">
                  <c:v>43.7</c:v>
                </c:pt>
                <c:pt idx="18" formatCode="0.0">
                  <c:v>43.8</c:v>
                </c:pt>
                <c:pt idx="19" formatCode="0.0">
                  <c:v>43.9</c:v>
                </c:pt>
                <c:pt idx="20" formatCode="0.0">
                  <c:v>43.9</c:v>
                </c:pt>
                <c:pt idx="21" formatCode="0.0">
                  <c:v>43.9</c:v>
                </c:pt>
                <c:pt idx="22" formatCode="0.0">
                  <c:v>43.9</c:v>
                </c:pt>
                <c:pt idx="23" formatCode="0.0">
                  <c:v>43.8</c:v>
                </c:pt>
                <c:pt idx="24" formatCode="0.0">
                  <c:v>43.7</c:v>
                </c:pt>
                <c:pt idx="25" formatCode="0.0">
                  <c:v>43.6</c:v>
                </c:pt>
                <c:pt idx="26" formatCode="0.0">
                  <c:v>43.5</c:v>
                </c:pt>
                <c:pt idx="27" formatCode="0.0">
                  <c:v>43.4</c:v>
                </c:pt>
                <c:pt idx="28" formatCode="0.0">
                  <c:v>43.3</c:v>
                </c:pt>
                <c:pt idx="29" formatCode="0.0">
                  <c:v>43</c:v>
                </c:pt>
                <c:pt idx="30" formatCode="0.0">
                  <c:v>42.7</c:v>
                </c:pt>
                <c:pt idx="31" formatCode="0.0">
                  <c:v>42.4</c:v>
                </c:pt>
                <c:pt idx="32" formatCode="0.0">
                  <c:v>41.9</c:v>
                </c:pt>
                <c:pt idx="33" formatCode="0.0">
                  <c:v>41.7</c:v>
                </c:pt>
                <c:pt idx="34" formatCode="0.0">
                  <c:v>41.5</c:v>
                </c:pt>
                <c:pt idx="35" formatCode="0.0">
                  <c:v>41.1</c:v>
                </c:pt>
                <c:pt idx="36" formatCode="0.0">
                  <c:v>41.2</c:v>
                </c:pt>
                <c:pt idx="37" formatCode="0.0">
                  <c:v>40.9</c:v>
                </c:pt>
                <c:pt idx="38" formatCode="0.0">
                  <c:v>40.5</c:v>
                </c:pt>
                <c:pt idx="39" formatCode="0.0">
                  <c:v>40.1</c:v>
                </c:pt>
                <c:pt idx="40" formatCode="0.0">
                  <c:v>39.700000000000003</c:v>
                </c:pt>
                <c:pt idx="41" formatCode="0.0">
                  <c:v>39.299999999999997</c:v>
                </c:pt>
                <c:pt idx="42" formatCode="0.0">
                  <c:v>38.799999999999997</c:v>
                </c:pt>
                <c:pt idx="43" formatCode="0.0">
                  <c:v>38.4</c:v>
                </c:pt>
                <c:pt idx="44" formatCode="0.0">
                  <c:v>38.1</c:v>
                </c:pt>
                <c:pt idx="45" formatCode="0.0">
                  <c:v>37.6</c:v>
                </c:pt>
                <c:pt idx="46" formatCode="0.0">
                  <c:v>37.4</c:v>
                </c:pt>
                <c:pt idx="47" formatCode="0.0">
                  <c:v>37.1</c:v>
                </c:pt>
                <c:pt idx="48" formatCode="0.0">
                  <c:v>36.9</c:v>
                </c:pt>
                <c:pt idx="49" formatCode="0.0">
                  <c:v>36.5</c:v>
                </c:pt>
                <c:pt idx="50" formatCode="0.0">
                  <c:v>36.1</c:v>
                </c:pt>
                <c:pt idx="51" formatCode="0.0">
                  <c:v>35.700000000000003</c:v>
                </c:pt>
                <c:pt idx="52" formatCode="0.0">
                  <c:v>34.799999999999997</c:v>
                </c:pt>
                <c:pt idx="53" formatCode="0.0">
                  <c:v>34.1</c:v>
                </c:pt>
                <c:pt idx="54" formatCode="0.0">
                  <c:v>33.4</c:v>
                </c:pt>
                <c:pt idx="55" formatCode="0.0">
                  <c:v>32.799999999999997</c:v>
                </c:pt>
                <c:pt idx="56" formatCode="0.0">
                  <c:v>32.299999999999997</c:v>
                </c:pt>
                <c:pt idx="57" formatCode="0.0">
                  <c:v>31.4</c:v>
                </c:pt>
                <c:pt idx="58" formatCode="0.0">
                  <c:v>31</c:v>
                </c:pt>
                <c:pt idx="59" formatCode="0.0">
                  <c:v>30.6</c:v>
                </c:pt>
                <c:pt idx="60" formatCode="0.0">
                  <c:v>29.8</c:v>
                </c:pt>
                <c:pt idx="61" formatCode="0.0">
                  <c:v>29.1</c:v>
                </c:pt>
                <c:pt idx="62" formatCode="0.0">
                  <c:v>28.5</c:v>
                </c:pt>
                <c:pt idx="63" formatCode="0.0">
                  <c:v>28.1</c:v>
                </c:pt>
                <c:pt idx="64" formatCode="0.0">
                  <c:v>27.7</c:v>
                </c:pt>
                <c:pt idx="65" formatCode="0.0">
                  <c:v>27.3</c:v>
                </c:pt>
                <c:pt idx="66" formatCode="0.0">
                  <c:v>27.3</c:v>
                </c:pt>
                <c:pt idx="67" formatCode="0.0">
                  <c:v>26.9</c:v>
                </c:pt>
                <c:pt idx="68" formatCode="0.0">
                  <c:v>26.4</c:v>
                </c:pt>
                <c:pt idx="69" formatCode="0.0">
                  <c:v>26</c:v>
                </c:pt>
                <c:pt idx="70" formatCode="0.0">
                  <c:v>25.6</c:v>
                </c:pt>
                <c:pt idx="71" formatCode="0.0">
                  <c:v>25.2</c:v>
                </c:pt>
                <c:pt idx="72" formatCode="0.0">
                  <c:v>24.8</c:v>
                </c:pt>
                <c:pt idx="73" formatCode="0.0">
                  <c:v>24.4</c:v>
                </c:pt>
                <c:pt idx="74" formatCode="0.0">
                  <c:v>24</c:v>
                </c:pt>
                <c:pt idx="75" formatCode="0.0">
                  <c:v>23.7</c:v>
                </c:pt>
                <c:pt idx="76" formatCode="0.0">
                  <c:v>23.3</c:v>
                </c:pt>
                <c:pt idx="77" formatCode="0.0">
                  <c:v>22.9</c:v>
                </c:pt>
                <c:pt idx="78" formatCode="0.0">
                  <c:v>22.6</c:v>
                </c:pt>
                <c:pt idx="79" formatCode="0.0">
                  <c:v>22.3</c:v>
                </c:pt>
                <c:pt idx="80" formatCode="0.0">
                  <c:v>22</c:v>
                </c:pt>
                <c:pt idx="81" formatCode="0.0">
                  <c:v>21.8</c:v>
                </c:pt>
                <c:pt idx="82" formatCode="0.0">
                  <c:v>21.6</c:v>
                </c:pt>
                <c:pt idx="8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E-4E5C-8443-3E59EC55C029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'Боливия-Колвер'!$E$3:$E$86</c:f>
              <c:numCache>
                <c:formatCode>General</c:formatCode>
                <c:ptCount val="84"/>
                <c:pt idx="10" formatCode="0.0">
                  <c:v>25.8</c:v>
                </c:pt>
                <c:pt idx="11" formatCode="0.0">
                  <c:v>25.5</c:v>
                </c:pt>
                <c:pt idx="12" formatCode="0.0">
                  <c:v>25.2</c:v>
                </c:pt>
                <c:pt idx="13" formatCode="0.0">
                  <c:v>24.8</c:v>
                </c:pt>
                <c:pt idx="14" formatCode="0.0">
                  <c:v>24.4</c:v>
                </c:pt>
                <c:pt idx="15" formatCode="0.0">
                  <c:v>24.2</c:v>
                </c:pt>
                <c:pt idx="16" formatCode="0.0">
                  <c:v>23.9</c:v>
                </c:pt>
                <c:pt idx="17" formatCode="0.0">
                  <c:v>23.6</c:v>
                </c:pt>
                <c:pt idx="18" formatCode="0.0">
                  <c:v>23.3</c:v>
                </c:pt>
                <c:pt idx="19" formatCode="0.0">
                  <c:v>23</c:v>
                </c:pt>
                <c:pt idx="20" formatCode="0.0">
                  <c:v>22.7</c:v>
                </c:pt>
                <c:pt idx="21" formatCode="0.0">
                  <c:v>22.4</c:v>
                </c:pt>
                <c:pt idx="22" formatCode="0.0">
                  <c:v>22.1</c:v>
                </c:pt>
                <c:pt idx="23" formatCode="0.0">
                  <c:v>21.7</c:v>
                </c:pt>
                <c:pt idx="24" formatCode="0.0">
                  <c:v>21.4</c:v>
                </c:pt>
                <c:pt idx="25" formatCode="0.0">
                  <c:v>21</c:v>
                </c:pt>
                <c:pt idx="26" formatCode="0.0">
                  <c:v>20.6</c:v>
                </c:pt>
                <c:pt idx="27" formatCode="0.0">
                  <c:v>20.3</c:v>
                </c:pt>
                <c:pt idx="28" formatCode="0.0">
                  <c:v>19.899999999999999</c:v>
                </c:pt>
                <c:pt idx="29" formatCode="0.0">
                  <c:v>19.5</c:v>
                </c:pt>
                <c:pt idx="30" formatCode="0.0">
                  <c:v>19.2</c:v>
                </c:pt>
                <c:pt idx="31" formatCode="0.0">
                  <c:v>18.8</c:v>
                </c:pt>
                <c:pt idx="32" formatCode="0.0">
                  <c:v>18.5</c:v>
                </c:pt>
                <c:pt idx="33" formatCode="0.0">
                  <c:v>18.100000000000001</c:v>
                </c:pt>
                <c:pt idx="34" formatCode="0.0">
                  <c:v>17.7</c:v>
                </c:pt>
                <c:pt idx="35" formatCode="0.0">
                  <c:v>17.2</c:v>
                </c:pt>
                <c:pt idx="36" formatCode="0.0">
                  <c:v>16.7</c:v>
                </c:pt>
                <c:pt idx="37" formatCode="0.0">
                  <c:v>16.399999999999999</c:v>
                </c:pt>
                <c:pt idx="38" formatCode="0.0">
                  <c:v>16.100000000000001</c:v>
                </c:pt>
                <c:pt idx="39" formatCode="0.0">
                  <c:v>15.7</c:v>
                </c:pt>
                <c:pt idx="40" formatCode="0.0">
                  <c:v>15.3</c:v>
                </c:pt>
                <c:pt idx="41" formatCode="0.0">
                  <c:v>15</c:v>
                </c:pt>
                <c:pt idx="42" formatCode="0.0">
                  <c:v>14.8</c:v>
                </c:pt>
                <c:pt idx="43" formatCode="0.0">
                  <c:v>14.5</c:v>
                </c:pt>
                <c:pt idx="44" formatCode="0.0">
                  <c:v>14.1</c:v>
                </c:pt>
                <c:pt idx="45" formatCode="0.0">
                  <c:v>13.8</c:v>
                </c:pt>
                <c:pt idx="46" formatCode="0.0">
                  <c:v>13.5</c:v>
                </c:pt>
                <c:pt idx="47" formatCode="0.0">
                  <c:v>13.1</c:v>
                </c:pt>
                <c:pt idx="48" formatCode="0.0">
                  <c:v>12.8</c:v>
                </c:pt>
                <c:pt idx="49" formatCode="0.0">
                  <c:v>12.4</c:v>
                </c:pt>
                <c:pt idx="50" formatCode="0.0">
                  <c:v>12</c:v>
                </c:pt>
                <c:pt idx="51" formatCode="0.0">
                  <c:v>11.7</c:v>
                </c:pt>
                <c:pt idx="52" formatCode="0.0">
                  <c:v>11.4</c:v>
                </c:pt>
                <c:pt idx="53" formatCode="0.0">
                  <c:v>10.9</c:v>
                </c:pt>
                <c:pt idx="54" formatCode="0.0">
                  <c:v>10.7</c:v>
                </c:pt>
                <c:pt idx="55" formatCode="0.0">
                  <c:v>10.5</c:v>
                </c:pt>
                <c:pt idx="56" formatCode="0.0">
                  <c:v>10.3</c:v>
                </c:pt>
                <c:pt idx="57" formatCode="0.0">
                  <c:v>10.199999999999999</c:v>
                </c:pt>
                <c:pt idx="58" formatCode="0.0">
                  <c:v>10</c:v>
                </c:pt>
                <c:pt idx="59" formatCode="0.0">
                  <c:v>9.9</c:v>
                </c:pt>
                <c:pt idx="60" formatCode="0.0">
                  <c:v>9.6999999999999993</c:v>
                </c:pt>
                <c:pt idx="61" formatCode="0.0">
                  <c:v>9.6</c:v>
                </c:pt>
                <c:pt idx="62" formatCode="0.0">
                  <c:v>9.4</c:v>
                </c:pt>
                <c:pt idx="63" formatCode="0.0">
                  <c:v>9.1</c:v>
                </c:pt>
                <c:pt idx="64" formatCode="0.0">
                  <c:v>9</c:v>
                </c:pt>
                <c:pt idx="65" formatCode="0.0">
                  <c:v>8.8000000000000007</c:v>
                </c:pt>
                <c:pt idx="66" formatCode="0.0">
                  <c:v>8.6</c:v>
                </c:pt>
                <c:pt idx="67" formatCode="0.0">
                  <c:v>8.5</c:v>
                </c:pt>
                <c:pt idx="68" formatCode="0.0">
                  <c:v>8.3000000000000007</c:v>
                </c:pt>
                <c:pt idx="69" formatCode="0.0">
                  <c:v>8.1999999999999993</c:v>
                </c:pt>
                <c:pt idx="70" formatCode="0.0">
                  <c:v>8</c:v>
                </c:pt>
                <c:pt idx="71" formatCode="0.0">
                  <c:v>7.9</c:v>
                </c:pt>
                <c:pt idx="72" formatCode="0.0">
                  <c:v>7.8</c:v>
                </c:pt>
                <c:pt idx="73" formatCode="0.0">
                  <c:v>7.8</c:v>
                </c:pt>
                <c:pt idx="74" formatCode="0.0">
                  <c:v>7.7</c:v>
                </c:pt>
                <c:pt idx="75" formatCode="0.0">
                  <c:v>7.7</c:v>
                </c:pt>
                <c:pt idx="76" formatCode="0.0">
                  <c:v>7.6</c:v>
                </c:pt>
                <c:pt idx="77" formatCode="0.0">
                  <c:v>7.6</c:v>
                </c:pt>
                <c:pt idx="78" formatCode="0.0">
                  <c:v>7.6</c:v>
                </c:pt>
                <c:pt idx="79" formatCode="0.0">
                  <c:v>7.6</c:v>
                </c:pt>
                <c:pt idx="80" formatCode="0.0">
                  <c:v>10.8</c:v>
                </c:pt>
                <c:pt idx="81" formatCode="0.0">
                  <c:v>11.8</c:v>
                </c:pt>
                <c:pt idx="82" formatCode="0.0">
                  <c:v>7.7</c:v>
                </c:pt>
                <c:pt idx="8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DDE-4E5C-8443-3E59EC55C029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'Боливия-Колвер'!$F$3:$F$86</c:f>
              <c:numCache>
                <c:formatCode>0.00</c:formatCode>
                <c:ptCount val="84"/>
                <c:pt idx="0">
                  <c:v>23.774000000000004</c:v>
                </c:pt>
                <c:pt idx="1">
                  <c:v>23.976999999999997</c:v>
                </c:pt>
                <c:pt idx="2">
                  <c:v>24.357999999999997</c:v>
                </c:pt>
                <c:pt idx="3">
                  <c:v>24.971</c:v>
                </c:pt>
                <c:pt idx="4">
                  <c:v>25.794999999999998</c:v>
                </c:pt>
                <c:pt idx="5">
                  <c:v>27.152999999999999</c:v>
                </c:pt>
                <c:pt idx="6">
                  <c:v>27.866000000000003</c:v>
                </c:pt>
                <c:pt idx="7">
                  <c:v>28.245999999999999</c:v>
                </c:pt>
                <c:pt idx="8">
                  <c:v>28.254999999999999</c:v>
                </c:pt>
                <c:pt idx="9">
                  <c:v>27.928000000000001</c:v>
                </c:pt>
                <c:pt idx="10">
                  <c:v>26.997000000000003</c:v>
                </c:pt>
                <c:pt idx="11">
                  <c:v>26.473000000000003</c:v>
                </c:pt>
                <c:pt idx="12">
                  <c:v>26.078000000000003</c:v>
                </c:pt>
                <c:pt idx="13">
                  <c:v>25.832999999999998</c:v>
                </c:pt>
                <c:pt idx="14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DDE-4E5C-8443-3E59EC55C029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'Боливия-Колвер'!$G$3:$G$86</c:f>
              <c:numCache>
                <c:formatCode>General</c:formatCode>
                <c:ptCount val="84"/>
                <c:pt idx="10" formatCode="0.0">
                  <c:v>17.2</c:v>
                </c:pt>
                <c:pt idx="11" formatCode="0.0">
                  <c:v>17.5</c:v>
                </c:pt>
                <c:pt idx="12" formatCode="0.0">
                  <c:v>17.8</c:v>
                </c:pt>
                <c:pt idx="13" formatCode="0.0">
                  <c:v>18.400000000000002</c:v>
                </c:pt>
                <c:pt idx="14" formatCode="0.0">
                  <c:v>18.899999999999999</c:v>
                </c:pt>
                <c:pt idx="15" formatCode="0.0">
                  <c:v>19.3</c:v>
                </c:pt>
                <c:pt idx="16" formatCode="0.0">
                  <c:v>19.600000000000001</c:v>
                </c:pt>
                <c:pt idx="17" formatCode="0.0">
                  <c:v>20.100000000000001</c:v>
                </c:pt>
                <c:pt idx="18" formatCode="0.0">
                  <c:v>20.499999999999996</c:v>
                </c:pt>
                <c:pt idx="19" formatCode="0.0">
                  <c:v>20.9</c:v>
                </c:pt>
                <c:pt idx="20" formatCode="0.0">
                  <c:v>21.2</c:v>
                </c:pt>
                <c:pt idx="21" formatCode="0.0">
                  <c:v>21.5</c:v>
                </c:pt>
                <c:pt idx="22" formatCode="0.0">
                  <c:v>21.799999999999997</c:v>
                </c:pt>
                <c:pt idx="23" formatCode="0.0">
                  <c:v>22.099999999999998</c:v>
                </c:pt>
                <c:pt idx="24" formatCode="0.0">
                  <c:v>22.300000000000004</c:v>
                </c:pt>
                <c:pt idx="25" formatCode="0.0">
                  <c:v>22.6</c:v>
                </c:pt>
                <c:pt idx="26" formatCode="0.0">
                  <c:v>22.9</c:v>
                </c:pt>
                <c:pt idx="27" formatCode="0.0">
                  <c:v>23.099999999999998</c:v>
                </c:pt>
                <c:pt idx="28" formatCode="0.0">
                  <c:v>23.4</c:v>
                </c:pt>
                <c:pt idx="29" formatCode="0.0">
                  <c:v>23.5</c:v>
                </c:pt>
                <c:pt idx="30" formatCode="0.0">
                  <c:v>23.500000000000004</c:v>
                </c:pt>
                <c:pt idx="31" formatCode="0.0">
                  <c:v>23.599999999999998</c:v>
                </c:pt>
                <c:pt idx="32" formatCode="0.0">
                  <c:v>23.4</c:v>
                </c:pt>
                <c:pt idx="33" formatCode="0.0">
                  <c:v>23.6</c:v>
                </c:pt>
                <c:pt idx="34" formatCode="0.0">
                  <c:v>23.8</c:v>
                </c:pt>
                <c:pt idx="35" formatCode="0.0">
                  <c:v>23.900000000000002</c:v>
                </c:pt>
                <c:pt idx="36" formatCode="0.0">
                  <c:v>24.500000000000004</c:v>
                </c:pt>
                <c:pt idx="37" formatCode="0.0">
                  <c:v>24.5</c:v>
                </c:pt>
                <c:pt idx="38" formatCode="0.0">
                  <c:v>24.4</c:v>
                </c:pt>
                <c:pt idx="39" formatCode="0.0">
                  <c:v>24.400000000000002</c:v>
                </c:pt>
                <c:pt idx="40" formatCode="0.0">
                  <c:v>24.400000000000002</c:v>
                </c:pt>
                <c:pt idx="41" formatCode="0.0">
                  <c:v>24.299999999999997</c:v>
                </c:pt>
                <c:pt idx="42" formatCode="0.0">
                  <c:v>23.999999999999996</c:v>
                </c:pt>
                <c:pt idx="43" formatCode="0.0">
                  <c:v>23.9</c:v>
                </c:pt>
                <c:pt idx="44" formatCode="0.0">
                  <c:v>24</c:v>
                </c:pt>
                <c:pt idx="45" formatCode="0.0">
                  <c:v>23.8</c:v>
                </c:pt>
                <c:pt idx="46" formatCode="0.0">
                  <c:v>23.9</c:v>
                </c:pt>
                <c:pt idx="47" formatCode="0.0">
                  <c:v>24</c:v>
                </c:pt>
                <c:pt idx="48" formatCode="0.0">
                  <c:v>24.099999999999998</c:v>
                </c:pt>
                <c:pt idx="49" formatCode="0.0">
                  <c:v>24.1</c:v>
                </c:pt>
                <c:pt idx="50" formatCode="0.0">
                  <c:v>24.1</c:v>
                </c:pt>
                <c:pt idx="51" formatCode="0.0">
                  <c:v>24.000000000000004</c:v>
                </c:pt>
                <c:pt idx="52" formatCode="0.0">
                  <c:v>23.4</c:v>
                </c:pt>
                <c:pt idx="53" formatCode="0.0">
                  <c:v>23.200000000000003</c:v>
                </c:pt>
                <c:pt idx="54" formatCode="0.0">
                  <c:v>22.7</c:v>
                </c:pt>
                <c:pt idx="55" formatCode="0.0">
                  <c:v>22.299999999999997</c:v>
                </c:pt>
                <c:pt idx="56" formatCode="0.0">
                  <c:v>21.999999999999996</c:v>
                </c:pt>
                <c:pt idx="57" formatCode="0.0">
                  <c:v>21.2</c:v>
                </c:pt>
                <c:pt idx="58" formatCode="0.0">
                  <c:v>21</c:v>
                </c:pt>
                <c:pt idx="59" formatCode="0.0">
                  <c:v>20.700000000000003</c:v>
                </c:pt>
                <c:pt idx="60" formatCode="0.0">
                  <c:v>20.100000000000001</c:v>
                </c:pt>
                <c:pt idx="61" formatCode="0.0">
                  <c:v>19.5</c:v>
                </c:pt>
                <c:pt idx="62" formatCode="0.0">
                  <c:v>19.100000000000001</c:v>
                </c:pt>
                <c:pt idx="63" formatCode="0.0">
                  <c:v>19</c:v>
                </c:pt>
                <c:pt idx="64" formatCode="0.0">
                  <c:v>18.7</c:v>
                </c:pt>
                <c:pt idx="65" formatCode="0.0">
                  <c:v>18.5</c:v>
                </c:pt>
                <c:pt idx="66" formatCode="0.0">
                  <c:v>18.700000000000003</c:v>
                </c:pt>
                <c:pt idx="67" formatCode="0.0">
                  <c:v>18.399999999999999</c:v>
                </c:pt>
                <c:pt idx="68" formatCode="0.0">
                  <c:v>18.099999999999998</c:v>
                </c:pt>
                <c:pt idx="69" formatCode="0.0">
                  <c:v>17.8</c:v>
                </c:pt>
                <c:pt idx="70" formatCode="0.0">
                  <c:v>17.600000000000001</c:v>
                </c:pt>
                <c:pt idx="71" formatCode="0.0">
                  <c:v>17.299999999999997</c:v>
                </c:pt>
                <c:pt idx="72" formatCode="0.0">
                  <c:v>17</c:v>
                </c:pt>
                <c:pt idx="73" formatCode="0.0">
                  <c:v>16.599999999999998</c:v>
                </c:pt>
                <c:pt idx="74" formatCode="0.0">
                  <c:v>16.3</c:v>
                </c:pt>
                <c:pt idx="75" formatCode="0.0">
                  <c:v>16</c:v>
                </c:pt>
                <c:pt idx="76" formatCode="0.0">
                  <c:v>15.700000000000001</c:v>
                </c:pt>
                <c:pt idx="77" formatCode="0.0">
                  <c:v>15.299999999999999</c:v>
                </c:pt>
                <c:pt idx="78" formatCode="0.0">
                  <c:v>15.000000000000002</c:v>
                </c:pt>
                <c:pt idx="79" formatCode="0.0">
                  <c:v>14.700000000000001</c:v>
                </c:pt>
                <c:pt idx="80" formatCode="0.0">
                  <c:v>11.2</c:v>
                </c:pt>
                <c:pt idx="81" formatCode="0.0">
                  <c:v>10</c:v>
                </c:pt>
                <c:pt idx="82" formatCode="0.0">
                  <c:v>13.900000000000002</c:v>
                </c:pt>
                <c:pt idx="8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DDE-4E5C-8443-3E59EC55C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2565616"/>
        <c:axId val="802565944"/>
      </c:scatterChart>
      <c:valAx>
        <c:axId val="80256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944"/>
        <c:crosses val="autoZero"/>
        <c:crossBetween val="midCat"/>
      </c:valAx>
      <c:valAx>
        <c:axId val="802565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'Гондурас-Колвер'!$B$3:$B$116</c:f>
              <c:numCache>
                <c:formatCode>0.00</c:formatCode>
                <c:ptCount val="114"/>
                <c:pt idx="0">
                  <c:v>44.281999999999996</c:v>
                </c:pt>
                <c:pt idx="1">
                  <c:v>44.137</c:v>
                </c:pt>
                <c:pt idx="2">
                  <c:v>43.865000000000002</c:v>
                </c:pt>
                <c:pt idx="3">
                  <c:v>43.43</c:v>
                </c:pt>
                <c:pt idx="4">
                  <c:v>42.854999999999997</c:v>
                </c:pt>
                <c:pt idx="5">
                  <c:v>41.874000000000002</c:v>
                </c:pt>
                <c:pt idx="6">
                  <c:v>41.472999999999999</c:v>
                </c:pt>
                <c:pt idx="7">
                  <c:v>41.375999999999998</c:v>
                </c:pt>
                <c:pt idx="8">
                  <c:v>41.613</c:v>
                </c:pt>
                <c:pt idx="9">
                  <c:v>42.154000000000003</c:v>
                </c:pt>
                <c:pt idx="10">
                  <c:v>43.293999999999997</c:v>
                </c:pt>
                <c:pt idx="11">
                  <c:v>43.975999999999999</c:v>
                </c:pt>
                <c:pt idx="12">
                  <c:v>44.484000000000002</c:v>
                </c:pt>
                <c:pt idx="13">
                  <c:v>44.783000000000001</c:v>
                </c:pt>
                <c:pt idx="14">
                  <c:v>44.878999999999998</c:v>
                </c:pt>
                <c:pt idx="15">
                  <c:v>44.707999999999998</c:v>
                </c:pt>
                <c:pt idx="16">
                  <c:v>44.503</c:v>
                </c:pt>
                <c:pt idx="17">
                  <c:v>44.201999999999998</c:v>
                </c:pt>
                <c:pt idx="18">
                  <c:v>43.811999999999998</c:v>
                </c:pt>
                <c:pt idx="19">
                  <c:v>43.345999999999997</c:v>
                </c:pt>
                <c:pt idx="20">
                  <c:v>42.7</c:v>
                </c:pt>
                <c:pt idx="21">
                  <c:v>42.256</c:v>
                </c:pt>
                <c:pt idx="22">
                  <c:v>41.908000000000001</c:v>
                </c:pt>
                <c:pt idx="23">
                  <c:v>41.664999999999999</c:v>
                </c:pt>
                <c:pt idx="24">
                  <c:v>41.53</c:v>
                </c:pt>
                <c:pt idx="25">
                  <c:v>41.496000000000002</c:v>
                </c:pt>
                <c:pt idx="26">
                  <c:v>41.58</c:v>
                </c:pt>
                <c:pt idx="27">
                  <c:v>41.777999999999999</c:v>
                </c:pt>
                <c:pt idx="28">
                  <c:v>42.091000000000001</c:v>
                </c:pt>
                <c:pt idx="29">
                  <c:v>42.506</c:v>
                </c:pt>
                <c:pt idx="30">
                  <c:v>43.143999999999998</c:v>
                </c:pt>
                <c:pt idx="31">
                  <c:v>43.567999999999998</c:v>
                </c:pt>
                <c:pt idx="32">
                  <c:v>43.895000000000003</c:v>
                </c:pt>
                <c:pt idx="33">
                  <c:v>44.110999999999997</c:v>
                </c:pt>
                <c:pt idx="34">
                  <c:v>44.226999999999997</c:v>
                </c:pt>
                <c:pt idx="35">
                  <c:v>44.137</c:v>
                </c:pt>
                <c:pt idx="36">
                  <c:v>44.231000000000002</c:v>
                </c:pt>
                <c:pt idx="37">
                  <c:v>44.402999999999999</c:v>
                </c:pt>
                <c:pt idx="38">
                  <c:v>44.665999999999997</c:v>
                </c:pt>
                <c:pt idx="39">
                  <c:v>45.006999999999998</c:v>
                </c:pt>
                <c:pt idx="40">
                  <c:v>45.533000000000001</c:v>
                </c:pt>
                <c:pt idx="41">
                  <c:v>45.86</c:v>
                </c:pt>
                <c:pt idx="42">
                  <c:v>46.093000000000004</c:v>
                </c:pt>
                <c:pt idx="43">
                  <c:v>46.216999999999999</c:v>
                </c:pt>
                <c:pt idx="44">
                  <c:v>46.241999999999997</c:v>
                </c:pt>
                <c:pt idx="45">
                  <c:v>46.098999999999997</c:v>
                </c:pt>
                <c:pt idx="46">
                  <c:v>46.036000000000001</c:v>
                </c:pt>
                <c:pt idx="47">
                  <c:v>45.985999999999997</c:v>
                </c:pt>
                <c:pt idx="48">
                  <c:v>45.954000000000001</c:v>
                </c:pt>
                <c:pt idx="49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4-4B94-BDC6-FDE2F22C8715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'Гондурас-Колвер'!$C$3:$C$116</c:f>
              <c:numCache>
                <c:formatCode>0.00</c:formatCode>
                <c:ptCount val="114"/>
                <c:pt idx="0">
                  <c:v>23.646999999999998</c:v>
                </c:pt>
                <c:pt idx="1">
                  <c:v>23.856999999999999</c:v>
                </c:pt>
                <c:pt idx="2">
                  <c:v>24.253</c:v>
                </c:pt>
                <c:pt idx="3">
                  <c:v>24.893000000000001</c:v>
                </c:pt>
                <c:pt idx="4">
                  <c:v>25.748000000000001</c:v>
                </c:pt>
                <c:pt idx="5">
                  <c:v>27.263999999999999</c:v>
                </c:pt>
                <c:pt idx="6">
                  <c:v>27.859000000000002</c:v>
                </c:pt>
                <c:pt idx="7">
                  <c:v>27.943000000000001</c:v>
                </c:pt>
                <c:pt idx="8">
                  <c:v>27.466999999999999</c:v>
                </c:pt>
                <c:pt idx="9">
                  <c:v>26.495000000000001</c:v>
                </c:pt>
                <c:pt idx="10">
                  <c:v>24.561</c:v>
                </c:pt>
                <c:pt idx="11">
                  <c:v>23.49</c:v>
                </c:pt>
                <c:pt idx="12">
                  <c:v>22.757000000000001</c:v>
                </c:pt>
                <c:pt idx="13">
                  <c:v>22.405999999999999</c:v>
                </c:pt>
                <c:pt idx="14">
                  <c:v>22.399000000000001</c:v>
                </c:pt>
                <c:pt idx="15">
                  <c:v>23.030999999999999</c:v>
                </c:pt>
                <c:pt idx="16">
                  <c:v>23.225000000000001</c:v>
                </c:pt>
                <c:pt idx="17">
                  <c:v>23.271999999999998</c:v>
                </c:pt>
                <c:pt idx="18">
                  <c:v>23.138999999999999</c:v>
                </c:pt>
                <c:pt idx="19">
                  <c:v>22.843</c:v>
                </c:pt>
                <c:pt idx="20">
                  <c:v>22.239000000000001</c:v>
                </c:pt>
                <c:pt idx="21">
                  <c:v>21.876999999999999</c:v>
                </c:pt>
                <c:pt idx="22">
                  <c:v>21.606000000000002</c:v>
                </c:pt>
                <c:pt idx="23">
                  <c:v>21.44</c:v>
                </c:pt>
                <c:pt idx="24">
                  <c:v>21.381</c:v>
                </c:pt>
                <c:pt idx="25">
                  <c:v>21.407</c:v>
                </c:pt>
                <c:pt idx="26">
                  <c:v>21.6</c:v>
                </c:pt>
                <c:pt idx="27">
                  <c:v>21.94</c:v>
                </c:pt>
                <c:pt idx="28">
                  <c:v>22.431000000000001</c:v>
                </c:pt>
                <c:pt idx="29">
                  <c:v>23.041</c:v>
                </c:pt>
                <c:pt idx="30">
                  <c:v>24.094000000000001</c:v>
                </c:pt>
                <c:pt idx="31">
                  <c:v>24.427</c:v>
                </c:pt>
                <c:pt idx="32">
                  <c:v>24.344999999999999</c:v>
                </c:pt>
                <c:pt idx="33">
                  <c:v>23.815999999999999</c:v>
                </c:pt>
                <c:pt idx="34">
                  <c:v>22.879000000000001</c:v>
                </c:pt>
                <c:pt idx="35">
                  <c:v>21.271000000000001</c:v>
                </c:pt>
                <c:pt idx="36">
                  <c:v>20.059000000000001</c:v>
                </c:pt>
                <c:pt idx="37">
                  <c:v>18.940999999999999</c:v>
                </c:pt>
                <c:pt idx="38">
                  <c:v>17.942</c:v>
                </c:pt>
                <c:pt idx="39">
                  <c:v>17.053999999999998</c:v>
                </c:pt>
                <c:pt idx="40">
                  <c:v>16.297000000000001</c:v>
                </c:pt>
                <c:pt idx="41">
                  <c:v>15.568</c:v>
                </c:pt>
                <c:pt idx="42">
                  <c:v>14.891</c:v>
                </c:pt>
                <c:pt idx="43">
                  <c:v>14.262</c:v>
                </c:pt>
                <c:pt idx="44">
                  <c:v>13.683999999999999</c:v>
                </c:pt>
                <c:pt idx="45">
                  <c:v>13.111000000000001</c:v>
                </c:pt>
                <c:pt idx="46">
                  <c:v>12.702</c:v>
                </c:pt>
                <c:pt idx="47">
                  <c:v>12.409000000000001</c:v>
                </c:pt>
                <c:pt idx="48">
                  <c:v>12.227</c:v>
                </c:pt>
                <c:pt idx="49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34-4B94-BDC6-FDE2F22C8715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'Гондурас-Колвер'!$D$3:$D$116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34-4B94-BDC6-FDE2F22C8715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'Гондурас-Колвер'!$E$3:$E$116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C34-4B94-BDC6-FDE2F22C8715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'Гондурас-Колвер'!$F$3:$F$116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17.106999999999996</c:v>
                </c:pt>
                <c:pt idx="5">
                  <c:v>14.610000000000003</c:v>
                </c:pt>
                <c:pt idx="6">
                  <c:v>13.613999999999997</c:v>
                </c:pt>
                <c:pt idx="7">
                  <c:v>13.432999999999996</c:v>
                </c:pt>
                <c:pt idx="8">
                  <c:v>14.146000000000001</c:v>
                </c:pt>
                <c:pt idx="9">
                  <c:v>15.659000000000002</c:v>
                </c:pt>
                <c:pt idx="10">
                  <c:v>18.732999999999997</c:v>
                </c:pt>
                <c:pt idx="11">
                  <c:v>20.486000000000001</c:v>
                </c:pt>
                <c:pt idx="12">
                  <c:v>21.727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20.672999999999998</c:v>
                </c:pt>
                <c:pt idx="19">
                  <c:v>20.502999999999997</c:v>
                </c:pt>
                <c:pt idx="20">
                  <c:v>20.461000000000002</c:v>
                </c:pt>
                <c:pt idx="21">
                  <c:v>20.379000000000001</c:v>
                </c:pt>
                <c:pt idx="22">
                  <c:v>20.302</c:v>
                </c:pt>
                <c:pt idx="23">
                  <c:v>20.224999999999998</c:v>
                </c:pt>
                <c:pt idx="24">
                  <c:v>20.149000000000001</c:v>
                </c:pt>
                <c:pt idx="25">
                  <c:v>20.089000000000002</c:v>
                </c:pt>
                <c:pt idx="26">
                  <c:v>19.979999999999997</c:v>
                </c:pt>
                <c:pt idx="27">
                  <c:v>19.837999999999997</c:v>
                </c:pt>
                <c:pt idx="28">
                  <c:v>19.66</c:v>
                </c:pt>
                <c:pt idx="29">
                  <c:v>19.465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20.294999999999998</c:v>
                </c:pt>
                <c:pt idx="34">
                  <c:v>21.347999999999995</c:v>
                </c:pt>
                <c:pt idx="35">
                  <c:v>22.866</c:v>
                </c:pt>
                <c:pt idx="36">
                  <c:v>24.172000000000001</c:v>
                </c:pt>
                <c:pt idx="37">
                  <c:v>25.462</c:v>
                </c:pt>
                <c:pt idx="38">
                  <c:v>26.723999999999997</c:v>
                </c:pt>
                <c:pt idx="39">
                  <c:v>27.952999999999999</c:v>
                </c:pt>
                <c:pt idx="40">
                  <c:v>29.236000000000001</c:v>
                </c:pt>
                <c:pt idx="41">
                  <c:v>30.292000000000002</c:v>
                </c:pt>
                <c:pt idx="42">
                  <c:v>31.202000000000005</c:v>
                </c:pt>
                <c:pt idx="43">
                  <c:v>31.954999999999998</c:v>
                </c:pt>
                <c:pt idx="44">
                  <c:v>32.558</c:v>
                </c:pt>
                <c:pt idx="45">
                  <c:v>32.988</c:v>
                </c:pt>
                <c:pt idx="46">
                  <c:v>33.334000000000003</c:v>
                </c:pt>
                <c:pt idx="47">
                  <c:v>33.576999999999998</c:v>
                </c:pt>
                <c:pt idx="48">
                  <c:v>33.727000000000004</c:v>
                </c:pt>
                <c:pt idx="49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C34-4B94-BDC6-FDE2F22C8715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ер2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'Гондурас-Колвер'!$G$3:$G$116</c:f>
              <c:numCache>
                <c:formatCode>General</c:formatCode>
                <c:ptCount val="114"/>
                <c:pt idx="40" formatCode="0.0">
                  <c:v>26.8</c:v>
                </c:pt>
                <c:pt idx="41" formatCode="0.0">
                  <c:v>27.299999999999997</c:v>
                </c:pt>
                <c:pt idx="42" formatCode="0.0">
                  <c:v>27.699999999999996</c:v>
                </c:pt>
                <c:pt idx="43" formatCode="0.0">
                  <c:v>28.1</c:v>
                </c:pt>
                <c:pt idx="44" formatCode="0.0">
                  <c:v>28.5</c:v>
                </c:pt>
                <c:pt idx="45" formatCode="0.0">
                  <c:v>28.900000000000002</c:v>
                </c:pt>
                <c:pt idx="46" formatCode="0.0">
                  <c:v>29.200000000000003</c:v>
                </c:pt>
                <c:pt idx="47" formatCode="0.0">
                  <c:v>29.499999999999996</c:v>
                </c:pt>
                <c:pt idx="48" formatCode="0.0">
                  <c:v>29.799999999999997</c:v>
                </c:pt>
                <c:pt idx="49" formatCode="0.0">
                  <c:v>30.099999999999998</c:v>
                </c:pt>
                <c:pt idx="50" formatCode="0.0">
                  <c:v>30.299999999999997</c:v>
                </c:pt>
                <c:pt idx="51" formatCode="0.0">
                  <c:v>30.5</c:v>
                </c:pt>
                <c:pt idx="52" formatCode="0.0">
                  <c:v>30.900000000000002</c:v>
                </c:pt>
                <c:pt idx="53" formatCode="0.0">
                  <c:v>31.1</c:v>
                </c:pt>
                <c:pt idx="54" formatCode="0.0">
                  <c:v>31.5</c:v>
                </c:pt>
                <c:pt idx="55" formatCode="0.0">
                  <c:v>31.800000000000004</c:v>
                </c:pt>
                <c:pt idx="56" formatCode="0.0">
                  <c:v>31.999999999999996</c:v>
                </c:pt>
                <c:pt idx="57" formatCode="0.0">
                  <c:v>32.200000000000003</c:v>
                </c:pt>
                <c:pt idx="58" formatCode="0.0">
                  <c:v>32.400000000000006</c:v>
                </c:pt>
                <c:pt idx="59" formatCode="0.0">
                  <c:v>32.700000000000003</c:v>
                </c:pt>
                <c:pt idx="60" formatCode="0.0">
                  <c:v>33.099999999999994</c:v>
                </c:pt>
                <c:pt idx="61" formatCode="0.0">
                  <c:v>33.400000000000006</c:v>
                </c:pt>
                <c:pt idx="62" formatCode="0.0">
                  <c:v>33.700000000000003</c:v>
                </c:pt>
                <c:pt idx="63" formatCode="0.0">
                  <c:v>33</c:v>
                </c:pt>
                <c:pt idx="64" formatCode="0.0">
                  <c:v>31.599999999999998</c:v>
                </c:pt>
                <c:pt idx="65" formatCode="0.0">
                  <c:v>34.9</c:v>
                </c:pt>
                <c:pt idx="66" formatCode="0.0">
                  <c:v>35.1</c:v>
                </c:pt>
                <c:pt idx="67" formatCode="0.0">
                  <c:v>35.1</c:v>
                </c:pt>
                <c:pt idx="68" formatCode="0.0">
                  <c:v>35</c:v>
                </c:pt>
                <c:pt idx="69" formatCode="0.0">
                  <c:v>34.9</c:v>
                </c:pt>
                <c:pt idx="70" formatCode="0.0">
                  <c:v>34.599999999999994</c:v>
                </c:pt>
                <c:pt idx="71" formatCode="0.0">
                  <c:v>34.300000000000004</c:v>
                </c:pt>
                <c:pt idx="72" formatCode="0.0">
                  <c:v>34</c:v>
                </c:pt>
                <c:pt idx="73" formatCode="0.0">
                  <c:v>33.700000000000003</c:v>
                </c:pt>
                <c:pt idx="74" formatCode="0.0">
                  <c:v>33.299999999999997</c:v>
                </c:pt>
                <c:pt idx="75" formatCode="0.0">
                  <c:v>32.900000000000006</c:v>
                </c:pt>
                <c:pt idx="76" formatCode="0.0">
                  <c:v>32.5</c:v>
                </c:pt>
                <c:pt idx="77" formatCode="0.0">
                  <c:v>32.1</c:v>
                </c:pt>
                <c:pt idx="78" formatCode="0.0">
                  <c:v>31.699999999999996</c:v>
                </c:pt>
                <c:pt idx="79" formatCode="0.0">
                  <c:v>31.499999999999996</c:v>
                </c:pt>
                <c:pt idx="80" formatCode="0.0">
                  <c:v>31.5</c:v>
                </c:pt>
                <c:pt idx="81" formatCode="0.0">
                  <c:v>31.400000000000002</c:v>
                </c:pt>
                <c:pt idx="82" formatCode="0.0">
                  <c:v>31.299999999999997</c:v>
                </c:pt>
                <c:pt idx="83" formatCode="0.0">
                  <c:v>31.300000000000004</c:v>
                </c:pt>
                <c:pt idx="84" formatCode="0.0">
                  <c:v>31.099999999999998</c:v>
                </c:pt>
                <c:pt idx="85" formatCode="0.0">
                  <c:v>30.9</c:v>
                </c:pt>
                <c:pt idx="86" formatCode="0.0">
                  <c:v>30.499999999999996</c:v>
                </c:pt>
                <c:pt idx="87" formatCode="0.0">
                  <c:v>30.1</c:v>
                </c:pt>
                <c:pt idx="88" formatCode="0.0">
                  <c:v>27.200000000000003</c:v>
                </c:pt>
                <c:pt idx="89" formatCode="0.0">
                  <c:v>29.200000000000003</c:v>
                </c:pt>
                <c:pt idx="90" formatCode="0.0">
                  <c:v>29.000000000000004</c:v>
                </c:pt>
                <c:pt idx="91" formatCode="0.0">
                  <c:v>28.299999999999997</c:v>
                </c:pt>
                <c:pt idx="92" formatCode="0.0">
                  <c:v>27.4</c:v>
                </c:pt>
                <c:pt idx="93" formatCode="0.0">
                  <c:v>26.4</c:v>
                </c:pt>
                <c:pt idx="94" formatCode="0.0">
                  <c:v>25.6</c:v>
                </c:pt>
                <c:pt idx="95" formatCode="0.0">
                  <c:v>24.8</c:v>
                </c:pt>
                <c:pt idx="96" formatCode="0.0">
                  <c:v>23.9</c:v>
                </c:pt>
                <c:pt idx="97" formatCode="0.0">
                  <c:v>23.3</c:v>
                </c:pt>
                <c:pt idx="98" formatCode="0.0">
                  <c:v>22.8</c:v>
                </c:pt>
                <c:pt idx="99" formatCode="0.0">
                  <c:v>22.3</c:v>
                </c:pt>
                <c:pt idx="100" formatCode="0.0">
                  <c:v>21.5</c:v>
                </c:pt>
                <c:pt idx="101" formatCode="0.0">
                  <c:v>21.1</c:v>
                </c:pt>
                <c:pt idx="102" formatCode="0.0">
                  <c:v>20.700000000000003</c:v>
                </c:pt>
                <c:pt idx="103" formatCode="0.0">
                  <c:v>20.200000000000003</c:v>
                </c:pt>
                <c:pt idx="104" formatCode="0.0">
                  <c:v>19.899999999999999</c:v>
                </c:pt>
                <c:pt idx="105" formatCode="0.0">
                  <c:v>19.600000000000001</c:v>
                </c:pt>
                <c:pt idx="106" formatCode="0.0">
                  <c:v>19.399999999999999</c:v>
                </c:pt>
                <c:pt idx="107" formatCode="0.0">
                  <c:v>19.100000000000001</c:v>
                </c:pt>
                <c:pt idx="108" formatCode="0.0">
                  <c:v>18.899999999999999</c:v>
                </c:pt>
                <c:pt idx="109" formatCode="0.0">
                  <c:v>18.600000000000001</c:v>
                </c:pt>
                <c:pt idx="110" formatCode="0.0">
                  <c:v>17.700000000000003</c:v>
                </c:pt>
                <c:pt idx="111" formatCode="0.0">
                  <c:v>16.8</c:v>
                </c:pt>
                <c:pt idx="112" formatCode="0.0">
                  <c:v>17.799999999999997</c:v>
                </c:pt>
                <c:pt idx="11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C34-4B94-BDC6-FDE2F22C8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679656"/>
        <c:axId val="805678344"/>
      </c:scatterChart>
      <c:valAx>
        <c:axId val="80567965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8344"/>
        <c:crosses val="autoZero"/>
        <c:crossBetween val="midCat"/>
        <c:majorUnit val="10"/>
      </c:valAx>
      <c:valAx>
        <c:axId val="805678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9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992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</a:t>
            </a:r>
            <a:r>
              <a:rPr lang="ru-RU" baseline="0"/>
              <a:t> республика </a:t>
            </a:r>
            <a:r>
              <a:rPr lang="en-US" baseline="0"/>
              <a:t>(WPP)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'Доминиканская республика'!$B$3:$B$76</c:f>
              <c:numCache>
                <c:formatCode>0.0</c:formatCode>
                <c:ptCount val="74"/>
                <c:pt idx="0">
                  <c:v>53.1</c:v>
                </c:pt>
                <c:pt idx="1">
                  <c:v>53.4</c:v>
                </c:pt>
                <c:pt idx="2">
                  <c:v>53.9</c:v>
                </c:pt>
                <c:pt idx="3">
                  <c:v>54.2</c:v>
                </c:pt>
                <c:pt idx="4">
                  <c:v>54.4</c:v>
                </c:pt>
                <c:pt idx="5">
                  <c:v>54.4</c:v>
                </c:pt>
                <c:pt idx="6">
                  <c:v>54.2</c:v>
                </c:pt>
                <c:pt idx="7">
                  <c:v>53.9</c:v>
                </c:pt>
                <c:pt idx="8">
                  <c:v>53.4</c:v>
                </c:pt>
                <c:pt idx="9">
                  <c:v>52.8</c:v>
                </c:pt>
                <c:pt idx="10">
                  <c:v>52</c:v>
                </c:pt>
                <c:pt idx="11">
                  <c:v>51.2</c:v>
                </c:pt>
                <c:pt idx="12">
                  <c:v>50.2</c:v>
                </c:pt>
                <c:pt idx="13">
                  <c:v>49.2</c:v>
                </c:pt>
                <c:pt idx="14">
                  <c:v>48.1</c:v>
                </c:pt>
                <c:pt idx="15">
                  <c:v>47</c:v>
                </c:pt>
                <c:pt idx="16">
                  <c:v>46.2</c:v>
                </c:pt>
                <c:pt idx="17">
                  <c:v>45</c:v>
                </c:pt>
                <c:pt idx="18">
                  <c:v>43.6</c:v>
                </c:pt>
                <c:pt idx="19">
                  <c:v>42.7</c:v>
                </c:pt>
                <c:pt idx="20">
                  <c:v>41.9</c:v>
                </c:pt>
                <c:pt idx="21">
                  <c:v>41.2</c:v>
                </c:pt>
                <c:pt idx="22">
                  <c:v>40.6</c:v>
                </c:pt>
                <c:pt idx="23">
                  <c:v>40</c:v>
                </c:pt>
                <c:pt idx="24">
                  <c:v>39.1</c:v>
                </c:pt>
                <c:pt idx="25">
                  <c:v>38.4</c:v>
                </c:pt>
                <c:pt idx="26">
                  <c:v>37.700000000000003</c:v>
                </c:pt>
                <c:pt idx="27">
                  <c:v>37</c:v>
                </c:pt>
                <c:pt idx="28">
                  <c:v>36.299999999999997</c:v>
                </c:pt>
                <c:pt idx="29">
                  <c:v>35.799999999999997</c:v>
                </c:pt>
                <c:pt idx="30">
                  <c:v>35.1</c:v>
                </c:pt>
                <c:pt idx="31">
                  <c:v>34.4</c:v>
                </c:pt>
                <c:pt idx="32">
                  <c:v>33.799999999999997</c:v>
                </c:pt>
                <c:pt idx="33">
                  <c:v>33.6</c:v>
                </c:pt>
                <c:pt idx="34">
                  <c:v>33</c:v>
                </c:pt>
                <c:pt idx="35">
                  <c:v>32.200000000000003</c:v>
                </c:pt>
                <c:pt idx="36">
                  <c:v>31.8</c:v>
                </c:pt>
                <c:pt idx="37">
                  <c:v>31.4</c:v>
                </c:pt>
                <c:pt idx="38">
                  <c:v>31.3</c:v>
                </c:pt>
                <c:pt idx="39">
                  <c:v>31.2</c:v>
                </c:pt>
                <c:pt idx="40">
                  <c:v>30.8</c:v>
                </c:pt>
                <c:pt idx="41">
                  <c:v>30.2</c:v>
                </c:pt>
                <c:pt idx="42">
                  <c:v>29.7</c:v>
                </c:pt>
                <c:pt idx="43">
                  <c:v>29.1</c:v>
                </c:pt>
                <c:pt idx="44">
                  <c:v>28.5</c:v>
                </c:pt>
                <c:pt idx="45">
                  <c:v>27.9</c:v>
                </c:pt>
                <c:pt idx="46">
                  <c:v>27.3</c:v>
                </c:pt>
                <c:pt idx="47">
                  <c:v>26.2</c:v>
                </c:pt>
                <c:pt idx="48">
                  <c:v>25.3</c:v>
                </c:pt>
                <c:pt idx="49">
                  <c:v>25.4</c:v>
                </c:pt>
                <c:pt idx="50">
                  <c:v>25.6</c:v>
                </c:pt>
                <c:pt idx="51">
                  <c:v>25.1</c:v>
                </c:pt>
                <c:pt idx="52">
                  <c:v>24.4</c:v>
                </c:pt>
                <c:pt idx="53">
                  <c:v>23.7</c:v>
                </c:pt>
                <c:pt idx="54">
                  <c:v>23.1</c:v>
                </c:pt>
                <c:pt idx="55">
                  <c:v>22.5</c:v>
                </c:pt>
                <c:pt idx="56">
                  <c:v>21.9</c:v>
                </c:pt>
                <c:pt idx="57">
                  <c:v>21.8</c:v>
                </c:pt>
                <c:pt idx="58">
                  <c:v>22.1</c:v>
                </c:pt>
                <c:pt idx="59">
                  <c:v>22.3</c:v>
                </c:pt>
                <c:pt idx="60">
                  <c:v>22.2</c:v>
                </c:pt>
                <c:pt idx="61">
                  <c:v>21.9</c:v>
                </c:pt>
                <c:pt idx="62">
                  <c:v>21.5</c:v>
                </c:pt>
                <c:pt idx="63">
                  <c:v>21.2</c:v>
                </c:pt>
                <c:pt idx="64">
                  <c:v>20.8</c:v>
                </c:pt>
                <c:pt idx="65">
                  <c:v>20.5</c:v>
                </c:pt>
                <c:pt idx="66">
                  <c:v>20.2</c:v>
                </c:pt>
                <c:pt idx="67">
                  <c:v>20</c:v>
                </c:pt>
                <c:pt idx="68">
                  <c:v>19.8</c:v>
                </c:pt>
                <c:pt idx="69">
                  <c:v>19.399999999999999</c:v>
                </c:pt>
                <c:pt idx="70">
                  <c:v>19</c:v>
                </c:pt>
                <c:pt idx="71">
                  <c:v>18.600000000000001</c:v>
                </c:pt>
                <c:pt idx="72">
                  <c:v>18.3</c:v>
                </c:pt>
                <c:pt idx="73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2D-470A-8B43-2ED8FE206EDD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'Доминиканская республика'!$C$3:$C$76</c:f>
              <c:numCache>
                <c:formatCode>0.0</c:formatCode>
                <c:ptCount val="74"/>
                <c:pt idx="0">
                  <c:v>21.8</c:v>
                </c:pt>
                <c:pt idx="1">
                  <c:v>21.3</c:v>
                </c:pt>
                <c:pt idx="2">
                  <c:v>20.7</c:v>
                </c:pt>
                <c:pt idx="3">
                  <c:v>20.2</c:v>
                </c:pt>
                <c:pt idx="4">
                  <c:v>19.7</c:v>
                </c:pt>
                <c:pt idx="5">
                  <c:v>19.100000000000001</c:v>
                </c:pt>
                <c:pt idx="6">
                  <c:v>18.5</c:v>
                </c:pt>
                <c:pt idx="7">
                  <c:v>17.899999999999999</c:v>
                </c:pt>
                <c:pt idx="8">
                  <c:v>17.3</c:v>
                </c:pt>
                <c:pt idx="9">
                  <c:v>16.7</c:v>
                </c:pt>
                <c:pt idx="10">
                  <c:v>16.100000000000001</c:v>
                </c:pt>
                <c:pt idx="11">
                  <c:v>15.5</c:v>
                </c:pt>
                <c:pt idx="12">
                  <c:v>14.9</c:v>
                </c:pt>
                <c:pt idx="13">
                  <c:v>14.3</c:v>
                </c:pt>
                <c:pt idx="14">
                  <c:v>13.6</c:v>
                </c:pt>
                <c:pt idx="15">
                  <c:v>14.1</c:v>
                </c:pt>
                <c:pt idx="16">
                  <c:v>12.6</c:v>
                </c:pt>
                <c:pt idx="17">
                  <c:v>12</c:v>
                </c:pt>
                <c:pt idx="18">
                  <c:v>11.5</c:v>
                </c:pt>
                <c:pt idx="19">
                  <c:v>11</c:v>
                </c:pt>
                <c:pt idx="20">
                  <c:v>10.6</c:v>
                </c:pt>
                <c:pt idx="21">
                  <c:v>10.199999999999999</c:v>
                </c:pt>
                <c:pt idx="22">
                  <c:v>9.8000000000000007</c:v>
                </c:pt>
                <c:pt idx="23">
                  <c:v>9.4</c:v>
                </c:pt>
                <c:pt idx="24">
                  <c:v>9.1</c:v>
                </c:pt>
                <c:pt idx="25">
                  <c:v>8.8000000000000007</c:v>
                </c:pt>
                <c:pt idx="26">
                  <c:v>8.5</c:v>
                </c:pt>
                <c:pt idx="27">
                  <c:v>8.1999999999999993</c:v>
                </c:pt>
                <c:pt idx="28">
                  <c:v>8</c:v>
                </c:pt>
                <c:pt idx="29">
                  <c:v>8.1</c:v>
                </c:pt>
                <c:pt idx="30">
                  <c:v>7.6</c:v>
                </c:pt>
                <c:pt idx="31">
                  <c:v>7.4</c:v>
                </c:pt>
                <c:pt idx="32">
                  <c:v>7.2</c:v>
                </c:pt>
                <c:pt idx="33">
                  <c:v>7.1</c:v>
                </c:pt>
                <c:pt idx="34">
                  <c:v>6.9</c:v>
                </c:pt>
                <c:pt idx="35">
                  <c:v>6.7</c:v>
                </c:pt>
                <c:pt idx="36">
                  <c:v>6.5</c:v>
                </c:pt>
                <c:pt idx="37">
                  <c:v>6.4</c:v>
                </c:pt>
                <c:pt idx="38">
                  <c:v>6.3</c:v>
                </c:pt>
                <c:pt idx="39">
                  <c:v>6.2</c:v>
                </c:pt>
                <c:pt idx="40">
                  <c:v>6.1</c:v>
                </c:pt>
                <c:pt idx="41">
                  <c:v>5.9</c:v>
                </c:pt>
                <c:pt idx="42">
                  <c:v>5.8</c:v>
                </c:pt>
                <c:pt idx="43">
                  <c:v>5.8</c:v>
                </c:pt>
                <c:pt idx="44">
                  <c:v>5.7</c:v>
                </c:pt>
                <c:pt idx="45">
                  <c:v>5.6</c:v>
                </c:pt>
                <c:pt idx="46">
                  <c:v>5.6</c:v>
                </c:pt>
                <c:pt idx="47">
                  <c:v>5.6</c:v>
                </c:pt>
                <c:pt idx="48">
                  <c:v>5.6</c:v>
                </c:pt>
                <c:pt idx="49">
                  <c:v>5.5</c:v>
                </c:pt>
                <c:pt idx="50">
                  <c:v>5.6</c:v>
                </c:pt>
                <c:pt idx="51">
                  <c:v>5.6</c:v>
                </c:pt>
                <c:pt idx="52">
                  <c:v>5.5</c:v>
                </c:pt>
                <c:pt idx="53">
                  <c:v>5.6</c:v>
                </c:pt>
                <c:pt idx="54">
                  <c:v>5.7</c:v>
                </c:pt>
                <c:pt idx="55">
                  <c:v>5.6</c:v>
                </c:pt>
                <c:pt idx="56">
                  <c:v>5.7</c:v>
                </c:pt>
                <c:pt idx="57">
                  <c:v>5.7</c:v>
                </c:pt>
                <c:pt idx="58">
                  <c:v>5.8</c:v>
                </c:pt>
                <c:pt idx="59">
                  <c:v>5.7</c:v>
                </c:pt>
                <c:pt idx="60">
                  <c:v>5.7</c:v>
                </c:pt>
                <c:pt idx="61">
                  <c:v>5.6</c:v>
                </c:pt>
                <c:pt idx="62">
                  <c:v>5.5</c:v>
                </c:pt>
                <c:pt idx="63">
                  <c:v>5.5</c:v>
                </c:pt>
                <c:pt idx="64">
                  <c:v>5.6</c:v>
                </c:pt>
                <c:pt idx="65">
                  <c:v>5.8</c:v>
                </c:pt>
                <c:pt idx="66">
                  <c:v>5.9</c:v>
                </c:pt>
                <c:pt idx="67">
                  <c:v>5.8</c:v>
                </c:pt>
                <c:pt idx="68">
                  <c:v>5.9</c:v>
                </c:pt>
                <c:pt idx="69">
                  <c:v>6.1</c:v>
                </c:pt>
                <c:pt idx="70">
                  <c:v>6.5</c:v>
                </c:pt>
                <c:pt idx="71">
                  <c:v>7</c:v>
                </c:pt>
                <c:pt idx="72">
                  <c:v>5.9</c:v>
                </c:pt>
                <c:pt idx="73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2D-470A-8B43-2ED8FE206EDD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'Доминиканская республика'!$D$3:$D$76</c:f>
              <c:numCache>
                <c:formatCode>0.0</c:formatCode>
                <c:ptCount val="74"/>
                <c:pt idx="0">
                  <c:v>31.3</c:v>
                </c:pt>
                <c:pt idx="1">
                  <c:v>32.099999999999994</c:v>
                </c:pt>
                <c:pt idx="2">
                  <c:v>33.200000000000003</c:v>
                </c:pt>
                <c:pt idx="3">
                  <c:v>34</c:v>
                </c:pt>
                <c:pt idx="4">
                  <c:v>34.700000000000003</c:v>
                </c:pt>
                <c:pt idx="5">
                  <c:v>35.299999999999997</c:v>
                </c:pt>
                <c:pt idx="6">
                  <c:v>35.700000000000003</c:v>
                </c:pt>
                <c:pt idx="7">
                  <c:v>36</c:v>
                </c:pt>
                <c:pt idx="8">
                  <c:v>36.099999999999994</c:v>
                </c:pt>
                <c:pt idx="9">
                  <c:v>36.099999999999994</c:v>
                </c:pt>
                <c:pt idx="10">
                  <c:v>35.9</c:v>
                </c:pt>
                <c:pt idx="11">
                  <c:v>35.700000000000003</c:v>
                </c:pt>
                <c:pt idx="12">
                  <c:v>35.300000000000004</c:v>
                </c:pt>
                <c:pt idx="13">
                  <c:v>34.900000000000006</c:v>
                </c:pt>
                <c:pt idx="14">
                  <c:v>34.5</c:v>
                </c:pt>
                <c:pt idx="15">
                  <c:v>32.9</c:v>
                </c:pt>
                <c:pt idx="16">
                  <c:v>33.6</c:v>
                </c:pt>
                <c:pt idx="17">
                  <c:v>33</c:v>
                </c:pt>
                <c:pt idx="18">
                  <c:v>32.1</c:v>
                </c:pt>
                <c:pt idx="19">
                  <c:v>31.700000000000003</c:v>
                </c:pt>
                <c:pt idx="20">
                  <c:v>31.299999999999997</c:v>
                </c:pt>
                <c:pt idx="21">
                  <c:v>31.000000000000004</c:v>
                </c:pt>
                <c:pt idx="22">
                  <c:v>30.8</c:v>
                </c:pt>
                <c:pt idx="23">
                  <c:v>30.6</c:v>
                </c:pt>
                <c:pt idx="24">
                  <c:v>30</c:v>
                </c:pt>
                <c:pt idx="25">
                  <c:v>29.599999999999998</c:v>
                </c:pt>
                <c:pt idx="26">
                  <c:v>29.200000000000003</c:v>
                </c:pt>
                <c:pt idx="27">
                  <c:v>28.8</c:v>
                </c:pt>
                <c:pt idx="28">
                  <c:v>28.299999999999997</c:v>
                </c:pt>
                <c:pt idx="29">
                  <c:v>27.699999999999996</c:v>
                </c:pt>
                <c:pt idx="30">
                  <c:v>27.5</c:v>
                </c:pt>
                <c:pt idx="31">
                  <c:v>27</c:v>
                </c:pt>
                <c:pt idx="32">
                  <c:v>26.599999999999998</c:v>
                </c:pt>
                <c:pt idx="33">
                  <c:v>26.5</c:v>
                </c:pt>
                <c:pt idx="34">
                  <c:v>26.1</c:v>
                </c:pt>
                <c:pt idx="35">
                  <c:v>25.500000000000004</c:v>
                </c:pt>
                <c:pt idx="36">
                  <c:v>25.3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24.700000000000003</c:v>
                </c:pt>
                <c:pt idx="41">
                  <c:v>24.299999999999997</c:v>
                </c:pt>
                <c:pt idx="42">
                  <c:v>23.9</c:v>
                </c:pt>
                <c:pt idx="43">
                  <c:v>23.3</c:v>
                </c:pt>
                <c:pt idx="44">
                  <c:v>22.8</c:v>
                </c:pt>
                <c:pt idx="45">
                  <c:v>22.299999999999997</c:v>
                </c:pt>
                <c:pt idx="46">
                  <c:v>21.700000000000003</c:v>
                </c:pt>
                <c:pt idx="47">
                  <c:v>20.6</c:v>
                </c:pt>
                <c:pt idx="48">
                  <c:v>19.700000000000003</c:v>
                </c:pt>
                <c:pt idx="49">
                  <c:v>19.899999999999999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17.400000000000002</c:v>
                </c:pt>
                <c:pt idx="55">
                  <c:v>16.899999999999999</c:v>
                </c:pt>
                <c:pt idx="56">
                  <c:v>16.2</c:v>
                </c:pt>
                <c:pt idx="57">
                  <c:v>16.100000000000001</c:v>
                </c:pt>
                <c:pt idx="58">
                  <c:v>16.3</c:v>
                </c:pt>
                <c:pt idx="59">
                  <c:v>16.600000000000001</c:v>
                </c:pt>
                <c:pt idx="60">
                  <c:v>16.5</c:v>
                </c:pt>
                <c:pt idx="61">
                  <c:v>16.299999999999997</c:v>
                </c:pt>
                <c:pt idx="62">
                  <c:v>16</c:v>
                </c:pt>
                <c:pt idx="63">
                  <c:v>15.7</c:v>
                </c:pt>
                <c:pt idx="64">
                  <c:v>15.200000000000001</c:v>
                </c:pt>
                <c:pt idx="65">
                  <c:v>14.7</c:v>
                </c:pt>
                <c:pt idx="66">
                  <c:v>14.299999999999999</c:v>
                </c:pt>
                <c:pt idx="67">
                  <c:v>14.2</c:v>
                </c:pt>
                <c:pt idx="68">
                  <c:v>13.9</c:v>
                </c:pt>
                <c:pt idx="69">
                  <c:v>13.299999999999999</c:v>
                </c:pt>
                <c:pt idx="70">
                  <c:v>12.5</c:v>
                </c:pt>
                <c:pt idx="71">
                  <c:v>11.600000000000001</c:v>
                </c:pt>
                <c:pt idx="72">
                  <c:v>12.4</c:v>
                </c:pt>
                <c:pt idx="73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2D-470A-8B43-2ED8FE206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2605823"/>
        <c:axId val="1922616863"/>
      </c:scatterChart>
      <c:valAx>
        <c:axId val="1922605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2616863"/>
        <c:crosses val="autoZero"/>
        <c:crossBetween val="midCat"/>
      </c:valAx>
      <c:valAx>
        <c:axId val="192261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2605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</a:t>
            </a:r>
            <a:r>
              <a:rPr lang="en-US"/>
              <a:t>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r>
              <a:rPr lang="en-US"/>
              <a:t> 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20002</xdr:colOff>
      <xdr:row>1</xdr:row>
      <xdr:rowOff>18096</xdr:rowOff>
    </xdr:from>
    <xdr:to>
      <xdr:col>29</xdr:col>
      <xdr:colOff>628650</xdr:colOff>
      <xdr:row>58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F92E4B-9042-4D6C-9AB9-0439EBFD5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11</xdr:row>
      <xdr:rowOff>176212</xdr:rowOff>
    </xdr:from>
    <xdr:to>
      <xdr:col>27</xdr:col>
      <xdr:colOff>609599</xdr:colOff>
      <xdr:row>69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1</xdr:row>
      <xdr:rowOff>14287</xdr:rowOff>
    </xdr:from>
    <xdr:to>
      <xdr:col>29</xdr:col>
      <xdr:colOff>600075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B5CDE0-E3DA-4554-AD32-DC221C6A0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10477</xdr:rowOff>
    </xdr:from>
    <xdr:to>
      <xdr:col>32</xdr:col>
      <xdr:colOff>619125</xdr:colOff>
      <xdr:row>56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659CCC-5DBB-70B8-DC6E-E31A8E268D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951</xdr:colOff>
      <xdr:row>2</xdr:row>
      <xdr:rowOff>179075</xdr:rowOff>
    </xdr:from>
    <xdr:to>
      <xdr:col>35</xdr:col>
      <xdr:colOff>19050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93"/>
  <sheetViews>
    <sheetView topLeftCell="A45" workbookViewId="0">
      <selection activeCell="A94" sqref="A94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139</v>
      </c>
    </row>
    <row r="75" spans="1:3" x14ac:dyDescent="0.55000000000000004">
      <c r="A75" t="s">
        <v>140</v>
      </c>
    </row>
    <row r="76" spans="1:3" x14ac:dyDescent="0.55000000000000004">
      <c r="B76" t="s">
        <v>150</v>
      </c>
    </row>
    <row r="77" spans="1:3" x14ac:dyDescent="0.55000000000000004">
      <c r="B77" t="s">
        <v>140</v>
      </c>
    </row>
    <row r="78" spans="1:3" x14ac:dyDescent="0.55000000000000004">
      <c r="C78" t="s">
        <v>141</v>
      </c>
    </row>
    <row r="79" spans="1:3" x14ac:dyDescent="0.55000000000000004">
      <c r="C79" t="s">
        <v>142</v>
      </c>
    </row>
    <row r="80" spans="1:3" x14ac:dyDescent="0.55000000000000004">
      <c r="C80" t="s">
        <v>143</v>
      </c>
    </row>
    <row r="81" spans="1:3" x14ac:dyDescent="0.55000000000000004">
      <c r="C81" t="s">
        <v>144</v>
      </c>
    </row>
    <row r="82" spans="1:3" x14ac:dyDescent="0.55000000000000004">
      <c r="C82" t="s">
        <v>145</v>
      </c>
    </row>
    <row r="83" spans="1:3" x14ac:dyDescent="0.55000000000000004">
      <c r="C83" t="s">
        <v>140</v>
      </c>
    </row>
    <row r="84" spans="1:3" x14ac:dyDescent="0.55000000000000004">
      <c r="C84" t="s">
        <v>146</v>
      </c>
    </row>
    <row r="85" spans="1:3" x14ac:dyDescent="0.55000000000000004">
      <c r="C85" t="s">
        <v>147</v>
      </c>
    </row>
    <row r="86" spans="1:3" x14ac:dyDescent="0.55000000000000004">
      <c r="C86" t="s">
        <v>148</v>
      </c>
    </row>
    <row r="88" spans="1:3" x14ac:dyDescent="0.55000000000000004">
      <c r="B88" t="s">
        <v>151</v>
      </c>
    </row>
    <row r="89" spans="1:3" x14ac:dyDescent="0.55000000000000004">
      <c r="B89" t="s">
        <v>149</v>
      </c>
    </row>
    <row r="91" spans="1:3" x14ac:dyDescent="0.55000000000000004">
      <c r="A91" t="s">
        <v>152</v>
      </c>
    </row>
    <row r="93" spans="1:3" x14ac:dyDescent="0.55000000000000004">
      <c r="A93" t="s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64" activePane="bottomRight" state="frozen"/>
      <selection pane="topRight" activeCell="B1" sqref="B1"/>
      <selection pane="bottomLeft" activeCell="A3" sqref="A3"/>
      <selection pane="bottomRight" activeCell="AF27" sqref="AF27:AG100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25" t="s">
        <v>20</v>
      </c>
      <c r="C1" s="25"/>
      <c r="D1" s="25" t="s">
        <v>21</v>
      </c>
      <c r="E1" s="25"/>
      <c r="F1" s="25" t="s">
        <v>22</v>
      </c>
      <c r="G1" s="25"/>
      <c r="H1" s="25" t="s">
        <v>23</v>
      </c>
      <c r="I1" s="25"/>
      <c r="J1" s="25" t="s">
        <v>24</v>
      </c>
      <c r="K1" s="25"/>
      <c r="L1" s="25" t="s">
        <v>25</v>
      </c>
      <c r="M1" s="25"/>
      <c r="N1" s="25" t="s">
        <v>26</v>
      </c>
      <c r="O1" s="25"/>
      <c r="P1" s="25" t="s">
        <v>27</v>
      </c>
      <c r="Q1" s="25"/>
      <c r="R1" s="25" t="s">
        <v>28</v>
      </c>
      <c r="S1" s="25"/>
      <c r="T1" s="25" t="s">
        <v>57</v>
      </c>
      <c r="U1" s="25"/>
      <c r="V1" s="25" t="s">
        <v>29</v>
      </c>
      <c r="W1" s="25"/>
      <c r="X1" s="25" t="s">
        <v>30</v>
      </c>
      <c r="Y1" s="25"/>
      <c r="Z1" s="25" t="s">
        <v>31</v>
      </c>
      <c r="AA1" s="25"/>
      <c r="AB1" s="25" t="s">
        <v>32</v>
      </c>
      <c r="AC1" s="25"/>
      <c r="AD1" s="25" t="s">
        <v>33</v>
      </c>
      <c r="AE1" s="25"/>
      <c r="AF1" s="19" t="s">
        <v>34</v>
      </c>
      <c r="AG1" s="19"/>
      <c r="AH1" s="25" t="s">
        <v>35</v>
      </c>
      <c r="AI1" s="25"/>
      <c r="AJ1" s="25" t="s">
        <v>36</v>
      </c>
      <c r="AK1" s="25"/>
      <c r="AL1" s="25" t="s">
        <v>93</v>
      </c>
      <c r="AM1" s="25"/>
    </row>
    <row r="2" spans="1:39" x14ac:dyDescent="0.55000000000000004">
      <c r="A2" s="20" t="s">
        <v>92</v>
      </c>
      <c r="B2" s="26" t="s">
        <v>1</v>
      </c>
      <c r="C2" s="26"/>
      <c r="D2" s="26" t="s">
        <v>2</v>
      </c>
      <c r="E2" s="26"/>
      <c r="F2" s="26" t="s">
        <v>3</v>
      </c>
      <c r="G2" s="26"/>
      <c r="H2" s="26" t="s">
        <v>4</v>
      </c>
      <c r="I2" s="26"/>
      <c r="J2" s="26" t="s">
        <v>5</v>
      </c>
      <c r="K2" s="26"/>
      <c r="L2" s="26" t="s">
        <v>6</v>
      </c>
      <c r="M2" s="26"/>
      <c r="N2" s="26" t="s">
        <v>7</v>
      </c>
      <c r="O2" s="26"/>
      <c r="P2" s="26" t="s">
        <v>8</v>
      </c>
      <c r="Q2" s="26"/>
      <c r="R2" s="26" t="s">
        <v>9</v>
      </c>
      <c r="S2" s="26"/>
      <c r="T2" s="26" t="s">
        <v>10</v>
      </c>
      <c r="U2" s="26"/>
      <c r="V2" s="26" t="s">
        <v>11</v>
      </c>
      <c r="W2" s="26"/>
      <c r="X2" s="26" t="s">
        <v>12</v>
      </c>
      <c r="Y2" s="26"/>
      <c r="Z2" s="26" t="s">
        <v>13</v>
      </c>
      <c r="AA2" s="26"/>
      <c r="AB2" s="26" t="s">
        <v>14</v>
      </c>
      <c r="AC2" s="26"/>
      <c r="AD2" s="26" t="s">
        <v>15</v>
      </c>
      <c r="AE2" s="26"/>
      <c r="AF2" s="26" t="s">
        <v>16</v>
      </c>
      <c r="AG2" s="26"/>
      <c r="AH2" s="26" t="s">
        <v>17</v>
      </c>
      <c r="AI2" s="26"/>
      <c r="AJ2" s="26" t="s">
        <v>18</v>
      </c>
      <c r="AK2" s="26"/>
      <c r="AL2" s="26" t="s">
        <v>19</v>
      </c>
      <c r="AM2" s="26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25" t="s">
        <v>20</v>
      </c>
      <c r="C1" s="25"/>
      <c r="D1" s="25" t="s">
        <v>21</v>
      </c>
      <c r="E1" s="25"/>
      <c r="F1" s="25" t="s">
        <v>22</v>
      </c>
      <c r="G1" s="25"/>
      <c r="H1" s="25" t="s">
        <v>23</v>
      </c>
      <c r="I1" s="25"/>
      <c r="J1" s="25" t="s">
        <v>24</v>
      </c>
      <c r="K1" s="25"/>
      <c r="L1" s="25" t="s">
        <v>25</v>
      </c>
      <c r="M1" s="25"/>
      <c r="N1" s="25" t="s">
        <v>26</v>
      </c>
      <c r="O1" s="25"/>
      <c r="P1" s="25" t="s">
        <v>27</v>
      </c>
      <c r="Q1" s="25"/>
      <c r="R1" s="25" t="s">
        <v>28</v>
      </c>
      <c r="S1" s="25"/>
      <c r="T1" s="25" t="s">
        <v>57</v>
      </c>
      <c r="U1" s="25"/>
      <c r="V1" s="25" t="s">
        <v>29</v>
      </c>
      <c r="W1" s="25"/>
      <c r="X1" s="25" t="s">
        <v>30</v>
      </c>
      <c r="Y1" s="25"/>
      <c r="Z1" s="25" t="s">
        <v>31</v>
      </c>
      <c r="AA1" s="25"/>
      <c r="AB1" s="25" t="s">
        <v>32</v>
      </c>
      <c r="AC1" s="25"/>
      <c r="AD1" s="25" t="s">
        <v>33</v>
      </c>
      <c r="AE1" s="25"/>
      <c r="AF1" s="19" t="s">
        <v>34</v>
      </c>
      <c r="AG1" s="19"/>
      <c r="AH1" s="25" t="s">
        <v>35</v>
      </c>
      <c r="AI1" s="25"/>
      <c r="AJ1" s="25" t="s">
        <v>36</v>
      </c>
      <c r="AK1" s="25"/>
      <c r="AL1" s="25" t="s">
        <v>93</v>
      </c>
      <c r="AM1" s="25"/>
    </row>
    <row r="2" spans="1:39" x14ac:dyDescent="0.55000000000000004">
      <c r="A2" s="20" t="s">
        <v>92</v>
      </c>
      <c r="B2" s="26" t="s">
        <v>1</v>
      </c>
      <c r="C2" s="26"/>
      <c r="D2" s="26" t="s">
        <v>2</v>
      </c>
      <c r="E2" s="26"/>
      <c r="F2" s="26" t="s">
        <v>3</v>
      </c>
      <c r="G2" s="26"/>
      <c r="H2" s="26" t="s">
        <v>4</v>
      </c>
      <c r="I2" s="26"/>
      <c r="J2" s="26" t="s">
        <v>5</v>
      </c>
      <c r="K2" s="26"/>
      <c r="L2" s="26" t="s">
        <v>6</v>
      </c>
      <c r="M2" s="26"/>
      <c r="N2" s="26" t="s">
        <v>7</v>
      </c>
      <c r="O2" s="26"/>
      <c r="P2" s="26" t="s">
        <v>8</v>
      </c>
      <c r="Q2" s="26"/>
      <c r="R2" s="26" t="s">
        <v>9</v>
      </c>
      <c r="S2" s="26"/>
      <c r="T2" s="26" t="s">
        <v>10</v>
      </c>
      <c r="U2" s="26"/>
      <c r="V2" s="26" t="s">
        <v>11</v>
      </c>
      <c r="W2" s="26"/>
      <c r="X2" s="26" t="s">
        <v>12</v>
      </c>
      <c r="Y2" s="26"/>
      <c r="Z2" s="26" t="s">
        <v>13</v>
      </c>
      <c r="AA2" s="26"/>
      <c r="AB2" s="26" t="s">
        <v>14</v>
      </c>
      <c r="AC2" s="26"/>
      <c r="AD2" s="26" t="s">
        <v>15</v>
      </c>
      <c r="AE2" s="26"/>
      <c r="AF2" s="26" t="s">
        <v>16</v>
      </c>
      <c r="AG2" s="26"/>
      <c r="AH2" s="26" t="s">
        <v>17</v>
      </c>
      <c r="AI2" s="26"/>
      <c r="AJ2" s="26" t="s">
        <v>18</v>
      </c>
      <c r="AK2" s="26"/>
      <c r="AL2" s="26" t="s">
        <v>19</v>
      </c>
      <c r="AM2" s="26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27" t="s">
        <v>115</v>
      </c>
      <c r="C1" s="27"/>
      <c r="D1" s="27" t="s">
        <v>75</v>
      </c>
      <c r="E1" s="27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86"/>
  <sheetViews>
    <sheetView topLeftCell="A13" workbookViewId="0">
      <selection activeCell="AG3" sqref="AG3:AG75"/>
    </sheetView>
  </sheetViews>
  <sheetFormatPr defaultRowHeight="14.4" x14ac:dyDescent="0.55000000000000004"/>
  <sheetData>
    <row r="1" spans="1:34" x14ac:dyDescent="0.55000000000000004">
      <c r="B1" s="27" t="s">
        <v>100</v>
      </c>
      <c r="C1" s="27"/>
      <c r="D1" s="27" t="s">
        <v>75</v>
      </c>
      <c r="E1" s="27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AF2" t="s">
        <v>73</v>
      </c>
      <c r="AG2" t="s">
        <v>154</v>
      </c>
      <c r="AH2" t="s">
        <v>155</v>
      </c>
    </row>
    <row r="3" spans="1:34" x14ac:dyDescent="0.55000000000000004">
      <c r="A3" s="1">
        <v>1940</v>
      </c>
      <c r="B3" s="21">
        <v>44.447000000000003</v>
      </c>
      <c r="C3" s="21">
        <v>20.672999999999998</v>
      </c>
      <c r="F3" s="21">
        <f>B3-C3</f>
        <v>23.774000000000004</v>
      </c>
      <c r="AF3">
        <v>1900</v>
      </c>
      <c r="AG3" s="29">
        <v>1766</v>
      </c>
      <c r="AH3" s="3">
        <f>1000 * (AG4/AG3 - 1)</f>
        <v>10.758776896942157</v>
      </c>
    </row>
    <row r="4" spans="1:34" x14ac:dyDescent="0.55000000000000004">
      <c r="A4" s="1">
        <v>1941</v>
      </c>
      <c r="B4" s="21">
        <v>44.607999999999997</v>
      </c>
      <c r="C4" s="21">
        <v>20.631</v>
      </c>
      <c r="F4" s="21">
        <f t="shared" ref="F4:F17" si="0">B4-C4</f>
        <v>23.976999999999997</v>
      </c>
      <c r="AF4">
        <f>AF3+1</f>
        <v>1901</v>
      </c>
      <c r="AG4" s="29">
        <v>1785</v>
      </c>
      <c r="AH4" s="3">
        <f t="shared" ref="AH4:AH67" si="1">1000 * (AG5/AG4 - 1)</f>
        <v>10.084033613445342</v>
      </c>
    </row>
    <row r="5" spans="1:34" x14ac:dyDescent="0.55000000000000004">
      <c r="A5" s="1">
        <v>1942</v>
      </c>
      <c r="B5" s="21">
        <v>44.91</v>
      </c>
      <c r="C5" s="21">
        <v>20.552</v>
      </c>
      <c r="F5" s="21">
        <f t="shared" si="0"/>
        <v>24.357999999999997</v>
      </c>
      <c r="AF5">
        <f t="shared" ref="AF5:AF68" si="2">AF4+1</f>
        <v>1902</v>
      </c>
      <c r="AG5" s="29">
        <v>1803</v>
      </c>
      <c r="AH5" s="3">
        <f t="shared" si="1"/>
        <v>10.537992235163607</v>
      </c>
    </row>
    <row r="6" spans="1:34" x14ac:dyDescent="0.55000000000000004">
      <c r="A6" s="1">
        <v>1943</v>
      </c>
      <c r="B6" s="21">
        <v>45.396999999999998</v>
      </c>
      <c r="C6" s="21">
        <v>20.425999999999998</v>
      </c>
      <c r="F6" s="21">
        <f t="shared" si="0"/>
        <v>24.971</v>
      </c>
      <c r="AF6">
        <f t="shared" si="2"/>
        <v>1903</v>
      </c>
      <c r="AG6" s="29">
        <v>1822</v>
      </c>
      <c r="AH6" s="3">
        <f t="shared" si="1"/>
        <v>9.8792535675082949</v>
      </c>
    </row>
    <row r="7" spans="1:34" x14ac:dyDescent="0.55000000000000004">
      <c r="A7" s="1">
        <v>1944</v>
      </c>
      <c r="B7" s="21">
        <v>46.04</v>
      </c>
      <c r="C7" s="21">
        <v>20.245000000000001</v>
      </c>
      <c r="F7" s="21">
        <f t="shared" si="0"/>
        <v>25.794999999999998</v>
      </c>
      <c r="AF7">
        <f t="shared" si="2"/>
        <v>1904</v>
      </c>
      <c r="AG7" s="29">
        <v>1840</v>
      </c>
      <c r="AH7" s="3">
        <f t="shared" si="1"/>
        <v>10.326086956521818</v>
      </c>
    </row>
    <row r="8" spans="1:34" x14ac:dyDescent="0.55000000000000004">
      <c r="A8" s="1">
        <v>1945</v>
      </c>
      <c r="B8" s="21">
        <v>47.201999999999998</v>
      </c>
      <c r="C8" s="21">
        <v>20.048999999999999</v>
      </c>
      <c r="F8" s="21">
        <f t="shared" si="0"/>
        <v>27.152999999999999</v>
      </c>
      <c r="AF8">
        <f t="shared" si="2"/>
        <v>1905</v>
      </c>
      <c r="AG8" s="29">
        <v>1859</v>
      </c>
      <c r="AH8" s="3">
        <f t="shared" si="1"/>
        <v>9.6826250672403802</v>
      </c>
    </row>
    <row r="9" spans="1:34" x14ac:dyDescent="0.55000000000000004">
      <c r="A9" s="1">
        <v>1946</v>
      </c>
      <c r="B9" s="21">
        <v>47.566000000000003</v>
      </c>
      <c r="C9" s="21">
        <v>19.7</v>
      </c>
      <c r="F9" s="21">
        <f t="shared" si="0"/>
        <v>27.866000000000003</v>
      </c>
      <c r="AF9">
        <f t="shared" si="2"/>
        <v>1906</v>
      </c>
      <c r="AG9" s="29">
        <v>1877</v>
      </c>
      <c r="AH9" s="3">
        <f t="shared" si="1"/>
        <v>10.122535961640811</v>
      </c>
    </row>
    <row r="10" spans="1:34" x14ac:dyDescent="0.55000000000000004">
      <c r="A10" s="1">
        <v>1947</v>
      </c>
      <c r="B10" s="21">
        <v>47.484999999999999</v>
      </c>
      <c r="C10" s="21">
        <v>19.239000000000001</v>
      </c>
      <c r="F10" s="21">
        <f t="shared" si="0"/>
        <v>28.245999999999999</v>
      </c>
      <c r="AF10">
        <f t="shared" si="2"/>
        <v>1907</v>
      </c>
      <c r="AG10" s="29">
        <v>1896</v>
      </c>
      <c r="AH10" s="3">
        <f t="shared" si="1"/>
        <v>9.493670886076</v>
      </c>
    </row>
    <row r="11" spans="1:34" x14ac:dyDescent="0.55000000000000004">
      <c r="A11" s="1">
        <v>1948</v>
      </c>
      <c r="B11" s="21">
        <v>46.917999999999999</v>
      </c>
      <c r="C11" s="21">
        <v>18.663</v>
      </c>
      <c r="F11" s="21">
        <f t="shared" si="0"/>
        <v>28.254999999999999</v>
      </c>
      <c r="AF11">
        <f t="shared" si="2"/>
        <v>1908</v>
      </c>
      <c r="AG11" s="29">
        <v>1914</v>
      </c>
      <c r="AH11" s="3">
        <f t="shared" si="1"/>
        <v>9.9268547544408836</v>
      </c>
    </row>
    <row r="12" spans="1:34" x14ac:dyDescent="0.55000000000000004">
      <c r="A12" s="1">
        <v>1949</v>
      </c>
      <c r="B12" s="21">
        <v>45.920999999999999</v>
      </c>
      <c r="C12" s="21">
        <v>17.992999999999999</v>
      </c>
      <c r="F12" s="21">
        <f t="shared" si="0"/>
        <v>27.928000000000001</v>
      </c>
      <c r="AF12">
        <f t="shared" si="2"/>
        <v>1909</v>
      </c>
      <c r="AG12" s="29">
        <v>1933</v>
      </c>
      <c r="AH12" s="3">
        <f t="shared" si="1"/>
        <v>9.3119503362648626</v>
      </c>
    </row>
    <row r="13" spans="1:34" x14ac:dyDescent="0.55000000000000004">
      <c r="A13" s="1">
        <v>1950</v>
      </c>
      <c r="B13" s="21">
        <v>44.078000000000003</v>
      </c>
      <c r="C13" s="21">
        <v>17.081</v>
      </c>
      <c r="D13" s="3">
        <v>43</v>
      </c>
      <c r="E13" s="3">
        <v>25.8</v>
      </c>
      <c r="F13" s="21">
        <f t="shared" si="0"/>
        <v>26.997000000000003</v>
      </c>
      <c r="G13" s="3">
        <f>D13-E13</f>
        <v>17.2</v>
      </c>
      <c r="AF13">
        <f t="shared" si="2"/>
        <v>1910</v>
      </c>
      <c r="AG13" s="29">
        <v>1951</v>
      </c>
      <c r="AH13" s="3">
        <f t="shared" si="1"/>
        <v>9.7385955920041845</v>
      </c>
    </row>
    <row r="14" spans="1:34" x14ac:dyDescent="0.55000000000000004">
      <c r="A14" s="1">
        <v>1951</v>
      </c>
      <c r="B14" s="21">
        <v>42.966000000000001</v>
      </c>
      <c r="C14" s="21">
        <v>16.492999999999999</v>
      </c>
      <c r="D14" s="3">
        <v>43</v>
      </c>
      <c r="E14" s="3">
        <v>25.5</v>
      </c>
      <c r="F14" s="21">
        <f t="shared" si="0"/>
        <v>26.473000000000003</v>
      </c>
      <c r="G14" s="3">
        <f t="shared" ref="G14:G77" si="3">D14-E14</f>
        <v>17.5</v>
      </c>
      <c r="AF14">
        <f t="shared" si="2"/>
        <v>1911</v>
      </c>
      <c r="AG14" s="29">
        <v>1970</v>
      </c>
      <c r="AH14" s="3">
        <f t="shared" si="1"/>
        <v>9.1370558375634126</v>
      </c>
    </row>
    <row r="15" spans="1:34" x14ac:dyDescent="0.55000000000000004">
      <c r="A15" s="1">
        <v>1952</v>
      </c>
      <c r="B15" s="21">
        <v>42.142000000000003</v>
      </c>
      <c r="C15" s="21">
        <v>16.064</v>
      </c>
      <c r="D15" s="3">
        <v>43</v>
      </c>
      <c r="E15" s="3">
        <v>25.2</v>
      </c>
      <c r="F15" s="21">
        <f t="shared" si="0"/>
        <v>26.078000000000003</v>
      </c>
      <c r="G15" s="3">
        <f t="shared" si="3"/>
        <v>17.8</v>
      </c>
      <c r="AF15">
        <f t="shared" si="2"/>
        <v>1912</v>
      </c>
      <c r="AG15" s="29">
        <v>1988</v>
      </c>
      <c r="AH15" s="3">
        <f t="shared" si="1"/>
        <v>9.5573440643863528</v>
      </c>
    </row>
    <row r="16" spans="1:34" x14ac:dyDescent="0.55000000000000004">
      <c r="A16" s="1">
        <v>1953</v>
      </c>
      <c r="B16" s="21">
        <v>41.631</v>
      </c>
      <c r="C16" s="21">
        <v>15.798</v>
      </c>
      <c r="D16" s="3">
        <v>43.2</v>
      </c>
      <c r="E16" s="3">
        <v>24.8</v>
      </c>
      <c r="F16" s="21">
        <f t="shared" si="0"/>
        <v>25.832999999999998</v>
      </c>
      <c r="G16" s="3">
        <f t="shared" si="3"/>
        <v>18.400000000000002</v>
      </c>
      <c r="AF16">
        <f t="shared" si="2"/>
        <v>1913</v>
      </c>
      <c r="AG16" s="29">
        <v>2007</v>
      </c>
      <c r="AH16" s="3">
        <f t="shared" si="1"/>
        <v>8.9686098654708779</v>
      </c>
    </row>
    <row r="17" spans="1:34" x14ac:dyDescent="0.55000000000000004">
      <c r="A17" s="1">
        <v>1954</v>
      </c>
      <c r="B17" s="21">
        <v>41.36</v>
      </c>
      <c r="C17" s="21">
        <v>15.657</v>
      </c>
      <c r="D17" s="3">
        <v>43.3</v>
      </c>
      <c r="E17" s="3">
        <v>24.4</v>
      </c>
      <c r="F17" s="21">
        <f t="shared" si="0"/>
        <v>25.702999999999999</v>
      </c>
      <c r="G17" s="3">
        <f t="shared" si="3"/>
        <v>18.899999999999999</v>
      </c>
      <c r="AF17">
        <f t="shared" si="2"/>
        <v>1914</v>
      </c>
      <c r="AG17" s="29">
        <v>2025</v>
      </c>
      <c r="AH17" s="3">
        <f t="shared" si="1"/>
        <v>9.3827160493826778</v>
      </c>
    </row>
    <row r="18" spans="1:34" x14ac:dyDescent="0.55000000000000004">
      <c r="A18" s="17">
        <v>1955</v>
      </c>
      <c r="D18" s="3">
        <v>43.5</v>
      </c>
      <c r="E18" s="3">
        <v>24.2</v>
      </c>
      <c r="G18" s="3">
        <f t="shared" si="3"/>
        <v>19.3</v>
      </c>
      <c r="AF18">
        <f t="shared" si="2"/>
        <v>1915</v>
      </c>
      <c r="AG18" s="29">
        <v>2044</v>
      </c>
      <c r="AH18" s="3">
        <f t="shared" si="1"/>
        <v>8.8062622309197369</v>
      </c>
    </row>
    <row r="19" spans="1:34" x14ac:dyDescent="0.55000000000000004">
      <c r="A19" s="17">
        <v>1956</v>
      </c>
      <c r="D19" s="3">
        <v>43.5</v>
      </c>
      <c r="E19" s="3">
        <v>23.9</v>
      </c>
      <c r="G19" s="3">
        <f t="shared" si="3"/>
        <v>19.600000000000001</v>
      </c>
      <c r="AF19">
        <f t="shared" si="2"/>
        <v>1916</v>
      </c>
      <c r="AG19" s="29">
        <v>2062</v>
      </c>
      <c r="AH19" s="3">
        <f t="shared" si="1"/>
        <v>9.2143549951504422</v>
      </c>
    </row>
    <row r="20" spans="1:34" x14ac:dyDescent="0.55000000000000004">
      <c r="A20" s="17">
        <v>1957</v>
      </c>
      <c r="D20" s="3">
        <v>43.7</v>
      </c>
      <c r="E20" s="3">
        <v>23.6</v>
      </c>
      <c r="G20" s="3">
        <f t="shared" si="3"/>
        <v>20.100000000000001</v>
      </c>
      <c r="AF20">
        <f t="shared" si="2"/>
        <v>1917</v>
      </c>
      <c r="AG20" s="29">
        <v>2081</v>
      </c>
      <c r="AH20" s="3">
        <f t="shared" si="1"/>
        <v>8.6496876501682696</v>
      </c>
    </row>
    <row r="21" spans="1:34" x14ac:dyDescent="0.55000000000000004">
      <c r="A21" s="17">
        <v>1958</v>
      </c>
      <c r="D21" s="3">
        <v>43.8</v>
      </c>
      <c r="E21" s="3">
        <v>23.3</v>
      </c>
      <c r="G21" s="3">
        <f t="shared" si="3"/>
        <v>20.499999999999996</v>
      </c>
      <c r="AF21">
        <f t="shared" si="2"/>
        <v>1918</v>
      </c>
      <c r="AG21" s="29">
        <v>2099</v>
      </c>
      <c r="AH21" s="3">
        <f t="shared" si="1"/>
        <v>9.051929490233368</v>
      </c>
    </row>
    <row r="22" spans="1:34" x14ac:dyDescent="0.55000000000000004">
      <c r="A22" s="17">
        <v>1959</v>
      </c>
      <c r="D22" s="3">
        <v>43.9</v>
      </c>
      <c r="E22" s="3">
        <v>23</v>
      </c>
      <c r="G22" s="3">
        <f t="shared" si="3"/>
        <v>20.9</v>
      </c>
      <c r="AF22">
        <f t="shared" si="2"/>
        <v>1919</v>
      </c>
      <c r="AG22" s="29">
        <v>2118</v>
      </c>
      <c r="AH22" s="3">
        <f t="shared" si="1"/>
        <v>8.4985835694051381</v>
      </c>
    </row>
    <row r="23" spans="1:34" x14ac:dyDescent="0.55000000000000004">
      <c r="A23" s="17">
        <v>1960</v>
      </c>
      <c r="D23" s="3">
        <v>43.9</v>
      </c>
      <c r="E23" s="3">
        <v>22.7</v>
      </c>
      <c r="G23" s="3">
        <f t="shared" si="3"/>
        <v>21.2</v>
      </c>
      <c r="AF23">
        <f t="shared" si="2"/>
        <v>1920</v>
      </c>
      <c r="AG23" s="29">
        <v>2136</v>
      </c>
      <c r="AH23" s="3">
        <f t="shared" si="1"/>
        <v>11.704119850187267</v>
      </c>
    </row>
    <row r="24" spans="1:34" x14ac:dyDescent="0.55000000000000004">
      <c r="A24" s="17">
        <v>1961</v>
      </c>
      <c r="D24" s="3">
        <v>43.9</v>
      </c>
      <c r="E24" s="3">
        <v>22.4</v>
      </c>
      <c r="G24" s="3">
        <f t="shared" si="3"/>
        <v>21.5</v>
      </c>
      <c r="AF24">
        <f t="shared" si="2"/>
        <v>1921</v>
      </c>
      <c r="AG24" s="29">
        <v>2161</v>
      </c>
      <c r="AH24" s="3">
        <f t="shared" si="1"/>
        <v>11.568718186024896</v>
      </c>
    </row>
    <row r="25" spans="1:34" x14ac:dyDescent="0.55000000000000004">
      <c r="A25" s="17">
        <v>1962</v>
      </c>
      <c r="D25" s="3">
        <v>43.9</v>
      </c>
      <c r="E25" s="3">
        <v>22.1</v>
      </c>
      <c r="G25" s="3">
        <f t="shared" si="3"/>
        <v>21.799999999999997</v>
      </c>
      <c r="AF25">
        <f t="shared" si="2"/>
        <v>1922</v>
      </c>
      <c r="AG25" s="29">
        <v>2186</v>
      </c>
      <c r="AH25" s="3">
        <f t="shared" si="1"/>
        <v>11.893870082342106</v>
      </c>
    </row>
    <row r="26" spans="1:34" x14ac:dyDescent="0.55000000000000004">
      <c r="A26" s="17">
        <v>1963</v>
      </c>
      <c r="D26" s="3">
        <v>43.8</v>
      </c>
      <c r="E26" s="3">
        <v>21.7</v>
      </c>
      <c r="G26" s="3">
        <f t="shared" si="3"/>
        <v>22.099999999999998</v>
      </c>
      <c r="AF26">
        <f t="shared" si="2"/>
        <v>1923</v>
      </c>
      <c r="AG26" s="29">
        <v>2212</v>
      </c>
      <c r="AH26" s="3">
        <f t="shared" si="1"/>
        <v>11.301989150090508</v>
      </c>
    </row>
    <row r="27" spans="1:34" x14ac:dyDescent="0.55000000000000004">
      <c r="A27" s="17">
        <v>1964</v>
      </c>
      <c r="D27" s="3">
        <v>43.7</v>
      </c>
      <c r="E27" s="3">
        <v>21.4</v>
      </c>
      <c r="G27" s="3">
        <f t="shared" si="3"/>
        <v>22.300000000000004</v>
      </c>
      <c r="AF27">
        <f t="shared" si="2"/>
        <v>1924</v>
      </c>
      <c r="AG27" s="29">
        <v>2237</v>
      </c>
      <c r="AH27" s="3">
        <f t="shared" si="1"/>
        <v>11.622708985248087</v>
      </c>
    </row>
    <row r="28" spans="1:34" x14ac:dyDescent="0.55000000000000004">
      <c r="A28" s="17">
        <v>1965</v>
      </c>
      <c r="D28" s="3">
        <v>43.6</v>
      </c>
      <c r="E28" s="3">
        <v>21</v>
      </c>
      <c r="G28" s="3">
        <f t="shared" si="3"/>
        <v>22.6</v>
      </c>
      <c r="AF28">
        <f t="shared" si="2"/>
        <v>1925</v>
      </c>
      <c r="AG28" s="29">
        <v>2263</v>
      </c>
      <c r="AH28" s="3">
        <f t="shared" si="1"/>
        <v>11.489173663278729</v>
      </c>
    </row>
    <row r="29" spans="1:34" x14ac:dyDescent="0.55000000000000004">
      <c r="A29" s="17">
        <v>1966</v>
      </c>
      <c r="D29" s="3">
        <v>43.5</v>
      </c>
      <c r="E29" s="3">
        <v>20.6</v>
      </c>
      <c r="G29" s="3">
        <f t="shared" si="3"/>
        <v>22.9</v>
      </c>
      <c r="AF29">
        <f t="shared" si="2"/>
        <v>1926</v>
      </c>
      <c r="AG29" s="29">
        <v>2289</v>
      </c>
      <c r="AH29" s="3">
        <f t="shared" si="1"/>
        <v>11.795543905635641</v>
      </c>
    </row>
    <row r="30" spans="1:34" x14ac:dyDescent="0.55000000000000004">
      <c r="A30" s="17">
        <v>1967</v>
      </c>
      <c r="D30" s="3">
        <v>43.4</v>
      </c>
      <c r="E30" s="3">
        <v>20.3</v>
      </c>
      <c r="G30" s="3">
        <f t="shared" si="3"/>
        <v>23.099999999999998</v>
      </c>
      <c r="AF30">
        <f t="shared" si="2"/>
        <v>1927</v>
      </c>
      <c r="AG30" s="29">
        <v>2316</v>
      </c>
      <c r="AH30" s="3">
        <f t="shared" si="1"/>
        <v>11.658031088082943</v>
      </c>
    </row>
    <row r="31" spans="1:34" x14ac:dyDescent="0.55000000000000004">
      <c r="A31" s="17">
        <v>1968</v>
      </c>
      <c r="D31" s="3">
        <v>43.3</v>
      </c>
      <c r="E31" s="3">
        <v>19.899999999999999</v>
      </c>
      <c r="G31" s="3">
        <f t="shared" si="3"/>
        <v>23.4</v>
      </c>
      <c r="AF31">
        <f t="shared" si="2"/>
        <v>1928</v>
      </c>
      <c r="AG31" s="29">
        <v>2343</v>
      </c>
      <c r="AH31" s="3">
        <f t="shared" si="1"/>
        <v>11.523687580025532</v>
      </c>
    </row>
    <row r="32" spans="1:34" x14ac:dyDescent="0.55000000000000004">
      <c r="A32" s="17">
        <v>1969</v>
      </c>
      <c r="D32" s="3">
        <v>43</v>
      </c>
      <c r="E32" s="3">
        <v>19.5</v>
      </c>
      <c r="G32" s="3">
        <f t="shared" si="3"/>
        <v>23.5</v>
      </c>
      <c r="AF32">
        <f t="shared" si="2"/>
        <v>1929</v>
      </c>
      <c r="AG32" s="29">
        <v>2370</v>
      </c>
      <c r="AH32" s="3">
        <f t="shared" si="1"/>
        <v>11.3924050632912</v>
      </c>
    </row>
    <row r="33" spans="1:34" x14ac:dyDescent="0.55000000000000004">
      <c r="A33" s="17">
        <v>1970</v>
      </c>
      <c r="D33" s="3">
        <v>42.7</v>
      </c>
      <c r="E33" s="3">
        <v>19.2</v>
      </c>
      <c r="G33" s="3">
        <f t="shared" si="3"/>
        <v>23.500000000000004</v>
      </c>
      <c r="AF33">
        <f t="shared" si="2"/>
        <v>1930</v>
      </c>
      <c r="AG33" s="29">
        <v>2397</v>
      </c>
      <c r="AH33" s="3">
        <f t="shared" si="1"/>
        <v>11.681268251981569</v>
      </c>
    </row>
    <row r="34" spans="1:34" x14ac:dyDescent="0.55000000000000004">
      <c r="A34" s="17">
        <v>1971</v>
      </c>
      <c r="D34" s="3">
        <v>42.4</v>
      </c>
      <c r="E34" s="3">
        <v>18.8</v>
      </c>
      <c r="G34" s="3">
        <f t="shared" si="3"/>
        <v>23.599999999999998</v>
      </c>
      <c r="AF34">
        <f t="shared" si="2"/>
        <v>1931</v>
      </c>
      <c r="AG34" s="29">
        <v>2425</v>
      </c>
      <c r="AH34" s="3">
        <f t="shared" si="1"/>
        <v>11.546391752577323</v>
      </c>
    </row>
    <row r="35" spans="1:34" x14ac:dyDescent="0.55000000000000004">
      <c r="A35" s="17">
        <v>1972</v>
      </c>
      <c r="D35" s="3">
        <v>41.9</v>
      </c>
      <c r="E35" s="3">
        <v>18.5</v>
      </c>
      <c r="G35" s="3">
        <f t="shared" si="3"/>
        <v>23.4</v>
      </c>
      <c r="AF35">
        <f t="shared" si="2"/>
        <v>1932</v>
      </c>
      <c r="AG35" s="29">
        <v>2453</v>
      </c>
      <c r="AH35" s="3">
        <f t="shared" si="1"/>
        <v>11.822258459029733</v>
      </c>
    </row>
    <row r="36" spans="1:34" x14ac:dyDescent="0.55000000000000004">
      <c r="A36" s="17">
        <v>1973</v>
      </c>
      <c r="D36" s="3">
        <v>41.7</v>
      </c>
      <c r="E36" s="3">
        <v>18.100000000000001</v>
      </c>
      <c r="G36" s="3">
        <f t="shared" si="3"/>
        <v>23.6</v>
      </c>
      <c r="AF36">
        <f t="shared" si="2"/>
        <v>1933</v>
      </c>
      <c r="AG36" s="29">
        <v>2482</v>
      </c>
      <c r="AH36" s="3">
        <f t="shared" si="1"/>
        <v>11.684125705076598</v>
      </c>
    </row>
    <row r="37" spans="1:34" x14ac:dyDescent="0.55000000000000004">
      <c r="A37" s="17">
        <v>1974</v>
      </c>
      <c r="D37" s="3">
        <v>41.5</v>
      </c>
      <c r="E37" s="3">
        <v>17.7</v>
      </c>
      <c r="G37" s="3">
        <f t="shared" si="3"/>
        <v>23.8</v>
      </c>
      <c r="AF37">
        <f t="shared" si="2"/>
        <v>1934</v>
      </c>
      <c r="AG37" s="29">
        <v>2511</v>
      </c>
      <c r="AH37" s="3">
        <f t="shared" si="1"/>
        <v>11.549183592194368</v>
      </c>
    </row>
    <row r="38" spans="1:34" x14ac:dyDescent="0.55000000000000004">
      <c r="A38" s="17">
        <v>1975</v>
      </c>
      <c r="D38" s="3">
        <v>41.1</v>
      </c>
      <c r="E38" s="3">
        <v>17.2</v>
      </c>
      <c r="G38" s="3">
        <f t="shared" si="3"/>
        <v>23.900000000000002</v>
      </c>
      <c r="AF38">
        <f t="shared" si="2"/>
        <v>1935</v>
      </c>
      <c r="AG38" s="29">
        <v>2540</v>
      </c>
      <c r="AH38" s="3">
        <f t="shared" si="1"/>
        <v>11.417322834645693</v>
      </c>
    </row>
    <row r="39" spans="1:34" x14ac:dyDescent="0.55000000000000004">
      <c r="A39" s="17">
        <v>1976</v>
      </c>
      <c r="D39" s="3">
        <v>41.2</v>
      </c>
      <c r="E39" s="3">
        <v>16.7</v>
      </c>
      <c r="G39" s="3">
        <f t="shared" si="3"/>
        <v>24.500000000000004</v>
      </c>
      <c r="AF39">
        <f t="shared" si="2"/>
        <v>1936</v>
      </c>
      <c r="AG39" s="29">
        <v>2569</v>
      </c>
      <c r="AH39" s="3">
        <f t="shared" si="1"/>
        <v>11.677695601401306</v>
      </c>
    </row>
    <row r="40" spans="1:34" x14ac:dyDescent="0.55000000000000004">
      <c r="A40" s="17">
        <v>1977</v>
      </c>
      <c r="D40" s="3">
        <v>40.9</v>
      </c>
      <c r="E40" s="3">
        <v>16.399999999999999</v>
      </c>
      <c r="G40" s="3">
        <f t="shared" si="3"/>
        <v>24.5</v>
      </c>
      <c r="AF40">
        <f t="shared" si="2"/>
        <v>1937</v>
      </c>
      <c r="AG40" s="29">
        <v>2599</v>
      </c>
      <c r="AH40" s="3">
        <f t="shared" si="1"/>
        <v>11.542901115813686</v>
      </c>
    </row>
    <row r="41" spans="1:34" x14ac:dyDescent="0.55000000000000004">
      <c r="A41" s="17">
        <v>1978</v>
      </c>
      <c r="D41" s="3">
        <v>40.5</v>
      </c>
      <c r="E41" s="3">
        <v>16.100000000000001</v>
      </c>
      <c r="G41" s="3">
        <f t="shared" si="3"/>
        <v>24.4</v>
      </c>
      <c r="AF41">
        <f t="shared" si="2"/>
        <v>1938</v>
      </c>
      <c r="AG41" s="29">
        <v>2629</v>
      </c>
      <c r="AH41" s="3">
        <f t="shared" si="1"/>
        <v>11.411182959300215</v>
      </c>
    </row>
    <row r="42" spans="1:34" x14ac:dyDescent="0.55000000000000004">
      <c r="A42" s="17">
        <v>1979</v>
      </c>
      <c r="D42" s="3">
        <v>40.1</v>
      </c>
      <c r="E42" s="3">
        <v>15.7</v>
      </c>
      <c r="G42" s="3">
        <f t="shared" si="3"/>
        <v>24.400000000000002</v>
      </c>
      <c r="AF42">
        <f t="shared" si="2"/>
        <v>1939</v>
      </c>
      <c r="AG42" s="29">
        <v>2659</v>
      </c>
      <c r="AH42" s="3">
        <f t="shared" si="1"/>
        <v>11.658518239939797</v>
      </c>
    </row>
    <row r="43" spans="1:34" x14ac:dyDescent="0.55000000000000004">
      <c r="A43" s="17">
        <v>1980</v>
      </c>
      <c r="D43" s="3">
        <v>39.700000000000003</v>
      </c>
      <c r="E43" s="3">
        <v>15.3</v>
      </c>
      <c r="G43" s="3">
        <f t="shared" si="3"/>
        <v>24.400000000000002</v>
      </c>
      <c r="AF43">
        <f t="shared" si="2"/>
        <v>1940</v>
      </c>
      <c r="AG43" s="29">
        <v>2690</v>
      </c>
      <c r="AH43" s="3">
        <f t="shared" si="1"/>
        <v>11.524163568773282</v>
      </c>
    </row>
    <row r="44" spans="1:34" x14ac:dyDescent="0.55000000000000004">
      <c r="A44" s="17">
        <v>1981</v>
      </c>
      <c r="D44" s="3">
        <v>39.299999999999997</v>
      </c>
      <c r="E44" s="3">
        <v>15</v>
      </c>
      <c r="G44" s="3">
        <f t="shared" si="3"/>
        <v>24.299999999999997</v>
      </c>
      <c r="AF44">
        <f t="shared" si="2"/>
        <v>1941</v>
      </c>
      <c r="AG44" s="29">
        <v>2721</v>
      </c>
      <c r="AH44" s="3">
        <f t="shared" si="1"/>
        <v>11.760382212421927</v>
      </c>
    </row>
    <row r="45" spans="1:34" x14ac:dyDescent="0.55000000000000004">
      <c r="A45" s="17">
        <v>1982</v>
      </c>
      <c r="D45" s="3">
        <v>38.799999999999997</v>
      </c>
      <c r="E45" s="3">
        <v>14.8</v>
      </c>
      <c r="G45" s="3">
        <f t="shared" si="3"/>
        <v>23.999999999999996</v>
      </c>
      <c r="AF45">
        <f t="shared" si="2"/>
        <v>1942</v>
      </c>
      <c r="AG45" s="29">
        <v>2753</v>
      </c>
      <c r="AH45" s="3">
        <f t="shared" si="1"/>
        <v>11.623683254631256</v>
      </c>
    </row>
    <row r="46" spans="1:34" x14ac:dyDescent="0.55000000000000004">
      <c r="A46" s="17">
        <v>1983</v>
      </c>
      <c r="D46" s="3">
        <v>38.4</v>
      </c>
      <c r="E46" s="3">
        <v>14.5</v>
      </c>
      <c r="G46" s="3">
        <f t="shared" si="3"/>
        <v>23.9</v>
      </c>
      <c r="AF46">
        <f t="shared" si="2"/>
        <v>1943</v>
      </c>
      <c r="AG46" s="29">
        <v>2785</v>
      </c>
      <c r="AH46" s="3">
        <f t="shared" si="1"/>
        <v>11.490125673249585</v>
      </c>
    </row>
    <row r="47" spans="1:34" x14ac:dyDescent="0.55000000000000004">
      <c r="A47" s="17">
        <v>1984</v>
      </c>
      <c r="D47" s="3">
        <v>38.1</v>
      </c>
      <c r="E47" s="3">
        <v>14.1</v>
      </c>
      <c r="G47" s="3">
        <f t="shared" si="3"/>
        <v>24</v>
      </c>
      <c r="AF47">
        <f t="shared" si="2"/>
        <v>1944</v>
      </c>
      <c r="AG47" s="29">
        <v>2817</v>
      </c>
      <c r="AH47" s="3">
        <f t="shared" si="1"/>
        <v>11.714589989350266</v>
      </c>
    </row>
    <row r="48" spans="1:34" x14ac:dyDescent="0.55000000000000004">
      <c r="A48" s="17">
        <v>1985</v>
      </c>
      <c r="D48" s="3">
        <v>37.6</v>
      </c>
      <c r="E48" s="3">
        <v>13.8</v>
      </c>
      <c r="G48" s="3">
        <f t="shared" si="3"/>
        <v>23.8</v>
      </c>
      <c r="AF48">
        <f t="shared" si="2"/>
        <v>1945</v>
      </c>
      <c r="AG48" s="29">
        <v>2850</v>
      </c>
      <c r="AH48" s="3">
        <f t="shared" si="1"/>
        <v>11.578947368421133</v>
      </c>
    </row>
    <row r="49" spans="1:34" x14ac:dyDescent="0.55000000000000004">
      <c r="A49" s="17">
        <v>1986</v>
      </c>
      <c r="D49" s="3">
        <v>37.4</v>
      </c>
      <c r="E49" s="3">
        <v>13.5</v>
      </c>
      <c r="G49" s="3">
        <f t="shared" si="3"/>
        <v>23.9</v>
      </c>
      <c r="AF49">
        <f t="shared" si="2"/>
        <v>1946</v>
      </c>
      <c r="AG49" s="29">
        <v>2883</v>
      </c>
      <c r="AH49" s="3">
        <f t="shared" si="1"/>
        <v>11.44640998959412</v>
      </c>
    </row>
    <row r="50" spans="1:34" x14ac:dyDescent="0.55000000000000004">
      <c r="A50" s="17">
        <v>1987</v>
      </c>
      <c r="D50" s="3">
        <v>37.1</v>
      </c>
      <c r="E50" s="3">
        <v>13.1</v>
      </c>
      <c r="G50" s="3">
        <f t="shared" si="3"/>
        <v>24</v>
      </c>
      <c r="AF50">
        <f t="shared" si="2"/>
        <v>1947</v>
      </c>
      <c r="AG50" s="29">
        <v>2916</v>
      </c>
      <c r="AH50" s="3">
        <f t="shared" si="1"/>
        <v>11.659807956104329</v>
      </c>
    </row>
    <row r="51" spans="1:34" x14ac:dyDescent="0.55000000000000004">
      <c r="A51" s="17">
        <v>1988</v>
      </c>
      <c r="D51" s="3">
        <v>36.9</v>
      </c>
      <c r="E51" s="3">
        <v>12.8</v>
      </c>
      <c r="G51" s="3">
        <f t="shared" si="3"/>
        <v>24.099999999999998</v>
      </c>
      <c r="AF51">
        <f t="shared" si="2"/>
        <v>1948</v>
      </c>
      <c r="AG51" s="29">
        <v>2950</v>
      </c>
      <c r="AH51" s="3">
        <f t="shared" si="1"/>
        <v>1.6949152542373724</v>
      </c>
    </row>
    <row r="52" spans="1:34" x14ac:dyDescent="0.55000000000000004">
      <c r="A52" s="17">
        <v>1989</v>
      </c>
      <c r="D52" s="3">
        <v>36.5</v>
      </c>
      <c r="E52" s="3">
        <v>12.4</v>
      </c>
      <c r="G52" s="3">
        <f t="shared" si="3"/>
        <v>24.1</v>
      </c>
      <c r="AF52">
        <f t="shared" si="2"/>
        <v>1949</v>
      </c>
      <c r="AG52" s="29">
        <v>2955</v>
      </c>
      <c r="AH52" s="3">
        <f t="shared" si="1"/>
        <v>19.627749576988094</v>
      </c>
    </row>
    <row r="53" spans="1:34" x14ac:dyDescent="0.55000000000000004">
      <c r="A53" s="17">
        <v>1990</v>
      </c>
      <c r="D53" s="3">
        <v>36.1</v>
      </c>
      <c r="E53" s="3">
        <v>12</v>
      </c>
      <c r="G53" s="3">
        <f t="shared" si="3"/>
        <v>24.1</v>
      </c>
      <c r="AF53">
        <f t="shared" si="2"/>
        <v>1950</v>
      </c>
      <c r="AG53" s="29">
        <v>3013</v>
      </c>
      <c r="AH53" s="3">
        <f t="shared" si="1"/>
        <v>19.581812147361433</v>
      </c>
    </row>
    <row r="54" spans="1:34" x14ac:dyDescent="0.55000000000000004">
      <c r="A54" s="17">
        <v>1991</v>
      </c>
      <c r="D54" s="3">
        <v>35.700000000000003</v>
      </c>
      <c r="E54" s="3">
        <v>11.7</v>
      </c>
      <c r="G54" s="3">
        <f t="shared" si="3"/>
        <v>24.000000000000004</v>
      </c>
      <c r="AF54">
        <f t="shared" si="2"/>
        <v>1951</v>
      </c>
      <c r="AG54" s="29">
        <v>3072</v>
      </c>
      <c r="AH54" s="3">
        <f t="shared" si="1"/>
        <v>19.53125</v>
      </c>
    </row>
    <row r="55" spans="1:34" x14ac:dyDescent="0.55000000000000004">
      <c r="A55" s="17">
        <v>1992</v>
      </c>
      <c r="D55" s="3">
        <v>34.799999999999997</v>
      </c>
      <c r="E55" s="3">
        <v>11.4</v>
      </c>
      <c r="G55" s="3">
        <f t="shared" si="3"/>
        <v>23.4</v>
      </c>
      <c r="AF55">
        <f t="shared" si="2"/>
        <v>1952</v>
      </c>
      <c r="AG55" s="29">
        <v>3132</v>
      </c>
      <c r="AH55" s="3">
        <f t="shared" si="1"/>
        <v>19.476372924648764</v>
      </c>
    </row>
    <row r="56" spans="1:34" x14ac:dyDescent="0.55000000000000004">
      <c r="A56" s="17">
        <v>1993</v>
      </c>
      <c r="D56" s="3">
        <v>34.1</v>
      </c>
      <c r="E56" s="3">
        <v>10.9</v>
      </c>
      <c r="G56" s="3">
        <f t="shared" si="3"/>
        <v>23.200000000000003</v>
      </c>
      <c r="AF56">
        <f t="shared" si="2"/>
        <v>1953</v>
      </c>
      <c r="AG56" s="29">
        <v>3193</v>
      </c>
      <c r="AH56" s="3">
        <f t="shared" si="1"/>
        <v>19.730660820544976</v>
      </c>
    </row>
    <row r="57" spans="1:34" x14ac:dyDescent="0.55000000000000004">
      <c r="A57" s="17">
        <v>1994</v>
      </c>
      <c r="D57" s="3">
        <v>33.4</v>
      </c>
      <c r="E57" s="3">
        <v>10.7</v>
      </c>
      <c r="G57" s="3">
        <f t="shared" si="3"/>
        <v>22.7</v>
      </c>
      <c r="AF57">
        <f t="shared" si="2"/>
        <v>1954</v>
      </c>
      <c r="AG57" s="29">
        <v>3256</v>
      </c>
      <c r="AH57" s="3">
        <f t="shared" si="1"/>
        <v>20.270270270270174</v>
      </c>
    </row>
    <row r="58" spans="1:34" x14ac:dyDescent="0.55000000000000004">
      <c r="A58" s="17">
        <v>1995</v>
      </c>
      <c r="D58" s="3">
        <v>32.799999999999997</v>
      </c>
      <c r="E58" s="3">
        <v>10.5</v>
      </c>
      <c r="G58" s="3">
        <f t="shared" si="3"/>
        <v>22.299999999999997</v>
      </c>
      <c r="AF58">
        <f t="shared" si="2"/>
        <v>1955</v>
      </c>
      <c r="AG58" s="29">
        <v>3322</v>
      </c>
      <c r="AH58" s="3">
        <f t="shared" si="1"/>
        <v>21.071643588199905</v>
      </c>
    </row>
    <row r="59" spans="1:34" x14ac:dyDescent="0.55000000000000004">
      <c r="A59" s="17">
        <v>1996</v>
      </c>
      <c r="D59" s="3">
        <v>32.299999999999997</v>
      </c>
      <c r="E59" s="3">
        <v>10.3</v>
      </c>
      <c r="G59" s="3">
        <f t="shared" si="3"/>
        <v>21.999999999999996</v>
      </c>
      <c r="AF59">
        <f t="shared" si="2"/>
        <v>1956</v>
      </c>
      <c r="AG59" s="29">
        <v>3392</v>
      </c>
      <c r="AH59" s="3">
        <f t="shared" si="1"/>
        <v>21.226415094339536</v>
      </c>
    </row>
    <row r="60" spans="1:34" x14ac:dyDescent="0.55000000000000004">
      <c r="A60" s="17">
        <v>1997</v>
      </c>
      <c r="D60" s="3">
        <v>31.4</v>
      </c>
      <c r="E60" s="3">
        <v>10.199999999999999</v>
      </c>
      <c r="G60" s="3">
        <f t="shared" si="3"/>
        <v>21.2</v>
      </c>
      <c r="AF60">
        <f t="shared" si="2"/>
        <v>1957</v>
      </c>
      <c r="AG60" s="29">
        <v>3464</v>
      </c>
      <c r="AH60" s="3">
        <f t="shared" si="1"/>
        <v>21.651270207852178</v>
      </c>
    </row>
    <row r="61" spans="1:34" x14ac:dyDescent="0.55000000000000004">
      <c r="A61" s="17">
        <v>1998</v>
      </c>
      <c r="D61" s="3">
        <v>31</v>
      </c>
      <c r="E61" s="3">
        <v>10</v>
      </c>
      <c r="G61" s="3">
        <f t="shared" si="3"/>
        <v>21</v>
      </c>
      <c r="AF61">
        <f t="shared" si="2"/>
        <v>1958</v>
      </c>
      <c r="AG61" s="29">
        <v>3539</v>
      </c>
      <c r="AH61" s="3">
        <f t="shared" si="1"/>
        <v>21.757558632381937</v>
      </c>
    </row>
    <row r="62" spans="1:34" x14ac:dyDescent="0.55000000000000004">
      <c r="A62" s="17">
        <v>1999</v>
      </c>
      <c r="D62" s="3">
        <v>30.6</v>
      </c>
      <c r="E62" s="3">
        <v>9.9</v>
      </c>
      <c r="G62" s="3">
        <f t="shared" si="3"/>
        <v>20.700000000000003</v>
      </c>
      <c r="AF62">
        <f t="shared" si="2"/>
        <v>1959</v>
      </c>
      <c r="AG62" s="29">
        <v>3616</v>
      </c>
      <c r="AH62" s="3">
        <f t="shared" si="1"/>
        <v>22.123893805309656</v>
      </c>
    </row>
    <row r="63" spans="1:34" x14ac:dyDescent="0.55000000000000004">
      <c r="A63" s="17">
        <v>2000</v>
      </c>
      <c r="D63" s="3">
        <v>29.8</v>
      </c>
      <c r="E63" s="3">
        <v>9.6999999999999993</v>
      </c>
      <c r="G63" s="3">
        <f t="shared" si="3"/>
        <v>20.100000000000001</v>
      </c>
      <c r="AF63">
        <f t="shared" si="2"/>
        <v>1960</v>
      </c>
      <c r="AG63" s="29">
        <v>3696</v>
      </c>
      <c r="AH63" s="3">
        <f t="shared" si="1"/>
        <v>22.186147186147089</v>
      </c>
    </row>
    <row r="64" spans="1:34" x14ac:dyDescent="0.55000000000000004">
      <c r="A64" s="17">
        <v>2001</v>
      </c>
      <c r="D64" s="3">
        <v>29.1</v>
      </c>
      <c r="E64" s="3">
        <v>9.6</v>
      </c>
      <c r="G64" s="3">
        <f t="shared" si="3"/>
        <v>19.5</v>
      </c>
      <c r="AF64">
        <f t="shared" si="2"/>
        <v>1961</v>
      </c>
      <c r="AG64" s="29">
        <v>3778</v>
      </c>
      <c r="AH64" s="3">
        <f t="shared" si="1"/>
        <v>22.49867654843829</v>
      </c>
    </row>
    <row r="65" spans="1:34" x14ac:dyDescent="0.55000000000000004">
      <c r="A65" s="17">
        <v>2002</v>
      </c>
      <c r="D65" s="3">
        <v>28.5</v>
      </c>
      <c r="E65" s="3">
        <v>9.4</v>
      </c>
      <c r="G65" s="3">
        <f t="shared" si="3"/>
        <v>19.100000000000001</v>
      </c>
      <c r="AF65">
        <f t="shared" si="2"/>
        <v>1962</v>
      </c>
      <c r="AG65" s="29">
        <v>3863</v>
      </c>
      <c r="AH65" s="3">
        <f t="shared" si="1"/>
        <v>22.780222624902979</v>
      </c>
    </row>
    <row r="66" spans="1:34" x14ac:dyDescent="0.55000000000000004">
      <c r="A66" s="17">
        <v>2003</v>
      </c>
      <c r="D66" s="3">
        <v>28.1</v>
      </c>
      <c r="E66" s="3">
        <v>9.1</v>
      </c>
      <c r="G66" s="3">
        <f t="shared" si="3"/>
        <v>19</v>
      </c>
      <c r="AF66">
        <f t="shared" si="2"/>
        <v>1963</v>
      </c>
      <c r="AG66" s="29">
        <v>3951</v>
      </c>
      <c r="AH66" s="3">
        <f t="shared" si="1"/>
        <v>23.032143761073208</v>
      </c>
    </row>
    <row r="67" spans="1:34" x14ac:dyDescent="0.55000000000000004">
      <c r="A67" s="17">
        <v>2004</v>
      </c>
      <c r="D67" s="3">
        <v>27.7</v>
      </c>
      <c r="E67" s="3">
        <v>9</v>
      </c>
      <c r="G67" s="3">
        <f t="shared" si="3"/>
        <v>18.7</v>
      </c>
      <c r="AF67">
        <f t="shared" si="2"/>
        <v>1964</v>
      </c>
      <c r="AG67" s="29">
        <v>4042</v>
      </c>
      <c r="AH67" s="3">
        <f t="shared" si="1"/>
        <v>23.255813953488413</v>
      </c>
    </row>
    <row r="68" spans="1:34" x14ac:dyDescent="0.55000000000000004">
      <c r="A68" s="17">
        <v>2005</v>
      </c>
      <c r="D68" s="3">
        <v>27.3</v>
      </c>
      <c r="E68" s="3">
        <v>8.8000000000000007</v>
      </c>
      <c r="G68" s="3">
        <f t="shared" si="3"/>
        <v>18.5</v>
      </c>
      <c r="AF68">
        <f t="shared" si="2"/>
        <v>1965</v>
      </c>
      <c r="AG68" s="29">
        <v>4136</v>
      </c>
      <c r="AH68" s="3">
        <f t="shared" ref="AH68:AH74" si="4">1000 * (AG69/AG68 - 1)</f>
        <v>23.694390715667257</v>
      </c>
    </row>
    <row r="69" spans="1:34" x14ac:dyDescent="0.55000000000000004">
      <c r="A69" s="17">
        <v>2006</v>
      </c>
      <c r="D69" s="3">
        <v>27.3</v>
      </c>
      <c r="E69" s="3">
        <v>8.6</v>
      </c>
      <c r="G69" s="3">
        <f t="shared" si="3"/>
        <v>18.700000000000003</v>
      </c>
      <c r="AF69">
        <f t="shared" ref="AF69:AF75" si="5">AF68+1</f>
        <v>1966</v>
      </c>
      <c r="AG69" s="29">
        <v>4234</v>
      </c>
      <c r="AH69" s="3">
        <f t="shared" si="4"/>
        <v>23.618327822390263</v>
      </c>
    </row>
    <row r="70" spans="1:34" x14ac:dyDescent="0.55000000000000004">
      <c r="A70" s="17">
        <v>2007</v>
      </c>
      <c r="D70" s="3">
        <v>26.9</v>
      </c>
      <c r="E70" s="3">
        <v>8.5</v>
      </c>
      <c r="G70" s="3">
        <f t="shared" si="3"/>
        <v>18.399999999999999</v>
      </c>
      <c r="AF70">
        <f t="shared" si="5"/>
        <v>1967</v>
      </c>
      <c r="AG70" s="29">
        <v>4334</v>
      </c>
      <c r="AH70" s="3">
        <f t="shared" si="4"/>
        <v>23.996308260267661</v>
      </c>
    </row>
    <row r="71" spans="1:34" x14ac:dyDescent="0.55000000000000004">
      <c r="A71" s="17">
        <v>2008</v>
      </c>
      <c r="D71" s="3">
        <v>26.4</v>
      </c>
      <c r="E71" s="3">
        <v>8.3000000000000007</v>
      </c>
      <c r="G71" s="3">
        <f t="shared" si="3"/>
        <v>18.099999999999998</v>
      </c>
      <c r="AF71">
        <f t="shared" si="5"/>
        <v>1968</v>
      </c>
      <c r="AG71" s="29">
        <v>4438</v>
      </c>
      <c r="AH71" s="3">
        <f t="shared" si="4"/>
        <v>24.335286164939074</v>
      </c>
    </row>
    <row r="72" spans="1:34" x14ac:dyDescent="0.55000000000000004">
      <c r="A72" s="17">
        <v>2009</v>
      </c>
      <c r="D72" s="3">
        <v>26</v>
      </c>
      <c r="E72" s="3">
        <v>8.1999999999999993</v>
      </c>
      <c r="G72" s="3">
        <f t="shared" si="3"/>
        <v>17.8</v>
      </c>
      <c r="AF72">
        <f t="shared" si="5"/>
        <v>1969</v>
      </c>
      <c r="AG72" s="29">
        <v>4546</v>
      </c>
      <c r="AH72" s="3">
        <f t="shared" si="4"/>
        <v>24.637043554773363</v>
      </c>
    </row>
    <row r="73" spans="1:34" x14ac:dyDescent="0.55000000000000004">
      <c r="A73" s="17">
        <v>2010</v>
      </c>
      <c r="D73" s="3">
        <v>25.6</v>
      </c>
      <c r="E73" s="3">
        <v>8</v>
      </c>
      <c r="G73" s="3">
        <f t="shared" si="3"/>
        <v>17.600000000000001</v>
      </c>
      <c r="AF73">
        <f t="shared" si="5"/>
        <v>1970</v>
      </c>
      <c r="AG73" s="29">
        <v>4658</v>
      </c>
      <c r="AH73" s="3">
        <f t="shared" si="4"/>
        <v>24.903392013739811</v>
      </c>
    </row>
    <row r="74" spans="1:34" x14ac:dyDescent="0.55000000000000004">
      <c r="A74" s="17">
        <v>2011</v>
      </c>
      <c r="D74" s="3">
        <v>25.2</v>
      </c>
      <c r="E74" s="3">
        <v>7.9</v>
      </c>
      <c r="G74" s="3">
        <f t="shared" si="3"/>
        <v>17.299999999999997</v>
      </c>
      <c r="AF74">
        <f t="shared" si="5"/>
        <v>1971</v>
      </c>
      <c r="AG74" s="29">
        <v>4774</v>
      </c>
      <c r="AH74" s="3">
        <f t="shared" si="4"/>
        <v>25.136154168412304</v>
      </c>
    </row>
    <row r="75" spans="1:34" x14ac:dyDescent="0.55000000000000004">
      <c r="A75" s="17">
        <v>2012</v>
      </c>
      <c r="D75" s="3">
        <v>24.8</v>
      </c>
      <c r="E75" s="3">
        <v>7.8</v>
      </c>
      <c r="G75" s="3">
        <f t="shared" si="3"/>
        <v>17</v>
      </c>
      <c r="AF75">
        <f t="shared" si="5"/>
        <v>1972</v>
      </c>
      <c r="AG75" s="29">
        <v>4894</v>
      </c>
      <c r="AH75" s="3"/>
    </row>
    <row r="76" spans="1:34" x14ac:dyDescent="0.55000000000000004">
      <c r="A76" s="17">
        <v>2013</v>
      </c>
      <c r="D76" s="3">
        <v>24.4</v>
      </c>
      <c r="E76" s="3">
        <v>7.8</v>
      </c>
      <c r="G76" s="3">
        <f t="shared" si="3"/>
        <v>16.599999999999998</v>
      </c>
    </row>
    <row r="77" spans="1:34" x14ac:dyDescent="0.55000000000000004">
      <c r="A77" s="17">
        <v>2014</v>
      </c>
      <c r="D77" s="3">
        <v>24</v>
      </c>
      <c r="E77" s="3">
        <v>7.7</v>
      </c>
      <c r="G77" s="3">
        <f t="shared" si="3"/>
        <v>16.3</v>
      </c>
    </row>
    <row r="78" spans="1:34" x14ac:dyDescent="0.55000000000000004">
      <c r="A78" s="17">
        <v>2015</v>
      </c>
      <c r="D78" s="3">
        <v>23.7</v>
      </c>
      <c r="E78" s="3">
        <v>7.7</v>
      </c>
      <c r="G78" s="3">
        <f t="shared" ref="G78:G86" si="6">D78-E78</f>
        <v>16</v>
      </c>
    </row>
    <row r="79" spans="1:34" x14ac:dyDescent="0.55000000000000004">
      <c r="A79" s="17">
        <v>2016</v>
      </c>
      <c r="D79" s="3">
        <v>23.3</v>
      </c>
      <c r="E79" s="3">
        <v>7.6</v>
      </c>
      <c r="G79" s="3">
        <f t="shared" si="6"/>
        <v>15.700000000000001</v>
      </c>
    </row>
    <row r="80" spans="1:34" x14ac:dyDescent="0.55000000000000004">
      <c r="A80" s="17">
        <v>2017</v>
      </c>
      <c r="D80" s="3">
        <v>22.9</v>
      </c>
      <c r="E80" s="3">
        <v>7.6</v>
      </c>
      <c r="G80" s="3">
        <f t="shared" si="6"/>
        <v>15.299999999999999</v>
      </c>
    </row>
    <row r="81" spans="1:7" x14ac:dyDescent="0.55000000000000004">
      <c r="A81" s="17">
        <v>2018</v>
      </c>
      <c r="D81" s="3">
        <v>22.6</v>
      </c>
      <c r="E81" s="3">
        <v>7.6</v>
      </c>
      <c r="G81" s="3">
        <f t="shared" si="6"/>
        <v>15.000000000000002</v>
      </c>
    </row>
    <row r="82" spans="1:7" x14ac:dyDescent="0.55000000000000004">
      <c r="A82" s="17">
        <v>2019</v>
      </c>
      <c r="D82" s="3">
        <v>22.3</v>
      </c>
      <c r="E82" s="3">
        <v>7.6</v>
      </c>
      <c r="G82" s="3">
        <f t="shared" si="6"/>
        <v>14.700000000000001</v>
      </c>
    </row>
    <row r="83" spans="1:7" x14ac:dyDescent="0.55000000000000004">
      <c r="A83" s="17">
        <v>2020</v>
      </c>
      <c r="D83" s="3">
        <v>22</v>
      </c>
      <c r="E83" s="3">
        <v>10.8</v>
      </c>
      <c r="G83" s="3">
        <f t="shared" si="6"/>
        <v>11.2</v>
      </c>
    </row>
    <row r="84" spans="1:7" x14ac:dyDescent="0.55000000000000004">
      <c r="A84" s="17">
        <v>2021</v>
      </c>
      <c r="D84" s="3">
        <v>21.8</v>
      </c>
      <c r="E84" s="3">
        <v>11.8</v>
      </c>
      <c r="G84" s="3">
        <f t="shared" si="6"/>
        <v>10</v>
      </c>
    </row>
    <row r="85" spans="1:7" x14ac:dyDescent="0.55000000000000004">
      <c r="A85" s="17">
        <v>2022</v>
      </c>
      <c r="D85" s="3">
        <v>21.6</v>
      </c>
      <c r="E85" s="3">
        <v>7.7</v>
      </c>
      <c r="G85" s="3">
        <f t="shared" si="6"/>
        <v>13.900000000000002</v>
      </c>
    </row>
    <row r="86" spans="1:7" x14ac:dyDescent="0.55000000000000004">
      <c r="A86" s="17">
        <v>2023</v>
      </c>
      <c r="D86" s="3">
        <v>21.2</v>
      </c>
      <c r="E86" s="3">
        <v>7.2</v>
      </c>
      <c r="G86" s="3">
        <f t="shared" si="6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D76"/>
  <sheetViews>
    <sheetView topLeftCell="A9" workbookViewId="0">
      <selection activeCell="B3" sqref="B3:C76"/>
    </sheetView>
  </sheetViews>
  <sheetFormatPr defaultRowHeight="14.4" x14ac:dyDescent="0.55000000000000004"/>
  <sheetData>
    <row r="1" spans="1:4" x14ac:dyDescent="0.55000000000000004">
      <c r="B1" s="27" t="s">
        <v>75</v>
      </c>
      <c r="C1" s="27"/>
    </row>
    <row r="2" spans="1:4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4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</row>
    <row r="4" spans="1:4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4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</row>
    <row r="6" spans="1:4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</row>
    <row r="7" spans="1:4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</row>
    <row r="8" spans="1:4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4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4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4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4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4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4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4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4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27" t="s">
        <v>74</v>
      </c>
      <c r="C1" s="27"/>
      <c r="D1" s="27" t="s">
        <v>75</v>
      </c>
      <c r="E1" s="27"/>
      <c r="G1" s="27" t="s">
        <v>86</v>
      </c>
      <c r="H1" s="27"/>
      <c r="J1" s="27" t="s">
        <v>87</v>
      </c>
      <c r="K1" s="27"/>
      <c r="L1" s="27"/>
      <c r="M1" s="27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J17" sqref="AJ1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16"/>
  <sheetViews>
    <sheetView topLeftCell="A31" workbookViewId="0">
      <selection activeCell="AF2" sqref="AF2:AH75"/>
    </sheetView>
  </sheetViews>
  <sheetFormatPr defaultRowHeight="14.4" x14ac:dyDescent="0.55000000000000004"/>
  <sheetData>
    <row r="1" spans="1:34" x14ac:dyDescent="0.55000000000000004">
      <c r="B1" s="27" t="s">
        <v>100</v>
      </c>
      <c r="C1" s="27"/>
      <c r="D1" s="27" t="s">
        <v>75</v>
      </c>
      <c r="E1" s="27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130</v>
      </c>
      <c r="H2" s="13"/>
      <c r="AF2" t="s">
        <v>73</v>
      </c>
      <c r="AG2" t="s">
        <v>154</v>
      </c>
      <c r="AH2" t="s">
        <v>155</v>
      </c>
    </row>
    <row r="3" spans="1:34" x14ac:dyDescent="0.55000000000000004">
      <c r="A3" s="1">
        <v>1910</v>
      </c>
      <c r="B3" s="21">
        <v>44.281999999999996</v>
      </c>
      <c r="C3" s="21">
        <v>23.646999999999998</v>
      </c>
      <c r="F3" s="21">
        <f>B3-C3</f>
        <v>20.634999999999998</v>
      </c>
      <c r="AF3">
        <v>1900</v>
      </c>
      <c r="AG3" s="29">
        <v>420</v>
      </c>
      <c r="AH3" s="3">
        <f>1000 * (AG4/AG3 - 1)</f>
        <v>38.09523809523818</v>
      </c>
    </row>
    <row r="4" spans="1:34" x14ac:dyDescent="0.55000000000000004">
      <c r="A4" s="1">
        <v>1911</v>
      </c>
      <c r="B4" s="21">
        <v>44.137</v>
      </c>
      <c r="C4" s="21">
        <v>23.856999999999999</v>
      </c>
      <c r="F4" s="21">
        <f t="shared" ref="F4:F52" si="0">B4-C4</f>
        <v>20.28</v>
      </c>
      <c r="AF4">
        <f>AF3+1</f>
        <v>1901</v>
      </c>
      <c r="AG4" s="29">
        <v>436</v>
      </c>
      <c r="AH4" s="3">
        <f t="shared" ref="AH4:AH67" si="1">1000 * (AG5/AG4 - 1)</f>
        <v>36.697247706422019</v>
      </c>
    </row>
    <row r="5" spans="1:34" x14ac:dyDescent="0.55000000000000004">
      <c r="A5" s="1">
        <v>1912</v>
      </c>
      <c r="B5" s="21">
        <v>43.865000000000002</v>
      </c>
      <c r="C5" s="21">
        <v>24.253</v>
      </c>
      <c r="F5" s="21">
        <f t="shared" si="0"/>
        <v>19.612000000000002</v>
      </c>
      <c r="AF5">
        <f t="shared" ref="AF5:AF68" si="2">AF4+1</f>
        <v>1902</v>
      </c>
      <c r="AG5" s="29">
        <v>452</v>
      </c>
      <c r="AH5" s="3">
        <f t="shared" si="1"/>
        <v>35.39823008849563</v>
      </c>
    </row>
    <row r="6" spans="1:34" x14ac:dyDescent="0.55000000000000004">
      <c r="A6" s="1">
        <v>1913</v>
      </c>
      <c r="B6" s="21">
        <v>43.43</v>
      </c>
      <c r="C6" s="21">
        <v>24.893000000000001</v>
      </c>
      <c r="F6" s="21">
        <f t="shared" si="0"/>
        <v>18.536999999999999</v>
      </c>
      <c r="AF6">
        <f t="shared" si="2"/>
        <v>1903</v>
      </c>
      <c r="AG6" s="29">
        <v>468</v>
      </c>
      <c r="AH6" s="3">
        <f t="shared" si="1"/>
        <v>34.188034188034287</v>
      </c>
    </row>
    <row r="7" spans="1:34" x14ac:dyDescent="0.55000000000000004">
      <c r="A7" s="1">
        <v>1914</v>
      </c>
      <c r="B7" s="21">
        <v>42.854999999999997</v>
      </c>
      <c r="C7" s="21">
        <v>25.748000000000001</v>
      </c>
      <c r="F7" s="21">
        <f t="shared" si="0"/>
        <v>17.106999999999996</v>
      </c>
      <c r="AF7">
        <f t="shared" si="2"/>
        <v>1904</v>
      </c>
      <c r="AG7" s="29">
        <v>484</v>
      </c>
      <c r="AH7" s="3">
        <f t="shared" si="1"/>
        <v>33.057851239669311</v>
      </c>
    </row>
    <row r="8" spans="1:34" x14ac:dyDescent="0.55000000000000004">
      <c r="A8" s="1">
        <v>1915</v>
      </c>
      <c r="B8" s="21">
        <v>41.874000000000002</v>
      </c>
      <c r="C8" s="21">
        <v>27.263999999999999</v>
      </c>
      <c r="F8" s="21">
        <f t="shared" si="0"/>
        <v>14.610000000000003</v>
      </c>
      <c r="AF8">
        <f t="shared" si="2"/>
        <v>1905</v>
      </c>
      <c r="AG8" s="29">
        <v>500</v>
      </c>
      <c r="AH8" s="3">
        <f t="shared" si="1"/>
        <v>22.000000000000021</v>
      </c>
    </row>
    <row r="9" spans="1:34" x14ac:dyDescent="0.55000000000000004">
      <c r="A9" s="1">
        <v>1916</v>
      </c>
      <c r="B9" s="21">
        <v>41.472999999999999</v>
      </c>
      <c r="C9" s="21">
        <v>27.859000000000002</v>
      </c>
      <c r="F9" s="21">
        <f t="shared" si="0"/>
        <v>13.613999999999997</v>
      </c>
      <c r="AF9">
        <f t="shared" si="2"/>
        <v>1906</v>
      </c>
      <c r="AG9" s="29">
        <v>511</v>
      </c>
      <c r="AH9" s="3">
        <f t="shared" si="1"/>
        <v>19.569471624266257</v>
      </c>
    </row>
    <row r="10" spans="1:34" x14ac:dyDescent="0.55000000000000004">
      <c r="A10" s="1">
        <v>1917</v>
      </c>
      <c r="B10" s="21">
        <v>41.375999999999998</v>
      </c>
      <c r="C10" s="21">
        <v>27.943000000000001</v>
      </c>
      <c r="F10" s="21">
        <f t="shared" si="0"/>
        <v>13.432999999999996</v>
      </c>
      <c r="AF10">
        <f t="shared" si="2"/>
        <v>1907</v>
      </c>
      <c r="AG10" s="29">
        <v>521</v>
      </c>
      <c r="AH10" s="3">
        <f t="shared" si="1"/>
        <v>21.113243761996081</v>
      </c>
    </row>
    <row r="11" spans="1:34" x14ac:dyDescent="0.55000000000000004">
      <c r="A11" s="1">
        <v>1918</v>
      </c>
      <c r="B11" s="21">
        <v>41.613</v>
      </c>
      <c r="C11" s="21">
        <v>27.466999999999999</v>
      </c>
      <c r="F11" s="21">
        <f t="shared" si="0"/>
        <v>14.146000000000001</v>
      </c>
      <c r="AF11">
        <f t="shared" si="2"/>
        <v>1908</v>
      </c>
      <c r="AG11" s="29">
        <v>532</v>
      </c>
      <c r="AH11" s="3">
        <f t="shared" si="1"/>
        <v>18.796992481203034</v>
      </c>
    </row>
    <row r="12" spans="1:34" x14ac:dyDescent="0.55000000000000004">
      <c r="A12" s="1">
        <v>1919</v>
      </c>
      <c r="B12" s="21">
        <v>42.154000000000003</v>
      </c>
      <c r="C12" s="21">
        <v>26.495000000000001</v>
      </c>
      <c r="F12" s="21">
        <f t="shared" si="0"/>
        <v>15.659000000000002</v>
      </c>
      <c r="AF12">
        <f t="shared" si="2"/>
        <v>1909</v>
      </c>
      <c r="AG12" s="29">
        <v>542</v>
      </c>
      <c r="AH12" s="3">
        <f t="shared" si="1"/>
        <v>20.295202952029577</v>
      </c>
    </row>
    <row r="13" spans="1:34" x14ac:dyDescent="0.55000000000000004">
      <c r="A13" s="1">
        <v>1920</v>
      </c>
      <c r="B13" s="21">
        <v>43.293999999999997</v>
      </c>
      <c r="C13" s="21">
        <v>24.561</v>
      </c>
      <c r="F13" s="21">
        <f t="shared" si="0"/>
        <v>18.732999999999997</v>
      </c>
      <c r="AF13">
        <f t="shared" si="2"/>
        <v>1910</v>
      </c>
      <c r="AG13" s="29">
        <v>553</v>
      </c>
      <c r="AH13" s="3">
        <f t="shared" si="1"/>
        <v>16.274864376130125</v>
      </c>
    </row>
    <row r="14" spans="1:34" x14ac:dyDescent="0.55000000000000004">
      <c r="A14" s="1">
        <v>1921</v>
      </c>
      <c r="B14" s="21">
        <v>43.975999999999999</v>
      </c>
      <c r="C14" s="21">
        <v>23.49</v>
      </c>
      <c r="F14" s="21">
        <f t="shared" si="0"/>
        <v>20.486000000000001</v>
      </c>
      <c r="AF14">
        <f t="shared" si="2"/>
        <v>1911</v>
      </c>
      <c r="AG14" s="29">
        <v>562</v>
      </c>
      <c r="AH14" s="3">
        <f t="shared" si="1"/>
        <v>16.014234875444842</v>
      </c>
    </row>
    <row r="15" spans="1:34" x14ac:dyDescent="0.55000000000000004">
      <c r="A15" s="1">
        <v>1922</v>
      </c>
      <c r="B15" s="21">
        <v>44.484000000000002</v>
      </c>
      <c r="C15" s="21">
        <v>22.757000000000001</v>
      </c>
      <c r="F15" s="21">
        <f t="shared" si="0"/>
        <v>21.727</v>
      </c>
      <c r="AF15">
        <f t="shared" si="2"/>
        <v>1912</v>
      </c>
      <c r="AG15" s="29">
        <v>571</v>
      </c>
      <c r="AH15" s="3">
        <f t="shared" si="1"/>
        <v>14.010507880910739</v>
      </c>
    </row>
    <row r="16" spans="1:34" x14ac:dyDescent="0.55000000000000004">
      <c r="A16" s="1">
        <v>1923</v>
      </c>
      <c r="B16" s="21">
        <v>44.783000000000001</v>
      </c>
      <c r="C16" s="21">
        <v>22.405999999999999</v>
      </c>
      <c r="F16" s="21">
        <f t="shared" si="0"/>
        <v>22.377000000000002</v>
      </c>
      <c r="AF16">
        <f t="shared" si="2"/>
        <v>1913</v>
      </c>
      <c r="AG16" s="29">
        <v>579</v>
      </c>
      <c r="AH16" s="3">
        <f t="shared" si="1"/>
        <v>15.544041450777257</v>
      </c>
    </row>
    <row r="17" spans="1:34" x14ac:dyDescent="0.55000000000000004">
      <c r="A17" s="1">
        <v>1924</v>
      </c>
      <c r="B17" s="21">
        <v>44.878999999999998</v>
      </c>
      <c r="C17" s="21">
        <v>22.399000000000001</v>
      </c>
      <c r="F17" s="21">
        <f t="shared" si="0"/>
        <v>22.479999999999997</v>
      </c>
      <c r="AF17">
        <f t="shared" si="2"/>
        <v>1914</v>
      </c>
      <c r="AG17" s="29">
        <v>588</v>
      </c>
      <c r="AH17" s="3">
        <f t="shared" si="1"/>
        <v>15.306122448979664</v>
      </c>
    </row>
    <row r="18" spans="1:34" x14ac:dyDescent="0.55000000000000004">
      <c r="A18" s="1">
        <v>1925</v>
      </c>
      <c r="B18" s="21">
        <v>44.707999999999998</v>
      </c>
      <c r="C18" s="21">
        <v>23.030999999999999</v>
      </c>
      <c r="F18" s="21">
        <f t="shared" si="0"/>
        <v>21.677</v>
      </c>
      <c r="AF18">
        <f t="shared" si="2"/>
        <v>1915</v>
      </c>
      <c r="AG18" s="29">
        <v>597</v>
      </c>
      <c r="AH18" s="3">
        <f t="shared" si="1"/>
        <v>15.075376884422065</v>
      </c>
    </row>
    <row r="19" spans="1:34" x14ac:dyDescent="0.55000000000000004">
      <c r="A19" s="1">
        <v>1926</v>
      </c>
      <c r="B19" s="21">
        <v>44.503</v>
      </c>
      <c r="C19" s="21">
        <v>23.225000000000001</v>
      </c>
      <c r="F19" s="21">
        <f t="shared" si="0"/>
        <v>21.277999999999999</v>
      </c>
      <c r="AF19">
        <f t="shared" si="2"/>
        <v>1916</v>
      </c>
      <c r="AG19" s="29">
        <v>606</v>
      </c>
      <c r="AH19" s="3">
        <f t="shared" si="1"/>
        <v>44.55445544554459</v>
      </c>
    </row>
    <row r="20" spans="1:34" x14ac:dyDescent="0.55000000000000004">
      <c r="A20" s="1">
        <v>1927</v>
      </c>
      <c r="B20" s="21">
        <v>44.201999999999998</v>
      </c>
      <c r="C20" s="21">
        <v>23.271999999999998</v>
      </c>
      <c r="F20" s="21">
        <f t="shared" si="0"/>
        <v>20.93</v>
      </c>
      <c r="AF20">
        <f t="shared" si="2"/>
        <v>1917</v>
      </c>
      <c r="AG20" s="29">
        <v>633</v>
      </c>
      <c r="AH20" s="3">
        <f t="shared" si="1"/>
        <v>42.654028436019061</v>
      </c>
    </row>
    <row r="21" spans="1:34" x14ac:dyDescent="0.55000000000000004">
      <c r="A21" s="1">
        <v>1928</v>
      </c>
      <c r="B21" s="21">
        <v>43.811999999999998</v>
      </c>
      <c r="C21" s="21">
        <v>23.138999999999999</v>
      </c>
      <c r="F21" s="21">
        <f t="shared" si="0"/>
        <v>20.672999999999998</v>
      </c>
      <c r="AF21">
        <f t="shared" si="2"/>
        <v>1918</v>
      </c>
      <c r="AG21" s="29">
        <v>660</v>
      </c>
      <c r="AH21" s="3">
        <f t="shared" si="1"/>
        <v>42.424242424242479</v>
      </c>
    </row>
    <row r="22" spans="1:34" x14ac:dyDescent="0.55000000000000004">
      <c r="A22" s="1">
        <v>1929</v>
      </c>
      <c r="B22" s="21">
        <v>43.345999999999997</v>
      </c>
      <c r="C22" s="21">
        <v>22.843</v>
      </c>
      <c r="F22" s="21">
        <f t="shared" si="0"/>
        <v>20.502999999999997</v>
      </c>
      <c r="AF22">
        <f t="shared" si="2"/>
        <v>1919</v>
      </c>
      <c r="AG22" s="29">
        <v>688</v>
      </c>
      <c r="AH22" s="3">
        <f t="shared" si="1"/>
        <v>39.244186046511587</v>
      </c>
    </row>
    <row r="23" spans="1:34" x14ac:dyDescent="0.55000000000000004">
      <c r="A23" s="1">
        <v>1930</v>
      </c>
      <c r="B23" s="21">
        <v>42.7</v>
      </c>
      <c r="C23" s="21">
        <v>22.239000000000001</v>
      </c>
      <c r="F23" s="21">
        <f t="shared" si="0"/>
        <v>20.461000000000002</v>
      </c>
      <c r="AF23">
        <f t="shared" si="2"/>
        <v>1920</v>
      </c>
      <c r="AG23" s="29">
        <v>715</v>
      </c>
      <c r="AH23" s="3">
        <f t="shared" si="1"/>
        <v>37.762237762237746</v>
      </c>
    </row>
    <row r="24" spans="1:34" x14ac:dyDescent="0.55000000000000004">
      <c r="A24" s="1">
        <v>1931</v>
      </c>
      <c r="B24" s="21">
        <v>42.256</v>
      </c>
      <c r="C24" s="21">
        <v>21.876999999999999</v>
      </c>
      <c r="F24" s="21">
        <f t="shared" si="0"/>
        <v>20.379000000000001</v>
      </c>
      <c r="AF24">
        <f t="shared" si="2"/>
        <v>1921</v>
      </c>
      <c r="AG24" s="29">
        <v>742</v>
      </c>
      <c r="AH24" s="3">
        <f t="shared" si="1"/>
        <v>36.388140161724976</v>
      </c>
    </row>
    <row r="25" spans="1:34" x14ac:dyDescent="0.55000000000000004">
      <c r="A25" s="1">
        <v>1932</v>
      </c>
      <c r="B25" s="21">
        <v>41.908000000000001</v>
      </c>
      <c r="C25" s="21">
        <v>21.606000000000002</v>
      </c>
      <c r="F25" s="21">
        <f t="shared" si="0"/>
        <v>20.302</v>
      </c>
      <c r="AF25">
        <f t="shared" si="2"/>
        <v>1922</v>
      </c>
      <c r="AG25" s="29">
        <v>769</v>
      </c>
      <c r="AH25" s="3">
        <f t="shared" si="1"/>
        <v>35.110533159947941</v>
      </c>
    </row>
    <row r="26" spans="1:34" x14ac:dyDescent="0.55000000000000004">
      <c r="A26" s="1">
        <v>1933</v>
      </c>
      <c r="B26" s="21">
        <v>41.664999999999999</v>
      </c>
      <c r="C26" s="21">
        <v>21.44</v>
      </c>
      <c r="F26" s="21">
        <f t="shared" si="0"/>
        <v>20.224999999999998</v>
      </c>
      <c r="AF26">
        <f t="shared" si="2"/>
        <v>1923</v>
      </c>
      <c r="AG26" s="29">
        <v>796</v>
      </c>
      <c r="AH26" s="3">
        <f t="shared" si="1"/>
        <v>35.175879396984968</v>
      </c>
    </row>
    <row r="27" spans="1:34" x14ac:dyDescent="0.55000000000000004">
      <c r="A27" s="1">
        <v>1934</v>
      </c>
      <c r="B27" s="21">
        <v>41.53</v>
      </c>
      <c r="C27" s="21">
        <v>21.381</v>
      </c>
      <c r="F27" s="21">
        <f t="shared" si="0"/>
        <v>20.149000000000001</v>
      </c>
      <c r="AF27">
        <f t="shared" si="2"/>
        <v>1924</v>
      </c>
      <c r="AG27" s="29">
        <v>824</v>
      </c>
      <c r="AH27" s="3">
        <f t="shared" si="1"/>
        <v>32.766990291262175</v>
      </c>
    </row>
    <row r="28" spans="1:34" x14ac:dyDescent="0.55000000000000004">
      <c r="A28" s="1">
        <v>1935</v>
      </c>
      <c r="B28" s="21">
        <v>41.496000000000002</v>
      </c>
      <c r="C28" s="21">
        <v>21.407</v>
      </c>
      <c r="F28" s="21">
        <f t="shared" si="0"/>
        <v>20.089000000000002</v>
      </c>
      <c r="AF28">
        <f t="shared" si="2"/>
        <v>1925</v>
      </c>
      <c r="AG28" s="29">
        <v>851</v>
      </c>
      <c r="AH28" s="3">
        <f t="shared" si="1"/>
        <v>31.727379553466495</v>
      </c>
    </row>
    <row r="29" spans="1:34" x14ac:dyDescent="0.55000000000000004">
      <c r="A29" s="1">
        <v>1936</v>
      </c>
      <c r="B29" s="21">
        <v>41.58</v>
      </c>
      <c r="C29" s="21">
        <v>21.6</v>
      </c>
      <c r="F29" s="21">
        <f t="shared" si="0"/>
        <v>19.979999999999997</v>
      </c>
      <c r="AF29">
        <f t="shared" si="2"/>
        <v>1926</v>
      </c>
      <c r="AG29" s="29">
        <v>878</v>
      </c>
      <c r="AH29" s="3">
        <f t="shared" si="1"/>
        <v>17.084282460136713</v>
      </c>
    </row>
    <row r="30" spans="1:34" x14ac:dyDescent="0.55000000000000004">
      <c r="A30" s="1">
        <v>1937</v>
      </c>
      <c r="B30" s="21">
        <v>41.777999999999999</v>
      </c>
      <c r="C30" s="21">
        <v>21.94</v>
      </c>
      <c r="F30" s="21">
        <f t="shared" si="0"/>
        <v>19.837999999999997</v>
      </c>
      <c r="AF30">
        <f t="shared" si="2"/>
        <v>1927</v>
      </c>
      <c r="AG30" s="29">
        <v>893</v>
      </c>
      <c r="AH30" s="3">
        <f t="shared" si="1"/>
        <v>20.156774916013418</v>
      </c>
    </row>
    <row r="31" spans="1:34" x14ac:dyDescent="0.55000000000000004">
      <c r="A31" s="1">
        <v>1938</v>
      </c>
      <c r="B31" s="21">
        <v>42.091000000000001</v>
      </c>
      <c r="C31" s="21">
        <v>22.431000000000001</v>
      </c>
      <c r="F31" s="21">
        <f t="shared" si="0"/>
        <v>19.66</v>
      </c>
      <c r="AF31">
        <f t="shared" si="2"/>
        <v>1928</v>
      </c>
      <c r="AG31" s="29">
        <v>911</v>
      </c>
      <c r="AH31" s="3">
        <f t="shared" si="1"/>
        <v>18.660812294182261</v>
      </c>
    </row>
    <row r="32" spans="1:34" x14ac:dyDescent="0.55000000000000004">
      <c r="A32" s="1">
        <v>1939</v>
      </c>
      <c r="B32" s="21">
        <v>42.506</v>
      </c>
      <c r="C32" s="21">
        <v>23.041</v>
      </c>
      <c r="F32" s="21">
        <f t="shared" si="0"/>
        <v>19.465</v>
      </c>
      <c r="AF32">
        <f t="shared" si="2"/>
        <v>1929</v>
      </c>
      <c r="AG32" s="29">
        <v>928</v>
      </c>
      <c r="AH32" s="3">
        <f t="shared" si="1"/>
        <v>21.55172413793105</v>
      </c>
    </row>
    <row r="33" spans="1:34" x14ac:dyDescent="0.55000000000000004">
      <c r="A33" s="1">
        <v>1940</v>
      </c>
      <c r="B33" s="21">
        <v>43.143999999999998</v>
      </c>
      <c r="C33" s="21">
        <v>24.094000000000001</v>
      </c>
      <c r="F33" s="21">
        <f t="shared" si="0"/>
        <v>19.049999999999997</v>
      </c>
      <c r="AF33">
        <f t="shared" si="2"/>
        <v>1930</v>
      </c>
      <c r="AG33" s="29">
        <v>948</v>
      </c>
      <c r="AH33" s="3">
        <f t="shared" si="1"/>
        <v>21.097046413502074</v>
      </c>
    </row>
    <row r="34" spans="1:34" x14ac:dyDescent="0.55000000000000004">
      <c r="A34" s="1">
        <v>1941</v>
      </c>
      <c r="B34" s="21">
        <v>43.567999999999998</v>
      </c>
      <c r="C34" s="21">
        <v>24.427</v>
      </c>
      <c r="F34" s="21">
        <f t="shared" si="0"/>
        <v>19.140999999999998</v>
      </c>
      <c r="AF34">
        <f t="shared" si="2"/>
        <v>1931</v>
      </c>
      <c r="AG34" s="29">
        <v>968</v>
      </c>
      <c r="AH34" s="3">
        <f t="shared" si="1"/>
        <v>21.694214876033069</v>
      </c>
    </row>
    <row r="35" spans="1:34" x14ac:dyDescent="0.55000000000000004">
      <c r="A35" s="1">
        <v>1942</v>
      </c>
      <c r="B35" s="21">
        <v>43.895000000000003</v>
      </c>
      <c r="C35" s="21">
        <v>24.344999999999999</v>
      </c>
      <c r="F35" s="21">
        <f t="shared" si="0"/>
        <v>19.550000000000004</v>
      </c>
      <c r="AF35">
        <f t="shared" si="2"/>
        <v>1932</v>
      </c>
      <c r="AG35" s="29">
        <v>989</v>
      </c>
      <c r="AH35" s="3">
        <f t="shared" si="1"/>
        <v>18.200202224469166</v>
      </c>
    </row>
    <row r="36" spans="1:34" x14ac:dyDescent="0.55000000000000004">
      <c r="A36" s="1">
        <v>1943</v>
      </c>
      <c r="B36" s="21">
        <v>44.110999999999997</v>
      </c>
      <c r="C36" s="21">
        <v>23.815999999999999</v>
      </c>
      <c r="F36" s="21">
        <f t="shared" si="0"/>
        <v>20.294999999999998</v>
      </c>
      <c r="AF36">
        <f t="shared" si="2"/>
        <v>1933</v>
      </c>
      <c r="AG36" s="29">
        <v>1007</v>
      </c>
      <c r="AH36" s="3">
        <f t="shared" si="1"/>
        <v>15.888778550148919</v>
      </c>
    </row>
    <row r="37" spans="1:34" x14ac:dyDescent="0.55000000000000004">
      <c r="A37" s="1">
        <v>1944</v>
      </c>
      <c r="B37" s="21">
        <v>44.226999999999997</v>
      </c>
      <c r="C37" s="21">
        <v>22.879000000000001</v>
      </c>
      <c r="F37" s="21">
        <f t="shared" si="0"/>
        <v>21.347999999999995</v>
      </c>
      <c r="AF37">
        <f t="shared" si="2"/>
        <v>1934</v>
      </c>
      <c r="AG37" s="29">
        <v>1023</v>
      </c>
      <c r="AH37" s="3">
        <f t="shared" si="1"/>
        <v>18.572825024437911</v>
      </c>
    </row>
    <row r="38" spans="1:34" x14ac:dyDescent="0.55000000000000004">
      <c r="A38" s="1">
        <v>1945</v>
      </c>
      <c r="B38" s="21">
        <v>44.137</v>
      </c>
      <c r="C38" s="21">
        <v>21.271000000000001</v>
      </c>
      <c r="F38" s="21">
        <f t="shared" si="0"/>
        <v>22.866</v>
      </c>
      <c r="AF38">
        <f t="shared" si="2"/>
        <v>1935</v>
      </c>
      <c r="AG38" s="29">
        <v>1042</v>
      </c>
      <c r="AH38" s="3">
        <f t="shared" si="1"/>
        <v>15.355086372360827</v>
      </c>
    </row>
    <row r="39" spans="1:34" x14ac:dyDescent="0.55000000000000004">
      <c r="A39" s="1">
        <v>1946</v>
      </c>
      <c r="B39" s="21">
        <v>44.231000000000002</v>
      </c>
      <c r="C39" s="21">
        <v>20.059000000000001</v>
      </c>
      <c r="F39" s="21">
        <f t="shared" si="0"/>
        <v>24.172000000000001</v>
      </c>
      <c r="AF39">
        <f t="shared" si="2"/>
        <v>1936</v>
      </c>
      <c r="AG39" s="29">
        <v>1058</v>
      </c>
      <c r="AH39" s="3">
        <f t="shared" si="1"/>
        <v>17.013232514177634</v>
      </c>
    </row>
    <row r="40" spans="1:34" x14ac:dyDescent="0.55000000000000004">
      <c r="A40" s="1">
        <v>1947</v>
      </c>
      <c r="B40" s="21">
        <v>44.402999999999999</v>
      </c>
      <c r="C40" s="21">
        <v>18.940999999999999</v>
      </c>
      <c r="F40" s="21">
        <f t="shared" si="0"/>
        <v>25.462</v>
      </c>
      <c r="AF40">
        <f t="shared" si="2"/>
        <v>1937</v>
      </c>
      <c r="AG40" s="29">
        <v>1076</v>
      </c>
      <c r="AH40" s="3">
        <f t="shared" si="1"/>
        <v>20.446096654274992</v>
      </c>
    </row>
    <row r="41" spans="1:34" x14ac:dyDescent="0.55000000000000004">
      <c r="A41" s="1">
        <v>1948</v>
      </c>
      <c r="B41" s="21">
        <v>44.665999999999997</v>
      </c>
      <c r="C41" s="21">
        <v>17.942</v>
      </c>
      <c r="F41" s="21">
        <f t="shared" si="0"/>
        <v>26.723999999999997</v>
      </c>
      <c r="AF41">
        <f t="shared" si="2"/>
        <v>1938</v>
      </c>
      <c r="AG41" s="29">
        <v>1098</v>
      </c>
      <c r="AH41" s="3">
        <f t="shared" si="1"/>
        <v>21.857923497267784</v>
      </c>
    </row>
    <row r="42" spans="1:34" x14ac:dyDescent="0.55000000000000004">
      <c r="A42" s="1">
        <v>1949</v>
      </c>
      <c r="B42" s="21">
        <v>45.006999999999998</v>
      </c>
      <c r="C42" s="21">
        <v>17.053999999999998</v>
      </c>
      <c r="F42" s="21">
        <f t="shared" si="0"/>
        <v>27.952999999999999</v>
      </c>
      <c r="AF42">
        <f t="shared" si="2"/>
        <v>1939</v>
      </c>
      <c r="AG42" s="29">
        <v>1122</v>
      </c>
      <c r="AH42" s="3">
        <f t="shared" si="1"/>
        <v>21.390374331550888</v>
      </c>
    </row>
    <row r="43" spans="1:34" x14ac:dyDescent="0.55000000000000004">
      <c r="A43" s="1">
        <v>1950</v>
      </c>
      <c r="B43" s="21">
        <v>45.533000000000001</v>
      </c>
      <c r="C43" s="21">
        <v>16.297000000000001</v>
      </c>
      <c r="D43" s="3">
        <v>52.5</v>
      </c>
      <c r="E43" s="3">
        <v>25.7</v>
      </c>
      <c r="F43" s="21">
        <f t="shared" si="0"/>
        <v>29.236000000000001</v>
      </c>
      <c r="G43" s="3">
        <f>D43-E43</f>
        <v>26.8</v>
      </c>
      <c r="AF43">
        <f t="shared" si="2"/>
        <v>1940</v>
      </c>
      <c r="AG43" s="29">
        <v>1146</v>
      </c>
      <c r="AH43" s="3">
        <f t="shared" si="1"/>
        <v>21.815008726003391</v>
      </c>
    </row>
    <row r="44" spans="1:34" x14ac:dyDescent="0.55000000000000004">
      <c r="A44" s="1">
        <v>1951</v>
      </c>
      <c r="B44" s="21">
        <v>45.86</v>
      </c>
      <c r="C44" s="21">
        <v>15.568</v>
      </c>
      <c r="D44" s="3">
        <v>52.4</v>
      </c>
      <c r="E44" s="3">
        <v>25.1</v>
      </c>
      <c r="F44" s="21">
        <f t="shared" si="0"/>
        <v>30.292000000000002</v>
      </c>
      <c r="G44" s="3">
        <f t="shared" ref="G44:G107" si="3">D44-E44</f>
        <v>27.299999999999997</v>
      </c>
      <c r="AF44">
        <f t="shared" si="2"/>
        <v>1941</v>
      </c>
      <c r="AG44" s="29">
        <v>1171</v>
      </c>
      <c r="AH44" s="3">
        <f t="shared" si="1"/>
        <v>20.495303159692611</v>
      </c>
    </row>
    <row r="45" spans="1:34" x14ac:dyDescent="0.55000000000000004">
      <c r="A45" s="1">
        <v>1952</v>
      </c>
      <c r="B45" s="21">
        <v>46.093000000000004</v>
      </c>
      <c r="C45" s="21">
        <v>14.891</v>
      </c>
      <c r="D45" s="3">
        <v>52.3</v>
      </c>
      <c r="E45" s="3">
        <v>24.6</v>
      </c>
      <c r="F45" s="21">
        <f t="shared" si="0"/>
        <v>31.202000000000005</v>
      </c>
      <c r="G45" s="3">
        <f t="shared" si="3"/>
        <v>27.699999999999996</v>
      </c>
      <c r="AF45">
        <f t="shared" si="2"/>
        <v>1942</v>
      </c>
      <c r="AG45" s="29">
        <v>1195</v>
      </c>
      <c r="AH45" s="3">
        <f t="shared" si="1"/>
        <v>15.062761506276168</v>
      </c>
    </row>
    <row r="46" spans="1:34" x14ac:dyDescent="0.55000000000000004">
      <c r="A46" s="1">
        <v>1953</v>
      </c>
      <c r="B46" s="21">
        <v>46.216999999999999</v>
      </c>
      <c r="C46" s="21">
        <v>14.262</v>
      </c>
      <c r="D46" s="3">
        <v>52.1</v>
      </c>
      <c r="E46" s="3">
        <v>24</v>
      </c>
      <c r="F46" s="21">
        <f t="shared" si="0"/>
        <v>31.954999999999998</v>
      </c>
      <c r="G46" s="3">
        <f t="shared" si="3"/>
        <v>28.1</v>
      </c>
      <c r="AF46">
        <f t="shared" si="2"/>
        <v>1943</v>
      </c>
      <c r="AG46" s="29">
        <v>1213</v>
      </c>
      <c r="AH46" s="3">
        <f t="shared" si="1"/>
        <v>19.785655399835012</v>
      </c>
    </row>
    <row r="47" spans="1:34" x14ac:dyDescent="0.55000000000000004">
      <c r="A47" s="1">
        <v>1954</v>
      </c>
      <c r="B47" s="21">
        <v>46.241999999999997</v>
      </c>
      <c r="C47" s="21">
        <v>13.683999999999999</v>
      </c>
      <c r="D47" s="3">
        <v>51.9</v>
      </c>
      <c r="E47" s="3">
        <v>23.4</v>
      </c>
      <c r="F47" s="21">
        <f t="shared" si="0"/>
        <v>32.558</v>
      </c>
      <c r="G47" s="3">
        <f t="shared" si="3"/>
        <v>28.5</v>
      </c>
      <c r="AF47">
        <f t="shared" si="2"/>
        <v>1944</v>
      </c>
      <c r="AG47" s="29">
        <v>1237</v>
      </c>
      <c r="AH47" s="3">
        <f t="shared" si="1"/>
        <v>19.401778496362265</v>
      </c>
    </row>
    <row r="48" spans="1:34" x14ac:dyDescent="0.55000000000000004">
      <c r="A48" s="1">
        <v>1955</v>
      </c>
      <c r="B48" s="21">
        <v>46.098999999999997</v>
      </c>
      <c r="C48" s="21">
        <v>13.111000000000001</v>
      </c>
      <c r="D48" s="3">
        <v>51.6</v>
      </c>
      <c r="E48" s="3">
        <v>22.7</v>
      </c>
      <c r="F48" s="21">
        <f t="shared" si="0"/>
        <v>32.988</v>
      </c>
      <c r="G48" s="3">
        <f t="shared" si="3"/>
        <v>28.900000000000002</v>
      </c>
      <c r="AF48">
        <f t="shared" si="2"/>
        <v>1945</v>
      </c>
      <c r="AG48" s="29">
        <v>1261</v>
      </c>
      <c r="AH48" s="3">
        <f t="shared" si="1"/>
        <v>20.618556701030855</v>
      </c>
    </row>
    <row r="49" spans="1:34" x14ac:dyDescent="0.55000000000000004">
      <c r="A49" s="1">
        <v>1956</v>
      </c>
      <c r="B49" s="21">
        <v>46.036000000000001</v>
      </c>
      <c r="C49" s="21">
        <v>12.702</v>
      </c>
      <c r="D49" s="3">
        <v>51.2</v>
      </c>
      <c r="E49" s="3">
        <v>22</v>
      </c>
      <c r="F49" s="21">
        <f t="shared" si="0"/>
        <v>33.334000000000003</v>
      </c>
      <c r="G49" s="3">
        <f t="shared" si="3"/>
        <v>29.200000000000003</v>
      </c>
      <c r="AF49">
        <f t="shared" si="2"/>
        <v>1946</v>
      </c>
      <c r="AG49" s="29">
        <v>1287</v>
      </c>
      <c r="AH49" s="3">
        <f t="shared" si="1"/>
        <v>25.64102564102555</v>
      </c>
    </row>
    <row r="50" spans="1:34" x14ac:dyDescent="0.55000000000000004">
      <c r="A50" s="1">
        <v>1957</v>
      </c>
      <c r="B50" s="21">
        <v>45.985999999999997</v>
      </c>
      <c r="C50" s="21">
        <v>12.409000000000001</v>
      </c>
      <c r="D50" s="3">
        <v>50.8</v>
      </c>
      <c r="E50" s="3">
        <v>21.3</v>
      </c>
      <c r="F50" s="21">
        <f t="shared" si="0"/>
        <v>33.576999999999998</v>
      </c>
      <c r="G50" s="3">
        <f t="shared" si="3"/>
        <v>29.499999999999996</v>
      </c>
      <c r="AF50">
        <f t="shared" si="2"/>
        <v>1947</v>
      </c>
      <c r="AG50" s="29">
        <v>1320</v>
      </c>
      <c r="AH50" s="3">
        <f t="shared" si="1"/>
        <v>24.999999999999911</v>
      </c>
    </row>
    <row r="51" spans="1:34" x14ac:dyDescent="0.55000000000000004">
      <c r="A51" s="1">
        <v>1958</v>
      </c>
      <c r="B51" s="21">
        <v>45.954000000000001</v>
      </c>
      <c r="C51" s="21">
        <v>12.227</v>
      </c>
      <c r="D51" s="3">
        <v>50.4</v>
      </c>
      <c r="E51" s="3">
        <v>20.6</v>
      </c>
      <c r="F51" s="21">
        <f t="shared" si="0"/>
        <v>33.727000000000004</v>
      </c>
      <c r="G51" s="3">
        <f t="shared" si="3"/>
        <v>29.799999999999997</v>
      </c>
      <c r="AF51">
        <f t="shared" si="2"/>
        <v>1948</v>
      </c>
      <c r="AG51" s="29">
        <v>1353</v>
      </c>
      <c r="AH51" s="3">
        <f t="shared" si="1"/>
        <v>26.607538802660756</v>
      </c>
    </row>
    <row r="52" spans="1:34" x14ac:dyDescent="0.55000000000000004">
      <c r="A52" s="1">
        <v>1959</v>
      </c>
      <c r="B52" s="21">
        <v>45.938000000000002</v>
      </c>
      <c r="C52" s="21">
        <v>12.131</v>
      </c>
      <c r="D52" s="3">
        <v>49.9</v>
      </c>
      <c r="E52" s="3">
        <v>19.8</v>
      </c>
      <c r="F52" s="21">
        <f t="shared" si="0"/>
        <v>33.807000000000002</v>
      </c>
      <c r="G52" s="3">
        <f t="shared" si="3"/>
        <v>30.099999999999998</v>
      </c>
      <c r="AF52">
        <f t="shared" si="2"/>
        <v>1949</v>
      </c>
      <c r="AG52" s="29">
        <v>1389</v>
      </c>
      <c r="AH52" s="3">
        <f t="shared" si="1"/>
        <v>28.07775377969768</v>
      </c>
    </row>
    <row r="53" spans="1:34" x14ac:dyDescent="0.55000000000000004">
      <c r="A53" s="17">
        <v>1960</v>
      </c>
      <c r="D53" s="3">
        <v>49.4</v>
      </c>
      <c r="E53" s="3">
        <v>19.100000000000001</v>
      </c>
      <c r="G53" s="3">
        <f t="shared" si="3"/>
        <v>30.299999999999997</v>
      </c>
      <c r="AF53">
        <f t="shared" si="2"/>
        <v>1950</v>
      </c>
      <c r="AG53" s="29">
        <v>1428</v>
      </c>
      <c r="AH53" s="3">
        <f t="shared" si="1"/>
        <v>29.411764705882248</v>
      </c>
    </row>
    <row r="54" spans="1:34" x14ac:dyDescent="0.55000000000000004">
      <c r="A54" s="17">
        <v>1961</v>
      </c>
      <c r="D54" s="3">
        <v>49</v>
      </c>
      <c r="E54" s="3">
        <v>18.5</v>
      </c>
      <c r="G54" s="3">
        <f t="shared" si="3"/>
        <v>30.5</v>
      </c>
      <c r="AF54">
        <f t="shared" si="2"/>
        <v>1951</v>
      </c>
      <c r="AG54" s="29">
        <v>1470</v>
      </c>
      <c r="AH54" s="3">
        <f t="shared" si="1"/>
        <v>29.251700680272165</v>
      </c>
    </row>
    <row r="55" spans="1:34" x14ac:dyDescent="0.55000000000000004">
      <c r="A55" s="17">
        <v>1962</v>
      </c>
      <c r="D55" s="3">
        <v>48.6</v>
      </c>
      <c r="E55" s="3">
        <v>17.7</v>
      </c>
      <c r="G55" s="3">
        <f t="shared" si="3"/>
        <v>30.900000000000002</v>
      </c>
      <c r="AF55">
        <f t="shared" si="2"/>
        <v>1952</v>
      </c>
      <c r="AG55" s="29">
        <v>1513</v>
      </c>
      <c r="AH55" s="3">
        <f t="shared" si="1"/>
        <v>28.420356906807775</v>
      </c>
    </row>
    <row r="56" spans="1:34" x14ac:dyDescent="0.55000000000000004">
      <c r="A56" s="17">
        <v>1963</v>
      </c>
      <c r="D56" s="3">
        <v>48.2</v>
      </c>
      <c r="E56" s="3">
        <v>17.100000000000001</v>
      </c>
      <c r="G56" s="3">
        <f t="shared" si="3"/>
        <v>31.1</v>
      </c>
      <c r="AF56">
        <f t="shared" si="2"/>
        <v>1953</v>
      </c>
      <c r="AG56" s="29">
        <v>1556</v>
      </c>
      <c r="AH56" s="3">
        <f t="shared" si="1"/>
        <v>33.419023136246786</v>
      </c>
    </row>
    <row r="57" spans="1:34" x14ac:dyDescent="0.55000000000000004">
      <c r="A57" s="17">
        <v>1964</v>
      </c>
      <c r="D57" s="3">
        <v>47.9</v>
      </c>
      <c r="E57" s="3">
        <v>16.399999999999999</v>
      </c>
      <c r="G57" s="3">
        <f t="shared" si="3"/>
        <v>31.5</v>
      </c>
      <c r="AF57">
        <f t="shared" si="2"/>
        <v>1954</v>
      </c>
      <c r="AG57" s="29">
        <v>1608</v>
      </c>
      <c r="AH57" s="3">
        <f t="shared" si="1"/>
        <v>32.338308457711349</v>
      </c>
    </row>
    <row r="58" spans="1:34" x14ac:dyDescent="0.55000000000000004">
      <c r="A58" s="17">
        <v>1965</v>
      </c>
      <c r="D58" s="3">
        <v>47.7</v>
      </c>
      <c r="E58" s="3">
        <v>15.9</v>
      </c>
      <c r="G58" s="3">
        <f t="shared" si="3"/>
        <v>31.800000000000004</v>
      </c>
      <c r="AF58">
        <f t="shared" si="2"/>
        <v>1955</v>
      </c>
      <c r="AG58" s="29">
        <v>1660</v>
      </c>
      <c r="AH58" s="3">
        <f t="shared" si="1"/>
        <v>31.325301204819354</v>
      </c>
    </row>
    <row r="59" spans="1:34" x14ac:dyDescent="0.55000000000000004">
      <c r="A59" s="17">
        <v>1966</v>
      </c>
      <c r="D59" s="3">
        <v>47.3</v>
      </c>
      <c r="E59" s="3">
        <v>15.3</v>
      </c>
      <c r="G59" s="3">
        <f t="shared" si="3"/>
        <v>31.999999999999996</v>
      </c>
      <c r="AF59">
        <f t="shared" si="2"/>
        <v>1956</v>
      </c>
      <c r="AG59" s="29">
        <v>1712</v>
      </c>
      <c r="AH59" s="3">
        <f t="shared" si="1"/>
        <v>33.294392523364415</v>
      </c>
    </row>
    <row r="60" spans="1:34" x14ac:dyDescent="0.55000000000000004">
      <c r="A60" s="17">
        <v>1967</v>
      </c>
      <c r="D60" s="3">
        <v>46.9</v>
      </c>
      <c r="E60" s="3">
        <v>14.7</v>
      </c>
      <c r="G60" s="3">
        <f t="shared" si="3"/>
        <v>32.200000000000003</v>
      </c>
      <c r="AF60">
        <f t="shared" si="2"/>
        <v>1957</v>
      </c>
      <c r="AG60" s="29">
        <v>1769</v>
      </c>
      <c r="AH60" s="3">
        <f t="shared" si="1"/>
        <v>33.352176370830875</v>
      </c>
    </row>
    <row r="61" spans="1:34" x14ac:dyDescent="0.55000000000000004">
      <c r="A61" s="17">
        <v>1968</v>
      </c>
      <c r="D61" s="3">
        <v>46.6</v>
      </c>
      <c r="E61" s="3">
        <v>14.2</v>
      </c>
      <c r="G61" s="3">
        <f t="shared" si="3"/>
        <v>32.400000000000006</v>
      </c>
      <c r="AF61">
        <f t="shared" si="2"/>
        <v>1958</v>
      </c>
      <c r="AG61" s="29">
        <v>1828</v>
      </c>
      <c r="AH61" s="3">
        <f t="shared" si="1"/>
        <v>32.275711159737376</v>
      </c>
    </row>
    <row r="62" spans="1:34" x14ac:dyDescent="0.55000000000000004">
      <c r="A62" s="17">
        <v>1969</v>
      </c>
      <c r="D62" s="3">
        <v>46.4</v>
      </c>
      <c r="E62" s="3">
        <v>13.7</v>
      </c>
      <c r="G62" s="3">
        <f t="shared" si="3"/>
        <v>32.700000000000003</v>
      </c>
      <c r="AF62">
        <f t="shared" si="2"/>
        <v>1959</v>
      </c>
      <c r="AG62" s="29">
        <v>1887</v>
      </c>
      <c r="AH62" s="3">
        <f t="shared" si="1"/>
        <v>33.38632750397452</v>
      </c>
    </row>
    <row r="63" spans="1:34" x14ac:dyDescent="0.55000000000000004">
      <c r="A63" s="17">
        <v>1970</v>
      </c>
      <c r="D63" s="3">
        <v>46.3</v>
      </c>
      <c r="E63" s="3">
        <v>13.2</v>
      </c>
      <c r="G63" s="3">
        <f t="shared" si="3"/>
        <v>33.099999999999994</v>
      </c>
      <c r="AF63">
        <f t="shared" si="2"/>
        <v>1960</v>
      </c>
      <c r="AG63" s="29">
        <v>1950</v>
      </c>
      <c r="AH63" s="3">
        <f t="shared" si="1"/>
        <v>34.35897435897428</v>
      </c>
    </row>
    <row r="64" spans="1:34" x14ac:dyDescent="0.55000000000000004">
      <c r="A64" s="17">
        <v>1971</v>
      </c>
      <c r="D64" s="3">
        <v>46.2</v>
      </c>
      <c r="E64" s="3">
        <v>12.8</v>
      </c>
      <c r="G64" s="3">
        <f t="shared" si="3"/>
        <v>33.400000000000006</v>
      </c>
      <c r="AF64">
        <f t="shared" si="2"/>
        <v>1961</v>
      </c>
      <c r="AG64" s="29">
        <v>2017</v>
      </c>
      <c r="AH64" s="3">
        <f t="shared" si="1"/>
        <v>35.200793257312846</v>
      </c>
    </row>
    <row r="65" spans="1:34" x14ac:dyDescent="0.55000000000000004">
      <c r="A65" s="17">
        <v>1972</v>
      </c>
      <c r="D65" s="3">
        <v>46.1</v>
      </c>
      <c r="E65" s="3">
        <v>12.4</v>
      </c>
      <c r="G65" s="3">
        <f t="shared" si="3"/>
        <v>33.700000000000003</v>
      </c>
      <c r="AF65">
        <f t="shared" si="2"/>
        <v>1962</v>
      </c>
      <c r="AG65" s="29">
        <v>2088</v>
      </c>
      <c r="AH65" s="3">
        <f t="shared" si="1"/>
        <v>34.961685823754692</v>
      </c>
    </row>
    <row r="66" spans="1:34" x14ac:dyDescent="0.55000000000000004">
      <c r="A66" s="17">
        <v>1973</v>
      </c>
      <c r="D66" s="3">
        <v>45.9</v>
      </c>
      <c r="E66" s="3">
        <v>12.9</v>
      </c>
      <c r="G66" s="3">
        <f t="shared" si="3"/>
        <v>33</v>
      </c>
      <c r="AF66">
        <f t="shared" si="2"/>
        <v>1963</v>
      </c>
      <c r="AG66" s="29">
        <v>2161</v>
      </c>
      <c r="AH66" s="3">
        <f t="shared" si="1"/>
        <v>35.168903285516031</v>
      </c>
    </row>
    <row r="67" spans="1:34" x14ac:dyDescent="0.55000000000000004">
      <c r="A67" s="17">
        <v>1974</v>
      </c>
      <c r="D67" s="3">
        <v>45.8</v>
      </c>
      <c r="E67" s="3">
        <v>14.2</v>
      </c>
      <c r="G67" s="3">
        <f t="shared" si="3"/>
        <v>31.599999999999998</v>
      </c>
      <c r="AF67">
        <f t="shared" si="2"/>
        <v>1964</v>
      </c>
      <c r="AG67" s="29">
        <v>2237</v>
      </c>
      <c r="AH67" s="3">
        <f t="shared" si="1"/>
        <v>34.868126955744259</v>
      </c>
    </row>
    <row r="68" spans="1:34" x14ac:dyDescent="0.55000000000000004">
      <c r="A68" s="17">
        <v>1975</v>
      </c>
      <c r="D68" s="3">
        <v>46</v>
      </c>
      <c r="E68" s="3">
        <v>11.1</v>
      </c>
      <c r="G68" s="3">
        <f t="shared" si="3"/>
        <v>34.9</v>
      </c>
      <c r="AF68">
        <f t="shared" si="2"/>
        <v>1965</v>
      </c>
      <c r="AG68" s="29">
        <v>2315</v>
      </c>
      <c r="AH68" s="3">
        <f t="shared" ref="AH68:AH74" si="4">1000 * (AG69/AG68 - 1)</f>
        <v>34.989200863930982</v>
      </c>
    </row>
    <row r="69" spans="1:34" x14ac:dyDescent="0.55000000000000004">
      <c r="A69" s="17">
        <v>1976</v>
      </c>
      <c r="D69" s="3">
        <v>46</v>
      </c>
      <c r="E69" s="3">
        <v>10.9</v>
      </c>
      <c r="G69" s="3">
        <f t="shared" si="3"/>
        <v>35.1</v>
      </c>
      <c r="AF69">
        <f t="shared" ref="AF69:AF75" si="5">AF68+1</f>
        <v>1966</v>
      </c>
      <c r="AG69" s="29">
        <v>2396</v>
      </c>
      <c r="AH69" s="3">
        <f t="shared" si="4"/>
        <v>35.058430717863189</v>
      </c>
    </row>
    <row r="70" spans="1:34" x14ac:dyDescent="0.55000000000000004">
      <c r="A70" s="17">
        <v>1977</v>
      </c>
      <c r="D70" s="3">
        <v>45.7</v>
      </c>
      <c r="E70" s="3">
        <v>10.6</v>
      </c>
      <c r="G70" s="3">
        <f t="shared" si="3"/>
        <v>35.1</v>
      </c>
      <c r="AF70">
        <f t="shared" si="5"/>
        <v>1967</v>
      </c>
      <c r="AG70" s="29">
        <v>2480</v>
      </c>
      <c r="AH70" s="3">
        <f t="shared" si="4"/>
        <v>35.080645161290391</v>
      </c>
    </row>
    <row r="71" spans="1:34" x14ac:dyDescent="0.55000000000000004">
      <c r="A71" s="17">
        <v>1978</v>
      </c>
      <c r="D71" s="3">
        <v>45.3</v>
      </c>
      <c r="E71" s="3">
        <v>10.3</v>
      </c>
      <c r="G71" s="3">
        <f t="shared" si="3"/>
        <v>35</v>
      </c>
      <c r="AF71">
        <f t="shared" si="5"/>
        <v>1968</v>
      </c>
      <c r="AG71" s="29">
        <v>2567</v>
      </c>
      <c r="AH71" s="3">
        <f t="shared" si="4"/>
        <v>35.060381768601488</v>
      </c>
    </row>
    <row r="72" spans="1:34" x14ac:dyDescent="0.55000000000000004">
      <c r="A72" s="17">
        <v>1979</v>
      </c>
      <c r="D72" s="3">
        <v>44.9</v>
      </c>
      <c r="E72" s="3">
        <v>10</v>
      </c>
      <c r="G72" s="3">
        <f t="shared" si="3"/>
        <v>34.9</v>
      </c>
      <c r="AF72">
        <f t="shared" si="5"/>
        <v>1969</v>
      </c>
      <c r="AG72" s="29">
        <v>2657</v>
      </c>
      <c r="AH72" s="3">
        <f t="shared" si="4"/>
        <v>35.001881821603355</v>
      </c>
    </row>
    <row r="73" spans="1:34" x14ac:dyDescent="0.55000000000000004">
      <c r="A73" s="17">
        <v>1980</v>
      </c>
      <c r="D73" s="3">
        <v>44.3</v>
      </c>
      <c r="E73" s="3">
        <v>9.6999999999999993</v>
      </c>
      <c r="G73" s="3">
        <f t="shared" si="3"/>
        <v>34.599999999999994</v>
      </c>
      <c r="AF73">
        <f t="shared" si="5"/>
        <v>1970</v>
      </c>
      <c r="AG73" s="29">
        <v>2750</v>
      </c>
      <c r="AH73" s="3">
        <f t="shared" si="4"/>
        <v>34.909090909090999</v>
      </c>
    </row>
    <row r="74" spans="1:34" x14ac:dyDescent="0.55000000000000004">
      <c r="A74" s="17">
        <v>1981</v>
      </c>
      <c r="D74" s="3">
        <v>43.7</v>
      </c>
      <c r="E74" s="3">
        <v>9.4</v>
      </c>
      <c r="G74" s="3">
        <f t="shared" si="3"/>
        <v>34.300000000000004</v>
      </c>
      <c r="AF74">
        <f t="shared" si="5"/>
        <v>1971</v>
      </c>
      <c r="AG74" s="29">
        <v>2846</v>
      </c>
      <c r="AH74" s="3">
        <f t="shared" si="4"/>
        <v>35.137034434293838</v>
      </c>
    </row>
    <row r="75" spans="1:34" x14ac:dyDescent="0.55000000000000004">
      <c r="A75" s="17">
        <v>1982</v>
      </c>
      <c r="D75" s="3">
        <v>43.1</v>
      </c>
      <c r="E75" s="3">
        <v>9.1</v>
      </c>
      <c r="G75" s="3">
        <f t="shared" si="3"/>
        <v>34</v>
      </c>
      <c r="AF75">
        <f t="shared" si="5"/>
        <v>1972</v>
      </c>
      <c r="AG75" s="29">
        <v>2946</v>
      </c>
      <c r="AH75" s="3"/>
    </row>
    <row r="76" spans="1:34" x14ac:dyDescent="0.55000000000000004">
      <c r="A76" s="17">
        <v>1983</v>
      </c>
      <c r="D76" s="3">
        <v>42.4</v>
      </c>
      <c r="E76" s="3">
        <v>8.6999999999999993</v>
      </c>
      <c r="G76" s="3">
        <f t="shared" si="3"/>
        <v>33.700000000000003</v>
      </c>
    </row>
    <row r="77" spans="1:34" x14ac:dyDescent="0.55000000000000004">
      <c r="A77" s="17">
        <v>1984</v>
      </c>
      <c r="D77" s="3">
        <v>41.8</v>
      </c>
      <c r="E77" s="3">
        <v>8.5</v>
      </c>
      <c r="G77" s="3">
        <f t="shared" si="3"/>
        <v>33.299999999999997</v>
      </c>
    </row>
    <row r="78" spans="1:34" x14ac:dyDescent="0.55000000000000004">
      <c r="A78" s="17">
        <v>1985</v>
      </c>
      <c r="D78" s="3">
        <v>41.1</v>
      </c>
      <c r="E78" s="3">
        <v>8.1999999999999993</v>
      </c>
      <c r="G78" s="3">
        <f t="shared" si="3"/>
        <v>32.900000000000006</v>
      </c>
    </row>
    <row r="79" spans="1:34" x14ac:dyDescent="0.55000000000000004">
      <c r="A79" s="17">
        <v>1986</v>
      </c>
      <c r="D79" s="3">
        <v>40.5</v>
      </c>
      <c r="E79" s="3">
        <v>8</v>
      </c>
      <c r="G79" s="3">
        <f t="shared" si="3"/>
        <v>32.5</v>
      </c>
    </row>
    <row r="80" spans="1:34" x14ac:dyDescent="0.55000000000000004">
      <c r="A80" s="17">
        <v>1987</v>
      </c>
      <c r="D80" s="3">
        <v>39.9</v>
      </c>
      <c r="E80" s="3">
        <v>7.8</v>
      </c>
      <c r="G80" s="3">
        <f t="shared" si="3"/>
        <v>32.1</v>
      </c>
    </row>
    <row r="81" spans="1:7" x14ac:dyDescent="0.55000000000000004">
      <c r="A81" s="17">
        <v>1988</v>
      </c>
      <c r="D81" s="3">
        <v>39.299999999999997</v>
      </c>
      <c r="E81" s="3">
        <v>7.6</v>
      </c>
      <c r="G81" s="3">
        <f t="shared" si="3"/>
        <v>31.699999999999996</v>
      </c>
    </row>
    <row r="82" spans="1:7" x14ac:dyDescent="0.55000000000000004">
      <c r="A82" s="17">
        <v>1989</v>
      </c>
      <c r="D82" s="3">
        <v>38.799999999999997</v>
      </c>
      <c r="E82" s="3">
        <v>7.3</v>
      </c>
      <c r="G82" s="3">
        <f t="shared" si="3"/>
        <v>31.499999999999996</v>
      </c>
    </row>
    <row r="83" spans="1:7" x14ac:dyDescent="0.55000000000000004">
      <c r="A83" s="17">
        <v>1990</v>
      </c>
      <c r="D83" s="3">
        <v>38.5</v>
      </c>
      <c r="E83" s="3">
        <v>7</v>
      </c>
      <c r="G83" s="3">
        <f t="shared" si="3"/>
        <v>31.5</v>
      </c>
    </row>
    <row r="84" spans="1:7" x14ac:dyDescent="0.55000000000000004">
      <c r="A84" s="17">
        <v>1991</v>
      </c>
      <c r="D84" s="3">
        <v>38.200000000000003</v>
      </c>
      <c r="E84" s="3">
        <v>6.8</v>
      </c>
      <c r="G84" s="3">
        <f t="shared" si="3"/>
        <v>31.400000000000002</v>
      </c>
    </row>
    <row r="85" spans="1:7" x14ac:dyDescent="0.55000000000000004">
      <c r="A85" s="17">
        <v>1992</v>
      </c>
      <c r="D85" s="3">
        <v>37.9</v>
      </c>
      <c r="E85" s="3">
        <v>6.6</v>
      </c>
      <c r="G85" s="3">
        <f t="shared" si="3"/>
        <v>31.299999999999997</v>
      </c>
    </row>
    <row r="86" spans="1:7" x14ac:dyDescent="0.55000000000000004">
      <c r="A86" s="17">
        <v>1993</v>
      </c>
      <c r="D86" s="3">
        <v>37.700000000000003</v>
      </c>
      <c r="E86" s="3">
        <v>6.4</v>
      </c>
      <c r="G86" s="3">
        <f t="shared" si="3"/>
        <v>31.300000000000004</v>
      </c>
    </row>
    <row r="87" spans="1:7" x14ac:dyDescent="0.55000000000000004">
      <c r="A87" s="17">
        <v>1994</v>
      </c>
      <c r="D87" s="3">
        <v>37.299999999999997</v>
      </c>
      <c r="E87" s="3">
        <v>6.2</v>
      </c>
      <c r="G87" s="3">
        <f t="shared" si="3"/>
        <v>31.099999999999998</v>
      </c>
    </row>
    <row r="88" spans="1:7" x14ac:dyDescent="0.55000000000000004">
      <c r="A88" s="17">
        <v>1995</v>
      </c>
      <c r="D88" s="3">
        <v>36.9</v>
      </c>
      <c r="E88" s="3">
        <v>6</v>
      </c>
      <c r="G88" s="3">
        <f t="shared" si="3"/>
        <v>30.9</v>
      </c>
    </row>
    <row r="89" spans="1:7" x14ac:dyDescent="0.55000000000000004">
      <c r="A89" s="17">
        <v>1996</v>
      </c>
      <c r="D89" s="3">
        <v>36.299999999999997</v>
      </c>
      <c r="E89" s="3">
        <v>5.8</v>
      </c>
      <c r="G89" s="3">
        <f t="shared" si="3"/>
        <v>30.499999999999996</v>
      </c>
    </row>
    <row r="90" spans="1:7" x14ac:dyDescent="0.55000000000000004">
      <c r="A90" s="17">
        <v>1997</v>
      </c>
      <c r="D90" s="3">
        <v>35.700000000000003</v>
      </c>
      <c r="E90" s="3">
        <v>5.6</v>
      </c>
      <c r="G90" s="3">
        <f t="shared" si="3"/>
        <v>30.1</v>
      </c>
    </row>
    <row r="91" spans="1:7" x14ac:dyDescent="0.55000000000000004">
      <c r="A91" s="17">
        <v>1998</v>
      </c>
      <c r="D91" s="3">
        <v>35.1</v>
      </c>
      <c r="E91" s="3">
        <v>7.9</v>
      </c>
      <c r="G91" s="3">
        <f t="shared" si="3"/>
        <v>27.200000000000003</v>
      </c>
    </row>
    <row r="92" spans="1:7" x14ac:dyDescent="0.55000000000000004">
      <c r="A92" s="17">
        <v>1999</v>
      </c>
      <c r="D92" s="3">
        <v>34.6</v>
      </c>
      <c r="E92" s="3">
        <v>5.4</v>
      </c>
      <c r="G92" s="3">
        <f t="shared" si="3"/>
        <v>29.200000000000003</v>
      </c>
    </row>
    <row r="93" spans="1:7" x14ac:dyDescent="0.55000000000000004">
      <c r="A93" s="17">
        <v>2000</v>
      </c>
      <c r="D93" s="3">
        <v>34.200000000000003</v>
      </c>
      <c r="E93" s="3">
        <v>5.2</v>
      </c>
      <c r="G93" s="3">
        <f t="shared" si="3"/>
        <v>29.000000000000004</v>
      </c>
    </row>
    <row r="94" spans="1:7" x14ac:dyDescent="0.55000000000000004">
      <c r="A94" s="17">
        <v>2001</v>
      </c>
      <c r="D94" s="3">
        <v>33.4</v>
      </c>
      <c r="E94" s="3">
        <v>5.0999999999999996</v>
      </c>
      <c r="G94" s="3">
        <f t="shared" si="3"/>
        <v>28.299999999999997</v>
      </c>
    </row>
    <row r="95" spans="1:7" x14ac:dyDescent="0.55000000000000004">
      <c r="A95" s="17">
        <v>2002</v>
      </c>
      <c r="D95" s="3">
        <v>32.4</v>
      </c>
      <c r="E95" s="3">
        <v>5</v>
      </c>
      <c r="G95" s="3">
        <f t="shared" si="3"/>
        <v>27.4</v>
      </c>
    </row>
    <row r="96" spans="1:7" x14ac:dyDescent="0.55000000000000004">
      <c r="A96" s="17">
        <v>2003</v>
      </c>
      <c r="D96" s="3">
        <v>31.4</v>
      </c>
      <c r="E96" s="3">
        <v>5</v>
      </c>
      <c r="G96" s="3">
        <f t="shared" si="3"/>
        <v>26.4</v>
      </c>
    </row>
    <row r="97" spans="1:7" x14ac:dyDescent="0.55000000000000004">
      <c r="A97" s="17">
        <v>2004</v>
      </c>
      <c r="D97" s="3">
        <v>30.5</v>
      </c>
      <c r="E97" s="3">
        <v>4.9000000000000004</v>
      </c>
      <c r="G97" s="3">
        <f t="shared" si="3"/>
        <v>25.6</v>
      </c>
    </row>
    <row r="98" spans="1:7" x14ac:dyDescent="0.55000000000000004">
      <c r="A98" s="17">
        <v>2005</v>
      </c>
      <c r="D98" s="3">
        <v>29.6</v>
      </c>
      <c r="E98" s="3">
        <v>4.8</v>
      </c>
      <c r="G98" s="3">
        <f t="shared" si="3"/>
        <v>24.8</v>
      </c>
    </row>
    <row r="99" spans="1:7" x14ac:dyDescent="0.55000000000000004">
      <c r="A99" s="17">
        <v>2006</v>
      </c>
      <c r="D99" s="3">
        <v>28.7</v>
      </c>
      <c r="E99" s="3">
        <v>4.8</v>
      </c>
      <c r="G99" s="3">
        <f t="shared" si="3"/>
        <v>23.9</v>
      </c>
    </row>
    <row r="100" spans="1:7" x14ac:dyDescent="0.55000000000000004">
      <c r="A100" s="17">
        <v>2007</v>
      </c>
      <c r="D100" s="3">
        <v>28.1</v>
      </c>
      <c r="E100" s="3">
        <v>4.8</v>
      </c>
      <c r="G100" s="3">
        <f t="shared" si="3"/>
        <v>23.3</v>
      </c>
    </row>
    <row r="101" spans="1:7" x14ac:dyDescent="0.55000000000000004">
      <c r="A101" s="17">
        <v>2008</v>
      </c>
      <c r="D101" s="3">
        <v>27.5</v>
      </c>
      <c r="E101" s="3">
        <v>4.7</v>
      </c>
      <c r="G101" s="3">
        <f t="shared" si="3"/>
        <v>22.8</v>
      </c>
    </row>
    <row r="102" spans="1:7" x14ac:dyDescent="0.55000000000000004">
      <c r="A102" s="17">
        <v>2009</v>
      </c>
      <c r="D102" s="3">
        <v>27</v>
      </c>
      <c r="E102" s="3">
        <v>4.7</v>
      </c>
      <c r="G102" s="3">
        <f t="shared" si="3"/>
        <v>22.3</v>
      </c>
    </row>
    <row r="103" spans="1:7" x14ac:dyDescent="0.55000000000000004">
      <c r="A103" s="17">
        <v>2010</v>
      </c>
      <c r="D103" s="3">
        <v>26.3</v>
      </c>
      <c r="E103" s="3">
        <v>4.8</v>
      </c>
      <c r="G103" s="3">
        <f t="shared" si="3"/>
        <v>21.5</v>
      </c>
    </row>
    <row r="104" spans="1:7" x14ac:dyDescent="0.55000000000000004">
      <c r="A104" s="17">
        <v>2011</v>
      </c>
      <c r="D104" s="3">
        <v>25.8</v>
      </c>
      <c r="E104" s="3">
        <v>4.7</v>
      </c>
      <c r="G104" s="3">
        <f t="shared" si="3"/>
        <v>21.1</v>
      </c>
    </row>
    <row r="105" spans="1:7" x14ac:dyDescent="0.55000000000000004">
      <c r="A105" s="17">
        <v>2012</v>
      </c>
      <c r="D105" s="3">
        <v>25.3</v>
      </c>
      <c r="E105" s="3">
        <v>4.5999999999999996</v>
      </c>
      <c r="G105" s="3">
        <f t="shared" si="3"/>
        <v>20.700000000000003</v>
      </c>
    </row>
    <row r="106" spans="1:7" x14ac:dyDescent="0.55000000000000004">
      <c r="A106" s="17">
        <v>2013</v>
      </c>
      <c r="D106" s="3">
        <v>24.8</v>
      </c>
      <c r="E106" s="3">
        <v>4.5999999999999996</v>
      </c>
      <c r="G106" s="3">
        <f t="shared" si="3"/>
        <v>20.200000000000003</v>
      </c>
    </row>
    <row r="107" spans="1:7" x14ac:dyDescent="0.55000000000000004">
      <c r="A107" s="17">
        <v>2014</v>
      </c>
      <c r="D107" s="3">
        <v>24.4</v>
      </c>
      <c r="E107" s="3">
        <v>4.5</v>
      </c>
      <c r="G107" s="3">
        <f t="shared" si="3"/>
        <v>19.899999999999999</v>
      </c>
    </row>
    <row r="108" spans="1:7" x14ac:dyDescent="0.55000000000000004">
      <c r="A108" s="17">
        <v>2015</v>
      </c>
      <c r="D108" s="3">
        <v>24.1</v>
      </c>
      <c r="E108" s="3">
        <v>4.5</v>
      </c>
      <c r="G108" s="3">
        <f t="shared" ref="G108:G116" si="6">D108-E108</f>
        <v>19.600000000000001</v>
      </c>
    </row>
    <row r="109" spans="1:7" x14ac:dyDescent="0.55000000000000004">
      <c r="A109" s="17">
        <v>2016</v>
      </c>
      <c r="D109" s="3">
        <v>23.8</v>
      </c>
      <c r="E109" s="3">
        <v>4.4000000000000004</v>
      </c>
      <c r="G109" s="3">
        <f t="shared" si="6"/>
        <v>19.399999999999999</v>
      </c>
    </row>
    <row r="110" spans="1:7" x14ac:dyDescent="0.55000000000000004">
      <c r="A110" s="17">
        <v>2017</v>
      </c>
      <c r="D110" s="3">
        <v>23.5</v>
      </c>
      <c r="E110" s="3">
        <v>4.4000000000000004</v>
      </c>
      <c r="G110" s="3">
        <f t="shared" si="6"/>
        <v>19.100000000000001</v>
      </c>
    </row>
    <row r="111" spans="1:7" x14ac:dyDescent="0.55000000000000004">
      <c r="A111" s="17">
        <v>2018</v>
      </c>
      <c r="D111" s="3">
        <v>23.4</v>
      </c>
      <c r="E111" s="3">
        <v>4.5</v>
      </c>
      <c r="G111" s="3">
        <f t="shared" si="6"/>
        <v>18.899999999999999</v>
      </c>
    </row>
    <row r="112" spans="1:7" x14ac:dyDescent="0.55000000000000004">
      <c r="A112" s="17">
        <v>2019</v>
      </c>
      <c r="D112" s="3">
        <v>23.1</v>
      </c>
      <c r="E112" s="3">
        <v>4.5</v>
      </c>
      <c r="G112" s="3">
        <f t="shared" si="6"/>
        <v>18.600000000000001</v>
      </c>
    </row>
    <row r="113" spans="1:7" x14ac:dyDescent="0.55000000000000004">
      <c r="A113" s="17">
        <v>2020</v>
      </c>
      <c r="D113" s="3">
        <v>22.8</v>
      </c>
      <c r="E113" s="3">
        <v>5.0999999999999996</v>
      </c>
      <c r="G113" s="3">
        <f t="shared" si="6"/>
        <v>17.700000000000003</v>
      </c>
    </row>
    <row r="114" spans="1:7" x14ac:dyDescent="0.55000000000000004">
      <c r="A114" s="17">
        <v>2021</v>
      </c>
      <c r="D114" s="3">
        <v>22.5</v>
      </c>
      <c r="E114" s="3">
        <v>5.7</v>
      </c>
      <c r="G114" s="3">
        <f t="shared" si="6"/>
        <v>16.8</v>
      </c>
    </row>
    <row r="115" spans="1:7" x14ac:dyDescent="0.55000000000000004">
      <c r="A115" s="17">
        <v>2022</v>
      </c>
      <c r="D115" s="3">
        <v>22.2</v>
      </c>
      <c r="E115" s="3">
        <v>4.4000000000000004</v>
      </c>
      <c r="G115" s="3">
        <f t="shared" si="6"/>
        <v>17.799999999999997</v>
      </c>
    </row>
    <row r="116" spans="1:7" x14ac:dyDescent="0.55000000000000004">
      <c r="A116" s="17">
        <v>2023</v>
      </c>
      <c r="D116" s="3">
        <v>22</v>
      </c>
      <c r="E116" s="3">
        <v>4.5</v>
      </c>
      <c r="G116" s="3">
        <f t="shared" si="6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AV18" sqref="AV18"/>
    </sheetView>
  </sheetViews>
  <sheetFormatPr defaultRowHeight="14.4" x14ac:dyDescent="0.55000000000000004"/>
  <cols>
    <col min="15" max="15" width="4.68359375" bestFit="1" customWidth="1"/>
    <col min="16" max="16" width="12.68359375" bestFit="1" customWidth="1"/>
    <col min="17" max="17" width="10.734375" bestFit="1" customWidth="1"/>
    <col min="18" max="18" width="5.20703125" bestFit="1" customWidth="1"/>
  </cols>
  <sheetData>
    <row r="1" spans="1:21" x14ac:dyDescent="0.55000000000000004">
      <c r="B1" s="28" t="s">
        <v>90</v>
      </c>
      <c r="C1" s="28"/>
      <c r="D1" s="28"/>
      <c r="E1" s="28"/>
      <c r="I1" s="28" t="s">
        <v>89</v>
      </c>
      <c r="J1" s="28"/>
      <c r="K1" s="28"/>
      <c r="U1" s="3"/>
    </row>
    <row r="2" spans="1:21" x14ac:dyDescent="0.55000000000000004">
      <c r="A2" t="s">
        <v>73</v>
      </c>
      <c r="B2" t="s">
        <v>77</v>
      </c>
      <c r="C2" t="s">
        <v>131</v>
      </c>
      <c r="D2" s="21" t="s">
        <v>132</v>
      </c>
      <c r="E2" t="s">
        <v>133</v>
      </c>
      <c r="G2" t="s">
        <v>134</v>
      </c>
      <c r="I2" t="s">
        <v>76</v>
      </c>
      <c r="J2" s="21" t="s">
        <v>135</v>
      </c>
      <c r="K2" t="s">
        <v>136</v>
      </c>
      <c r="M2" t="s">
        <v>137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66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138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76"/>
  <sheetViews>
    <sheetView tabSelected="1" workbookViewId="0">
      <selection activeCell="AN22" sqref="AN22"/>
    </sheetView>
  </sheetViews>
  <sheetFormatPr defaultRowHeight="14.4" x14ac:dyDescent="0.55000000000000004"/>
  <cols>
    <col min="1" max="1" width="8.83984375" style="1"/>
  </cols>
  <sheetData>
    <row r="2" spans="1:37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7" x14ac:dyDescent="0.55000000000000004">
      <c r="A3" s="1">
        <v>1950</v>
      </c>
      <c r="B3" s="3">
        <v>53.1</v>
      </c>
      <c r="C3" s="3">
        <v>21.8</v>
      </c>
      <c r="D3" s="3">
        <f>B3-C3</f>
        <v>31.3</v>
      </c>
      <c r="AI3" t="s">
        <v>73</v>
      </c>
      <c r="AJ3" t="s">
        <v>154</v>
      </c>
      <c r="AK3" t="s">
        <v>155</v>
      </c>
    </row>
    <row r="4" spans="1:37" x14ac:dyDescent="0.55000000000000004">
      <c r="A4" s="1">
        <f>A3+1</f>
        <v>1951</v>
      </c>
      <c r="B4" s="3">
        <v>53.4</v>
      </c>
      <c r="C4" s="3">
        <v>21.3</v>
      </c>
      <c r="D4" s="3">
        <f t="shared" ref="D4:D67" si="0">B4-C4</f>
        <v>32.099999999999994</v>
      </c>
      <c r="AI4">
        <v>1900</v>
      </c>
      <c r="AJ4" s="29">
        <v>600</v>
      </c>
      <c r="AK4" s="3">
        <f>1000 * (AJ5/AJ4 - 1)</f>
        <v>23.333333333333428</v>
      </c>
    </row>
    <row r="5" spans="1:37" x14ac:dyDescent="0.55000000000000004">
      <c r="A5" s="1">
        <f t="shared" ref="A5:A68" si="1">A4+1</f>
        <v>1952</v>
      </c>
      <c r="B5" s="3">
        <v>53.9</v>
      </c>
      <c r="C5" s="3">
        <v>20.7</v>
      </c>
      <c r="D5" s="3">
        <f t="shared" si="0"/>
        <v>33.200000000000003</v>
      </c>
      <c r="AI5">
        <f>AI4+1</f>
        <v>1901</v>
      </c>
      <c r="AJ5" s="29">
        <v>614</v>
      </c>
      <c r="AK5" s="3">
        <f t="shared" ref="AK5:AK68" si="2">1000 * (AJ6/AJ5 - 1)</f>
        <v>22.801302931596101</v>
      </c>
    </row>
    <row r="6" spans="1:37" x14ac:dyDescent="0.55000000000000004">
      <c r="A6" s="1">
        <f t="shared" si="1"/>
        <v>1953</v>
      </c>
      <c r="B6" s="3">
        <v>54.2</v>
      </c>
      <c r="C6" s="3">
        <v>20.2</v>
      </c>
      <c r="D6" s="3">
        <f t="shared" si="0"/>
        <v>34</v>
      </c>
      <c r="AI6">
        <f t="shared" ref="AI6:AI69" si="3">AI5+1</f>
        <v>1902</v>
      </c>
      <c r="AJ6" s="29">
        <v>628</v>
      </c>
      <c r="AK6" s="3">
        <f t="shared" si="2"/>
        <v>22.292993630573356</v>
      </c>
    </row>
    <row r="7" spans="1:37" x14ac:dyDescent="0.55000000000000004">
      <c r="A7" s="1">
        <f t="shared" si="1"/>
        <v>1954</v>
      </c>
      <c r="B7" s="3">
        <v>54.4</v>
      </c>
      <c r="C7" s="3">
        <v>19.7</v>
      </c>
      <c r="D7" s="3">
        <f t="shared" si="0"/>
        <v>34.700000000000003</v>
      </c>
      <c r="AI7">
        <f t="shared" si="3"/>
        <v>1903</v>
      </c>
      <c r="AJ7" s="29">
        <v>642</v>
      </c>
      <c r="AK7" s="3">
        <f t="shared" si="2"/>
        <v>21.80685358255441</v>
      </c>
    </row>
    <row r="8" spans="1:37" x14ac:dyDescent="0.55000000000000004">
      <c r="A8" s="1">
        <f t="shared" si="1"/>
        <v>1955</v>
      </c>
      <c r="B8" s="3">
        <v>54.4</v>
      </c>
      <c r="C8" s="3">
        <v>19.100000000000001</v>
      </c>
      <c r="D8" s="3">
        <f t="shared" si="0"/>
        <v>35.299999999999997</v>
      </c>
      <c r="AI8">
        <f t="shared" si="3"/>
        <v>1904</v>
      </c>
      <c r="AJ8" s="29">
        <v>656</v>
      </c>
      <c r="AK8" s="3">
        <f t="shared" si="2"/>
        <v>21.341463414634056</v>
      </c>
    </row>
    <row r="9" spans="1:37" x14ac:dyDescent="0.55000000000000004">
      <c r="A9" s="1">
        <f t="shared" si="1"/>
        <v>1956</v>
      </c>
      <c r="B9" s="3">
        <v>54.2</v>
      </c>
      <c r="C9" s="3">
        <v>18.5</v>
      </c>
      <c r="D9" s="3">
        <f t="shared" si="0"/>
        <v>35.700000000000003</v>
      </c>
      <c r="AI9">
        <f t="shared" si="3"/>
        <v>1905</v>
      </c>
      <c r="AJ9" s="29">
        <v>670</v>
      </c>
      <c r="AK9" s="3">
        <f t="shared" si="2"/>
        <v>20.895522388059806</v>
      </c>
    </row>
    <row r="10" spans="1:37" x14ac:dyDescent="0.55000000000000004">
      <c r="A10" s="1">
        <f t="shared" si="1"/>
        <v>1957</v>
      </c>
      <c r="B10" s="3">
        <v>53.9</v>
      </c>
      <c r="C10" s="3">
        <v>17.899999999999999</v>
      </c>
      <c r="D10" s="3">
        <f t="shared" si="0"/>
        <v>36</v>
      </c>
      <c r="AI10">
        <f t="shared" si="3"/>
        <v>1906</v>
      </c>
      <c r="AJ10" s="29">
        <v>684</v>
      </c>
      <c r="AK10" s="3">
        <f t="shared" si="2"/>
        <v>20.467836257309855</v>
      </c>
    </row>
    <row r="11" spans="1:37" x14ac:dyDescent="0.55000000000000004">
      <c r="A11" s="1">
        <f t="shared" si="1"/>
        <v>1958</v>
      </c>
      <c r="B11" s="3">
        <v>53.4</v>
      </c>
      <c r="C11" s="3">
        <v>17.3</v>
      </c>
      <c r="D11" s="3">
        <f t="shared" si="0"/>
        <v>36.099999999999994</v>
      </c>
      <c r="AI11">
        <f t="shared" si="3"/>
        <v>1907</v>
      </c>
      <c r="AJ11" s="29">
        <v>698</v>
      </c>
      <c r="AK11" s="3">
        <f t="shared" si="2"/>
        <v>20.057306590257838</v>
      </c>
    </row>
    <row r="12" spans="1:37" x14ac:dyDescent="0.55000000000000004">
      <c r="A12" s="1">
        <f t="shared" si="1"/>
        <v>1959</v>
      </c>
      <c r="B12" s="3">
        <v>52.8</v>
      </c>
      <c r="C12" s="3">
        <v>16.7</v>
      </c>
      <c r="D12" s="3">
        <f t="shared" si="0"/>
        <v>36.099999999999994</v>
      </c>
      <c r="AI12">
        <f t="shared" si="3"/>
        <v>1908</v>
      </c>
      <c r="AJ12" s="29">
        <v>712</v>
      </c>
      <c r="AK12" s="3">
        <f t="shared" si="2"/>
        <v>19.662921348314597</v>
      </c>
    </row>
    <row r="13" spans="1:37" x14ac:dyDescent="0.55000000000000004">
      <c r="A13" s="1">
        <f t="shared" si="1"/>
        <v>1960</v>
      </c>
      <c r="B13" s="3">
        <v>52</v>
      </c>
      <c r="C13" s="3">
        <v>16.100000000000001</v>
      </c>
      <c r="D13" s="3">
        <f t="shared" si="0"/>
        <v>35.9</v>
      </c>
      <c r="AI13">
        <f t="shared" si="3"/>
        <v>1909</v>
      </c>
      <c r="AJ13" s="29">
        <v>726</v>
      </c>
      <c r="AK13" s="3">
        <f t="shared" si="2"/>
        <v>19.283746556473915</v>
      </c>
    </row>
    <row r="14" spans="1:37" x14ac:dyDescent="0.55000000000000004">
      <c r="A14" s="1">
        <f t="shared" si="1"/>
        <v>1961</v>
      </c>
      <c r="B14" s="3">
        <v>51.2</v>
      </c>
      <c r="C14" s="3">
        <v>15.5</v>
      </c>
      <c r="D14" s="3">
        <f t="shared" si="0"/>
        <v>35.700000000000003</v>
      </c>
      <c r="AI14">
        <f t="shared" si="3"/>
        <v>1910</v>
      </c>
      <c r="AJ14" s="29">
        <v>740</v>
      </c>
      <c r="AK14" s="3">
        <f t="shared" si="2"/>
        <v>17.567567567567501</v>
      </c>
    </row>
    <row r="15" spans="1:37" x14ac:dyDescent="0.55000000000000004">
      <c r="A15" s="1">
        <f t="shared" si="1"/>
        <v>1962</v>
      </c>
      <c r="B15" s="3">
        <v>50.2</v>
      </c>
      <c r="C15" s="3">
        <v>14.9</v>
      </c>
      <c r="D15" s="3">
        <f t="shared" si="0"/>
        <v>35.300000000000004</v>
      </c>
      <c r="AI15">
        <f t="shared" si="3"/>
        <v>1911</v>
      </c>
      <c r="AJ15" s="29">
        <v>753</v>
      </c>
      <c r="AK15" s="3">
        <f t="shared" si="2"/>
        <v>18.592297476759612</v>
      </c>
    </row>
    <row r="16" spans="1:37" x14ac:dyDescent="0.55000000000000004">
      <c r="A16" s="1">
        <f t="shared" si="1"/>
        <v>1963</v>
      </c>
      <c r="B16" s="3">
        <v>49.2</v>
      </c>
      <c r="C16" s="3">
        <v>14.3</v>
      </c>
      <c r="D16" s="3">
        <f t="shared" si="0"/>
        <v>34.900000000000006</v>
      </c>
      <c r="AI16">
        <f t="shared" si="3"/>
        <v>1912</v>
      </c>
      <c r="AJ16" s="29">
        <v>767</v>
      </c>
      <c r="AK16" s="3">
        <f t="shared" si="2"/>
        <v>18.25293350717083</v>
      </c>
    </row>
    <row r="17" spans="1:37" x14ac:dyDescent="0.55000000000000004">
      <c r="A17" s="1">
        <f t="shared" si="1"/>
        <v>1964</v>
      </c>
      <c r="B17" s="3">
        <v>48.1</v>
      </c>
      <c r="C17" s="3">
        <v>13.6</v>
      </c>
      <c r="D17" s="3">
        <f t="shared" si="0"/>
        <v>34.5</v>
      </c>
      <c r="AI17">
        <f t="shared" si="3"/>
        <v>1913</v>
      </c>
      <c r="AJ17" s="29">
        <v>781</v>
      </c>
      <c r="AK17" s="3">
        <f t="shared" si="2"/>
        <v>17.925736235595345</v>
      </c>
    </row>
    <row r="18" spans="1:37" x14ac:dyDescent="0.55000000000000004">
      <c r="A18" s="1">
        <f t="shared" si="1"/>
        <v>1965</v>
      </c>
      <c r="B18" s="3">
        <v>47</v>
      </c>
      <c r="C18" s="3">
        <v>14.1</v>
      </c>
      <c r="D18" s="3">
        <f t="shared" si="0"/>
        <v>32.9</v>
      </c>
      <c r="AI18">
        <f t="shared" si="3"/>
        <v>1914</v>
      </c>
      <c r="AJ18" s="29">
        <v>795</v>
      </c>
      <c r="AK18" s="3">
        <f t="shared" si="2"/>
        <v>17.610062893081757</v>
      </c>
    </row>
    <row r="19" spans="1:37" x14ac:dyDescent="0.55000000000000004">
      <c r="A19" s="1">
        <f t="shared" si="1"/>
        <v>1966</v>
      </c>
      <c r="B19" s="3">
        <v>46.2</v>
      </c>
      <c r="C19" s="3">
        <v>12.6</v>
      </c>
      <c r="D19" s="3">
        <f t="shared" si="0"/>
        <v>33.6</v>
      </c>
      <c r="AI19">
        <f t="shared" si="3"/>
        <v>1915</v>
      </c>
      <c r="AJ19" s="29">
        <v>809</v>
      </c>
      <c r="AK19" s="3">
        <f t="shared" si="2"/>
        <v>17.305315203955509</v>
      </c>
    </row>
    <row r="20" spans="1:37" x14ac:dyDescent="0.55000000000000004">
      <c r="A20" s="1">
        <f t="shared" si="1"/>
        <v>1967</v>
      </c>
      <c r="B20" s="3">
        <v>45</v>
      </c>
      <c r="C20" s="3">
        <v>12</v>
      </c>
      <c r="D20" s="3">
        <f t="shared" si="0"/>
        <v>33</v>
      </c>
      <c r="AI20">
        <f t="shared" si="3"/>
        <v>1916</v>
      </c>
      <c r="AJ20" s="29">
        <v>823</v>
      </c>
      <c r="AK20" s="3">
        <f t="shared" si="2"/>
        <v>17.010935601458055</v>
      </c>
    </row>
    <row r="21" spans="1:37" x14ac:dyDescent="0.55000000000000004">
      <c r="A21" s="1">
        <f t="shared" si="1"/>
        <v>1968</v>
      </c>
      <c r="B21" s="3">
        <v>43.6</v>
      </c>
      <c r="C21" s="3">
        <v>11.5</v>
      </c>
      <c r="D21" s="3">
        <f t="shared" si="0"/>
        <v>32.1</v>
      </c>
      <c r="AI21">
        <f t="shared" si="3"/>
        <v>1917</v>
      </c>
      <c r="AJ21" s="29">
        <v>837</v>
      </c>
      <c r="AK21" s="3">
        <f t="shared" si="2"/>
        <v>16.726403823178025</v>
      </c>
    </row>
    <row r="22" spans="1:37" x14ac:dyDescent="0.55000000000000004">
      <c r="A22" s="1">
        <f t="shared" si="1"/>
        <v>1969</v>
      </c>
      <c r="B22" s="3">
        <v>42.7</v>
      </c>
      <c r="C22" s="3">
        <v>11</v>
      </c>
      <c r="D22" s="3">
        <f t="shared" si="0"/>
        <v>31.700000000000003</v>
      </c>
      <c r="AI22">
        <f t="shared" si="3"/>
        <v>1918</v>
      </c>
      <c r="AJ22" s="29">
        <v>851</v>
      </c>
      <c r="AK22" s="3">
        <f t="shared" si="2"/>
        <v>16.451233842538215</v>
      </c>
    </row>
    <row r="23" spans="1:37" x14ac:dyDescent="0.55000000000000004">
      <c r="A23" s="1">
        <f t="shared" si="1"/>
        <v>1970</v>
      </c>
      <c r="B23" s="3">
        <v>41.9</v>
      </c>
      <c r="C23" s="3">
        <v>10.6</v>
      </c>
      <c r="D23" s="3">
        <f t="shared" si="0"/>
        <v>31.299999999999997</v>
      </c>
      <c r="AI23">
        <f t="shared" si="3"/>
        <v>1919</v>
      </c>
      <c r="AJ23" s="29">
        <v>865</v>
      </c>
      <c r="AK23" s="3">
        <f t="shared" si="2"/>
        <v>16.184971098265997</v>
      </c>
    </row>
    <row r="24" spans="1:37" x14ac:dyDescent="0.55000000000000004">
      <c r="A24" s="1">
        <f t="shared" si="1"/>
        <v>1971</v>
      </c>
      <c r="B24" s="3">
        <v>41.2</v>
      </c>
      <c r="C24" s="3">
        <v>10.199999999999999</v>
      </c>
      <c r="D24" s="3">
        <f t="shared" si="0"/>
        <v>31.000000000000004</v>
      </c>
      <c r="AI24">
        <f t="shared" si="3"/>
        <v>1920</v>
      </c>
      <c r="AJ24" s="29">
        <v>879</v>
      </c>
      <c r="AK24" s="3">
        <f t="shared" si="2"/>
        <v>37.542662116040844</v>
      </c>
    </row>
    <row r="25" spans="1:37" x14ac:dyDescent="0.55000000000000004">
      <c r="A25" s="1">
        <f t="shared" si="1"/>
        <v>1972</v>
      </c>
      <c r="B25" s="3">
        <v>40.6</v>
      </c>
      <c r="C25" s="3">
        <v>9.8000000000000007</v>
      </c>
      <c r="D25" s="3">
        <f t="shared" si="0"/>
        <v>30.8</v>
      </c>
      <c r="AI25">
        <f t="shared" si="3"/>
        <v>1921</v>
      </c>
      <c r="AJ25" s="29">
        <v>912</v>
      </c>
      <c r="AK25" s="3">
        <f t="shared" si="2"/>
        <v>37.280701754385916</v>
      </c>
    </row>
    <row r="26" spans="1:37" x14ac:dyDescent="0.55000000000000004">
      <c r="A26" s="1">
        <f t="shared" si="1"/>
        <v>1973</v>
      </c>
      <c r="B26" s="3">
        <v>40</v>
      </c>
      <c r="C26" s="3">
        <v>9.4</v>
      </c>
      <c r="D26" s="3">
        <f t="shared" si="0"/>
        <v>30.6</v>
      </c>
      <c r="AI26">
        <f t="shared" si="3"/>
        <v>1922</v>
      </c>
      <c r="AJ26" s="29">
        <v>946</v>
      </c>
      <c r="AK26" s="3">
        <f t="shared" si="2"/>
        <v>36.997885835095225</v>
      </c>
    </row>
    <row r="27" spans="1:37" x14ac:dyDescent="0.55000000000000004">
      <c r="A27" s="1">
        <f t="shared" si="1"/>
        <v>1974</v>
      </c>
      <c r="B27" s="3">
        <v>39.1</v>
      </c>
      <c r="C27" s="3">
        <v>9.1</v>
      </c>
      <c r="D27" s="3">
        <f t="shared" si="0"/>
        <v>30</v>
      </c>
      <c r="AI27">
        <f t="shared" si="3"/>
        <v>1923</v>
      </c>
      <c r="AJ27" s="29">
        <v>981</v>
      </c>
      <c r="AK27" s="3">
        <f t="shared" si="2"/>
        <v>36.697247706422019</v>
      </c>
    </row>
    <row r="28" spans="1:37" x14ac:dyDescent="0.55000000000000004">
      <c r="A28" s="1">
        <f t="shared" si="1"/>
        <v>1975</v>
      </c>
      <c r="B28" s="3">
        <v>38.4</v>
      </c>
      <c r="C28" s="3">
        <v>8.8000000000000007</v>
      </c>
      <c r="D28" s="3">
        <f t="shared" si="0"/>
        <v>29.599999999999998</v>
      </c>
      <c r="AI28">
        <f t="shared" si="3"/>
        <v>1924</v>
      </c>
      <c r="AJ28" s="29">
        <v>1017</v>
      </c>
      <c r="AK28" s="3">
        <f t="shared" si="2"/>
        <v>36.381514257620481</v>
      </c>
    </row>
    <row r="29" spans="1:37" x14ac:dyDescent="0.55000000000000004">
      <c r="A29" s="1">
        <f t="shared" si="1"/>
        <v>1976</v>
      </c>
      <c r="B29" s="3">
        <v>37.700000000000003</v>
      </c>
      <c r="C29" s="3">
        <v>8.5</v>
      </c>
      <c r="D29" s="3">
        <f t="shared" si="0"/>
        <v>29.200000000000003</v>
      </c>
      <c r="AI29">
        <f t="shared" si="3"/>
        <v>1925</v>
      </c>
      <c r="AJ29" s="29">
        <v>1054</v>
      </c>
      <c r="AK29" s="3">
        <f t="shared" si="2"/>
        <v>36.053130929791344</v>
      </c>
    </row>
    <row r="30" spans="1:37" x14ac:dyDescent="0.55000000000000004">
      <c r="A30" s="1">
        <f t="shared" si="1"/>
        <v>1977</v>
      </c>
      <c r="B30" s="3">
        <v>37</v>
      </c>
      <c r="C30" s="3">
        <v>8.1999999999999993</v>
      </c>
      <c r="D30" s="3">
        <f t="shared" si="0"/>
        <v>28.8</v>
      </c>
      <c r="AI30">
        <f t="shared" si="3"/>
        <v>1926</v>
      </c>
      <c r="AJ30" s="29">
        <v>1092</v>
      </c>
      <c r="AK30" s="3">
        <f t="shared" si="2"/>
        <v>35.714285714285808</v>
      </c>
    </row>
    <row r="31" spans="1:37" x14ac:dyDescent="0.55000000000000004">
      <c r="A31" s="1">
        <f t="shared" si="1"/>
        <v>1978</v>
      </c>
      <c r="B31" s="3">
        <v>36.299999999999997</v>
      </c>
      <c r="C31" s="3">
        <v>8</v>
      </c>
      <c r="D31" s="3">
        <f t="shared" si="0"/>
        <v>28.299999999999997</v>
      </c>
      <c r="AI31">
        <f t="shared" si="3"/>
        <v>1927</v>
      </c>
      <c r="AJ31" s="29">
        <v>1131</v>
      </c>
      <c r="AK31" s="3">
        <f t="shared" si="2"/>
        <v>36.251105216622562</v>
      </c>
    </row>
    <row r="32" spans="1:37" x14ac:dyDescent="0.55000000000000004">
      <c r="A32" s="1">
        <f t="shared" si="1"/>
        <v>1979</v>
      </c>
      <c r="B32" s="3">
        <v>35.799999999999997</v>
      </c>
      <c r="C32" s="3">
        <v>8.1</v>
      </c>
      <c r="D32" s="3">
        <f t="shared" si="0"/>
        <v>27.699999999999996</v>
      </c>
      <c r="AI32">
        <f t="shared" si="3"/>
        <v>1928</v>
      </c>
      <c r="AJ32" s="29">
        <v>1172</v>
      </c>
      <c r="AK32" s="3">
        <f t="shared" si="2"/>
        <v>34.982935153583526</v>
      </c>
    </row>
    <row r="33" spans="1:37" x14ac:dyDescent="0.55000000000000004">
      <c r="A33" s="1">
        <f t="shared" si="1"/>
        <v>1980</v>
      </c>
      <c r="B33" s="3">
        <v>35.1</v>
      </c>
      <c r="C33" s="3">
        <v>7.6</v>
      </c>
      <c r="D33" s="3">
        <f t="shared" si="0"/>
        <v>27.5</v>
      </c>
      <c r="AI33">
        <f t="shared" si="3"/>
        <v>1929</v>
      </c>
      <c r="AJ33" s="29">
        <v>1213</v>
      </c>
      <c r="AK33" s="3">
        <f t="shared" si="2"/>
        <v>35.449299258037968</v>
      </c>
    </row>
    <row r="34" spans="1:37" x14ac:dyDescent="0.55000000000000004">
      <c r="A34" s="1">
        <f t="shared" si="1"/>
        <v>1981</v>
      </c>
      <c r="B34" s="3">
        <v>34.4</v>
      </c>
      <c r="C34" s="3">
        <v>7.4</v>
      </c>
      <c r="D34" s="3">
        <f t="shared" si="0"/>
        <v>27</v>
      </c>
      <c r="AI34">
        <f t="shared" si="3"/>
        <v>1930</v>
      </c>
      <c r="AJ34" s="29">
        <v>1256</v>
      </c>
      <c r="AK34" s="3">
        <f t="shared" si="2"/>
        <v>35.031847133758063</v>
      </c>
    </row>
    <row r="35" spans="1:37" x14ac:dyDescent="0.55000000000000004">
      <c r="A35" s="1">
        <f t="shared" si="1"/>
        <v>1982</v>
      </c>
      <c r="B35" s="3">
        <v>33.799999999999997</v>
      </c>
      <c r="C35" s="3">
        <v>7.2</v>
      </c>
      <c r="D35" s="3">
        <f t="shared" si="0"/>
        <v>26.599999999999998</v>
      </c>
      <c r="AI35">
        <f t="shared" si="3"/>
        <v>1931</v>
      </c>
      <c r="AJ35" s="29">
        <v>1300</v>
      </c>
      <c r="AK35" s="3">
        <f t="shared" si="2"/>
        <v>34.615384615384713</v>
      </c>
    </row>
    <row r="36" spans="1:37" x14ac:dyDescent="0.55000000000000004">
      <c r="A36" s="1">
        <f t="shared" si="1"/>
        <v>1983</v>
      </c>
      <c r="B36" s="3">
        <v>33.6</v>
      </c>
      <c r="C36" s="3">
        <v>7.1</v>
      </c>
      <c r="D36" s="3">
        <f t="shared" si="0"/>
        <v>26.5</v>
      </c>
      <c r="AI36">
        <f t="shared" si="3"/>
        <v>1932</v>
      </c>
      <c r="AJ36" s="29">
        <v>1345</v>
      </c>
      <c r="AK36" s="3">
        <f t="shared" si="2"/>
        <v>34.200743494423811</v>
      </c>
    </row>
    <row r="37" spans="1:37" x14ac:dyDescent="0.55000000000000004">
      <c r="A37" s="1">
        <f t="shared" si="1"/>
        <v>1984</v>
      </c>
      <c r="B37" s="3">
        <v>33</v>
      </c>
      <c r="C37" s="3">
        <v>6.9</v>
      </c>
      <c r="D37" s="3">
        <f t="shared" si="0"/>
        <v>26.1</v>
      </c>
      <c r="AI37">
        <f t="shared" si="3"/>
        <v>1933</v>
      </c>
      <c r="AJ37" s="29">
        <v>1391</v>
      </c>
      <c r="AK37" s="3">
        <f t="shared" si="2"/>
        <v>33.788641265276809</v>
      </c>
    </row>
    <row r="38" spans="1:37" x14ac:dyDescent="0.55000000000000004">
      <c r="A38" s="1">
        <f t="shared" si="1"/>
        <v>1985</v>
      </c>
      <c r="B38" s="3">
        <v>32.200000000000003</v>
      </c>
      <c r="C38" s="3">
        <v>6.7</v>
      </c>
      <c r="D38" s="3">
        <f t="shared" si="0"/>
        <v>25.500000000000004</v>
      </c>
      <c r="AI38">
        <f t="shared" si="3"/>
        <v>1934</v>
      </c>
      <c r="AJ38" s="29">
        <v>1438</v>
      </c>
      <c r="AK38" s="3">
        <f t="shared" si="2"/>
        <v>31.988873435326859</v>
      </c>
    </row>
    <row r="39" spans="1:37" x14ac:dyDescent="0.55000000000000004">
      <c r="A39" s="1">
        <f t="shared" si="1"/>
        <v>1986</v>
      </c>
      <c r="B39" s="3">
        <v>31.8</v>
      </c>
      <c r="C39" s="3">
        <v>6.5</v>
      </c>
      <c r="D39" s="3">
        <f t="shared" si="0"/>
        <v>25.3</v>
      </c>
      <c r="AI39">
        <f t="shared" si="3"/>
        <v>1935</v>
      </c>
      <c r="AJ39" s="29">
        <v>1484</v>
      </c>
      <c r="AK39" s="3">
        <f t="shared" si="2"/>
        <v>24.258760107816801</v>
      </c>
    </row>
    <row r="40" spans="1:37" x14ac:dyDescent="0.55000000000000004">
      <c r="A40" s="1">
        <f t="shared" si="1"/>
        <v>1987</v>
      </c>
      <c r="B40" s="3">
        <v>31.4</v>
      </c>
      <c r="C40" s="3">
        <v>6.4</v>
      </c>
      <c r="D40" s="3">
        <f t="shared" si="0"/>
        <v>25</v>
      </c>
      <c r="AI40">
        <f t="shared" si="3"/>
        <v>1936</v>
      </c>
      <c r="AJ40" s="29">
        <v>1520</v>
      </c>
      <c r="AK40" s="3">
        <f t="shared" si="2"/>
        <v>24.999999999999911</v>
      </c>
    </row>
    <row r="41" spans="1:37" x14ac:dyDescent="0.55000000000000004">
      <c r="A41" s="1">
        <f t="shared" si="1"/>
        <v>1988</v>
      </c>
      <c r="B41" s="3">
        <v>31.3</v>
      </c>
      <c r="C41" s="3">
        <v>6.3</v>
      </c>
      <c r="D41" s="3">
        <f t="shared" si="0"/>
        <v>25</v>
      </c>
      <c r="AI41">
        <f t="shared" si="3"/>
        <v>1937</v>
      </c>
      <c r="AJ41" s="29">
        <v>1558</v>
      </c>
      <c r="AK41" s="3">
        <f t="shared" si="2"/>
        <v>24.390243902439046</v>
      </c>
    </row>
    <row r="42" spans="1:37" x14ac:dyDescent="0.55000000000000004">
      <c r="A42" s="1">
        <f t="shared" si="1"/>
        <v>1989</v>
      </c>
      <c r="B42" s="3">
        <v>31.2</v>
      </c>
      <c r="C42" s="3">
        <v>6.2</v>
      </c>
      <c r="D42" s="3">
        <f t="shared" si="0"/>
        <v>25</v>
      </c>
      <c r="AI42">
        <f t="shared" si="3"/>
        <v>1938</v>
      </c>
      <c r="AJ42" s="29">
        <v>1596</v>
      </c>
      <c r="AK42" s="3">
        <f t="shared" si="2"/>
        <v>23.809523809523725</v>
      </c>
    </row>
    <row r="43" spans="1:37" x14ac:dyDescent="0.55000000000000004">
      <c r="A43" s="1">
        <f t="shared" si="1"/>
        <v>1990</v>
      </c>
      <c r="B43" s="3">
        <v>30.8</v>
      </c>
      <c r="C43" s="3">
        <v>6.1</v>
      </c>
      <c r="D43" s="3">
        <f t="shared" si="0"/>
        <v>24.700000000000003</v>
      </c>
      <c r="AI43">
        <f t="shared" si="3"/>
        <v>1939</v>
      </c>
      <c r="AJ43" s="29">
        <v>1634</v>
      </c>
      <c r="AK43" s="3">
        <f t="shared" si="2"/>
        <v>76.499388004895863</v>
      </c>
    </row>
    <row r="44" spans="1:37" x14ac:dyDescent="0.55000000000000004">
      <c r="A44" s="1">
        <f t="shared" si="1"/>
        <v>1991</v>
      </c>
      <c r="B44" s="3">
        <v>30.2</v>
      </c>
      <c r="C44" s="3">
        <v>5.9</v>
      </c>
      <c r="D44" s="3">
        <f t="shared" si="0"/>
        <v>24.299999999999997</v>
      </c>
      <c r="AI44">
        <f t="shared" si="3"/>
        <v>1940</v>
      </c>
      <c r="AJ44" s="29">
        <v>1759</v>
      </c>
      <c r="AK44" s="3">
        <f t="shared" si="2"/>
        <v>23.877202956225084</v>
      </c>
    </row>
    <row r="45" spans="1:37" x14ac:dyDescent="0.55000000000000004">
      <c r="A45" s="1">
        <f t="shared" si="1"/>
        <v>1992</v>
      </c>
      <c r="B45" s="3">
        <v>29.7</v>
      </c>
      <c r="C45" s="3">
        <v>5.8</v>
      </c>
      <c r="D45" s="3">
        <f t="shared" si="0"/>
        <v>23.9</v>
      </c>
      <c r="AI45">
        <f t="shared" si="3"/>
        <v>1941</v>
      </c>
      <c r="AJ45" s="29">
        <v>1801</v>
      </c>
      <c r="AK45" s="3">
        <f t="shared" si="2"/>
        <v>23.875624652970551</v>
      </c>
    </row>
    <row r="46" spans="1:37" x14ac:dyDescent="0.55000000000000004">
      <c r="A46" s="1">
        <f t="shared" si="1"/>
        <v>1993</v>
      </c>
      <c r="B46" s="3">
        <v>29.1</v>
      </c>
      <c r="C46" s="3">
        <v>5.8</v>
      </c>
      <c r="D46" s="3">
        <f t="shared" si="0"/>
        <v>23.3</v>
      </c>
      <c r="AI46">
        <f t="shared" si="3"/>
        <v>1942</v>
      </c>
      <c r="AJ46" s="29">
        <v>1844</v>
      </c>
      <c r="AK46" s="3">
        <f t="shared" si="2"/>
        <v>24.403470715835152</v>
      </c>
    </row>
    <row r="47" spans="1:37" x14ac:dyDescent="0.55000000000000004">
      <c r="A47" s="1">
        <f t="shared" si="1"/>
        <v>1994</v>
      </c>
      <c r="B47" s="3">
        <v>28.5</v>
      </c>
      <c r="C47" s="3">
        <v>5.7</v>
      </c>
      <c r="D47" s="3">
        <f t="shared" si="0"/>
        <v>22.8</v>
      </c>
      <c r="AI47">
        <f t="shared" si="3"/>
        <v>1943</v>
      </c>
      <c r="AJ47" s="29">
        <v>1889</v>
      </c>
      <c r="AK47" s="3">
        <f t="shared" si="2"/>
        <v>23.822128110111194</v>
      </c>
    </row>
    <row r="48" spans="1:37" x14ac:dyDescent="0.55000000000000004">
      <c r="A48" s="1">
        <f t="shared" si="1"/>
        <v>1995</v>
      </c>
      <c r="B48" s="3">
        <v>27.9</v>
      </c>
      <c r="C48" s="3">
        <v>5.6</v>
      </c>
      <c r="D48" s="3">
        <f t="shared" si="0"/>
        <v>22.299999999999997</v>
      </c>
      <c r="AI48">
        <f t="shared" si="3"/>
        <v>1944</v>
      </c>
      <c r="AJ48" s="29">
        <v>1934</v>
      </c>
      <c r="AK48" s="3">
        <f t="shared" si="2"/>
        <v>24.819027921406445</v>
      </c>
    </row>
    <row r="49" spans="1:37" x14ac:dyDescent="0.55000000000000004">
      <c r="A49" s="1">
        <f t="shared" si="1"/>
        <v>1996</v>
      </c>
      <c r="B49" s="3">
        <v>27.3</v>
      </c>
      <c r="C49" s="3">
        <v>5.6</v>
      </c>
      <c r="D49" s="3">
        <f t="shared" si="0"/>
        <v>21.700000000000003</v>
      </c>
      <c r="AI49">
        <f t="shared" si="3"/>
        <v>1945</v>
      </c>
      <c r="AJ49" s="29">
        <v>1982</v>
      </c>
      <c r="AK49" s="3">
        <f t="shared" si="2"/>
        <v>24.217961654894093</v>
      </c>
    </row>
    <row r="50" spans="1:37" x14ac:dyDescent="0.55000000000000004">
      <c r="A50" s="1">
        <f t="shared" si="1"/>
        <v>1997</v>
      </c>
      <c r="B50" s="3">
        <v>26.2</v>
      </c>
      <c r="C50" s="3">
        <v>5.6</v>
      </c>
      <c r="D50" s="3">
        <f t="shared" si="0"/>
        <v>20.6</v>
      </c>
      <c r="AI50">
        <f t="shared" si="3"/>
        <v>1946</v>
      </c>
      <c r="AJ50" s="29">
        <v>2030</v>
      </c>
      <c r="AK50" s="3">
        <f t="shared" si="2"/>
        <v>24.630541871921263</v>
      </c>
    </row>
    <row r="51" spans="1:37" x14ac:dyDescent="0.55000000000000004">
      <c r="A51" s="1">
        <f t="shared" si="1"/>
        <v>1998</v>
      </c>
      <c r="B51" s="3">
        <v>25.3</v>
      </c>
      <c r="C51" s="3">
        <v>5.6</v>
      </c>
      <c r="D51" s="3">
        <f t="shared" si="0"/>
        <v>19.700000000000003</v>
      </c>
      <c r="AI51">
        <f t="shared" si="3"/>
        <v>1947</v>
      </c>
      <c r="AJ51" s="29">
        <v>2080</v>
      </c>
      <c r="AK51" s="3">
        <f t="shared" si="2"/>
        <v>24.519230769230795</v>
      </c>
    </row>
    <row r="52" spans="1:37" x14ac:dyDescent="0.55000000000000004">
      <c r="A52" s="1">
        <f t="shared" si="1"/>
        <v>1999</v>
      </c>
      <c r="B52" s="3">
        <v>25.4</v>
      </c>
      <c r="C52" s="3">
        <v>5.5</v>
      </c>
      <c r="D52" s="3">
        <f t="shared" si="0"/>
        <v>19.899999999999999</v>
      </c>
      <c r="AI52">
        <f t="shared" si="3"/>
        <v>1948</v>
      </c>
      <c r="AJ52" s="29">
        <v>2131</v>
      </c>
      <c r="AK52" s="3">
        <f t="shared" si="2"/>
        <v>25.340215861098024</v>
      </c>
    </row>
    <row r="53" spans="1:37" x14ac:dyDescent="0.55000000000000004">
      <c r="A53" s="1">
        <f t="shared" si="1"/>
        <v>2000</v>
      </c>
      <c r="B53" s="3">
        <v>25.6</v>
      </c>
      <c r="C53" s="3">
        <v>5.6</v>
      </c>
      <c r="D53" s="3">
        <f t="shared" si="0"/>
        <v>20</v>
      </c>
      <c r="AI53">
        <f t="shared" si="3"/>
        <v>1949</v>
      </c>
      <c r="AJ53" s="29">
        <v>2185</v>
      </c>
      <c r="AK53" s="3">
        <f t="shared" si="2"/>
        <v>26.544622425629385</v>
      </c>
    </row>
    <row r="54" spans="1:37" x14ac:dyDescent="0.55000000000000004">
      <c r="A54" s="1">
        <f t="shared" si="1"/>
        <v>2001</v>
      </c>
      <c r="B54" s="3">
        <v>25.1</v>
      </c>
      <c r="C54" s="3">
        <v>5.6</v>
      </c>
      <c r="D54" s="3">
        <f t="shared" si="0"/>
        <v>19.5</v>
      </c>
      <c r="AI54">
        <f t="shared" si="3"/>
        <v>1950</v>
      </c>
      <c r="AJ54" s="29">
        <v>2243</v>
      </c>
      <c r="AK54" s="3">
        <f t="shared" si="2"/>
        <v>27.64155149353553</v>
      </c>
    </row>
    <row r="55" spans="1:37" x14ac:dyDescent="0.55000000000000004">
      <c r="A55" s="1">
        <f t="shared" si="1"/>
        <v>2002</v>
      </c>
      <c r="B55" s="3">
        <v>24.4</v>
      </c>
      <c r="C55" s="3">
        <v>5.5</v>
      </c>
      <c r="D55" s="3">
        <f t="shared" si="0"/>
        <v>18.899999999999999</v>
      </c>
      <c r="AI55">
        <f t="shared" si="3"/>
        <v>1951</v>
      </c>
      <c r="AJ55" s="29">
        <v>2305</v>
      </c>
      <c r="AK55" s="3">
        <f t="shared" si="2"/>
        <v>28.199566160520551</v>
      </c>
    </row>
    <row r="56" spans="1:37" x14ac:dyDescent="0.55000000000000004">
      <c r="A56" s="1">
        <f t="shared" si="1"/>
        <v>2003</v>
      </c>
      <c r="B56" s="3">
        <v>23.7</v>
      </c>
      <c r="C56" s="3">
        <v>5.6</v>
      </c>
      <c r="D56" s="3">
        <f t="shared" si="0"/>
        <v>18.100000000000001</v>
      </c>
      <c r="AI56">
        <f t="shared" si="3"/>
        <v>1952</v>
      </c>
      <c r="AJ56" s="29">
        <v>2370</v>
      </c>
      <c r="AK56" s="3">
        <f t="shared" si="2"/>
        <v>28.691983122362874</v>
      </c>
    </row>
    <row r="57" spans="1:37" x14ac:dyDescent="0.55000000000000004">
      <c r="A57" s="1">
        <f t="shared" si="1"/>
        <v>2004</v>
      </c>
      <c r="B57" s="3">
        <v>23.1</v>
      </c>
      <c r="C57" s="3">
        <v>5.7</v>
      </c>
      <c r="D57" s="3">
        <f t="shared" si="0"/>
        <v>17.400000000000002</v>
      </c>
      <c r="AI57">
        <f t="shared" si="3"/>
        <v>1953</v>
      </c>
      <c r="AJ57" s="29">
        <v>2438</v>
      </c>
      <c r="AK57" s="3">
        <f t="shared" si="2"/>
        <v>29.942575881870326</v>
      </c>
    </row>
    <row r="58" spans="1:37" x14ac:dyDescent="0.55000000000000004">
      <c r="A58" s="1">
        <f t="shared" si="1"/>
        <v>2005</v>
      </c>
      <c r="B58" s="3">
        <v>22.5</v>
      </c>
      <c r="C58" s="3">
        <v>5.6</v>
      </c>
      <c r="D58" s="3">
        <f t="shared" si="0"/>
        <v>16.899999999999999</v>
      </c>
      <c r="AI58">
        <f t="shared" si="3"/>
        <v>1954</v>
      </c>
      <c r="AJ58" s="29">
        <v>2511</v>
      </c>
      <c r="AK58" s="3">
        <f t="shared" si="2"/>
        <v>30.266825965750588</v>
      </c>
    </row>
    <row r="59" spans="1:37" x14ac:dyDescent="0.55000000000000004">
      <c r="A59" s="1">
        <f t="shared" si="1"/>
        <v>2006</v>
      </c>
      <c r="B59" s="3">
        <v>21.9</v>
      </c>
      <c r="C59" s="3">
        <v>5.7</v>
      </c>
      <c r="D59" s="3">
        <f t="shared" si="0"/>
        <v>16.2</v>
      </c>
      <c r="AI59">
        <f t="shared" si="3"/>
        <v>1955</v>
      </c>
      <c r="AJ59" s="29">
        <v>2587</v>
      </c>
      <c r="AK59" s="3">
        <f t="shared" si="2"/>
        <v>30.923850019327404</v>
      </c>
    </row>
    <row r="60" spans="1:37" x14ac:dyDescent="0.55000000000000004">
      <c r="A60" s="1">
        <f t="shared" si="1"/>
        <v>2007</v>
      </c>
      <c r="B60" s="3">
        <v>21.8</v>
      </c>
      <c r="C60" s="3">
        <v>5.7</v>
      </c>
      <c r="D60" s="3">
        <f t="shared" si="0"/>
        <v>16.100000000000001</v>
      </c>
      <c r="AI60">
        <f t="shared" si="3"/>
        <v>1956</v>
      </c>
      <c r="AJ60" s="29">
        <v>2667</v>
      </c>
      <c r="AK60" s="3">
        <f t="shared" si="2"/>
        <v>31.871016122984706</v>
      </c>
    </row>
    <row r="61" spans="1:37" x14ac:dyDescent="0.55000000000000004">
      <c r="A61" s="1">
        <f t="shared" si="1"/>
        <v>2008</v>
      </c>
      <c r="B61" s="3">
        <v>22.1</v>
      </c>
      <c r="C61" s="3">
        <v>5.8</v>
      </c>
      <c r="D61" s="3">
        <f t="shared" si="0"/>
        <v>16.3</v>
      </c>
      <c r="AI61">
        <f t="shared" si="3"/>
        <v>1957</v>
      </c>
      <c r="AJ61" s="29">
        <v>2752</v>
      </c>
      <c r="AK61" s="3">
        <f t="shared" si="2"/>
        <v>31.976744186046567</v>
      </c>
    </row>
    <row r="62" spans="1:37" x14ac:dyDescent="0.55000000000000004">
      <c r="A62" s="1">
        <f t="shared" si="1"/>
        <v>2009</v>
      </c>
      <c r="B62" s="3">
        <v>22.3</v>
      </c>
      <c r="C62" s="3">
        <v>5.7</v>
      </c>
      <c r="D62" s="3">
        <f t="shared" si="0"/>
        <v>16.600000000000001</v>
      </c>
      <c r="AI62">
        <f t="shared" si="3"/>
        <v>1958</v>
      </c>
      <c r="AJ62" s="29">
        <v>2840</v>
      </c>
      <c r="AK62" s="3">
        <f t="shared" si="2"/>
        <v>32.746478873239447</v>
      </c>
    </row>
    <row r="63" spans="1:37" x14ac:dyDescent="0.55000000000000004">
      <c r="A63" s="1">
        <f t="shared" si="1"/>
        <v>2010</v>
      </c>
      <c r="B63" s="3">
        <v>22.2</v>
      </c>
      <c r="C63" s="3">
        <v>5.7</v>
      </c>
      <c r="D63" s="3">
        <f t="shared" si="0"/>
        <v>16.5</v>
      </c>
      <c r="AI63">
        <f t="shared" si="3"/>
        <v>1959</v>
      </c>
      <c r="AJ63" s="29">
        <v>2933</v>
      </c>
      <c r="AK63" s="3">
        <f t="shared" si="2"/>
        <v>33.071939993181147</v>
      </c>
    </row>
    <row r="64" spans="1:37" x14ac:dyDescent="0.55000000000000004">
      <c r="A64" s="1">
        <f t="shared" si="1"/>
        <v>2011</v>
      </c>
      <c r="B64" s="3">
        <v>21.9</v>
      </c>
      <c r="C64" s="3">
        <v>5.6</v>
      </c>
      <c r="D64" s="3">
        <f t="shared" si="0"/>
        <v>16.299999999999997</v>
      </c>
      <c r="AI64">
        <f t="shared" si="3"/>
        <v>1960</v>
      </c>
      <c r="AJ64" s="29">
        <v>3030</v>
      </c>
      <c r="AK64" s="3">
        <f t="shared" si="2"/>
        <v>33.663366336633693</v>
      </c>
    </row>
    <row r="65" spans="1:37" x14ac:dyDescent="0.55000000000000004">
      <c r="A65" s="1">
        <f t="shared" si="1"/>
        <v>2012</v>
      </c>
      <c r="B65" s="3">
        <v>21.5</v>
      </c>
      <c r="C65" s="3">
        <v>5.5</v>
      </c>
      <c r="D65" s="3">
        <f t="shared" si="0"/>
        <v>16</v>
      </c>
      <c r="AI65">
        <f t="shared" si="3"/>
        <v>1961</v>
      </c>
      <c r="AJ65" s="29">
        <v>3132</v>
      </c>
      <c r="AK65" s="3">
        <f t="shared" si="2"/>
        <v>34.16347381864626</v>
      </c>
    </row>
    <row r="66" spans="1:37" x14ac:dyDescent="0.55000000000000004">
      <c r="A66" s="1">
        <f t="shared" si="1"/>
        <v>2013</v>
      </c>
      <c r="B66" s="3">
        <v>21.2</v>
      </c>
      <c r="C66" s="3">
        <v>5.5</v>
      </c>
      <c r="D66" s="3">
        <f t="shared" si="0"/>
        <v>15.7</v>
      </c>
      <c r="AI66">
        <f t="shared" si="3"/>
        <v>1962</v>
      </c>
      <c r="AJ66" s="29">
        <v>3239</v>
      </c>
      <c r="AK66" s="3">
        <f t="shared" si="2"/>
        <v>34.269836369249738</v>
      </c>
    </row>
    <row r="67" spans="1:37" x14ac:dyDescent="0.55000000000000004">
      <c r="A67" s="1">
        <f t="shared" si="1"/>
        <v>2014</v>
      </c>
      <c r="B67" s="3">
        <v>20.8</v>
      </c>
      <c r="C67" s="3">
        <v>5.6</v>
      </c>
      <c r="D67" s="3">
        <f t="shared" si="0"/>
        <v>15.200000000000001</v>
      </c>
      <c r="AI67">
        <f t="shared" si="3"/>
        <v>1963</v>
      </c>
      <c r="AJ67" s="29">
        <v>3350</v>
      </c>
      <c r="AK67" s="3">
        <f t="shared" si="2"/>
        <v>34.626865671641752</v>
      </c>
    </row>
    <row r="68" spans="1:37" x14ac:dyDescent="0.55000000000000004">
      <c r="A68" s="1">
        <f t="shared" si="1"/>
        <v>2015</v>
      </c>
      <c r="B68" s="3">
        <v>20.5</v>
      </c>
      <c r="C68" s="3">
        <v>5.8</v>
      </c>
      <c r="D68" s="3">
        <f t="shared" ref="D68:D76" si="4">B68-C68</f>
        <v>14.7</v>
      </c>
      <c r="AI68">
        <f t="shared" si="3"/>
        <v>1964</v>
      </c>
      <c r="AJ68" s="29">
        <v>3466</v>
      </c>
      <c r="AK68" s="3">
        <f t="shared" si="2"/>
        <v>35.199076745527911</v>
      </c>
    </row>
    <row r="69" spans="1:37" x14ac:dyDescent="0.55000000000000004">
      <c r="A69" s="1">
        <f t="shared" ref="A69:A77" si="5">A68+1</f>
        <v>2016</v>
      </c>
      <c r="B69" s="3">
        <v>20.2</v>
      </c>
      <c r="C69" s="3">
        <v>5.9</v>
      </c>
      <c r="D69" s="3">
        <f t="shared" si="4"/>
        <v>14.299999999999999</v>
      </c>
      <c r="AI69">
        <f t="shared" si="3"/>
        <v>1965</v>
      </c>
      <c r="AJ69" s="29">
        <v>3588</v>
      </c>
      <c r="AK69" s="3">
        <f t="shared" ref="AK69:AK75" si="6">1000 * (AJ70/AJ69 - 1)</f>
        <v>35.395763656633328</v>
      </c>
    </row>
    <row r="70" spans="1:37" x14ac:dyDescent="0.55000000000000004">
      <c r="A70" s="1">
        <f t="shared" si="5"/>
        <v>2017</v>
      </c>
      <c r="B70" s="3">
        <v>20</v>
      </c>
      <c r="C70" s="3">
        <v>5.8</v>
      </c>
      <c r="D70" s="3">
        <f t="shared" si="4"/>
        <v>14.2</v>
      </c>
      <c r="AI70">
        <f t="shared" ref="AI70:AI76" si="7">AI69+1</f>
        <v>1966</v>
      </c>
      <c r="AJ70" s="29">
        <v>3715</v>
      </c>
      <c r="AK70" s="3">
        <f t="shared" si="6"/>
        <v>35.262449528936642</v>
      </c>
    </row>
    <row r="71" spans="1:37" x14ac:dyDescent="0.55000000000000004">
      <c r="A71" s="1">
        <f t="shared" si="5"/>
        <v>2018</v>
      </c>
      <c r="B71" s="3">
        <v>19.8</v>
      </c>
      <c r="C71" s="3">
        <v>5.9</v>
      </c>
      <c r="D71" s="3">
        <f t="shared" si="4"/>
        <v>13.9</v>
      </c>
      <c r="AI71">
        <f t="shared" si="7"/>
        <v>1967</v>
      </c>
      <c r="AJ71" s="29">
        <v>3846</v>
      </c>
      <c r="AK71" s="3">
        <f t="shared" si="6"/>
        <v>35.881435257410388</v>
      </c>
    </row>
    <row r="72" spans="1:37" x14ac:dyDescent="0.55000000000000004">
      <c r="A72" s="1">
        <f t="shared" si="5"/>
        <v>2019</v>
      </c>
      <c r="B72" s="3">
        <v>19.399999999999999</v>
      </c>
      <c r="C72" s="3">
        <v>6.1</v>
      </c>
      <c r="D72" s="3">
        <f t="shared" si="4"/>
        <v>13.299999999999999</v>
      </c>
      <c r="AI72">
        <f t="shared" si="7"/>
        <v>1968</v>
      </c>
      <c r="AJ72" s="29">
        <v>3984</v>
      </c>
      <c r="AK72" s="3">
        <f t="shared" si="6"/>
        <v>35.89357429718865</v>
      </c>
    </row>
    <row r="73" spans="1:37" x14ac:dyDescent="0.55000000000000004">
      <c r="A73" s="1">
        <f t="shared" si="5"/>
        <v>2020</v>
      </c>
      <c r="B73" s="3">
        <v>19</v>
      </c>
      <c r="C73" s="3">
        <v>6.5</v>
      </c>
      <c r="D73" s="3">
        <f t="shared" si="4"/>
        <v>12.5</v>
      </c>
      <c r="AI73">
        <f t="shared" si="7"/>
        <v>1969</v>
      </c>
      <c r="AJ73" s="29">
        <v>4127</v>
      </c>
      <c r="AK73" s="3">
        <f t="shared" si="6"/>
        <v>36.346014053792118</v>
      </c>
    </row>
    <row r="74" spans="1:37" x14ac:dyDescent="0.55000000000000004">
      <c r="A74" s="1">
        <f t="shared" si="5"/>
        <v>2021</v>
      </c>
      <c r="B74" s="3">
        <v>18.600000000000001</v>
      </c>
      <c r="C74" s="3">
        <v>7</v>
      </c>
      <c r="D74" s="3">
        <f t="shared" si="4"/>
        <v>11.600000000000001</v>
      </c>
      <c r="AI74">
        <f t="shared" si="7"/>
        <v>1970</v>
      </c>
      <c r="AJ74" s="29">
        <v>4277</v>
      </c>
      <c r="AK74" s="3">
        <f t="shared" si="6"/>
        <v>36.474164133738498</v>
      </c>
    </row>
    <row r="75" spans="1:37" x14ac:dyDescent="0.55000000000000004">
      <c r="A75" s="1">
        <f t="shared" si="5"/>
        <v>2022</v>
      </c>
      <c r="B75" s="3">
        <v>18.3</v>
      </c>
      <c r="C75" s="3">
        <v>5.9</v>
      </c>
      <c r="D75" s="3">
        <f t="shared" si="4"/>
        <v>12.4</v>
      </c>
      <c r="AI75">
        <f t="shared" si="7"/>
        <v>1971</v>
      </c>
      <c r="AJ75" s="29">
        <v>4433</v>
      </c>
      <c r="AK75" s="3">
        <f t="shared" si="6"/>
        <v>36.544101060230091</v>
      </c>
    </row>
    <row r="76" spans="1:37" x14ac:dyDescent="0.55000000000000004">
      <c r="A76" s="1">
        <f t="shared" si="5"/>
        <v>2023</v>
      </c>
      <c r="B76" s="3">
        <v>17.899999999999999</v>
      </c>
      <c r="C76" s="3">
        <v>6.3</v>
      </c>
      <c r="D76" s="3">
        <f t="shared" si="4"/>
        <v>11.599999999999998</v>
      </c>
      <c r="AI76">
        <f t="shared" si="7"/>
        <v>1972</v>
      </c>
      <c r="AJ76" s="29">
        <v>4595</v>
      </c>
      <c r="AK76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2" sqref="A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32" sqref="AK32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topLeftCell="A4" workbookViewId="0">
      <selection activeCell="AF19" sqref="AF19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P63" sqref="P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AO61" sqref="AO6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7" t="s">
        <v>100</v>
      </c>
      <c r="C1" s="27"/>
      <c r="D1" s="27" t="s">
        <v>75</v>
      </c>
      <c r="E1" s="27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55000000000000004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55000000000000004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55000000000000004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55000000000000004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55000000000000004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55000000000000004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55000000000000004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55000000000000004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55000000000000004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55000000000000004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55000000000000004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55000000000000004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55000000000000004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55000000000000004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55000000000000004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55000000000000004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55000000000000004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55000000000000004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55000000000000004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55000000000000004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55000000000000004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55000000000000004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55000000000000004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55000000000000004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55000000000000004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55000000000000004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55000000000000004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55000000000000004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55000000000000004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55000000000000004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55000000000000004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55000000000000004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55000000000000004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55000000000000004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55000000000000004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55000000000000004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55000000000000004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75"/>
  <sheetViews>
    <sheetView topLeftCell="A31" workbookViewId="0">
      <selection activeCell="AE2" sqref="AE2:AG75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1950</v>
      </c>
      <c r="B2" s="3">
        <v>44.5</v>
      </c>
      <c r="C2" s="3">
        <v>11.7</v>
      </c>
      <c r="D2" s="3">
        <f>B2-C2</f>
        <v>32.799999999999997</v>
      </c>
      <c r="AE2" t="s">
        <v>73</v>
      </c>
      <c r="AF2" t="s">
        <v>154</v>
      </c>
      <c r="AG2" t="s">
        <v>155</v>
      </c>
    </row>
    <row r="3" spans="1:33" x14ac:dyDescent="0.55000000000000004">
      <c r="A3" s="17">
        <v>1951</v>
      </c>
      <c r="B3" s="3">
        <v>44.3</v>
      </c>
      <c r="C3" s="3">
        <v>11.6</v>
      </c>
      <c r="D3" s="3">
        <f t="shared" ref="D3:D66" si="0">B3-C3</f>
        <v>32.699999999999996</v>
      </c>
      <c r="AE3">
        <v>1900</v>
      </c>
      <c r="AF3" s="29">
        <v>490</v>
      </c>
      <c r="AG3" s="3">
        <f>1000 * (AF4/AF3 - 1)</f>
        <v>32.653061224489747</v>
      </c>
    </row>
    <row r="4" spans="1:33" x14ac:dyDescent="0.55000000000000004">
      <c r="A4" s="17">
        <v>1952</v>
      </c>
      <c r="B4" s="3">
        <v>44.1</v>
      </c>
      <c r="C4" s="3">
        <v>11.6</v>
      </c>
      <c r="D4" s="3">
        <f t="shared" si="0"/>
        <v>32.5</v>
      </c>
      <c r="AE4">
        <f>AE3+1</f>
        <v>1901</v>
      </c>
      <c r="AF4" s="29">
        <v>506</v>
      </c>
      <c r="AG4" s="3">
        <f t="shared" ref="AG4:AG67" si="1">1000 * (AF5/AF4 - 1)</f>
        <v>31.620553359683832</v>
      </c>
    </row>
    <row r="5" spans="1:33" x14ac:dyDescent="0.55000000000000004">
      <c r="A5" s="17">
        <v>1953</v>
      </c>
      <c r="B5" s="3">
        <v>43.9</v>
      </c>
      <c r="C5" s="3">
        <v>11.5</v>
      </c>
      <c r="D5" s="3">
        <f t="shared" si="0"/>
        <v>32.4</v>
      </c>
      <c r="AE5">
        <f t="shared" ref="AE5:AE68" si="2">AE4+1</f>
        <v>1902</v>
      </c>
      <c r="AF5" s="29">
        <v>522</v>
      </c>
      <c r="AG5" s="3">
        <f t="shared" si="1"/>
        <v>32.567049808429175</v>
      </c>
    </row>
    <row r="6" spans="1:33" x14ac:dyDescent="0.55000000000000004">
      <c r="A6" s="17">
        <v>1954</v>
      </c>
      <c r="B6" s="3">
        <v>43.6</v>
      </c>
      <c r="C6" s="3">
        <v>11.5</v>
      </c>
      <c r="D6" s="3">
        <f t="shared" si="0"/>
        <v>32.1</v>
      </c>
      <c r="AE6">
        <f t="shared" si="2"/>
        <v>1903</v>
      </c>
      <c r="AF6" s="29">
        <v>539</v>
      </c>
      <c r="AG6" s="3">
        <f t="shared" si="1"/>
        <v>29.684601113172615</v>
      </c>
    </row>
    <row r="7" spans="1:33" x14ac:dyDescent="0.55000000000000004">
      <c r="A7" s="17">
        <v>1955</v>
      </c>
      <c r="B7" s="3">
        <v>43.4</v>
      </c>
      <c r="C7" s="3">
        <v>11.4</v>
      </c>
      <c r="D7" s="3">
        <f t="shared" si="0"/>
        <v>32</v>
      </c>
      <c r="AE7">
        <f t="shared" si="2"/>
        <v>1904</v>
      </c>
      <c r="AF7" s="29">
        <v>555</v>
      </c>
      <c r="AG7" s="3">
        <f t="shared" si="1"/>
        <v>28.828828828828755</v>
      </c>
    </row>
    <row r="8" spans="1:33" x14ac:dyDescent="0.55000000000000004">
      <c r="A8" s="17">
        <v>1956</v>
      </c>
      <c r="B8" s="3">
        <v>43.1</v>
      </c>
      <c r="C8" s="3">
        <v>11.2</v>
      </c>
      <c r="D8" s="3">
        <f t="shared" si="0"/>
        <v>31.900000000000002</v>
      </c>
      <c r="AE8">
        <f t="shared" si="2"/>
        <v>1905</v>
      </c>
      <c r="AF8" s="29">
        <v>571</v>
      </c>
      <c r="AG8" s="3">
        <f t="shared" si="1"/>
        <v>15.761821366024442</v>
      </c>
    </row>
    <row r="9" spans="1:33" x14ac:dyDescent="0.55000000000000004">
      <c r="A9" s="17">
        <v>1957</v>
      </c>
      <c r="B9" s="3">
        <v>42.9</v>
      </c>
      <c r="C9" s="3">
        <v>11.1</v>
      </c>
      <c r="D9" s="3">
        <f t="shared" si="0"/>
        <v>31.799999999999997</v>
      </c>
      <c r="AE9">
        <f t="shared" si="2"/>
        <v>1906</v>
      </c>
      <c r="AF9" s="29">
        <v>580</v>
      </c>
      <c r="AG9" s="3">
        <f t="shared" si="1"/>
        <v>17.241379310344751</v>
      </c>
    </row>
    <row r="10" spans="1:33" x14ac:dyDescent="0.55000000000000004">
      <c r="A10" s="17">
        <v>1958</v>
      </c>
      <c r="B10" s="3">
        <v>42.7</v>
      </c>
      <c r="C10" s="3">
        <v>10.9</v>
      </c>
      <c r="D10" s="3">
        <f t="shared" si="0"/>
        <v>31.800000000000004</v>
      </c>
      <c r="AE10">
        <f t="shared" si="2"/>
        <v>1907</v>
      </c>
      <c r="AF10" s="29">
        <v>590</v>
      </c>
      <c r="AG10" s="3">
        <f t="shared" si="1"/>
        <v>16.949152542372836</v>
      </c>
    </row>
    <row r="11" spans="1:33" x14ac:dyDescent="0.55000000000000004">
      <c r="A11" s="17">
        <v>1959</v>
      </c>
      <c r="B11" s="3">
        <v>42.5</v>
      </c>
      <c r="C11" s="3">
        <v>10.7</v>
      </c>
      <c r="D11" s="3">
        <f t="shared" si="0"/>
        <v>31.8</v>
      </c>
      <c r="AE11">
        <f t="shared" si="2"/>
        <v>1908</v>
      </c>
      <c r="AF11" s="29">
        <v>600</v>
      </c>
      <c r="AG11" s="3">
        <f t="shared" si="1"/>
        <v>16.666666666666607</v>
      </c>
    </row>
    <row r="12" spans="1:33" x14ac:dyDescent="0.55000000000000004">
      <c r="A12" s="17">
        <v>1960</v>
      </c>
      <c r="B12" s="3">
        <v>42.4</v>
      </c>
      <c r="C12" s="3">
        <v>10.6</v>
      </c>
      <c r="D12" s="3">
        <f t="shared" si="0"/>
        <v>31.799999999999997</v>
      </c>
      <c r="AE12">
        <f t="shared" si="2"/>
        <v>1909</v>
      </c>
      <c r="AF12" s="29">
        <v>610</v>
      </c>
      <c r="AG12" s="3">
        <f t="shared" si="1"/>
        <v>16.393442622950836</v>
      </c>
    </row>
    <row r="13" spans="1:33" x14ac:dyDescent="0.55000000000000004">
      <c r="A13" s="17">
        <v>1961</v>
      </c>
      <c r="B13" s="3">
        <v>42.3</v>
      </c>
      <c r="C13" s="3">
        <v>10.4</v>
      </c>
      <c r="D13" s="3">
        <f t="shared" si="0"/>
        <v>31.9</v>
      </c>
      <c r="AE13">
        <f t="shared" si="2"/>
        <v>1910</v>
      </c>
      <c r="AF13" s="29">
        <v>620</v>
      </c>
      <c r="AG13" s="3">
        <f t="shared" si="1"/>
        <v>16.129032258064502</v>
      </c>
    </row>
    <row r="14" spans="1:33" x14ac:dyDescent="0.55000000000000004">
      <c r="A14" s="17">
        <v>1962</v>
      </c>
      <c r="B14" s="3">
        <v>42.2</v>
      </c>
      <c r="C14" s="3">
        <v>10.199999999999999</v>
      </c>
      <c r="D14" s="3">
        <f t="shared" si="0"/>
        <v>32</v>
      </c>
      <c r="AE14">
        <f t="shared" si="2"/>
        <v>1911</v>
      </c>
      <c r="AF14" s="29">
        <v>630</v>
      </c>
      <c r="AG14" s="3">
        <f t="shared" si="1"/>
        <v>15.873015873015817</v>
      </c>
    </row>
    <row r="15" spans="1:33" x14ac:dyDescent="0.55000000000000004">
      <c r="A15" s="17">
        <v>1963</v>
      </c>
      <c r="B15" s="3">
        <v>42.1</v>
      </c>
      <c r="C15" s="3">
        <v>10</v>
      </c>
      <c r="D15" s="3">
        <f t="shared" si="0"/>
        <v>32.1</v>
      </c>
      <c r="AE15">
        <f t="shared" si="2"/>
        <v>1912</v>
      </c>
      <c r="AF15" s="29">
        <v>640</v>
      </c>
      <c r="AG15" s="3">
        <f t="shared" si="1"/>
        <v>15.625</v>
      </c>
    </row>
    <row r="16" spans="1:33" x14ac:dyDescent="0.55000000000000004">
      <c r="A16" s="17">
        <v>1964</v>
      </c>
      <c r="B16" s="3">
        <v>41.7</v>
      </c>
      <c r="C16" s="3">
        <v>10</v>
      </c>
      <c r="D16" s="3">
        <f t="shared" si="0"/>
        <v>31.700000000000003</v>
      </c>
      <c r="AE16">
        <f t="shared" si="2"/>
        <v>1913</v>
      </c>
      <c r="AF16" s="29">
        <v>650</v>
      </c>
      <c r="AG16" s="3">
        <f t="shared" si="1"/>
        <v>10.769230769230864</v>
      </c>
    </row>
    <row r="17" spans="1:33" x14ac:dyDescent="0.55000000000000004">
      <c r="A17" s="17">
        <v>1965</v>
      </c>
      <c r="B17" s="3">
        <v>41</v>
      </c>
      <c r="C17" s="3">
        <v>9.9</v>
      </c>
      <c r="D17" s="3">
        <f t="shared" si="0"/>
        <v>31.1</v>
      </c>
      <c r="AE17">
        <f t="shared" si="2"/>
        <v>1914</v>
      </c>
      <c r="AF17" s="29">
        <v>657</v>
      </c>
      <c r="AG17" s="3">
        <f t="shared" si="1"/>
        <v>10.654490106544845</v>
      </c>
    </row>
    <row r="18" spans="1:33" x14ac:dyDescent="0.55000000000000004">
      <c r="A18" s="17">
        <v>1966</v>
      </c>
      <c r="B18" s="3">
        <v>40.200000000000003</v>
      </c>
      <c r="C18" s="3">
        <v>9.8000000000000007</v>
      </c>
      <c r="D18" s="3">
        <f t="shared" si="0"/>
        <v>30.400000000000002</v>
      </c>
      <c r="AE18">
        <f t="shared" si="2"/>
        <v>1915</v>
      </c>
      <c r="AF18" s="29">
        <v>664</v>
      </c>
      <c r="AG18" s="3">
        <f t="shared" si="1"/>
        <v>10.542168674698704</v>
      </c>
    </row>
    <row r="19" spans="1:33" x14ac:dyDescent="0.55000000000000004">
      <c r="A19" s="17">
        <v>1967</v>
      </c>
      <c r="B19" s="3">
        <v>39.200000000000003</v>
      </c>
      <c r="C19" s="3">
        <v>9.6999999999999993</v>
      </c>
      <c r="D19" s="3">
        <f t="shared" si="0"/>
        <v>29.500000000000004</v>
      </c>
      <c r="AE19">
        <f t="shared" si="2"/>
        <v>1916</v>
      </c>
      <c r="AF19" s="29">
        <v>671</v>
      </c>
      <c r="AG19" s="3">
        <f t="shared" si="1"/>
        <v>10.432190760059523</v>
      </c>
    </row>
    <row r="20" spans="1:33" x14ac:dyDescent="0.55000000000000004">
      <c r="A20" s="17">
        <v>1968</v>
      </c>
      <c r="B20" s="3">
        <v>38.4</v>
      </c>
      <c r="C20" s="3">
        <v>9.6</v>
      </c>
      <c r="D20" s="3">
        <f t="shared" si="0"/>
        <v>28.799999999999997</v>
      </c>
      <c r="AE20">
        <f t="shared" si="2"/>
        <v>1917</v>
      </c>
      <c r="AF20" s="29">
        <v>678</v>
      </c>
      <c r="AG20" s="3">
        <f t="shared" si="1"/>
        <v>10.324483775811188</v>
      </c>
    </row>
    <row r="21" spans="1:33" x14ac:dyDescent="0.55000000000000004">
      <c r="A21" s="17">
        <v>1969</v>
      </c>
      <c r="B21" s="3">
        <v>37.6</v>
      </c>
      <c r="C21" s="3">
        <v>9.5</v>
      </c>
      <c r="D21" s="3">
        <f t="shared" si="0"/>
        <v>28.1</v>
      </c>
      <c r="AE21">
        <f t="shared" si="2"/>
        <v>1918</v>
      </c>
      <c r="AF21" s="29">
        <v>685</v>
      </c>
      <c r="AG21" s="3">
        <f t="shared" si="1"/>
        <v>10.218978102189746</v>
      </c>
    </row>
    <row r="22" spans="1:33" x14ac:dyDescent="0.55000000000000004">
      <c r="A22" s="17">
        <v>1970</v>
      </c>
      <c r="B22" s="3">
        <v>37</v>
      </c>
      <c r="C22" s="3">
        <v>9.4</v>
      </c>
      <c r="D22" s="3">
        <f t="shared" si="0"/>
        <v>27.6</v>
      </c>
      <c r="AE22">
        <f t="shared" si="2"/>
        <v>1919</v>
      </c>
      <c r="AF22" s="29">
        <v>692</v>
      </c>
      <c r="AG22" s="3">
        <f t="shared" si="1"/>
        <v>10.115606936416111</v>
      </c>
    </row>
    <row r="23" spans="1:33" x14ac:dyDescent="0.55000000000000004">
      <c r="A23" s="17">
        <v>1971</v>
      </c>
      <c r="B23" s="3">
        <v>36.299999999999997</v>
      </c>
      <c r="C23" s="3">
        <v>9.3000000000000007</v>
      </c>
      <c r="D23" s="3">
        <f t="shared" si="0"/>
        <v>26.999999999999996</v>
      </c>
      <c r="AE23">
        <f t="shared" si="2"/>
        <v>1920</v>
      </c>
      <c r="AF23" s="29">
        <v>699</v>
      </c>
      <c r="AG23" s="3">
        <f t="shared" si="1"/>
        <v>22.889842632331849</v>
      </c>
    </row>
    <row r="24" spans="1:33" x14ac:dyDescent="0.55000000000000004">
      <c r="A24" s="17">
        <v>1972</v>
      </c>
      <c r="B24" s="3">
        <v>35.799999999999997</v>
      </c>
      <c r="C24" s="3">
        <v>9.1</v>
      </c>
      <c r="D24" s="3">
        <f t="shared" si="0"/>
        <v>26.699999999999996</v>
      </c>
      <c r="AE24">
        <f t="shared" si="2"/>
        <v>1921</v>
      </c>
      <c r="AF24" s="29">
        <v>715</v>
      </c>
      <c r="AG24" s="3">
        <f t="shared" si="1"/>
        <v>23.776223776223794</v>
      </c>
    </row>
    <row r="25" spans="1:33" x14ac:dyDescent="0.55000000000000004">
      <c r="A25" s="17">
        <v>1973</v>
      </c>
      <c r="B25" s="3">
        <v>35.4</v>
      </c>
      <c r="C25" s="3">
        <v>8.9</v>
      </c>
      <c r="D25" s="3">
        <f t="shared" si="0"/>
        <v>26.5</v>
      </c>
      <c r="AE25">
        <f t="shared" si="2"/>
        <v>1922</v>
      </c>
      <c r="AF25" s="29">
        <v>732</v>
      </c>
      <c r="AG25" s="3">
        <f t="shared" si="1"/>
        <v>23.224043715847074</v>
      </c>
    </row>
    <row r="26" spans="1:33" x14ac:dyDescent="0.55000000000000004">
      <c r="A26" s="17">
        <v>1974</v>
      </c>
      <c r="B26" s="3">
        <v>35.200000000000003</v>
      </c>
      <c r="C26" s="3">
        <v>8.9</v>
      </c>
      <c r="D26" s="3">
        <f t="shared" si="0"/>
        <v>26.300000000000004</v>
      </c>
      <c r="AE26">
        <f t="shared" si="2"/>
        <v>1923</v>
      </c>
      <c r="AF26" s="29">
        <v>749</v>
      </c>
      <c r="AG26" s="3">
        <f t="shared" si="1"/>
        <v>24.032042723631577</v>
      </c>
    </row>
    <row r="27" spans="1:33" x14ac:dyDescent="0.55000000000000004">
      <c r="A27" s="17">
        <v>1975</v>
      </c>
      <c r="B27" s="3">
        <v>34.9</v>
      </c>
      <c r="C27" s="3">
        <v>8.8000000000000007</v>
      </c>
      <c r="D27" s="3">
        <f t="shared" si="0"/>
        <v>26.099999999999998</v>
      </c>
      <c r="AE27">
        <f t="shared" si="2"/>
        <v>1924</v>
      </c>
      <c r="AF27" s="29">
        <v>767</v>
      </c>
      <c r="AG27" s="3">
        <f t="shared" si="1"/>
        <v>23.468057366362373</v>
      </c>
    </row>
    <row r="28" spans="1:33" x14ac:dyDescent="0.55000000000000004">
      <c r="A28" s="17">
        <v>1976</v>
      </c>
      <c r="B28" s="3">
        <v>34.799999999999997</v>
      </c>
      <c r="C28" s="3">
        <v>8.6999999999999993</v>
      </c>
      <c r="D28" s="3">
        <f t="shared" si="0"/>
        <v>26.099999999999998</v>
      </c>
      <c r="AE28">
        <f t="shared" si="2"/>
        <v>1925</v>
      </c>
      <c r="AF28" s="29">
        <v>785</v>
      </c>
      <c r="AG28" s="3">
        <f t="shared" si="1"/>
        <v>22.929936305732479</v>
      </c>
    </row>
    <row r="29" spans="1:33" x14ac:dyDescent="0.55000000000000004">
      <c r="A29" s="17">
        <v>1977</v>
      </c>
      <c r="B29" s="3">
        <v>35</v>
      </c>
      <c r="C29" s="3">
        <v>8.6999999999999993</v>
      </c>
      <c r="D29" s="3">
        <f t="shared" si="0"/>
        <v>26.3</v>
      </c>
      <c r="AE29">
        <f t="shared" si="2"/>
        <v>1926</v>
      </c>
      <c r="AF29" s="29">
        <v>803</v>
      </c>
      <c r="AG29" s="3">
        <f t="shared" si="1"/>
        <v>23.661270236612797</v>
      </c>
    </row>
    <row r="30" spans="1:33" x14ac:dyDescent="0.55000000000000004">
      <c r="A30" s="17">
        <v>1978</v>
      </c>
      <c r="B30" s="3">
        <v>35.1</v>
      </c>
      <c r="C30" s="3">
        <v>8.6</v>
      </c>
      <c r="D30" s="3">
        <f t="shared" si="0"/>
        <v>26.5</v>
      </c>
      <c r="AE30">
        <f t="shared" si="2"/>
        <v>1927</v>
      </c>
      <c r="AF30" s="29">
        <v>822</v>
      </c>
      <c r="AG30" s="3">
        <f t="shared" si="1"/>
        <v>23.11435523114347</v>
      </c>
    </row>
    <row r="31" spans="1:33" x14ac:dyDescent="0.55000000000000004">
      <c r="A31" s="17">
        <v>1979</v>
      </c>
      <c r="B31" s="3">
        <v>35.6</v>
      </c>
      <c r="C31" s="3">
        <v>8.6</v>
      </c>
      <c r="D31" s="3">
        <f t="shared" si="0"/>
        <v>27</v>
      </c>
      <c r="AE31">
        <f t="shared" si="2"/>
        <v>1928</v>
      </c>
      <c r="AF31" s="29">
        <v>841</v>
      </c>
      <c r="AG31" s="3">
        <f t="shared" si="1"/>
        <v>22.592152199762296</v>
      </c>
    </row>
    <row r="32" spans="1:33" x14ac:dyDescent="0.55000000000000004">
      <c r="A32" s="17">
        <v>1980</v>
      </c>
      <c r="B32" s="3">
        <v>36.200000000000003</v>
      </c>
      <c r="C32" s="3">
        <v>8.5</v>
      </c>
      <c r="D32" s="3">
        <f t="shared" si="0"/>
        <v>27.700000000000003</v>
      </c>
      <c r="AE32">
        <f t="shared" si="2"/>
        <v>1929</v>
      </c>
      <c r="AF32" s="29">
        <v>860</v>
      </c>
      <c r="AG32" s="3">
        <f t="shared" si="1"/>
        <v>23.255813953488413</v>
      </c>
    </row>
    <row r="33" spans="1:33" x14ac:dyDescent="0.55000000000000004">
      <c r="A33" s="17">
        <v>1981</v>
      </c>
      <c r="B33" s="3">
        <v>36.9</v>
      </c>
      <c r="C33" s="3">
        <v>8.4</v>
      </c>
      <c r="D33" s="3">
        <f t="shared" si="0"/>
        <v>28.5</v>
      </c>
      <c r="AE33">
        <f t="shared" si="2"/>
        <v>1930</v>
      </c>
      <c r="AF33" s="29">
        <v>880</v>
      </c>
      <c r="AG33" s="3">
        <f t="shared" si="1"/>
        <v>23.86363636363642</v>
      </c>
    </row>
    <row r="34" spans="1:33" x14ac:dyDescent="0.55000000000000004">
      <c r="A34" s="17">
        <v>1982</v>
      </c>
      <c r="B34" s="3">
        <v>37</v>
      </c>
      <c r="C34" s="3">
        <v>8.1999999999999993</v>
      </c>
      <c r="D34" s="3">
        <f t="shared" si="0"/>
        <v>28.8</v>
      </c>
      <c r="AE34">
        <f t="shared" si="2"/>
        <v>1931</v>
      </c>
      <c r="AF34" s="29">
        <v>901</v>
      </c>
      <c r="AG34" s="3">
        <f t="shared" si="1"/>
        <v>23.307436182020027</v>
      </c>
    </row>
    <row r="35" spans="1:33" x14ac:dyDescent="0.55000000000000004">
      <c r="A35" s="17">
        <v>1983</v>
      </c>
      <c r="B35" s="3">
        <v>37</v>
      </c>
      <c r="C35" s="3">
        <v>8</v>
      </c>
      <c r="D35" s="3">
        <f t="shared" si="0"/>
        <v>29</v>
      </c>
      <c r="AE35">
        <f t="shared" si="2"/>
        <v>1932</v>
      </c>
      <c r="AF35" s="29">
        <v>922</v>
      </c>
      <c r="AG35" s="3">
        <f t="shared" si="1"/>
        <v>23.86117136659438</v>
      </c>
    </row>
    <row r="36" spans="1:33" x14ac:dyDescent="0.55000000000000004">
      <c r="A36" s="17">
        <v>1984</v>
      </c>
      <c r="B36" s="3">
        <v>37</v>
      </c>
      <c r="C36" s="3">
        <v>7.7</v>
      </c>
      <c r="D36" s="3">
        <f t="shared" si="0"/>
        <v>29.3</v>
      </c>
      <c r="AE36">
        <f t="shared" si="2"/>
        <v>1933</v>
      </c>
      <c r="AF36" s="29">
        <v>944</v>
      </c>
      <c r="AG36" s="3">
        <f t="shared" si="1"/>
        <v>23.305084745762763</v>
      </c>
    </row>
    <row r="37" spans="1:33" x14ac:dyDescent="0.55000000000000004">
      <c r="A37" s="17">
        <v>1985</v>
      </c>
      <c r="B37" s="3">
        <v>36.799999999999997</v>
      </c>
      <c r="C37" s="3">
        <v>7.5</v>
      </c>
      <c r="D37" s="3">
        <f t="shared" si="0"/>
        <v>29.299999999999997</v>
      </c>
      <c r="AE37">
        <f t="shared" si="2"/>
        <v>1934</v>
      </c>
      <c r="AF37" s="29">
        <v>966</v>
      </c>
      <c r="AG37" s="3">
        <f t="shared" si="1"/>
        <v>22.774327122153217</v>
      </c>
    </row>
    <row r="38" spans="1:33" x14ac:dyDescent="0.55000000000000004">
      <c r="A38" s="17">
        <v>1986</v>
      </c>
      <c r="B38" s="3">
        <v>36.5</v>
      </c>
      <c r="C38" s="3">
        <v>7.3</v>
      </c>
      <c r="D38" s="3">
        <f t="shared" si="0"/>
        <v>29.2</v>
      </c>
      <c r="AE38">
        <f t="shared" si="2"/>
        <v>1935</v>
      </c>
      <c r="AF38" s="29">
        <v>988</v>
      </c>
      <c r="AG38" s="3">
        <f t="shared" si="1"/>
        <v>24.291497975708509</v>
      </c>
    </row>
    <row r="39" spans="1:33" x14ac:dyDescent="0.55000000000000004">
      <c r="A39" s="17">
        <v>1987</v>
      </c>
      <c r="B39" s="3">
        <v>36.1</v>
      </c>
      <c r="C39" s="3">
        <v>7.1</v>
      </c>
      <c r="D39" s="3">
        <f t="shared" si="0"/>
        <v>29</v>
      </c>
      <c r="AE39">
        <f t="shared" si="2"/>
        <v>1936</v>
      </c>
      <c r="AF39" s="29">
        <v>1012</v>
      </c>
      <c r="AG39" s="3">
        <f t="shared" si="1"/>
        <v>23.715415019762929</v>
      </c>
    </row>
    <row r="40" spans="1:33" x14ac:dyDescent="0.55000000000000004">
      <c r="A40" s="17">
        <v>1988</v>
      </c>
      <c r="B40" s="3">
        <v>35.799999999999997</v>
      </c>
      <c r="C40" s="3">
        <v>6.9</v>
      </c>
      <c r="D40" s="3">
        <f t="shared" si="0"/>
        <v>28.9</v>
      </c>
      <c r="AE40">
        <f t="shared" si="2"/>
        <v>1937</v>
      </c>
      <c r="AF40" s="29">
        <v>1036</v>
      </c>
      <c r="AG40" s="3">
        <f t="shared" si="1"/>
        <v>24.131274131274026</v>
      </c>
    </row>
    <row r="41" spans="1:33" x14ac:dyDescent="0.55000000000000004">
      <c r="A41" s="17">
        <v>1989</v>
      </c>
      <c r="B41" s="3">
        <v>35.200000000000003</v>
      </c>
      <c r="C41" s="3">
        <v>6.7</v>
      </c>
      <c r="D41" s="3">
        <f t="shared" si="0"/>
        <v>28.500000000000004</v>
      </c>
      <c r="AE41">
        <f t="shared" si="2"/>
        <v>1938</v>
      </c>
      <c r="AF41" s="29">
        <v>1061</v>
      </c>
      <c r="AG41" s="3">
        <f t="shared" si="1"/>
        <v>23.562676720075395</v>
      </c>
    </row>
    <row r="42" spans="1:33" x14ac:dyDescent="0.55000000000000004">
      <c r="A42" s="17">
        <v>1990</v>
      </c>
      <c r="B42" s="3">
        <v>34.4</v>
      </c>
      <c r="C42" s="3">
        <v>6.5</v>
      </c>
      <c r="D42" s="3">
        <f t="shared" si="0"/>
        <v>27.9</v>
      </c>
      <c r="AE42">
        <f t="shared" si="2"/>
        <v>1939</v>
      </c>
      <c r="AF42" s="29">
        <v>1086</v>
      </c>
      <c r="AG42" s="3">
        <f t="shared" si="1"/>
        <v>23.020257826887658</v>
      </c>
    </row>
    <row r="43" spans="1:33" x14ac:dyDescent="0.55000000000000004">
      <c r="A43" s="17">
        <v>1991</v>
      </c>
      <c r="B43" s="3">
        <v>33.9</v>
      </c>
      <c r="C43" s="3">
        <v>6.3</v>
      </c>
      <c r="D43" s="3">
        <f t="shared" si="0"/>
        <v>27.599999999999998</v>
      </c>
      <c r="AE43">
        <f t="shared" si="2"/>
        <v>1940</v>
      </c>
      <c r="AF43" s="29">
        <v>1111</v>
      </c>
      <c r="AG43" s="3">
        <f t="shared" si="1"/>
        <v>23.40234023402332</v>
      </c>
    </row>
    <row r="44" spans="1:33" x14ac:dyDescent="0.55000000000000004">
      <c r="A44" s="17">
        <v>1992</v>
      </c>
      <c r="B44" s="3">
        <v>33.299999999999997</v>
      </c>
      <c r="C44" s="3">
        <v>6.1</v>
      </c>
      <c r="D44" s="3">
        <f t="shared" si="0"/>
        <v>27.199999999999996</v>
      </c>
      <c r="AE44">
        <f t="shared" si="2"/>
        <v>1941</v>
      </c>
      <c r="AF44" s="29">
        <v>1137</v>
      </c>
      <c r="AG44" s="3">
        <f t="shared" si="1"/>
        <v>23.746701846965699</v>
      </c>
    </row>
    <row r="45" spans="1:33" x14ac:dyDescent="0.55000000000000004">
      <c r="A45" s="17">
        <v>1993</v>
      </c>
      <c r="B45" s="3">
        <v>32.4</v>
      </c>
      <c r="C45" s="3">
        <v>6</v>
      </c>
      <c r="D45" s="3">
        <f t="shared" si="0"/>
        <v>26.4</v>
      </c>
      <c r="AE45">
        <f t="shared" si="2"/>
        <v>1942</v>
      </c>
      <c r="AF45" s="29">
        <v>1164</v>
      </c>
      <c r="AG45" s="3">
        <f t="shared" si="1"/>
        <v>23.195876288659711</v>
      </c>
    </row>
    <row r="46" spans="1:33" x14ac:dyDescent="0.55000000000000004">
      <c r="A46" s="17">
        <v>1994</v>
      </c>
      <c r="B46" s="3">
        <v>31.7</v>
      </c>
      <c r="C46" s="3">
        <v>5.9</v>
      </c>
      <c r="D46" s="3">
        <f t="shared" si="0"/>
        <v>25.799999999999997</v>
      </c>
      <c r="AE46">
        <f t="shared" si="2"/>
        <v>1943</v>
      </c>
      <c r="AF46" s="29">
        <v>1191</v>
      </c>
      <c r="AG46" s="3">
        <f t="shared" si="1"/>
        <v>23.509655751469349</v>
      </c>
    </row>
    <row r="47" spans="1:33" x14ac:dyDescent="0.55000000000000004">
      <c r="A47" s="17">
        <v>1995</v>
      </c>
      <c r="B47" s="3">
        <v>31</v>
      </c>
      <c r="C47" s="3">
        <v>5.7</v>
      </c>
      <c r="D47" s="3">
        <f t="shared" si="0"/>
        <v>25.3</v>
      </c>
      <c r="AE47">
        <f t="shared" si="2"/>
        <v>1944</v>
      </c>
      <c r="AF47" s="29">
        <v>1219</v>
      </c>
      <c r="AG47" s="3">
        <f t="shared" si="1"/>
        <v>22.969647251845693</v>
      </c>
    </row>
    <row r="48" spans="1:33" x14ac:dyDescent="0.55000000000000004">
      <c r="A48" s="17">
        <v>1996</v>
      </c>
      <c r="B48" s="3">
        <v>30.3</v>
      </c>
      <c r="C48" s="3">
        <v>5.6</v>
      </c>
      <c r="D48" s="3">
        <f t="shared" si="0"/>
        <v>24.700000000000003</v>
      </c>
      <c r="AE48">
        <f t="shared" si="2"/>
        <v>1945</v>
      </c>
      <c r="AF48" s="29">
        <v>1247</v>
      </c>
      <c r="AG48" s="3">
        <f t="shared" si="1"/>
        <v>22.453889334402621</v>
      </c>
    </row>
    <row r="49" spans="1:33" x14ac:dyDescent="0.55000000000000004">
      <c r="A49" s="17">
        <v>1997</v>
      </c>
      <c r="B49" s="3">
        <v>29.6</v>
      </c>
      <c r="C49" s="3">
        <v>5.6</v>
      </c>
      <c r="D49" s="3">
        <f t="shared" si="0"/>
        <v>24</v>
      </c>
      <c r="AE49">
        <f t="shared" si="2"/>
        <v>1946</v>
      </c>
      <c r="AF49" s="29">
        <v>1275</v>
      </c>
      <c r="AG49" s="3">
        <f t="shared" si="1"/>
        <v>23.529411764705799</v>
      </c>
    </row>
    <row r="50" spans="1:33" x14ac:dyDescent="0.55000000000000004">
      <c r="A50" s="17">
        <v>1998</v>
      </c>
      <c r="B50" s="3">
        <v>28.8</v>
      </c>
      <c r="C50" s="3">
        <v>5.5</v>
      </c>
      <c r="D50" s="3">
        <f t="shared" si="0"/>
        <v>23.3</v>
      </c>
      <c r="AE50">
        <f t="shared" si="2"/>
        <v>1947</v>
      </c>
      <c r="AF50" s="29">
        <v>1305</v>
      </c>
      <c r="AG50" s="3">
        <f t="shared" si="1"/>
        <v>22.98850574712641</v>
      </c>
    </row>
    <row r="51" spans="1:33" x14ac:dyDescent="0.55000000000000004">
      <c r="A51" s="17">
        <v>1999</v>
      </c>
      <c r="B51" s="3">
        <v>27.9</v>
      </c>
      <c r="C51" s="3">
        <v>5.4</v>
      </c>
      <c r="D51" s="3">
        <f t="shared" si="0"/>
        <v>22.5</v>
      </c>
      <c r="AE51">
        <f t="shared" si="2"/>
        <v>1948</v>
      </c>
      <c r="AF51" s="29">
        <v>1335</v>
      </c>
      <c r="AG51" s="3">
        <f t="shared" si="1"/>
        <v>23.220973782771548</v>
      </c>
    </row>
    <row r="52" spans="1:33" x14ac:dyDescent="0.55000000000000004">
      <c r="A52" s="17">
        <v>2000</v>
      </c>
      <c r="B52" s="3">
        <v>26.9</v>
      </c>
      <c r="C52" s="3">
        <v>5.3</v>
      </c>
      <c r="D52" s="3">
        <f t="shared" si="0"/>
        <v>21.599999999999998</v>
      </c>
      <c r="AE52">
        <f t="shared" si="2"/>
        <v>1949</v>
      </c>
      <c r="AF52" s="29">
        <v>1366</v>
      </c>
      <c r="AG52" s="3">
        <f t="shared" si="1"/>
        <v>22.693997071742356</v>
      </c>
    </row>
    <row r="53" spans="1:33" x14ac:dyDescent="0.55000000000000004">
      <c r="A53" s="17">
        <v>2001</v>
      </c>
      <c r="B53" s="3">
        <v>25.9</v>
      </c>
      <c r="C53" s="3">
        <v>5.3</v>
      </c>
      <c r="D53" s="3">
        <f t="shared" si="0"/>
        <v>20.599999999999998</v>
      </c>
      <c r="AE53">
        <f t="shared" si="2"/>
        <v>1950</v>
      </c>
      <c r="AF53" s="29">
        <v>1397</v>
      </c>
      <c r="AG53" s="3">
        <f t="shared" si="1"/>
        <v>22.906227630637098</v>
      </c>
    </row>
    <row r="54" spans="1:33" x14ac:dyDescent="0.55000000000000004">
      <c r="A54" s="17">
        <v>2002</v>
      </c>
      <c r="B54" s="3">
        <v>25.1</v>
      </c>
      <c r="C54" s="3">
        <v>5.2</v>
      </c>
      <c r="D54" s="3">
        <f t="shared" si="0"/>
        <v>19.900000000000002</v>
      </c>
      <c r="AE54">
        <f t="shared" si="2"/>
        <v>1951</v>
      </c>
      <c r="AF54" s="29">
        <v>1429</v>
      </c>
      <c r="AG54" s="3">
        <f t="shared" si="1"/>
        <v>23.093072078376409</v>
      </c>
    </row>
    <row r="55" spans="1:33" x14ac:dyDescent="0.55000000000000004">
      <c r="A55" s="17">
        <v>2003</v>
      </c>
      <c r="B55" s="3">
        <v>24.4</v>
      </c>
      <c r="C55" s="3">
        <v>5.2</v>
      </c>
      <c r="D55" s="3">
        <f t="shared" si="0"/>
        <v>19.2</v>
      </c>
      <c r="AE55">
        <f t="shared" si="2"/>
        <v>1952</v>
      </c>
      <c r="AF55" s="29">
        <v>1462</v>
      </c>
      <c r="AG55" s="3">
        <f t="shared" si="1"/>
        <v>23.255813953488413</v>
      </c>
    </row>
    <row r="56" spans="1:33" x14ac:dyDescent="0.55000000000000004">
      <c r="A56" s="17">
        <v>2004</v>
      </c>
      <c r="B56" s="3">
        <v>24.1</v>
      </c>
      <c r="C56" s="3">
        <v>5.2</v>
      </c>
      <c r="D56" s="3">
        <f t="shared" si="0"/>
        <v>18.900000000000002</v>
      </c>
      <c r="AE56">
        <f t="shared" si="2"/>
        <v>1953</v>
      </c>
      <c r="AF56" s="29">
        <v>1496</v>
      </c>
      <c r="AG56" s="3">
        <f t="shared" si="1"/>
        <v>22.727272727272705</v>
      </c>
    </row>
    <row r="57" spans="1:33" x14ac:dyDescent="0.55000000000000004">
      <c r="A57" s="17">
        <v>2005</v>
      </c>
      <c r="B57" s="3">
        <v>23.7</v>
      </c>
      <c r="C57" s="3">
        <v>5.2</v>
      </c>
      <c r="D57" s="3">
        <f t="shared" si="0"/>
        <v>18.5</v>
      </c>
      <c r="AE57">
        <f t="shared" si="2"/>
        <v>1954</v>
      </c>
      <c r="AF57" s="29">
        <v>1530</v>
      </c>
      <c r="AG57" s="3">
        <f t="shared" si="1"/>
        <v>22.875816993463971</v>
      </c>
    </row>
    <row r="58" spans="1:33" x14ac:dyDescent="0.55000000000000004">
      <c r="A58" s="17">
        <v>2006</v>
      </c>
      <c r="B58" s="3">
        <v>23.3</v>
      </c>
      <c r="C58" s="3">
        <v>5.2</v>
      </c>
      <c r="D58" s="3">
        <f t="shared" si="0"/>
        <v>18.100000000000001</v>
      </c>
      <c r="AE58">
        <f t="shared" si="2"/>
        <v>1955</v>
      </c>
      <c r="AF58" s="29">
        <v>1565</v>
      </c>
      <c r="AG58" s="3">
        <f t="shared" si="1"/>
        <v>30.670926517571971</v>
      </c>
    </row>
    <row r="59" spans="1:33" x14ac:dyDescent="0.55000000000000004">
      <c r="A59" s="17">
        <v>2007</v>
      </c>
      <c r="B59" s="3">
        <v>23</v>
      </c>
      <c r="C59" s="3">
        <v>5.2</v>
      </c>
      <c r="D59" s="3">
        <f t="shared" si="0"/>
        <v>17.8</v>
      </c>
      <c r="AE59">
        <f t="shared" si="2"/>
        <v>1956</v>
      </c>
      <c r="AF59" s="29">
        <v>1613</v>
      </c>
      <c r="AG59" s="3">
        <f t="shared" si="1"/>
        <v>21.698698078115306</v>
      </c>
    </row>
    <row r="60" spans="1:33" x14ac:dyDescent="0.55000000000000004">
      <c r="A60" s="17">
        <v>2008</v>
      </c>
      <c r="B60" s="3">
        <v>23</v>
      </c>
      <c r="C60" s="3">
        <v>5.2</v>
      </c>
      <c r="D60" s="3">
        <f t="shared" si="0"/>
        <v>17.8</v>
      </c>
      <c r="AE60">
        <f t="shared" si="2"/>
        <v>1957</v>
      </c>
      <c r="AF60" s="29">
        <v>1648</v>
      </c>
      <c r="AG60" s="3">
        <f t="shared" si="1"/>
        <v>23.665048543689338</v>
      </c>
    </row>
    <row r="61" spans="1:33" x14ac:dyDescent="0.55000000000000004">
      <c r="A61" s="17">
        <v>2009</v>
      </c>
      <c r="B61" s="3">
        <v>22.9</v>
      </c>
      <c r="C61" s="3">
        <v>5.2</v>
      </c>
      <c r="D61" s="3">
        <f t="shared" si="0"/>
        <v>17.7</v>
      </c>
      <c r="AE61">
        <f t="shared" si="2"/>
        <v>1958</v>
      </c>
      <c r="AF61" s="29">
        <v>1687</v>
      </c>
      <c r="AG61" s="3">
        <f t="shared" si="1"/>
        <v>24.303497332542889</v>
      </c>
    </row>
    <row r="62" spans="1:33" x14ac:dyDescent="0.55000000000000004">
      <c r="A62" s="17">
        <v>2010</v>
      </c>
      <c r="B62" s="3">
        <v>22.5</v>
      </c>
      <c r="C62" s="3">
        <v>5.2</v>
      </c>
      <c r="D62" s="3">
        <f t="shared" si="0"/>
        <v>17.3</v>
      </c>
      <c r="AE62">
        <f t="shared" si="2"/>
        <v>1959</v>
      </c>
      <c r="AF62" s="29">
        <v>1728</v>
      </c>
      <c r="AG62" s="3">
        <f t="shared" si="1"/>
        <v>23.148148148148138</v>
      </c>
    </row>
    <row r="63" spans="1:33" x14ac:dyDescent="0.55000000000000004">
      <c r="A63" s="17">
        <v>2011</v>
      </c>
      <c r="B63" s="3">
        <v>22.5</v>
      </c>
      <c r="C63" s="3">
        <v>5.2</v>
      </c>
      <c r="D63" s="3">
        <f t="shared" si="0"/>
        <v>17.3</v>
      </c>
      <c r="AE63">
        <f t="shared" si="2"/>
        <v>1960</v>
      </c>
      <c r="AF63" s="29">
        <v>1768</v>
      </c>
      <c r="AG63" s="3">
        <f t="shared" si="1"/>
        <v>24.88687782805421</v>
      </c>
    </row>
    <row r="64" spans="1:33" x14ac:dyDescent="0.55000000000000004">
      <c r="A64" s="17">
        <v>2012</v>
      </c>
      <c r="B64" s="3">
        <v>22.6</v>
      </c>
      <c r="C64" s="3">
        <v>5.2</v>
      </c>
      <c r="D64" s="3">
        <f t="shared" si="0"/>
        <v>17.400000000000002</v>
      </c>
      <c r="AE64">
        <f t="shared" si="2"/>
        <v>1961</v>
      </c>
      <c r="AF64" s="29">
        <v>1812</v>
      </c>
      <c r="AG64" s="3">
        <f t="shared" si="1"/>
        <v>25.386313465783683</v>
      </c>
    </row>
    <row r="65" spans="1:33" x14ac:dyDescent="0.55000000000000004">
      <c r="A65" s="17">
        <v>2013</v>
      </c>
      <c r="B65" s="3">
        <v>22.5</v>
      </c>
      <c r="C65" s="3">
        <v>5.2</v>
      </c>
      <c r="D65" s="3">
        <f t="shared" si="0"/>
        <v>17.3</v>
      </c>
      <c r="AE65">
        <f t="shared" si="2"/>
        <v>1962</v>
      </c>
      <c r="AF65" s="29">
        <v>1858</v>
      </c>
      <c r="AG65" s="3">
        <f t="shared" si="1"/>
        <v>25.834230355220591</v>
      </c>
    </row>
    <row r="66" spans="1:33" x14ac:dyDescent="0.55000000000000004">
      <c r="A66" s="17">
        <v>2014</v>
      </c>
      <c r="B66" s="3">
        <v>22.6</v>
      </c>
      <c r="C66" s="3">
        <v>5.2</v>
      </c>
      <c r="D66" s="3">
        <f t="shared" si="0"/>
        <v>17.400000000000002</v>
      </c>
      <c r="AE66">
        <f t="shared" si="2"/>
        <v>1963</v>
      </c>
      <c r="AF66" s="29">
        <v>1906</v>
      </c>
      <c r="AG66" s="3">
        <f t="shared" si="1"/>
        <v>25.70828961175242</v>
      </c>
    </row>
    <row r="67" spans="1:33" x14ac:dyDescent="0.55000000000000004">
      <c r="A67" s="17">
        <v>2015</v>
      </c>
      <c r="B67" s="3">
        <v>22.7</v>
      </c>
      <c r="C67" s="3">
        <v>5.3</v>
      </c>
      <c r="D67" s="3">
        <f t="shared" ref="D67:D75" si="3">B67-C67</f>
        <v>17.399999999999999</v>
      </c>
      <c r="AE67">
        <f t="shared" si="2"/>
        <v>1964</v>
      </c>
      <c r="AF67" s="29">
        <v>1955</v>
      </c>
      <c r="AG67" s="3">
        <f t="shared" si="1"/>
        <v>26.598465473145705</v>
      </c>
    </row>
    <row r="68" spans="1:33" x14ac:dyDescent="0.55000000000000004">
      <c r="A68" s="17">
        <v>2016</v>
      </c>
      <c r="B68" s="3">
        <v>22.5</v>
      </c>
      <c r="C68" s="3">
        <v>5.4</v>
      </c>
      <c r="D68" s="3">
        <f t="shared" si="3"/>
        <v>17.100000000000001</v>
      </c>
      <c r="AE68">
        <f t="shared" si="2"/>
        <v>1965</v>
      </c>
      <c r="AF68" s="29">
        <v>2007</v>
      </c>
      <c r="AG68" s="3">
        <f t="shared" ref="AG68:AG75" si="4">1000 * (AF69/AF68 - 1)</f>
        <v>26.905829596412634</v>
      </c>
    </row>
    <row r="69" spans="1:33" x14ac:dyDescent="0.55000000000000004">
      <c r="A69" s="17">
        <v>2017</v>
      </c>
      <c r="B69" s="3">
        <v>22.2</v>
      </c>
      <c r="C69" s="3">
        <v>5.5</v>
      </c>
      <c r="D69" s="3">
        <f t="shared" si="3"/>
        <v>16.7</v>
      </c>
      <c r="AE69">
        <f t="shared" ref="AE69:AE77" si="5">AE68+1</f>
        <v>1966</v>
      </c>
      <c r="AF69" s="29">
        <v>2061</v>
      </c>
      <c r="AG69" s="3">
        <f t="shared" si="4"/>
        <v>26.686074721009145</v>
      </c>
    </row>
    <row r="70" spans="1:33" x14ac:dyDescent="0.55000000000000004">
      <c r="A70" s="17">
        <v>2018</v>
      </c>
      <c r="B70" s="3">
        <v>21.8</v>
      </c>
      <c r="C70" s="3">
        <v>5.5</v>
      </c>
      <c r="D70" s="3">
        <f t="shared" si="3"/>
        <v>16.3</v>
      </c>
      <c r="AE70">
        <f t="shared" si="5"/>
        <v>1967</v>
      </c>
      <c r="AF70" s="29">
        <v>2116</v>
      </c>
      <c r="AG70" s="3">
        <f t="shared" si="4"/>
        <v>27.410207939508435</v>
      </c>
    </row>
    <row r="71" spans="1:33" x14ac:dyDescent="0.55000000000000004">
      <c r="A71" s="17">
        <v>2019</v>
      </c>
      <c r="B71" s="3">
        <v>21.4</v>
      </c>
      <c r="C71" s="3">
        <v>5.6</v>
      </c>
      <c r="D71" s="3">
        <f t="shared" si="3"/>
        <v>15.799999999999999</v>
      </c>
      <c r="AE71">
        <f t="shared" si="5"/>
        <v>1968</v>
      </c>
      <c r="AF71" s="29">
        <v>2174</v>
      </c>
      <c r="AG71" s="3">
        <f t="shared" si="4"/>
        <v>27.598896044158217</v>
      </c>
    </row>
    <row r="72" spans="1:33" x14ac:dyDescent="0.55000000000000004">
      <c r="A72" s="17">
        <v>2020</v>
      </c>
      <c r="B72" s="3">
        <v>21</v>
      </c>
      <c r="C72" s="3">
        <v>6.1</v>
      </c>
      <c r="D72" s="3">
        <f t="shared" si="3"/>
        <v>14.9</v>
      </c>
      <c r="AE72">
        <f t="shared" si="5"/>
        <v>1969</v>
      </c>
      <c r="AF72" s="29">
        <v>2234</v>
      </c>
      <c r="AG72" s="3">
        <f t="shared" si="4"/>
        <v>27.752909579230156</v>
      </c>
    </row>
    <row r="73" spans="1:33" x14ac:dyDescent="0.55000000000000004">
      <c r="A73" s="17">
        <v>2021</v>
      </c>
      <c r="B73" s="3">
        <v>20.7</v>
      </c>
      <c r="C73" s="3">
        <v>8.9</v>
      </c>
      <c r="D73" s="3">
        <f t="shared" si="3"/>
        <v>11.799999999999999</v>
      </c>
      <c r="AE73">
        <f t="shared" si="5"/>
        <v>1970</v>
      </c>
      <c r="AF73" s="29">
        <v>2296</v>
      </c>
      <c r="AG73" s="3">
        <f t="shared" si="4"/>
        <v>28.310104529616797</v>
      </c>
    </row>
    <row r="74" spans="1:33" x14ac:dyDescent="0.55000000000000004">
      <c r="A74" s="17">
        <v>2022</v>
      </c>
      <c r="B74" s="3">
        <v>20.399999999999999</v>
      </c>
      <c r="C74" s="3">
        <v>6.4</v>
      </c>
      <c r="D74" s="3">
        <f t="shared" si="3"/>
        <v>13.999999999999998</v>
      </c>
      <c r="AE74">
        <f t="shared" si="5"/>
        <v>1971</v>
      </c>
      <c r="AF74" s="29">
        <v>2361</v>
      </c>
      <c r="AG74" s="3">
        <f t="shared" si="4"/>
        <v>28.377806014400655</v>
      </c>
    </row>
    <row r="75" spans="1:33" x14ac:dyDescent="0.55000000000000004">
      <c r="A75" s="17">
        <v>2023</v>
      </c>
      <c r="B75" s="3">
        <v>20</v>
      </c>
      <c r="C75" s="3">
        <v>5.7</v>
      </c>
      <c r="D75" s="3">
        <f t="shared" si="3"/>
        <v>14.3</v>
      </c>
      <c r="AE75">
        <f t="shared" si="5"/>
        <v>1972</v>
      </c>
      <c r="AF75" s="29">
        <v>2428</v>
      </c>
      <c r="AG75" s="3"/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85"/>
  <sheetViews>
    <sheetView workbookViewId="0">
      <selection activeCell="AE2" sqref="AE2:AG4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1940</v>
      </c>
      <c r="B2" s="3">
        <v>44.4</v>
      </c>
      <c r="C2" s="3">
        <v>29.8</v>
      </c>
      <c r="D2" s="3">
        <f>B2-C2</f>
        <v>14.599999999999998</v>
      </c>
      <c r="AE2" t="s">
        <v>73</v>
      </c>
      <c r="AF2" t="s">
        <v>154</v>
      </c>
      <c r="AG2" t="s">
        <v>155</v>
      </c>
    </row>
    <row r="3" spans="1:33" x14ac:dyDescent="0.55000000000000004">
      <c r="A3" s="17">
        <v>1941</v>
      </c>
      <c r="B3" s="3">
        <v>44.4</v>
      </c>
      <c r="C3" s="3">
        <v>29.5</v>
      </c>
      <c r="D3" s="3">
        <f t="shared" ref="D3:D66" si="0">B3-C3</f>
        <v>14.899999999999999</v>
      </c>
      <c r="AE3">
        <v>1900</v>
      </c>
      <c r="AF3" s="29">
        <v>3000</v>
      </c>
      <c r="AG3" s="3">
        <f>1000 * (AF4/AF3 - 1)</f>
        <v>33.333333333333435</v>
      </c>
    </row>
    <row r="4" spans="1:33" x14ac:dyDescent="0.55000000000000004">
      <c r="A4" s="17">
        <v>1942</v>
      </c>
      <c r="B4" s="3">
        <v>44.5</v>
      </c>
      <c r="C4" s="3">
        <v>29.1</v>
      </c>
      <c r="D4" s="3">
        <f t="shared" si="0"/>
        <v>15.399999999999999</v>
      </c>
      <c r="AE4">
        <f>AE3+1</f>
        <v>1901</v>
      </c>
      <c r="AF4" s="29">
        <v>3100</v>
      </c>
      <c r="AG4" s="3">
        <f t="shared" ref="AG4:AG42" si="1">1000 * (AF5/AF4 - 1)</f>
        <v>32.258064516129004</v>
      </c>
    </row>
    <row r="5" spans="1:33" x14ac:dyDescent="0.55000000000000004">
      <c r="A5" s="17">
        <v>1943</v>
      </c>
      <c r="B5" s="3">
        <v>44.5</v>
      </c>
      <c r="C5" s="3">
        <v>28.3</v>
      </c>
      <c r="D5" s="3">
        <f t="shared" si="0"/>
        <v>16.2</v>
      </c>
      <c r="AE5">
        <f t="shared" ref="AE5:AE54" si="2">AE4+1</f>
        <v>1902</v>
      </c>
      <c r="AF5" s="29">
        <v>3200</v>
      </c>
      <c r="AG5" s="3">
        <f t="shared" si="1"/>
        <v>31.25</v>
      </c>
    </row>
    <row r="6" spans="1:33" x14ac:dyDescent="0.55000000000000004">
      <c r="A6" s="17">
        <v>1944</v>
      </c>
      <c r="B6" s="3">
        <v>44.6</v>
      </c>
      <c r="C6" s="3">
        <v>27.4</v>
      </c>
      <c r="D6" s="3">
        <f t="shared" si="0"/>
        <v>17.200000000000003</v>
      </c>
      <c r="AE6">
        <f t="shared" si="2"/>
        <v>1903</v>
      </c>
      <c r="AF6" s="29">
        <v>3300</v>
      </c>
      <c r="AG6" s="3">
        <f t="shared" si="1"/>
        <v>30.303030303030276</v>
      </c>
    </row>
    <row r="7" spans="1:33" x14ac:dyDescent="0.55000000000000004">
      <c r="A7" s="17">
        <v>1945</v>
      </c>
      <c r="B7" s="3">
        <v>44.7</v>
      </c>
      <c r="C7" s="3">
        <v>26.2</v>
      </c>
      <c r="D7" s="3">
        <f t="shared" si="0"/>
        <v>18.500000000000004</v>
      </c>
      <c r="AE7">
        <f t="shared" si="2"/>
        <v>1904</v>
      </c>
      <c r="AF7" s="29">
        <v>3400</v>
      </c>
      <c r="AG7" s="3">
        <f t="shared" si="1"/>
        <v>29.411764705882248</v>
      </c>
    </row>
    <row r="8" spans="1:33" x14ac:dyDescent="0.55000000000000004">
      <c r="A8" s="17">
        <v>1946</v>
      </c>
      <c r="B8" s="3">
        <v>44.8</v>
      </c>
      <c r="C8" s="3">
        <v>25.3</v>
      </c>
      <c r="D8" s="3">
        <f t="shared" si="0"/>
        <v>19.499999999999996</v>
      </c>
      <c r="AE8">
        <f t="shared" si="2"/>
        <v>1905</v>
      </c>
      <c r="AF8" s="29">
        <v>3500</v>
      </c>
      <c r="AG8" s="3">
        <f t="shared" si="1"/>
        <v>28.57142857142847</v>
      </c>
    </row>
    <row r="9" spans="1:33" x14ac:dyDescent="0.55000000000000004">
      <c r="A9" s="17">
        <v>1947</v>
      </c>
      <c r="B9" s="3">
        <v>44.9</v>
      </c>
      <c r="C9" s="3">
        <v>24.5</v>
      </c>
      <c r="D9" s="3">
        <f t="shared" si="0"/>
        <v>20.399999999999999</v>
      </c>
      <c r="AE9">
        <f t="shared" si="2"/>
        <v>1906</v>
      </c>
      <c r="AF9" s="29">
        <v>3600</v>
      </c>
      <c r="AG9" s="3">
        <f t="shared" si="1"/>
        <v>27.777777777777679</v>
      </c>
    </row>
    <row r="10" spans="1:33" x14ac:dyDescent="0.55000000000000004">
      <c r="A10" s="17">
        <v>1948</v>
      </c>
      <c r="B10" s="3">
        <v>45</v>
      </c>
      <c r="C10" s="3">
        <v>24</v>
      </c>
      <c r="D10" s="3">
        <f t="shared" si="0"/>
        <v>21</v>
      </c>
      <c r="AE10">
        <f t="shared" si="2"/>
        <v>1907</v>
      </c>
      <c r="AF10" s="29">
        <v>3700</v>
      </c>
      <c r="AG10" s="3">
        <f t="shared" si="1"/>
        <v>27.027027027026975</v>
      </c>
    </row>
    <row r="11" spans="1:33" x14ac:dyDescent="0.55000000000000004">
      <c r="A11" s="17">
        <v>1949</v>
      </c>
      <c r="B11" s="3">
        <v>45.1</v>
      </c>
      <c r="C11" s="3">
        <v>23.6</v>
      </c>
      <c r="D11" s="3">
        <f t="shared" si="0"/>
        <v>21.5</v>
      </c>
      <c r="AE11">
        <f t="shared" si="2"/>
        <v>1908</v>
      </c>
      <c r="AF11" s="29">
        <v>3800</v>
      </c>
      <c r="AG11" s="3">
        <f t="shared" si="1"/>
        <v>26.315789473684291</v>
      </c>
    </row>
    <row r="12" spans="1:33" x14ac:dyDescent="0.55000000000000004">
      <c r="A12" s="17">
        <v>1950</v>
      </c>
      <c r="B12" s="3">
        <v>45.2</v>
      </c>
      <c r="C12" s="3">
        <v>23.5</v>
      </c>
      <c r="D12" s="3">
        <f t="shared" si="0"/>
        <v>21.700000000000003</v>
      </c>
      <c r="AE12">
        <f t="shared" si="2"/>
        <v>1909</v>
      </c>
      <c r="AF12" s="29">
        <v>3900</v>
      </c>
      <c r="AG12" s="3">
        <f t="shared" si="1"/>
        <v>25.64102564102555</v>
      </c>
    </row>
    <row r="13" spans="1:33" x14ac:dyDescent="0.55000000000000004">
      <c r="A13" s="17">
        <v>1951</v>
      </c>
      <c r="B13" s="3">
        <v>45.4</v>
      </c>
      <c r="C13" s="3">
        <v>23.1</v>
      </c>
      <c r="D13" s="3">
        <f t="shared" si="0"/>
        <v>22.299999999999997</v>
      </c>
      <c r="AE13">
        <f t="shared" si="2"/>
        <v>1910</v>
      </c>
      <c r="AF13" s="29">
        <v>4000</v>
      </c>
      <c r="AG13" s="3">
        <f t="shared" si="1"/>
        <v>24.999999999999911</v>
      </c>
    </row>
    <row r="14" spans="1:33" x14ac:dyDescent="0.55000000000000004">
      <c r="A14" s="17">
        <v>1952</v>
      </c>
      <c r="B14" s="3">
        <v>45.6</v>
      </c>
      <c r="C14" s="3">
        <v>22.5</v>
      </c>
      <c r="D14" s="3">
        <f t="shared" si="0"/>
        <v>23.1</v>
      </c>
      <c r="AE14">
        <f t="shared" si="2"/>
        <v>1911</v>
      </c>
      <c r="AF14" s="29">
        <v>4100</v>
      </c>
      <c r="AG14" s="3">
        <f t="shared" si="1"/>
        <v>21.219512195121972</v>
      </c>
    </row>
    <row r="15" spans="1:33" x14ac:dyDescent="0.55000000000000004">
      <c r="A15" s="17">
        <v>1953</v>
      </c>
      <c r="B15" s="3">
        <v>46</v>
      </c>
      <c r="C15" s="3">
        <v>21.5</v>
      </c>
      <c r="D15" s="3">
        <f t="shared" si="0"/>
        <v>24.5</v>
      </c>
      <c r="AE15">
        <f t="shared" si="2"/>
        <v>1912</v>
      </c>
      <c r="AF15" s="29">
        <v>4187</v>
      </c>
      <c r="AG15" s="3">
        <f t="shared" si="1"/>
        <v>19.106759016001895</v>
      </c>
    </row>
    <row r="16" spans="1:33" x14ac:dyDescent="0.55000000000000004">
      <c r="A16" s="17">
        <v>1954</v>
      </c>
      <c r="B16" s="3">
        <v>46.5</v>
      </c>
      <c r="C16" s="3">
        <v>20.5</v>
      </c>
      <c r="D16" s="3">
        <f t="shared" si="0"/>
        <v>26</v>
      </c>
      <c r="AE16">
        <f t="shared" si="2"/>
        <v>1913</v>
      </c>
      <c r="AF16" s="29">
        <v>4267</v>
      </c>
      <c r="AG16" s="3">
        <f t="shared" si="1"/>
        <v>18.748535270681987</v>
      </c>
    </row>
    <row r="17" spans="1:33" x14ac:dyDescent="0.55000000000000004">
      <c r="A17" s="17">
        <v>1955</v>
      </c>
      <c r="B17" s="3">
        <v>46.9</v>
      </c>
      <c r="C17" s="3">
        <v>19.5</v>
      </c>
      <c r="D17" s="3">
        <f t="shared" si="0"/>
        <v>27.4</v>
      </c>
      <c r="AE17">
        <f t="shared" si="2"/>
        <v>1914</v>
      </c>
      <c r="AF17" s="29">
        <v>4347</v>
      </c>
      <c r="AG17" s="3">
        <f t="shared" si="1"/>
        <v>18.403496664366248</v>
      </c>
    </row>
    <row r="18" spans="1:33" x14ac:dyDescent="0.55000000000000004">
      <c r="A18" s="17">
        <v>1956</v>
      </c>
      <c r="B18" s="3">
        <v>47.2</v>
      </c>
      <c r="C18" s="3">
        <v>18.899999999999999</v>
      </c>
      <c r="D18" s="3">
        <f t="shared" si="0"/>
        <v>28.300000000000004</v>
      </c>
      <c r="AE18">
        <f t="shared" si="2"/>
        <v>1915</v>
      </c>
      <c r="AF18" s="29">
        <v>4427</v>
      </c>
      <c r="AG18" s="3">
        <f t="shared" si="1"/>
        <v>18.296814998870481</v>
      </c>
    </row>
    <row r="19" spans="1:33" x14ac:dyDescent="0.55000000000000004">
      <c r="A19" s="17">
        <v>1957</v>
      </c>
      <c r="B19" s="3">
        <v>47.4</v>
      </c>
      <c r="C19" s="3">
        <v>18.399999999999999</v>
      </c>
      <c r="D19" s="3">
        <f t="shared" si="0"/>
        <v>29</v>
      </c>
      <c r="AE19">
        <f t="shared" si="2"/>
        <v>1916</v>
      </c>
      <c r="AF19" s="29">
        <v>4508</v>
      </c>
      <c r="AG19" s="3">
        <f t="shared" si="1"/>
        <v>17.746228926353247</v>
      </c>
    </row>
    <row r="20" spans="1:33" x14ac:dyDescent="0.55000000000000004">
      <c r="A20" s="17">
        <v>1958</v>
      </c>
      <c r="B20" s="3">
        <v>47.3</v>
      </c>
      <c r="C20" s="3">
        <v>18</v>
      </c>
      <c r="D20" s="3">
        <f t="shared" si="0"/>
        <v>29.299999999999997</v>
      </c>
      <c r="AE20">
        <f t="shared" si="2"/>
        <v>1917</v>
      </c>
      <c r="AF20" s="29">
        <v>4588</v>
      </c>
      <c r="AG20" s="3">
        <f t="shared" si="1"/>
        <v>17.436791630339954</v>
      </c>
    </row>
    <row r="21" spans="1:33" x14ac:dyDescent="0.55000000000000004">
      <c r="A21" s="17">
        <v>1959</v>
      </c>
      <c r="B21" s="3">
        <v>47.2</v>
      </c>
      <c r="C21" s="3">
        <v>17.600000000000001</v>
      </c>
      <c r="D21" s="3">
        <f t="shared" si="0"/>
        <v>29.6</v>
      </c>
      <c r="AE21">
        <f t="shared" si="2"/>
        <v>1918</v>
      </c>
      <c r="AF21" s="29">
        <v>4668</v>
      </c>
      <c r="AG21" s="3">
        <f t="shared" si="1"/>
        <v>17.137960582690681</v>
      </c>
    </row>
    <row r="22" spans="1:33" x14ac:dyDescent="0.55000000000000004">
      <c r="A22" s="17">
        <v>1960</v>
      </c>
      <c r="B22" s="3">
        <v>46.9</v>
      </c>
      <c r="C22" s="3">
        <v>17.100000000000001</v>
      </c>
      <c r="D22" s="3">
        <f t="shared" si="0"/>
        <v>29.799999999999997</v>
      </c>
      <c r="AE22">
        <f t="shared" si="2"/>
        <v>1919</v>
      </c>
      <c r="AF22" s="29">
        <v>4748</v>
      </c>
      <c r="AG22" s="3">
        <f t="shared" si="1"/>
        <v>16.849199663016012</v>
      </c>
    </row>
    <row r="23" spans="1:33" x14ac:dyDescent="0.55000000000000004">
      <c r="A23" s="17">
        <v>1961</v>
      </c>
      <c r="B23" s="3">
        <v>46.6</v>
      </c>
      <c r="C23" s="3">
        <v>16.7</v>
      </c>
      <c r="D23" s="3">
        <f t="shared" si="0"/>
        <v>29.900000000000002</v>
      </c>
      <c r="AE23">
        <f t="shared" si="2"/>
        <v>1920</v>
      </c>
      <c r="AF23" s="29">
        <v>4828</v>
      </c>
      <c r="AG23" s="3">
        <f t="shared" si="1"/>
        <v>16.570008285004214</v>
      </c>
    </row>
    <row r="24" spans="1:33" x14ac:dyDescent="0.55000000000000004">
      <c r="A24" s="17">
        <v>1962</v>
      </c>
      <c r="B24" s="3">
        <v>46.2</v>
      </c>
      <c r="C24" s="3">
        <v>16.399999999999999</v>
      </c>
      <c r="D24" s="3">
        <f t="shared" si="0"/>
        <v>29.800000000000004</v>
      </c>
      <c r="AE24">
        <f t="shared" si="2"/>
        <v>1921</v>
      </c>
      <c r="AF24" s="29">
        <v>4908</v>
      </c>
      <c r="AG24" s="3">
        <f t="shared" si="1"/>
        <v>16.503667481662543</v>
      </c>
    </row>
    <row r="25" spans="1:33" x14ac:dyDescent="0.55000000000000004">
      <c r="A25" s="17">
        <v>1963</v>
      </c>
      <c r="B25" s="3">
        <v>45.8</v>
      </c>
      <c r="C25" s="3">
        <v>15.8</v>
      </c>
      <c r="D25" s="3">
        <f t="shared" si="0"/>
        <v>29.999999999999996</v>
      </c>
      <c r="AE25">
        <f t="shared" si="2"/>
        <v>1922</v>
      </c>
      <c r="AF25" s="29">
        <v>4989</v>
      </c>
      <c r="AG25" s="3">
        <f t="shared" si="1"/>
        <v>16.035277610743528</v>
      </c>
    </row>
    <row r="26" spans="1:33" x14ac:dyDescent="0.55000000000000004">
      <c r="A26" s="17">
        <v>1964</v>
      </c>
      <c r="B26" s="3">
        <v>45.4</v>
      </c>
      <c r="C26" s="3">
        <v>15.5</v>
      </c>
      <c r="D26" s="3">
        <f t="shared" si="0"/>
        <v>29.9</v>
      </c>
      <c r="AE26">
        <f t="shared" si="2"/>
        <v>1923</v>
      </c>
      <c r="AF26" s="29">
        <v>5069</v>
      </c>
      <c r="AG26" s="3">
        <f t="shared" si="1"/>
        <v>15.584927993687048</v>
      </c>
    </row>
    <row r="27" spans="1:33" x14ac:dyDescent="0.55000000000000004">
      <c r="A27" s="17">
        <v>1965</v>
      </c>
      <c r="B27" s="3">
        <v>44.9</v>
      </c>
      <c r="C27" s="3">
        <v>15.2</v>
      </c>
      <c r="D27" s="3">
        <f t="shared" si="0"/>
        <v>29.7</v>
      </c>
      <c r="AE27">
        <f t="shared" si="2"/>
        <v>1924</v>
      </c>
      <c r="AF27" s="29">
        <v>5148</v>
      </c>
      <c r="AG27" s="3">
        <f t="shared" si="1"/>
        <v>15.73426573426584</v>
      </c>
    </row>
    <row r="28" spans="1:33" x14ac:dyDescent="0.55000000000000004">
      <c r="A28" s="17">
        <v>1966</v>
      </c>
      <c r="B28" s="3">
        <v>44.4</v>
      </c>
      <c r="C28" s="3">
        <v>14.9</v>
      </c>
      <c r="D28" s="3">
        <f t="shared" si="0"/>
        <v>29.5</v>
      </c>
      <c r="AE28">
        <f t="shared" si="2"/>
        <v>1925</v>
      </c>
      <c r="AF28" s="29">
        <v>5229</v>
      </c>
      <c r="AG28" s="3">
        <f t="shared" si="1"/>
        <v>16.064257028112429</v>
      </c>
    </row>
    <row r="29" spans="1:33" x14ac:dyDescent="0.55000000000000004">
      <c r="A29" s="17">
        <v>1967</v>
      </c>
      <c r="B29" s="3">
        <v>44</v>
      </c>
      <c r="C29" s="3">
        <v>14.6</v>
      </c>
      <c r="D29" s="3">
        <f t="shared" si="0"/>
        <v>29.4</v>
      </c>
      <c r="AE29">
        <f t="shared" si="2"/>
        <v>1926</v>
      </c>
      <c r="AF29" s="29">
        <v>5313</v>
      </c>
      <c r="AG29" s="3">
        <f t="shared" si="1"/>
        <v>16.18671183888565</v>
      </c>
    </row>
    <row r="30" spans="1:33" x14ac:dyDescent="0.55000000000000004">
      <c r="A30" s="17">
        <v>1968</v>
      </c>
      <c r="B30" s="3">
        <v>43.4</v>
      </c>
      <c r="C30" s="3">
        <v>14.4</v>
      </c>
      <c r="D30" s="3">
        <f t="shared" si="0"/>
        <v>29</v>
      </c>
      <c r="AE30">
        <f t="shared" si="2"/>
        <v>1927</v>
      </c>
      <c r="AF30" s="29">
        <v>5399</v>
      </c>
      <c r="AG30" s="3">
        <f t="shared" si="1"/>
        <v>15.373217262456107</v>
      </c>
    </row>
    <row r="31" spans="1:33" x14ac:dyDescent="0.55000000000000004">
      <c r="A31" s="17">
        <v>1969</v>
      </c>
      <c r="B31" s="3">
        <v>42.9</v>
      </c>
      <c r="C31" s="3">
        <v>14.1</v>
      </c>
      <c r="D31" s="3">
        <f t="shared" si="0"/>
        <v>28.799999999999997</v>
      </c>
      <c r="AE31">
        <f t="shared" si="2"/>
        <v>1928</v>
      </c>
      <c r="AF31" s="29">
        <v>5482</v>
      </c>
      <c r="AG31" s="3">
        <f t="shared" si="1"/>
        <v>15.505290040131348</v>
      </c>
    </row>
    <row r="32" spans="1:33" x14ac:dyDescent="0.55000000000000004">
      <c r="A32" s="17">
        <v>1970</v>
      </c>
      <c r="B32" s="3">
        <v>42.4</v>
      </c>
      <c r="C32" s="3">
        <v>18.8</v>
      </c>
      <c r="D32" s="3">
        <f t="shared" si="0"/>
        <v>23.599999999999998</v>
      </c>
      <c r="AE32">
        <f t="shared" si="2"/>
        <v>1929</v>
      </c>
      <c r="AF32" s="29">
        <v>5567</v>
      </c>
      <c r="AG32" s="3">
        <f t="shared" si="1"/>
        <v>15.088916831327515</v>
      </c>
    </row>
    <row r="33" spans="1:33" x14ac:dyDescent="0.55000000000000004">
      <c r="A33" s="17">
        <v>1971</v>
      </c>
      <c r="B33" s="3">
        <v>41.8</v>
      </c>
      <c r="C33" s="3">
        <v>13.5</v>
      </c>
      <c r="D33" s="3">
        <f t="shared" si="0"/>
        <v>28.299999999999997</v>
      </c>
      <c r="AE33">
        <f t="shared" si="2"/>
        <v>1930</v>
      </c>
      <c r="AF33" s="29">
        <v>5651</v>
      </c>
      <c r="AG33" s="3">
        <f t="shared" si="1"/>
        <v>17.16510352150058</v>
      </c>
    </row>
    <row r="34" spans="1:33" x14ac:dyDescent="0.55000000000000004">
      <c r="A34" s="17">
        <v>1972</v>
      </c>
      <c r="B34" s="3">
        <v>41.2</v>
      </c>
      <c r="C34" s="3">
        <v>13.3</v>
      </c>
      <c r="D34" s="3">
        <f t="shared" si="0"/>
        <v>27.900000000000002</v>
      </c>
      <c r="AE34">
        <f t="shared" si="2"/>
        <v>1931</v>
      </c>
      <c r="AF34" s="29">
        <v>5748</v>
      </c>
      <c r="AG34" s="3">
        <f t="shared" si="1"/>
        <v>16.70146137787065</v>
      </c>
    </row>
    <row r="35" spans="1:33" x14ac:dyDescent="0.55000000000000004">
      <c r="A35" s="17">
        <v>1973</v>
      </c>
      <c r="B35" s="3">
        <v>40.700000000000003</v>
      </c>
      <c r="C35" s="3">
        <v>13.2</v>
      </c>
      <c r="D35" s="3">
        <f t="shared" si="0"/>
        <v>27.500000000000004</v>
      </c>
      <c r="AE35">
        <f t="shared" si="2"/>
        <v>1932</v>
      </c>
      <c r="AF35" s="29">
        <v>5844</v>
      </c>
      <c r="AG35" s="3">
        <f t="shared" si="1"/>
        <v>16.598220396988328</v>
      </c>
    </row>
    <row r="36" spans="1:33" x14ac:dyDescent="0.55000000000000004">
      <c r="A36" s="17">
        <v>1974</v>
      </c>
      <c r="B36" s="3">
        <v>40.1</v>
      </c>
      <c r="C36" s="3">
        <v>12.8</v>
      </c>
      <c r="D36" s="3">
        <f t="shared" si="0"/>
        <v>27.3</v>
      </c>
      <c r="AE36">
        <f t="shared" si="2"/>
        <v>1933</v>
      </c>
      <c r="AF36" s="29">
        <v>5941</v>
      </c>
      <c r="AG36" s="3">
        <f t="shared" si="1"/>
        <v>16.158895808786376</v>
      </c>
    </row>
    <row r="37" spans="1:33" x14ac:dyDescent="0.55000000000000004">
      <c r="A37" s="17">
        <v>1975</v>
      </c>
      <c r="B37" s="3">
        <v>39.5</v>
      </c>
      <c r="C37" s="3">
        <v>12.5</v>
      </c>
      <c r="D37" s="3">
        <f t="shared" si="0"/>
        <v>27</v>
      </c>
      <c r="AE37">
        <f t="shared" si="2"/>
        <v>1934</v>
      </c>
      <c r="AF37" s="29">
        <v>6037</v>
      </c>
      <c r="AG37" s="3">
        <f t="shared" si="1"/>
        <v>16.067583236706984</v>
      </c>
    </row>
    <row r="38" spans="1:33" x14ac:dyDescent="0.55000000000000004">
      <c r="A38" s="17">
        <v>1976</v>
      </c>
      <c r="B38" s="3">
        <v>38.9</v>
      </c>
      <c r="C38" s="3">
        <v>12.2</v>
      </c>
      <c r="D38" s="3">
        <f t="shared" si="0"/>
        <v>26.7</v>
      </c>
      <c r="AE38">
        <f t="shared" si="2"/>
        <v>1935</v>
      </c>
      <c r="AF38" s="29">
        <v>6134</v>
      </c>
      <c r="AG38" s="3">
        <f t="shared" si="1"/>
        <v>17.769807629605559</v>
      </c>
    </row>
    <row r="39" spans="1:33" x14ac:dyDescent="0.55000000000000004">
      <c r="A39" s="17">
        <v>1977</v>
      </c>
      <c r="B39" s="3">
        <v>38.299999999999997</v>
      </c>
      <c r="C39" s="3">
        <v>11.9</v>
      </c>
      <c r="D39" s="3">
        <f t="shared" si="0"/>
        <v>26.4</v>
      </c>
      <c r="AE39">
        <f t="shared" si="2"/>
        <v>1936</v>
      </c>
      <c r="AF39" s="29">
        <v>6243</v>
      </c>
      <c r="AG39" s="3">
        <f t="shared" si="1"/>
        <v>17.619734102194418</v>
      </c>
    </row>
    <row r="40" spans="1:33" x14ac:dyDescent="0.55000000000000004">
      <c r="A40" s="17">
        <v>1978</v>
      </c>
      <c r="B40" s="3">
        <v>37.700000000000003</v>
      </c>
      <c r="C40" s="3">
        <v>11.5</v>
      </c>
      <c r="D40" s="3">
        <f t="shared" si="0"/>
        <v>26.200000000000003</v>
      </c>
      <c r="AE40">
        <f t="shared" si="2"/>
        <v>1937</v>
      </c>
      <c r="AF40" s="29">
        <v>6353</v>
      </c>
      <c r="AG40" s="3">
        <f t="shared" si="1"/>
        <v>17.157248543995031</v>
      </c>
    </row>
    <row r="41" spans="1:33" x14ac:dyDescent="0.55000000000000004">
      <c r="A41" s="17">
        <v>1979</v>
      </c>
      <c r="B41" s="3">
        <v>37.1</v>
      </c>
      <c r="C41" s="3">
        <v>11.2</v>
      </c>
      <c r="D41" s="3">
        <f t="shared" si="0"/>
        <v>25.900000000000002</v>
      </c>
      <c r="AE41">
        <f t="shared" si="2"/>
        <v>1938</v>
      </c>
      <c r="AF41" s="29">
        <v>6462</v>
      </c>
      <c r="AG41" s="3">
        <f t="shared" si="1"/>
        <v>17.02259362426495</v>
      </c>
    </row>
    <row r="42" spans="1:33" x14ac:dyDescent="0.55000000000000004">
      <c r="A42" s="17">
        <v>1980</v>
      </c>
      <c r="B42" s="3">
        <v>36.5</v>
      </c>
      <c r="C42" s="3">
        <v>10.9</v>
      </c>
      <c r="D42" s="3">
        <f t="shared" si="0"/>
        <v>25.6</v>
      </c>
      <c r="AE42">
        <f t="shared" si="2"/>
        <v>1939</v>
      </c>
      <c r="AF42" s="29">
        <v>6572</v>
      </c>
      <c r="AG42" s="3">
        <f t="shared" si="1"/>
        <v>16.585514303104176</v>
      </c>
    </row>
    <row r="43" spans="1:33" x14ac:dyDescent="0.55000000000000004">
      <c r="A43" s="17">
        <v>1981</v>
      </c>
      <c r="B43" s="3">
        <v>35.9</v>
      </c>
      <c r="C43" s="3">
        <v>10.5</v>
      </c>
      <c r="D43" s="3">
        <f t="shared" si="0"/>
        <v>25.4</v>
      </c>
      <c r="AE43">
        <f t="shared" si="2"/>
        <v>1940</v>
      </c>
      <c r="AF43" s="29">
        <v>6681</v>
      </c>
    </row>
    <row r="44" spans="1:33" x14ac:dyDescent="0.55000000000000004">
      <c r="A44" s="17">
        <v>1982</v>
      </c>
      <c r="B44" s="3">
        <v>35.4</v>
      </c>
      <c r="C44" s="3">
        <v>10.1</v>
      </c>
      <c r="D44" s="3">
        <f t="shared" si="0"/>
        <v>25.299999999999997</v>
      </c>
    </row>
    <row r="45" spans="1:33" x14ac:dyDescent="0.55000000000000004">
      <c r="A45" s="17">
        <v>1983</v>
      </c>
      <c r="B45" s="3">
        <v>35</v>
      </c>
      <c r="C45" s="3">
        <v>9.9</v>
      </c>
      <c r="D45" s="3">
        <f t="shared" si="0"/>
        <v>25.1</v>
      </c>
    </row>
    <row r="46" spans="1:33" x14ac:dyDescent="0.55000000000000004">
      <c r="A46" s="17">
        <v>1984</v>
      </c>
      <c r="B46" s="3">
        <v>34.5</v>
      </c>
      <c r="C46" s="3">
        <v>9.6</v>
      </c>
      <c r="D46" s="3">
        <f t="shared" si="0"/>
        <v>24.9</v>
      </c>
    </row>
    <row r="47" spans="1:33" x14ac:dyDescent="0.55000000000000004">
      <c r="A47" s="17">
        <v>1985</v>
      </c>
      <c r="B47" s="3">
        <v>34</v>
      </c>
      <c r="C47" s="3">
        <v>9.1999999999999993</v>
      </c>
      <c r="D47" s="3">
        <f t="shared" si="0"/>
        <v>24.8</v>
      </c>
    </row>
    <row r="48" spans="1:33" x14ac:dyDescent="0.55000000000000004">
      <c r="A48" s="17">
        <v>1986</v>
      </c>
      <c r="B48" s="3">
        <v>33.5</v>
      </c>
      <c r="C48" s="3">
        <v>8.9</v>
      </c>
      <c r="D48" s="3">
        <f t="shared" si="0"/>
        <v>24.6</v>
      </c>
    </row>
    <row r="49" spans="1:4" x14ac:dyDescent="0.55000000000000004">
      <c r="A49" s="17">
        <v>1987</v>
      </c>
      <c r="B49" s="3">
        <v>33</v>
      </c>
      <c r="C49" s="3">
        <v>8.6</v>
      </c>
      <c r="D49" s="3">
        <f t="shared" si="0"/>
        <v>24.4</v>
      </c>
    </row>
    <row r="50" spans="1:4" x14ac:dyDescent="0.55000000000000004">
      <c r="A50" s="17">
        <v>1988</v>
      </c>
      <c r="B50" s="3">
        <v>32.4</v>
      </c>
      <c r="C50" s="3">
        <v>8.3000000000000007</v>
      </c>
      <c r="D50" s="3">
        <f t="shared" si="0"/>
        <v>24.099999999999998</v>
      </c>
    </row>
    <row r="51" spans="1:4" x14ac:dyDescent="0.55000000000000004">
      <c r="A51" s="17">
        <v>1989</v>
      </c>
      <c r="B51" s="3">
        <v>31.8</v>
      </c>
      <c r="C51" s="3">
        <v>8</v>
      </c>
      <c r="D51" s="3">
        <f t="shared" si="0"/>
        <v>23.8</v>
      </c>
    </row>
    <row r="52" spans="1:4" x14ac:dyDescent="0.55000000000000004">
      <c r="A52" s="17">
        <v>1990</v>
      </c>
      <c r="B52" s="3">
        <v>31.1</v>
      </c>
      <c r="C52" s="3">
        <v>7.7</v>
      </c>
      <c r="D52" s="3">
        <f t="shared" si="0"/>
        <v>23.400000000000002</v>
      </c>
    </row>
    <row r="53" spans="1:4" x14ac:dyDescent="0.55000000000000004">
      <c r="A53" s="17">
        <v>1991</v>
      </c>
      <c r="B53" s="3">
        <v>30.4</v>
      </c>
      <c r="C53" s="3">
        <v>7.6</v>
      </c>
      <c r="D53" s="3">
        <f t="shared" si="0"/>
        <v>22.799999999999997</v>
      </c>
    </row>
    <row r="54" spans="1:4" x14ac:dyDescent="0.55000000000000004">
      <c r="A54" s="17">
        <v>1992</v>
      </c>
      <c r="B54" s="3">
        <v>29.6</v>
      </c>
      <c r="C54" s="3">
        <v>7.2</v>
      </c>
      <c r="D54" s="3">
        <f t="shared" si="0"/>
        <v>22.400000000000002</v>
      </c>
    </row>
    <row r="55" spans="1:4" x14ac:dyDescent="0.55000000000000004">
      <c r="A55" s="17">
        <v>1993</v>
      </c>
      <c r="B55" s="3">
        <v>28.8</v>
      </c>
      <c r="C55" s="3">
        <v>6.9</v>
      </c>
      <c r="D55" s="3">
        <f t="shared" si="0"/>
        <v>21.9</v>
      </c>
    </row>
    <row r="56" spans="1:4" x14ac:dyDescent="0.55000000000000004">
      <c r="A56" s="17">
        <v>1994</v>
      </c>
      <c r="B56" s="3">
        <v>28</v>
      </c>
      <c r="C56" s="3">
        <v>6.5</v>
      </c>
      <c r="D56" s="3">
        <f t="shared" si="0"/>
        <v>21.5</v>
      </c>
    </row>
    <row r="57" spans="1:4" x14ac:dyDescent="0.55000000000000004">
      <c r="A57" s="17">
        <v>1995</v>
      </c>
      <c r="B57" s="3">
        <v>27.2</v>
      </c>
      <c r="C57" s="3">
        <v>6.3</v>
      </c>
      <c r="D57" s="3">
        <f t="shared" si="0"/>
        <v>20.9</v>
      </c>
    </row>
    <row r="58" spans="1:4" x14ac:dyDescent="0.55000000000000004">
      <c r="A58" s="17">
        <v>1996</v>
      </c>
      <c r="B58" s="3">
        <v>26.4</v>
      </c>
      <c r="C58" s="3">
        <v>6.1</v>
      </c>
      <c r="D58" s="3">
        <f t="shared" si="0"/>
        <v>20.299999999999997</v>
      </c>
    </row>
    <row r="59" spans="1:4" x14ac:dyDescent="0.55000000000000004">
      <c r="A59" s="17">
        <v>1997</v>
      </c>
      <c r="B59" s="3">
        <v>25.6</v>
      </c>
      <c r="C59" s="3">
        <v>6</v>
      </c>
      <c r="D59" s="3">
        <f t="shared" si="0"/>
        <v>19.600000000000001</v>
      </c>
    </row>
    <row r="60" spans="1:4" x14ac:dyDescent="0.55000000000000004">
      <c r="A60" s="17">
        <v>1998</v>
      </c>
      <c r="B60" s="3">
        <v>24.9</v>
      </c>
      <c r="C60" s="3">
        <v>5.9</v>
      </c>
      <c r="D60" s="3">
        <f t="shared" si="0"/>
        <v>19</v>
      </c>
    </row>
    <row r="61" spans="1:4" x14ac:dyDescent="0.55000000000000004">
      <c r="A61" s="17">
        <v>1999</v>
      </c>
      <c r="B61" s="3">
        <v>24.3</v>
      </c>
      <c r="C61" s="3">
        <v>5.7</v>
      </c>
      <c r="D61" s="3">
        <f t="shared" si="0"/>
        <v>18.600000000000001</v>
      </c>
    </row>
    <row r="62" spans="1:4" x14ac:dyDescent="0.55000000000000004">
      <c r="A62" s="17">
        <v>2000</v>
      </c>
      <c r="B62" s="3">
        <v>23.8</v>
      </c>
      <c r="C62" s="3">
        <v>5.6</v>
      </c>
      <c r="D62" s="3">
        <f t="shared" si="0"/>
        <v>18.200000000000003</v>
      </c>
    </row>
    <row r="63" spans="1:4" x14ac:dyDescent="0.55000000000000004">
      <c r="A63" s="17">
        <v>2001</v>
      </c>
      <c r="B63" s="3">
        <v>23</v>
      </c>
      <c r="C63" s="3">
        <v>5.6</v>
      </c>
      <c r="D63" s="3">
        <f t="shared" si="0"/>
        <v>17.399999999999999</v>
      </c>
    </row>
    <row r="64" spans="1:4" x14ac:dyDescent="0.55000000000000004">
      <c r="A64" s="17">
        <v>2002</v>
      </c>
      <c r="B64" s="3">
        <v>22.6</v>
      </c>
      <c r="C64" s="3">
        <v>5.6</v>
      </c>
      <c r="D64" s="3">
        <f t="shared" si="0"/>
        <v>17</v>
      </c>
    </row>
    <row r="65" spans="1:4" x14ac:dyDescent="0.55000000000000004">
      <c r="A65" s="17">
        <v>2003</v>
      </c>
      <c r="B65" s="3">
        <v>22.3</v>
      </c>
      <c r="C65" s="3">
        <v>5.7</v>
      </c>
      <c r="D65" s="3">
        <f t="shared" si="0"/>
        <v>16.600000000000001</v>
      </c>
    </row>
    <row r="66" spans="1:4" x14ac:dyDescent="0.55000000000000004">
      <c r="A66" s="17">
        <v>2004</v>
      </c>
      <c r="B66" s="3">
        <v>22.4</v>
      </c>
      <c r="C66" s="3">
        <v>5.9</v>
      </c>
      <c r="D66" s="3">
        <f t="shared" si="0"/>
        <v>16.5</v>
      </c>
    </row>
    <row r="67" spans="1:4" x14ac:dyDescent="0.55000000000000004">
      <c r="A67" s="17">
        <v>2005</v>
      </c>
      <c r="B67" s="3">
        <v>22.1</v>
      </c>
      <c r="C67" s="3">
        <v>5.9</v>
      </c>
      <c r="D67" s="3">
        <f t="shared" ref="D67:D85" si="3">B67-C67</f>
        <v>16.200000000000003</v>
      </c>
    </row>
    <row r="68" spans="1:4" x14ac:dyDescent="0.55000000000000004">
      <c r="A68" s="17">
        <v>2006</v>
      </c>
      <c r="B68" s="3">
        <v>21.8</v>
      </c>
      <c r="C68" s="3">
        <v>6.1</v>
      </c>
      <c r="D68" s="3">
        <f t="shared" si="3"/>
        <v>15.700000000000001</v>
      </c>
    </row>
    <row r="69" spans="1:4" x14ac:dyDescent="0.55000000000000004">
      <c r="A69" s="17">
        <v>2007</v>
      </c>
      <c r="B69" s="3">
        <v>21.4</v>
      </c>
      <c r="C69" s="3">
        <v>6.2</v>
      </c>
      <c r="D69" s="3">
        <f t="shared" si="3"/>
        <v>15.2</v>
      </c>
    </row>
    <row r="70" spans="1:4" x14ac:dyDescent="0.55000000000000004">
      <c r="A70" s="17">
        <v>2008</v>
      </c>
      <c r="B70" s="3">
        <v>20.9</v>
      </c>
      <c r="C70" s="3">
        <v>6.5</v>
      </c>
      <c r="D70" s="3">
        <f t="shared" si="3"/>
        <v>14.399999999999999</v>
      </c>
    </row>
    <row r="71" spans="1:4" x14ac:dyDescent="0.55000000000000004">
      <c r="A71" s="17">
        <v>2009</v>
      </c>
      <c r="B71" s="3">
        <v>20.399999999999999</v>
      </c>
      <c r="C71" s="3">
        <v>6.7</v>
      </c>
      <c r="D71" s="3">
        <f t="shared" si="3"/>
        <v>13.7</v>
      </c>
    </row>
    <row r="72" spans="1:4" x14ac:dyDescent="0.55000000000000004">
      <c r="A72" s="17">
        <v>2010</v>
      </c>
      <c r="B72" s="3">
        <v>19.899999999999999</v>
      </c>
      <c r="C72" s="3">
        <v>6.7</v>
      </c>
      <c r="D72" s="3">
        <f t="shared" si="3"/>
        <v>13.2</v>
      </c>
    </row>
    <row r="73" spans="1:4" x14ac:dyDescent="0.55000000000000004">
      <c r="A73" s="17">
        <v>2011</v>
      </c>
      <c r="B73" s="3">
        <v>19.8</v>
      </c>
      <c r="C73" s="3">
        <v>6.7</v>
      </c>
      <c r="D73" s="3">
        <f t="shared" si="3"/>
        <v>13.100000000000001</v>
      </c>
    </row>
    <row r="74" spans="1:4" x14ac:dyDescent="0.55000000000000004">
      <c r="A74" s="17">
        <v>2012</v>
      </c>
      <c r="B74" s="3">
        <v>19.2</v>
      </c>
      <c r="C74" s="3">
        <v>6.5</v>
      </c>
      <c r="D74" s="3">
        <f t="shared" si="3"/>
        <v>12.7</v>
      </c>
    </row>
    <row r="75" spans="1:4" x14ac:dyDescent="0.55000000000000004">
      <c r="A75" s="17">
        <v>2013</v>
      </c>
      <c r="B75" s="3">
        <v>18.8</v>
      </c>
      <c r="C75" s="3">
        <v>6.3</v>
      </c>
      <c r="D75" s="3">
        <f t="shared" si="3"/>
        <v>12.5</v>
      </c>
    </row>
    <row r="76" spans="1:4" x14ac:dyDescent="0.55000000000000004">
      <c r="A76" s="17">
        <v>2014</v>
      </c>
      <c r="B76" s="3">
        <v>18.399999999999999</v>
      </c>
      <c r="C76" s="3">
        <v>6.1</v>
      </c>
      <c r="D76" s="3">
        <f t="shared" si="3"/>
        <v>12.299999999999999</v>
      </c>
    </row>
    <row r="77" spans="1:4" x14ac:dyDescent="0.55000000000000004">
      <c r="A77" s="17">
        <v>2015</v>
      </c>
      <c r="B77" s="3">
        <v>17.899999999999999</v>
      </c>
      <c r="C77" s="3">
        <v>6</v>
      </c>
      <c r="D77" s="3">
        <f t="shared" si="3"/>
        <v>11.899999999999999</v>
      </c>
    </row>
    <row r="78" spans="1:4" x14ac:dyDescent="0.55000000000000004">
      <c r="A78" s="17">
        <v>2016</v>
      </c>
      <c r="B78" s="3">
        <v>17.600000000000001</v>
      </c>
      <c r="C78" s="3">
        <v>6</v>
      </c>
      <c r="D78" s="3">
        <f t="shared" si="3"/>
        <v>11.600000000000001</v>
      </c>
    </row>
    <row r="79" spans="1:4" x14ac:dyDescent="0.55000000000000004">
      <c r="A79" s="17">
        <v>2017</v>
      </c>
      <c r="B79" s="3">
        <v>17.3</v>
      </c>
      <c r="C79" s="3">
        <v>6.1</v>
      </c>
      <c r="D79" s="3">
        <f t="shared" si="3"/>
        <v>11.200000000000001</v>
      </c>
    </row>
    <row r="80" spans="1:4" x14ac:dyDescent="0.55000000000000004">
      <c r="A80" s="17">
        <v>2018</v>
      </c>
      <c r="B80" s="3">
        <v>16.899999999999999</v>
      </c>
      <c r="C80" s="3">
        <v>6.2</v>
      </c>
      <c r="D80" s="3">
        <f t="shared" si="3"/>
        <v>10.7</v>
      </c>
    </row>
    <row r="81" spans="1:4" x14ac:dyDescent="0.55000000000000004">
      <c r="A81" s="17">
        <v>2019</v>
      </c>
      <c r="B81" s="3">
        <v>16.899999999999999</v>
      </c>
      <c r="C81" s="3">
        <v>6.2</v>
      </c>
      <c r="D81" s="3">
        <f t="shared" si="3"/>
        <v>10.7</v>
      </c>
    </row>
    <row r="82" spans="1:4" x14ac:dyDescent="0.55000000000000004">
      <c r="A82" s="17">
        <v>2020</v>
      </c>
      <c r="B82" s="3">
        <v>16.600000000000001</v>
      </c>
      <c r="C82" s="3">
        <v>7.4</v>
      </c>
      <c r="D82" s="3">
        <f t="shared" si="3"/>
        <v>9.2000000000000011</v>
      </c>
    </row>
    <row r="83" spans="1:4" x14ac:dyDescent="0.55000000000000004">
      <c r="A83" s="17">
        <v>2021</v>
      </c>
      <c r="B83" s="3">
        <v>16.399999999999999</v>
      </c>
      <c r="C83" s="3">
        <v>9.3000000000000007</v>
      </c>
      <c r="D83" s="3">
        <f t="shared" si="3"/>
        <v>7.0999999999999979</v>
      </c>
    </row>
    <row r="84" spans="1:4" x14ac:dyDescent="0.55000000000000004">
      <c r="A84" s="17">
        <v>2022</v>
      </c>
      <c r="B84" s="3">
        <v>16.2</v>
      </c>
      <c r="C84" s="3">
        <v>6.4</v>
      </c>
      <c r="D84" s="3">
        <f t="shared" si="3"/>
        <v>9.7999999999999989</v>
      </c>
    </row>
    <row r="85" spans="1:4" x14ac:dyDescent="0.55000000000000004">
      <c r="A85" s="17">
        <v>2023</v>
      </c>
      <c r="B85" s="3">
        <v>15.9</v>
      </c>
      <c r="C85" s="3">
        <v>5.5</v>
      </c>
      <c r="D85" s="3">
        <f t="shared" si="3"/>
        <v>10.4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2" sqref="F2:K2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E2" sqref="AE2:AG1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9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9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9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9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9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9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9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9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9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9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9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9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9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9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9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9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9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9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9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9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</vt:i4>
      </vt:variant>
    </vt:vector>
  </HeadingPairs>
  <TitlesOfParts>
    <vt:vector size="33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2026-06-05T02:25:06Z</dcterms:modified>
</cp:coreProperties>
</file>