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3267434-6F86-4611-A719-E41E3C943F66}" xr6:coauthVersionLast="45" xr6:coauthVersionMax="47" xr10:uidLastSave="{00000000-0000-0000-0000-000000000000}"/>
  <bookViews>
    <workbookView xWindow="-60" yWindow="-60" windowWidth="38520" windowHeight="23700" tabRatio="746" firstSheet="19" activeTab="22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-WPP" sheetId="29" r:id="rId21"/>
    <sheet name="Мексика-Бриньоли-WPP-реформа" sheetId="38" r:id="rId22"/>
    <sheet name="Мексика-Бриньоли-CONAPO" sheetId="34" r:id="rId23"/>
    <sheet name="Мексика-Бриньоли-CONAPO-реформа" sheetId="39" r:id="rId24"/>
    <sheet name="Мексика-Колвер-WPP" sheetId="19" r:id="rId25"/>
    <sheet name="Мексика-Колвер-WPP-реформа" sheetId="36" r:id="rId26"/>
    <sheet name="Мексика-Колвер-СONAPO" sheetId="35" r:id="rId27"/>
    <sheet name="Мексика-Колвер-СONAPO-реформа" sheetId="37" r:id="rId28"/>
    <sheet name="Панама" sheetId="17" r:id="rId29"/>
    <sheet name="Парагвай" sheetId="10" r:id="rId30"/>
    <sheet name="Перу" sheetId="11" r:id="rId31"/>
    <sheet name="Сальвадор" sheetId="12" r:id="rId32"/>
    <sheet name="Уругвай-Бриньоли" sheetId="27" r:id="rId33"/>
    <sheet name="Уругвай-Ротман" sheetId="16" r:id="rId34"/>
    <sheet name="Уругвай-Митчел" sheetId="20" r:id="rId35"/>
    <sheet name="Чили-Бриньоли" sheetId="28" r:id="rId36"/>
    <sheet name="Чили-Колвер" sheetId="13" r:id="rId37"/>
    <sheet name="Эквадор" sheetId="9" r:id="rId38"/>
  </sheet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29" i="39" l="1"/>
  <c r="I129" i="39"/>
  <c r="K129" i="39" s="1"/>
  <c r="J128" i="39"/>
  <c r="I128" i="39"/>
  <c r="K128" i="39" s="1"/>
  <c r="J127" i="39"/>
  <c r="K127" i="39" s="1"/>
  <c r="I127" i="39"/>
  <c r="J126" i="39"/>
  <c r="I126" i="39"/>
  <c r="K126" i="39" s="1"/>
  <c r="J125" i="39"/>
  <c r="I125" i="39"/>
  <c r="K125" i="39" s="1"/>
  <c r="J124" i="39"/>
  <c r="K124" i="39" s="1"/>
  <c r="I124" i="39"/>
  <c r="J123" i="39"/>
  <c r="I123" i="39"/>
  <c r="K123" i="39" s="1"/>
  <c r="K122" i="39"/>
  <c r="J122" i="39"/>
  <c r="I122" i="39"/>
  <c r="J121" i="39"/>
  <c r="I121" i="39"/>
  <c r="K121" i="39" s="1"/>
  <c r="J120" i="39"/>
  <c r="I120" i="39"/>
  <c r="K120" i="39" s="1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K116" i="39" s="1"/>
  <c r="J115" i="39"/>
  <c r="K115" i="39" s="1"/>
  <c r="I115" i="39"/>
  <c r="J114" i="39"/>
  <c r="I114" i="39"/>
  <c r="K114" i="39" s="1"/>
  <c r="J113" i="39"/>
  <c r="I113" i="39"/>
  <c r="K113" i="39" s="1"/>
  <c r="J112" i="39"/>
  <c r="K112" i="39" s="1"/>
  <c r="I112" i="39"/>
  <c r="J111" i="39"/>
  <c r="I111" i="39"/>
  <c r="K111" i="39" s="1"/>
  <c r="K110" i="39"/>
  <c r="J110" i="39"/>
  <c r="I110" i="39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K106" i="39" s="1"/>
  <c r="J105" i="39"/>
  <c r="I105" i="39"/>
  <c r="K105" i="39" s="1"/>
  <c r="J104" i="39"/>
  <c r="I104" i="39"/>
  <c r="K104" i="39" s="1"/>
  <c r="J103" i="39"/>
  <c r="K103" i="39" s="1"/>
  <c r="I103" i="39"/>
  <c r="J102" i="39"/>
  <c r="I102" i="39"/>
  <c r="K102" i="39" s="1"/>
  <c r="J101" i="39"/>
  <c r="I101" i="39"/>
  <c r="K101" i="39" s="1"/>
  <c r="J100" i="39"/>
  <c r="K100" i="39" s="1"/>
  <c r="I100" i="39"/>
  <c r="J99" i="39"/>
  <c r="I99" i="39"/>
  <c r="K99" i="39" s="1"/>
  <c r="K98" i="39"/>
  <c r="J98" i="39"/>
  <c r="I98" i="39"/>
  <c r="J97" i="39"/>
  <c r="I97" i="39"/>
  <c r="K97" i="39" s="1"/>
  <c r="J96" i="39"/>
  <c r="I96" i="39"/>
  <c r="K96" i="39" s="1"/>
  <c r="J95" i="39"/>
  <c r="I95" i="39"/>
  <c r="K95" i="39" s="1"/>
  <c r="J94" i="39"/>
  <c r="I94" i="39"/>
  <c r="K94" i="39" s="1"/>
  <c r="J93" i="39"/>
  <c r="I93" i="39"/>
  <c r="K93" i="39" s="1"/>
  <c r="J92" i="39"/>
  <c r="I92" i="39"/>
  <c r="K92" i="39" s="1"/>
  <c r="J91" i="39"/>
  <c r="K91" i="39" s="1"/>
  <c r="I91" i="39"/>
  <c r="J90" i="39"/>
  <c r="I90" i="39"/>
  <c r="K90" i="39" s="1"/>
  <c r="J89" i="39"/>
  <c r="I89" i="39"/>
  <c r="K89" i="39" s="1"/>
  <c r="J88" i="39"/>
  <c r="K88" i="39" s="1"/>
  <c r="I88" i="39"/>
  <c r="J87" i="39"/>
  <c r="I87" i="39"/>
  <c r="K87" i="39" s="1"/>
  <c r="K86" i="39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K82" i="39" s="1"/>
  <c r="H82" i="39"/>
  <c r="J81" i="39"/>
  <c r="K81" i="39" s="1"/>
  <c r="I81" i="39"/>
  <c r="H81" i="39"/>
  <c r="J80" i="39"/>
  <c r="I80" i="39"/>
  <c r="K80" i="39" s="1"/>
  <c r="H80" i="39"/>
  <c r="J79" i="39"/>
  <c r="I79" i="39"/>
  <c r="K79" i="39" s="1"/>
  <c r="H79" i="39"/>
  <c r="J78" i="39"/>
  <c r="K78" i="39" s="1"/>
  <c r="I78" i="39"/>
  <c r="H78" i="39"/>
  <c r="J77" i="39"/>
  <c r="I77" i="39"/>
  <c r="K77" i="39" s="1"/>
  <c r="H77" i="39"/>
  <c r="J76" i="39"/>
  <c r="I76" i="39"/>
  <c r="K76" i="39" s="1"/>
  <c r="H76" i="39"/>
  <c r="J75" i="39"/>
  <c r="K75" i="39" s="1"/>
  <c r="I75" i="39"/>
  <c r="H75" i="39"/>
  <c r="J74" i="39"/>
  <c r="I74" i="39"/>
  <c r="K74" i="39" s="1"/>
  <c r="H74" i="39"/>
  <c r="J73" i="39"/>
  <c r="I73" i="39"/>
  <c r="K73" i="39" s="1"/>
  <c r="H73" i="39"/>
  <c r="J72" i="39"/>
  <c r="K72" i="39" s="1"/>
  <c r="I72" i="39"/>
  <c r="H72" i="39"/>
  <c r="J71" i="39"/>
  <c r="I71" i="39"/>
  <c r="K71" i="39" s="1"/>
  <c r="H71" i="39"/>
  <c r="J70" i="39"/>
  <c r="I70" i="39"/>
  <c r="K70" i="39" s="1"/>
  <c r="H70" i="39"/>
  <c r="J69" i="39"/>
  <c r="K69" i="39" s="1"/>
  <c r="I69" i="39"/>
  <c r="H69" i="39"/>
  <c r="J68" i="39"/>
  <c r="I68" i="39"/>
  <c r="K68" i="39" s="1"/>
  <c r="H68" i="39"/>
  <c r="J67" i="39"/>
  <c r="I67" i="39"/>
  <c r="K67" i="39" s="1"/>
  <c r="H67" i="39"/>
  <c r="J66" i="39"/>
  <c r="K66" i="39" s="1"/>
  <c r="I66" i="39"/>
  <c r="H66" i="39"/>
  <c r="J65" i="39"/>
  <c r="I65" i="39"/>
  <c r="K65" i="39" s="1"/>
  <c r="H65" i="39"/>
  <c r="J64" i="39"/>
  <c r="I64" i="39"/>
  <c r="K64" i="39" s="1"/>
  <c r="H64" i="39"/>
  <c r="J63" i="39"/>
  <c r="K63" i="39" s="1"/>
  <c r="I63" i="39"/>
  <c r="H63" i="39"/>
  <c r="J62" i="39"/>
  <c r="I62" i="39"/>
  <c r="K62" i="39" s="1"/>
  <c r="H62" i="39"/>
  <c r="J61" i="39"/>
  <c r="I61" i="39"/>
  <c r="K61" i="39" s="1"/>
  <c r="H61" i="39"/>
  <c r="J60" i="39"/>
  <c r="K60" i="39" s="1"/>
  <c r="I60" i="39"/>
  <c r="H60" i="39"/>
  <c r="J59" i="39"/>
  <c r="I59" i="39"/>
  <c r="K59" i="39" s="1"/>
  <c r="H59" i="39"/>
  <c r="J58" i="39"/>
  <c r="I58" i="39"/>
  <c r="K58" i="39" s="1"/>
  <c r="H58" i="39"/>
  <c r="J57" i="39"/>
  <c r="K57" i="39" s="1"/>
  <c r="I57" i="39"/>
  <c r="H57" i="39"/>
  <c r="J56" i="39"/>
  <c r="I56" i="39"/>
  <c r="K56" i="39" s="1"/>
  <c r="H56" i="39"/>
  <c r="J55" i="39"/>
  <c r="I55" i="39"/>
  <c r="K55" i="39" s="1"/>
  <c r="H55" i="39"/>
  <c r="J54" i="39"/>
  <c r="K54" i="39" s="1"/>
  <c r="I54" i="39"/>
  <c r="H54" i="39"/>
  <c r="J53" i="39"/>
  <c r="I53" i="39"/>
  <c r="K53" i="39" s="1"/>
  <c r="H53" i="39"/>
  <c r="J52" i="39"/>
  <c r="I52" i="39"/>
  <c r="K52" i="39" s="1"/>
  <c r="H52" i="39"/>
  <c r="J51" i="39"/>
  <c r="K51" i="39" s="1"/>
  <c r="I51" i="39"/>
  <c r="H51" i="39"/>
  <c r="J50" i="39"/>
  <c r="I50" i="39"/>
  <c r="K50" i="39" s="1"/>
  <c r="H50" i="39"/>
  <c r="J49" i="39"/>
  <c r="I49" i="39"/>
  <c r="K49" i="39" s="1"/>
  <c r="H49" i="39"/>
  <c r="J48" i="39"/>
  <c r="K48" i="39" s="1"/>
  <c r="I48" i="39"/>
  <c r="H48" i="39"/>
  <c r="J47" i="39"/>
  <c r="I47" i="39"/>
  <c r="K47" i="39" s="1"/>
  <c r="H47" i="39"/>
  <c r="J46" i="39"/>
  <c r="I46" i="39"/>
  <c r="K46" i="39" s="1"/>
  <c r="H46" i="39"/>
  <c r="J45" i="39"/>
  <c r="K45" i="39" s="1"/>
  <c r="I45" i="39"/>
  <c r="H45" i="39"/>
  <c r="J44" i="39"/>
  <c r="I44" i="39"/>
  <c r="K44" i="39" s="1"/>
  <c r="H44" i="39"/>
  <c r="J43" i="39"/>
  <c r="I43" i="39"/>
  <c r="K43" i="39" s="1"/>
  <c r="H43" i="39"/>
  <c r="J42" i="39"/>
  <c r="K42" i="39" s="1"/>
  <c r="I42" i="39"/>
  <c r="H42" i="39"/>
  <c r="J41" i="39"/>
  <c r="I41" i="39"/>
  <c r="K41" i="39" s="1"/>
  <c r="H41" i="39"/>
  <c r="J40" i="39"/>
  <c r="I40" i="39"/>
  <c r="K40" i="39" s="1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K36" i="39" s="1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K31" i="39" s="1"/>
  <c r="H31" i="39"/>
  <c r="J30" i="39"/>
  <c r="K30" i="39" s="1"/>
  <c r="I30" i="39"/>
  <c r="H30" i="39"/>
  <c r="J29" i="39"/>
  <c r="I29" i="39"/>
  <c r="K29" i="39" s="1"/>
  <c r="H29" i="39"/>
  <c r="J28" i="39"/>
  <c r="I28" i="39"/>
  <c r="H28" i="39"/>
  <c r="J27" i="39"/>
  <c r="I27" i="39"/>
  <c r="H27" i="39"/>
  <c r="J26" i="39"/>
  <c r="I26" i="39"/>
  <c r="H26" i="39"/>
  <c r="J25" i="39"/>
  <c r="I25" i="39"/>
  <c r="K25" i="39" s="1"/>
  <c r="H25" i="39"/>
  <c r="J24" i="39"/>
  <c r="K24" i="39" s="1"/>
  <c r="I24" i="39"/>
  <c r="H24" i="39"/>
  <c r="J23" i="39"/>
  <c r="I23" i="39"/>
  <c r="K23" i="39" s="1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K18" i="39" s="1"/>
  <c r="I18" i="39"/>
  <c r="H18" i="39"/>
  <c r="J17" i="39"/>
  <c r="I17" i="39"/>
  <c r="K17" i="39" s="1"/>
  <c r="H17" i="39"/>
  <c r="J16" i="39"/>
  <c r="I16" i="39"/>
  <c r="H16" i="39"/>
  <c r="J15" i="39"/>
  <c r="K15" i="39" s="1"/>
  <c r="I15" i="39"/>
  <c r="H15" i="39"/>
  <c r="J14" i="39"/>
  <c r="I14" i="39"/>
  <c r="K14" i="39" s="1"/>
  <c r="H14" i="39"/>
  <c r="J13" i="39"/>
  <c r="I13" i="39"/>
  <c r="K13" i="39" s="1"/>
  <c r="H13" i="39"/>
  <c r="J12" i="39"/>
  <c r="K12" i="39" s="1"/>
  <c r="I12" i="39"/>
  <c r="H12" i="39"/>
  <c r="J11" i="39"/>
  <c r="I11" i="39"/>
  <c r="K11" i="39" s="1"/>
  <c r="H11" i="39"/>
  <c r="J10" i="39"/>
  <c r="I10" i="39"/>
  <c r="K10" i="39" s="1"/>
  <c r="H10" i="39"/>
  <c r="J9" i="39"/>
  <c r="K9" i="39" s="1"/>
  <c r="I9" i="39"/>
  <c r="H9" i="39"/>
  <c r="J8" i="39"/>
  <c r="I8" i="39"/>
  <c r="K8" i="39" s="1"/>
  <c r="H8" i="39"/>
  <c r="J7" i="39"/>
  <c r="I7" i="39"/>
  <c r="K7" i="39" s="1"/>
  <c r="H7" i="39"/>
  <c r="J6" i="39"/>
  <c r="K6" i="39" s="1"/>
  <c r="I6" i="39"/>
  <c r="H6" i="39"/>
  <c r="J5" i="39"/>
  <c r="I5" i="39"/>
  <c r="K5" i="39" s="1"/>
  <c r="H5" i="39"/>
  <c r="J4" i="39"/>
  <c r="I4" i="39"/>
  <c r="K4" i="39" s="1"/>
  <c r="H4" i="39"/>
  <c r="J3" i="39"/>
  <c r="K3" i="39" s="1"/>
  <c r="I3" i="39"/>
  <c r="H3" i="39"/>
  <c r="J129" i="38"/>
  <c r="I129" i="38"/>
  <c r="K129" i="38" s="1"/>
  <c r="J128" i="38"/>
  <c r="I128" i="38"/>
  <c r="K128" i="38" s="1"/>
  <c r="J127" i="38"/>
  <c r="I127" i="38"/>
  <c r="K127" i="38" s="1"/>
  <c r="J126" i="38"/>
  <c r="I126" i="38"/>
  <c r="K126" i="38" s="1"/>
  <c r="J125" i="38"/>
  <c r="K125" i="38" s="1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K121" i="38" s="1"/>
  <c r="K120" i="38"/>
  <c r="J120" i="38"/>
  <c r="I120" i="38"/>
  <c r="J119" i="38"/>
  <c r="I119" i="38"/>
  <c r="K119" i="38" s="1"/>
  <c r="J118" i="38"/>
  <c r="I118" i="38"/>
  <c r="K118" i="38" s="1"/>
  <c r="J117" i="38"/>
  <c r="I117" i="38"/>
  <c r="K117" i="38" s="1"/>
  <c r="J116" i="38"/>
  <c r="I116" i="38"/>
  <c r="K116" i="38" s="1"/>
  <c r="J115" i="38"/>
  <c r="K115" i="38" s="1"/>
  <c r="I115" i="38"/>
  <c r="J114" i="38"/>
  <c r="I114" i="38"/>
  <c r="K114" i="38" s="1"/>
  <c r="J113" i="38"/>
  <c r="K113" i="38" s="1"/>
  <c r="I113" i="38"/>
  <c r="J112" i="38"/>
  <c r="I112" i="38"/>
  <c r="K112" i="38" s="1"/>
  <c r="J111" i="38"/>
  <c r="I111" i="38"/>
  <c r="K111" i="38" s="1"/>
  <c r="K110" i="38"/>
  <c r="J110" i="38"/>
  <c r="I110" i="38"/>
  <c r="J109" i="38"/>
  <c r="I109" i="38"/>
  <c r="K109" i="38" s="1"/>
  <c r="K108" i="38"/>
  <c r="J108" i="38"/>
  <c r="I108" i="38"/>
  <c r="J107" i="38"/>
  <c r="I107" i="38"/>
  <c r="K107" i="38" s="1"/>
  <c r="J106" i="38"/>
  <c r="I106" i="38"/>
  <c r="K106" i="38" s="1"/>
  <c r="J105" i="38"/>
  <c r="I105" i="38"/>
  <c r="K105" i="38" s="1"/>
  <c r="J104" i="38"/>
  <c r="I104" i="38"/>
  <c r="K104" i="38" s="1"/>
  <c r="J103" i="38"/>
  <c r="K103" i="38" s="1"/>
  <c r="I103" i="38"/>
  <c r="J102" i="38"/>
  <c r="I102" i="38"/>
  <c r="K102" i="38" s="1"/>
  <c r="J101" i="38"/>
  <c r="K101" i="38" s="1"/>
  <c r="I101" i="38"/>
  <c r="J100" i="38"/>
  <c r="I100" i="38"/>
  <c r="K100" i="38" s="1"/>
  <c r="J99" i="38"/>
  <c r="I99" i="38"/>
  <c r="K99" i="38" s="1"/>
  <c r="K98" i="38"/>
  <c r="J98" i="38"/>
  <c r="I98" i="38"/>
  <c r="J97" i="38"/>
  <c r="I97" i="38"/>
  <c r="K97" i="38" s="1"/>
  <c r="K96" i="38"/>
  <c r="J96" i="38"/>
  <c r="I96" i="38"/>
  <c r="J95" i="38"/>
  <c r="I95" i="38"/>
  <c r="K95" i="38" s="1"/>
  <c r="J94" i="38"/>
  <c r="I94" i="38"/>
  <c r="K94" i="38" s="1"/>
  <c r="J93" i="38"/>
  <c r="K93" i="38" s="1"/>
  <c r="I93" i="38"/>
  <c r="J92" i="38"/>
  <c r="I92" i="38"/>
  <c r="K92" i="38" s="1"/>
  <c r="J91" i="38"/>
  <c r="K91" i="38" s="1"/>
  <c r="I91" i="38"/>
  <c r="J90" i="38"/>
  <c r="I90" i="38"/>
  <c r="K90" i="38" s="1"/>
  <c r="J89" i="38"/>
  <c r="K89" i="38" s="1"/>
  <c r="I89" i="38"/>
  <c r="J88" i="38"/>
  <c r="I88" i="38"/>
  <c r="K88" i="38" s="1"/>
  <c r="J87" i="38"/>
  <c r="I87" i="38"/>
  <c r="K87" i="38" s="1"/>
  <c r="K86" i="38"/>
  <c r="J86" i="38"/>
  <c r="I86" i="38"/>
  <c r="J85" i="38"/>
  <c r="I85" i="38"/>
  <c r="K85" i="38" s="1"/>
  <c r="A85" i="38"/>
  <c r="A86" i="38" s="1"/>
  <c r="K84" i="38"/>
  <c r="J84" i="38"/>
  <c r="I84" i="38"/>
  <c r="A84" i="38"/>
  <c r="H84" i="38" s="1"/>
  <c r="J83" i="38"/>
  <c r="I83" i="38"/>
  <c r="K83" i="38" s="1"/>
  <c r="H83" i="38"/>
  <c r="J82" i="38"/>
  <c r="I82" i="38"/>
  <c r="K82" i="38" s="1"/>
  <c r="H82" i="38"/>
  <c r="J81" i="38"/>
  <c r="I81" i="38"/>
  <c r="K81" i="38" s="1"/>
  <c r="H81" i="38"/>
  <c r="J80" i="38"/>
  <c r="I80" i="38"/>
  <c r="K80" i="38" s="1"/>
  <c r="H80" i="38"/>
  <c r="J79" i="38"/>
  <c r="I79" i="38"/>
  <c r="K79" i="38" s="1"/>
  <c r="H79" i="38"/>
  <c r="J78" i="38"/>
  <c r="I78" i="38"/>
  <c r="K78" i="38" s="1"/>
  <c r="H78" i="38"/>
  <c r="J77" i="38"/>
  <c r="I77" i="38"/>
  <c r="K77" i="38" s="1"/>
  <c r="H77" i="38"/>
  <c r="J76" i="38"/>
  <c r="I76" i="38"/>
  <c r="K76" i="38" s="1"/>
  <c r="H76" i="38"/>
  <c r="J75" i="38"/>
  <c r="I75" i="38"/>
  <c r="K75" i="38" s="1"/>
  <c r="H75" i="38"/>
  <c r="J74" i="38"/>
  <c r="I74" i="38"/>
  <c r="K74" i="38" s="1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K70" i="38" s="1"/>
  <c r="H70" i="38"/>
  <c r="J69" i="38"/>
  <c r="I69" i="38"/>
  <c r="K69" i="38" s="1"/>
  <c r="H69" i="38"/>
  <c r="J68" i="38"/>
  <c r="I68" i="38"/>
  <c r="K68" i="38" s="1"/>
  <c r="H68" i="38"/>
  <c r="J67" i="38"/>
  <c r="I67" i="38"/>
  <c r="K67" i="38" s="1"/>
  <c r="H67" i="38"/>
  <c r="J66" i="38"/>
  <c r="I66" i="38"/>
  <c r="K66" i="38" s="1"/>
  <c r="H66" i="38"/>
  <c r="J65" i="38"/>
  <c r="I65" i="38"/>
  <c r="K65" i="38" s="1"/>
  <c r="H65" i="38"/>
  <c r="J64" i="38"/>
  <c r="I64" i="38"/>
  <c r="K64" i="38" s="1"/>
  <c r="H64" i="38"/>
  <c r="J63" i="38"/>
  <c r="I63" i="38"/>
  <c r="K63" i="38" s="1"/>
  <c r="H63" i="38"/>
  <c r="J62" i="38"/>
  <c r="I62" i="38"/>
  <c r="K62" i="38" s="1"/>
  <c r="H62" i="38"/>
  <c r="J61" i="38"/>
  <c r="I61" i="38"/>
  <c r="K61" i="38" s="1"/>
  <c r="H61" i="38"/>
  <c r="J60" i="38"/>
  <c r="I60" i="38"/>
  <c r="K60" i="38" s="1"/>
  <c r="H60" i="38"/>
  <c r="J59" i="38"/>
  <c r="I59" i="38"/>
  <c r="K59" i="38" s="1"/>
  <c r="H59" i="38"/>
  <c r="J58" i="38"/>
  <c r="I58" i="38"/>
  <c r="K58" i="38" s="1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K54" i="38" s="1"/>
  <c r="H54" i="38"/>
  <c r="J53" i="38"/>
  <c r="I53" i="38"/>
  <c r="K53" i="38" s="1"/>
  <c r="H53" i="38"/>
  <c r="J52" i="38"/>
  <c r="I52" i="38"/>
  <c r="K52" i="38" s="1"/>
  <c r="H52" i="38"/>
  <c r="J51" i="38"/>
  <c r="I51" i="38"/>
  <c r="K51" i="38" s="1"/>
  <c r="H51" i="38"/>
  <c r="J50" i="38"/>
  <c r="I50" i="38"/>
  <c r="K50" i="38" s="1"/>
  <c r="H50" i="38"/>
  <c r="J49" i="38"/>
  <c r="I49" i="38"/>
  <c r="K49" i="38" s="1"/>
  <c r="H49" i="38"/>
  <c r="J48" i="38"/>
  <c r="I48" i="38"/>
  <c r="K48" i="38" s="1"/>
  <c r="H48" i="38"/>
  <c r="J47" i="38"/>
  <c r="I47" i="38"/>
  <c r="K47" i="38" s="1"/>
  <c r="H47" i="38"/>
  <c r="J46" i="38"/>
  <c r="I46" i="38"/>
  <c r="K46" i="38" s="1"/>
  <c r="H46" i="38"/>
  <c r="J45" i="38"/>
  <c r="I45" i="38"/>
  <c r="K45" i="38" s="1"/>
  <c r="H45" i="38"/>
  <c r="J44" i="38"/>
  <c r="I44" i="38"/>
  <c r="K44" i="38" s="1"/>
  <c r="H44" i="38"/>
  <c r="J43" i="38"/>
  <c r="I43" i="38"/>
  <c r="K43" i="38" s="1"/>
  <c r="H43" i="38"/>
  <c r="J42" i="38"/>
  <c r="I42" i="38"/>
  <c r="K42" i="38" s="1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K38" i="38" s="1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K34" i="38" s="1"/>
  <c r="H34" i="38"/>
  <c r="J33" i="38"/>
  <c r="I33" i="38"/>
  <c r="K33" i="38" s="1"/>
  <c r="H33" i="38"/>
  <c r="J32" i="38"/>
  <c r="I32" i="38"/>
  <c r="K32" i="38" s="1"/>
  <c r="H32" i="38"/>
  <c r="J31" i="38"/>
  <c r="I31" i="38"/>
  <c r="H31" i="38"/>
  <c r="J30" i="38"/>
  <c r="I30" i="38"/>
  <c r="K30" i="38" s="1"/>
  <c r="H30" i="38"/>
  <c r="J29" i="38"/>
  <c r="I29" i="38"/>
  <c r="K29" i="38" s="1"/>
  <c r="H29" i="38"/>
  <c r="J28" i="38"/>
  <c r="I28" i="38"/>
  <c r="K28" i="38" s="1"/>
  <c r="H28" i="38"/>
  <c r="J27" i="38"/>
  <c r="I27" i="38"/>
  <c r="H27" i="38"/>
  <c r="J26" i="38"/>
  <c r="I26" i="38"/>
  <c r="K26" i="38" s="1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K22" i="38" s="1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K18" i="38" s="1"/>
  <c r="H18" i="38"/>
  <c r="J17" i="38"/>
  <c r="I17" i="38"/>
  <c r="K17" i="38" s="1"/>
  <c r="H17" i="38"/>
  <c r="J16" i="38"/>
  <c r="I16" i="38"/>
  <c r="K16" i="38" s="1"/>
  <c r="H16" i="38"/>
  <c r="J15" i="38"/>
  <c r="I15" i="38"/>
  <c r="K15" i="38" s="1"/>
  <c r="H15" i="38"/>
  <c r="J14" i="38"/>
  <c r="I14" i="38"/>
  <c r="K14" i="38" s="1"/>
  <c r="H14" i="38"/>
  <c r="J13" i="38"/>
  <c r="I13" i="38"/>
  <c r="K13" i="38" s="1"/>
  <c r="H13" i="38"/>
  <c r="J12" i="38"/>
  <c r="I12" i="38"/>
  <c r="K12" i="38" s="1"/>
  <c r="H12" i="38"/>
  <c r="J11" i="38"/>
  <c r="I11" i="38"/>
  <c r="K11" i="38" s="1"/>
  <c r="H11" i="38"/>
  <c r="J10" i="38"/>
  <c r="I10" i="38"/>
  <c r="K10" i="38" s="1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K6" i="38" s="1"/>
  <c r="H6" i="38"/>
  <c r="J5" i="38"/>
  <c r="I5" i="38"/>
  <c r="K5" i="38" s="1"/>
  <c r="H5" i="38"/>
  <c r="J4" i="38"/>
  <c r="I4" i="38"/>
  <c r="K4" i="38" s="1"/>
  <c r="H4" i="38"/>
  <c r="J3" i="38"/>
  <c r="I3" i="38"/>
  <c r="K3" i="38" s="1"/>
  <c r="H3" i="38"/>
  <c r="H59" i="37"/>
  <c r="L59" i="37" s="1"/>
  <c r="A59" i="37"/>
  <c r="L58" i="37"/>
  <c r="K58" i="37"/>
  <c r="M58" i="37" s="1"/>
  <c r="J58" i="37"/>
  <c r="H58" i="37"/>
  <c r="G58" i="37"/>
  <c r="F58" i="37"/>
  <c r="J57" i="37"/>
  <c r="H57" i="37"/>
  <c r="L57" i="37" s="1"/>
  <c r="G57" i="37"/>
  <c r="K57" i="37" s="1"/>
  <c r="F57" i="37"/>
  <c r="J56" i="37"/>
  <c r="H56" i="37"/>
  <c r="L56" i="37" s="1"/>
  <c r="G56" i="37"/>
  <c r="K56" i="37" s="1"/>
  <c r="F56" i="37"/>
  <c r="J55" i="37"/>
  <c r="H55" i="37"/>
  <c r="L55" i="37" s="1"/>
  <c r="G55" i="37"/>
  <c r="K55" i="37" s="1"/>
  <c r="M55" i="37" s="1"/>
  <c r="F55" i="37"/>
  <c r="J54" i="37"/>
  <c r="H54" i="37"/>
  <c r="L54" i="37" s="1"/>
  <c r="G54" i="37"/>
  <c r="K54" i="37" s="1"/>
  <c r="F54" i="37"/>
  <c r="K53" i="37"/>
  <c r="J53" i="37"/>
  <c r="H53" i="37"/>
  <c r="L53" i="37" s="1"/>
  <c r="G53" i="37"/>
  <c r="F53" i="37"/>
  <c r="K52" i="37"/>
  <c r="J52" i="37"/>
  <c r="H52" i="37"/>
  <c r="L52" i="37" s="1"/>
  <c r="G52" i="37"/>
  <c r="F52" i="37"/>
  <c r="J51" i="37"/>
  <c r="H51" i="37"/>
  <c r="L51" i="37" s="1"/>
  <c r="G51" i="37"/>
  <c r="K51" i="37" s="1"/>
  <c r="M51" i="37" s="1"/>
  <c r="F51" i="37"/>
  <c r="J50" i="37"/>
  <c r="H50" i="37"/>
  <c r="L50" i="37" s="1"/>
  <c r="M50" i="37" s="1"/>
  <c r="G50" i="37"/>
  <c r="K50" i="37" s="1"/>
  <c r="F50" i="37"/>
  <c r="J49" i="37"/>
  <c r="H49" i="37"/>
  <c r="L49" i="37" s="1"/>
  <c r="G49" i="37"/>
  <c r="K49" i="37" s="1"/>
  <c r="F49" i="37"/>
  <c r="L48" i="37"/>
  <c r="J48" i="37"/>
  <c r="H48" i="37"/>
  <c r="G48" i="37"/>
  <c r="K48" i="37" s="1"/>
  <c r="M48" i="37" s="1"/>
  <c r="F48" i="37"/>
  <c r="J47" i="37"/>
  <c r="H47" i="37"/>
  <c r="L47" i="37" s="1"/>
  <c r="G47" i="37"/>
  <c r="K47" i="37" s="1"/>
  <c r="M47" i="37" s="1"/>
  <c r="F47" i="37"/>
  <c r="L46" i="37"/>
  <c r="K46" i="37"/>
  <c r="M46" i="37" s="1"/>
  <c r="J46" i="37"/>
  <c r="H46" i="37"/>
  <c r="G46" i="37"/>
  <c r="F46" i="37"/>
  <c r="J45" i="37"/>
  <c r="H45" i="37"/>
  <c r="L45" i="37" s="1"/>
  <c r="G45" i="37"/>
  <c r="K45" i="37" s="1"/>
  <c r="F45" i="37"/>
  <c r="J44" i="37"/>
  <c r="H44" i="37"/>
  <c r="L44" i="37" s="1"/>
  <c r="G44" i="37"/>
  <c r="K44" i="37" s="1"/>
  <c r="F44" i="37"/>
  <c r="J43" i="37"/>
  <c r="H43" i="37"/>
  <c r="L43" i="37" s="1"/>
  <c r="G43" i="37"/>
  <c r="K43" i="37" s="1"/>
  <c r="M43" i="37" s="1"/>
  <c r="F43" i="37"/>
  <c r="J42" i="37"/>
  <c r="H42" i="37"/>
  <c r="L42" i="37" s="1"/>
  <c r="G42" i="37"/>
  <c r="K42" i="37" s="1"/>
  <c r="M42" i="37" s="1"/>
  <c r="F42" i="37"/>
  <c r="K41" i="37"/>
  <c r="J41" i="37"/>
  <c r="H41" i="37"/>
  <c r="L41" i="37" s="1"/>
  <c r="G41" i="37"/>
  <c r="F41" i="37"/>
  <c r="J40" i="37"/>
  <c r="H40" i="37"/>
  <c r="L40" i="37" s="1"/>
  <c r="G40" i="37"/>
  <c r="K40" i="37" s="1"/>
  <c r="M40" i="37" s="1"/>
  <c r="F40" i="37"/>
  <c r="J39" i="37"/>
  <c r="H39" i="37"/>
  <c r="L39" i="37" s="1"/>
  <c r="G39" i="37"/>
  <c r="K39" i="37" s="1"/>
  <c r="M39" i="37" s="1"/>
  <c r="F39" i="37"/>
  <c r="J38" i="37"/>
  <c r="H38" i="37"/>
  <c r="L38" i="37" s="1"/>
  <c r="G38" i="37"/>
  <c r="K38" i="37" s="1"/>
  <c r="F38" i="37"/>
  <c r="L37" i="37"/>
  <c r="J37" i="37"/>
  <c r="H37" i="37"/>
  <c r="G37" i="37"/>
  <c r="K37" i="37" s="1"/>
  <c r="F37" i="37"/>
  <c r="K36" i="37"/>
  <c r="J36" i="37"/>
  <c r="H36" i="37"/>
  <c r="L36" i="37" s="1"/>
  <c r="G36" i="37"/>
  <c r="F36" i="37"/>
  <c r="J35" i="37"/>
  <c r="H35" i="37"/>
  <c r="L35" i="37" s="1"/>
  <c r="G35" i="37"/>
  <c r="K35" i="37" s="1"/>
  <c r="M35" i="37" s="1"/>
  <c r="F35" i="37"/>
  <c r="J34" i="37"/>
  <c r="H34" i="37"/>
  <c r="L34" i="37" s="1"/>
  <c r="G34" i="37"/>
  <c r="K34" i="37" s="1"/>
  <c r="M34" i="37" s="1"/>
  <c r="F34" i="37"/>
  <c r="J33" i="37"/>
  <c r="H33" i="37"/>
  <c r="L33" i="37" s="1"/>
  <c r="G33" i="37"/>
  <c r="K33" i="37" s="1"/>
  <c r="M33" i="37" s="1"/>
  <c r="F33" i="37"/>
  <c r="L32" i="37"/>
  <c r="J32" i="37"/>
  <c r="H32" i="37"/>
  <c r="G32" i="37"/>
  <c r="K32" i="37" s="1"/>
  <c r="F32" i="37"/>
  <c r="J31" i="37"/>
  <c r="H31" i="37"/>
  <c r="L31" i="37" s="1"/>
  <c r="G31" i="37"/>
  <c r="K31" i="37" s="1"/>
  <c r="F31" i="37"/>
  <c r="J30" i="37"/>
  <c r="H30" i="37"/>
  <c r="L30" i="37" s="1"/>
  <c r="G30" i="37"/>
  <c r="K30" i="37" s="1"/>
  <c r="M30" i="37" s="1"/>
  <c r="F30" i="37"/>
  <c r="J29" i="37"/>
  <c r="H29" i="37"/>
  <c r="L29" i="37" s="1"/>
  <c r="G29" i="37"/>
  <c r="K29" i="37" s="1"/>
  <c r="F29" i="37"/>
  <c r="J28" i="37"/>
  <c r="H28" i="37"/>
  <c r="L28" i="37" s="1"/>
  <c r="G28" i="37"/>
  <c r="K28" i="37" s="1"/>
  <c r="M28" i="37" s="1"/>
  <c r="F28" i="37"/>
  <c r="L27" i="37"/>
  <c r="J27" i="37"/>
  <c r="H27" i="37"/>
  <c r="G27" i="37"/>
  <c r="K27" i="37" s="1"/>
  <c r="M27" i="37" s="1"/>
  <c r="F27" i="37"/>
  <c r="J26" i="37"/>
  <c r="H26" i="37"/>
  <c r="L26" i="37" s="1"/>
  <c r="G26" i="37"/>
  <c r="K26" i="37" s="1"/>
  <c r="F26" i="37"/>
  <c r="J25" i="37"/>
  <c r="H25" i="37"/>
  <c r="L25" i="37" s="1"/>
  <c r="G25" i="37"/>
  <c r="K25" i="37" s="1"/>
  <c r="M25" i="37" s="1"/>
  <c r="F25" i="37"/>
  <c r="J24" i="37"/>
  <c r="H24" i="37"/>
  <c r="L24" i="37" s="1"/>
  <c r="G24" i="37"/>
  <c r="K24" i="37" s="1"/>
  <c r="M24" i="37" s="1"/>
  <c r="F24" i="37"/>
  <c r="J23" i="37"/>
  <c r="H23" i="37"/>
  <c r="L23" i="37" s="1"/>
  <c r="G23" i="37"/>
  <c r="K23" i="37" s="1"/>
  <c r="F23" i="37"/>
  <c r="L22" i="37"/>
  <c r="K22" i="37"/>
  <c r="J22" i="37"/>
  <c r="H22" i="37"/>
  <c r="G22" i="37"/>
  <c r="F22" i="37"/>
  <c r="K21" i="37"/>
  <c r="J21" i="37"/>
  <c r="H21" i="37"/>
  <c r="L21" i="37" s="1"/>
  <c r="G21" i="37"/>
  <c r="F21" i="37"/>
  <c r="J20" i="37"/>
  <c r="H20" i="37"/>
  <c r="L20" i="37" s="1"/>
  <c r="G20" i="37"/>
  <c r="K20" i="37" s="1"/>
  <c r="F20" i="37"/>
  <c r="J19" i="37"/>
  <c r="H19" i="37"/>
  <c r="L19" i="37" s="1"/>
  <c r="G19" i="37"/>
  <c r="K19" i="37" s="1"/>
  <c r="M19" i="37" s="1"/>
  <c r="F19" i="37"/>
  <c r="J18" i="37"/>
  <c r="H18" i="37"/>
  <c r="L18" i="37" s="1"/>
  <c r="G18" i="37"/>
  <c r="K18" i="37" s="1"/>
  <c r="M18" i="37" s="1"/>
  <c r="F18" i="37"/>
  <c r="J17" i="37"/>
  <c r="H17" i="37"/>
  <c r="L17" i="37" s="1"/>
  <c r="G17" i="37"/>
  <c r="K17" i="37" s="1"/>
  <c r="M17" i="37" s="1"/>
  <c r="F17" i="37"/>
  <c r="J16" i="37"/>
  <c r="H16" i="37"/>
  <c r="L16" i="37" s="1"/>
  <c r="G16" i="37"/>
  <c r="K16" i="37" s="1"/>
  <c r="M16" i="37" s="1"/>
  <c r="F16" i="37"/>
  <c r="L15" i="37"/>
  <c r="K15" i="37"/>
  <c r="M15" i="37" s="1"/>
  <c r="J15" i="37"/>
  <c r="H15" i="37"/>
  <c r="G15" i="37"/>
  <c r="F15" i="37"/>
  <c r="J14" i="37"/>
  <c r="H14" i="37"/>
  <c r="L14" i="37" s="1"/>
  <c r="G14" i="37"/>
  <c r="K14" i="37" s="1"/>
  <c r="F14" i="37"/>
  <c r="J13" i="37"/>
  <c r="H13" i="37"/>
  <c r="L13" i="37" s="1"/>
  <c r="M13" i="37" s="1"/>
  <c r="G13" i="37"/>
  <c r="K13" i="37" s="1"/>
  <c r="F13" i="37"/>
  <c r="J12" i="37"/>
  <c r="H12" i="37"/>
  <c r="L12" i="37" s="1"/>
  <c r="G12" i="37"/>
  <c r="K12" i="37" s="1"/>
  <c r="M12" i="37" s="1"/>
  <c r="F12" i="37"/>
  <c r="K11" i="37"/>
  <c r="J11" i="37"/>
  <c r="H11" i="37"/>
  <c r="L11" i="37" s="1"/>
  <c r="G11" i="37"/>
  <c r="F11" i="37"/>
  <c r="L10" i="37"/>
  <c r="J10" i="37"/>
  <c r="H10" i="37"/>
  <c r="G10" i="37"/>
  <c r="K10" i="37" s="1"/>
  <c r="M10" i="37" s="1"/>
  <c r="F10" i="37"/>
  <c r="L9" i="37"/>
  <c r="K9" i="37"/>
  <c r="M9" i="37" s="1"/>
  <c r="J9" i="37"/>
  <c r="H9" i="37"/>
  <c r="G9" i="37"/>
  <c r="F9" i="37"/>
  <c r="L8" i="37"/>
  <c r="J8" i="37"/>
  <c r="H8" i="37"/>
  <c r="G8" i="37"/>
  <c r="K8" i="37" s="1"/>
  <c r="F8" i="37"/>
  <c r="K7" i="37"/>
  <c r="J7" i="37"/>
  <c r="H7" i="37"/>
  <c r="L7" i="37" s="1"/>
  <c r="G7" i="37"/>
  <c r="F7" i="37"/>
  <c r="J6" i="37"/>
  <c r="H6" i="37"/>
  <c r="L6" i="37" s="1"/>
  <c r="G6" i="37"/>
  <c r="K6" i="37" s="1"/>
  <c r="M6" i="37" s="1"/>
  <c r="F6" i="37"/>
  <c r="J5" i="37"/>
  <c r="H5" i="37"/>
  <c r="L5" i="37" s="1"/>
  <c r="G5" i="37"/>
  <c r="K5" i="37" s="1"/>
  <c r="M5" i="37" s="1"/>
  <c r="F5" i="37"/>
  <c r="J4" i="37"/>
  <c r="H4" i="37"/>
  <c r="L4" i="37" s="1"/>
  <c r="G4" i="37"/>
  <c r="K4" i="37" s="1"/>
  <c r="M4" i="37" s="1"/>
  <c r="F4" i="37"/>
  <c r="L3" i="37"/>
  <c r="K3" i="37"/>
  <c r="M3" i="37" s="1"/>
  <c r="J3" i="37"/>
  <c r="H3" i="37"/>
  <c r="G3" i="37"/>
  <c r="F3" i="37"/>
  <c r="A61" i="36"/>
  <c r="J59" i="36"/>
  <c r="H59" i="36"/>
  <c r="L59" i="36" s="1"/>
  <c r="G59" i="36"/>
  <c r="K59" i="36" s="1"/>
  <c r="F59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M54" i="36" s="1"/>
  <c r="F54" i="36"/>
  <c r="L53" i="36"/>
  <c r="K53" i="36"/>
  <c r="J53" i="36"/>
  <c r="H53" i="36"/>
  <c r="G53" i="36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M50" i="36" s="1"/>
  <c r="F50" i="36"/>
  <c r="J49" i="36"/>
  <c r="H49" i="36"/>
  <c r="L49" i="36" s="1"/>
  <c r="G49" i="36"/>
  <c r="K49" i="36" s="1"/>
  <c r="F49" i="36"/>
  <c r="L48" i="36"/>
  <c r="M48" i="36" s="1"/>
  <c r="K48" i="36"/>
  <c r="J48" i="36"/>
  <c r="H48" i="36"/>
  <c r="G48" i="36"/>
  <c r="F48" i="36"/>
  <c r="J47" i="36"/>
  <c r="H47" i="36"/>
  <c r="L47" i="36" s="1"/>
  <c r="G47" i="36"/>
  <c r="K47" i="36" s="1"/>
  <c r="M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L43" i="36"/>
  <c r="M43" i="36" s="1"/>
  <c r="K43" i="36"/>
  <c r="J43" i="36"/>
  <c r="H43" i="36"/>
  <c r="G43" i="36"/>
  <c r="F43" i="36"/>
  <c r="J42" i="36"/>
  <c r="H42" i="36"/>
  <c r="L42" i="36" s="1"/>
  <c r="G42" i="36"/>
  <c r="K42" i="36" s="1"/>
  <c r="M42" i="36" s="1"/>
  <c r="F42" i="36"/>
  <c r="L41" i="36"/>
  <c r="K41" i="36"/>
  <c r="M41" i="36" s="1"/>
  <c r="J41" i="36"/>
  <c r="H41" i="36"/>
  <c r="G41" i="36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K36" i="36"/>
  <c r="J36" i="36"/>
  <c r="H36" i="36"/>
  <c r="L36" i="36" s="1"/>
  <c r="G36" i="36"/>
  <c r="F36" i="36"/>
  <c r="J35" i="36"/>
  <c r="H35" i="36"/>
  <c r="L35" i="36" s="1"/>
  <c r="G35" i="36"/>
  <c r="K35" i="36" s="1"/>
  <c r="M35" i="36" s="1"/>
  <c r="F35" i="36"/>
  <c r="L34" i="36"/>
  <c r="J34" i="36"/>
  <c r="H34" i="36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M32" i="36" s="1"/>
  <c r="F32" i="36"/>
  <c r="K31" i="36"/>
  <c r="J31" i="36"/>
  <c r="H31" i="36"/>
  <c r="L31" i="36" s="1"/>
  <c r="M31" i="36" s="1"/>
  <c r="G31" i="36"/>
  <c r="F31" i="36"/>
  <c r="J30" i="36"/>
  <c r="H30" i="36"/>
  <c r="L30" i="36" s="1"/>
  <c r="G30" i="36"/>
  <c r="K30" i="36" s="1"/>
  <c r="F30" i="36"/>
  <c r="L29" i="36"/>
  <c r="K29" i="36"/>
  <c r="J29" i="36"/>
  <c r="H29" i="36"/>
  <c r="G29" i="36"/>
  <c r="F29" i="36"/>
  <c r="L28" i="36"/>
  <c r="J28" i="36"/>
  <c r="H28" i="36"/>
  <c r="G28" i="36"/>
  <c r="K28" i="36" s="1"/>
  <c r="F28" i="36"/>
  <c r="J27" i="36"/>
  <c r="H27" i="36"/>
  <c r="L27" i="36" s="1"/>
  <c r="G27" i="36"/>
  <c r="K27" i="36" s="1"/>
  <c r="F27" i="36"/>
  <c r="L26" i="36"/>
  <c r="J26" i="36"/>
  <c r="H26" i="36"/>
  <c r="G26" i="36"/>
  <c r="K26" i="36" s="1"/>
  <c r="F26" i="36"/>
  <c r="J25" i="36"/>
  <c r="H25" i="36"/>
  <c r="L25" i="36" s="1"/>
  <c r="G25" i="36"/>
  <c r="K25" i="36" s="1"/>
  <c r="M25" i="36" s="1"/>
  <c r="F25" i="36"/>
  <c r="L24" i="36"/>
  <c r="J24" i="36"/>
  <c r="H24" i="36"/>
  <c r="G24" i="36"/>
  <c r="K24" i="36" s="1"/>
  <c r="M24" i="36" s="1"/>
  <c r="F24" i="36"/>
  <c r="J23" i="36"/>
  <c r="H23" i="36"/>
  <c r="L23" i="36" s="1"/>
  <c r="G23" i="36"/>
  <c r="K23" i="36" s="1"/>
  <c r="M23" i="36" s="1"/>
  <c r="F23" i="36"/>
  <c r="J22" i="36"/>
  <c r="H22" i="36"/>
  <c r="L22" i="36" s="1"/>
  <c r="M22" i="36" s="1"/>
  <c r="G22" i="36"/>
  <c r="K22" i="36" s="1"/>
  <c r="F22" i="36"/>
  <c r="L21" i="36"/>
  <c r="J21" i="36"/>
  <c r="H21" i="36"/>
  <c r="G21" i="36"/>
  <c r="K21" i="36" s="1"/>
  <c r="F21" i="36"/>
  <c r="J20" i="36"/>
  <c r="H20" i="36"/>
  <c r="L20" i="36" s="1"/>
  <c r="G20" i="36"/>
  <c r="K20" i="36" s="1"/>
  <c r="F20" i="36"/>
  <c r="K19" i="36"/>
  <c r="J19" i="36"/>
  <c r="H19" i="36"/>
  <c r="L19" i="36" s="1"/>
  <c r="G19" i="36"/>
  <c r="F19" i="36"/>
  <c r="J18" i="36"/>
  <c r="H18" i="36"/>
  <c r="L18" i="36" s="1"/>
  <c r="G18" i="36"/>
  <c r="K18" i="36" s="1"/>
  <c r="M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M15" i="36" s="1"/>
  <c r="F15" i="36"/>
  <c r="J14" i="36"/>
  <c r="H14" i="36"/>
  <c r="L14" i="36" s="1"/>
  <c r="G14" i="36"/>
  <c r="K14" i="36" s="1"/>
  <c r="M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L9" i="36"/>
  <c r="J9" i="36"/>
  <c r="H9" i="36"/>
  <c r="G9" i="36"/>
  <c r="K9" i="36" s="1"/>
  <c r="F9" i="36"/>
  <c r="J8" i="36"/>
  <c r="H8" i="36"/>
  <c r="L8" i="36" s="1"/>
  <c r="G8" i="36"/>
  <c r="K8" i="36" s="1"/>
  <c r="M8" i="36" s="1"/>
  <c r="F8" i="36"/>
  <c r="K7" i="36"/>
  <c r="J7" i="36"/>
  <c r="H7" i="36"/>
  <c r="L7" i="36" s="1"/>
  <c r="M7" i="36" s="1"/>
  <c r="G7" i="36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M3" i="36" s="1"/>
  <c r="G3" i="36"/>
  <c r="K3" i="36" s="1"/>
  <c r="F3" i="36"/>
  <c r="K21" i="39" l="1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M44" i="37"/>
  <c r="M56" i="37"/>
  <c r="M22" i="37"/>
  <c r="M38" i="37"/>
  <c r="M14" i="37"/>
  <c r="M26" i="37"/>
  <c r="M31" i="37"/>
  <c r="M32" i="37"/>
  <c r="M29" i="37"/>
  <c r="M49" i="37"/>
  <c r="M8" i="37"/>
  <c r="M37" i="37"/>
  <c r="M7" i="37"/>
  <c r="M20" i="37"/>
  <c r="M45" i="37"/>
  <c r="M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A87" i="38"/>
  <c r="H85" i="38"/>
  <c r="M41" i="37"/>
  <c r="M53" i="37"/>
  <c r="J59" i="37"/>
  <c r="F59" i="37"/>
  <c r="G59" i="37"/>
  <c r="K59" i="37" s="1"/>
  <c r="M59" i="37" s="1"/>
  <c r="A60" i="37"/>
  <c r="M23" i="37"/>
  <c r="M36" i="37"/>
  <c r="M52" i="37"/>
  <c r="M11" i="37"/>
  <c r="M21" i="37"/>
  <c r="M54" i="37"/>
  <c r="M29" i="36"/>
  <c r="M59" i="36"/>
  <c r="H61" i="36"/>
  <c r="L61" i="36" s="1"/>
  <c r="G61" i="36"/>
  <c r="K61" i="36" s="1"/>
  <c r="M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J59" i="35"/>
  <c r="H59" i="35"/>
  <c r="L59" i="35" s="1"/>
  <c r="A59" i="35"/>
  <c r="J58" i="35"/>
  <c r="H58" i="35"/>
  <c r="L58" i="35" s="1"/>
  <c r="G58" i="35"/>
  <c r="K58" i="35" s="1"/>
  <c r="F58" i="35"/>
  <c r="J57" i="35"/>
  <c r="H57" i="35"/>
  <c r="L57" i="35" s="1"/>
  <c r="G57" i="35"/>
  <c r="K57" i="35" s="1"/>
  <c r="F57" i="35"/>
  <c r="J56" i="35"/>
  <c r="H56" i="35"/>
  <c r="L56" i="35" s="1"/>
  <c r="G56" i="35"/>
  <c r="K56" i="35" s="1"/>
  <c r="F56" i="35"/>
  <c r="J55" i="35"/>
  <c r="H55" i="35"/>
  <c r="L55" i="35" s="1"/>
  <c r="G55" i="35"/>
  <c r="K55" i="35" s="1"/>
  <c r="M55" i="35" s="1"/>
  <c r="F55" i="35"/>
  <c r="J54" i="35"/>
  <c r="H54" i="35"/>
  <c r="L54" i="35" s="1"/>
  <c r="G54" i="35"/>
  <c r="K54" i="35" s="1"/>
  <c r="M54" i="35" s="1"/>
  <c r="F54" i="35"/>
  <c r="J53" i="35"/>
  <c r="H53" i="35"/>
  <c r="L53" i="35" s="1"/>
  <c r="G53" i="35"/>
  <c r="K53" i="35" s="1"/>
  <c r="F53" i="35"/>
  <c r="J52" i="35"/>
  <c r="H52" i="35"/>
  <c r="L52" i="35" s="1"/>
  <c r="G52" i="35"/>
  <c r="K52" i="35" s="1"/>
  <c r="F52" i="35"/>
  <c r="J51" i="35"/>
  <c r="H51" i="35"/>
  <c r="L51" i="35" s="1"/>
  <c r="G51" i="35"/>
  <c r="K51" i="35" s="1"/>
  <c r="F51" i="35"/>
  <c r="J50" i="35"/>
  <c r="H50" i="35"/>
  <c r="L50" i="35" s="1"/>
  <c r="G50" i="35"/>
  <c r="K50" i="35" s="1"/>
  <c r="F50" i="35"/>
  <c r="J49" i="35"/>
  <c r="H49" i="35"/>
  <c r="L49" i="35" s="1"/>
  <c r="G49" i="35"/>
  <c r="K49" i="35" s="1"/>
  <c r="F49" i="35"/>
  <c r="J48" i="35"/>
  <c r="H48" i="35"/>
  <c r="L48" i="35" s="1"/>
  <c r="G48" i="35"/>
  <c r="K48" i="35" s="1"/>
  <c r="F48" i="35"/>
  <c r="J47" i="35"/>
  <c r="H47" i="35"/>
  <c r="L47" i="35" s="1"/>
  <c r="G47" i="35"/>
  <c r="K47" i="35" s="1"/>
  <c r="F47" i="35"/>
  <c r="J46" i="35"/>
  <c r="H46" i="35"/>
  <c r="L46" i="35" s="1"/>
  <c r="G46" i="35"/>
  <c r="K46" i="35" s="1"/>
  <c r="F46" i="35"/>
  <c r="J45" i="35"/>
  <c r="H45" i="35"/>
  <c r="L45" i="35" s="1"/>
  <c r="G45" i="35"/>
  <c r="K45" i="35" s="1"/>
  <c r="M45" i="35" s="1"/>
  <c r="F45" i="35"/>
  <c r="J44" i="35"/>
  <c r="H44" i="35"/>
  <c r="L44" i="35" s="1"/>
  <c r="G44" i="35"/>
  <c r="K44" i="35" s="1"/>
  <c r="F44" i="35"/>
  <c r="J43" i="35"/>
  <c r="H43" i="35"/>
  <c r="L43" i="35" s="1"/>
  <c r="G43" i="35"/>
  <c r="K43" i="35" s="1"/>
  <c r="F43" i="35"/>
  <c r="J42" i="35"/>
  <c r="H42" i="35"/>
  <c r="L42" i="35" s="1"/>
  <c r="G42" i="35"/>
  <c r="K42" i="35" s="1"/>
  <c r="F42" i="35"/>
  <c r="L41" i="35"/>
  <c r="J41" i="35"/>
  <c r="H41" i="35"/>
  <c r="G41" i="35"/>
  <c r="K41" i="35" s="1"/>
  <c r="F41" i="35"/>
  <c r="J40" i="35"/>
  <c r="H40" i="35"/>
  <c r="L40" i="35" s="1"/>
  <c r="G40" i="35"/>
  <c r="K40" i="35" s="1"/>
  <c r="F40" i="35"/>
  <c r="J39" i="35"/>
  <c r="H39" i="35"/>
  <c r="L39" i="35" s="1"/>
  <c r="G39" i="35"/>
  <c r="K39" i="35" s="1"/>
  <c r="F39" i="35"/>
  <c r="J38" i="35"/>
  <c r="H38" i="35"/>
  <c r="L38" i="35" s="1"/>
  <c r="G38" i="35"/>
  <c r="K38" i="35" s="1"/>
  <c r="F38" i="35"/>
  <c r="J37" i="35"/>
  <c r="H37" i="35"/>
  <c r="L37" i="35" s="1"/>
  <c r="G37" i="35"/>
  <c r="K37" i="35" s="1"/>
  <c r="F37" i="35"/>
  <c r="J36" i="35"/>
  <c r="H36" i="35"/>
  <c r="L36" i="35" s="1"/>
  <c r="G36" i="35"/>
  <c r="K36" i="35" s="1"/>
  <c r="F36" i="35"/>
  <c r="J35" i="35"/>
  <c r="H35" i="35"/>
  <c r="L35" i="35" s="1"/>
  <c r="G35" i="35"/>
  <c r="K35" i="35" s="1"/>
  <c r="F35" i="35"/>
  <c r="L34" i="35"/>
  <c r="J34" i="35"/>
  <c r="H34" i="35"/>
  <c r="G34" i="35"/>
  <c r="K34" i="35" s="1"/>
  <c r="M34" i="35" s="1"/>
  <c r="F34" i="35"/>
  <c r="J33" i="35"/>
  <c r="H33" i="35"/>
  <c r="L33" i="35" s="1"/>
  <c r="G33" i="35"/>
  <c r="K33" i="35" s="1"/>
  <c r="F33" i="35"/>
  <c r="J32" i="35"/>
  <c r="H32" i="35"/>
  <c r="L32" i="35" s="1"/>
  <c r="G32" i="35"/>
  <c r="K32" i="35" s="1"/>
  <c r="F32" i="35"/>
  <c r="J31" i="35"/>
  <c r="H31" i="35"/>
  <c r="L31" i="35" s="1"/>
  <c r="G31" i="35"/>
  <c r="K31" i="35" s="1"/>
  <c r="F31" i="35"/>
  <c r="J30" i="35"/>
  <c r="H30" i="35"/>
  <c r="L30" i="35" s="1"/>
  <c r="G30" i="35"/>
  <c r="K30" i="35" s="1"/>
  <c r="F30" i="35"/>
  <c r="J29" i="35"/>
  <c r="H29" i="35"/>
  <c r="L29" i="35" s="1"/>
  <c r="G29" i="35"/>
  <c r="K29" i="35" s="1"/>
  <c r="F29" i="35"/>
  <c r="J28" i="35"/>
  <c r="H28" i="35"/>
  <c r="L28" i="35" s="1"/>
  <c r="G28" i="35"/>
  <c r="K28" i="35" s="1"/>
  <c r="F28" i="35"/>
  <c r="J27" i="35"/>
  <c r="H27" i="35"/>
  <c r="L27" i="35" s="1"/>
  <c r="G27" i="35"/>
  <c r="K27" i="35" s="1"/>
  <c r="F27" i="35"/>
  <c r="J26" i="35"/>
  <c r="H26" i="35"/>
  <c r="L26" i="35" s="1"/>
  <c r="G26" i="35"/>
  <c r="K26" i="35" s="1"/>
  <c r="F26" i="35"/>
  <c r="J25" i="35"/>
  <c r="H25" i="35"/>
  <c r="L25" i="35" s="1"/>
  <c r="G25" i="35"/>
  <c r="K25" i="35" s="1"/>
  <c r="F25" i="35"/>
  <c r="K24" i="35"/>
  <c r="J24" i="35"/>
  <c r="H24" i="35"/>
  <c r="L24" i="35" s="1"/>
  <c r="G24" i="35"/>
  <c r="F24" i="35"/>
  <c r="J23" i="35"/>
  <c r="H23" i="35"/>
  <c r="L23" i="35" s="1"/>
  <c r="G23" i="35"/>
  <c r="K23" i="35" s="1"/>
  <c r="M23" i="35" s="1"/>
  <c r="F23" i="35"/>
  <c r="J22" i="35"/>
  <c r="H22" i="35"/>
  <c r="L22" i="35" s="1"/>
  <c r="G22" i="35"/>
  <c r="K22" i="35" s="1"/>
  <c r="M22" i="35" s="1"/>
  <c r="F22" i="35"/>
  <c r="J21" i="35"/>
  <c r="H21" i="35"/>
  <c r="L21" i="35" s="1"/>
  <c r="G21" i="35"/>
  <c r="K21" i="35" s="1"/>
  <c r="F21" i="35"/>
  <c r="J20" i="35"/>
  <c r="H20" i="35"/>
  <c r="L20" i="35" s="1"/>
  <c r="G20" i="35"/>
  <c r="K20" i="35" s="1"/>
  <c r="F20" i="35"/>
  <c r="J19" i="35"/>
  <c r="H19" i="35"/>
  <c r="L19" i="35" s="1"/>
  <c r="G19" i="35"/>
  <c r="K19" i="35" s="1"/>
  <c r="M19" i="35" s="1"/>
  <c r="F19" i="35"/>
  <c r="J18" i="35"/>
  <c r="H18" i="35"/>
  <c r="L18" i="35" s="1"/>
  <c r="G18" i="35"/>
  <c r="K18" i="35" s="1"/>
  <c r="M18" i="35" s="1"/>
  <c r="F18" i="35"/>
  <c r="J17" i="35"/>
  <c r="H17" i="35"/>
  <c r="L17" i="35" s="1"/>
  <c r="G17" i="35"/>
  <c r="K17" i="35" s="1"/>
  <c r="F17" i="35"/>
  <c r="J16" i="35"/>
  <c r="H16" i="35"/>
  <c r="L16" i="35" s="1"/>
  <c r="G16" i="35"/>
  <c r="K16" i="35" s="1"/>
  <c r="F16" i="35"/>
  <c r="J15" i="35"/>
  <c r="H15" i="35"/>
  <c r="L15" i="35" s="1"/>
  <c r="G15" i="35"/>
  <c r="K15" i="35" s="1"/>
  <c r="F15" i="35"/>
  <c r="J14" i="35"/>
  <c r="H14" i="35"/>
  <c r="L14" i="35" s="1"/>
  <c r="G14" i="35"/>
  <c r="K14" i="35" s="1"/>
  <c r="F14" i="35"/>
  <c r="J13" i="35"/>
  <c r="H13" i="35"/>
  <c r="L13" i="35" s="1"/>
  <c r="G13" i="35"/>
  <c r="K13" i="35" s="1"/>
  <c r="F13" i="35"/>
  <c r="J12" i="35"/>
  <c r="H12" i="35"/>
  <c r="L12" i="35" s="1"/>
  <c r="G12" i="35"/>
  <c r="K12" i="35" s="1"/>
  <c r="F12" i="35"/>
  <c r="K11" i="35"/>
  <c r="M11" i="35" s="1"/>
  <c r="J11" i="35"/>
  <c r="H11" i="35"/>
  <c r="L11" i="35" s="1"/>
  <c r="G11" i="35"/>
  <c r="F11" i="35"/>
  <c r="J10" i="35"/>
  <c r="H10" i="35"/>
  <c r="L10" i="35" s="1"/>
  <c r="G10" i="35"/>
  <c r="K10" i="35" s="1"/>
  <c r="F10" i="35"/>
  <c r="J9" i="35"/>
  <c r="H9" i="35"/>
  <c r="L9" i="35" s="1"/>
  <c r="G9" i="35"/>
  <c r="K9" i="35" s="1"/>
  <c r="F9" i="35"/>
  <c r="J8" i="35"/>
  <c r="H8" i="35"/>
  <c r="L8" i="35" s="1"/>
  <c r="G8" i="35"/>
  <c r="K8" i="35" s="1"/>
  <c r="F8" i="35"/>
  <c r="K7" i="35"/>
  <c r="J7" i="35"/>
  <c r="H7" i="35"/>
  <c r="L7" i="35" s="1"/>
  <c r="G7" i="35"/>
  <c r="F7" i="35"/>
  <c r="J6" i="35"/>
  <c r="H6" i="35"/>
  <c r="L6" i="35" s="1"/>
  <c r="G6" i="35"/>
  <c r="K6" i="35" s="1"/>
  <c r="F6" i="35"/>
  <c r="J5" i="35"/>
  <c r="H5" i="35"/>
  <c r="L5" i="35" s="1"/>
  <c r="G5" i="35"/>
  <c r="K5" i="35" s="1"/>
  <c r="F5" i="35"/>
  <c r="J4" i="35"/>
  <c r="H4" i="35"/>
  <c r="L4" i="35" s="1"/>
  <c r="G4" i="35"/>
  <c r="K4" i="35" s="1"/>
  <c r="F4" i="35"/>
  <c r="L3" i="35"/>
  <c r="J3" i="35"/>
  <c r="H3" i="35"/>
  <c r="G3" i="35"/>
  <c r="K3" i="35" s="1"/>
  <c r="F3" i="35"/>
  <c r="J129" i="34"/>
  <c r="I129" i="34"/>
  <c r="J128" i="34"/>
  <c r="I128" i="34"/>
  <c r="K128" i="34" s="1"/>
  <c r="J127" i="34"/>
  <c r="I127" i="34"/>
  <c r="J126" i="34"/>
  <c r="I126" i="34"/>
  <c r="J125" i="34"/>
  <c r="I125" i="34"/>
  <c r="K125" i="34" s="1"/>
  <c r="J124" i="34"/>
  <c r="I124" i="34"/>
  <c r="J123" i="34"/>
  <c r="I123" i="34"/>
  <c r="J122" i="34"/>
  <c r="I122" i="34"/>
  <c r="K122" i="34" s="1"/>
  <c r="J121" i="34"/>
  <c r="I121" i="34"/>
  <c r="K121" i="34" s="1"/>
  <c r="J120" i="34"/>
  <c r="I120" i="34"/>
  <c r="J119" i="34"/>
  <c r="I119" i="34"/>
  <c r="K119" i="34" s="1"/>
  <c r="J118" i="34"/>
  <c r="I118" i="34"/>
  <c r="K118" i="34" s="1"/>
  <c r="J117" i="34"/>
  <c r="I117" i="34"/>
  <c r="J116" i="34"/>
  <c r="I116" i="34"/>
  <c r="K116" i="34" s="1"/>
  <c r="J115" i="34"/>
  <c r="I115" i="34"/>
  <c r="K115" i="34" s="1"/>
  <c r="J114" i="34"/>
  <c r="I114" i="34"/>
  <c r="J113" i="34"/>
  <c r="I113" i="34"/>
  <c r="J112" i="34"/>
  <c r="I112" i="34"/>
  <c r="J111" i="34"/>
  <c r="K111" i="34" s="1"/>
  <c r="I111" i="34"/>
  <c r="J110" i="34"/>
  <c r="I110" i="34"/>
  <c r="J109" i="34"/>
  <c r="I109" i="34"/>
  <c r="K109" i="34" s="1"/>
  <c r="J108" i="34"/>
  <c r="I108" i="34"/>
  <c r="J107" i="34"/>
  <c r="I107" i="34"/>
  <c r="J106" i="34"/>
  <c r="I106" i="34"/>
  <c r="J105" i="34"/>
  <c r="I105" i="34"/>
  <c r="J104" i="34"/>
  <c r="I104" i="34"/>
  <c r="K104" i="34" s="1"/>
  <c r="J103" i="34"/>
  <c r="I103" i="34"/>
  <c r="K103" i="34" s="1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K91" i="34" s="1"/>
  <c r="J90" i="34"/>
  <c r="I90" i="34"/>
  <c r="J89" i="34"/>
  <c r="I89" i="34"/>
  <c r="J88" i="34"/>
  <c r="I88" i="34"/>
  <c r="J87" i="34"/>
  <c r="I87" i="34"/>
  <c r="J86" i="34"/>
  <c r="I86" i="34"/>
  <c r="K86" i="34" s="1"/>
  <c r="J85" i="34"/>
  <c r="I85" i="34"/>
  <c r="K85" i="34" s="1"/>
  <c r="J84" i="34"/>
  <c r="I84" i="34"/>
  <c r="A84" i="34"/>
  <c r="A85" i="34" s="1"/>
  <c r="J83" i="34"/>
  <c r="I83" i="34"/>
  <c r="K83" i="34" s="1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K67" i="34" s="1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K61" i="34" s="1"/>
  <c r="H61" i="34"/>
  <c r="J60" i="34"/>
  <c r="I60" i="34"/>
  <c r="K60" i="34" s="1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K55" i="34"/>
  <c r="J55" i="34"/>
  <c r="I55" i="34"/>
  <c r="H55" i="34"/>
  <c r="J54" i="34"/>
  <c r="I54" i="34"/>
  <c r="K54" i="34" s="1"/>
  <c r="H54" i="34"/>
  <c r="K53" i="34"/>
  <c r="J53" i="34"/>
  <c r="I53" i="34"/>
  <c r="H53" i="34"/>
  <c r="K52" i="34"/>
  <c r="J52" i="34"/>
  <c r="I52" i="34"/>
  <c r="H52" i="34"/>
  <c r="J51" i="34"/>
  <c r="I51" i="34"/>
  <c r="K51" i="34" s="1"/>
  <c r="H51" i="34"/>
  <c r="K50" i="34"/>
  <c r="J50" i="34"/>
  <c r="I50" i="34"/>
  <c r="H50" i="34"/>
  <c r="K49" i="34"/>
  <c r="J49" i="34"/>
  <c r="I49" i="34"/>
  <c r="H49" i="34"/>
  <c r="J48" i="34"/>
  <c r="I48" i="34"/>
  <c r="K48" i="34" s="1"/>
  <c r="H48" i="34"/>
  <c r="K47" i="34"/>
  <c r="J47" i="34"/>
  <c r="I47" i="34"/>
  <c r="H47" i="34"/>
  <c r="K46" i="34"/>
  <c r="J46" i="34"/>
  <c r="I46" i="34"/>
  <c r="H46" i="34"/>
  <c r="J45" i="34"/>
  <c r="I45" i="34"/>
  <c r="K45" i="34" s="1"/>
  <c r="H45" i="34"/>
  <c r="K44" i="34"/>
  <c r="J44" i="34"/>
  <c r="I44" i="34"/>
  <c r="H44" i="34"/>
  <c r="K43" i="34"/>
  <c r="J43" i="34"/>
  <c r="I43" i="34"/>
  <c r="H43" i="34"/>
  <c r="J42" i="34"/>
  <c r="I42" i="34"/>
  <c r="K42" i="34" s="1"/>
  <c r="H42" i="34"/>
  <c r="K41" i="34"/>
  <c r="J41" i="34"/>
  <c r="I41" i="34"/>
  <c r="H41" i="34"/>
  <c r="K40" i="34"/>
  <c r="J40" i="34"/>
  <c r="I40" i="34"/>
  <c r="H40" i="34"/>
  <c r="J39" i="34"/>
  <c r="I39" i="34"/>
  <c r="K39" i="34" s="1"/>
  <c r="H39" i="34"/>
  <c r="K38" i="34"/>
  <c r="J38" i="34"/>
  <c r="I38" i="34"/>
  <c r="H38" i="34"/>
  <c r="K37" i="34"/>
  <c r="J37" i="34"/>
  <c r="I37" i="34"/>
  <c r="H37" i="34"/>
  <c r="J36" i="34"/>
  <c r="I36" i="34"/>
  <c r="K36" i="34" s="1"/>
  <c r="H36" i="34"/>
  <c r="K35" i="34"/>
  <c r="J35" i="34"/>
  <c r="I35" i="34"/>
  <c r="H35" i="34"/>
  <c r="K34" i="34"/>
  <c r="J34" i="34"/>
  <c r="I34" i="34"/>
  <c r="H34" i="34"/>
  <c r="J33" i="34"/>
  <c r="I33" i="34"/>
  <c r="K33" i="34" s="1"/>
  <c r="H33" i="34"/>
  <c r="K32" i="34"/>
  <c r="J32" i="34"/>
  <c r="I32" i="34"/>
  <c r="H32" i="34"/>
  <c r="K31" i="34"/>
  <c r="J31" i="34"/>
  <c r="I31" i="34"/>
  <c r="H31" i="34"/>
  <c r="J30" i="34"/>
  <c r="I30" i="34"/>
  <c r="K30" i="34" s="1"/>
  <c r="H30" i="34"/>
  <c r="K29" i="34"/>
  <c r="J29" i="34"/>
  <c r="I29" i="34"/>
  <c r="H29" i="34"/>
  <c r="K28" i="34"/>
  <c r="J28" i="34"/>
  <c r="I28" i="34"/>
  <c r="H28" i="34"/>
  <c r="J27" i="34"/>
  <c r="I27" i="34"/>
  <c r="K27" i="34" s="1"/>
  <c r="H27" i="34"/>
  <c r="K26" i="34"/>
  <c r="J26" i="34"/>
  <c r="I26" i="34"/>
  <c r="H26" i="34"/>
  <c r="K25" i="34"/>
  <c r="J25" i="34"/>
  <c r="I25" i="34"/>
  <c r="H25" i="34"/>
  <c r="J24" i="34"/>
  <c r="I24" i="34"/>
  <c r="K24" i="34" s="1"/>
  <c r="H24" i="34"/>
  <c r="K23" i="34"/>
  <c r="J23" i="34"/>
  <c r="I23" i="34"/>
  <c r="H23" i="34"/>
  <c r="K22" i="34"/>
  <c r="J22" i="34"/>
  <c r="I22" i="34"/>
  <c r="H22" i="34"/>
  <c r="J21" i="34"/>
  <c r="I21" i="34"/>
  <c r="K21" i="34" s="1"/>
  <c r="H21" i="34"/>
  <c r="K20" i="34"/>
  <c r="J20" i="34"/>
  <c r="I20" i="34"/>
  <c r="H20" i="34"/>
  <c r="K19" i="34"/>
  <c r="J19" i="34"/>
  <c r="I19" i="34"/>
  <c r="H19" i="34"/>
  <c r="J18" i="34"/>
  <c r="I18" i="34"/>
  <c r="K18" i="34" s="1"/>
  <c r="H18" i="34"/>
  <c r="K17" i="34"/>
  <c r="J17" i="34"/>
  <c r="I17" i="34"/>
  <c r="H17" i="34"/>
  <c r="K16" i="34"/>
  <c r="J16" i="34"/>
  <c r="I16" i="34"/>
  <c r="H16" i="34"/>
  <c r="J15" i="34"/>
  <c r="I15" i="34"/>
  <c r="K15" i="34" s="1"/>
  <c r="H15" i="34"/>
  <c r="K14" i="34"/>
  <c r="J14" i="34"/>
  <c r="I14" i="34"/>
  <c r="H14" i="34"/>
  <c r="K13" i="34"/>
  <c r="J13" i="34"/>
  <c r="I13" i="34"/>
  <c r="H13" i="34"/>
  <c r="J12" i="34"/>
  <c r="I12" i="34"/>
  <c r="K12" i="34" s="1"/>
  <c r="H12" i="34"/>
  <c r="K11" i="34"/>
  <c r="J11" i="34"/>
  <c r="I11" i="34"/>
  <c r="H11" i="34"/>
  <c r="K10" i="34"/>
  <c r="J10" i="34"/>
  <c r="I10" i="34"/>
  <c r="H10" i="34"/>
  <c r="J9" i="34"/>
  <c r="I9" i="34"/>
  <c r="K9" i="34" s="1"/>
  <c r="H9" i="34"/>
  <c r="K8" i="34"/>
  <c r="J8" i="34"/>
  <c r="I8" i="34"/>
  <c r="H8" i="34"/>
  <c r="K7" i="34"/>
  <c r="J7" i="34"/>
  <c r="I7" i="34"/>
  <c r="H7" i="34"/>
  <c r="J6" i="34"/>
  <c r="I6" i="34"/>
  <c r="K6" i="34" s="1"/>
  <c r="H6" i="34"/>
  <c r="K5" i="34"/>
  <c r="J5" i="34"/>
  <c r="I5" i="34"/>
  <c r="H5" i="34"/>
  <c r="K4" i="34"/>
  <c r="J4" i="34"/>
  <c r="I4" i="34"/>
  <c r="H4" i="34"/>
  <c r="J3" i="34"/>
  <c r="I3" i="34"/>
  <c r="K3" i="34" s="1"/>
  <c r="H3" i="34"/>
  <c r="A87" i="39" l="1"/>
  <c r="H86" i="39"/>
  <c r="H87" i="38"/>
  <c r="A88" i="38"/>
  <c r="A61" i="37"/>
  <c r="J60" i="37"/>
  <c r="H60" i="37"/>
  <c r="L60" i="37" s="1"/>
  <c r="G60" i="37"/>
  <c r="K60" i="37" s="1"/>
  <c r="M60" i="37" s="1"/>
  <c r="F60" i="37"/>
  <c r="A63" i="36"/>
  <c r="J62" i="36"/>
  <c r="H62" i="36"/>
  <c r="L62" i="36" s="1"/>
  <c r="G62" i="36"/>
  <c r="K62" i="36" s="1"/>
  <c r="F62" i="36"/>
  <c r="M60" i="36"/>
  <c r="M43" i="35"/>
  <c r="M49" i="35"/>
  <c r="M44" i="35"/>
  <c r="M47" i="35"/>
  <c r="M50" i="35"/>
  <c r="M14" i="35"/>
  <c r="M25" i="35"/>
  <c r="M30" i="35"/>
  <c r="M28" i="35"/>
  <c r="M32" i="35"/>
  <c r="M38" i="35"/>
  <c r="M26" i="35"/>
  <c r="M9" i="35"/>
  <c r="M39" i="35"/>
  <c r="M29" i="35"/>
  <c r="M4" i="35"/>
  <c r="M57" i="35"/>
  <c r="M10" i="35"/>
  <c r="M15" i="35"/>
  <c r="M40" i="35"/>
  <c r="M7" i="35"/>
  <c r="M12" i="35"/>
  <c r="M17" i="35"/>
  <c r="M53" i="35"/>
  <c r="M58" i="35"/>
  <c r="M5" i="35"/>
  <c r="M8" i="35"/>
  <c r="M33" i="35"/>
  <c r="M46" i="35"/>
  <c r="M21" i="35"/>
  <c r="M41" i="35"/>
  <c r="M6" i="35"/>
  <c r="M36" i="35"/>
  <c r="M52" i="35"/>
  <c r="M3" i="35"/>
  <c r="M56" i="35"/>
  <c r="M27" i="35"/>
  <c r="M51" i="35"/>
  <c r="M16" i="35"/>
  <c r="M31" i="35"/>
  <c r="M20" i="35"/>
  <c r="M24" i="35"/>
  <c r="M37" i="35"/>
  <c r="M35" i="35"/>
  <c r="M13" i="35"/>
  <c r="M42" i="35"/>
  <c r="M48" i="35"/>
  <c r="F59" i="35"/>
  <c r="A60" i="35"/>
  <c r="G59" i="35"/>
  <c r="K59" i="35" s="1"/>
  <c r="M59" i="35" s="1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1" i="33"/>
  <c r="A50" i="33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A52" i="33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0" i="11"/>
  <c r="A39" i="1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A41" i="1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2" i="10"/>
  <c r="A3" i="10"/>
  <c r="A9" i="10"/>
  <c r="A8" i="10" s="1"/>
  <c r="A7" i="10" s="1"/>
  <c r="A6" i="10" s="1"/>
  <c r="A5" i="10" s="1"/>
  <c r="A4" i="10" s="1"/>
  <c r="A50" i="10"/>
  <c r="A49" i="10"/>
  <c r="A48" i="10"/>
  <c r="A47" i="10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51" i="10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M62" i="36" l="1"/>
  <c r="A88" i="39"/>
  <c r="H87" i="39"/>
  <c r="A89" i="38"/>
  <c r="H88" i="38"/>
  <c r="H61" i="37"/>
  <c r="L61" i="37" s="1"/>
  <c r="G61" i="37"/>
  <c r="K61" i="37" s="1"/>
  <c r="M61" i="37" s="1"/>
  <c r="F61" i="37"/>
  <c r="A62" i="37"/>
  <c r="J61" i="37"/>
  <c r="J63" i="36"/>
  <c r="F63" i="36"/>
  <c r="H63" i="36"/>
  <c r="L63" i="36" s="1"/>
  <c r="A64" i="36"/>
  <c r="G63" i="36"/>
  <c r="K63" i="36" s="1"/>
  <c r="M63" i="36" s="1"/>
  <c r="A61" i="35"/>
  <c r="H60" i="35"/>
  <c r="L60" i="35" s="1"/>
  <c r="G60" i="35"/>
  <c r="K60" i="35" s="1"/>
  <c r="F60" i="35"/>
  <c r="J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89" i="39" l="1"/>
  <c r="H88" i="39"/>
  <c r="A90" i="38"/>
  <c r="H89" i="38"/>
  <c r="J62" i="37"/>
  <c r="F62" i="37"/>
  <c r="G62" i="37"/>
  <c r="K62" i="37" s="1"/>
  <c r="A63" i="37"/>
  <c r="H62" i="37"/>
  <c r="L62" i="37" s="1"/>
  <c r="H64" i="36"/>
  <c r="L64" i="36" s="1"/>
  <c r="G64" i="36"/>
  <c r="K64" i="36" s="1"/>
  <c r="M64" i="36" s="1"/>
  <c r="F64" i="36"/>
  <c r="A65" i="36"/>
  <c r="J64" i="36"/>
  <c r="M60" i="35"/>
  <c r="H61" i="35"/>
  <c r="L61" i="35" s="1"/>
  <c r="G61" i="35"/>
  <c r="K61" i="35" s="1"/>
  <c r="F61" i="35"/>
  <c r="J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G63" i="37"/>
  <c r="K63" i="37" s="1"/>
  <c r="F63" i="37"/>
  <c r="J63" i="37"/>
  <c r="H63" i="37"/>
  <c r="L63" i="37" s="1"/>
  <c r="M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M61" i="35"/>
  <c r="P53" i="32"/>
  <c r="R53" i="32" s="1"/>
  <c r="P43" i="32"/>
  <c r="P50" i="32"/>
  <c r="F62" i="35"/>
  <c r="A63" i="35"/>
  <c r="J62" i="35"/>
  <c r="H62" i="35"/>
  <c r="L62" i="35" s="1"/>
  <c r="G62" i="35"/>
  <c r="K62" i="35" s="1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H90" i="39" l="1"/>
  <c r="A91" i="39"/>
  <c r="R43" i="32"/>
  <c r="A92" i="38"/>
  <c r="H91" i="38"/>
  <c r="R44" i="32"/>
  <c r="R48" i="32"/>
  <c r="M63" i="37"/>
  <c r="H64" i="37"/>
  <c r="L64" i="37" s="1"/>
  <c r="G64" i="37"/>
  <c r="K64" i="37" s="1"/>
  <c r="M64" i="37" s="1"/>
  <c r="F64" i="37"/>
  <c r="A65" i="37"/>
  <c r="J64" i="37"/>
  <c r="R50" i="32"/>
  <c r="R45" i="32"/>
  <c r="J66" i="36"/>
  <c r="F66" i="36"/>
  <c r="H66" i="36"/>
  <c r="L66" i="36" s="1"/>
  <c r="G66" i="36"/>
  <c r="K66" i="36" s="1"/>
  <c r="M66" i="36" s="1"/>
  <c r="A67" i="36"/>
  <c r="R47" i="32"/>
  <c r="M62" i="35"/>
  <c r="H63" i="35"/>
  <c r="L63" i="35" s="1"/>
  <c r="A64" i="35"/>
  <c r="J63" i="35"/>
  <c r="F63" i="35"/>
  <c r="G63" i="35"/>
  <c r="K63" i="35" s="1"/>
  <c r="M63" i="35" s="1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H91" i="39" l="1"/>
  <c r="A92" i="39"/>
  <c r="H92" i="38"/>
  <c r="A93" i="38"/>
  <c r="J65" i="37"/>
  <c r="F65" i="37"/>
  <c r="A66" i="37"/>
  <c r="H65" i="37"/>
  <c r="L65" i="37" s="1"/>
  <c r="G65" i="37"/>
  <c r="K65" i="37" s="1"/>
  <c r="M65" i="37" s="1"/>
  <c r="R40" i="32"/>
  <c r="H67" i="36"/>
  <c r="L67" i="36" s="1"/>
  <c r="F67" i="36"/>
  <c r="G67" i="36"/>
  <c r="K67" i="36" s="1"/>
  <c r="A68" i="36"/>
  <c r="J67" i="36"/>
  <c r="H64" i="35"/>
  <c r="L64" i="35" s="1"/>
  <c r="G64" i="35"/>
  <c r="K64" i="35" s="1"/>
  <c r="M64" i="35" s="1"/>
  <c r="F64" i="35"/>
  <c r="J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67" i="36" l="1"/>
  <c r="A93" i="39"/>
  <c r="H92" i="39"/>
  <c r="H93" i="38"/>
  <c r="A94" i="38"/>
  <c r="A67" i="37"/>
  <c r="J66" i="37"/>
  <c r="H66" i="37"/>
  <c r="L66" i="37" s="1"/>
  <c r="F66" i="37"/>
  <c r="G66" i="37"/>
  <c r="K66" i="37" s="1"/>
  <c r="M66" i="37" s="1"/>
  <c r="A69" i="36"/>
  <c r="J68" i="36"/>
  <c r="H68" i="36"/>
  <c r="L68" i="36" s="1"/>
  <c r="G68" i="36"/>
  <c r="K68" i="36" s="1"/>
  <c r="M68" i="36" s="1"/>
  <c r="F68" i="36"/>
  <c r="F65" i="35"/>
  <c r="A66" i="35"/>
  <c r="H65" i="35"/>
  <c r="L65" i="35" s="1"/>
  <c r="G65" i="35"/>
  <c r="K65" i="35" s="1"/>
  <c r="J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94" i="39" l="1"/>
  <c r="H93" i="39"/>
  <c r="A95" i="38"/>
  <c r="H94" i="38"/>
  <c r="H67" i="37"/>
  <c r="L67" i="37" s="1"/>
  <c r="G67" i="37"/>
  <c r="K67" i="37" s="1"/>
  <c r="M67" i="37" s="1"/>
  <c r="F67" i="37"/>
  <c r="J67" i="37"/>
  <c r="A68" i="37"/>
  <c r="R38" i="32"/>
  <c r="J69" i="36"/>
  <c r="F69" i="36"/>
  <c r="A70" i="36"/>
  <c r="H69" i="36"/>
  <c r="L69" i="36" s="1"/>
  <c r="G69" i="36"/>
  <c r="K69" i="36" s="1"/>
  <c r="M69" i="36" s="1"/>
  <c r="R106" i="32"/>
  <c r="M65" i="35"/>
  <c r="J66" i="35"/>
  <c r="H66" i="35"/>
  <c r="L66" i="35" s="1"/>
  <c r="G66" i="35"/>
  <c r="K66" i="35" s="1"/>
  <c r="F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95" i="39" l="1"/>
  <c r="H94" i="39"/>
  <c r="A96" i="38"/>
  <c r="H95" i="38"/>
  <c r="J68" i="37"/>
  <c r="F68" i="37"/>
  <c r="G68" i="37"/>
  <c r="K68" i="37" s="1"/>
  <c r="M68" i="37" s="1"/>
  <c r="H68" i="37"/>
  <c r="L68" i="37" s="1"/>
  <c r="A69" i="37"/>
  <c r="R107" i="32"/>
  <c r="H70" i="36"/>
  <c r="L70" i="36" s="1"/>
  <c r="G70" i="36"/>
  <c r="K70" i="36" s="1"/>
  <c r="F70" i="36"/>
  <c r="A71" i="36"/>
  <c r="J70" i="36"/>
  <c r="M66" i="35"/>
  <c r="H67" i="35"/>
  <c r="L67" i="35" s="1"/>
  <c r="G67" i="35"/>
  <c r="K67" i="35" s="1"/>
  <c r="F67" i="35"/>
  <c r="J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M70" i="36" l="1"/>
  <c r="A96" i="39"/>
  <c r="H95" i="39"/>
  <c r="R36" i="32"/>
  <c r="H96" i="38"/>
  <c r="A97" i="38"/>
  <c r="A70" i="37"/>
  <c r="F69" i="37"/>
  <c r="G69" i="37"/>
  <c r="K69" i="37" s="1"/>
  <c r="J69" i="37"/>
  <c r="H69" i="37"/>
  <c r="L69" i="37" s="1"/>
  <c r="A72" i="36"/>
  <c r="J71" i="36"/>
  <c r="H71" i="36"/>
  <c r="L71" i="36" s="1"/>
  <c r="G71" i="36"/>
  <c r="K71" i="36" s="1"/>
  <c r="M71" i="36" s="1"/>
  <c r="F71" i="36"/>
  <c r="M67" i="35"/>
  <c r="F68" i="35"/>
  <c r="A69" i="35"/>
  <c r="H68" i="35"/>
  <c r="L68" i="35" s="1"/>
  <c r="J68" i="35"/>
  <c r="G68" i="35"/>
  <c r="K68" i="35" s="1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M69" i="37"/>
  <c r="R35" i="32"/>
  <c r="H70" i="37"/>
  <c r="L70" i="37" s="1"/>
  <c r="G70" i="37"/>
  <c r="K70" i="37" s="1"/>
  <c r="F70" i="37"/>
  <c r="A71" i="37"/>
  <c r="J70" i="37"/>
  <c r="J72" i="36"/>
  <c r="F72" i="36"/>
  <c r="A73" i="36"/>
  <c r="H72" i="36"/>
  <c r="L72" i="36" s="1"/>
  <c r="G72" i="36"/>
  <c r="K72" i="36" s="1"/>
  <c r="M72" i="36" s="1"/>
  <c r="M68" i="35"/>
  <c r="J69" i="35"/>
  <c r="H69" i="35"/>
  <c r="L69" i="35" s="1"/>
  <c r="G69" i="35"/>
  <c r="K69" i="35" s="1"/>
  <c r="F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M70" i="37" l="1"/>
  <c r="H97" i="39"/>
  <c r="A98" i="39"/>
  <c r="R110" i="32"/>
  <c r="R34" i="32"/>
  <c r="H98" i="38"/>
  <c r="A99" i="38"/>
  <c r="J71" i="37"/>
  <c r="F71" i="37"/>
  <c r="H71" i="37"/>
  <c r="L71" i="37" s="1"/>
  <c r="A72" i="37"/>
  <c r="G71" i="37"/>
  <c r="K71" i="37" s="1"/>
  <c r="M71" i="37" s="1"/>
  <c r="H73" i="36"/>
  <c r="L73" i="36" s="1"/>
  <c r="G73" i="36"/>
  <c r="K73" i="36" s="1"/>
  <c r="A74" i="36"/>
  <c r="F73" i="36"/>
  <c r="J73" i="36"/>
  <c r="M69" i="35"/>
  <c r="H70" i="35"/>
  <c r="L70" i="35" s="1"/>
  <c r="G70" i="35"/>
  <c r="K70" i="35" s="1"/>
  <c r="F70" i="35"/>
  <c r="J70" i="35"/>
  <c r="A71" i="35"/>
  <c r="A97" i="34"/>
  <c r="H96" i="34"/>
  <c r="A112" i="32"/>
  <c r="Q111" i="32"/>
  <c r="P111" i="32"/>
  <c r="R111" i="32" s="1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M73" i="36" l="1"/>
  <c r="H98" i="39"/>
  <c r="A99" i="39"/>
  <c r="H99" i="38"/>
  <c r="A100" i="38"/>
  <c r="A73" i="37"/>
  <c r="J72" i="37"/>
  <c r="H72" i="37"/>
  <c r="L72" i="37" s="1"/>
  <c r="G72" i="37"/>
  <c r="K72" i="37" s="1"/>
  <c r="M72" i="37" s="1"/>
  <c r="F72" i="37"/>
  <c r="A75" i="36"/>
  <c r="J74" i="36"/>
  <c r="H74" i="36"/>
  <c r="L74" i="36" s="1"/>
  <c r="G74" i="36"/>
  <c r="K74" i="36" s="1"/>
  <c r="M74" i="36" s="1"/>
  <c r="F74" i="36"/>
  <c r="F71" i="35"/>
  <c r="A72" i="35"/>
  <c r="J71" i="35"/>
  <c r="H71" i="35"/>
  <c r="L71" i="35" s="1"/>
  <c r="G71" i="35"/>
  <c r="K71" i="35" s="1"/>
  <c r="M70" i="35"/>
  <c r="R33" i="32"/>
  <c r="A98" i="34"/>
  <c r="H97" i="34"/>
  <c r="A31" i="32"/>
  <c r="Q32" i="32"/>
  <c r="P32" i="32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H99" i="39" l="1"/>
  <c r="A100" i="39"/>
  <c r="A101" i="38"/>
  <c r="H100" i="38"/>
  <c r="H73" i="37"/>
  <c r="L73" i="37" s="1"/>
  <c r="G73" i="37"/>
  <c r="K73" i="37" s="1"/>
  <c r="M73" i="37" s="1"/>
  <c r="F73" i="37"/>
  <c r="A74" i="37"/>
  <c r="J73" i="37"/>
  <c r="J75" i="36"/>
  <c r="F75" i="36"/>
  <c r="H75" i="36"/>
  <c r="L75" i="36" s="1"/>
  <c r="G75" i="36"/>
  <c r="K75" i="36" s="1"/>
  <c r="A76" i="36"/>
  <c r="M71" i="35"/>
  <c r="R32" i="32"/>
  <c r="G72" i="35"/>
  <c r="K72" i="35" s="1"/>
  <c r="F72" i="35"/>
  <c r="A73" i="35"/>
  <c r="J72" i="35"/>
  <c r="H72" i="35"/>
  <c r="L72" i="35" s="1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M75" i="36" l="1"/>
  <c r="A101" i="39"/>
  <c r="H100" i="39"/>
  <c r="A102" i="38"/>
  <c r="H101" i="38"/>
  <c r="J74" i="37"/>
  <c r="F74" i="37"/>
  <c r="G74" i="37"/>
  <c r="K74" i="37" s="1"/>
  <c r="A75" i="37"/>
  <c r="H74" i="37"/>
  <c r="L74" i="37" s="1"/>
  <c r="R31" i="32"/>
  <c r="H76" i="36"/>
  <c r="L76" i="36" s="1"/>
  <c r="G76" i="36"/>
  <c r="K76" i="36" s="1"/>
  <c r="F76" i="36"/>
  <c r="A77" i="36"/>
  <c r="J76" i="36"/>
  <c r="M72" i="35"/>
  <c r="H73" i="35"/>
  <c r="L73" i="35" s="1"/>
  <c r="G73" i="35"/>
  <c r="K73" i="35" s="1"/>
  <c r="F73" i="35"/>
  <c r="J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M76" i="36" l="1"/>
  <c r="R114" i="32"/>
  <c r="H101" i="39"/>
  <c r="A102" i="39"/>
  <c r="H102" i="38"/>
  <c r="A103" i="38"/>
  <c r="A76" i="37"/>
  <c r="G75" i="37"/>
  <c r="K75" i="37" s="1"/>
  <c r="J75" i="37"/>
  <c r="H75" i="37"/>
  <c r="L75" i="37" s="1"/>
  <c r="F75" i="37"/>
  <c r="M74" i="37"/>
  <c r="R30" i="32"/>
  <c r="A78" i="36"/>
  <c r="H77" i="36"/>
  <c r="L77" i="36" s="1"/>
  <c r="J77" i="36"/>
  <c r="G77" i="36"/>
  <c r="K77" i="36" s="1"/>
  <c r="M77" i="36" s="1"/>
  <c r="F77" i="36"/>
  <c r="M73" i="35"/>
  <c r="F74" i="35"/>
  <c r="A75" i="35"/>
  <c r="J74" i="35"/>
  <c r="H74" i="35"/>
  <c r="L74" i="35" s="1"/>
  <c r="G74" i="35"/>
  <c r="K74" i="35" s="1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103" i="39" l="1"/>
  <c r="H102" i="39"/>
  <c r="H103" i="38"/>
  <c r="A104" i="38"/>
  <c r="R115" i="32"/>
  <c r="M75" i="37"/>
  <c r="H76" i="37"/>
  <c r="L76" i="37" s="1"/>
  <c r="G76" i="37"/>
  <c r="K76" i="37" s="1"/>
  <c r="M76" i="37" s="1"/>
  <c r="F76" i="37"/>
  <c r="J76" i="37"/>
  <c r="A77" i="37"/>
  <c r="J78" i="36"/>
  <c r="F78" i="36"/>
  <c r="H78" i="36"/>
  <c r="L78" i="36" s="1"/>
  <c r="G78" i="36"/>
  <c r="K78" i="36" s="1"/>
  <c r="M78" i="36" s="1"/>
  <c r="A79" i="36"/>
  <c r="A76" i="35"/>
  <c r="F75" i="35"/>
  <c r="J75" i="35"/>
  <c r="G75" i="35"/>
  <c r="K75" i="35" s="1"/>
  <c r="H75" i="35"/>
  <c r="L75" i="35" s="1"/>
  <c r="M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H103" i="39" l="1"/>
  <c r="A104" i="39"/>
  <c r="H104" i="38"/>
  <c r="A105" i="38"/>
  <c r="J77" i="37"/>
  <c r="F77" i="37"/>
  <c r="H77" i="37"/>
  <c r="L77" i="37" s="1"/>
  <c r="A78" i="37"/>
  <c r="G77" i="37"/>
  <c r="K77" i="37" s="1"/>
  <c r="M77" i="37" s="1"/>
  <c r="H79" i="36"/>
  <c r="L79" i="36" s="1"/>
  <c r="G79" i="36"/>
  <c r="K79" i="36" s="1"/>
  <c r="M79" i="36" s="1"/>
  <c r="F79" i="36"/>
  <c r="A80" i="36"/>
  <c r="J79" i="36"/>
  <c r="M75" i="35"/>
  <c r="R28" i="32"/>
  <c r="H76" i="35"/>
  <c r="L76" i="35" s="1"/>
  <c r="G76" i="35"/>
  <c r="K76" i="35" s="1"/>
  <c r="F76" i="35"/>
  <c r="J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105" i="39" l="1"/>
  <c r="H104" i="39"/>
  <c r="R27" i="32"/>
  <c r="H105" i="38"/>
  <c r="A106" i="38"/>
  <c r="A79" i="37"/>
  <c r="J78" i="37"/>
  <c r="H78" i="37"/>
  <c r="L78" i="37" s="1"/>
  <c r="G78" i="37"/>
  <c r="K78" i="37" s="1"/>
  <c r="M78" i="37" s="1"/>
  <c r="F78" i="37"/>
  <c r="A81" i="36"/>
  <c r="J80" i="36"/>
  <c r="H80" i="36"/>
  <c r="L80" i="36" s="1"/>
  <c r="G80" i="36"/>
  <c r="K80" i="36" s="1"/>
  <c r="M80" i="36" s="1"/>
  <c r="F80" i="36"/>
  <c r="M76" i="35"/>
  <c r="J77" i="35"/>
  <c r="F77" i="35"/>
  <c r="A78" i="35"/>
  <c r="H77" i="35"/>
  <c r="L77" i="35" s="1"/>
  <c r="G77" i="35"/>
  <c r="K77" i="35" s="1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H79" i="37"/>
  <c r="L79" i="37" s="1"/>
  <c r="G79" i="37"/>
  <c r="K79" i="37" s="1"/>
  <c r="M79" i="37" s="1"/>
  <c r="F79" i="37"/>
  <c r="A80" i="37"/>
  <c r="J79" i="37"/>
  <c r="J81" i="36"/>
  <c r="F81" i="36"/>
  <c r="A82" i="36"/>
  <c r="H81" i="36"/>
  <c r="L81" i="36" s="1"/>
  <c r="G81" i="36"/>
  <c r="K81" i="36" s="1"/>
  <c r="M81" i="36" s="1"/>
  <c r="M77" i="35"/>
  <c r="A79" i="35"/>
  <c r="F78" i="35"/>
  <c r="J78" i="35"/>
  <c r="H78" i="35"/>
  <c r="L78" i="35" s="1"/>
  <c r="G78" i="35"/>
  <c r="K78" i="35" s="1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H106" i="39" l="1"/>
  <c r="A107" i="39"/>
  <c r="A108" i="38"/>
  <c r="H107" i="38"/>
  <c r="J80" i="37"/>
  <c r="F80" i="37"/>
  <c r="A81" i="37"/>
  <c r="G80" i="37"/>
  <c r="K80" i="37" s="1"/>
  <c r="H80" i="37"/>
  <c r="L80" i="37" s="1"/>
  <c r="H82" i="36"/>
  <c r="L82" i="36" s="1"/>
  <c r="F82" i="36"/>
  <c r="G82" i="36"/>
  <c r="K82" i="36" s="1"/>
  <c r="A83" i="36"/>
  <c r="J82" i="36"/>
  <c r="M78" i="35"/>
  <c r="H79" i="35"/>
  <c r="L79" i="35" s="1"/>
  <c r="G79" i="35"/>
  <c r="K79" i="35" s="1"/>
  <c r="M79" i="35" s="1"/>
  <c r="F79" i="35"/>
  <c r="J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M82" i="36" l="1"/>
  <c r="A108" i="39"/>
  <c r="H107" i="39"/>
  <c r="H108" i="38"/>
  <c r="A109" i="38"/>
  <c r="M80" i="37"/>
  <c r="A82" i="37"/>
  <c r="G81" i="37"/>
  <c r="K81" i="37" s="1"/>
  <c r="H81" i="37"/>
  <c r="L81" i="37" s="1"/>
  <c r="F81" i="37"/>
  <c r="J81" i="37"/>
  <c r="A84" i="36"/>
  <c r="J83" i="36"/>
  <c r="H83" i="36"/>
  <c r="L83" i="36" s="1"/>
  <c r="G83" i="36"/>
  <c r="K83" i="36" s="1"/>
  <c r="M83" i="36" s="1"/>
  <c r="F83" i="36"/>
  <c r="J80" i="35"/>
  <c r="F80" i="35"/>
  <c r="A81" i="35"/>
  <c r="H80" i="35"/>
  <c r="L80" i="35" s="1"/>
  <c r="G80" i="35"/>
  <c r="K80" i="35" s="1"/>
  <c r="M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H82" i="37"/>
  <c r="L82" i="37" s="1"/>
  <c r="G82" i="37"/>
  <c r="K82" i="37" s="1"/>
  <c r="M82" i="37" s="1"/>
  <c r="F82" i="37"/>
  <c r="A83" i="37"/>
  <c r="J82" i="37"/>
  <c r="M81" i="37"/>
  <c r="J84" i="36"/>
  <c r="H84" i="36"/>
  <c r="L84" i="36" s="1"/>
  <c r="F84" i="36"/>
  <c r="A85" i="36"/>
  <c r="G84" i="36"/>
  <c r="K84" i="36" s="1"/>
  <c r="M84" i="36" s="1"/>
  <c r="A82" i="35"/>
  <c r="F81" i="35"/>
  <c r="J81" i="35"/>
  <c r="G81" i="35"/>
  <c r="K81" i="35" s="1"/>
  <c r="H81" i="35"/>
  <c r="L81" i="35" s="1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H109" i="39" l="1"/>
  <c r="A110" i="39"/>
  <c r="H110" i="38"/>
  <c r="A111" i="38"/>
  <c r="J83" i="37"/>
  <c r="F83" i="37"/>
  <c r="A84" i="37"/>
  <c r="H83" i="37"/>
  <c r="L83" i="37" s="1"/>
  <c r="G83" i="37"/>
  <c r="K83" i="37" s="1"/>
  <c r="H85" i="36"/>
  <c r="L85" i="36" s="1"/>
  <c r="G85" i="36"/>
  <c r="K85" i="36" s="1"/>
  <c r="M85" i="36" s="1"/>
  <c r="A86" i="36"/>
  <c r="J85" i="36"/>
  <c r="F85" i="36"/>
  <c r="R22" i="32"/>
  <c r="M81" i="35"/>
  <c r="H82" i="35"/>
  <c r="L82" i="35" s="1"/>
  <c r="G82" i="35"/>
  <c r="K82" i="35" s="1"/>
  <c r="M82" i="35" s="1"/>
  <c r="F82" i="35"/>
  <c r="J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H110" i="39" l="1"/>
  <c r="A111" i="39"/>
  <c r="H111" i="38"/>
  <c r="A112" i="38"/>
  <c r="M83" i="37"/>
  <c r="A85" i="37"/>
  <c r="J84" i="37"/>
  <c r="G84" i="37"/>
  <c r="K84" i="37" s="1"/>
  <c r="F84" i="37"/>
  <c r="H84" i="37"/>
  <c r="L84" i="37" s="1"/>
  <c r="A87" i="36"/>
  <c r="F86" i="36"/>
  <c r="G86" i="36"/>
  <c r="K86" i="36" s="1"/>
  <c r="J86" i="36"/>
  <c r="H86" i="36"/>
  <c r="L86" i="36" s="1"/>
  <c r="J83" i="35"/>
  <c r="F83" i="35"/>
  <c r="A84" i="35"/>
  <c r="H83" i="35"/>
  <c r="L83" i="35" s="1"/>
  <c r="G83" i="35"/>
  <c r="K83" i="35" s="1"/>
  <c r="M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H85" i="37"/>
  <c r="L85" i="37" s="1"/>
  <c r="G85" i="37"/>
  <c r="K85" i="37" s="1"/>
  <c r="M85" i="37" s="1"/>
  <c r="F85" i="37"/>
  <c r="A86" i="37"/>
  <c r="J85" i="37"/>
  <c r="M84" i="37"/>
  <c r="M86" i="36"/>
  <c r="J87" i="36"/>
  <c r="H87" i="36"/>
  <c r="L87" i="36" s="1"/>
  <c r="F87" i="36"/>
  <c r="A88" i="36"/>
  <c r="G87" i="36"/>
  <c r="K87" i="36" s="1"/>
  <c r="M87" i="36" s="1"/>
  <c r="A85" i="35"/>
  <c r="F84" i="35"/>
  <c r="J84" i="35"/>
  <c r="G84" i="35"/>
  <c r="K84" i="35" s="1"/>
  <c r="H84" i="35"/>
  <c r="L84" i="35" s="1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J86" i="37"/>
  <c r="H86" i="37"/>
  <c r="L86" i="37" s="1"/>
  <c r="F86" i="37"/>
  <c r="A87" i="37"/>
  <c r="G86" i="37"/>
  <c r="K86" i="37" s="1"/>
  <c r="M86" i="37" s="1"/>
  <c r="H88" i="36"/>
  <c r="L88" i="36" s="1"/>
  <c r="G88" i="36"/>
  <c r="K88" i="36" s="1"/>
  <c r="M88" i="36" s="1"/>
  <c r="A89" i="36"/>
  <c r="F88" i="36"/>
  <c r="J88" i="36"/>
  <c r="M84" i="35"/>
  <c r="H85" i="35"/>
  <c r="L85" i="35" s="1"/>
  <c r="G85" i="35"/>
  <c r="K85" i="35" s="1"/>
  <c r="M85" i="35" s="1"/>
  <c r="F85" i="35"/>
  <c r="J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114" i="39" l="1"/>
  <c r="H113" i="39"/>
  <c r="A115" i="38"/>
  <c r="H114" i="38"/>
  <c r="A88" i="37"/>
  <c r="H87" i="37"/>
  <c r="L87" i="37" s="1"/>
  <c r="F87" i="37"/>
  <c r="J87" i="37"/>
  <c r="G87" i="37"/>
  <c r="K87" i="37" s="1"/>
  <c r="M87" i="37" s="1"/>
  <c r="A90" i="36"/>
  <c r="J89" i="36"/>
  <c r="F89" i="36"/>
  <c r="H89" i="36"/>
  <c r="L89" i="36" s="1"/>
  <c r="G89" i="36"/>
  <c r="K89" i="36" s="1"/>
  <c r="M89" i="36" s="1"/>
  <c r="J86" i="35"/>
  <c r="F86" i="35"/>
  <c r="A87" i="35"/>
  <c r="H86" i="35"/>
  <c r="L86" i="35" s="1"/>
  <c r="G86" i="35"/>
  <c r="K86" i="35" s="1"/>
  <c r="M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H88" i="37"/>
  <c r="L88" i="37" s="1"/>
  <c r="G88" i="37"/>
  <c r="K88" i="37" s="1"/>
  <c r="M88" i="37" s="1"/>
  <c r="F88" i="37"/>
  <c r="A89" i="37"/>
  <c r="J88" i="37"/>
  <c r="R17" i="32"/>
  <c r="J90" i="36"/>
  <c r="H90" i="36"/>
  <c r="L90" i="36" s="1"/>
  <c r="F90" i="36"/>
  <c r="A91" i="36"/>
  <c r="G90" i="36"/>
  <c r="K90" i="36" s="1"/>
  <c r="A88" i="35"/>
  <c r="F87" i="35"/>
  <c r="J87" i="35"/>
  <c r="H87" i="35"/>
  <c r="L87" i="35" s="1"/>
  <c r="G87" i="35"/>
  <c r="K87" i="35" s="1"/>
  <c r="M87" i="35" s="1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M90" i="36" l="1"/>
  <c r="H115" i="39"/>
  <c r="A116" i="39"/>
  <c r="R16" i="32"/>
  <c r="H116" i="38"/>
  <c r="A117" i="38"/>
  <c r="H89" i="37"/>
  <c r="L89" i="37" s="1"/>
  <c r="J89" i="37"/>
  <c r="F89" i="37"/>
  <c r="A90" i="37"/>
  <c r="G89" i="37"/>
  <c r="K89" i="37" s="1"/>
  <c r="M89" i="37" s="1"/>
  <c r="H91" i="36"/>
  <c r="L91" i="36" s="1"/>
  <c r="F91" i="36"/>
  <c r="G91" i="36"/>
  <c r="K91" i="36" s="1"/>
  <c r="A92" i="36"/>
  <c r="J91" i="36"/>
  <c r="H88" i="35"/>
  <c r="L88" i="35" s="1"/>
  <c r="G88" i="35"/>
  <c r="K88" i="35" s="1"/>
  <c r="M88" i="35" s="1"/>
  <c r="F88" i="35"/>
  <c r="J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J90" i="37"/>
  <c r="H90" i="37"/>
  <c r="L90" i="37" s="1"/>
  <c r="G90" i="37"/>
  <c r="K90" i="37" s="1"/>
  <c r="M90" i="37" s="1"/>
  <c r="F90" i="37"/>
  <c r="A93" i="36"/>
  <c r="G92" i="36"/>
  <c r="K92" i="36" s="1"/>
  <c r="F92" i="36"/>
  <c r="J92" i="36"/>
  <c r="H92" i="36"/>
  <c r="L92" i="36" s="1"/>
  <c r="J89" i="35"/>
  <c r="F89" i="35"/>
  <c r="A90" i="35"/>
  <c r="H89" i="35"/>
  <c r="L89" i="35" s="1"/>
  <c r="G89" i="35"/>
  <c r="K89" i="35" s="1"/>
  <c r="M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H91" i="37"/>
  <c r="L91" i="37" s="1"/>
  <c r="G91" i="37"/>
  <c r="K91" i="37" s="1"/>
  <c r="F91" i="37"/>
  <c r="A92" i="37"/>
  <c r="J91" i="37"/>
  <c r="M92" i="36"/>
  <c r="J93" i="36"/>
  <c r="H93" i="36"/>
  <c r="L93" i="36" s="1"/>
  <c r="F93" i="36"/>
  <c r="G93" i="36"/>
  <c r="K93" i="36" s="1"/>
  <c r="A94" i="36"/>
  <c r="A91" i="35"/>
  <c r="F90" i="35"/>
  <c r="J90" i="35"/>
  <c r="G90" i="35"/>
  <c r="K90" i="35" s="1"/>
  <c r="H90" i="35"/>
  <c r="L90" i="35" s="1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M91" i="37" l="1"/>
  <c r="M93" i="36"/>
  <c r="A119" i="39"/>
  <c r="H118" i="39"/>
  <c r="R13" i="32"/>
  <c r="A120" i="38"/>
  <c r="H119" i="38"/>
  <c r="J92" i="37"/>
  <c r="H92" i="37"/>
  <c r="L92" i="37" s="1"/>
  <c r="F92" i="37"/>
  <c r="A93" i="37"/>
  <c r="G92" i="37"/>
  <c r="K92" i="37" s="1"/>
  <c r="M92" i="37" s="1"/>
  <c r="H94" i="36"/>
  <c r="L94" i="36" s="1"/>
  <c r="G94" i="36"/>
  <c r="K94" i="36" s="1"/>
  <c r="A95" i="36"/>
  <c r="J94" i="36"/>
  <c r="F94" i="36"/>
  <c r="M90" i="35"/>
  <c r="H91" i="35"/>
  <c r="L91" i="35" s="1"/>
  <c r="G91" i="35"/>
  <c r="K91" i="35" s="1"/>
  <c r="M91" i="35" s="1"/>
  <c r="F91" i="35"/>
  <c r="J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M94" i="36" l="1"/>
  <c r="A120" i="39"/>
  <c r="H119" i="39"/>
  <c r="H120" i="38"/>
  <c r="A121" i="38"/>
  <c r="A94" i="37"/>
  <c r="G93" i="37"/>
  <c r="K93" i="37" s="1"/>
  <c r="F93" i="37"/>
  <c r="J93" i="37"/>
  <c r="H93" i="37"/>
  <c r="L93" i="37" s="1"/>
  <c r="A96" i="36"/>
  <c r="J95" i="36"/>
  <c r="H95" i="36"/>
  <c r="L95" i="36" s="1"/>
  <c r="G95" i="36"/>
  <c r="K95" i="36" s="1"/>
  <c r="M95" i="36" s="1"/>
  <c r="F95" i="36"/>
  <c r="R12" i="32"/>
  <c r="J92" i="35"/>
  <c r="F92" i="35"/>
  <c r="A93" i="35"/>
  <c r="H92" i="35"/>
  <c r="L92" i="35" s="1"/>
  <c r="G92" i="35"/>
  <c r="K92" i="35" s="1"/>
  <c r="M92" i="35" s="1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R11" i="32" l="1"/>
  <c r="H120" i="39"/>
  <c r="A121" i="39"/>
  <c r="A122" i="38"/>
  <c r="H121" i="38"/>
  <c r="M93" i="37"/>
  <c r="H94" i="37"/>
  <c r="L94" i="37" s="1"/>
  <c r="G94" i="37"/>
  <c r="K94" i="37" s="1"/>
  <c r="M94" i="37" s="1"/>
  <c r="F94" i="37"/>
  <c r="A95" i="37"/>
  <c r="J94" i="37"/>
  <c r="J96" i="36"/>
  <c r="H96" i="36"/>
  <c r="L96" i="36" s="1"/>
  <c r="F96" i="36"/>
  <c r="G96" i="36"/>
  <c r="K96" i="36" s="1"/>
  <c r="M96" i="36" s="1"/>
  <c r="A97" i="36"/>
  <c r="A94" i="35"/>
  <c r="F93" i="35"/>
  <c r="J93" i="35"/>
  <c r="H93" i="35"/>
  <c r="L93" i="35" s="1"/>
  <c r="G93" i="35"/>
  <c r="K93" i="35" s="1"/>
  <c r="M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H121" i="39" l="1"/>
  <c r="A122" i="39"/>
  <c r="H122" i="38"/>
  <c r="A123" i="38"/>
  <c r="H95" i="37"/>
  <c r="L95" i="37" s="1"/>
  <c r="J95" i="37"/>
  <c r="F95" i="37"/>
  <c r="A96" i="37"/>
  <c r="G95" i="37"/>
  <c r="K95" i="37" s="1"/>
  <c r="M95" i="37" s="1"/>
  <c r="H97" i="36"/>
  <c r="L97" i="36" s="1"/>
  <c r="G97" i="36"/>
  <c r="K97" i="36" s="1"/>
  <c r="M97" i="36" s="1"/>
  <c r="F97" i="36"/>
  <c r="A98" i="36"/>
  <c r="J97" i="36"/>
  <c r="R10" i="32"/>
  <c r="H94" i="35"/>
  <c r="L94" i="35" s="1"/>
  <c r="G94" i="35"/>
  <c r="K94" i="35" s="1"/>
  <c r="F94" i="35"/>
  <c r="J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H122" i="39" l="1"/>
  <c r="A123" i="39"/>
  <c r="H123" i="38"/>
  <c r="A124" i="38"/>
  <c r="R9" i="32"/>
  <c r="A97" i="37"/>
  <c r="H96" i="37"/>
  <c r="L96" i="37" s="1"/>
  <c r="G96" i="37"/>
  <c r="K96" i="37" s="1"/>
  <c r="M96" i="37" s="1"/>
  <c r="F96" i="37"/>
  <c r="J96" i="37"/>
  <c r="A99" i="36"/>
  <c r="G98" i="36"/>
  <c r="K98" i="36" s="1"/>
  <c r="F98" i="36"/>
  <c r="J98" i="36"/>
  <c r="H98" i="36"/>
  <c r="L98" i="36" s="1"/>
  <c r="J95" i="35"/>
  <c r="F95" i="35"/>
  <c r="A96" i="35"/>
  <c r="H95" i="35"/>
  <c r="L95" i="35" s="1"/>
  <c r="G95" i="35"/>
  <c r="K95" i="35" s="1"/>
  <c r="M95" i="35" s="1"/>
  <c r="M94" i="35"/>
  <c r="A122" i="34"/>
  <c r="H121" i="34"/>
  <c r="A7" i="32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124" i="39" l="1"/>
  <c r="H123" i="39"/>
  <c r="A125" i="38"/>
  <c r="H124" i="38"/>
  <c r="H97" i="37"/>
  <c r="L97" i="37" s="1"/>
  <c r="G97" i="37"/>
  <c r="K97" i="37" s="1"/>
  <c r="M97" i="37" s="1"/>
  <c r="F97" i="37"/>
  <c r="A98" i="37"/>
  <c r="J97" i="37"/>
  <c r="M98" i="36"/>
  <c r="J99" i="36"/>
  <c r="H99" i="36"/>
  <c r="L99" i="36" s="1"/>
  <c r="F99" i="36"/>
  <c r="G99" i="36"/>
  <c r="K99" i="36" s="1"/>
  <c r="A100" i="36"/>
  <c r="A97" i="35"/>
  <c r="F96" i="35"/>
  <c r="J96" i="35"/>
  <c r="H96" i="35"/>
  <c r="L96" i="35" s="1"/>
  <c r="G96" i="35"/>
  <c r="K96" i="35" s="1"/>
  <c r="M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M99" i="36" l="1"/>
  <c r="R7" i="32"/>
  <c r="A125" i="39"/>
  <c r="H124" i="39"/>
  <c r="A126" i="38"/>
  <c r="H125" i="38"/>
  <c r="J98" i="37"/>
  <c r="H98" i="37"/>
  <c r="L98" i="37" s="1"/>
  <c r="F98" i="37"/>
  <c r="A99" i="37"/>
  <c r="G98" i="37"/>
  <c r="K98" i="37" s="1"/>
  <c r="M98" i="37" s="1"/>
  <c r="H100" i="36"/>
  <c r="L100" i="36" s="1"/>
  <c r="F100" i="36"/>
  <c r="G100" i="36"/>
  <c r="K100" i="36" s="1"/>
  <c r="A101" i="36"/>
  <c r="J100" i="36"/>
  <c r="H97" i="35"/>
  <c r="L97" i="35" s="1"/>
  <c r="G97" i="35"/>
  <c r="K97" i="35" s="1"/>
  <c r="M97" i="35" s="1"/>
  <c r="F97" i="35"/>
  <c r="A98" i="35"/>
  <c r="J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J99" i="37"/>
  <c r="F99" i="37"/>
  <c r="G99" i="37"/>
  <c r="K99" i="37" s="1"/>
  <c r="H99" i="37"/>
  <c r="L99" i="37" s="1"/>
  <c r="A102" i="36"/>
  <c r="J101" i="36"/>
  <c r="H101" i="36"/>
  <c r="L101" i="36" s="1"/>
  <c r="G101" i="36"/>
  <c r="K101" i="36" s="1"/>
  <c r="M101" i="36" s="1"/>
  <c r="F101" i="36"/>
  <c r="J98" i="35"/>
  <c r="F98" i="35"/>
  <c r="A99" i="35"/>
  <c r="H98" i="35"/>
  <c r="L98" i="35" s="1"/>
  <c r="G98" i="35"/>
  <c r="K98" i="35" s="1"/>
  <c r="M98" i="35" s="1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R5" i="32" l="1"/>
  <c r="H126" i="39"/>
  <c r="A127" i="39"/>
  <c r="A128" i="38"/>
  <c r="H127" i="38"/>
  <c r="M99" i="37"/>
  <c r="H100" i="37"/>
  <c r="L100" i="37" s="1"/>
  <c r="G100" i="37"/>
  <c r="K100" i="37" s="1"/>
  <c r="M100" i="37" s="1"/>
  <c r="F100" i="37"/>
  <c r="A101" i="37"/>
  <c r="J100" i="37"/>
  <c r="J102" i="36"/>
  <c r="H102" i="36"/>
  <c r="L102" i="36" s="1"/>
  <c r="F102" i="36"/>
  <c r="A103" i="36"/>
  <c r="G102" i="36"/>
  <c r="K102" i="36" s="1"/>
  <c r="M102" i="36" s="1"/>
  <c r="A100" i="35"/>
  <c r="J99" i="35"/>
  <c r="G99" i="35"/>
  <c r="K99" i="35" s="1"/>
  <c r="F99" i="35"/>
  <c r="H99" i="35"/>
  <c r="L99" i="35" s="1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H127" i="39" l="1"/>
  <c r="A128" i="39"/>
  <c r="R4" i="32"/>
  <c r="H128" i="38"/>
  <c r="A129" i="38"/>
  <c r="H129" i="38" s="1"/>
  <c r="H101" i="37"/>
  <c r="L101" i="37" s="1"/>
  <c r="J101" i="37"/>
  <c r="F101" i="37"/>
  <c r="A102" i="37"/>
  <c r="G101" i="37"/>
  <c r="K101" i="37" s="1"/>
  <c r="M101" i="37" s="1"/>
  <c r="H103" i="36"/>
  <c r="L103" i="36" s="1"/>
  <c r="G103" i="36"/>
  <c r="K103" i="36" s="1"/>
  <c r="M103" i="36" s="1"/>
  <c r="F103" i="36"/>
  <c r="A104" i="36"/>
  <c r="J103" i="36"/>
  <c r="M99" i="35"/>
  <c r="H100" i="35"/>
  <c r="L100" i="35" s="1"/>
  <c r="G100" i="35"/>
  <c r="K100" i="35" s="1"/>
  <c r="F100" i="35"/>
  <c r="A101" i="35"/>
  <c r="J100" i="35"/>
  <c r="A127" i="34"/>
  <c r="H126" i="34"/>
  <c r="O3" i="32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H128" i="39" l="1"/>
  <c r="A129" i="39"/>
  <c r="H129" i="39" s="1"/>
  <c r="A103" i="37"/>
  <c r="J102" i="37"/>
  <c r="H102" i="37"/>
  <c r="L102" i="37" s="1"/>
  <c r="G102" i="37"/>
  <c r="K102" i="37" s="1"/>
  <c r="M102" i="37" s="1"/>
  <c r="F102" i="37"/>
  <c r="A105" i="36"/>
  <c r="F104" i="36"/>
  <c r="J104" i="36"/>
  <c r="H104" i="36"/>
  <c r="L104" i="36" s="1"/>
  <c r="G104" i="36"/>
  <c r="K104" i="36" s="1"/>
  <c r="M104" i="36" s="1"/>
  <c r="M100" i="35"/>
  <c r="J101" i="35"/>
  <c r="F101" i="35"/>
  <c r="A102" i="35"/>
  <c r="G101" i="35"/>
  <c r="K101" i="35" s="1"/>
  <c r="H101" i="35"/>
  <c r="L101" i="35" s="1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H103" i="37" l="1"/>
  <c r="L103" i="37" s="1"/>
  <c r="G103" i="37"/>
  <c r="K103" i="37" s="1"/>
  <c r="M103" i="37" s="1"/>
  <c r="F103" i="37"/>
  <c r="A104" i="37"/>
  <c r="J103" i="37"/>
  <c r="J105" i="36"/>
  <c r="H105" i="36"/>
  <c r="L105" i="36" s="1"/>
  <c r="F105" i="36"/>
  <c r="A106" i="36"/>
  <c r="G105" i="36"/>
  <c r="K105" i="36" s="1"/>
  <c r="M105" i="36" s="1"/>
  <c r="A103" i="35"/>
  <c r="J102" i="35"/>
  <c r="H102" i="35"/>
  <c r="L102" i="35" s="1"/>
  <c r="G102" i="35"/>
  <c r="K102" i="35" s="1"/>
  <c r="F102" i="35"/>
  <c r="M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H104" i="37" l="1"/>
  <c r="L104" i="37" s="1"/>
  <c r="J104" i="37"/>
  <c r="F104" i="37"/>
  <c r="A105" i="37"/>
  <c r="G104" i="37"/>
  <c r="K104" i="37" s="1"/>
  <c r="M104" i="37" s="1"/>
  <c r="H106" i="36"/>
  <c r="L106" i="36" s="1"/>
  <c r="G106" i="36"/>
  <c r="K106" i="36" s="1"/>
  <c r="F106" i="36"/>
  <c r="A107" i="36"/>
  <c r="J106" i="36"/>
  <c r="M102" i="35"/>
  <c r="H103" i="35"/>
  <c r="L103" i="35" s="1"/>
  <c r="G103" i="35"/>
  <c r="K103" i="35" s="1"/>
  <c r="M103" i="35" s="1"/>
  <c r="F103" i="35"/>
  <c r="A104" i="35"/>
  <c r="J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A106" i="37" l="1"/>
  <c r="J105" i="37"/>
  <c r="F105" i="37"/>
  <c r="H105" i="37"/>
  <c r="L105" i="37" s="1"/>
  <c r="G105" i="37"/>
  <c r="K105" i="37" s="1"/>
  <c r="M105" i="37" s="1"/>
  <c r="A108" i="36"/>
  <c r="H107" i="36"/>
  <c r="L107" i="36" s="1"/>
  <c r="F107" i="36"/>
  <c r="J107" i="36"/>
  <c r="G107" i="36"/>
  <c r="K107" i="36" s="1"/>
  <c r="M107" i="36" s="1"/>
  <c r="M106" i="36"/>
  <c r="J104" i="35"/>
  <c r="F104" i="35"/>
  <c r="A105" i="35"/>
  <c r="H104" i="35"/>
  <c r="L104" i="35" s="1"/>
  <c r="G104" i="35"/>
  <c r="K104" i="35" s="1"/>
  <c r="M104" i="35" s="1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H106" i="37" l="1"/>
  <c r="L106" i="37" s="1"/>
  <c r="G106" i="37"/>
  <c r="K106" i="37" s="1"/>
  <c r="M106" i="37" s="1"/>
  <c r="F106" i="37"/>
  <c r="A107" i="37"/>
  <c r="J106" i="37"/>
  <c r="J108" i="36"/>
  <c r="H108" i="36"/>
  <c r="L108" i="36" s="1"/>
  <c r="F108" i="36"/>
  <c r="A109" i="36"/>
  <c r="G108" i="36"/>
  <c r="K108" i="36" s="1"/>
  <c r="M108" i="36" s="1"/>
  <c r="J105" i="35"/>
  <c r="A106" i="35"/>
  <c r="F105" i="35"/>
  <c r="G105" i="35"/>
  <c r="K105" i="35" s="1"/>
  <c r="H105" i="35"/>
  <c r="L105" i="35" s="1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H107" i="37" l="1"/>
  <c r="L107" i="37" s="1"/>
  <c r="J107" i="37"/>
  <c r="F107" i="37"/>
  <c r="A108" i="37"/>
  <c r="G107" i="37"/>
  <c r="K107" i="37" s="1"/>
  <c r="M107" i="37" s="1"/>
  <c r="H109" i="36"/>
  <c r="L109" i="36" s="1"/>
  <c r="F109" i="36"/>
  <c r="G109" i="36"/>
  <c r="K109" i="36" s="1"/>
  <c r="M109" i="36" s="1"/>
  <c r="A110" i="36"/>
  <c r="J109" i="36"/>
  <c r="M105" i="35"/>
  <c r="H106" i="35"/>
  <c r="L106" i="35" s="1"/>
  <c r="G106" i="35"/>
  <c r="K106" i="35" s="1"/>
  <c r="M106" i="35" s="1"/>
  <c r="F106" i="35"/>
  <c r="A107" i="35"/>
  <c r="J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A109" i="37" l="1"/>
  <c r="J108" i="37"/>
  <c r="H108" i="37"/>
  <c r="L108" i="37" s="1"/>
  <c r="G108" i="37"/>
  <c r="K108" i="37" s="1"/>
  <c r="M108" i="37" s="1"/>
  <c r="F108" i="37"/>
  <c r="A111" i="36"/>
  <c r="G110" i="36"/>
  <c r="K110" i="36" s="1"/>
  <c r="F110" i="36"/>
  <c r="H110" i="36"/>
  <c r="L110" i="36" s="1"/>
  <c r="J110" i="36"/>
  <c r="J107" i="35"/>
  <c r="F107" i="35"/>
  <c r="A108" i="35"/>
  <c r="H107" i="35"/>
  <c r="L107" i="35" s="1"/>
  <c r="G107" i="35"/>
  <c r="K107" i="35" s="1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H109" i="37" l="1"/>
  <c r="L109" i="37" s="1"/>
  <c r="G109" i="37"/>
  <c r="K109" i="37" s="1"/>
  <c r="M109" i="37" s="1"/>
  <c r="F109" i="37"/>
  <c r="A110" i="37"/>
  <c r="J109" i="37"/>
  <c r="M110" i="36"/>
  <c r="J111" i="36"/>
  <c r="H111" i="36"/>
  <c r="L111" i="36" s="1"/>
  <c r="F111" i="36"/>
  <c r="G111" i="36"/>
  <c r="K111" i="36" s="1"/>
  <c r="M111" i="36" s="1"/>
  <c r="A112" i="36"/>
  <c r="M107" i="35"/>
  <c r="A109" i="35"/>
  <c r="J108" i="35"/>
  <c r="G108" i="35"/>
  <c r="K108" i="35" s="1"/>
  <c r="H108" i="35"/>
  <c r="L108" i="35" s="1"/>
  <c r="F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H110" i="37" l="1"/>
  <c r="L110" i="37" s="1"/>
  <c r="J110" i="37"/>
  <c r="F110" i="37"/>
  <c r="A111" i="37"/>
  <c r="G110" i="37"/>
  <c r="K110" i="37" s="1"/>
  <c r="M110" i="37" s="1"/>
  <c r="H112" i="36"/>
  <c r="L112" i="36" s="1"/>
  <c r="G112" i="36"/>
  <c r="K112" i="36" s="1"/>
  <c r="M112" i="36" s="1"/>
  <c r="A113" i="36"/>
  <c r="J112" i="36"/>
  <c r="F112" i="36"/>
  <c r="M108" i="35"/>
  <c r="H109" i="35"/>
  <c r="L109" i="35" s="1"/>
  <c r="G109" i="35"/>
  <c r="K109" i="35" s="1"/>
  <c r="M109" i="35" s="1"/>
  <c r="F109" i="35"/>
  <c r="A110" i="35"/>
  <c r="J109" i="35"/>
  <c r="A161" i="28"/>
  <c r="H160" i="28"/>
  <c r="A141" i="25"/>
  <c r="H140" i="25"/>
  <c r="A116" i="27"/>
  <c r="H115" i="27"/>
  <c r="A115" i="26"/>
  <c r="H114" i="26"/>
  <c r="A120" i="24"/>
  <c r="H119" i="24"/>
  <c r="A112" i="37" l="1"/>
  <c r="J111" i="37"/>
  <c r="H111" i="37"/>
  <c r="L111" i="37" s="1"/>
  <c r="G111" i="37"/>
  <c r="K111" i="37" s="1"/>
  <c r="M111" i="37" s="1"/>
  <c r="F111" i="37"/>
  <c r="A114" i="36"/>
  <c r="J113" i="36"/>
  <c r="H113" i="36"/>
  <c r="L113" i="36" s="1"/>
  <c r="G113" i="36"/>
  <c r="K113" i="36" s="1"/>
  <c r="M113" i="36" s="1"/>
  <c r="F113" i="36"/>
  <c r="J110" i="35"/>
  <c r="F110" i="35"/>
  <c r="A111" i="35"/>
  <c r="H110" i="35"/>
  <c r="L110" i="35" s="1"/>
  <c r="G110" i="35"/>
  <c r="K110" i="35" s="1"/>
  <c r="A121" i="24"/>
  <c r="H120" i="24"/>
  <c r="A116" i="26"/>
  <c r="H115" i="26"/>
  <c r="A117" i="27"/>
  <c r="H116" i="27"/>
  <c r="A142" i="25"/>
  <c r="H141" i="25"/>
  <c r="A162" i="28"/>
  <c r="H161" i="28"/>
  <c r="H112" i="37" l="1"/>
  <c r="L112" i="37" s="1"/>
  <c r="G112" i="37"/>
  <c r="K112" i="37" s="1"/>
  <c r="M112" i="37" s="1"/>
  <c r="F112" i="37"/>
  <c r="A113" i="37"/>
  <c r="J112" i="37"/>
  <c r="J114" i="36"/>
  <c r="H114" i="36"/>
  <c r="L114" i="36" s="1"/>
  <c r="F114" i="36"/>
  <c r="G114" i="36"/>
  <c r="K114" i="36" s="1"/>
  <c r="M114" i="36" s="1"/>
  <c r="A115" i="36"/>
  <c r="M110" i="35"/>
  <c r="J111" i="35"/>
  <c r="A112" i="35"/>
  <c r="H111" i="35"/>
  <c r="L111" i="35" s="1"/>
  <c r="G111" i="35"/>
  <c r="K111" i="35" s="1"/>
  <c r="F111" i="35"/>
  <c r="A163" i="28"/>
  <c r="H162" i="28"/>
  <c r="A143" i="25"/>
  <c r="H142" i="25"/>
  <c r="A118" i="27"/>
  <c r="H117" i="27"/>
  <c r="A117" i="26"/>
  <c r="H116" i="26"/>
  <c r="A122" i="24"/>
  <c r="H121" i="24"/>
  <c r="J113" i="37" l="1"/>
  <c r="H113" i="37"/>
  <c r="L113" i="37" s="1"/>
  <c r="F113" i="37"/>
  <c r="G113" i="37"/>
  <c r="K113" i="37" s="1"/>
  <c r="M113" i="37" s="1"/>
  <c r="A114" i="37"/>
  <c r="H115" i="36"/>
  <c r="L115" i="36" s="1"/>
  <c r="G115" i="36"/>
  <c r="K115" i="36" s="1"/>
  <c r="M115" i="36" s="1"/>
  <c r="F115" i="36"/>
  <c r="A116" i="36"/>
  <c r="J115" i="36"/>
  <c r="M111" i="35"/>
  <c r="H112" i="35"/>
  <c r="L112" i="35" s="1"/>
  <c r="G112" i="35"/>
  <c r="K112" i="35" s="1"/>
  <c r="M112" i="35" s="1"/>
  <c r="F112" i="35"/>
  <c r="A113" i="35"/>
  <c r="J112" i="35"/>
  <c r="A118" i="26"/>
  <c r="H117" i="26"/>
  <c r="A123" i="24"/>
  <c r="H122" i="24"/>
  <c r="A119" i="27"/>
  <c r="H118" i="27"/>
  <c r="A144" i="25"/>
  <c r="H143" i="25"/>
  <c r="A164" i="28"/>
  <c r="H163" i="28"/>
  <c r="A115" i="37" l="1"/>
  <c r="J114" i="37"/>
  <c r="H114" i="37"/>
  <c r="L114" i="37" s="1"/>
  <c r="G114" i="37"/>
  <c r="K114" i="37" s="1"/>
  <c r="M114" i="37" s="1"/>
  <c r="F114" i="37"/>
  <c r="A117" i="36"/>
  <c r="J116" i="36"/>
  <c r="G116" i="36"/>
  <c r="K116" i="36" s="1"/>
  <c r="H116" i="36"/>
  <c r="L116" i="36" s="1"/>
  <c r="F116" i="36"/>
  <c r="J113" i="35"/>
  <c r="F113" i="35"/>
  <c r="A114" i="35"/>
  <c r="H113" i="35"/>
  <c r="L113" i="35" s="1"/>
  <c r="G113" i="35"/>
  <c r="K113" i="35" s="1"/>
  <c r="M113" i="35" s="1"/>
  <c r="A165" i="28"/>
  <c r="H164" i="28"/>
  <c r="A145" i="25"/>
  <c r="H144" i="25"/>
  <c r="A120" i="27"/>
  <c r="H119" i="27"/>
  <c r="A124" i="24"/>
  <c r="H123" i="24"/>
  <c r="A119" i="26"/>
  <c r="H118" i="26"/>
  <c r="H115" i="37" l="1"/>
  <c r="L115" i="37" s="1"/>
  <c r="G115" i="37"/>
  <c r="K115" i="37" s="1"/>
  <c r="M115" i="37" s="1"/>
  <c r="F115" i="37"/>
  <c r="A116" i="37"/>
  <c r="J115" i="37"/>
  <c r="M116" i="36"/>
  <c r="J117" i="36"/>
  <c r="H117" i="36"/>
  <c r="L117" i="36" s="1"/>
  <c r="F117" i="36"/>
  <c r="G117" i="36"/>
  <c r="K117" i="36" s="1"/>
  <c r="M117" i="36" s="1"/>
  <c r="A118" i="36"/>
  <c r="A115" i="35"/>
  <c r="J114" i="35"/>
  <c r="H114" i="35"/>
  <c r="L114" i="35" s="1"/>
  <c r="G114" i="35"/>
  <c r="K114" i="35" s="1"/>
  <c r="M114" i="35" s="1"/>
  <c r="F114" i="35"/>
  <c r="A120" i="26"/>
  <c r="H119" i="26"/>
  <c r="A125" i="24"/>
  <c r="H124" i="24"/>
  <c r="A121" i="27"/>
  <c r="H120" i="27"/>
  <c r="A146" i="25"/>
  <c r="H145" i="25"/>
  <c r="A166" i="28"/>
  <c r="H165" i="28"/>
  <c r="H116" i="37" l="1"/>
  <c r="L116" i="37" s="1"/>
  <c r="J116" i="37"/>
  <c r="F116" i="37"/>
  <c r="A117" i="37"/>
  <c r="G116" i="37"/>
  <c r="K116" i="37" s="1"/>
  <c r="M116" i="37" s="1"/>
  <c r="H118" i="36"/>
  <c r="L118" i="36" s="1"/>
  <c r="G118" i="36"/>
  <c r="K118" i="36" s="1"/>
  <c r="M118" i="36" s="1"/>
  <c r="A119" i="36"/>
  <c r="F118" i="36"/>
  <c r="J118" i="36"/>
  <c r="H115" i="35"/>
  <c r="L115" i="35" s="1"/>
  <c r="G115" i="35"/>
  <c r="K115" i="35" s="1"/>
  <c r="M115" i="35" s="1"/>
  <c r="F115" i="35"/>
  <c r="A116" i="35"/>
  <c r="J115" i="35"/>
  <c r="A167" i="28"/>
  <c r="H166" i="28"/>
  <c r="A147" i="25"/>
  <c r="H146" i="25"/>
  <c r="A122" i="27"/>
  <c r="H121" i="27"/>
  <c r="A126" i="24"/>
  <c r="H125" i="24"/>
  <c r="A121" i="26"/>
  <c r="H120" i="26"/>
  <c r="A118" i="37" l="1"/>
  <c r="J117" i="37"/>
  <c r="F117" i="37"/>
  <c r="H117" i="37"/>
  <c r="L117" i="37" s="1"/>
  <c r="G117" i="37"/>
  <c r="K117" i="37" s="1"/>
  <c r="M117" i="37" s="1"/>
  <c r="A120" i="36"/>
  <c r="H119" i="36"/>
  <c r="L119" i="36" s="1"/>
  <c r="J119" i="36"/>
  <c r="G119" i="36"/>
  <c r="K119" i="36" s="1"/>
  <c r="M119" i="36" s="1"/>
  <c r="F119" i="36"/>
  <c r="J116" i="35"/>
  <c r="F116" i="35"/>
  <c r="A117" i="35"/>
  <c r="H116" i="35"/>
  <c r="L116" i="35" s="1"/>
  <c r="G116" i="35"/>
  <c r="K116" i="35" s="1"/>
  <c r="A122" i="26"/>
  <c r="H121" i="26"/>
  <c r="A127" i="24"/>
  <c r="H126" i="24"/>
  <c r="A123" i="27"/>
  <c r="H122" i="27"/>
  <c r="A148" i="25"/>
  <c r="H147" i="25"/>
  <c r="A168" i="28"/>
  <c r="H167" i="28"/>
  <c r="H118" i="37" l="1"/>
  <c r="L118" i="37" s="1"/>
  <c r="G118" i="37"/>
  <c r="K118" i="37" s="1"/>
  <c r="M118" i="37" s="1"/>
  <c r="F118" i="37"/>
  <c r="A119" i="37"/>
  <c r="J118" i="37"/>
  <c r="J120" i="36"/>
  <c r="H120" i="36"/>
  <c r="L120" i="36" s="1"/>
  <c r="F120" i="36"/>
  <c r="A121" i="36"/>
  <c r="G120" i="36"/>
  <c r="K120" i="36" s="1"/>
  <c r="M120" i="36" s="1"/>
  <c r="M116" i="35"/>
  <c r="J117" i="35"/>
  <c r="A118" i="35"/>
  <c r="G117" i="35"/>
  <c r="K117" i="35" s="1"/>
  <c r="F117" i="35"/>
  <c r="H117" i="35"/>
  <c r="L117" i="35" s="1"/>
  <c r="A169" i="28"/>
  <c r="H168" i="28"/>
  <c r="A149" i="25"/>
  <c r="H148" i="25"/>
  <c r="A124" i="27"/>
  <c r="H123" i="27"/>
  <c r="A128" i="24"/>
  <c r="H127" i="24"/>
  <c r="A123" i="26"/>
  <c r="H122" i="26"/>
  <c r="J119" i="37" l="1"/>
  <c r="H119" i="37"/>
  <c r="L119" i="37" s="1"/>
  <c r="F119" i="37"/>
  <c r="G119" i="37"/>
  <c r="K119" i="37" s="1"/>
  <c r="M119" i="37" s="1"/>
  <c r="A120" i="37"/>
  <c r="H121" i="36"/>
  <c r="L121" i="36" s="1"/>
  <c r="G121" i="36"/>
  <c r="K121" i="36" s="1"/>
  <c r="M121" i="36" s="1"/>
  <c r="F121" i="36"/>
  <c r="A122" i="36"/>
  <c r="J121" i="36"/>
  <c r="M117" i="35"/>
  <c r="H118" i="35"/>
  <c r="L118" i="35" s="1"/>
  <c r="G118" i="35"/>
  <c r="K118" i="35" s="1"/>
  <c r="M118" i="35" s="1"/>
  <c r="F118" i="35"/>
  <c r="A119" i="35"/>
  <c r="J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121" i="37" l="1"/>
  <c r="J120" i="37"/>
  <c r="H120" i="37"/>
  <c r="L120" i="37" s="1"/>
  <c r="G120" i="37"/>
  <c r="K120" i="37" s="1"/>
  <c r="M120" i="37" s="1"/>
  <c r="F120" i="37"/>
  <c r="A123" i="36"/>
  <c r="G122" i="36"/>
  <c r="K122" i="36" s="1"/>
  <c r="F122" i="36"/>
  <c r="J122" i="36"/>
  <c r="H122" i="36"/>
  <c r="L122" i="36" s="1"/>
  <c r="J119" i="35"/>
  <c r="F119" i="35"/>
  <c r="A120" i="35"/>
  <c r="G119" i="35"/>
  <c r="K119" i="35" s="1"/>
  <c r="H119" i="35"/>
  <c r="L119" i="35" s="1"/>
  <c r="H125" i="27"/>
  <c r="A126" i="27"/>
  <c r="A171" i="28"/>
  <c r="H170" i="28"/>
  <c r="A151" i="25"/>
  <c r="H150" i="25"/>
  <c r="H129" i="24"/>
  <c r="A130" i="24"/>
  <c r="H121" i="37" l="1"/>
  <c r="L121" i="37" s="1"/>
  <c r="G121" i="37"/>
  <c r="K121" i="37" s="1"/>
  <c r="M121" i="37" s="1"/>
  <c r="F121" i="37"/>
  <c r="A122" i="37"/>
  <c r="J121" i="37"/>
  <c r="M122" i="36"/>
  <c r="J123" i="36"/>
  <c r="H123" i="36"/>
  <c r="L123" i="36" s="1"/>
  <c r="F123" i="36"/>
  <c r="A124" i="36"/>
  <c r="G123" i="36"/>
  <c r="K123" i="36" s="1"/>
  <c r="M123" i="36" s="1"/>
  <c r="M119" i="35"/>
  <c r="J120" i="35"/>
  <c r="A121" i="35"/>
  <c r="H120" i="35"/>
  <c r="L120" i="35" s="1"/>
  <c r="G120" i="35"/>
  <c r="K120" i="35" s="1"/>
  <c r="M120" i="35" s="1"/>
  <c r="F120" i="35"/>
  <c r="A172" i="28"/>
  <c r="H171" i="28"/>
  <c r="A131" i="24"/>
  <c r="H130" i="24"/>
  <c r="A152" i="25"/>
  <c r="H151" i="25"/>
  <c r="A127" i="27"/>
  <c r="H126" i="27"/>
  <c r="H122" i="37" l="1"/>
  <c r="L122" i="37" s="1"/>
  <c r="J122" i="37"/>
  <c r="F122" i="37"/>
  <c r="A123" i="37"/>
  <c r="G122" i="37"/>
  <c r="K122" i="37" s="1"/>
  <c r="M122" i="37" s="1"/>
  <c r="H124" i="36"/>
  <c r="L124" i="36" s="1"/>
  <c r="G124" i="36"/>
  <c r="K124" i="36" s="1"/>
  <c r="M124" i="36" s="1"/>
  <c r="A125" i="36"/>
  <c r="F124" i="36"/>
  <c r="J124" i="36"/>
  <c r="H121" i="35"/>
  <c r="L121" i="35" s="1"/>
  <c r="G121" i="35"/>
  <c r="K121" i="35" s="1"/>
  <c r="M121" i="35" s="1"/>
  <c r="F121" i="35"/>
  <c r="A122" i="35"/>
  <c r="J121" i="35"/>
  <c r="A153" i="25"/>
  <c r="H152" i="25"/>
  <c r="A132" i="24"/>
  <c r="H131" i="24"/>
  <c r="A128" i="27"/>
  <c r="H127" i="27"/>
  <c r="A173" i="28"/>
  <c r="H172" i="28"/>
  <c r="A124" i="37" l="1"/>
  <c r="J123" i="37"/>
  <c r="F123" i="37"/>
  <c r="H123" i="37"/>
  <c r="L123" i="37" s="1"/>
  <c r="G123" i="37"/>
  <c r="K123" i="37" s="1"/>
  <c r="A126" i="36"/>
  <c r="G125" i="36"/>
  <c r="K125" i="36" s="1"/>
  <c r="H125" i="36"/>
  <c r="L125" i="36" s="1"/>
  <c r="J125" i="36"/>
  <c r="F125" i="36"/>
  <c r="J122" i="35"/>
  <c r="F122" i="35"/>
  <c r="A123" i="35"/>
  <c r="H122" i="35"/>
  <c r="L122" i="35" s="1"/>
  <c r="G122" i="35"/>
  <c r="K122" i="35" s="1"/>
  <c r="M122" i="35" s="1"/>
  <c r="A174" i="28"/>
  <c r="H174" i="28" s="1"/>
  <c r="H173" i="28"/>
  <c r="H128" i="27"/>
  <c r="A129" i="27"/>
  <c r="H129" i="27" s="1"/>
  <c r="A133" i="24"/>
  <c r="H132" i="24"/>
  <c r="A154" i="25"/>
  <c r="H153" i="25"/>
  <c r="M123" i="37" l="1"/>
  <c r="H124" i="37"/>
  <c r="L124" i="37" s="1"/>
  <c r="G124" i="37"/>
  <c r="K124" i="37" s="1"/>
  <c r="M124" i="37" s="1"/>
  <c r="F124" i="37"/>
  <c r="A125" i="37"/>
  <c r="J124" i="37"/>
  <c r="M125" i="36"/>
  <c r="J126" i="36"/>
  <c r="H126" i="36"/>
  <c r="L126" i="36" s="1"/>
  <c r="F126" i="36"/>
  <c r="A127" i="36"/>
  <c r="G126" i="36"/>
  <c r="K126" i="36" s="1"/>
  <c r="M126" i="36" s="1"/>
  <c r="A124" i="35"/>
  <c r="J123" i="35"/>
  <c r="G123" i="35"/>
  <c r="K123" i="35" s="1"/>
  <c r="F123" i="35"/>
  <c r="H123" i="35"/>
  <c r="L123" i="35" s="1"/>
  <c r="A155" i="25"/>
  <c r="H154" i="25"/>
  <c r="A134" i="24"/>
  <c r="H133" i="24"/>
  <c r="H125" i="37" l="1"/>
  <c r="L125" i="37" s="1"/>
  <c r="J125" i="37"/>
  <c r="F125" i="37"/>
  <c r="G125" i="37"/>
  <c r="K125" i="37" s="1"/>
  <c r="M125" i="37" s="1"/>
  <c r="A126" i="37"/>
  <c r="H127" i="36"/>
  <c r="L127" i="36" s="1"/>
  <c r="G127" i="36"/>
  <c r="K127" i="36" s="1"/>
  <c r="M127" i="36" s="1"/>
  <c r="A128" i="36"/>
  <c r="F127" i="36"/>
  <c r="J127" i="36"/>
  <c r="M123" i="35"/>
  <c r="H124" i="35"/>
  <c r="L124" i="35" s="1"/>
  <c r="G124" i="35"/>
  <c r="K124" i="35" s="1"/>
  <c r="M124" i="35" s="1"/>
  <c r="F124" i="35"/>
  <c r="A125" i="35"/>
  <c r="J124" i="35"/>
  <c r="A135" i="24"/>
  <c r="H134" i="24"/>
  <c r="A156" i="25"/>
  <c r="H155" i="25"/>
  <c r="A127" i="37" l="1"/>
  <c r="J126" i="37"/>
  <c r="G126" i="37"/>
  <c r="K126" i="37" s="1"/>
  <c r="H126" i="37"/>
  <c r="L126" i="37" s="1"/>
  <c r="F126" i="37"/>
  <c r="A129" i="36"/>
  <c r="G128" i="36"/>
  <c r="K128" i="36" s="1"/>
  <c r="F128" i="36"/>
  <c r="H128" i="36"/>
  <c r="L128" i="36" s="1"/>
  <c r="J128" i="36"/>
  <c r="F125" i="35"/>
  <c r="A126" i="35"/>
  <c r="J125" i="35"/>
  <c r="H125" i="35"/>
  <c r="L125" i="35" s="1"/>
  <c r="G125" i="35"/>
  <c r="K125" i="35" s="1"/>
  <c r="A157" i="25"/>
  <c r="H156" i="25"/>
  <c r="A136" i="24"/>
  <c r="H135" i="24"/>
  <c r="M126" i="37" l="1"/>
  <c r="H127" i="37"/>
  <c r="L127" i="37" s="1"/>
  <c r="G127" i="37"/>
  <c r="K127" i="37" s="1"/>
  <c r="M127" i="37" s="1"/>
  <c r="F127" i="37"/>
  <c r="A128" i="37"/>
  <c r="J127" i="37"/>
  <c r="M128" i="36"/>
  <c r="J129" i="36"/>
  <c r="H129" i="36"/>
  <c r="L129" i="36" s="1"/>
  <c r="F129" i="36"/>
  <c r="A130" i="36"/>
  <c r="G129" i="36"/>
  <c r="K129" i="36" s="1"/>
  <c r="M129" i="36" s="1"/>
  <c r="M125" i="35"/>
  <c r="J126" i="35"/>
  <c r="A127" i="35"/>
  <c r="G126" i="35"/>
  <c r="K126" i="35" s="1"/>
  <c r="H126" i="35"/>
  <c r="L126" i="35" s="1"/>
  <c r="F126" i="35"/>
  <c r="A137" i="24"/>
  <c r="H136" i="24"/>
  <c r="A158" i="25"/>
  <c r="H157" i="25"/>
  <c r="H128" i="37" l="1"/>
  <c r="L128" i="37" s="1"/>
  <c r="J128" i="37"/>
  <c r="F128" i="37"/>
  <c r="A129" i="37"/>
  <c r="G128" i="37"/>
  <c r="K128" i="37" s="1"/>
  <c r="M128" i="37" s="1"/>
  <c r="H130" i="36"/>
  <c r="L130" i="36" s="1"/>
  <c r="G130" i="36"/>
  <c r="K130" i="36" s="1"/>
  <c r="M130" i="36" s="1"/>
  <c r="A131" i="36"/>
  <c r="J130" i="36"/>
  <c r="F130" i="36"/>
  <c r="M126" i="35"/>
  <c r="H127" i="35"/>
  <c r="L127" i="35" s="1"/>
  <c r="G127" i="35"/>
  <c r="K127" i="35" s="1"/>
  <c r="M127" i="35" s="1"/>
  <c r="F127" i="35"/>
  <c r="A128" i="35"/>
  <c r="J127" i="35"/>
  <c r="A159" i="25"/>
  <c r="H158" i="25"/>
  <c r="A138" i="24"/>
  <c r="H137" i="24"/>
  <c r="A130" i="37" l="1"/>
  <c r="J129" i="37"/>
  <c r="H129" i="37"/>
  <c r="L129" i="37" s="1"/>
  <c r="G129" i="37"/>
  <c r="K129" i="37" s="1"/>
  <c r="M129" i="37" s="1"/>
  <c r="F129" i="37"/>
  <c r="J131" i="36"/>
  <c r="H131" i="36"/>
  <c r="L131" i="36" s="1"/>
  <c r="G131" i="36"/>
  <c r="K131" i="36" s="1"/>
  <c r="M131" i="36" s="1"/>
  <c r="F131" i="36"/>
  <c r="J128" i="35"/>
  <c r="F128" i="35"/>
  <c r="A129" i="35"/>
  <c r="H128" i="35"/>
  <c r="L128" i="35" s="1"/>
  <c r="G128" i="35"/>
  <c r="K128" i="35" s="1"/>
  <c r="M128" i="35" s="1"/>
  <c r="A139" i="24"/>
  <c r="H139" i="24" s="1"/>
  <c r="H138" i="24"/>
  <c r="A160" i="25"/>
  <c r="H159" i="25"/>
  <c r="H130" i="37" l="1"/>
  <c r="L130" i="37" s="1"/>
  <c r="G130" i="37"/>
  <c r="K130" i="37" s="1"/>
  <c r="M130" i="37" s="1"/>
  <c r="F130" i="37"/>
  <c r="A131" i="37"/>
  <c r="J130" i="37"/>
  <c r="A130" i="35"/>
  <c r="J129" i="35"/>
  <c r="H129" i="35"/>
  <c r="L129" i="35" s="1"/>
  <c r="G129" i="35"/>
  <c r="K129" i="35" s="1"/>
  <c r="M129" i="35" s="1"/>
  <c r="F129" i="35"/>
  <c r="A161" i="25"/>
  <c r="H160" i="25"/>
  <c r="J131" i="37" l="1"/>
  <c r="H131" i="37"/>
  <c r="L131" i="37" s="1"/>
  <c r="F131" i="37"/>
  <c r="G131" i="37"/>
  <c r="K131" i="37" s="1"/>
  <c r="M131" i="37" s="1"/>
  <c r="H130" i="35"/>
  <c r="L130" i="35" s="1"/>
  <c r="G130" i="35"/>
  <c r="K130" i="35" s="1"/>
  <c r="M130" i="35" s="1"/>
  <c r="F130" i="35"/>
  <c r="A131" i="35"/>
  <c r="J130" i="35"/>
  <c r="A162" i="25"/>
  <c r="H161" i="25"/>
  <c r="J131" i="35" l="1"/>
  <c r="F131" i="35"/>
  <c r="H131" i="35"/>
  <c r="L131" i="35" s="1"/>
  <c r="G131" i="35"/>
  <c r="K131" i="35" s="1"/>
  <c r="M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<sst xmlns="http://schemas.openxmlformats.org/spreadsheetml/2006/main" count="516" uniqueCount="202">
  <si>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</si>
  <si>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</si>
  <si>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</si>
  <si>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</si>
  <si>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</si>
  <si>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</si>
  <si>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</si>
  <si>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</si>
  <si>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</si>
  <si>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</si>
  <si>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</si>
  <si>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</si>
  <si>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</si>
  <si>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</si>
  <si>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</si>
  <si>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</si>
  <si>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</si>
  <si>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</si>
  <si>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</si>
  <si>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</si>
  <si>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</si>
  <si>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</si>
  <si>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</si>
  <si>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</si>
  <si>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</si>
  <si>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</si>
  <si>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</si>
  <si>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</si>
  <si>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</si>
  <si>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</si>
  <si>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</si>
  <si>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</si>
  <si>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</si>
  <si>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</si>
  <si>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</si>
  <si>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</si>
  <si>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</si>
  <si>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</si>
  <si>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</si>
  <si>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</si>
  <si>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</si>
  <si>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</si>
  <si>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</si>
  <si>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</si>
  <si>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</si>
  <si>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</si>
  <si>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</si>
  <si>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</si>
  <si>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</si>
  <si>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</si>
  <si>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</si>
  <si>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</si>
  <si>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</si>
  <si>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</si>
  <si>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</si>
  <si>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</si>
  <si>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</si>
  <si>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</si>
  <si>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</si>
  <si>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</si>
  <si>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</si>
  <si>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</si>
  <si>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</si>
  <si>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</si>
  <si>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</si>
  <si>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</si>
  <si>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</si>
  <si>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</si>
  <si>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</si>
  <si>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</si>
  <si>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</si>
  <si>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</si>
  <si>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</si>
  <si>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</si>
  <si>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</si>
  <si>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</si>
  <si>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</si>
  <si>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</si>
  <si>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</si>
  <si>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</si>
  <si>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</si>
  <si>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</si>
  <si>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</si>
  <si>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</si>
  <si>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</si>
  <si>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</si>
  <si>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</si>
  <si>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</si>
  <si>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</si>
  <si>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</si>
  <si>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</si>
  <si>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</si>
  <si>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</si>
  <si>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</si>
  <si>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</si>
  <si>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</si>
  <si>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</si>
  <si>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</si>
  <si>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</si>
  <si>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</si>
  <si>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</si>
  <si>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</si>
  <si>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</si>
  <si>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</si>
  <si>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</si>
  <si>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</si>
  <si>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</si>
  <si>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</si>
  <si>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</si>
  <si>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</si>
  <si>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</si>
  <si>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</si>
  <si>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</si>
  <si>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</si>
  <si>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</si>
  <si>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</si>
  <si>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</si>
  <si>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</si>
  <si>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</si>
  <si>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</si>
  <si>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</si>
  <si>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</si>
  <si>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</si>
  <si>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</si>
  <si>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</si>
  <si>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</si>
  <si>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</si>
  <si>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</si>
  <si>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</si>
  <si>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</si>
  <si>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</si>
  <si>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</si>
  <si>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</si>
  <si>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</si>
  <si>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</si>
  <si>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</si>
  <si>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</si>
  <si>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</si>
  <si>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</si>
  <si>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</si>
  <si>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</si>
  <si>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</si>
  <si>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</si>
  <si>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</si>
  <si>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</si>
  <si>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</si>
  <si>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</si>
  <si>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</si>
  <si>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</si>
  <si>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</si>
  <si>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</si>
  <si>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</si>
  <si>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</si>
  <si>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</si>
  <si>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</si>
  <si>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</si>
  <si>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</si>
  <si>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</si>
  <si>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</si>
  <si>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</si>
  <si>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</si>
  <si>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</si>
  <si>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</si>
  <si>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</si>
  <si>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О склейке Колвера и WPP: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</si>
  <si>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</si>
  <si>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</si>
  <si>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</si>
  <si>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</si>
  <si>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</si>
  <si>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</si>
  <si>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</si>
  <si>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</si>
  <si>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</si>
  <si>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</si>
  <si>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</si>
  <si>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</si>
  <si>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</si>
  <si>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</si>
  <si>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</si>
  <si>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</si>
  <si>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</si>
  <si>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</si>
  <si>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</si>
  <si>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</si>
  <si>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</si>
  <si>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То же относится к склейке Колвера и CONAPO.</t>
  </si>
  <si>
    <t>но смертность у CONAPO местами неровная:</t>
  </si>
  <si>
    <t>1950  18.7</t>
  </si>
  <si>
    <t>1951  19.2</t>
  </si>
  <si>
    <t>1952  17.5</t>
  </si>
  <si>
    <t>1953  17.9</t>
  </si>
  <si>
    <t>1954  15.4</t>
  </si>
  <si>
    <t>1955  15.0</t>
  </si>
  <si>
    <t xml:space="preserve">Для CONAPO это даже более оправдано, чем для WPP, потому что CONAPO в 1950-е годы довольно близок к Колверу по рождаемости, </t>
  </si>
  <si>
    <t>….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</si>
  <si>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</si>
  <si>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</si>
  <si>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</si>
  <si>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</si>
  <si>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между предшествующим и последующим периодаими.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</si>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</sst>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/>
    </xf>
    <xf numFmtId="3" fontId="0" fillId="0" borderId="0" xfId="0" applyNumberFormat="1"/>
    <xf numFmtId="0" fontId="0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45.995627920000011</c:v>
                </c:pt>
                <c:pt idx="67">
                  <c:v>45.810781440000014</c:v>
                </c:pt>
                <c:pt idx="68">
                  <c:v>45.743065560000012</c:v>
                </c:pt>
                <c:pt idx="69">
                  <c:v>45.590454080000008</c:v>
                </c:pt>
                <c:pt idx="70">
                  <c:v>45.146500000000003</c:v>
                </c:pt>
                <c:pt idx="71">
                  <c:v>44.80254592</c:v>
                </c:pt>
                <c:pt idx="72">
                  <c:v>44.549934440000001</c:v>
                </c:pt>
                <c:pt idx="73">
                  <c:v>44.282218559999997</c:v>
                </c:pt>
                <c:pt idx="74">
                  <c:v>43.897372079999997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'Мексика-Колвер-СONAPO'!$L$2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11.350200479999998</c:v>
                </c:pt>
                <c:pt idx="67">
                  <c:v>11.197487359999998</c:v>
                </c:pt>
                <c:pt idx="68">
                  <c:v>11.098230639999999</c:v>
                </c:pt>
                <c:pt idx="69">
                  <c:v>10.746107519999999</c:v>
                </c:pt>
                <c:pt idx="70">
                  <c:v>10.720999999999998</c:v>
                </c:pt>
                <c:pt idx="71">
                  <c:v>10.59589248</c:v>
                </c:pt>
                <c:pt idx="72">
                  <c:v>10.34376936</c:v>
                </c:pt>
                <c:pt idx="73">
                  <c:v>10.444512640000001</c:v>
                </c:pt>
                <c:pt idx="74">
                  <c:v>10.09179952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'Мексика-Колвер-СONAPO'!$M$2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34.645427440000013</c:v>
                </c:pt>
                <c:pt idx="67">
                  <c:v>34.613294080000017</c:v>
                </c:pt>
                <c:pt idx="68">
                  <c:v>34.644834920000015</c:v>
                </c:pt>
                <c:pt idx="69">
                  <c:v>34.844346560000005</c:v>
                </c:pt>
                <c:pt idx="70">
                  <c:v>34.425500000000007</c:v>
                </c:pt>
                <c:pt idx="71">
                  <c:v>34.206653439999997</c:v>
                </c:pt>
                <c:pt idx="72">
                  <c:v>34.206165080000005</c:v>
                </c:pt>
                <c:pt idx="73">
                  <c:v>33.837705919999998</c:v>
                </c:pt>
                <c:pt idx="74">
                  <c:v>33.805572559999995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45.995627920000011</c:v>
                </c:pt>
                <c:pt idx="67">
                  <c:v>45.810781440000014</c:v>
                </c:pt>
                <c:pt idx="68">
                  <c:v>45.743065560000012</c:v>
                </c:pt>
                <c:pt idx="69">
                  <c:v>45.590454080000008</c:v>
                </c:pt>
                <c:pt idx="70">
                  <c:v>45.146500000000003</c:v>
                </c:pt>
                <c:pt idx="71">
                  <c:v>44.80254592</c:v>
                </c:pt>
                <c:pt idx="72">
                  <c:v>44.549934440000001</c:v>
                </c:pt>
                <c:pt idx="73">
                  <c:v>44.282218559999997</c:v>
                </c:pt>
                <c:pt idx="74">
                  <c:v>43.897372079999997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'Мексика-Колвер-СONAPO-реформа'!$L$2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11.350200479999998</c:v>
                </c:pt>
                <c:pt idx="67">
                  <c:v>11.197487359999998</c:v>
                </c:pt>
                <c:pt idx="68">
                  <c:v>11.098230639999999</c:v>
                </c:pt>
                <c:pt idx="69">
                  <c:v>10.746107519999999</c:v>
                </c:pt>
                <c:pt idx="70">
                  <c:v>10.720999999999998</c:v>
                </c:pt>
                <c:pt idx="71">
                  <c:v>10.59589248</c:v>
                </c:pt>
                <c:pt idx="72">
                  <c:v>10.34376936</c:v>
                </c:pt>
                <c:pt idx="73">
                  <c:v>10.444512640000001</c:v>
                </c:pt>
                <c:pt idx="74">
                  <c:v>10.09179952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'Мексика-Колвер-СONAPO-реформа'!$M$2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34.645427440000013</c:v>
                </c:pt>
                <c:pt idx="67">
                  <c:v>34.613294080000017</c:v>
                </c:pt>
                <c:pt idx="68">
                  <c:v>34.644834920000015</c:v>
                </c:pt>
                <c:pt idx="69">
                  <c:v>34.844346560000005</c:v>
                </c:pt>
                <c:pt idx="70">
                  <c:v>34.425500000000007</c:v>
                </c:pt>
                <c:pt idx="71">
                  <c:v>34.206653439999997</c:v>
                </c:pt>
                <c:pt idx="72">
                  <c:v>34.206165080000005</c:v>
                </c:pt>
                <c:pt idx="73">
                  <c:v>33.837705919999998</c:v>
                </c:pt>
                <c:pt idx="74">
                  <c:v>33.805572559999995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7"/>
  <sheetViews>
    <sheetView topLeftCell="A100" workbookViewId="0">
      <selection activeCell="A120" sqref="A120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164</v>
      </c>
    </row>
    <row r="76" spans="1:3" x14ac:dyDescent="0.25">
      <c r="B76" t="s">
        <v>165</v>
      </c>
    </row>
    <row r="77" spans="1:3" x14ac:dyDescent="0.25">
      <c r="B77" t="s">
        <v>166</v>
      </c>
    </row>
    <row r="78" spans="1:3" x14ac:dyDescent="0.25">
      <c r="B78" t="s">
        <v>167</v>
      </c>
    </row>
    <row r="80" spans="1:3" x14ac:dyDescent="0.25">
      <c r="C80" t="s">
        <v>168</v>
      </c>
    </row>
    <row r="81" spans="2:3" x14ac:dyDescent="0.25">
      <c r="C81" t="s">
        <v>169</v>
      </c>
    </row>
    <row r="83" spans="2:3" x14ac:dyDescent="0.25">
      <c r="B83" t="s">
        <v>170</v>
      </c>
    </row>
    <row r="85" spans="2:3" x14ac:dyDescent="0.25">
      <c r="C85" t="s">
        <v>171</v>
      </c>
    </row>
    <row r="86" spans="2:3" x14ac:dyDescent="0.25">
      <c r="C86" t="s">
        <v>172</v>
      </c>
    </row>
    <row r="87" spans="2:3" x14ac:dyDescent="0.25">
      <c r="C87" t="s">
        <v>173</v>
      </c>
    </row>
    <row r="88" spans="2:3" x14ac:dyDescent="0.25">
      <c r="C88" t="s">
        <v>174</v>
      </c>
    </row>
    <row r="90" spans="2:3" x14ac:dyDescent="0.25">
      <c r="B90" t="s">
        <v>185</v>
      </c>
    </row>
    <row r="91" spans="2:3" x14ac:dyDescent="0.25">
      <c r="B91" t="s">
        <v>175</v>
      </c>
    </row>
    <row r="93" spans="2:3" x14ac:dyDescent="0.25">
      <c r="C93" t="s">
        <v>176</v>
      </c>
    </row>
    <row r="94" spans="2:3" x14ac:dyDescent="0.25">
      <c r="C94" t="s">
        <v>177</v>
      </c>
    </row>
    <row r="95" spans="2:3" x14ac:dyDescent="0.25">
      <c r="C95" t="s">
        <v>178</v>
      </c>
    </row>
    <row r="97" spans="1:3" x14ac:dyDescent="0.25">
      <c r="B97" t="s">
        <v>179</v>
      </c>
    </row>
    <row r="98" spans="1:3" x14ac:dyDescent="0.25">
      <c r="B98" t="s">
        <v>180</v>
      </c>
    </row>
    <row r="100" spans="1:3" x14ac:dyDescent="0.25">
      <c r="C100" t="s">
        <v>181</v>
      </c>
    </row>
    <row r="101" spans="1:3" x14ac:dyDescent="0.25">
      <c r="C101" t="s">
        <v>182</v>
      </c>
    </row>
    <row r="102" spans="1:3" x14ac:dyDescent="0.25">
      <c r="C102" t="s">
        <v>183</v>
      </c>
    </row>
    <row r="103" spans="1:3" x14ac:dyDescent="0.25">
      <c r="C103" t="s">
        <v>184</v>
      </c>
    </row>
    <row r="105" spans="1:3" x14ac:dyDescent="0.25">
      <c r="A105" t="s">
        <v>186</v>
      </c>
    </row>
    <row r="107" spans="1:3" x14ac:dyDescent="0.25">
      <c r="B107" t="s">
        <v>194</v>
      </c>
    </row>
    <row r="108" spans="1:3" x14ac:dyDescent="0.25">
      <c r="B108" t="s">
        <v>187</v>
      </c>
    </row>
    <row r="110" spans="1:3" x14ac:dyDescent="0.25">
      <c r="C110" t="s">
        <v>188</v>
      </c>
    </row>
    <row r="111" spans="1:3" x14ac:dyDescent="0.25">
      <c r="C111" t="s">
        <v>189</v>
      </c>
    </row>
    <row r="112" spans="1:3" x14ac:dyDescent="0.25">
      <c r="C112" t="s">
        <v>190</v>
      </c>
    </row>
    <row r="113" spans="1:3" x14ac:dyDescent="0.25">
      <c r="C113" t="s">
        <v>191</v>
      </c>
    </row>
    <row r="114" spans="1:3" x14ac:dyDescent="0.25">
      <c r="C114" t="s">
        <v>192</v>
      </c>
    </row>
    <row r="115" spans="1:3" x14ac:dyDescent="0.25">
      <c r="C115" t="s">
        <v>193</v>
      </c>
    </row>
    <row r="116" spans="1:3" x14ac:dyDescent="0.25">
      <c r="C116" t="s">
        <v>195</v>
      </c>
    </row>
    <row r="118" spans="1:3" x14ac:dyDescent="0.25">
      <c r="A118" t="s">
        <v>201</v>
      </c>
    </row>
    <row r="119" spans="1:3" x14ac:dyDescent="0.25">
      <c r="A119" t="s">
        <v>200</v>
      </c>
    </row>
    <row r="121" spans="1:3" x14ac:dyDescent="0.25">
      <c r="A121" t="s">
        <v>138</v>
      </c>
    </row>
    <row r="122" spans="1:3" x14ac:dyDescent="0.25">
      <c r="A122" t="s">
        <v>139</v>
      </c>
    </row>
    <row r="123" spans="1:3" x14ac:dyDescent="0.25">
      <c r="B123" t="s">
        <v>149</v>
      </c>
    </row>
    <row r="124" spans="1:3" x14ac:dyDescent="0.25">
      <c r="B124" t="s">
        <v>139</v>
      </c>
    </row>
    <row r="125" spans="1:3" x14ac:dyDescent="0.25">
      <c r="C125" t="s">
        <v>140</v>
      </c>
    </row>
    <row r="126" spans="1:3" x14ac:dyDescent="0.25">
      <c r="C126" t="s">
        <v>141</v>
      </c>
    </row>
    <row r="127" spans="1:3" x14ac:dyDescent="0.25">
      <c r="C127" t="s">
        <v>142</v>
      </c>
    </row>
    <row r="128" spans="1:3" x14ac:dyDescent="0.25">
      <c r="C128" t="s">
        <v>143</v>
      </c>
    </row>
    <row r="129" spans="1:3" x14ac:dyDescent="0.25">
      <c r="C129" t="s">
        <v>144</v>
      </c>
    </row>
    <row r="130" spans="1:3" x14ac:dyDescent="0.25">
      <c r="C130" t="s">
        <v>139</v>
      </c>
    </row>
    <row r="131" spans="1:3" x14ac:dyDescent="0.25">
      <c r="C131" t="s">
        <v>145</v>
      </c>
    </row>
    <row r="132" spans="1:3" x14ac:dyDescent="0.25">
      <c r="C132" t="s">
        <v>146</v>
      </c>
    </row>
    <row r="133" spans="1:3" x14ac:dyDescent="0.25">
      <c r="C133" t="s">
        <v>147</v>
      </c>
    </row>
    <row r="135" spans="1:3" x14ac:dyDescent="0.25">
      <c r="B135" t="s">
        <v>150</v>
      </c>
    </row>
    <row r="136" spans="1:3" x14ac:dyDescent="0.25">
      <c r="B136" t="s">
        <v>148</v>
      </c>
    </row>
    <row r="137" spans="1:3" x14ac:dyDescent="0.25">
      <c r="B137" t="s">
        <v>159</v>
      </c>
    </row>
    <row r="139" spans="1:3" x14ac:dyDescent="0.25">
      <c r="A139" t="s">
        <v>151</v>
      </c>
    </row>
    <row r="141" spans="1:3" x14ac:dyDescent="0.25">
      <c r="A141" t="s">
        <v>152</v>
      </c>
    </row>
    <row r="143" spans="1:3" x14ac:dyDescent="0.25">
      <c r="A143" t="s">
        <v>197</v>
      </c>
    </row>
    <row r="145" spans="2:2" x14ac:dyDescent="0.25">
      <c r="B145" s="34" t="s">
        <v>196</v>
      </c>
    </row>
    <row r="146" spans="2:2" x14ac:dyDescent="0.25">
      <c r="B146" t="s">
        <v>199</v>
      </c>
    </row>
    <row r="147" spans="2:2" x14ac:dyDescent="0.25">
      <c r="B147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36" t="s">
        <v>20</v>
      </c>
      <c r="C1" s="36"/>
      <c r="D1" s="36" t="s">
        <v>21</v>
      </c>
      <c r="E1" s="36"/>
      <c r="F1" s="36" t="s">
        <v>22</v>
      </c>
      <c r="G1" s="36"/>
      <c r="H1" s="36" t="s">
        <v>23</v>
      </c>
      <c r="I1" s="36"/>
      <c r="J1" s="36" t="s">
        <v>24</v>
      </c>
      <c r="K1" s="36"/>
      <c r="L1" s="36" t="s">
        <v>25</v>
      </c>
      <c r="M1" s="36"/>
      <c r="N1" s="36" t="s">
        <v>26</v>
      </c>
      <c r="O1" s="36"/>
      <c r="P1" s="36" t="s">
        <v>27</v>
      </c>
      <c r="Q1" s="36"/>
      <c r="R1" s="36" t="s">
        <v>28</v>
      </c>
      <c r="S1" s="36"/>
      <c r="T1" s="36" t="s">
        <v>57</v>
      </c>
      <c r="U1" s="36"/>
      <c r="V1" s="36" t="s">
        <v>29</v>
      </c>
      <c r="W1" s="36"/>
      <c r="X1" s="36" t="s">
        <v>30</v>
      </c>
      <c r="Y1" s="36"/>
      <c r="Z1" s="36" t="s">
        <v>31</v>
      </c>
      <c r="AA1" s="36"/>
      <c r="AB1" s="36" t="s">
        <v>32</v>
      </c>
      <c r="AC1" s="36"/>
      <c r="AD1" s="36" t="s">
        <v>33</v>
      </c>
      <c r="AE1" s="36"/>
      <c r="AF1" s="19" t="s">
        <v>34</v>
      </c>
      <c r="AG1" s="19"/>
      <c r="AH1" s="36" t="s">
        <v>35</v>
      </c>
      <c r="AI1" s="36"/>
      <c r="AJ1" s="36" t="s">
        <v>36</v>
      </c>
      <c r="AK1" s="36"/>
      <c r="AL1" s="36" t="s">
        <v>93</v>
      </c>
      <c r="AM1" s="36"/>
    </row>
    <row r="2" spans="1:39" x14ac:dyDescent="0.25">
      <c r="A2" s="20" t="s">
        <v>92</v>
      </c>
      <c r="B2" s="35" t="s">
        <v>1</v>
      </c>
      <c r="C2" s="35"/>
      <c r="D2" s="35" t="s">
        <v>2</v>
      </c>
      <c r="E2" s="35"/>
      <c r="F2" s="35" t="s">
        <v>3</v>
      </c>
      <c r="G2" s="35"/>
      <c r="H2" s="35" t="s">
        <v>4</v>
      </c>
      <c r="I2" s="35"/>
      <c r="J2" s="35" t="s">
        <v>5</v>
      </c>
      <c r="K2" s="35"/>
      <c r="L2" s="35" t="s">
        <v>6</v>
      </c>
      <c r="M2" s="35"/>
      <c r="N2" s="35" t="s">
        <v>7</v>
      </c>
      <c r="O2" s="35"/>
      <c r="P2" s="35" t="s">
        <v>8</v>
      </c>
      <c r="Q2" s="35"/>
      <c r="R2" s="35" t="s">
        <v>9</v>
      </c>
      <c r="S2" s="35"/>
      <c r="T2" s="35" t="s">
        <v>10</v>
      </c>
      <c r="U2" s="35"/>
      <c r="V2" s="35" t="s">
        <v>11</v>
      </c>
      <c r="W2" s="35"/>
      <c r="X2" s="35" t="s">
        <v>12</v>
      </c>
      <c r="Y2" s="35"/>
      <c r="Z2" s="35" t="s">
        <v>13</v>
      </c>
      <c r="AA2" s="35"/>
      <c r="AB2" s="35" t="s">
        <v>14</v>
      </c>
      <c r="AC2" s="35"/>
      <c r="AD2" s="35" t="s">
        <v>15</v>
      </c>
      <c r="AE2" s="35"/>
      <c r="AF2" s="35" t="s">
        <v>16</v>
      </c>
      <c r="AG2" s="35"/>
      <c r="AH2" s="35" t="s">
        <v>17</v>
      </c>
      <c r="AI2" s="35"/>
      <c r="AJ2" s="35" t="s">
        <v>18</v>
      </c>
      <c r="AK2" s="35"/>
      <c r="AL2" s="35" t="s">
        <v>19</v>
      </c>
      <c r="AM2" s="35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36" t="s">
        <v>20</v>
      </c>
      <c r="C1" s="36"/>
      <c r="D1" s="36" t="s">
        <v>21</v>
      </c>
      <c r="E1" s="36"/>
      <c r="F1" s="36" t="s">
        <v>22</v>
      </c>
      <c r="G1" s="36"/>
      <c r="H1" s="36" t="s">
        <v>23</v>
      </c>
      <c r="I1" s="36"/>
      <c r="J1" s="36" t="s">
        <v>24</v>
      </c>
      <c r="K1" s="36"/>
      <c r="L1" s="36" t="s">
        <v>25</v>
      </c>
      <c r="M1" s="36"/>
      <c r="N1" s="36" t="s">
        <v>26</v>
      </c>
      <c r="O1" s="36"/>
      <c r="P1" s="36" t="s">
        <v>27</v>
      </c>
      <c r="Q1" s="36"/>
      <c r="R1" s="36" t="s">
        <v>28</v>
      </c>
      <c r="S1" s="36"/>
      <c r="T1" s="36" t="s">
        <v>57</v>
      </c>
      <c r="U1" s="36"/>
      <c r="V1" s="36" t="s">
        <v>29</v>
      </c>
      <c r="W1" s="36"/>
      <c r="X1" s="36" t="s">
        <v>30</v>
      </c>
      <c r="Y1" s="36"/>
      <c r="Z1" s="36" t="s">
        <v>31</v>
      </c>
      <c r="AA1" s="36"/>
      <c r="AB1" s="36" t="s">
        <v>32</v>
      </c>
      <c r="AC1" s="36"/>
      <c r="AD1" s="36" t="s">
        <v>33</v>
      </c>
      <c r="AE1" s="36"/>
      <c r="AF1" s="19" t="s">
        <v>34</v>
      </c>
      <c r="AG1" s="19"/>
      <c r="AH1" s="36" t="s">
        <v>35</v>
      </c>
      <c r="AI1" s="36"/>
      <c r="AJ1" s="36" t="s">
        <v>36</v>
      </c>
      <c r="AK1" s="36"/>
      <c r="AL1" s="36" t="s">
        <v>93</v>
      </c>
      <c r="AM1" s="36"/>
    </row>
    <row r="2" spans="1:39" x14ac:dyDescent="0.25">
      <c r="A2" s="20" t="s">
        <v>92</v>
      </c>
      <c r="B2" s="35" t="s">
        <v>1</v>
      </c>
      <c r="C2" s="35"/>
      <c r="D2" s="35" t="s">
        <v>2</v>
      </c>
      <c r="E2" s="35"/>
      <c r="F2" s="35" t="s">
        <v>3</v>
      </c>
      <c r="G2" s="35"/>
      <c r="H2" s="35" t="s">
        <v>4</v>
      </c>
      <c r="I2" s="35"/>
      <c r="J2" s="35" t="s">
        <v>5</v>
      </c>
      <c r="K2" s="35"/>
      <c r="L2" s="35" t="s">
        <v>6</v>
      </c>
      <c r="M2" s="35"/>
      <c r="N2" s="35" t="s">
        <v>7</v>
      </c>
      <c r="O2" s="35"/>
      <c r="P2" s="35" t="s">
        <v>8</v>
      </c>
      <c r="Q2" s="35"/>
      <c r="R2" s="35" t="s">
        <v>9</v>
      </c>
      <c r="S2" s="35"/>
      <c r="T2" s="35" t="s">
        <v>10</v>
      </c>
      <c r="U2" s="35"/>
      <c r="V2" s="35" t="s">
        <v>11</v>
      </c>
      <c r="W2" s="35"/>
      <c r="X2" s="35" t="s">
        <v>12</v>
      </c>
      <c r="Y2" s="35"/>
      <c r="Z2" s="35" t="s">
        <v>13</v>
      </c>
      <c r="AA2" s="35"/>
      <c r="AB2" s="35" t="s">
        <v>14</v>
      </c>
      <c r="AC2" s="35"/>
      <c r="AD2" s="35" t="s">
        <v>15</v>
      </c>
      <c r="AE2" s="35"/>
      <c r="AF2" s="35" t="s">
        <v>16</v>
      </c>
      <c r="AG2" s="35"/>
      <c r="AH2" s="35" t="s">
        <v>17</v>
      </c>
      <c r="AI2" s="35"/>
      <c r="AJ2" s="35" t="s">
        <v>18</v>
      </c>
      <c r="AK2" s="35"/>
      <c r="AL2" s="35" t="s">
        <v>19</v>
      </c>
      <c r="AM2" s="35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37" t="s">
        <v>115</v>
      </c>
      <c r="C1" s="37"/>
      <c r="D1" s="37" t="s">
        <v>75</v>
      </c>
      <c r="E1" s="37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37" t="s">
        <v>100</v>
      </c>
      <c r="C1" s="37"/>
      <c r="D1" s="37" t="s">
        <v>75</v>
      </c>
      <c r="E1" s="37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25" t="s">
        <v>154</v>
      </c>
      <c r="I2" s="25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27">
        <f t="shared" ref="A3:A41" si="0">A4-1</f>
        <v>1900</v>
      </c>
      <c r="B3" s="25"/>
      <c r="C3" s="25"/>
      <c r="D3" s="25"/>
      <c r="E3" s="25"/>
      <c r="F3" s="25"/>
      <c r="G3" s="25"/>
      <c r="H3" s="3">
        <f>1000 *(I4/I3-1)</f>
        <v>10.758776896942157</v>
      </c>
      <c r="I3" s="26">
        <v>1766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3">
        <f t="shared" ref="H4:H67" si="1">1000 *(I5/I4-1)</f>
        <v>10.084033613445342</v>
      </c>
      <c r="I4" s="26">
        <v>1785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3">
        <f t="shared" si="1"/>
        <v>10.537992235163607</v>
      </c>
      <c r="I5" s="26">
        <v>1803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3">
        <f t="shared" si="1"/>
        <v>9.8792535675082949</v>
      </c>
      <c r="I6" s="26">
        <v>1822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3">
        <f t="shared" si="1"/>
        <v>10.326086956521818</v>
      </c>
      <c r="I7" s="26">
        <v>1840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3">
        <f t="shared" si="1"/>
        <v>9.6826250672403802</v>
      </c>
      <c r="I8" s="26">
        <v>1859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3">
        <f t="shared" si="1"/>
        <v>10.122535961640811</v>
      </c>
      <c r="I9" s="26">
        <v>1877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3">
        <f t="shared" si="1"/>
        <v>9.493670886076</v>
      </c>
      <c r="I10" s="26">
        <v>1896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3">
        <f t="shared" si="1"/>
        <v>9.9268547544408836</v>
      </c>
      <c r="I11" s="26">
        <v>1914</v>
      </c>
    </row>
    <row r="12" spans="1:34" x14ac:dyDescent="0.25">
      <c r="A12" s="27">
        <f t="shared" si="0"/>
        <v>1909</v>
      </c>
      <c r="B12" s="25"/>
      <c r="C12" s="25"/>
      <c r="D12" s="25"/>
      <c r="E12" s="25"/>
      <c r="F12" s="25"/>
      <c r="G12" s="25"/>
      <c r="H12" s="3">
        <f t="shared" si="1"/>
        <v>9.3119503362648626</v>
      </c>
      <c r="I12" s="26">
        <v>1933</v>
      </c>
    </row>
    <row r="13" spans="1:34" x14ac:dyDescent="0.25">
      <c r="A13" s="27">
        <f t="shared" si="0"/>
        <v>1910</v>
      </c>
      <c r="B13" s="25"/>
      <c r="C13" s="25"/>
      <c r="D13" s="25"/>
      <c r="E13" s="25"/>
      <c r="F13" s="25"/>
      <c r="G13" s="25"/>
      <c r="H13" s="3">
        <f t="shared" si="1"/>
        <v>9.7385955920041845</v>
      </c>
      <c r="I13" s="26">
        <v>1951</v>
      </c>
    </row>
    <row r="14" spans="1:34" x14ac:dyDescent="0.25">
      <c r="A14" s="27">
        <f t="shared" si="0"/>
        <v>1911</v>
      </c>
      <c r="B14" s="25"/>
      <c r="C14" s="25"/>
      <c r="D14" s="25"/>
      <c r="E14" s="25"/>
      <c r="F14" s="25"/>
      <c r="G14" s="25"/>
      <c r="H14" s="3">
        <f t="shared" si="1"/>
        <v>9.1370558375634126</v>
      </c>
      <c r="I14" s="26">
        <v>1970</v>
      </c>
    </row>
    <row r="15" spans="1:34" x14ac:dyDescent="0.25">
      <c r="A15" s="27">
        <f t="shared" si="0"/>
        <v>1912</v>
      </c>
      <c r="B15" s="25"/>
      <c r="C15" s="25"/>
      <c r="D15" s="25"/>
      <c r="E15" s="25"/>
      <c r="F15" s="25"/>
      <c r="G15" s="25"/>
      <c r="H15" s="3">
        <f t="shared" si="1"/>
        <v>9.5573440643863528</v>
      </c>
      <c r="I15" s="26">
        <v>1988</v>
      </c>
    </row>
    <row r="16" spans="1:34" x14ac:dyDescent="0.25">
      <c r="A16" s="27">
        <f t="shared" si="0"/>
        <v>1913</v>
      </c>
      <c r="B16" s="25"/>
      <c r="C16" s="25"/>
      <c r="D16" s="25"/>
      <c r="E16" s="25"/>
      <c r="F16" s="25"/>
      <c r="G16" s="25"/>
      <c r="H16" s="3">
        <f t="shared" si="1"/>
        <v>8.9686098654708779</v>
      </c>
      <c r="I16" s="26">
        <v>2007</v>
      </c>
    </row>
    <row r="17" spans="1:9" x14ac:dyDescent="0.25">
      <c r="A17" s="27">
        <f t="shared" si="0"/>
        <v>1914</v>
      </c>
      <c r="B17" s="25"/>
      <c r="C17" s="25"/>
      <c r="D17" s="25"/>
      <c r="E17" s="25"/>
      <c r="F17" s="25"/>
      <c r="G17" s="25"/>
      <c r="H17" s="3">
        <f t="shared" si="1"/>
        <v>9.3827160493826778</v>
      </c>
      <c r="I17" s="26">
        <v>2025</v>
      </c>
    </row>
    <row r="18" spans="1:9" x14ac:dyDescent="0.25">
      <c r="A18" s="27">
        <f t="shared" si="0"/>
        <v>1915</v>
      </c>
      <c r="B18" s="25"/>
      <c r="C18" s="25"/>
      <c r="D18" s="25"/>
      <c r="E18" s="25"/>
      <c r="F18" s="25"/>
      <c r="G18" s="25"/>
      <c r="H18" s="3">
        <f t="shared" si="1"/>
        <v>8.8062622309197369</v>
      </c>
      <c r="I18" s="26">
        <v>2044</v>
      </c>
    </row>
    <row r="19" spans="1:9" x14ac:dyDescent="0.25">
      <c r="A19" s="27">
        <f t="shared" si="0"/>
        <v>1916</v>
      </c>
      <c r="B19" s="25"/>
      <c r="C19" s="25"/>
      <c r="D19" s="25"/>
      <c r="E19" s="25"/>
      <c r="F19" s="25"/>
      <c r="G19" s="25"/>
      <c r="H19" s="3">
        <f t="shared" si="1"/>
        <v>9.2143549951504422</v>
      </c>
      <c r="I19" s="26">
        <v>2062</v>
      </c>
    </row>
    <row r="20" spans="1:9" x14ac:dyDescent="0.25">
      <c r="A20" s="27">
        <f t="shared" si="0"/>
        <v>1917</v>
      </c>
      <c r="B20" s="25"/>
      <c r="C20" s="25"/>
      <c r="D20" s="25"/>
      <c r="E20" s="25"/>
      <c r="F20" s="25"/>
      <c r="G20" s="25"/>
      <c r="H20" s="3">
        <f t="shared" si="1"/>
        <v>8.6496876501682696</v>
      </c>
      <c r="I20" s="26">
        <v>2081</v>
      </c>
    </row>
    <row r="21" spans="1:9" x14ac:dyDescent="0.25">
      <c r="A21" s="27">
        <f t="shared" si="0"/>
        <v>1918</v>
      </c>
      <c r="B21" s="25"/>
      <c r="C21" s="25"/>
      <c r="D21" s="25"/>
      <c r="E21" s="25"/>
      <c r="F21" s="25"/>
      <c r="G21" s="25"/>
      <c r="H21" s="3">
        <f t="shared" si="1"/>
        <v>9.051929490233368</v>
      </c>
      <c r="I21" s="26">
        <v>2099</v>
      </c>
    </row>
    <row r="22" spans="1:9" x14ac:dyDescent="0.25">
      <c r="A22" s="27">
        <f t="shared" si="0"/>
        <v>1919</v>
      </c>
      <c r="B22" s="25"/>
      <c r="C22" s="25"/>
      <c r="D22" s="25"/>
      <c r="E22" s="25"/>
      <c r="F22" s="25"/>
      <c r="G22" s="25"/>
      <c r="H22" s="3">
        <f t="shared" si="1"/>
        <v>8.4985835694051381</v>
      </c>
      <c r="I22" s="26">
        <v>2118</v>
      </c>
    </row>
    <row r="23" spans="1:9" x14ac:dyDescent="0.25">
      <c r="A23" s="27">
        <f t="shared" si="0"/>
        <v>1920</v>
      </c>
      <c r="B23" s="25"/>
      <c r="C23" s="25"/>
      <c r="D23" s="25"/>
      <c r="E23" s="25"/>
      <c r="F23" s="25"/>
      <c r="G23" s="25"/>
      <c r="H23" s="3">
        <f t="shared" si="1"/>
        <v>11.704119850187267</v>
      </c>
      <c r="I23" s="26">
        <v>2136</v>
      </c>
    </row>
    <row r="24" spans="1:9" x14ac:dyDescent="0.25">
      <c r="A24" s="27">
        <f t="shared" si="0"/>
        <v>1921</v>
      </c>
      <c r="B24" s="25"/>
      <c r="C24" s="25"/>
      <c r="D24" s="25"/>
      <c r="E24" s="25"/>
      <c r="F24" s="25"/>
      <c r="G24" s="25"/>
      <c r="H24" s="3">
        <f t="shared" si="1"/>
        <v>11.568718186024896</v>
      </c>
      <c r="I24" s="26">
        <v>2161</v>
      </c>
    </row>
    <row r="25" spans="1:9" x14ac:dyDescent="0.25">
      <c r="A25" s="27">
        <f t="shared" si="0"/>
        <v>1922</v>
      </c>
      <c r="B25" s="25"/>
      <c r="C25" s="25"/>
      <c r="D25" s="25"/>
      <c r="E25" s="25"/>
      <c r="F25" s="25"/>
      <c r="G25" s="25"/>
      <c r="H25" s="3">
        <f t="shared" si="1"/>
        <v>11.893870082342106</v>
      </c>
      <c r="I25" s="26">
        <v>2186</v>
      </c>
    </row>
    <row r="26" spans="1:9" x14ac:dyDescent="0.25">
      <c r="A26" s="27">
        <f t="shared" si="0"/>
        <v>1923</v>
      </c>
      <c r="B26" s="25"/>
      <c r="C26" s="25"/>
      <c r="D26" s="25"/>
      <c r="E26" s="25"/>
      <c r="F26" s="25"/>
      <c r="G26" s="25"/>
      <c r="H26" s="3">
        <f t="shared" si="1"/>
        <v>11.301989150090508</v>
      </c>
      <c r="I26" s="26">
        <v>2212</v>
      </c>
    </row>
    <row r="27" spans="1:9" x14ac:dyDescent="0.25">
      <c r="A27" s="27">
        <f t="shared" si="0"/>
        <v>1924</v>
      </c>
      <c r="B27" s="25"/>
      <c r="C27" s="25"/>
      <c r="D27" s="25"/>
      <c r="E27" s="25"/>
      <c r="F27" s="25"/>
      <c r="G27" s="25"/>
      <c r="H27" s="3">
        <f t="shared" si="1"/>
        <v>11.622708985248087</v>
      </c>
      <c r="I27" s="26">
        <v>2237</v>
      </c>
    </row>
    <row r="28" spans="1:9" x14ac:dyDescent="0.25">
      <c r="A28" s="27">
        <f t="shared" si="0"/>
        <v>1925</v>
      </c>
      <c r="B28" s="25"/>
      <c r="C28" s="25"/>
      <c r="D28" s="25"/>
      <c r="E28" s="25"/>
      <c r="F28" s="25"/>
      <c r="G28" s="25"/>
      <c r="H28" s="3">
        <f t="shared" si="1"/>
        <v>11.489173663278729</v>
      </c>
      <c r="I28" s="26">
        <v>2263</v>
      </c>
    </row>
    <row r="29" spans="1:9" x14ac:dyDescent="0.25">
      <c r="A29" s="27">
        <f t="shared" si="0"/>
        <v>1926</v>
      </c>
      <c r="B29" s="25"/>
      <c r="C29" s="25"/>
      <c r="D29" s="25"/>
      <c r="E29" s="25"/>
      <c r="F29" s="25"/>
      <c r="G29" s="25"/>
      <c r="H29" s="3">
        <f t="shared" si="1"/>
        <v>11.795543905635641</v>
      </c>
      <c r="I29" s="26">
        <v>2289</v>
      </c>
    </row>
    <row r="30" spans="1:9" x14ac:dyDescent="0.25">
      <c r="A30" s="27">
        <f t="shared" si="0"/>
        <v>1927</v>
      </c>
      <c r="B30" s="25"/>
      <c r="C30" s="25"/>
      <c r="D30" s="25"/>
      <c r="E30" s="25"/>
      <c r="F30" s="25"/>
      <c r="G30" s="25"/>
      <c r="H30" s="3">
        <f t="shared" si="1"/>
        <v>11.658031088082943</v>
      </c>
      <c r="I30" s="26">
        <v>2316</v>
      </c>
    </row>
    <row r="31" spans="1:9" x14ac:dyDescent="0.25">
      <c r="A31" s="27">
        <f t="shared" si="0"/>
        <v>1928</v>
      </c>
      <c r="B31" s="25"/>
      <c r="C31" s="25"/>
      <c r="D31" s="25"/>
      <c r="E31" s="25"/>
      <c r="F31" s="25"/>
      <c r="G31" s="25"/>
      <c r="H31" s="3">
        <f t="shared" si="1"/>
        <v>11.523687580025532</v>
      </c>
      <c r="I31" s="26">
        <v>2343</v>
      </c>
    </row>
    <row r="32" spans="1:9" x14ac:dyDescent="0.25">
      <c r="A32" s="27">
        <f t="shared" si="0"/>
        <v>1929</v>
      </c>
      <c r="B32" s="25"/>
      <c r="C32" s="25"/>
      <c r="D32" s="25"/>
      <c r="E32" s="25"/>
      <c r="F32" s="25"/>
      <c r="G32" s="25"/>
      <c r="H32" s="3">
        <f t="shared" si="1"/>
        <v>11.3924050632912</v>
      </c>
      <c r="I32" s="26">
        <v>2370</v>
      </c>
    </row>
    <row r="33" spans="1:34" x14ac:dyDescent="0.25">
      <c r="A33" s="27">
        <f t="shared" si="0"/>
        <v>1930</v>
      </c>
      <c r="B33" s="25"/>
      <c r="C33" s="25"/>
      <c r="D33" s="25"/>
      <c r="E33" s="25"/>
      <c r="F33" s="25"/>
      <c r="G33" s="25"/>
      <c r="H33" s="3">
        <f t="shared" si="1"/>
        <v>11.681268251981569</v>
      </c>
      <c r="I33" s="26">
        <v>2397</v>
      </c>
    </row>
    <row r="34" spans="1:34" x14ac:dyDescent="0.25">
      <c r="A34" s="27">
        <f t="shared" si="0"/>
        <v>1931</v>
      </c>
      <c r="B34" s="25"/>
      <c r="C34" s="25"/>
      <c r="D34" s="25"/>
      <c r="E34" s="25"/>
      <c r="F34" s="25"/>
      <c r="G34" s="25"/>
      <c r="H34" s="3">
        <f t="shared" si="1"/>
        <v>11.546391752577323</v>
      </c>
      <c r="I34" s="26">
        <v>2425</v>
      </c>
    </row>
    <row r="35" spans="1:34" x14ac:dyDescent="0.25">
      <c r="A35" s="27">
        <f t="shared" si="0"/>
        <v>1932</v>
      </c>
      <c r="B35" s="25"/>
      <c r="C35" s="25"/>
      <c r="D35" s="25"/>
      <c r="E35" s="25"/>
      <c r="F35" s="25"/>
      <c r="G35" s="25"/>
      <c r="H35" s="3">
        <f t="shared" si="1"/>
        <v>11.822258459029733</v>
      </c>
      <c r="I35" s="26">
        <v>2453</v>
      </c>
    </row>
    <row r="36" spans="1:34" x14ac:dyDescent="0.25">
      <c r="A36" s="27">
        <f t="shared" si="0"/>
        <v>1933</v>
      </c>
      <c r="B36" s="25"/>
      <c r="C36" s="25"/>
      <c r="D36" s="25"/>
      <c r="E36" s="25"/>
      <c r="F36" s="25"/>
      <c r="G36" s="25"/>
      <c r="H36" s="3">
        <f t="shared" si="1"/>
        <v>11.684125705076598</v>
      </c>
      <c r="I36" s="26">
        <v>2482</v>
      </c>
    </row>
    <row r="37" spans="1:34" x14ac:dyDescent="0.25">
      <c r="A37" s="27">
        <f t="shared" si="0"/>
        <v>1934</v>
      </c>
      <c r="B37" s="25"/>
      <c r="C37" s="25"/>
      <c r="D37" s="25"/>
      <c r="E37" s="25"/>
      <c r="F37" s="25"/>
      <c r="G37" s="25"/>
      <c r="H37" s="3">
        <f t="shared" si="1"/>
        <v>11.549183592194368</v>
      </c>
      <c r="I37" s="26">
        <v>2511</v>
      </c>
    </row>
    <row r="38" spans="1:34" x14ac:dyDescent="0.25">
      <c r="A38" s="27">
        <f t="shared" si="0"/>
        <v>1935</v>
      </c>
      <c r="B38" s="25"/>
      <c r="C38" s="25"/>
      <c r="D38" s="25"/>
      <c r="E38" s="25"/>
      <c r="F38" s="25"/>
      <c r="G38" s="25"/>
      <c r="H38" s="3">
        <f t="shared" si="1"/>
        <v>11.417322834645693</v>
      </c>
      <c r="I38" s="26">
        <v>2540</v>
      </c>
    </row>
    <row r="39" spans="1:34" x14ac:dyDescent="0.25">
      <c r="A39" s="27">
        <f t="shared" si="0"/>
        <v>1936</v>
      </c>
      <c r="B39" s="25"/>
      <c r="C39" s="25"/>
      <c r="D39" s="25"/>
      <c r="E39" s="25"/>
      <c r="F39" s="25"/>
      <c r="G39" s="25"/>
      <c r="H39" s="3">
        <f t="shared" si="1"/>
        <v>11.677695601401306</v>
      </c>
      <c r="I39" s="26">
        <v>2569</v>
      </c>
    </row>
    <row r="40" spans="1:34" x14ac:dyDescent="0.25">
      <c r="A40" s="27">
        <f t="shared" si="0"/>
        <v>1937</v>
      </c>
      <c r="B40" s="25"/>
      <c r="C40" s="25"/>
      <c r="D40" s="25"/>
      <c r="E40" s="25"/>
      <c r="F40" s="25"/>
      <c r="G40" s="25"/>
      <c r="H40" s="3">
        <f t="shared" si="1"/>
        <v>11.542901115813686</v>
      </c>
      <c r="I40" s="26">
        <v>2599</v>
      </c>
    </row>
    <row r="41" spans="1:34" x14ac:dyDescent="0.25">
      <c r="A41" s="27">
        <f t="shared" si="0"/>
        <v>1938</v>
      </c>
      <c r="B41" s="25"/>
      <c r="C41" s="25"/>
      <c r="D41" s="25"/>
      <c r="E41" s="25"/>
      <c r="F41" s="25"/>
      <c r="G41" s="25"/>
      <c r="H41" s="3">
        <f t="shared" si="1"/>
        <v>11.411182959300215</v>
      </c>
      <c r="I41" s="26">
        <v>2629</v>
      </c>
    </row>
    <row r="42" spans="1:34" x14ac:dyDescent="0.25">
      <c r="A42" s="27">
        <f>A43-1</f>
        <v>1939</v>
      </c>
      <c r="B42" s="25"/>
      <c r="C42" s="25"/>
      <c r="D42" s="25"/>
      <c r="E42" s="25"/>
      <c r="F42" s="25"/>
      <c r="G42" s="25"/>
      <c r="H42" s="3">
        <f t="shared" si="1"/>
        <v>11.658518239939797</v>
      </c>
      <c r="I42" s="26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6">
        <v>2690</v>
      </c>
      <c r="AG43" s="26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6">
        <v>2721</v>
      </c>
      <c r="AG44" s="26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6">
        <v>2753</v>
      </c>
      <c r="AG45" s="26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6">
        <v>2785</v>
      </c>
      <c r="AG46" s="26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6">
        <v>2817</v>
      </c>
      <c r="AG47" s="26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6">
        <v>2850</v>
      </c>
      <c r="AG48" s="26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6">
        <v>2883</v>
      </c>
      <c r="AG49" s="26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6">
        <v>2916</v>
      </c>
      <c r="AG50" s="26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6">
        <v>2950</v>
      </c>
      <c r="AG51" s="26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6">
        <v>2955</v>
      </c>
      <c r="AG52" s="26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6">
        <v>3013</v>
      </c>
      <c r="AG53" s="26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6">
        <v>3072</v>
      </c>
      <c r="AG54" s="26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6">
        <v>3132</v>
      </c>
      <c r="AG55" s="26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6">
        <v>3193</v>
      </c>
      <c r="AG56" s="26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6">
        <v>3256</v>
      </c>
      <c r="AG57" s="26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6">
        <v>3322</v>
      </c>
      <c r="AG58" s="26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6">
        <v>3392</v>
      </c>
      <c r="AG59" s="26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6">
        <v>3464</v>
      </c>
      <c r="AG60" s="26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6">
        <v>3539</v>
      </c>
      <c r="AG61" s="26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6">
        <v>3616</v>
      </c>
      <c r="AG62" s="26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6">
        <v>3696</v>
      </c>
      <c r="AG63" s="26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6">
        <v>3778</v>
      </c>
      <c r="AG64" s="26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6">
        <v>3863</v>
      </c>
      <c r="AG65" s="26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6">
        <v>3951</v>
      </c>
      <c r="AG66" s="26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6">
        <v>4042</v>
      </c>
      <c r="AG67" s="26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6">
        <v>4136</v>
      </c>
      <c r="AG68" s="26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6">
        <v>4234</v>
      </c>
      <c r="AG69" s="26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6">
        <v>4334</v>
      </c>
      <c r="AG70" s="26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6">
        <v>4438</v>
      </c>
      <c r="AG71" s="26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6">
        <v>4546</v>
      </c>
      <c r="AG72" s="26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6">
        <v>4658</v>
      </c>
      <c r="AG73" s="26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6">
        <v>4774</v>
      </c>
      <c r="AG74" s="26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6">
        <v>4894</v>
      </c>
      <c r="AG75" s="26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6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6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6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6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6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6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6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6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6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6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6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6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6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6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6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6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6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6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6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6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6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6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6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6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6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6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6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6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6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6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6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6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6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6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6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6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6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6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6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6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37" t="s">
        <v>75</v>
      </c>
      <c r="C1" s="37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37" t="s">
        <v>74</v>
      </c>
      <c r="C1" s="37"/>
      <c r="D1" s="37" t="s">
        <v>75</v>
      </c>
      <c r="E1" s="37"/>
      <c r="G1" s="37" t="s">
        <v>86</v>
      </c>
      <c r="H1" s="37"/>
      <c r="J1" s="37" t="s">
        <v>87</v>
      </c>
      <c r="K1" s="37"/>
      <c r="L1" s="37"/>
      <c r="M1" s="37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37" t="s">
        <v>100</v>
      </c>
      <c r="C1" s="37"/>
      <c r="D1" s="37" t="s">
        <v>75</v>
      </c>
      <c r="E1" s="37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25" t="s">
        <v>153</v>
      </c>
    </row>
    <row r="3" spans="1:34" x14ac:dyDescent="0.25">
      <c r="A3" s="27">
        <f t="shared" ref="A3:A11" si="0">A4-1</f>
        <v>1900</v>
      </c>
      <c r="B3" s="25"/>
      <c r="C3" s="25"/>
      <c r="D3" s="25"/>
      <c r="E3" s="25"/>
      <c r="F3" s="25"/>
      <c r="G3" s="25"/>
      <c r="H3" s="28">
        <f>1000 *(I4/I3 - 1)</f>
        <v>38.09523809523818</v>
      </c>
      <c r="I3" s="26">
        <v>420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28">
        <f t="shared" ref="H4:H67" si="1">1000 *(I5/I4 - 1)</f>
        <v>36.697247706422019</v>
      </c>
      <c r="I4" s="26">
        <v>436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28">
        <f t="shared" si="1"/>
        <v>35.39823008849563</v>
      </c>
      <c r="I5" s="26">
        <v>452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28">
        <f t="shared" si="1"/>
        <v>34.188034188034287</v>
      </c>
      <c r="I6" s="26">
        <v>468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28">
        <f t="shared" si="1"/>
        <v>33.057851239669311</v>
      </c>
      <c r="I7" s="26">
        <v>484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28">
        <f t="shared" si="1"/>
        <v>22.000000000000021</v>
      </c>
      <c r="I8" s="26">
        <v>500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28">
        <f t="shared" si="1"/>
        <v>19.569471624266257</v>
      </c>
      <c r="I9" s="26">
        <v>511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28">
        <f t="shared" si="1"/>
        <v>21.113243761996081</v>
      </c>
      <c r="I10" s="26">
        <v>521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28">
        <f t="shared" si="1"/>
        <v>18.796992481203034</v>
      </c>
      <c r="I11" s="26">
        <v>532</v>
      </c>
    </row>
    <row r="12" spans="1:34" x14ac:dyDescent="0.25">
      <c r="A12" s="27">
        <f>A13-1</f>
        <v>1909</v>
      </c>
      <c r="B12" s="25"/>
      <c r="C12" s="25"/>
      <c r="D12" s="25"/>
      <c r="E12" s="25"/>
      <c r="F12" s="25"/>
      <c r="G12" s="25"/>
      <c r="H12" s="28">
        <f t="shared" si="1"/>
        <v>20.295202952029577</v>
      </c>
      <c r="I12" s="26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8">
        <f t="shared" si="1"/>
        <v>16.274864376130125</v>
      </c>
      <c r="I13" s="26">
        <v>553</v>
      </c>
      <c r="AG13" s="26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8">
        <f t="shared" si="1"/>
        <v>16.014234875444842</v>
      </c>
      <c r="I14" s="26">
        <v>562</v>
      </c>
      <c r="AG14" s="26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8">
        <f t="shared" si="1"/>
        <v>14.010507880910739</v>
      </c>
      <c r="I15" s="26">
        <v>571</v>
      </c>
      <c r="AG15" s="26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8">
        <f t="shared" si="1"/>
        <v>15.544041450777257</v>
      </c>
      <c r="I16" s="26">
        <v>579</v>
      </c>
      <c r="AG16" s="26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8">
        <f t="shared" si="1"/>
        <v>15.306122448979664</v>
      </c>
      <c r="I17" s="26">
        <v>588</v>
      </c>
      <c r="AG17" s="26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8">
        <f t="shared" si="1"/>
        <v>15.075376884422065</v>
      </c>
      <c r="I18" s="26">
        <v>597</v>
      </c>
      <c r="AG18" s="26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8">
        <f t="shared" si="1"/>
        <v>44.55445544554459</v>
      </c>
      <c r="I19" s="26">
        <v>606</v>
      </c>
      <c r="AG19" s="26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8">
        <f t="shared" si="1"/>
        <v>42.654028436019061</v>
      </c>
      <c r="I20" s="26">
        <v>633</v>
      </c>
      <c r="AG20" s="26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8">
        <f t="shared" si="1"/>
        <v>42.424242424242479</v>
      </c>
      <c r="I21" s="26">
        <v>660</v>
      </c>
      <c r="AG21" s="26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8">
        <f t="shared" si="1"/>
        <v>39.244186046511587</v>
      </c>
      <c r="I22" s="26">
        <v>688</v>
      </c>
      <c r="AG22" s="26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8">
        <f t="shared" si="1"/>
        <v>37.762237762237746</v>
      </c>
      <c r="I23" s="26">
        <v>715</v>
      </c>
      <c r="AG23" s="26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8">
        <f t="shared" si="1"/>
        <v>36.388140161724976</v>
      </c>
      <c r="I24" s="26">
        <v>742</v>
      </c>
      <c r="AG24" s="26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8">
        <f t="shared" si="1"/>
        <v>35.110533159947941</v>
      </c>
      <c r="I25" s="26">
        <v>769</v>
      </c>
      <c r="AG25" s="26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8">
        <f t="shared" si="1"/>
        <v>35.175879396984968</v>
      </c>
      <c r="I26" s="26">
        <v>796</v>
      </c>
      <c r="AG26" s="26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8">
        <f t="shared" si="1"/>
        <v>32.766990291262175</v>
      </c>
      <c r="I27" s="26">
        <v>824</v>
      </c>
      <c r="AG27" s="26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8">
        <f t="shared" si="1"/>
        <v>31.727379553466495</v>
      </c>
      <c r="I28" s="26">
        <v>851</v>
      </c>
      <c r="AG28" s="26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8">
        <f t="shared" si="1"/>
        <v>17.084282460136713</v>
      </c>
      <c r="I29" s="26">
        <v>878</v>
      </c>
      <c r="AG29" s="26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8">
        <f t="shared" si="1"/>
        <v>20.156774916013418</v>
      </c>
      <c r="I30" s="26">
        <v>893</v>
      </c>
      <c r="AG30" s="26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8">
        <f t="shared" si="1"/>
        <v>18.660812294182261</v>
      </c>
      <c r="I31" s="26">
        <v>911</v>
      </c>
      <c r="AG31" s="26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8">
        <f t="shared" si="1"/>
        <v>21.55172413793105</v>
      </c>
      <c r="I32" s="26">
        <v>928</v>
      </c>
      <c r="AG32" s="26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8">
        <f t="shared" si="1"/>
        <v>21.097046413502074</v>
      </c>
      <c r="I33" s="26">
        <v>948</v>
      </c>
      <c r="AG33" s="26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8">
        <f t="shared" si="1"/>
        <v>21.694214876033069</v>
      </c>
      <c r="I34" s="26">
        <v>968</v>
      </c>
      <c r="AG34" s="26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8">
        <f t="shared" si="1"/>
        <v>18.200202224469166</v>
      </c>
      <c r="I35" s="26">
        <v>989</v>
      </c>
      <c r="AG35" s="26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8">
        <f t="shared" si="1"/>
        <v>15.888778550148919</v>
      </c>
      <c r="I36" s="26">
        <v>1007</v>
      </c>
      <c r="AG36" s="26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8">
        <f t="shared" si="1"/>
        <v>18.572825024437911</v>
      </c>
      <c r="I37" s="26">
        <v>1023</v>
      </c>
      <c r="AG37" s="26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8">
        <f t="shared" si="1"/>
        <v>15.355086372360827</v>
      </c>
      <c r="I38" s="26">
        <v>1042</v>
      </c>
      <c r="AG38" s="26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8">
        <f t="shared" si="1"/>
        <v>17.013232514177634</v>
      </c>
      <c r="I39" s="26">
        <v>1058</v>
      </c>
      <c r="AG39" s="26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8">
        <f t="shared" si="1"/>
        <v>20.446096654274992</v>
      </c>
      <c r="I40" s="26">
        <v>1076</v>
      </c>
      <c r="AG40" s="26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8">
        <f t="shared" si="1"/>
        <v>21.857923497267784</v>
      </c>
      <c r="I41" s="26">
        <v>1098</v>
      </c>
      <c r="AG41" s="26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8">
        <f t="shared" si="1"/>
        <v>21.390374331550888</v>
      </c>
      <c r="I42" s="26">
        <v>1122</v>
      </c>
      <c r="AG42" s="26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8">
        <f t="shared" si="1"/>
        <v>21.815008726003391</v>
      </c>
      <c r="I43" s="26">
        <v>1146</v>
      </c>
      <c r="AG43" s="26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8">
        <f t="shared" si="1"/>
        <v>20.495303159692611</v>
      </c>
      <c r="I44" s="26">
        <v>1171</v>
      </c>
      <c r="AG44" s="26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8">
        <f t="shared" si="1"/>
        <v>15.062761506276168</v>
      </c>
      <c r="I45" s="26">
        <v>1195</v>
      </c>
      <c r="AG45" s="26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8">
        <f t="shared" si="1"/>
        <v>19.785655399835012</v>
      </c>
      <c r="I46" s="26">
        <v>1213</v>
      </c>
      <c r="AG46" s="26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8">
        <f t="shared" si="1"/>
        <v>19.401778496362265</v>
      </c>
      <c r="I47" s="26">
        <v>1237</v>
      </c>
      <c r="AG47" s="26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8">
        <f t="shared" si="1"/>
        <v>20.618556701030855</v>
      </c>
      <c r="I48" s="26">
        <v>1261</v>
      </c>
      <c r="AG48" s="26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8">
        <f t="shared" si="1"/>
        <v>25.64102564102555</v>
      </c>
      <c r="I49" s="26">
        <v>1287</v>
      </c>
      <c r="AG49" s="26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8">
        <f t="shared" si="1"/>
        <v>24.999999999999911</v>
      </c>
      <c r="I50" s="26">
        <v>1320</v>
      </c>
      <c r="AG50" s="26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8">
        <f t="shared" si="1"/>
        <v>26.607538802660756</v>
      </c>
      <c r="I51" s="26">
        <v>1353</v>
      </c>
      <c r="AG51" s="26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8">
        <f t="shared" si="1"/>
        <v>28.07775377969768</v>
      </c>
      <c r="I52" s="26">
        <v>1389</v>
      </c>
      <c r="AG52" s="26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8">
        <f t="shared" si="1"/>
        <v>29.411764705882248</v>
      </c>
      <c r="I53" s="26">
        <v>1428</v>
      </c>
      <c r="AG53" s="26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8">
        <f t="shared" si="1"/>
        <v>29.251700680272165</v>
      </c>
      <c r="I54" s="26">
        <v>1470</v>
      </c>
      <c r="AG54" s="26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8">
        <f t="shared" si="1"/>
        <v>28.420356906807775</v>
      </c>
      <c r="I55" s="26">
        <v>1513</v>
      </c>
      <c r="AG55" s="26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8">
        <f t="shared" si="1"/>
        <v>33.419023136246786</v>
      </c>
      <c r="I56" s="26">
        <v>1556</v>
      </c>
      <c r="AG56" s="26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8">
        <f t="shared" si="1"/>
        <v>32.338308457711349</v>
      </c>
      <c r="I57" s="26">
        <v>1608</v>
      </c>
      <c r="AG57" s="26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8">
        <f t="shared" si="1"/>
        <v>31.325301204819354</v>
      </c>
      <c r="I58" s="26">
        <v>1660</v>
      </c>
      <c r="AG58" s="26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8">
        <f t="shared" si="1"/>
        <v>33.294392523364415</v>
      </c>
      <c r="I59" s="26">
        <v>1712</v>
      </c>
      <c r="AG59" s="26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8">
        <f t="shared" si="1"/>
        <v>33.352176370830875</v>
      </c>
      <c r="I60" s="26">
        <v>1769</v>
      </c>
      <c r="AG60" s="26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8">
        <f t="shared" si="1"/>
        <v>32.275711159737376</v>
      </c>
      <c r="I61" s="26">
        <v>1828</v>
      </c>
      <c r="AG61" s="26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8">
        <f t="shared" si="1"/>
        <v>33.38632750397452</v>
      </c>
      <c r="I62" s="26">
        <v>1887</v>
      </c>
      <c r="AG62" s="26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8">
        <f t="shared" si="1"/>
        <v>34.35897435897428</v>
      </c>
      <c r="I63" s="26">
        <v>1950</v>
      </c>
      <c r="AG63" s="26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8">
        <f t="shared" si="1"/>
        <v>35.200793257312846</v>
      </c>
      <c r="I64" s="26">
        <v>2017</v>
      </c>
      <c r="AG64" s="26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8">
        <f t="shared" si="1"/>
        <v>34.961685823754692</v>
      </c>
      <c r="I65" s="26">
        <v>2088</v>
      </c>
      <c r="AG65" s="26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8">
        <f t="shared" si="1"/>
        <v>35.168903285516031</v>
      </c>
      <c r="I66" s="26">
        <v>2161</v>
      </c>
      <c r="AG66" s="26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8">
        <f t="shared" si="1"/>
        <v>34.868126955744259</v>
      </c>
      <c r="I67" s="26">
        <v>2237</v>
      </c>
      <c r="AG67" s="26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8">
        <f t="shared" ref="H68:H74" si="4">1000 *(I69/I68 - 1)</f>
        <v>34.989200863930982</v>
      </c>
      <c r="I68" s="26">
        <v>2315</v>
      </c>
      <c r="AG68" s="26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8">
        <f t="shared" si="4"/>
        <v>35.058430717863189</v>
      </c>
      <c r="I69" s="26">
        <v>2396</v>
      </c>
      <c r="AG69" s="26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8">
        <f t="shared" si="4"/>
        <v>35.080645161290391</v>
      </c>
      <c r="I70" s="26">
        <v>2480</v>
      </c>
      <c r="AG70" s="26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8">
        <f t="shared" si="4"/>
        <v>35.060381768601488</v>
      </c>
      <c r="I71" s="26">
        <v>2567</v>
      </c>
      <c r="AG71" s="26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8">
        <f t="shared" si="4"/>
        <v>35.001881821603355</v>
      </c>
      <c r="I72" s="26">
        <v>2657</v>
      </c>
      <c r="AG72" s="26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8">
        <f t="shared" si="4"/>
        <v>34.909090909090999</v>
      </c>
      <c r="I73" s="26">
        <v>2750</v>
      </c>
      <c r="AG73" s="26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8">
        <f t="shared" si="4"/>
        <v>35.137034434293838</v>
      </c>
      <c r="I74" s="26">
        <v>2846</v>
      </c>
      <c r="AG74" s="26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25"/>
      <c r="I75" s="26">
        <v>2946</v>
      </c>
      <c r="AG75" s="26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6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6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6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6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6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6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6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6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6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6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8" t="s">
        <v>90</v>
      </c>
      <c r="C1" s="38"/>
      <c r="D1" s="38"/>
      <c r="E1" s="38"/>
      <c r="I1" s="38" t="s">
        <v>89</v>
      </c>
      <c r="J1" s="38"/>
      <c r="K1" s="38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A62" sqref="AA62"/>
    </sheetView>
  </sheetViews>
  <sheetFormatPr defaultRowHeight="15" x14ac:dyDescent="0.25"/>
  <cols>
    <col min="1" max="1" width="8.85546875" style="1"/>
  </cols>
  <sheetData>
    <row r="2" spans="1:6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25" t="s">
        <v>154</v>
      </c>
      <c r="F2" s="25" t="s">
        <v>153</v>
      </c>
    </row>
    <row r="3" spans="1:6" x14ac:dyDescent="0.25">
      <c r="A3" s="27">
        <f t="shared" ref="A3:A51" si="0">A4-1</f>
        <v>1900</v>
      </c>
      <c r="B3" s="25"/>
      <c r="C3" s="25"/>
      <c r="D3" s="25"/>
      <c r="E3" s="3">
        <f>(F4/F3-1) * 1000</f>
        <v>23.333333333333428</v>
      </c>
      <c r="F3" s="26">
        <v>600</v>
      </c>
    </row>
    <row r="4" spans="1:6" x14ac:dyDescent="0.25">
      <c r="A4" s="27">
        <f t="shared" si="0"/>
        <v>1901</v>
      </c>
      <c r="B4" s="25"/>
      <c r="C4" s="25"/>
      <c r="D4" s="25"/>
      <c r="E4" s="3">
        <f t="shared" ref="E4:E53" si="1">(F5/F4-1) * 1000</f>
        <v>22.801302931596101</v>
      </c>
      <c r="F4" s="26">
        <v>614</v>
      </c>
    </row>
    <row r="5" spans="1:6" x14ac:dyDescent="0.25">
      <c r="A5" s="27">
        <f t="shared" si="0"/>
        <v>1902</v>
      </c>
      <c r="B5" s="25"/>
      <c r="C5" s="25"/>
      <c r="D5" s="25"/>
      <c r="E5" s="3">
        <f t="shared" si="1"/>
        <v>22.292993630573356</v>
      </c>
      <c r="F5" s="26">
        <v>628</v>
      </c>
    </row>
    <row r="6" spans="1:6" x14ac:dyDescent="0.25">
      <c r="A6" s="27">
        <f t="shared" si="0"/>
        <v>1903</v>
      </c>
      <c r="B6" s="25"/>
      <c r="C6" s="25"/>
      <c r="D6" s="25"/>
      <c r="E6" s="3">
        <f t="shared" si="1"/>
        <v>21.80685358255441</v>
      </c>
      <c r="F6" s="26">
        <v>642</v>
      </c>
    </row>
    <row r="7" spans="1:6" x14ac:dyDescent="0.25">
      <c r="A7" s="27">
        <f t="shared" si="0"/>
        <v>1904</v>
      </c>
      <c r="B7" s="25"/>
      <c r="C7" s="25"/>
      <c r="D7" s="25"/>
      <c r="E7" s="3">
        <f t="shared" si="1"/>
        <v>21.341463414634056</v>
      </c>
      <c r="F7" s="26">
        <v>656</v>
      </c>
    </row>
    <row r="8" spans="1:6" x14ac:dyDescent="0.25">
      <c r="A8" s="27">
        <f t="shared" si="0"/>
        <v>1905</v>
      </c>
      <c r="B8" s="25"/>
      <c r="C8" s="25"/>
      <c r="D8" s="25"/>
      <c r="E8" s="3">
        <f t="shared" si="1"/>
        <v>20.895522388059806</v>
      </c>
      <c r="F8" s="26">
        <v>670</v>
      </c>
    </row>
    <row r="9" spans="1:6" x14ac:dyDescent="0.25">
      <c r="A9" s="27">
        <f t="shared" si="0"/>
        <v>1906</v>
      </c>
      <c r="B9" s="25"/>
      <c r="C9" s="25"/>
      <c r="D9" s="25"/>
      <c r="E9" s="3">
        <f t="shared" si="1"/>
        <v>20.467836257309855</v>
      </c>
      <c r="F9" s="26">
        <v>684</v>
      </c>
    </row>
    <row r="10" spans="1:6" x14ac:dyDescent="0.25">
      <c r="A10" s="27">
        <f t="shared" si="0"/>
        <v>1907</v>
      </c>
      <c r="B10" s="25"/>
      <c r="C10" s="25"/>
      <c r="D10" s="25"/>
      <c r="E10" s="3">
        <f t="shared" si="1"/>
        <v>20.057306590257838</v>
      </c>
      <c r="F10" s="26">
        <v>698</v>
      </c>
    </row>
    <row r="11" spans="1:6" x14ac:dyDescent="0.25">
      <c r="A11" s="27">
        <f t="shared" si="0"/>
        <v>1908</v>
      </c>
      <c r="B11" s="25"/>
      <c r="C11" s="25"/>
      <c r="D11" s="25"/>
      <c r="E11" s="3">
        <f t="shared" si="1"/>
        <v>19.662921348314597</v>
      </c>
      <c r="F11" s="26">
        <v>712</v>
      </c>
    </row>
    <row r="12" spans="1:6" x14ac:dyDescent="0.25">
      <c r="A12" s="27">
        <f t="shared" si="0"/>
        <v>1909</v>
      </c>
      <c r="B12" s="25"/>
      <c r="C12" s="25"/>
      <c r="D12" s="25"/>
      <c r="E12" s="3">
        <f t="shared" si="1"/>
        <v>19.283746556473915</v>
      </c>
      <c r="F12" s="26">
        <v>726</v>
      </c>
    </row>
    <row r="13" spans="1:6" x14ac:dyDescent="0.25">
      <c r="A13" s="27">
        <f t="shared" si="0"/>
        <v>1910</v>
      </c>
      <c r="B13" s="25"/>
      <c r="C13" s="25"/>
      <c r="D13" s="25"/>
      <c r="E13" s="3">
        <f t="shared" si="1"/>
        <v>17.567567567567501</v>
      </c>
      <c r="F13" s="26">
        <v>740</v>
      </c>
    </row>
    <row r="14" spans="1:6" x14ac:dyDescent="0.25">
      <c r="A14" s="27">
        <f t="shared" si="0"/>
        <v>1911</v>
      </c>
      <c r="B14" s="25"/>
      <c r="C14" s="25"/>
      <c r="D14" s="25"/>
      <c r="E14" s="3">
        <f t="shared" si="1"/>
        <v>18.592297476759612</v>
      </c>
      <c r="F14" s="26">
        <v>753</v>
      </c>
    </row>
    <row r="15" spans="1:6" x14ac:dyDescent="0.25">
      <c r="A15" s="27">
        <f t="shared" si="0"/>
        <v>1912</v>
      </c>
      <c r="B15" s="25"/>
      <c r="C15" s="25"/>
      <c r="D15" s="25"/>
      <c r="E15" s="3">
        <f t="shared" si="1"/>
        <v>18.25293350717083</v>
      </c>
      <c r="F15" s="26">
        <v>767</v>
      </c>
    </row>
    <row r="16" spans="1:6" x14ac:dyDescent="0.25">
      <c r="A16" s="27">
        <f t="shared" si="0"/>
        <v>1913</v>
      </c>
      <c r="B16" s="25"/>
      <c r="C16" s="25"/>
      <c r="D16" s="25"/>
      <c r="E16" s="3">
        <f t="shared" si="1"/>
        <v>17.925736235595345</v>
      </c>
      <c r="F16" s="26">
        <v>781</v>
      </c>
    </row>
    <row r="17" spans="1:6" x14ac:dyDescent="0.25">
      <c r="A17" s="27">
        <f t="shared" si="0"/>
        <v>1914</v>
      </c>
      <c r="B17" s="25"/>
      <c r="C17" s="25"/>
      <c r="D17" s="25"/>
      <c r="E17" s="3">
        <f t="shared" si="1"/>
        <v>17.610062893081757</v>
      </c>
      <c r="F17" s="26">
        <v>795</v>
      </c>
    </row>
    <row r="18" spans="1:6" x14ac:dyDescent="0.25">
      <c r="A18" s="27">
        <f t="shared" si="0"/>
        <v>1915</v>
      </c>
      <c r="B18" s="25"/>
      <c r="C18" s="25"/>
      <c r="D18" s="25"/>
      <c r="E18" s="3">
        <f t="shared" si="1"/>
        <v>17.305315203955509</v>
      </c>
      <c r="F18" s="26">
        <v>809</v>
      </c>
    </row>
    <row r="19" spans="1:6" x14ac:dyDescent="0.25">
      <c r="A19" s="27">
        <f t="shared" si="0"/>
        <v>1916</v>
      </c>
      <c r="B19" s="25"/>
      <c r="C19" s="25"/>
      <c r="D19" s="25"/>
      <c r="E19" s="3">
        <f t="shared" si="1"/>
        <v>17.010935601458055</v>
      </c>
      <c r="F19" s="26">
        <v>823</v>
      </c>
    </row>
    <row r="20" spans="1:6" x14ac:dyDescent="0.25">
      <c r="A20" s="27">
        <f t="shared" si="0"/>
        <v>1917</v>
      </c>
      <c r="B20" s="25"/>
      <c r="C20" s="25"/>
      <c r="D20" s="25"/>
      <c r="E20" s="3">
        <f t="shared" si="1"/>
        <v>16.726403823178025</v>
      </c>
      <c r="F20" s="26">
        <v>837</v>
      </c>
    </row>
    <row r="21" spans="1:6" x14ac:dyDescent="0.25">
      <c r="A21" s="27">
        <f t="shared" si="0"/>
        <v>1918</v>
      </c>
      <c r="B21" s="25"/>
      <c r="C21" s="25"/>
      <c r="D21" s="25"/>
      <c r="E21" s="3">
        <f t="shared" si="1"/>
        <v>16.451233842538215</v>
      </c>
      <c r="F21" s="26">
        <v>851</v>
      </c>
    </row>
    <row r="22" spans="1:6" x14ac:dyDescent="0.25">
      <c r="A22" s="27">
        <f t="shared" si="0"/>
        <v>1919</v>
      </c>
      <c r="B22" s="25"/>
      <c r="C22" s="25"/>
      <c r="D22" s="25"/>
      <c r="E22" s="3">
        <f t="shared" si="1"/>
        <v>16.184971098265997</v>
      </c>
      <c r="F22" s="26">
        <v>865</v>
      </c>
    </row>
    <row r="23" spans="1:6" x14ac:dyDescent="0.25">
      <c r="A23" s="27">
        <f t="shared" si="0"/>
        <v>1920</v>
      </c>
      <c r="B23" s="25"/>
      <c r="C23" s="25"/>
      <c r="D23" s="25"/>
      <c r="E23" s="3">
        <f t="shared" si="1"/>
        <v>37.542662116040844</v>
      </c>
      <c r="F23" s="26">
        <v>879</v>
      </c>
    </row>
    <row r="24" spans="1:6" x14ac:dyDescent="0.25">
      <c r="A24" s="27">
        <f t="shared" si="0"/>
        <v>1921</v>
      </c>
      <c r="B24" s="25"/>
      <c r="C24" s="25"/>
      <c r="D24" s="25"/>
      <c r="E24" s="3">
        <f t="shared" si="1"/>
        <v>37.280701754385916</v>
      </c>
      <c r="F24" s="26">
        <v>912</v>
      </c>
    </row>
    <row r="25" spans="1:6" x14ac:dyDescent="0.25">
      <c r="A25" s="27">
        <f t="shared" si="0"/>
        <v>1922</v>
      </c>
      <c r="B25" s="25"/>
      <c r="C25" s="25"/>
      <c r="D25" s="25"/>
      <c r="E25" s="3">
        <f t="shared" si="1"/>
        <v>36.997885835095225</v>
      </c>
      <c r="F25" s="26">
        <v>946</v>
      </c>
    </row>
    <row r="26" spans="1:6" x14ac:dyDescent="0.25">
      <c r="A26" s="27">
        <f t="shared" si="0"/>
        <v>1923</v>
      </c>
      <c r="B26" s="25"/>
      <c r="C26" s="25"/>
      <c r="D26" s="25"/>
      <c r="E26" s="3">
        <f t="shared" si="1"/>
        <v>36.697247706422019</v>
      </c>
      <c r="F26" s="26">
        <v>981</v>
      </c>
    </row>
    <row r="27" spans="1:6" x14ac:dyDescent="0.25">
      <c r="A27" s="27">
        <f t="shared" si="0"/>
        <v>1924</v>
      </c>
      <c r="B27" s="25"/>
      <c r="C27" s="25"/>
      <c r="D27" s="25"/>
      <c r="E27" s="3">
        <f t="shared" si="1"/>
        <v>36.381514257620481</v>
      </c>
      <c r="F27" s="26">
        <v>1017</v>
      </c>
    </row>
    <row r="28" spans="1:6" x14ac:dyDescent="0.25">
      <c r="A28" s="27">
        <f t="shared" si="0"/>
        <v>1925</v>
      </c>
      <c r="B28" s="25"/>
      <c r="C28" s="25"/>
      <c r="D28" s="25"/>
      <c r="E28" s="3">
        <f t="shared" si="1"/>
        <v>36.053130929791344</v>
      </c>
      <c r="F28" s="26">
        <v>1054</v>
      </c>
    </row>
    <row r="29" spans="1:6" x14ac:dyDescent="0.25">
      <c r="A29" s="27">
        <f t="shared" si="0"/>
        <v>1926</v>
      </c>
      <c r="B29" s="25"/>
      <c r="C29" s="25"/>
      <c r="D29" s="25"/>
      <c r="E29" s="3">
        <f t="shared" si="1"/>
        <v>35.714285714285808</v>
      </c>
      <c r="F29" s="26">
        <v>1092</v>
      </c>
    </row>
    <row r="30" spans="1:6" x14ac:dyDescent="0.25">
      <c r="A30" s="27">
        <f t="shared" si="0"/>
        <v>1927</v>
      </c>
      <c r="B30" s="25"/>
      <c r="C30" s="25"/>
      <c r="D30" s="25"/>
      <c r="E30" s="3">
        <f t="shared" si="1"/>
        <v>36.251105216622562</v>
      </c>
      <c r="F30" s="26">
        <v>1131</v>
      </c>
    </row>
    <row r="31" spans="1:6" x14ac:dyDescent="0.25">
      <c r="A31" s="27">
        <f t="shared" si="0"/>
        <v>1928</v>
      </c>
      <c r="B31" s="25"/>
      <c r="C31" s="25"/>
      <c r="D31" s="25"/>
      <c r="E31" s="3">
        <f t="shared" si="1"/>
        <v>34.982935153583526</v>
      </c>
      <c r="F31" s="26">
        <v>1172</v>
      </c>
    </row>
    <row r="32" spans="1:6" x14ac:dyDescent="0.25">
      <c r="A32" s="27">
        <f t="shared" si="0"/>
        <v>1929</v>
      </c>
      <c r="B32" s="25"/>
      <c r="C32" s="25"/>
      <c r="D32" s="25"/>
      <c r="E32" s="3">
        <f t="shared" si="1"/>
        <v>35.449299258037968</v>
      </c>
      <c r="F32" s="26">
        <v>1213</v>
      </c>
    </row>
    <row r="33" spans="1:6" x14ac:dyDescent="0.25">
      <c r="A33" s="27">
        <f t="shared" si="0"/>
        <v>1930</v>
      </c>
      <c r="B33" s="25"/>
      <c r="C33" s="25"/>
      <c r="D33" s="25"/>
      <c r="E33" s="3">
        <f t="shared" si="1"/>
        <v>35.031847133758063</v>
      </c>
      <c r="F33" s="26">
        <v>1256</v>
      </c>
    </row>
    <row r="34" spans="1:6" x14ac:dyDescent="0.25">
      <c r="A34" s="27">
        <f t="shared" si="0"/>
        <v>1931</v>
      </c>
      <c r="B34" s="25"/>
      <c r="C34" s="25"/>
      <c r="D34" s="25"/>
      <c r="E34" s="3">
        <f t="shared" si="1"/>
        <v>34.615384615384713</v>
      </c>
      <c r="F34" s="26">
        <v>1300</v>
      </c>
    </row>
    <row r="35" spans="1:6" x14ac:dyDescent="0.25">
      <c r="A35" s="27">
        <f t="shared" si="0"/>
        <v>1932</v>
      </c>
      <c r="B35" s="25"/>
      <c r="C35" s="25"/>
      <c r="D35" s="25"/>
      <c r="E35" s="3">
        <f t="shared" si="1"/>
        <v>34.200743494423811</v>
      </c>
      <c r="F35" s="26">
        <v>1345</v>
      </c>
    </row>
    <row r="36" spans="1:6" x14ac:dyDescent="0.25">
      <c r="A36" s="27">
        <f t="shared" si="0"/>
        <v>1933</v>
      </c>
      <c r="B36" s="25"/>
      <c r="C36" s="25"/>
      <c r="D36" s="25"/>
      <c r="E36" s="3">
        <f t="shared" si="1"/>
        <v>33.788641265276809</v>
      </c>
      <c r="F36" s="26">
        <v>1391</v>
      </c>
    </row>
    <row r="37" spans="1:6" x14ac:dyDescent="0.25">
      <c r="A37" s="27">
        <f t="shared" si="0"/>
        <v>1934</v>
      </c>
      <c r="B37" s="25"/>
      <c r="C37" s="25"/>
      <c r="D37" s="25"/>
      <c r="E37" s="3">
        <f t="shared" si="1"/>
        <v>31.988873435326859</v>
      </c>
      <c r="F37" s="26">
        <v>1438</v>
      </c>
    </row>
    <row r="38" spans="1:6" x14ac:dyDescent="0.25">
      <c r="A38" s="27">
        <f t="shared" si="0"/>
        <v>1935</v>
      </c>
      <c r="B38" s="25"/>
      <c r="C38" s="25"/>
      <c r="D38" s="25"/>
      <c r="E38" s="3">
        <f t="shared" si="1"/>
        <v>24.258760107816801</v>
      </c>
      <c r="F38" s="26">
        <v>1484</v>
      </c>
    </row>
    <row r="39" spans="1:6" x14ac:dyDescent="0.25">
      <c r="A39" s="27">
        <f t="shared" si="0"/>
        <v>1936</v>
      </c>
      <c r="B39" s="25"/>
      <c r="C39" s="25"/>
      <c r="D39" s="25"/>
      <c r="E39" s="3">
        <f t="shared" si="1"/>
        <v>24.999999999999911</v>
      </c>
      <c r="F39" s="26">
        <v>1520</v>
      </c>
    </row>
    <row r="40" spans="1:6" x14ac:dyDescent="0.25">
      <c r="A40" s="27">
        <f t="shared" si="0"/>
        <v>1937</v>
      </c>
      <c r="B40" s="25"/>
      <c r="C40" s="25"/>
      <c r="D40" s="25"/>
      <c r="E40" s="3">
        <f t="shared" si="1"/>
        <v>24.390243902439046</v>
      </c>
      <c r="F40" s="26">
        <v>1558</v>
      </c>
    </row>
    <row r="41" spans="1:6" x14ac:dyDescent="0.25">
      <c r="A41" s="27">
        <f t="shared" si="0"/>
        <v>1938</v>
      </c>
      <c r="B41" s="25"/>
      <c r="C41" s="25"/>
      <c r="D41" s="25"/>
      <c r="E41" s="3">
        <f t="shared" si="1"/>
        <v>23.809523809523725</v>
      </c>
      <c r="F41" s="26">
        <v>1596</v>
      </c>
    </row>
    <row r="42" spans="1:6" x14ac:dyDescent="0.25">
      <c r="A42" s="27">
        <f t="shared" si="0"/>
        <v>1939</v>
      </c>
      <c r="B42" s="25"/>
      <c r="C42" s="25"/>
      <c r="D42" s="25"/>
      <c r="E42" s="3">
        <f t="shared" si="1"/>
        <v>76.499388004895863</v>
      </c>
      <c r="F42" s="26">
        <v>1634</v>
      </c>
    </row>
    <row r="43" spans="1:6" x14ac:dyDescent="0.25">
      <c r="A43" s="27">
        <f t="shared" si="0"/>
        <v>1940</v>
      </c>
      <c r="B43" s="25"/>
      <c r="C43" s="25"/>
      <c r="D43" s="25"/>
      <c r="E43" s="3">
        <f t="shared" si="1"/>
        <v>23.877202956225084</v>
      </c>
      <c r="F43" s="26">
        <v>1759</v>
      </c>
    </row>
    <row r="44" spans="1:6" x14ac:dyDescent="0.25">
      <c r="A44" s="27">
        <f t="shared" si="0"/>
        <v>1941</v>
      </c>
      <c r="B44" s="25"/>
      <c r="C44" s="25"/>
      <c r="D44" s="25"/>
      <c r="E44" s="3">
        <f t="shared" si="1"/>
        <v>23.875624652970551</v>
      </c>
      <c r="F44" s="26">
        <v>1801</v>
      </c>
    </row>
    <row r="45" spans="1:6" x14ac:dyDescent="0.25">
      <c r="A45" s="27">
        <f t="shared" si="0"/>
        <v>1942</v>
      </c>
      <c r="B45" s="25"/>
      <c r="C45" s="25"/>
      <c r="D45" s="25"/>
      <c r="E45" s="3">
        <f t="shared" si="1"/>
        <v>24.403470715835152</v>
      </c>
      <c r="F45" s="26">
        <v>1844</v>
      </c>
    </row>
    <row r="46" spans="1:6" x14ac:dyDescent="0.25">
      <c r="A46" s="27">
        <f t="shared" si="0"/>
        <v>1943</v>
      </c>
      <c r="B46" s="25"/>
      <c r="C46" s="25"/>
      <c r="D46" s="25"/>
      <c r="E46" s="3">
        <f t="shared" si="1"/>
        <v>23.822128110111194</v>
      </c>
      <c r="F46" s="26">
        <v>1889</v>
      </c>
    </row>
    <row r="47" spans="1:6" x14ac:dyDescent="0.25">
      <c r="A47" s="27">
        <f t="shared" si="0"/>
        <v>1944</v>
      </c>
      <c r="B47" s="25"/>
      <c r="C47" s="25"/>
      <c r="D47" s="25"/>
      <c r="E47" s="3">
        <f t="shared" si="1"/>
        <v>24.819027921406445</v>
      </c>
      <c r="F47" s="26">
        <v>1934</v>
      </c>
    </row>
    <row r="48" spans="1:6" x14ac:dyDescent="0.25">
      <c r="A48" s="27">
        <f t="shared" si="0"/>
        <v>1945</v>
      </c>
      <c r="B48" s="25"/>
      <c r="C48" s="25"/>
      <c r="D48" s="25"/>
      <c r="E48" s="3">
        <f t="shared" si="1"/>
        <v>24.217961654894093</v>
      </c>
      <c r="F48" s="26">
        <v>1982</v>
      </c>
    </row>
    <row r="49" spans="1:37" x14ac:dyDescent="0.25">
      <c r="A49" s="27">
        <f t="shared" si="0"/>
        <v>1946</v>
      </c>
      <c r="B49" s="25"/>
      <c r="C49" s="25"/>
      <c r="D49" s="25"/>
      <c r="E49" s="3">
        <f t="shared" si="1"/>
        <v>24.630541871921263</v>
      </c>
      <c r="F49" s="26">
        <v>2030</v>
      </c>
    </row>
    <row r="50" spans="1:37" x14ac:dyDescent="0.25">
      <c r="A50" s="27">
        <f t="shared" si="0"/>
        <v>1947</v>
      </c>
      <c r="B50" s="25"/>
      <c r="C50" s="25"/>
      <c r="D50" s="25"/>
      <c r="E50" s="3">
        <f t="shared" si="1"/>
        <v>24.519230769230795</v>
      </c>
      <c r="F50" s="26">
        <v>2080</v>
      </c>
    </row>
    <row r="51" spans="1:37" x14ac:dyDescent="0.25">
      <c r="A51" s="27">
        <f t="shared" si="0"/>
        <v>1948</v>
      </c>
      <c r="B51" s="25"/>
      <c r="C51" s="25"/>
      <c r="D51" s="25"/>
      <c r="E51" s="3">
        <f t="shared" si="1"/>
        <v>25.340215861098024</v>
      </c>
      <c r="F51" s="26">
        <v>2131</v>
      </c>
    </row>
    <row r="52" spans="1:37" x14ac:dyDescent="0.25">
      <c r="A52" s="27">
        <f>A53-1</f>
        <v>1949</v>
      </c>
      <c r="B52" s="25"/>
      <c r="C52" s="25"/>
      <c r="D52" s="25"/>
      <c r="E52" s="3">
        <f t="shared" si="1"/>
        <v>26.544622425629385</v>
      </c>
      <c r="F52" s="26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6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6">
        <v>2305</v>
      </c>
      <c r="AJ54" s="26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6">
        <v>2370</v>
      </c>
      <c r="AJ55" s="26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6">
        <v>2438</v>
      </c>
      <c r="AJ56" s="26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6">
        <v>2511</v>
      </c>
      <c r="AJ57" s="26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6">
        <v>2587</v>
      </c>
      <c r="AJ58" s="26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6">
        <v>2667</v>
      </c>
      <c r="AJ59" s="26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6">
        <v>2752</v>
      </c>
      <c r="AJ60" s="26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6">
        <v>2840</v>
      </c>
      <c r="AJ61" s="26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6">
        <v>2933</v>
      </c>
      <c r="AJ62" s="26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6">
        <v>3030</v>
      </c>
      <c r="AJ63" s="26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6">
        <v>3132</v>
      </c>
      <c r="AJ64" s="26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6">
        <v>3239</v>
      </c>
      <c r="AJ65" s="26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6">
        <v>3350</v>
      </c>
      <c r="AJ66" s="26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6">
        <v>3466</v>
      </c>
      <c r="AJ67" s="26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6">
        <v>3588</v>
      </c>
      <c r="AJ68" s="26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6">
        <v>3715</v>
      </c>
      <c r="AJ69" s="26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6">
        <v>3846</v>
      </c>
      <c r="AJ70" s="26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6">
        <v>3984</v>
      </c>
      <c r="AJ71" s="26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6">
        <v>4127</v>
      </c>
      <c r="AJ72" s="26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6">
        <v>4277</v>
      </c>
      <c r="AJ73" s="26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6">
        <v>4433</v>
      </c>
      <c r="AJ74" s="26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6">
        <v>4595</v>
      </c>
      <c r="AJ75" s="26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6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6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6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6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6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6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6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6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6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6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6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6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6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6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6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6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6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6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6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6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6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6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6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6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6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6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6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6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6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6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6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6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6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6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6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6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6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6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6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6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6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6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6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6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6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6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6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6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6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6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6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5" x14ac:dyDescent="0.25"/>
  <cols>
    <col min="8" max="8" width="5" style="33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32" t="s">
        <v>73</v>
      </c>
      <c r="B2" s="32" t="s">
        <v>84</v>
      </c>
      <c r="C2" s="32" t="s">
        <v>85</v>
      </c>
      <c r="D2" s="32" t="s">
        <v>84</v>
      </c>
      <c r="E2" s="32" t="s">
        <v>85</v>
      </c>
      <c r="F2" s="32" t="s">
        <v>83</v>
      </c>
      <c r="H2" s="32" t="s">
        <v>73</v>
      </c>
      <c r="I2" s="32" t="s">
        <v>89</v>
      </c>
      <c r="J2" s="32" t="s">
        <v>90</v>
      </c>
      <c r="K2" s="32" t="s">
        <v>88</v>
      </c>
    </row>
    <row r="3" spans="1:11" x14ac:dyDescent="0.25">
      <c r="A3" s="33">
        <v>1897</v>
      </c>
      <c r="B3" s="21">
        <v>46.9</v>
      </c>
      <c r="C3" s="21">
        <v>34.1</v>
      </c>
      <c r="F3">
        <v>0</v>
      </c>
      <c r="H3" s="33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33">
        <v>1898</v>
      </c>
      <c r="B4" s="21">
        <v>46.722299999999997</v>
      </c>
      <c r="C4" s="21">
        <v>33.868000000000002</v>
      </c>
      <c r="F4">
        <v>0</v>
      </c>
      <c r="H4" s="33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33">
        <v>1899</v>
      </c>
      <c r="B5" s="21">
        <v>46.548999999999999</v>
      </c>
      <c r="C5" s="21">
        <v>33.643999999999998</v>
      </c>
      <c r="F5">
        <v>0</v>
      </c>
      <c r="H5" s="33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33">
        <v>1900</v>
      </c>
      <c r="B6" s="21">
        <v>46.384599999999999</v>
      </c>
      <c r="C6" s="21">
        <v>33.436</v>
      </c>
      <c r="F6">
        <v>0</v>
      </c>
      <c r="H6" s="33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33">
        <v>1901</v>
      </c>
      <c r="B7" s="21">
        <v>46.233400000000003</v>
      </c>
      <c r="C7" s="21">
        <v>33.252000000000002</v>
      </c>
      <c r="F7">
        <v>0</v>
      </c>
      <c r="H7" s="33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33">
        <v>1902</v>
      </c>
      <c r="B8" s="21">
        <v>46.1</v>
      </c>
      <c r="C8" s="21">
        <v>33.1</v>
      </c>
      <c r="F8">
        <v>0</v>
      </c>
      <c r="H8" s="33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33">
        <v>1903</v>
      </c>
      <c r="B9" s="21">
        <v>45.969200000000001</v>
      </c>
      <c r="C9" s="21">
        <v>32.962699999999998</v>
      </c>
      <c r="F9">
        <v>0</v>
      </c>
      <c r="H9" s="33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33">
        <v>1904</v>
      </c>
      <c r="B10" s="21">
        <v>45.8354</v>
      </c>
      <c r="C10" s="21">
        <v>32.828000000000003</v>
      </c>
      <c r="F10">
        <v>0</v>
      </c>
      <c r="H10" s="33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33">
        <v>1905</v>
      </c>
      <c r="B11" s="21">
        <v>45.716900000000003</v>
      </c>
      <c r="C11" s="21">
        <v>32.712000000000003</v>
      </c>
      <c r="F11">
        <v>0</v>
      </c>
      <c r="H11" s="33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33">
        <v>1906</v>
      </c>
      <c r="B12" s="21">
        <v>45.632300000000001</v>
      </c>
      <c r="C12" s="21">
        <v>32.630699999999997</v>
      </c>
      <c r="F12">
        <v>0</v>
      </c>
      <c r="H12" s="33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33">
        <v>1907</v>
      </c>
      <c r="B13" s="21">
        <v>45.6</v>
      </c>
      <c r="C13" s="21">
        <v>32.6</v>
      </c>
      <c r="F13">
        <v>0</v>
      </c>
      <c r="H13" s="33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33">
        <v>1908</v>
      </c>
      <c r="B14" s="21">
        <v>45.6</v>
      </c>
      <c r="C14" s="21">
        <v>32.6</v>
      </c>
      <c r="F14">
        <v>0</v>
      </c>
      <c r="H14" s="33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33">
        <v>1909</v>
      </c>
      <c r="B15" s="21">
        <v>45.6</v>
      </c>
      <c r="C15" s="21">
        <v>32.6</v>
      </c>
      <c r="F15">
        <v>0</v>
      </c>
      <c r="H15" s="33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33">
        <v>1910</v>
      </c>
      <c r="B16" s="16">
        <v>45.588999999999999</v>
      </c>
      <c r="C16" s="16">
        <v>32.56</v>
      </c>
      <c r="F16">
        <v>0</v>
      </c>
      <c r="H16" s="33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33">
        <v>1911</v>
      </c>
      <c r="B17" s="16">
        <v>45.557000000000002</v>
      </c>
      <c r="C17" s="16">
        <v>32.445</v>
      </c>
      <c r="F17">
        <v>0</v>
      </c>
      <c r="H17" s="33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33">
        <v>1912</v>
      </c>
      <c r="B18" s="16">
        <v>45.506</v>
      </c>
      <c r="C18" s="16">
        <v>32.262</v>
      </c>
      <c r="F18">
        <v>0</v>
      </c>
      <c r="H18" s="33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33">
        <v>1913</v>
      </c>
      <c r="B19" s="16">
        <v>45.439</v>
      </c>
      <c r="C19" s="16">
        <v>32.020000000000003</v>
      </c>
      <c r="F19">
        <v>0</v>
      </c>
      <c r="H19" s="33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33">
        <v>1914</v>
      </c>
      <c r="B20" s="16">
        <v>45.356999999999999</v>
      </c>
      <c r="C20" s="16">
        <v>31.727</v>
      </c>
      <c r="F20">
        <v>0</v>
      </c>
      <c r="H20" s="33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33">
        <v>1915</v>
      </c>
      <c r="B21" s="16">
        <v>45.262999999999998</v>
      </c>
      <c r="C21" s="16">
        <v>31.390999999999998</v>
      </c>
      <c r="F21">
        <v>0</v>
      </c>
      <c r="H21" s="33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33">
        <v>1916</v>
      </c>
      <c r="B22" s="16">
        <v>45.158999999999999</v>
      </c>
      <c r="C22" s="16">
        <v>31.018999999999998</v>
      </c>
      <c r="F22">
        <v>0</v>
      </c>
      <c r="H22" s="33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33">
        <v>1917</v>
      </c>
      <c r="B23" s="16">
        <v>45.046999999999997</v>
      </c>
      <c r="C23" s="16">
        <v>30.619</v>
      </c>
      <c r="F23">
        <v>0</v>
      </c>
      <c r="H23" s="33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33">
        <v>1918</v>
      </c>
      <c r="B24" s="16">
        <v>44.929000000000002</v>
      </c>
      <c r="C24" s="16">
        <v>30.199000000000002</v>
      </c>
      <c r="F24">
        <v>0</v>
      </c>
      <c r="H24" s="33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33">
        <v>1919</v>
      </c>
      <c r="B25" s="16">
        <v>44.808</v>
      </c>
      <c r="C25" s="16">
        <v>29.768000000000001</v>
      </c>
      <c r="F25">
        <v>0</v>
      </c>
      <c r="H25" s="33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33">
        <v>1920</v>
      </c>
      <c r="B26" s="16">
        <v>44.685000000000002</v>
      </c>
      <c r="C26" s="16">
        <v>29.332000000000001</v>
      </c>
      <c r="F26">
        <v>0</v>
      </c>
      <c r="H26" s="33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33">
        <v>1921</v>
      </c>
      <c r="B27" s="16">
        <v>44.561999999999998</v>
      </c>
      <c r="C27" s="16">
        <v>28.901</v>
      </c>
      <c r="F27">
        <v>0</v>
      </c>
      <c r="H27" s="33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33">
        <v>1922</v>
      </c>
      <c r="B28" s="16">
        <v>44.442</v>
      </c>
      <c r="C28" s="16">
        <v>28.481000000000002</v>
      </c>
      <c r="F28">
        <v>0</v>
      </c>
      <c r="H28" s="33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33">
        <v>1923</v>
      </c>
      <c r="B29" s="16">
        <v>44.326999999999998</v>
      </c>
      <c r="C29" s="16">
        <v>28.081</v>
      </c>
      <c r="F29">
        <v>0</v>
      </c>
      <c r="H29" s="33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33">
        <v>1924</v>
      </c>
      <c r="B30" s="16">
        <v>44.22</v>
      </c>
      <c r="C30" s="16">
        <v>27.709</v>
      </c>
      <c r="F30">
        <v>0</v>
      </c>
      <c r="H30" s="33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33">
        <v>1925</v>
      </c>
      <c r="B31" s="16">
        <v>44.121000000000002</v>
      </c>
      <c r="C31" s="16">
        <v>27.373000000000001</v>
      </c>
      <c r="F31">
        <v>0</v>
      </c>
      <c r="H31" s="33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33">
        <v>1926</v>
      </c>
      <c r="B32" s="16">
        <v>44.033000000000001</v>
      </c>
      <c r="C32" s="16">
        <v>27.08</v>
      </c>
      <c r="F32">
        <v>0</v>
      </c>
      <c r="H32" s="33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33">
        <v>1927</v>
      </c>
      <c r="B33" s="16">
        <v>43.96</v>
      </c>
      <c r="C33" s="16">
        <v>26.838000000000001</v>
      </c>
      <c r="F33">
        <v>0</v>
      </c>
      <c r="H33" s="33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33">
        <v>1928</v>
      </c>
      <c r="B34" s="16">
        <v>43.901000000000003</v>
      </c>
      <c r="C34" s="16">
        <v>26.655000000000001</v>
      </c>
      <c r="F34">
        <v>0</v>
      </c>
      <c r="H34" s="33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33">
        <v>1929</v>
      </c>
      <c r="B35" s="16">
        <v>43.860999999999997</v>
      </c>
      <c r="C35" s="16">
        <v>26.54</v>
      </c>
      <c r="F35">
        <v>0</v>
      </c>
      <c r="H35" s="33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33">
        <v>1930</v>
      </c>
      <c r="B36" s="21">
        <v>43.842399999999998</v>
      </c>
      <c r="C36" s="21">
        <v>26.5</v>
      </c>
      <c r="F36">
        <v>0</v>
      </c>
      <c r="H36" s="33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33">
        <v>1931</v>
      </c>
      <c r="B37" s="21">
        <v>43.826500000000003</v>
      </c>
      <c r="C37" s="21">
        <v>26.5</v>
      </c>
      <c r="F37">
        <v>0</v>
      </c>
      <c r="H37" s="33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33">
        <v>1932</v>
      </c>
      <c r="B38" s="21">
        <v>43.8</v>
      </c>
      <c r="C38" s="21">
        <v>26.5</v>
      </c>
      <c r="F38">
        <v>0</v>
      </c>
      <c r="H38" s="33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33">
        <v>1933</v>
      </c>
      <c r="B39" s="21">
        <v>43.715699999999998</v>
      </c>
      <c r="C39" s="21">
        <v>26.235499999999998</v>
      </c>
      <c r="F39">
        <v>0</v>
      </c>
      <c r="H39" s="33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33">
        <v>1934</v>
      </c>
      <c r="B40" s="21">
        <v>43.564100000000003</v>
      </c>
      <c r="C40" s="21">
        <v>25.578399999999998</v>
      </c>
      <c r="F40">
        <v>0</v>
      </c>
      <c r="H40" s="33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33">
        <v>1935</v>
      </c>
      <c r="B41" s="21">
        <v>43.3947</v>
      </c>
      <c r="C41" s="21">
        <v>24.733599999999999</v>
      </c>
      <c r="F41">
        <v>0</v>
      </c>
      <c r="H41" s="33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33">
        <v>1936</v>
      </c>
      <c r="B42" s="21">
        <v>43.256900000000002</v>
      </c>
      <c r="C42" s="21">
        <v>23.905899999999999</v>
      </c>
      <c r="F42">
        <v>0</v>
      </c>
      <c r="H42" s="33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33">
        <v>1937</v>
      </c>
      <c r="B43" s="21">
        <v>43.2</v>
      </c>
      <c r="C43" s="21">
        <v>23.3</v>
      </c>
      <c r="F43">
        <v>0</v>
      </c>
      <c r="H43" s="33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33">
        <v>1938</v>
      </c>
      <c r="B44" s="21">
        <v>43.217199999999998</v>
      </c>
      <c r="C44" s="21">
        <v>22.933700000000002</v>
      </c>
      <c r="F44">
        <v>0</v>
      </c>
      <c r="H44" s="33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33">
        <v>1939</v>
      </c>
      <c r="B45" s="21">
        <v>43.2637</v>
      </c>
      <c r="C45" s="21">
        <v>22.649000000000001</v>
      </c>
      <c r="F45">
        <v>0</v>
      </c>
      <c r="H45" s="33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33">
        <v>1940</v>
      </c>
      <c r="B46" s="21">
        <v>43.331600000000002</v>
      </c>
      <c r="C46" s="21">
        <v>22.387499999999999</v>
      </c>
      <c r="F46">
        <v>0</v>
      </c>
      <c r="H46" s="33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33">
        <v>1941</v>
      </c>
      <c r="B47" s="21">
        <v>43.4129</v>
      </c>
      <c r="C47" s="21">
        <v>22.090699999999998</v>
      </c>
      <c r="F47">
        <v>0</v>
      </c>
      <c r="H47" s="33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33">
        <v>1942</v>
      </c>
      <c r="B48" s="21">
        <v>43.5</v>
      </c>
      <c r="C48" s="21">
        <v>21.7</v>
      </c>
      <c r="F48">
        <v>0</v>
      </c>
      <c r="H48" s="33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33">
        <v>1943</v>
      </c>
      <c r="B49" s="21">
        <v>43.594200000000001</v>
      </c>
      <c r="C49" s="21">
        <v>21.0093</v>
      </c>
      <c r="F49">
        <v>0</v>
      </c>
      <c r="H49" s="33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33">
        <v>1944</v>
      </c>
      <c r="B50" s="21">
        <v>43.709699999999998</v>
      </c>
      <c r="C50" s="21">
        <v>20.016400000000001</v>
      </c>
      <c r="F50">
        <v>0</v>
      </c>
      <c r="H50" s="33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33">
        <v>1945</v>
      </c>
      <c r="B51" s="21">
        <v>43.858199999999997</v>
      </c>
      <c r="C51" s="21">
        <v>18.968900000000001</v>
      </c>
      <c r="F51">
        <v>0</v>
      </c>
      <c r="H51" s="33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33">
        <v>1946</v>
      </c>
      <c r="B52" s="21">
        <v>44.051200000000001</v>
      </c>
      <c r="C52" s="21">
        <v>18.1143</v>
      </c>
      <c r="F52">
        <v>0</v>
      </c>
      <c r="H52" s="33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33">
        <v>1947</v>
      </c>
      <c r="B53" s="21">
        <v>44.3</v>
      </c>
      <c r="C53" s="21">
        <v>17.7</v>
      </c>
      <c r="F53">
        <v>0</v>
      </c>
      <c r="H53" s="33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33">
        <v>1948</v>
      </c>
      <c r="B54" s="21">
        <v>45.072400000000002</v>
      </c>
      <c r="C54" s="21">
        <v>17.614999999999998</v>
      </c>
      <c r="F54">
        <v>0</v>
      </c>
      <c r="H54" s="33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33">
        <v>1949</v>
      </c>
      <c r="B55" s="21">
        <v>46.508400000000002</v>
      </c>
      <c r="C55" s="21">
        <v>17.567</v>
      </c>
      <c r="F55">
        <v>0</v>
      </c>
      <c r="H55" s="33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33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33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33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33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33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33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33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33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33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33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33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33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33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33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33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33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33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33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33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33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33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33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33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33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33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33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33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33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33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33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33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33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33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33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33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33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33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33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33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33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33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33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33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33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33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33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33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33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33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33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33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33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33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33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33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33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33">
        <f>A83+1</f>
        <v>1978</v>
      </c>
      <c r="D84" s="3">
        <v>37.4</v>
      </c>
      <c r="E84" s="3">
        <v>7.4</v>
      </c>
      <c r="F84">
        <v>1</v>
      </c>
      <c r="H84" s="33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33">
        <f t="shared" ref="A85:A129" si="6">A84+1</f>
        <v>1979</v>
      </c>
      <c r="D85" s="3">
        <v>36.200000000000003</v>
      </c>
      <c r="E85" s="3">
        <v>7.1</v>
      </c>
      <c r="F85">
        <v>1</v>
      </c>
      <c r="H85" s="33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33">
        <f t="shared" si="6"/>
        <v>1980</v>
      </c>
      <c r="D86" s="3">
        <v>35</v>
      </c>
      <c r="E86" s="3">
        <v>6.9</v>
      </c>
      <c r="F86">
        <v>1</v>
      </c>
      <c r="H86" s="33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33">
        <f t="shared" si="6"/>
        <v>1981</v>
      </c>
      <c r="D87" s="3">
        <v>34.299999999999997</v>
      </c>
      <c r="E87" s="3">
        <v>6.7</v>
      </c>
      <c r="F87">
        <v>1</v>
      </c>
      <c r="H87" s="33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33">
        <f t="shared" si="6"/>
        <v>1982</v>
      </c>
      <c r="D88" s="3">
        <v>33.9</v>
      </c>
      <c r="E88" s="3">
        <v>6.6</v>
      </c>
      <c r="F88">
        <v>1</v>
      </c>
      <c r="H88" s="33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33">
        <f t="shared" si="6"/>
        <v>1983</v>
      </c>
      <c r="D89" s="3">
        <v>33.4</v>
      </c>
      <c r="E89" s="3">
        <v>6.5</v>
      </c>
      <c r="F89">
        <v>1</v>
      </c>
      <c r="H89" s="33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33">
        <f t="shared" si="6"/>
        <v>1984</v>
      </c>
      <c r="D90" s="3">
        <v>33.1</v>
      </c>
      <c r="E90" s="3">
        <v>6.4</v>
      </c>
      <c r="F90">
        <v>1</v>
      </c>
      <c r="H90" s="33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33">
        <f t="shared" si="6"/>
        <v>1985</v>
      </c>
      <c r="D91" s="3">
        <v>32.700000000000003</v>
      </c>
      <c r="E91" s="3">
        <v>6.3</v>
      </c>
      <c r="F91">
        <v>1</v>
      </c>
      <c r="H91" s="33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33">
        <f t="shared" si="6"/>
        <v>1986</v>
      </c>
      <c r="D92" s="3">
        <v>32.299999999999997</v>
      </c>
      <c r="E92" s="3">
        <v>6.2</v>
      </c>
      <c r="F92">
        <v>1</v>
      </c>
      <c r="H92" s="33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33">
        <f t="shared" si="6"/>
        <v>1987</v>
      </c>
      <c r="D93" s="3">
        <v>31.4</v>
      </c>
      <c r="E93" s="3">
        <v>6.1</v>
      </c>
      <c r="F93">
        <v>1</v>
      </c>
      <c r="H93" s="33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33">
        <f t="shared" si="6"/>
        <v>1988</v>
      </c>
      <c r="D94" s="3">
        <v>30.4</v>
      </c>
      <c r="E94" s="3">
        <v>6.1</v>
      </c>
      <c r="F94">
        <v>1</v>
      </c>
      <c r="H94" s="33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33">
        <f t="shared" si="6"/>
        <v>1989</v>
      </c>
      <c r="D95" s="3">
        <v>29.9</v>
      </c>
      <c r="E95" s="3">
        <v>6.2</v>
      </c>
      <c r="F95">
        <v>1</v>
      </c>
      <c r="H95" s="33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33">
        <f t="shared" si="6"/>
        <v>1990</v>
      </c>
      <c r="D96" s="3">
        <v>29.4</v>
      </c>
      <c r="E96" s="3">
        <v>6.2</v>
      </c>
      <c r="F96">
        <v>1</v>
      </c>
      <c r="H96" s="33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33">
        <f t="shared" si="6"/>
        <v>1991</v>
      </c>
      <c r="D97" s="3">
        <v>29.1</v>
      </c>
      <c r="E97" s="3">
        <v>6.1</v>
      </c>
      <c r="F97">
        <v>1</v>
      </c>
      <c r="H97" s="33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33">
        <f t="shared" si="6"/>
        <v>1992</v>
      </c>
      <c r="D98" s="3">
        <v>28.7</v>
      </c>
      <c r="E98" s="3">
        <v>6</v>
      </c>
      <c r="F98">
        <v>1</v>
      </c>
      <c r="H98" s="33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33">
        <f t="shared" si="6"/>
        <v>1993</v>
      </c>
      <c r="D99" s="3">
        <v>28.3</v>
      </c>
      <c r="E99" s="3">
        <v>5.9</v>
      </c>
      <c r="F99">
        <v>1</v>
      </c>
      <c r="H99" s="33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33">
        <f t="shared" si="6"/>
        <v>1994</v>
      </c>
      <c r="D100" s="3">
        <v>27.7</v>
      </c>
      <c r="E100" s="3">
        <v>5.8</v>
      </c>
      <c r="F100">
        <v>1</v>
      </c>
      <c r="H100" s="33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33">
        <f t="shared" si="6"/>
        <v>1995</v>
      </c>
      <c r="D101" s="3">
        <v>27.1</v>
      </c>
      <c r="E101" s="3">
        <v>5.7</v>
      </c>
      <c r="F101">
        <v>1</v>
      </c>
      <c r="H101" s="33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33">
        <f t="shared" si="6"/>
        <v>1996</v>
      </c>
      <c r="D102" s="3">
        <v>26.4</v>
      </c>
      <c r="E102" s="3">
        <v>5.6</v>
      </c>
      <c r="F102">
        <v>1</v>
      </c>
      <c r="H102" s="33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33">
        <f t="shared" si="6"/>
        <v>1997</v>
      </c>
      <c r="D103" s="3">
        <v>25.8</v>
      </c>
      <c r="E103" s="3">
        <v>5.6</v>
      </c>
      <c r="F103">
        <v>1</v>
      </c>
      <c r="H103" s="33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33">
        <f t="shared" si="6"/>
        <v>1998</v>
      </c>
      <c r="D104" s="3">
        <v>25.1</v>
      </c>
      <c r="E104" s="3">
        <v>5.5</v>
      </c>
      <c r="F104">
        <v>1</v>
      </c>
      <c r="H104" s="33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33">
        <f t="shared" si="6"/>
        <v>1999</v>
      </c>
      <c r="D105" s="3">
        <v>24.6</v>
      </c>
      <c r="E105" s="3">
        <v>5.5</v>
      </c>
      <c r="F105">
        <v>1</v>
      </c>
      <c r="H105" s="33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33">
        <f t="shared" si="6"/>
        <v>2000</v>
      </c>
      <c r="D106" s="3">
        <v>24.2</v>
      </c>
      <c r="E106" s="3">
        <v>5.5</v>
      </c>
      <c r="F106">
        <v>1</v>
      </c>
      <c r="H106" s="33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33">
        <f t="shared" si="6"/>
        <v>2001</v>
      </c>
      <c r="D107" s="3">
        <v>23.8</v>
      </c>
      <c r="E107" s="3">
        <v>5.4</v>
      </c>
      <c r="F107">
        <v>1</v>
      </c>
      <c r="H107" s="33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33">
        <f t="shared" si="6"/>
        <v>2002</v>
      </c>
      <c r="D108" s="3">
        <v>23.4</v>
      </c>
      <c r="E108" s="3">
        <v>5.5</v>
      </c>
      <c r="F108">
        <v>1</v>
      </c>
      <c r="H108" s="33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33">
        <f t="shared" si="6"/>
        <v>2003</v>
      </c>
      <c r="D109" s="3">
        <v>22.8</v>
      </c>
      <c r="E109" s="3">
        <v>5.5</v>
      </c>
      <c r="F109">
        <v>1</v>
      </c>
      <c r="H109" s="33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33">
        <f t="shared" si="6"/>
        <v>2004</v>
      </c>
      <c r="D110" s="3">
        <v>22.4</v>
      </c>
      <c r="E110" s="3">
        <v>5.5</v>
      </c>
      <c r="F110">
        <v>1</v>
      </c>
      <c r="H110" s="33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33">
        <f t="shared" si="6"/>
        <v>2005</v>
      </c>
      <c r="D111" s="3">
        <v>21.9</v>
      </c>
      <c r="E111" s="3">
        <v>5.5</v>
      </c>
      <c r="F111">
        <v>1</v>
      </c>
      <c r="H111" s="33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33">
        <f t="shared" si="6"/>
        <v>2006</v>
      </c>
      <c r="D112" s="3">
        <v>21.5</v>
      </c>
      <c r="E112" s="3">
        <v>5.6</v>
      </c>
      <c r="F112">
        <v>1</v>
      </c>
      <c r="H112" s="33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33">
        <f t="shared" si="6"/>
        <v>2007</v>
      </c>
      <c r="D113" s="3">
        <v>21.1</v>
      </c>
      <c r="E113" s="3">
        <v>5.6</v>
      </c>
      <c r="F113">
        <v>1</v>
      </c>
      <c r="H113" s="33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33">
        <f t="shared" si="6"/>
        <v>2008</v>
      </c>
      <c r="D114" s="3">
        <v>20.8</v>
      </c>
      <c r="E114" s="3">
        <v>5.7</v>
      </c>
      <c r="F114">
        <v>1</v>
      </c>
      <c r="H114" s="33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33">
        <f t="shared" si="6"/>
        <v>2009</v>
      </c>
      <c r="D115" s="3">
        <v>20.6</v>
      </c>
      <c r="E115" s="3">
        <v>5.7</v>
      </c>
      <c r="F115">
        <v>1</v>
      </c>
      <c r="H115" s="33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33">
        <f t="shared" si="6"/>
        <v>2010</v>
      </c>
      <c r="D116" s="3">
        <v>20.3</v>
      </c>
      <c r="E116" s="3">
        <v>5.7</v>
      </c>
      <c r="F116">
        <v>1</v>
      </c>
      <c r="H116" s="33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33">
        <f t="shared" si="6"/>
        <v>2011</v>
      </c>
      <c r="D117" s="3">
        <v>20.100000000000001</v>
      </c>
      <c r="E117" s="3">
        <v>5.7</v>
      </c>
      <c r="F117">
        <v>1</v>
      </c>
      <c r="H117" s="33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33">
        <f t="shared" si="6"/>
        <v>2012</v>
      </c>
      <c r="D118" s="3">
        <v>19.899999999999999</v>
      </c>
      <c r="E118" s="3">
        <v>5.7</v>
      </c>
      <c r="F118">
        <v>1</v>
      </c>
      <c r="H118" s="33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33">
        <f t="shared" si="6"/>
        <v>2013</v>
      </c>
      <c r="D119" s="3">
        <v>19.600000000000001</v>
      </c>
      <c r="E119" s="3">
        <v>5.7</v>
      </c>
      <c r="F119">
        <v>1</v>
      </c>
      <c r="H119" s="33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33">
        <f t="shared" si="6"/>
        <v>2014</v>
      </c>
      <c r="D120" s="3">
        <v>19</v>
      </c>
      <c r="E120" s="3">
        <v>5.7</v>
      </c>
      <c r="F120">
        <v>1</v>
      </c>
      <c r="H120" s="33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33">
        <f t="shared" si="6"/>
        <v>2015</v>
      </c>
      <c r="D121" s="3">
        <v>18.2</v>
      </c>
      <c r="E121" s="3">
        <v>5.8</v>
      </c>
      <c r="F121">
        <v>1</v>
      </c>
      <c r="H121" s="33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33">
        <f t="shared" si="6"/>
        <v>2016</v>
      </c>
      <c r="D122" s="3">
        <v>17.7</v>
      </c>
      <c r="E122" s="3">
        <v>5.9</v>
      </c>
      <c r="F122">
        <v>1</v>
      </c>
      <c r="H122" s="33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33">
        <f t="shared" si="6"/>
        <v>2017</v>
      </c>
      <c r="D123" s="3">
        <v>17.2</v>
      </c>
      <c r="E123" s="3">
        <v>6</v>
      </c>
      <c r="F123">
        <v>1</v>
      </c>
      <c r="H123" s="33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33">
        <f t="shared" si="6"/>
        <v>2018</v>
      </c>
      <c r="D124" s="3">
        <v>17</v>
      </c>
      <c r="E124" s="3">
        <v>6.1</v>
      </c>
      <c r="F124">
        <v>1</v>
      </c>
      <c r="H124" s="33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33">
        <f t="shared" si="6"/>
        <v>2019</v>
      </c>
      <c r="D125" s="3">
        <v>16.899999999999999</v>
      </c>
      <c r="E125" s="3">
        <v>6.1</v>
      </c>
      <c r="F125">
        <v>1</v>
      </c>
      <c r="H125" s="33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33">
        <f t="shared" si="6"/>
        <v>2020</v>
      </c>
      <c r="D126" s="3">
        <v>16.600000000000001</v>
      </c>
      <c r="E126" s="3">
        <v>8.4</v>
      </c>
      <c r="F126">
        <v>1</v>
      </c>
      <c r="H126" s="33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33">
        <f t="shared" si="6"/>
        <v>2021</v>
      </c>
      <c r="D127" s="3">
        <v>16.399999999999999</v>
      </c>
      <c r="E127" s="3">
        <v>9</v>
      </c>
      <c r="F127">
        <v>1</v>
      </c>
      <c r="H127" s="33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33">
        <f t="shared" si="6"/>
        <v>2022</v>
      </c>
      <c r="D128" s="3">
        <v>16</v>
      </c>
      <c r="E128" s="3">
        <v>6.5</v>
      </c>
      <c r="F128">
        <v>1</v>
      </c>
      <c r="H128" s="33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33">
        <f t="shared" si="6"/>
        <v>2023</v>
      </c>
      <c r="D129" s="3">
        <v>15.7</v>
      </c>
      <c r="E129" s="3">
        <v>6.2</v>
      </c>
      <c r="F129">
        <v>1</v>
      </c>
      <c r="H129" s="33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13" sqref="AK13"/>
    </sheetView>
  </sheetViews>
  <sheetFormatPr defaultRowHeight="15" x14ac:dyDescent="0.25"/>
  <cols>
    <col min="8" max="8" width="5" style="3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160</v>
      </c>
      <c r="E1" s="37"/>
    </row>
    <row r="2" spans="1:11" x14ac:dyDescent="0.25">
      <c r="A2" s="30" t="s">
        <v>73</v>
      </c>
      <c r="B2" s="30" t="s">
        <v>84</v>
      </c>
      <c r="C2" s="30" t="s">
        <v>85</v>
      </c>
      <c r="D2" s="30" t="s">
        <v>84</v>
      </c>
      <c r="E2" s="30" t="s">
        <v>85</v>
      </c>
      <c r="F2" s="30" t="s">
        <v>163</v>
      </c>
      <c r="H2" s="30" t="s">
        <v>73</v>
      </c>
      <c r="I2" s="30" t="s">
        <v>89</v>
      </c>
      <c r="J2" s="30" t="s">
        <v>90</v>
      </c>
      <c r="K2" s="30" t="s">
        <v>88</v>
      </c>
    </row>
    <row r="3" spans="1:11" x14ac:dyDescent="0.25">
      <c r="A3" s="31">
        <v>1897</v>
      </c>
      <c r="B3" s="21">
        <v>46.9</v>
      </c>
      <c r="C3" s="21">
        <v>34.1</v>
      </c>
      <c r="F3">
        <v>0</v>
      </c>
      <c r="H3" s="3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31">
        <v>1898</v>
      </c>
      <c r="B4" s="21">
        <v>46.722299999999997</v>
      </c>
      <c r="C4" s="21">
        <v>33.868000000000002</v>
      </c>
      <c r="F4">
        <v>0</v>
      </c>
      <c r="H4" s="3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31">
        <v>1899</v>
      </c>
      <c r="B5" s="21">
        <v>46.548999999999999</v>
      </c>
      <c r="C5" s="21">
        <v>33.643999999999998</v>
      </c>
      <c r="F5">
        <v>0</v>
      </c>
      <c r="H5" s="3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31">
        <v>1900</v>
      </c>
      <c r="B6" s="21">
        <v>46.384599999999999</v>
      </c>
      <c r="C6" s="21">
        <v>33.436</v>
      </c>
      <c r="F6">
        <v>0</v>
      </c>
      <c r="H6" s="3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31">
        <v>1901</v>
      </c>
      <c r="B7" s="21">
        <v>46.233400000000003</v>
      </c>
      <c r="C7" s="21">
        <v>33.252000000000002</v>
      </c>
      <c r="F7">
        <v>0</v>
      </c>
      <c r="H7" s="3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31">
        <v>1902</v>
      </c>
      <c r="B8" s="21">
        <v>46.1</v>
      </c>
      <c r="C8" s="21">
        <v>33.1</v>
      </c>
      <c r="F8">
        <v>0</v>
      </c>
      <c r="H8" s="3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31">
        <v>1903</v>
      </c>
      <c r="B9" s="21">
        <v>45.969200000000001</v>
      </c>
      <c r="C9" s="21">
        <v>32.962699999999998</v>
      </c>
      <c r="F9">
        <v>0</v>
      </c>
      <c r="H9" s="3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31">
        <v>1904</v>
      </c>
      <c r="B10" s="21">
        <v>45.8354</v>
      </c>
      <c r="C10" s="21">
        <v>32.828000000000003</v>
      </c>
      <c r="F10">
        <v>0</v>
      </c>
      <c r="H10" s="3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31">
        <v>1905</v>
      </c>
      <c r="B11" s="21">
        <v>45.716900000000003</v>
      </c>
      <c r="C11" s="21">
        <v>32.712000000000003</v>
      </c>
      <c r="F11">
        <v>0</v>
      </c>
      <c r="H11" s="3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31">
        <v>1906</v>
      </c>
      <c r="B12" s="21">
        <v>45.632300000000001</v>
      </c>
      <c r="C12" s="21">
        <v>32.630699999999997</v>
      </c>
      <c r="F12">
        <v>0</v>
      </c>
      <c r="H12" s="3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31">
        <v>1907</v>
      </c>
      <c r="B13" s="21">
        <v>45.6</v>
      </c>
      <c r="C13" s="21">
        <v>32.6</v>
      </c>
      <c r="F13">
        <v>0</v>
      </c>
      <c r="H13" s="3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31">
        <v>1908</v>
      </c>
      <c r="B14" s="21">
        <v>45.6</v>
      </c>
      <c r="C14" s="21">
        <v>32.6</v>
      </c>
      <c r="F14">
        <v>0</v>
      </c>
      <c r="H14" s="3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31">
        <v>1909</v>
      </c>
      <c r="B15" s="21">
        <v>45.6</v>
      </c>
      <c r="C15" s="21">
        <v>32.6</v>
      </c>
      <c r="F15">
        <v>0</v>
      </c>
      <c r="H15" s="3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31">
        <v>1910</v>
      </c>
      <c r="B16" s="21">
        <v>45.022500000000001</v>
      </c>
      <c r="C16" s="21">
        <v>35.993099999999998</v>
      </c>
      <c r="F16">
        <v>0</v>
      </c>
      <c r="H16" s="3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25">
      <c r="A17" s="31">
        <v>1911</v>
      </c>
      <c r="B17" s="21">
        <v>43.822800000000001</v>
      </c>
      <c r="C17" s="21">
        <v>42.4084</v>
      </c>
      <c r="F17">
        <v>0</v>
      </c>
      <c r="H17" s="3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25">
      <c r="A18" s="31">
        <v>1912</v>
      </c>
      <c r="B18" s="21">
        <v>42.8</v>
      </c>
      <c r="C18" s="21">
        <v>46.2</v>
      </c>
      <c r="F18">
        <v>0</v>
      </c>
      <c r="H18" s="3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25">
      <c r="A19" s="31">
        <v>1913</v>
      </c>
      <c r="B19" s="21">
        <v>42.102200000000003</v>
      </c>
      <c r="C19" s="21">
        <v>46.749000000000002</v>
      </c>
      <c r="F19">
        <v>0</v>
      </c>
      <c r="H19" s="3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25">
      <c r="A20" s="31">
        <v>1914</v>
      </c>
      <c r="B20" s="21">
        <v>41.4039</v>
      </c>
      <c r="C20" s="21">
        <v>47.193600000000004</v>
      </c>
      <c r="F20">
        <v>0</v>
      </c>
      <c r="H20" s="3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25">
      <c r="A21" s="31">
        <v>1915</v>
      </c>
      <c r="B21" s="21">
        <v>40.794600000000003</v>
      </c>
      <c r="C21" s="21">
        <v>47.523699999999998</v>
      </c>
      <c r="F21">
        <v>0</v>
      </c>
      <c r="H21" s="3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25">
      <c r="A22" s="31">
        <v>1916</v>
      </c>
      <c r="B22" s="21">
        <v>40.363500000000002</v>
      </c>
      <c r="C22" s="21">
        <v>47.729199999999999</v>
      </c>
      <c r="F22">
        <v>0</v>
      </c>
      <c r="H22" s="3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25">
      <c r="A23" s="31">
        <v>1917</v>
      </c>
      <c r="B23" s="21">
        <v>40.200000000000003</v>
      </c>
      <c r="C23" s="21">
        <v>47.8</v>
      </c>
      <c r="F23">
        <v>0</v>
      </c>
      <c r="H23" s="3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25">
      <c r="A24" s="31">
        <v>1918</v>
      </c>
      <c r="B24" s="21">
        <v>40.688800000000001</v>
      </c>
      <c r="C24" s="21">
        <v>45.8459</v>
      </c>
      <c r="F24">
        <v>0</v>
      </c>
      <c r="H24" s="3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25">
      <c r="A25" s="31">
        <v>1919</v>
      </c>
      <c r="B25" s="21">
        <v>41.854399999999998</v>
      </c>
      <c r="C25" s="21">
        <v>41.149700000000003</v>
      </c>
      <c r="F25">
        <v>0</v>
      </c>
      <c r="H25" s="3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25">
      <c r="A26" s="31">
        <v>1920</v>
      </c>
      <c r="B26" s="21">
        <v>43.245600000000003</v>
      </c>
      <c r="C26" s="21">
        <v>35.460599999999999</v>
      </c>
      <c r="F26">
        <v>0</v>
      </c>
      <c r="H26" s="3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25">
      <c r="A27" s="31">
        <v>1921</v>
      </c>
      <c r="B27" s="21">
        <v>44.411200000000001</v>
      </c>
      <c r="C27" s="21">
        <v>30.5276</v>
      </c>
      <c r="F27">
        <v>0</v>
      </c>
      <c r="H27" s="3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25">
      <c r="A28" s="31">
        <v>1922</v>
      </c>
      <c r="B28" s="21">
        <v>44.9</v>
      </c>
      <c r="C28" s="21">
        <v>28.1</v>
      </c>
      <c r="F28">
        <v>0</v>
      </c>
      <c r="H28" s="3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25">
      <c r="A29" s="31">
        <v>1923</v>
      </c>
      <c r="B29" s="21">
        <v>44.8018</v>
      </c>
      <c r="C29" s="21">
        <v>27.5548</v>
      </c>
      <c r="F29">
        <v>0</v>
      </c>
      <c r="H29" s="3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25">
      <c r="A30" s="31">
        <v>1924</v>
      </c>
      <c r="B30" s="21">
        <v>44.5655</v>
      </c>
      <c r="C30" s="21">
        <v>27.110600000000002</v>
      </c>
      <c r="F30">
        <v>0</v>
      </c>
      <c r="H30" s="3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25">
      <c r="A31" s="31">
        <v>1925</v>
      </c>
      <c r="B31" s="21">
        <v>44.278199999999998</v>
      </c>
      <c r="C31" s="21">
        <v>26.7791</v>
      </c>
      <c r="F31">
        <v>0</v>
      </c>
      <c r="H31" s="3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25">
      <c r="A32" s="31">
        <v>1926</v>
      </c>
      <c r="B32" s="21">
        <v>44.027299999999997</v>
      </c>
      <c r="C32" s="21">
        <v>26.5717</v>
      </c>
      <c r="F32">
        <v>0</v>
      </c>
      <c r="H32" s="3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25">
      <c r="A33" s="31">
        <v>1927</v>
      </c>
      <c r="B33" s="21">
        <v>43.9</v>
      </c>
      <c r="C33" s="21">
        <v>26.5</v>
      </c>
      <c r="F33">
        <v>0</v>
      </c>
      <c r="H33" s="3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25">
      <c r="A34" s="31">
        <v>1928</v>
      </c>
      <c r="B34" s="21">
        <v>43.8718</v>
      </c>
      <c r="C34" s="21">
        <v>26.5</v>
      </c>
      <c r="F34">
        <v>0</v>
      </c>
      <c r="H34" s="3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25">
      <c r="A35" s="31">
        <v>1929</v>
      </c>
      <c r="B35" s="21">
        <v>43.8551</v>
      </c>
      <c r="C35" s="21">
        <v>26.5</v>
      </c>
      <c r="F35">
        <v>0</v>
      </c>
      <c r="H35" s="3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25">
      <c r="A36" s="31">
        <v>1930</v>
      </c>
      <c r="B36" s="21">
        <v>43.842399999999998</v>
      </c>
      <c r="C36" s="21">
        <v>26.5</v>
      </c>
      <c r="F36">
        <v>0</v>
      </c>
      <c r="H36" s="3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31">
        <v>1931</v>
      </c>
      <c r="B37" s="21">
        <v>43.826500000000003</v>
      </c>
      <c r="C37" s="21">
        <v>26.5</v>
      </c>
      <c r="F37">
        <v>0</v>
      </c>
      <c r="H37" s="3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31">
        <v>1932</v>
      </c>
      <c r="B38" s="21">
        <v>43.8</v>
      </c>
      <c r="C38" s="21">
        <v>26.5</v>
      </c>
      <c r="F38">
        <v>0</v>
      </c>
      <c r="H38" s="3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31">
        <v>1933</v>
      </c>
      <c r="B39" s="21">
        <v>43.715699999999998</v>
      </c>
      <c r="C39" s="21">
        <v>26.235499999999998</v>
      </c>
      <c r="F39">
        <v>0</v>
      </c>
      <c r="H39" s="3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31">
        <v>1934</v>
      </c>
      <c r="B40" s="21">
        <v>43.564100000000003</v>
      </c>
      <c r="C40" s="21">
        <v>25.578399999999998</v>
      </c>
      <c r="F40">
        <v>0</v>
      </c>
      <c r="H40" s="3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31">
        <v>1935</v>
      </c>
      <c r="B41" s="21">
        <v>43.3947</v>
      </c>
      <c r="C41" s="21">
        <v>24.733599999999999</v>
      </c>
      <c r="F41">
        <v>0</v>
      </c>
      <c r="H41" s="3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31">
        <v>1936</v>
      </c>
      <c r="B42" s="21">
        <v>43.256900000000002</v>
      </c>
      <c r="C42" s="21">
        <v>23.905899999999999</v>
      </c>
      <c r="F42">
        <v>0</v>
      </c>
      <c r="H42" s="3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31">
        <v>1937</v>
      </c>
      <c r="B43" s="21">
        <v>43.2</v>
      </c>
      <c r="C43" s="21">
        <v>23.3</v>
      </c>
      <c r="F43">
        <v>0</v>
      </c>
      <c r="H43" s="3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31">
        <v>1938</v>
      </c>
      <c r="B44" s="21">
        <v>43.217199999999998</v>
      </c>
      <c r="C44" s="21">
        <v>22.933700000000002</v>
      </c>
      <c r="F44">
        <v>0</v>
      </c>
      <c r="H44" s="3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31">
        <v>1939</v>
      </c>
      <c r="B45" s="21">
        <v>43.2637</v>
      </c>
      <c r="C45" s="21">
        <v>22.649000000000001</v>
      </c>
      <c r="F45">
        <v>0</v>
      </c>
      <c r="H45" s="3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31">
        <v>1940</v>
      </c>
      <c r="B46" s="21">
        <v>43.331600000000002</v>
      </c>
      <c r="C46" s="21">
        <v>22.387499999999999</v>
      </c>
      <c r="F46">
        <v>0</v>
      </c>
      <c r="H46" s="3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31">
        <v>1941</v>
      </c>
      <c r="B47" s="21">
        <v>43.4129</v>
      </c>
      <c r="C47" s="21">
        <v>22.090699999999998</v>
      </c>
      <c r="F47">
        <v>0</v>
      </c>
      <c r="H47" s="3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31">
        <v>1942</v>
      </c>
      <c r="B48" s="21">
        <v>43.5</v>
      </c>
      <c r="C48" s="21">
        <v>21.7</v>
      </c>
      <c r="F48">
        <v>0</v>
      </c>
      <c r="H48" s="3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31">
        <v>1943</v>
      </c>
      <c r="B49" s="21">
        <v>43.594200000000001</v>
      </c>
      <c r="C49" s="21">
        <v>21.0093</v>
      </c>
      <c r="F49">
        <v>0</v>
      </c>
      <c r="H49" s="3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31">
        <v>1944</v>
      </c>
      <c r="B50" s="21">
        <v>43.709699999999998</v>
      </c>
      <c r="C50" s="21">
        <v>20.016400000000001</v>
      </c>
      <c r="F50">
        <v>0</v>
      </c>
      <c r="H50" s="3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31">
        <v>1945</v>
      </c>
      <c r="B51" s="21">
        <v>43.858199999999997</v>
      </c>
      <c r="C51" s="21">
        <v>18.968900000000001</v>
      </c>
      <c r="F51">
        <v>0</v>
      </c>
      <c r="H51" s="3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31">
        <v>1946</v>
      </c>
      <c r="B52" s="21">
        <v>44.051200000000001</v>
      </c>
      <c r="C52" s="21">
        <v>18.1143</v>
      </c>
      <c r="F52">
        <v>0</v>
      </c>
      <c r="H52" s="3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31">
        <v>1947</v>
      </c>
      <c r="B53" s="21">
        <v>44.3</v>
      </c>
      <c r="C53" s="21">
        <v>17.7</v>
      </c>
      <c r="F53">
        <v>0</v>
      </c>
      <c r="H53" s="3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31">
        <v>1948</v>
      </c>
      <c r="B54" s="21">
        <v>45.072400000000002</v>
      </c>
      <c r="C54" s="21">
        <v>17.614999999999998</v>
      </c>
      <c r="F54">
        <v>0</v>
      </c>
      <c r="H54" s="3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31">
        <v>1949</v>
      </c>
      <c r="B55" s="21">
        <v>46.508400000000002</v>
      </c>
      <c r="C55" s="21">
        <v>17.567</v>
      </c>
      <c r="F55">
        <v>0</v>
      </c>
      <c r="H55" s="3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3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3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3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3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3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3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3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3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3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3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3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3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3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3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3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3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3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3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3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3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3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3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3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3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3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3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3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3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3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3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3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3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3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3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3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3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3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3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3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3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3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3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3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3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3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3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3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3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3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3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3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3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3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3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3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3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31">
        <f>A83+1</f>
        <v>1978</v>
      </c>
      <c r="D84" s="3">
        <v>37.4</v>
      </c>
      <c r="E84" s="3">
        <v>7.4</v>
      </c>
      <c r="F84">
        <v>1</v>
      </c>
      <c r="H84" s="3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31">
        <f t="shared" ref="A85:A129" si="6">A84+1</f>
        <v>1979</v>
      </c>
      <c r="D85" s="3">
        <v>36.200000000000003</v>
      </c>
      <c r="E85" s="3">
        <v>7.1</v>
      </c>
      <c r="F85">
        <v>1</v>
      </c>
      <c r="H85" s="3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31">
        <f t="shared" si="6"/>
        <v>1980</v>
      </c>
      <c r="D86" s="3">
        <v>35</v>
      </c>
      <c r="E86" s="3">
        <v>6.9</v>
      </c>
      <c r="F86">
        <v>1</v>
      </c>
      <c r="H86" s="3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31">
        <f t="shared" si="6"/>
        <v>1981</v>
      </c>
      <c r="D87" s="3">
        <v>34.299999999999997</v>
      </c>
      <c r="E87" s="3">
        <v>6.7</v>
      </c>
      <c r="F87">
        <v>1</v>
      </c>
      <c r="H87" s="3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31">
        <f t="shared" si="6"/>
        <v>1982</v>
      </c>
      <c r="D88" s="3">
        <v>33.9</v>
      </c>
      <c r="E88" s="3">
        <v>6.6</v>
      </c>
      <c r="F88">
        <v>1</v>
      </c>
      <c r="H88" s="3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31">
        <f t="shared" si="6"/>
        <v>1983</v>
      </c>
      <c r="D89" s="3">
        <v>33.4</v>
      </c>
      <c r="E89" s="3">
        <v>6.5</v>
      </c>
      <c r="F89">
        <v>1</v>
      </c>
      <c r="H89" s="3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31">
        <f t="shared" si="6"/>
        <v>1984</v>
      </c>
      <c r="D90" s="3">
        <v>33.1</v>
      </c>
      <c r="E90" s="3">
        <v>6.4</v>
      </c>
      <c r="F90">
        <v>1</v>
      </c>
      <c r="H90" s="3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31">
        <f t="shared" si="6"/>
        <v>1985</v>
      </c>
      <c r="D91" s="3">
        <v>32.700000000000003</v>
      </c>
      <c r="E91" s="3">
        <v>6.3</v>
      </c>
      <c r="F91">
        <v>1</v>
      </c>
      <c r="H91" s="3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31">
        <f t="shared" si="6"/>
        <v>1986</v>
      </c>
      <c r="D92" s="3">
        <v>32.299999999999997</v>
      </c>
      <c r="E92" s="3">
        <v>6.2</v>
      </c>
      <c r="F92">
        <v>1</v>
      </c>
      <c r="H92" s="3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31">
        <f t="shared" si="6"/>
        <v>1987</v>
      </c>
      <c r="D93" s="3">
        <v>31.4</v>
      </c>
      <c r="E93" s="3">
        <v>6.1</v>
      </c>
      <c r="F93">
        <v>1</v>
      </c>
      <c r="H93" s="3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31">
        <f t="shared" si="6"/>
        <v>1988</v>
      </c>
      <c r="D94" s="3">
        <v>30.4</v>
      </c>
      <c r="E94" s="3">
        <v>6.1</v>
      </c>
      <c r="F94">
        <v>1</v>
      </c>
      <c r="H94" s="3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31">
        <f t="shared" si="6"/>
        <v>1989</v>
      </c>
      <c r="D95" s="3">
        <v>29.9</v>
      </c>
      <c r="E95" s="3">
        <v>6.2</v>
      </c>
      <c r="F95">
        <v>1</v>
      </c>
      <c r="H95" s="3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31">
        <f t="shared" si="6"/>
        <v>1990</v>
      </c>
      <c r="D96" s="3">
        <v>29.4</v>
      </c>
      <c r="E96" s="3">
        <v>6.2</v>
      </c>
      <c r="F96">
        <v>1</v>
      </c>
      <c r="H96" s="3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31">
        <f t="shared" si="6"/>
        <v>1991</v>
      </c>
      <c r="D97" s="3">
        <v>29.1</v>
      </c>
      <c r="E97" s="3">
        <v>6.1</v>
      </c>
      <c r="F97">
        <v>1</v>
      </c>
      <c r="H97" s="3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31">
        <f t="shared" si="6"/>
        <v>1992</v>
      </c>
      <c r="D98" s="3">
        <v>28.7</v>
      </c>
      <c r="E98" s="3">
        <v>6</v>
      </c>
      <c r="F98">
        <v>1</v>
      </c>
      <c r="H98" s="3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31">
        <f t="shared" si="6"/>
        <v>1993</v>
      </c>
      <c r="D99" s="3">
        <v>28.3</v>
      </c>
      <c r="E99" s="3">
        <v>5.9</v>
      </c>
      <c r="F99">
        <v>1</v>
      </c>
      <c r="H99" s="3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31">
        <f t="shared" si="6"/>
        <v>1994</v>
      </c>
      <c r="D100" s="3">
        <v>27.7</v>
      </c>
      <c r="E100" s="3">
        <v>5.8</v>
      </c>
      <c r="F100">
        <v>1</v>
      </c>
      <c r="H100" s="3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31">
        <f t="shared" si="6"/>
        <v>1995</v>
      </c>
      <c r="D101" s="3">
        <v>27.1</v>
      </c>
      <c r="E101" s="3">
        <v>5.7</v>
      </c>
      <c r="F101">
        <v>1</v>
      </c>
      <c r="H101" s="3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31">
        <f t="shared" si="6"/>
        <v>1996</v>
      </c>
      <c r="D102" s="3">
        <v>26.4</v>
      </c>
      <c r="E102" s="3">
        <v>5.6</v>
      </c>
      <c r="F102">
        <v>1</v>
      </c>
      <c r="H102" s="3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31">
        <f t="shared" si="6"/>
        <v>1997</v>
      </c>
      <c r="D103" s="3">
        <v>25.8</v>
      </c>
      <c r="E103" s="3">
        <v>5.6</v>
      </c>
      <c r="F103">
        <v>1</v>
      </c>
      <c r="H103" s="3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31">
        <f t="shared" si="6"/>
        <v>1998</v>
      </c>
      <c r="D104" s="3">
        <v>25.1</v>
      </c>
      <c r="E104" s="3">
        <v>5.5</v>
      </c>
      <c r="F104">
        <v>1</v>
      </c>
      <c r="H104" s="3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31">
        <f t="shared" si="6"/>
        <v>1999</v>
      </c>
      <c r="D105" s="3">
        <v>24.6</v>
      </c>
      <c r="E105" s="3">
        <v>5.5</v>
      </c>
      <c r="F105">
        <v>1</v>
      </c>
      <c r="H105" s="3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31">
        <f t="shared" si="6"/>
        <v>2000</v>
      </c>
      <c r="D106" s="3">
        <v>24.2</v>
      </c>
      <c r="E106" s="3">
        <v>5.5</v>
      </c>
      <c r="F106">
        <v>1</v>
      </c>
      <c r="H106" s="3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31">
        <f t="shared" si="6"/>
        <v>2001</v>
      </c>
      <c r="D107" s="3">
        <v>23.8</v>
      </c>
      <c r="E107" s="3">
        <v>5.4</v>
      </c>
      <c r="F107">
        <v>1</v>
      </c>
      <c r="H107" s="3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31">
        <f t="shared" si="6"/>
        <v>2002</v>
      </c>
      <c r="D108" s="3">
        <v>23.4</v>
      </c>
      <c r="E108" s="3">
        <v>5.5</v>
      </c>
      <c r="F108">
        <v>1</v>
      </c>
      <c r="H108" s="3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31">
        <f t="shared" si="6"/>
        <v>2003</v>
      </c>
      <c r="D109" s="3">
        <v>22.8</v>
      </c>
      <c r="E109" s="3">
        <v>5.5</v>
      </c>
      <c r="F109">
        <v>1</v>
      </c>
      <c r="H109" s="3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31">
        <f t="shared" si="6"/>
        <v>2004</v>
      </c>
      <c r="D110" s="3">
        <v>22.4</v>
      </c>
      <c r="E110" s="3">
        <v>5.5</v>
      </c>
      <c r="F110">
        <v>1</v>
      </c>
      <c r="H110" s="3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31">
        <f t="shared" si="6"/>
        <v>2005</v>
      </c>
      <c r="D111" s="3">
        <v>21.9</v>
      </c>
      <c r="E111" s="3">
        <v>5.5</v>
      </c>
      <c r="F111">
        <v>1</v>
      </c>
      <c r="H111" s="3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31">
        <f t="shared" si="6"/>
        <v>2006</v>
      </c>
      <c r="D112" s="3">
        <v>21.5</v>
      </c>
      <c r="E112" s="3">
        <v>5.6</v>
      </c>
      <c r="F112">
        <v>1</v>
      </c>
      <c r="H112" s="3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31">
        <f t="shared" si="6"/>
        <v>2007</v>
      </c>
      <c r="D113" s="3">
        <v>21.1</v>
      </c>
      <c r="E113" s="3">
        <v>5.6</v>
      </c>
      <c r="F113">
        <v>1</v>
      </c>
      <c r="H113" s="3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31">
        <f t="shared" si="6"/>
        <v>2008</v>
      </c>
      <c r="D114" s="3">
        <v>20.8</v>
      </c>
      <c r="E114" s="3">
        <v>5.7</v>
      </c>
      <c r="F114">
        <v>1</v>
      </c>
      <c r="H114" s="3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31">
        <f t="shared" si="6"/>
        <v>2009</v>
      </c>
      <c r="D115" s="3">
        <v>20.6</v>
      </c>
      <c r="E115" s="3">
        <v>5.7</v>
      </c>
      <c r="F115">
        <v>1</v>
      </c>
      <c r="H115" s="3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31">
        <f t="shared" si="6"/>
        <v>2010</v>
      </c>
      <c r="D116" s="3">
        <v>20.3</v>
      </c>
      <c r="E116" s="3">
        <v>5.7</v>
      </c>
      <c r="F116">
        <v>1</v>
      </c>
      <c r="H116" s="3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31">
        <f t="shared" si="6"/>
        <v>2011</v>
      </c>
      <c r="D117" s="3">
        <v>20.100000000000001</v>
      </c>
      <c r="E117" s="3">
        <v>5.7</v>
      </c>
      <c r="F117">
        <v>1</v>
      </c>
      <c r="H117" s="3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31">
        <f t="shared" si="6"/>
        <v>2012</v>
      </c>
      <c r="D118" s="3">
        <v>19.899999999999999</v>
      </c>
      <c r="E118" s="3">
        <v>5.7</v>
      </c>
      <c r="F118">
        <v>1</v>
      </c>
      <c r="H118" s="3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31">
        <f t="shared" si="6"/>
        <v>2013</v>
      </c>
      <c r="D119" s="3">
        <v>19.600000000000001</v>
      </c>
      <c r="E119" s="3">
        <v>5.7</v>
      </c>
      <c r="F119">
        <v>1</v>
      </c>
      <c r="H119" s="3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31">
        <f t="shared" si="6"/>
        <v>2014</v>
      </c>
      <c r="D120" s="3">
        <v>19</v>
      </c>
      <c r="E120" s="3">
        <v>5.7</v>
      </c>
      <c r="F120">
        <v>1</v>
      </c>
      <c r="H120" s="3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31">
        <f t="shared" si="6"/>
        <v>2015</v>
      </c>
      <c r="D121" s="3">
        <v>18.2</v>
      </c>
      <c r="E121" s="3">
        <v>5.8</v>
      </c>
      <c r="F121">
        <v>1</v>
      </c>
      <c r="H121" s="3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31">
        <f t="shared" si="6"/>
        <v>2016</v>
      </c>
      <c r="D122" s="3">
        <v>17.7</v>
      </c>
      <c r="E122" s="3">
        <v>5.9</v>
      </c>
      <c r="F122">
        <v>1</v>
      </c>
      <c r="H122" s="3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31">
        <f t="shared" si="6"/>
        <v>2017</v>
      </c>
      <c r="D123" s="3">
        <v>17.2</v>
      </c>
      <c r="E123" s="3">
        <v>6</v>
      </c>
      <c r="F123">
        <v>1</v>
      </c>
      <c r="H123" s="3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31">
        <f t="shared" si="6"/>
        <v>2018</v>
      </c>
      <c r="D124" s="3">
        <v>17</v>
      </c>
      <c r="E124" s="3">
        <v>6.1</v>
      </c>
      <c r="F124">
        <v>1</v>
      </c>
      <c r="H124" s="3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31">
        <f t="shared" si="6"/>
        <v>2019</v>
      </c>
      <c r="D125" s="3">
        <v>16.899999999999999</v>
      </c>
      <c r="E125" s="3">
        <v>6.1</v>
      </c>
      <c r="F125">
        <v>1</v>
      </c>
      <c r="H125" s="3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31">
        <f t="shared" si="6"/>
        <v>2020</v>
      </c>
      <c r="D126" s="3">
        <v>16.600000000000001</v>
      </c>
      <c r="E126" s="3">
        <v>8.4</v>
      </c>
      <c r="F126">
        <v>1</v>
      </c>
      <c r="H126" s="3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31">
        <f t="shared" si="6"/>
        <v>2021</v>
      </c>
      <c r="D127" s="3">
        <v>16.399999999999999</v>
      </c>
      <c r="E127" s="3">
        <v>9</v>
      </c>
      <c r="F127">
        <v>1</v>
      </c>
      <c r="H127" s="3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31">
        <f t="shared" si="6"/>
        <v>2022</v>
      </c>
      <c r="D128" s="3">
        <v>16</v>
      </c>
      <c r="E128" s="3">
        <v>6.5</v>
      </c>
      <c r="F128">
        <v>1</v>
      </c>
      <c r="H128" s="3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31">
        <f t="shared" si="6"/>
        <v>2023</v>
      </c>
      <c r="D129" s="3">
        <v>15.7</v>
      </c>
      <c r="E129" s="3">
        <v>6.2</v>
      </c>
      <c r="F129">
        <v>1</v>
      </c>
      <c r="H129" s="3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5" x14ac:dyDescent="0.25"/>
  <cols>
    <col min="8" max="8" width="5" style="33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160</v>
      </c>
      <c r="E1" s="37"/>
    </row>
    <row r="2" spans="1:11" x14ac:dyDescent="0.25">
      <c r="A2" s="32" t="s">
        <v>73</v>
      </c>
      <c r="B2" s="32" t="s">
        <v>84</v>
      </c>
      <c r="C2" s="32" t="s">
        <v>85</v>
      </c>
      <c r="D2" s="32" t="s">
        <v>84</v>
      </c>
      <c r="E2" s="32" t="s">
        <v>85</v>
      </c>
      <c r="F2" s="32" t="s">
        <v>163</v>
      </c>
      <c r="H2" s="32" t="s">
        <v>73</v>
      </c>
      <c r="I2" s="32" t="s">
        <v>89</v>
      </c>
      <c r="J2" s="32" t="s">
        <v>90</v>
      </c>
      <c r="K2" s="32" t="s">
        <v>88</v>
      </c>
    </row>
    <row r="3" spans="1:11" x14ac:dyDescent="0.25">
      <c r="A3" s="33">
        <v>1897</v>
      </c>
      <c r="B3" s="21">
        <v>46.9</v>
      </c>
      <c r="C3" s="21">
        <v>34.1</v>
      </c>
      <c r="F3">
        <v>0</v>
      </c>
      <c r="H3" s="33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33">
        <v>1898</v>
      </c>
      <c r="B4" s="21">
        <v>46.722299999999997</v>
      </c>
      <c r="C4" s="21">
        <v>33.868000000000002</v>
      </c>
      <c r="F4">
        <v>0</v>
      </c>
      <c r="H4" s="33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33">
        <v>1899</v>
      </c>
      <c r="B5" s="21">
        <v>46.548999999999999</v>
      </c>
      <c r="C5" s="21">
        <v>33.643999999999998</v>
      </c>
      <c r="F5">
        <v>0</v>
      </c>
      <c r="H5" s="33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33">
        <v>1900</v>
      </c>
      <c r="B6" s="21">
        <v>46.384599999999999</v>
      </c>
      <c r="C6" s="21">
        <v>33.436</v>
      </c>
      <c r="F6">
        <v>0</v>
      </c>
      <c r="H6" s="33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33">
        <v>1901</v>
      </c>
      <c r="B7" s="21">
        <v>46.233400000000003</v>
      </c>
      <c r="C7" s="21">
        <v>33.252000000000002</v>
      </c>
      <c r="F7">
        <v>0</v>
      </c>
      <c r="H7" s="33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33">
        <v>1902</v>
      </c>
      <c r="B8" s="21">
        <v>46.1</v>
      </c>
      <c r="C8" s="21">
        <v>33.1</v>
      </c>
      <c r="F8">
        <v>0</v>
      </c>
      <c r="H8" s="33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33">
        <v>1903</v>
      </c>
      <c r="B9" s="21">
        <v>45.969200000000001</v>
      </c>
      <c r="C9" s="21">
        <v>32.962699999999998</v>
      </c>
      <c r="F9">
        <v>0</v>
      </c>
      <c r="H9" s="33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33">
        <v>1904</v>
      </c>
      <c r="B10" s="21">
        <v>45.8354</v>
      </c>
      <c r="C10" s="21">
        <v>32.828000000000003</v>
      </c>
      <c r="F10">
        <v>0</v>
      </c>
      <c r="H10" s="33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33">
        <v>1905</v>
      </c>
      <c r="B11" s="21">
        <v>45.716900000000003</v>
      </c>
      <c r="C11" s="21">
        <v>32.712000000000003</v>
      </c>
      <c r="F11">
        <v>0</v>
      </c>
      <c r="H11" s="33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33">
        <v>1906</v>
      </c>
      <c r="B12" s="21">
        <v>45.632300000000001</v>
      </c>
      <c r="C12" s="21">
        <v>32.630699999999997</v>
      </c>
      <c r="F12">
        <v>0</v>
      </c>
      <c r="H12" s="33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33">
        <v>1907</v>
      </c>
      <c r="B13" s="21">
        <v>45.6</v>
      </c>
      <c r="C13" s="21">
        <v>32.6</v>
      </c>
      <c r="F13">
        <v>0</v>
      </c>
      <c r="H13" s="33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33">
        <v>1908</v>
      </c>
      <c r="B14" s="21">
        <v>45.6</v>
      </c>
      <c r="C14" s="21">
        <v>32.6</v>
      </c>
      <c r="F14">
        <v>0</v>
      </c>
      <c r="H14" s="33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33">
        <v>1909</v>
      </c>
      <c r="B15" s="21">
        <v>45.6</v>
      </c>
      <c r="C15" s="21">
        <v>32.6</v>
      </c>
      <c r="F15">
        <v>0</v>
      </c>
      <c r="H15" s="33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33">
        <v>1910</v>
      </c>
      <c r="B16" s="16">
        <v>45.588999999999999</v>
      </c>
      <c r="C16" s="16">
        <v>32.56</v>
      </c>
      <c r="F16">
        <v>0</v>
      </c>
      <c r="H16" s="33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33">
        <v>1911</v>
      </c>
      <c r="B17" s="16">
        <v>45.557000000000002</v>
      </c>
      <c r="C17" s="16">
        <v>32.445</v>
      </c>
      <c r="F17">
        <v>0</v>
      </c>
      <c r="H17" s="33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33">
        <v>1912</v>
      </c>
      <c r="B18" s="16">
        <v>45.506</v>
      </c>
      <c r="C18" s="16">
        <v>32.262</v>
      </c>
      <c r="F18">
        <v>0</v>
      </c>
      <c r="H18" s="33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33">
        <v>1913</v>
      </c>
      <c r="B19" s="16">
        <v>45.439</v>
      </c>
      <c r="C19" s="16">
        <v>32.020000000000003</v>
      </c>
      <c r="F19">
        <v>0</v>
      </c>
      <c r="H19" s="33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33">
        <v>1914</v>
      </c>
      <c r="B20" s="16">
        <v>45.356999999999999</v>
      </c>
      <c r="C20" s="16">
        <v>31.727</v>
      </c>
      <c r="F20">
        <v>0</v>
      </c>
      <c r="H20" s="33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33">
        <v>1915</v>
      </c>
      <c r="B21" s="16">
        <v>45.262999999999998</v>
      </c>
      <c r="C21" s="16">
        <v>31.390999999999998</v>
      </c>
      <c r="F21">
        <v>0</v>
      </c>
      <c r="H21" s="33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33">
        <v>1916</v>
      </c>
      <c r="B22" s="16">
        <v>45.158999999999999</v>
      </c>
      <c r="C22" s="16">
        <v>31.018999999999998</v>
      </c>
      <c r="F22">
        <v>0</v>
      </c>
      <c r="H22" s="33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33">
        <v>1917</v>
      </c>
      <c r="B23" s="16">
        <v>45.046999999999997</v>
      </c>
      <c r="C23" s="16">
        <v>30.619</v>
      </c>
      <c r="F23">
        <v>0</v>
      </c>
      <c r="H23" s="33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33">
        <v>1918</v>
      </c>
      <c r="B24" s="16">
        <v>44.929000000000002</v>
      </c>
      <c r="C24" s="16">
        <v>30.199000000000002</v>
      </c>
      <c r="F24">
        <v>0</v>
      </c>
      <c r="H24" s="33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33">
        <v>1919</v>
      </c>
      <c r="B25" s="16">
        <v>44.808</v>
      </c>
      <c r="C25" s="16">
        <v>29.768000000000001</v>
      </c>
      <c r="F25">
        <v>0</v>
      </c>
      <c r="H25" s="33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33">
        <v>1920</v>
      </c>
      <c r="B26" s="16">
        <v>44.685000000000002</v>
      </c>
      <c r="C26" s="16">
        <v>29.332000000000001</v>
      </c>
      <c r="F26">
        <v>0</v>
      </c>
      <c r="H26" s="33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33">
        <v>1921</v>
      </c>
      <c r="B27" s="16">
        <v>44.561999999999998</v>
      </c>
      <c r="C27" s="16">
        <v>28.901</v>
      </c>
      <c r="F27">
        <v>0</v>
      </c>
      <c r="H27" s="33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33">
        <v>1922</v>
      </c>
      <c r="B28" s="16">
        <v>44.442</v>
      </c>
      <c r="C28" s="16">
        <v>28.481000000000002</v>
      </c>
      <c r="F28">
        <v>0</v>
      </c>
      <c r="H28" s="33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33">
        <v>1923</v>
      </c>
      <c r="B29" s="16">
        <v>44.326999999999998</v>
      </c>
      <c r="C29" s="16">
        <v>28.081</v>
      </c>
      <c r="F29">
        <v>0</v>
      </c>
      <c r="H29" s="33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33">
        <v>1924</v>
      </c>
      <c r="B30" s="16">
        <v>44.22</v>
      </c>
      <c r="C30" s="16">
        <v>27.709</v>
      </c>
      <c r="F30">
        <v>0</v>
      </c>
      <c r="H30" s="33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33">
        <v>1925</v>
      </c>
      <c r="B31" s="16">
        <v>44.121000000000002</v>
      </c>
      <c r="C31" s="16">
        <v>27.373000000000001</v>
      </c>
      <c r="F31">
        <v>0</v>
      </c>
      <c r="H31" s="33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33">
        <v>1926</v>
      </c>
      <c r="B32" s="16">
        <v>44.033000000000001</v>
      </c>
      <c r="C32" s="16">
        <v>27.08</v>
      </c>
      <c r="F32">
        <v>0</v>
      </c>
      <c r="H32" s="33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33">
        <v>1927</v>
      </c>
      <c r="B33" s="16">
        <v>43.96</v>
      </c>
      <c r="C33" s="16">
        <v>26.838000000000001</v>
      </c>
      <c r="F33">
        <v>0</v>
      </c>
      <c r="H33" s="33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33">
        <v>1928</v>
      </c>
      <c r="B34" s="16">
        <v>43.901000000000003</v>
      </c>
      <c r="C34" s="16">
        <v>26.655000000000001</v>
      </c>
      <c r="F34">
        <v>0</v>
      </c>
      <c r="H34" s="33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33">
        <v>1929</v>
      </c>
      <c r="B35" s="16">
        <v>43.860999999999997</v>
      </c>
      <c r="C35" s="16">
        <v>26.54</v>
      </c>
      <c r="F35">
        <v>0</v>
      </c>
      <c r="H35" s="33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33">
        <v>1930</v>
      </c>
      <c r="B36" s="21">
        <v>43.842399999999998</v>
      </c>
      <c r="C36" s="21">
        <v>26.5</v>
      </c>
      <c r="F36">
        <v>0</v>
      </c>
      <c r="H36" s="33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33">
        <v>1931</v>
      </c>
      <c r="B37" s="21">
        <v>43.826500000000003</v>
      </c>
      <c r="C37" s="21">
        <v>26.5</v>
      </c>
      <c r="F37">
        <v>0</v>
      </c>
      <c r="H37" s="33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33">
        <v>1932</v>
      </c>
      <c r="B38" s="21">
        <v>43.8</v>
      </c>
      <c r="C38" s="21">
        <v>26.5</v>
      </c>
      <c r="F38">
        <v>0</v>
      </c>
      <c r="H38" s="33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33">
        <v>1933</v>
      </c>
      <c r="B39" s="21">
        <v>43.715699999999998</v>
      </c>
      <c r="C39" s="21">
        <v>26.235499999999998</v>
      </c>
      <c r="F39">
        <v>0</v>
      </c>
      <c r="H39" s="33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33">
        <v>1934</v>
      </c>
      <c r="B40" s="21">
        <v>43.564100000000003</v>
      </c>
      <c r="C40" s="21">
        <v>25.578399999999998</v>
      </c>
      <c r="F40">
        <v>0</v>
      </c>
      <c r="H40" s="33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33">
        <v>1935</v>
      </c>
      <c r="B41" s="21">
        <v>43.3947</v>
      </c>
      <c r="C41" s="21">
        <v>24.733599999999999</v>
      </c>
      <c r="F41">
        <v>0</v>
      </c>
      <c r="H41" s="33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33">
        <v>1936</v>
      </c>
      <c r="B42" s="21">
        <v>43.256900000000002</v>
      </c>
      <c r="C42" s="21">
        <v>23.905899999999999</v>
      </c>
      <c r="F42">
        <v>0</v>
      </c>
      <c r="H42" s="33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33">
        <v>1937</v>
      </c>
      <c r="B43" s="21">
        <v>43.2</v>
      </c>
      <c r="C43" s="21">
        <v>23.3</v>
      </c>
      <c r="F43">
        <v>0</v>
      </c>
      <c r="H43" s="33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33">
        <v>1938</v>
      </c>
      <c r="B44" s="21">
        <v>43.217199999999998</v>
      </c>
      <c r="C44" s="21">
        <v>22.933700000000002</v>
      </c>
      <c r="F44">
        <v>0</v>
      </c>
      <c r="H44" s="33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33">
        <v>1939</v>
      </c>
      <c r="B45" s="21">
        <v>43.2637</v>
      </c>
      <c r="C45" s="21">
        <v>22.649000000000001</v>
      </c>
      <c r="F45">
        <v>0</v>
      </c>
      <c r="H45" s="33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33">
        <v>1940</v>
      </c>
      <c r="B46" s="21">
        <v>43.331600000000002</v>
      </c>
      <c r="C46" s="21">
        <v>22.387499999999999</v>
      </c>
      <c r="F46">
        <v>0</v>
      </c>
      <c r="H46" s="33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33">
        <v>1941</v>
      </c>
      <c r="B47" s="21">
        <v>43.4129</v>
      </c>
      <c r="C47" s="21">
        <v>22.090699999999998</v>
      </c>
      <c r="F47">
        <v>0</v>
      </c>
      <c r="H47" s="33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33">
        <v>1942</v>
      </c>
      <c r="B48" s="21">
        <v>43.5</v>
      </c>
      <c r="C48" s="21">
        <v>21.7</v>
      </c>
      <c r="F48">
        <v>0</v>
      </c>
      <c r="H48" s="33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33">
        <v>1943</v>
      </c>
      <c r="B49" s="21">
        <v>43.594200000000001</v>
      </c>
      <c r="C49" s="21">
        <v>21.0093</v>
      </c>
      <c r="F49">
        <v>0</v>
      </c>
      <c r="H49" s="33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33">
        <v>1944</v>
      </c>
      <c r="B50" s="21">
        <v>43.709699999999998</v>
      </c>
      <c r="C50" s="21">
        <v>20.016400000000001</v>
      </c>
      <c r="F50">
        <v>0</v>
      </c>
      <c r="H50" s="33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33">
        <v>1945</v>
      </c>
      <c r="B51" s="21">
        <v>43.858199999999997</v>
      </c>
      <c r="C51" s="21">
        <v>18.968900000000001</v>
      </c>
      <c r="F51">
        <v>0</v>
      </c>
      <c r="H51" s="33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33">
        <v>1946</v>
      </c>
      <c r="B52" s="21">
        <v>44.051200000000001</v>
      </c>
      <c r="C52" s="21">
        <v>18.1143</v>
      </c>
      <c r="F52">
        <v>0</v>
      </c>
      <c r="H52" s="33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33">
        <v>1947</v>
      </c>
      <c r="B53" s="21">
        <v>44.3</v>
      </c>
      <c r="C53" s="21">
        <v>17.7</v>
      </c>
      <c r="F53">
        <v>0</v>
      </c>
      <c r="H53" s="33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33">
        <v>1948</v>
      </c>
      <c r="B54" s="21">
        <v>45.072400000000002</v>
      </c>
      <c r="C54" s="21">
        <v>17.614999999999998</v>
      </c>
      <c r="F54">
        <v>0</v>
      </c>
      <c r="H54" s="33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33">
        <v>1949</v>
      </c>
      <c r="B55" s="21">
        <v>46.508400000000002</v>
      </c>
      <c r="C55" s="21">
        <v>17.567</v>
      </c>
      <c r="F55">
        <v>0</v>
      </c>
      <c r="H55" s="33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33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33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33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33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33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33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33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33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33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33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33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33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33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33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33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33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33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33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33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33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33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33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33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33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33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33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33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33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33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33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33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33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33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33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33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33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33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33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33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33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33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33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33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33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33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33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33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33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33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33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33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33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33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33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33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33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33">
        <f>A83+1</f>
        <v>1978</v>
      </c>
      <c r="D84" s="3">
        <v>37.4</v>
      </c>
      <c r="E84" s="3">
        <v>7.4</v>
      </c>
      <c r="F84">
        <v>1</v>
      </c>
      <c r="H84" s="33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33">
        <f t="shared" ref="A85:A129" si="6">A84+1</f>
        <v>1979</v>
      </c>
      <c r="D85" s="3">
        <v>36.200000000000003</v>
      </c>
      <c r="E85" s="3">
        <v>7.1</v>
      </c>
      <c r="F85">
        <v>1</v>
      </c>
      <c r="H85" s="33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33">
        <f t="shared" si="6"/>
        <v>1980</v>
      </c>
      <c r="D86" s="3">
        <v>35</v>
      </c>
      <c r="E86" s="3">
        <v>6.9</v>
      </c>
      <c r="F86">
        <v>1</v>
      </c>
      <c r="H86" s="33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33">
        <f t="shared" si="6"/>
        <v>1981</v>
      </c>
      <c r="D87" s="3">
        <v>34.299999999999997</v>
      </c>
      <c r="E87" s="3">
        <v>6.7</v>
      </c>
      <c r="F87">
        <v>1</v>
      </c>
      <c r="H87" s="33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33">
        <f t="shared" si="6"/>
        <v>1982</v>
      </c>
      <c r="D88" s="3">
        <v>33.9</v>
      </c>
      <c r="E88" s="3">
        <v>6.6</v>
      </c>
      <c r="F88">
        <v>1</v>
      </c>
      <c r="H88" s="33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33">
        <f t="shared" si="6"/>
        <v>1983</v>
      </c>
      <c r="D89" s="3">
        <v>33.4</v>
      </c>
      <c r="E89" s="3">
        <v>6.5</v>
      </c>
      <c r="F89">
        <v>1</v>
      </c>
      <c r="H89" s="33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33">
        <f t="shared" si="6"/>
        <v>1984</v>
      </c>
      <c r="D90" s="3">
        <v>33.1</v>
      </c>
      <c r="E90" s="3">
        <v>6.4</v>
      </c>
      <c r="F90">
        <v>1</v>
      </c>
      <c r="H90" s="33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33">
        <f t="shared" si="6"/>
        <v>1985</v>
      </c>
      <c r="D91" s="3">
        <v>32.700000000000003</v>
      </c>
      <c r="E91" s="3">
        <v>6.3</v>
      </c>
      <c r="F91">
        <v>1</v>
      </c>
      <c r="H91" s="33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33">
        <f t="shared" si="6"/>
        <v>1986</v>
      </c>
      <c r="D92" s="3">
        <v>32.299999999999997</v>
      </c>
      <c r="E92" s="3">
        <v>6.2</v>
      </c>
      <c r="F92">
        <v>1</v>
      </c>
      <c r="H92" s="33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33">
        <f t="shared" si="6"/>
        <v>1987</v>
      </c>
      <c r="D93" s="3">
        <v>31.4</v>
      </c>
      <c r="E93" s="3">
        <v>6.1</v>
      </c>
      <c r="F93">
        <v>1</v>
      </c>
      <c r="H93" s="33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33">
        <f t="shared" si="6"/>
        <v>1988</v>
      </c>
      <c r="D94" s="3">
        <v>30.4</v>
      </c>
      <c r="E94" s="3">
        <v>6.1</v>
      </c>
      <c r="F94">
        <v>1</v>
      </c>
      <c r="H94" s="33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33">
        <f t="shared" si="6"/>
        <v>1989</v>
      </c>
      <c r="D95" s="3">
        <v>29.9</v>
      </c>
      <c r="E95" s="3">
        <v>6.2</v>
      </c>
      <c r="F95">
        <v>1</v>
      </c>
      <c r="H95" s="33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33">
        <f t="shared" si="6"/>
        <v>1990</v>
      </c>
      <c r="D96" s="3">
        <v>29.4</v>
      </c>
      <c r="E96" s="3">
        <v>6.2</v>
      </c>
      <c r="F96">
        <v>1</v>
      </c>
      <c r="H96" s="33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33">
        <f t="shared" si="6"/>
        <v>1991</v>
      </c>
      <c r="D97" s="3">
        <v>29.1</v>
      </c>
      <c r="E97" s="3">
        <v>6.1</v>
      </c>
      <c r="F97">
        <v>1</v>
      </c>
      <c r="H97" s="33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33">
        <f t="shared" si="6"/>
        <v>1992</v>
      </c>
      <c r="D98" s="3">
        <v>28.7</v>
      </c>
      <c r="E98" s="3">
        <v>6</v>
      </c>
      <c r="F98">
        <v>1</v>
      </c>
      <c r="H98" s="33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33">
        <f t="shared" si="6"/>
        <v>1993</v>
      </c>
      <c r="D99" s="3">
        <v>28.3</v>
      </c>
      <c r="E99" s="3">
        <v>5.9</v>
      </c>
      <c r="F99">
        <v>1</v>
      </c>
      <c r="H99" s="33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33">
        <f t="shared" si="6"/>
        <v>1994</v>
      </c>
      <c r="D100" s="3">
        <v>27.7</v>
      </c>
      <c r="E100" s="3">
        <v>5.8</v>
      </c>
      <c r="F100">
        <v>1</v>
      </c>
      <c r="H100" s="33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33">
        <f t="shared" si="6"/>
        <v>1995</v>
      </c>
      <c r="D101" s="3">
        <v>27.1</v>
      </c>
      <c r="E101" s="3">
        <v>5.7</v>
      </c>
      <c r="F101">
        <v>1</v>
      </c>
      <c r="H101" s="33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33">
        <f t="shared" si="6"/>
        <v>1996</v>
      </c>
      <c r="D102" s="3">
        <v>26.4</v>
      </c>
      <c r="E102" s="3">
        <v>5.6</v>
      </c>
      <c r="F102">
        <v>1</v>
      </c>
      <c r="H102" s="33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33">
        <f t="shared" si="6"/>
        <v>1997</v>
      </c>
      <c r="D103" s="3">
        <v>25.8</v>
      </c>
      <c r="E103" s="3">
        <v>5.6</v>
      </c>
      <c r="F103">
        <v>1</v>
      </c>
      <c r="H103" s="33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33">
        <f t="shared" si="6"/>
        <v>1998</v>
      </c>
      <c r="D104" s="3">
        <v>25.1</v>
      </c>
      <c r="E104" s="3">
        <v>5.5</v>
      </c>
      <c r="F104">
        <v>1</v>
      </c>
      <c r="H104" s="33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33">
        <f t="shared" si="6"/>
        <v>1999</v>
      </c>
      <c r="D105" s="3">
        <v>24.6</v>
      </c>
      <c r="E105" s="3">
        <v>5.5</v>
      </c>
      <c r="F105">
        <v>1</v>
      </c>
      <c r="H105" s="33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33">
        <f t="shared" si="6"/>
        <v>2000</v>
      </c>
      <c r="D106" s="3">
        <v>24.2</v>
      </c>
      <c r="E106" s="3">
        <v>5.5</v>
      </c>
      <c r="F106">
        <v>1</v>
      </c>
      <c r="H106" s="33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33">
        <f t="shared" si="6"/>
        <v>2001</v>
      </c>
      <c r="D107" s="3">
        <v>23.8</v>
      </c>
      <c r="E107" s="3">
        <v>5.4</v>
      </c>
      <c r="F107">
        <v>1</v>
      </c>
      <c r="H107" s="33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33">
        <f t="shared" si="6"/>
        <v>2002</v>
      </c>
      <c r="D108" s="3">
        <v>23.4</v>
      </c>
      <c r="E108" s="3">
        <v>5.5</v>
      </c>
      <c r="F108">
        <v>1</v>
      </c>
      <c r="H108" s="33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33">
        <f t="shared" si="6"/>
        <v>2003</v>
      </c>
      <c r="D109" s="3">
        <v>22.8</v>
      </c>
      <c r="E109" s="3">
        <v>5.5</v>
      </c>
      <c r="F109">
        <v>1</v>
      </c>
      <c r="H109" s="33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33">
        <f t="shared" si="6"/>
        <v>2004</v>
      </c>
      <c r="D110" s="3">
        <v>22.4</v>
      </c>
      <c r="E110" s="3">
        <v>5.5</v>
      </c>
      <c r="F110">
        <v>1</v>
      </c>
      <c r="H110" s="33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33">
        <f t="shared" si="6"/>
        <v>2005</v>
      </c>
      <c r="D111" s="3">
        <v>21.9</v>
      </c>
      <c r="E111" s="3">
        <v>5.5</v>
      </c>
      <c r="F111">
        <v>1</v>
      </c>
      <c r="H111" s="33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33">
        <f t="shared" si="6"/>
        <v>2006</v>
      </c>
      <c r="D112" s="3">
        <v>21.5</v>
      </c>
      <c r="E112" s="3">
        <v>5.6</v>
      </c>
      <c r="F112">
        <v>1</v>
      </c>
      <c r="H112" s="33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33">
        <f t="shared" si="6"/>
        <v>2007</v>
      </c>
      <c r="D113" s="3">
        <v>21.1</v>
      </c>
      <c r="E113" s="3">
        <v>5.6</v>
      </c>
      <c r="F113">
        <v>1</v>
      </c>
      <c r="H113" s="33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33">
        <f t="shared" si="6"/>
        <v>2008</v>
      </c>
      <c r="D114" s="3">
        <v>20.8</v>
      </c>
      <c r="E114" s="3">
        <v>5.7</v>
      </c>
      <c r="F114">
        <v>1</v>
      </c>
      <c r="H114" s="33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33">
        <f t="shared" si="6"/>
        <v>2009</v>
      </c>
      <c r="D115" s="3">
        <v>20.6</v>
      </c>
      <c r="E115" s="3">
        <v>5.7</v>
      </c>
      <c r="F115">
        <v>1</v>
      </c>
      <c r="H115" s="33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33">
        <f t="shared" si="6"/>
        <v>2010</v>
      </c>
      <c r="D116" s="3">
        <v>20.3</v>
      </c>
      <c r="E116" s="3">
        <v>5.7</v>
      </c>
      <c r="F116">
        <v>1</v>
      </c>
      <c r="H116" s="33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33">
        <f t="shared" si="6"/>
        <v>2011</v>
      </c>
      <c r="D117" s="3">
        <v>20.100000000000001</v>
      </c>
      <c r="E117" s="3">
        <v>5.7</v>
      </c>
      <c r="F117">
        <v>1</v>
      </c>
      <c r="H117" s="33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33">
        <f t="shared" si="6"/>
        <v>2012</v>
      </c>
      <c r="D118" s="3">
        <v>19.899999999999999</v>
      </c>
      <c r="E118" s="3">
        <v>5.7</v>
      </c>
      <c r="F118">
        <v>1</v>
      </c>
      <c r="H118" s="33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33">
        <f t="shared" si="6"/>
        <v>2013</v>
      </c>
      <c r="D119" s="3">
        <v>19.600000000000001</v>
      </c>
      <c r="E119" s="3">
        <v>5.7</v>
      </c>
      <c r="F119">
        <v>1</v>
      </c>
      <c r="H119" s="33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33">
        <f t="shared" si="6"/>
        <v>2014</v>
      </c>
      <c r="D120" s="3">
        <v>19</v>
      </c>
      <c r="E120" s="3">
        <v>5.7</v>
      </c>
      <c r="F120">
        <v>1</v>
      </c>
      <c r="H120" s="33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33">
        <f t="shared" si="6"/>
        <v>2015</v>
      </c>
      <c r="D121" s="3">
        <v>18.2</v>
      </c>
      <c r="E121" s="3">
        <v>5.8</v>
      </c>
      <c r="F121">
        <v>1</v>
      </c>
      <c r="H121" s="33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33">
        <f t="shared" si="6"/>
        <v>2016</v>
      </c>
      <c r="D122" s="3">
        <v>17.7</v>
      </c>
      <c r="E122" s="3">
        <v>5.9</v>
      </c>
      <c r="F122">
        <v>1</v>
      </c>
      <c r="H122" s="33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33">
        <f t="shared" si="6"/>
        <v>2017</v>
      </c>
      <c r="D123" s="3">
        <v>17.2</v>
      </c>
      <c r="E123" s="3">
        <v>6</v>
      </c>
      <c r="F123">
        <v>1</v>
      </c>
      <c r="H123" s="33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33">
        <f t="shared" si="6"/>
        <v>2018</v>
      </c>
      <c r="D124" s="3">
        <v>17</v>
      </c>
      <c r="E124" s="3">
        <v>6.1</v>
      </c>
      <c r="F124">
        <v>1</v>
      </c>
      <c r="H124" s="33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33">
        <f t="shared" si="6"/>
        <v>2019</v>
      </c>
      <c r="D125" s="3">
        <v>16.899999999999999</v>
      </c>
      <c r="E125" s="3">
        <v>6.1</v>
      </c>
      <c r="F125">
        <v>1</v>
      </c>
      <c r="H125" s="33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33">
        <f t="shared" si="6"/>
        <v>2020</v>
      </c>
      <c r="D126" s="3">
        <v>16.600000000000001</v>
      </c>
      <c r="E126" s="3">
        <v>8.4</v>
      </c>
      <c r="F126">
        <v>1</v>
      </c>
      <c r="H126" s="33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33">
        <f t="shared" si="6"/>
        <v>2021</v>
      </c>
      <c r="D127" s="3">
        <v>16.399999999999999</v>
      </c>
      <c r="E127" s="3">
        <v>9</v>
      </c>
      <c r="F127">
        <v>1</v>
      </c>
      <c r="H127" s="33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33">
        <f t="shared" si="6"/>
        <v>2022</v>
      </c>
      <c r="D128" s="3">
        <v>16</v>
      </c>
      <c r="E128" s="3">
        <v>6.5</v>
      </c>
      <c r="F128">
        <v>1</v>
      </c>
      <c r="H128" s="33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33">
        <f t="shared" si="6"/>
        <v>2023</v>
      </c>
      <c r="D129" s="3">
        <v>15.7</v>
      </c>
      <c r="E129" s="3">
        <v>6.2</v>
      </c>
      <c r="F129">
        <v>1</v>
      </c>
      <c r="H129" s="33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E51" sqref="E5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7" t="s">
        <v>100</v>
      </c>
      <c r="C1" s="37"/>
      <c r="D1" s="37" t="s">
        <v>75</v>
      </c>
      <c r="E1" s="37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workbookViewId="0">
      <selection activeCell="B18" sqref="B18:C37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7" t="s">
        <v>100</v>
      </c>
      <c r="C1" s="37"/>
      <c r="D1" s="37" t="s">
        <v>75</v>
      </c>
      <c r="E1" s="37"/>
    </row>
    <row r="2" spans="1:13" x14ac:dyDescent="0.25">
      <c r="A2" s="32" t="s">
        <v>73</v>
      </c>
      <c r="B2" s="32" t="s">
        <v>96</v>
      </c>
      <c r="C2" s="32" t="s">
        <v>97</v>
      </c>
      <c r="D2" s="32" t="s">
        <v>98</v>
      </c>
      <c r="E2" s="32" t="s">
        <v>99</v>
      </c>
      <c r="F2" s="32" t="s">
        <v>83</v>
      </c>
      <c r="G2" s="32" t="s">
        <v>84</v>
      </c>
      <c r="H2" s="32" t="s">
        <v>85</v>
      </c>
      <c r="J2" s="32" t="s">
        <v>73</v>
      </c>
      <c r="K2" s="32" t="s">
        <v>89</v>
      </c>
      <c r="L2" s="32" t="s">
        <v>90</v>
      </c>
      <c r="M2" s="32" t="s">
        <v>88</v>
      </c>
    </row>
    <row r="3" spans="1:13" x14ac:dyDescent="0.25">
      <c r="A3" s="32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32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32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32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32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32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32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32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32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32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32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32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32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32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32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32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25">
      <c r="A19" s="32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25">
      <c r="A20" s="32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25">
      <c r="A21" s="32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25">
      <c r="A22" s="32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25">
      <c r="A23" s="32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25">
      <c r="A24" s="32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25">
      <c r="A25" s="32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25">
      <c r="A26" s="32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25">
      <c r="A27" s="32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25">
      <c r="A28" s="32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25">
      <c r="A29" s="32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25">
      <c r="A30" s="32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25">
      <c r="A31" s="32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25">
      <c r="A32" s="32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25">
      <c r="A33" s="32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25">
      <c r="A34" s="32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25">
      <c r="A35" s="32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25">
      <c r="A36" s="32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25">
      <c r="A37" s="32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25">
      <c r="A38" s="32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32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32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32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32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32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32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32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32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32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32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32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32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32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32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32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32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32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32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32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32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25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25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25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25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25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25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25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25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25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25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25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25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25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25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25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25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25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25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25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25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25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25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25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25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25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25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25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25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25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25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25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25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25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25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25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25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25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25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25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25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25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25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25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25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25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25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25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25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25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25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25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25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25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25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25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25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25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25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25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25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M131"/>
  <sheetViews>
    <sheetView workbookViewId="0">
      <selection activeCell="E47" sqref="E47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7" t="s">
        <v>100</v>
      </c>
      <c r="C1" s="37"/>
      <c r="D1" s="37" t="s">
        <v>160</v>
      </c>
      <c r="E1" s="37"/>
    </row>
    <row r="2" spans="1:13" x14ac:dyDescent="0.25">
      <c r="A2" s="30" t="s">
        <v>73</v>
      </c>
      <c r="B2" s="30" t="s">
        <v>96</v>
      </c>
      <c r="C2" s="30" t="s">
        <v>97</v>
      </c>
      <c r="D2" s="30" t="s">
        <v>162</v>
      </c>
      <c r="E2" s="30" t="s">
        <v>161</v>
      </c>
      <c r="F2" s="30" t="s">
        <v>163</v>
      </c>
      <c r="G2" s="30" t="s">
        <v>84</v>
      </c>
      <c r="H2" s="30" t="s">
        <v>85</v>
      </c>
      <c r="J2" s="30" t="s">
        <v>73</v>
      </c>
      <c r="K2" s="30" t="s">
        <v>89</v>
      </c>
      <c r="L2" s="30" t="s">
        <v>90</v>
      </c>
      <c r="M2" s="30" t="s">
        <v>88</v>
      </c>
    </row>
    <row r="3" spans="1:13" x14ac:dyDescent="0.25">
      <c r="A3" s="30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30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30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30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30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30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30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30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30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30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30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30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30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30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30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30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4"/>
        <v>39.755000000000003</v>
      </c>
      <c r="M18" s="3">
        <f t="shared" si="5"/>
        <v>4.9989999999999952</v>
      </c>
    </row>
    <row r="19" spans="1:13" x14ac:dyDescent="0.25">
      <c r="A19" s="30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4"/>
        <v>43.747999999999998</v>
      </c>
      <c r="M19" s="3">
        <f t="shared" si="5"/>
        <v>0.28000000000000114</v>
      </c>
    </row>
    <row r="20" spans="1:13" x14ac:dyDescent="0.25">
      <c r="A20" s="30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4"/>
        <v>47.228000000000002</v>
      </c>
      <c r="M20" s="3">
        <f t="shared" si="5"/>
        <v>-3.9909999999999997</v>
      </c>
    </row>
    <row r="21" spans="1:13" x14ac:dyDescent="0.25">
      <c r="A21" s="30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4"/>
        <v>49.844999999999999</v>
      </c>
      <c r="M21" s="3">
        <f t="shared" si="5"/>
        <v>-7.4450000000000003</v>
      </c>
    </row>
    <row r="22" spans="1:13" x14ac:dyDescent="0.25">
      <c r="A22" s="30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4"/>
        <v>51.515999999999998</v>
      </c>
      <c r="M22" s="3">
        <f t="shared" si="5"/>
        <v>-9.9639999999999986</v>
      </c>
    </row>
    <row r="23" spans="1:13" x14ac:dyDescent="0.25">
      <c r="A23" s="30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4"/>
        <v>52.478000000000002</v>
      </c>
      <c r="M23" s="3">
        <f t="shared" si="5"/>
        <v>-12.079999999999998</v>
      </c>
    </row>
    <row r="24" spans="1:13" x14ac:dyDescent="0.25">
      <c r="A24" s="30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4"/>
        <v>51.744999999999997</v>
      </c>
      <c r="M24" s="3">
        <f t="shared" si="5"/>
        <v>-11.724999999999994</v>
      </c>
    </row>
    <row r="25" spans="1:13" x14ac:dyDescent="0.25">
      <c r="A25" s="30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4"/>
        <v>49.595999999999997</v>
      </c>
      <c r="M25" s="3">
        <f t="shared" si="5"/>
        <v>-9.4809999999999945</v>
      </c>
    </row>
    <row r="26" spans="1:13" x14ac:dyDescent="0.25">
      <c r="A26" s="30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4"/>
        <v>46.064999999999998</v>
      </c>
      <c r="M26" s="3">
        <f t="shared" si="5"/>
        <v>-5.3489999999999966</v>
      </c>
    </row>
    <row r="27" spans="1:13" x14ac:dyDescent="0.25">
      <c r="A27" s="30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4"/>
        <v>41.4</v>
      </c>
      <c r="M27" s="3">
        <f t="shared" si="5"/>
        <v>0.375</v>
      </c>
    </row>
    <row r="28" spans="1:13" x14ac:dyDescent="0.25">
      <c r="A28" s="30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4"/>
        <v>34.360999999999997</v>
      </c>
      <c r="M28" s="3">
        <f t="shared" si="5"/>
        <v>9.4650000000000034</v>
      </c>
    </row>
    <row r="29" spans="1:13" x14ac:dyDescent="0.25">
      <c r="A29" s="30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4"/>
        <v>30.233000000000001</v>
      </c>
      <c r="M29" s="3">
        <f t="shared" si="5"/>
        <v>14.745999999999999</v>
      </c>
    </row>
    <row r="30" spans="1:13" x14ac:dyDescent="0.25">
      <c r="A30" s="30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4"/>
        <v>27.291</v>
      </c>
      <c r="M30" s="3">
        <f t="shared" si="5"/>
        <v>18.438999999999997</v>
      </c>
    </row>
    <row r="31" spans="1:13" x14ac:dyDescent="0.25">
      <c r="A31" s="30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4"/>
        <v>25.574999999999999</v>
      </c>
      <c r="M31" s="3">
        <f t="shared" si="5"/>
        <v>20.439000000000004</v>
      </c>
    </row>
    <row r="32" spans="1:13" x14ac:dyDescent="0.25">
      <c r="A32" s="30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4"/>
        <v>24.937000000000001</v>
      </c>
      <c r="M32" s="3">
        <f t="shared" si="5"/>
        <v>20.929999999999996</v>
      </c>
    </row>
    <row r="33" spans="1:13" x14ac:dyDescent="0.25">
      <c r="A33" s="30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4"/>
        <v>26.001000000000001</v>
      </c>
      <c r="M33" s="3">
        <f t="shared" si="5"/>
        <v>18.961000000000002</v>
      </c>
    </row>
    <row r="34" spans="1:13" x14ac:dyDescent="0.25">
      <c r="A34" s="30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4"/>
        <v>26.396999999999998</v>
      </c>
      <c r="M34" s="3">
        <f t="shared" si="5"/>
        <v>18.108000000000004</v>
      </c>
    </row>
    <row r="35" spans="1:13" x14ac:dyDescent="0.25">
      <c r="A35" s="30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4"/>
        <v>26.771000000000001</v>
      </c>
      <c r="M35" s="3">
        <f t="shared" si="5"/>
        <v>17.394999999999996</v>
      </c>
    </row>
    <row r="36" spans="1:13" x14ac:dyDescent="0.25">
      <c r="A36" s="30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4"/>
        <v>27.05</v>
      </c>
      <c r="M36" s="3">
        <f t="shared" si="5"/>
        <v>16.929999999999996</v>
      </c>
    </row>
    <row r="37" spans="1:13" x14ac:dyDescent="0.25">
      <c r="A37" s="30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4"/>
        <v>27.225999999999999</v>
      </c>
      <c r="M37" s="3">
        <f t="shared" si="5"/>
        <v>16.707000000000001</v>
      </c>
    </row>
    <row r="38" spans="1:13" x14ac:dyDescent="0.25">
      <c r="A38" s="30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30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30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30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30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30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30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30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30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30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30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30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30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30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30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30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30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30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30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30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30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46.3</v>
      </c>
      <c r="E68" s="3">
        <v>12.8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46.3</v>
      </c>
      <c r="E69" s="3">
        <v>12.3</v>
      </c>
      <c r="F69" s="16">
        <f t="shared" si="7"/>
        <v>8.5600000000000034E-3</v>
      </c>
      <c r="G69" s="3">
        <f t="shared" si="8"/>
        <v>45.995627920000011</v>
      </c>
      <c r="H69" s="3">
        <f t="shared" si="9"/>
        <v>11.350200479999998</v>
      </c>
      <c r="J69" s="17">
        <f t="shared" si="10"/>
        <v>1961</v>
      </c>
      <c r="K69" s="3">
        <f t="shared" si="11"/>
        <v>45.995627920000011</v>
      </c>
      <c r="L69" s="3">
        <f t="shared" si="11"/>
        <v>11.350200479999998</v>
      </c>
      <c r="M69" s="3">
        <f t="shared" si="12"/>
        <v>34.645427440000013</v>
      </c>
    </row>
    <row r="70" spans="1:13" x14ac:dyDescent="0.25">
      <c r="A70" s="14">
        <f t="shared" si="6"/>
        <v>1962</v>
      </c>
      <c r="D70" s="3">
        <v>46.1</v>
      </c>
      <c r="E70" s="3">
        <v>12.1</v>
      </c>
      <c r="F70" s="16">
        <f t="shared" si="7"/>
        <v>5.7920000000000013E-2</v>
      </c>
      <c r="G70" s="3">
        <f t="shared" si="8"/>
        <v>45.810781440000014</v>
      </c>
      <c r="H70" s="3">
        <f t="shared" si="9"/>
        <v>11.197487359999998</v>
      </c>
      <c r="J70" s="17">
        <f t="shared" si="10"/>
        <v>1962</v>
      </c>
      <c r="K70" s="3">
        <f t="shared" si="11"/>
        <v>45.810781440000014</v>
      </c>
      <c r="L70" s="3">
        <f t="shared" si="11"/>
        <v>11.197487359999998</v>
      </c>
      <c r="M70" s="3">
        <f t="shared" si="12"/>
        <v>34.613294080000017</v>
      </c>
    </row>
    <row r="71" spans="1:13" x14ac:dyDescent="0.25">
      <c r="A71" s="14">
        <f t="shared" si="6"/>
        <v>1963</v>
      </c>
      <c r="D71" s="3">
        <v>46</v>
      </c>
      <c r="E71" s="3">
        <v>11.9</v>
      </c>
      <c r="F71" s="16">
        <f t="shared" si="7"/>
        <v>0.16308</v>
      </c>
      <c r="G71" s="3">
        <f t="shared" si="8"/>
        <v>45.743065560000012</v>
      </c>
      <c r="H71" s="3">
        <f t="shared" si="9"/>
        <v>11.098230639999999</v>
      </c>
      <c r="J71" s="17">
        <f t="shared" si="10"/>
        <v>1963</v>
      </c>
      <c r="K71" s="3">
        <f t="shared" si="11"/>
        <v>45.743065560000012</v>
      </c>
      <c r="L71" s="3">
        <f t="shared" si="11"/>
        <v>11.098230639999999</v>
      </c>
      <c r="M71" s="3">
        <f t="shared" si="12"/>
        <v>34.644834920000015</v>
      </c>
    </row>
    <row r="72" spans="1:13" x14ac:dyDescent="0.25">
      <c r="A72" s="14">
        <f t="shared" si="6"/>
        <v>1964</v>
      </c>
      <c r="D72" s="3">
        <v>45.8</v>
      </c>
      <c r="E72" s="3">
        <v>11.4</v>
      </c>
      <c r="F72" s="16">
        <f t="shared" si="7"/>
        <v>0.31744000000000006</v>
      </c>
      <c r="G72" s="3">
        <f t="shared" si="8"/>
        <v>45.590454080000008</v>
      </c>
      <c r="H72" s="3">
        <f t="shared" si="9"/>
        <v>10.746107519999999</v>
      </c>
      <c r="J72" s="17">
        <f t="shared" si="10"/>
        <v>1964</v>
      </c>
      <c r="K72" s="3">
        <f t="shared" si="11"/>
        <v>45.590454080000008</v>
      </c>
      <c r="L72" s="3">
        <f t="shared" si="11"/>
        <v>10.746107519999999</v>
      </c>
      <c r="M72" s="3">
        <f t="shared" si="12"/>
        <v>34.844346560000005</v>
      </c>
    </row>
    <row r="73" spans="1:13" x14ac:dyDescent="0.25">
      <c r="A73" s="14">
        <f t="shared" si="6"/>
        <v>1965</v>
      </c>
      <c r="D73" s="3">
        <v>45.3</v>
      </c>
      <c r="E73" s="3">
        <v>11.2</v>
      </c>
      <c r="F73" s="16">
        <f t="shared" si="7"/>
        <v>0.5</v>
      </c>
      <c r="G73" s="3">
        <f t="shared" si="8"/>
        <v>45.146500000000003</v>
      </c>
      <c r="H73" s="3">
        <f t="shared" si="9"/>
        <v>10.720999999999998</v>
      </c>
      <c r="J73" s="17">
        <f t="shared" si="10"/>
        <v>1965</v>
      </c>
      <c r="K73" s="3">
        <f t="shared" si="11"/>
        <v>45.146500000000003</v>
      </c>
      <c r="L73" s="3">
        <f t="shared" si="11"/>
        <v>10.720999999999998</v>
      </c>
      <c r="M73" s="3">
        <f t="shared" si="12"/>
        <v>34.425500000000007</v>
      </c>
    </row>
    <row r="74" spans="1:13" x14ac:dyDescent="0.25">
      <c r="A74" s="14">
        <f t="shared" si="6"/>
        <v>1966</v>
      </c>
      <c r="D74" s="3">
        <v>44.9</v>
      </c>
      <c r="E74" s="3">
        <v>10.9</v>
      </c>
      <c r="F74" s="16">
        <f t="shared" si="7"/>
        <v>0.68256000000000006</v>
      </c>
      <c r="G74" s="3">
        <f t="shared" si="8"/>
        <v>44.80254592</v>
      </c>
      <c r="H74" s="3">
        <f t="shared" si="9"/>
        <v>10.59589248</v>
      </c>
      <c r="J74" s="17">
        <f t="shared" si="10"/>
        <v>1966</v>
      </c>
      <c r="K74" s="3">
        <f t="shared" si="11"/>
        <v>44.80254592</v>
      </c>
      <c r="L74" s="3">
        <f t="shared" si="11"/>
        <v>10.59589248</v>
      </c>
      <c r="M74" s="3">
        <f t="shared" si="12"/>
        <v>34.206653439999997</v>
      </c>
    </row>
    <row r="75" spans="1:13" x14ac:dyDescent="0.25">
      <c r="A75" s="14">
        <f t="shared" si="6"/>
        <v>1967</v>
      </c>
      <c r="D75" s="3">
        <v>44.6</v>
      </c>
      <c r="E75" s="3">
        <v>10.5</v>
      </c>
      <c r="F75" s="16">
        <f t="shared" si="7"/>
        <v>0.83691999999999966</v>
      </c>
      <c r="G75" s="3">
        <f t="shared" si="8"/>
        <v>44.549934440000001</v>
      </c>
      <c r="H75" s="3">
        <f t="shared" si="9"/>
        <v>10.34376936</v>
      </c>
      <c r="J75" s="17">
        <f t="shared" si="10"/>
        <v>1967</v>
      </c>
      <c r="K75" s="3">
        <f t="shared" si="11"/>
        <v>44.549934440000001</v>
      </c>
      <c r="L75" s="3">
        <f t="shared" si="11"/>
        <v>10.34376936</v>
      </c>
      <c r="M75" s="3">
        <f t="shared" si="12"/>
        <v>34.206165080000005</v>
      </c>
    </row>
    <row r="76" spans="1:13" x14ac:dyDescent="0.25">
      <c r="A76" s="14">
        <f t="shared" si="6"/>
        <v>1968</v>
      </c>
      <c r="D76" s="3">
        <v>44.3</v>
      </c>
      <c r="E76" s="3">
        <v>10.5</v>
      </c>
      <c r="F76" s="16">
        <f t="shared" si="7"/>
        <v>0.94208000000000058</v>
      </c>
      <c r="G76" s="3">
        <f t="shared" si="8"/>
        <v>44.282218559999997</v>
      </c>
      <c r="H76" s="3">
        <f t="shared" si="9"/>
        <v>10.444512640000001</v>
      </c>
      <c r="J76" s="17">
        <f t="shared" si="10"/>
        <v>1968</v>
      </c>
      <c r="K76" s="3">
        <f t="shared" si="11"/>
        <v>44.282218559999997</v>
      </c>
      <c r="L76" s="3">
        <f t="shared" si="11"/>
        <v>10.444512640000001</v>
      </c>
      <c r="M76" s="3">
        <f t="shared" si="12"/>
        <v>33.837705919999998</v>
      </c>
    </row>
    <row r="77" spans="1:13" x14ac:dyDescent="0.25">
      <c r="A77" s="14">
        <f t="shared" si="6"/>
        <v>1969</v>
      </c>
      <c r="D77" s="3">
        <v>43.9</v>
      </c>
      <c r="E77" s="3">
        <v>10.1</v>
      </c>
      <c r="F77" s="16">
        <f t="shared" si="7"/>
        <v>0.99144000000000032</v>
      </c>
      <c r="G77" s="3">
        <f t="shared" si="8"/>
        <v>43.897372079999997</v>
      </c>
      <c r="H77" s="3">
        <f t="shared" si="9"/>
        <v>10.09179952</v>
      </c>
      <c r="J77" s="17">
        <f t="shared" si="10"/>
        <v>1969</v>
      </c>
      <c r="K77" s="3">
        <f t="shared" si="11"/>
        <v>43.897372079999997</v>
      </c>
      <c r="L77" s="3">
        <f t="shared" si="11"/>
        <v>10.09179952</v>
      </c>
      <c r="M77" s="3">
        <f t="shared" si="12"/>
        <v>33.805572559999995</v>
      </c>
    </row>
    <row r="78" spans="1:13" x14ac:dyDescent="0.25">
      <c r="A78" s="14">
        <f t="shared" si="6"/>
        <v>1970</v>
      </c>
      <c r="D78" s="3">
        <v>43.5</v>
      </c>
      <c r="E78" s="3">
        <v>10.3</v>
      </c>
      <c r="F78">
        <f t="shared" si="7"/>
        <v>1</v>
      </c>
      <c r="G78" s="3">
        <f t="shared" si="8"/>
        <v>43.5</v>
      </c>
      <c r="H78" s="3">
        <f t="shared" si="9"/>
        <v>10.3</v>
      </c>
      <c r="J78" s="17">
        <f t="shared" si="10"/>
        <v>1970</v>
      </c>
      <c r="K78" s="3">
        <f t="shared" si="11"/>
        <v>43.5</v>
      </c>
      <c r="L78" s="3">
        <f t="shared" si="11"/>
        <v>10.3</v>
      </c>
      <c r="M78" s="3">
        <f t="shared" si="12"/>
        <v>33.200000000000003</v>
      </c>
    </row>
    <row r="79" spans="1:13" x14ac:dyDescent="0.25">
      <c r="A79" s="14">
        <f t="shared" si="6"/>
        <v>1971</v>
      </c>
      <c r="D79" s="3">
        <v>43</v>
      </c>
      <c r="E79" s="3">
        <v>9.3000000000000007</v>
      </c>
      <c r="F79">
        <f t="shared" si="7"/>
        <v>1</v>
      </c>
      <c r="G79" s="3">
        <f t="shared" si="8"/>
        <v>43</v>
      </c>
      <c r="H79" s="3">
        <f t="shared" si="9"/>
        <v>9.3000000000000007</v>
      </c>
      <c r="J79" s="17">
        <f t="shared" si="10"/>
        <v>1971</v>
      </c>
      <c r="K79" s="3">
        <f t="shared" si="11"/>
        <v>43</v>
      </c>
      <c r="L79" s="3">
        <f t="shared" si="11"/>
        <v>9.3000000000000007</v>
      </c>
      <c r="M79" s="3">
        <f t="shared" si="12"/>
        <v>33.700000000000003</v>
      </c>
    </row>
    <row r="80" spans="1:13" x14ac:dyDescent="0.25">
      <c r="A80" s="14">
        <f t="shared" si="6"/>
        <v>1972</v>
      </c>
      <c r="D80" s="3">
        <v>42.5</v>
      </c>
      <c r="E80" s="3">
        <v>9</v>
      </c>
      <c r="F80">
        <f t="shared" si="7"/>
        <v>1</v>
      </c>
      <c r="G80" s="3">
        <f t="shared" si="8"/>
        <v>42.5</v>
      </c>
      <c r="H80" s="3">
        <f t="shared" si="9"/>
        <v>9</v>
      </c>
      <c r="J80" s="17">
        <f t="shared" si="10"/>
        <v>1972</v>
      </c>
      <c r="K80" s="3">
        <f t="shared" si="11"/>
        <v>42.5</v>
      </c>
      <c r="L80" s="3">
        <f t="shared" si="11"/>
        <v>9</v>
      </c>
      <c r="M80" s="3">
        <f t="shared" si="12"/>
        <v>33.5</v>
      </c>
    </row>
    <row r="81" spans="1:13" x14ac:dyDescent="0.25">
      <c r="A81" s="14">
        <f t="shared" si="6"/>
        <v>1973</v>
      </c>
      <c r="D81" s="3">
        <v>41.9</v>
      </c>
      <c r="E81" s="3">
        <v>8.8000000000000007</v>
      </c>
      <c r="F81">
        <f t="shared" si="7"/>
        <v>1</v>
      </c>
      <c r="G81" s="3">
        <f t="shared" si="8"/>
        <v>41.9</v>
      </c>
      <c r="H81" s="3">
        <f t="shared" si="9"/>
        <v>8.8000000000000007</v>
      </c>
      <c r="J81" s="17">
        <f t="shared" si="10"/>
        <v>1973</v>
      </c>
      <c r="K81" s="3">
        <f t="shared" si="11"/>
        <v>41.9</v>
      </c>
      <c r="L81" s="3">
        <f t="shared" si="11"/>
        <v>8.8000000000000007</v>
      </c>
      <c r="M81" s="3">
        <f t="shared" si="12"/>
        <v>33.099999999999994</v>
      </c>
    </row>
    <row r="82" spans="1:13" x14ac:dyDescent="0.25">
      <c r="A82" s="14">
        <f t="shared" si="6"/>
        <v>1974</v>
      </c>
      <c r="D82" s="3">
        <v>41.1</v>
      </c>
      <c r="E82" s="3">
        <v>8.3000000000000007</v>
      </c>
      <c r="F82">
        <f t="shared" si="7"/>
        <v>1</v>
      </c>
      <c r="G82" s="3">
        <f t="shared" si="8"/>
        <v>41.1</v>
      </c>
      <c r="H82" s="3">
        <f t="shared" si="9"/>
        <v>8.3000000000000007</v>
      </c>
      <c r="J82" s="17">
        <f t="shared" si="10"/>
        <v>1974</v>
      </c>
      <c r="K82" s="3">
        <f t="shared" si="11"/>
        <v>41.1</v>
      </c>
      <c r="L82" s="3">
        <f t="shared" si="11"/>
        <v>8.3000000000000007</v>
      </c>
      <c r="M82" s="3">
        <f t="shared" si="12"/>
        <v>32.799999999999997</v>
      </c>
    </row>
    <row r="83" spans="1:13" x14ac:dyDescent="0.25">
      <c r="A83" s="14">
        <f t="shared" si="6"/>
        <v>1975</v>
      </c>
      <c r="D83" s="3">
        <v>40</v>
      </c>
      <c r="E83" s="3">
        <v>8.1</v>
      </c>
      <c r="F83">
        <f t="shared" si="7"/>
        <v>1</v>
      </c>
      <c r="G83" s="3">
        <f t="shared" si="8"/>
        <v>40</v>
      </c>
      <c r="H83" s="3">
        <f t="shared" si="9"/>
        <v>8.1</v>
      </c>
      <c r="J83" s="17">
        <f t="shared" si="10"/>
        <v>1975</v>
      </c>
      <c r="K83" s="3">
        <f t="shared" si="11"/>
        <v>40</v>
      </c>
      <c r="L83" s="3">
        <f t="shared" si="11"/>
        <v>8.1</v>
      </c>
      <c r="M83" s="3">
        <f t="shared" si="12"/>
        <v>31.9</v>
      </c>
    </row>
    <row r="84" spans="1:13" x14ac:dyDescent="0.25">
      <c r="A84" s="14">
        <f t="shared" si="6"/>
        <v>1976</v>
      </c>
      <c r="D84" s="3">
        <v>38.700000000000003</v>
      </c>
      <c r="E84" s="3">
        <v>7.8</v>
      </c>
      <c r="F84">
        <f t="shared" si="7"/>
        <v>1</v>
      </c>
      <c r="G84" s="3">
        <f t="shared" si="8"/>
        <v>38.700000000000003</v>
      </c>
      <c r="H84" s="3">
        <f t="shared" si="9"/>
        <v>7.8</v>
      </c>
      <c r="J84" s="17">
        <f t="shared" si="10"/>
        <v>1976</v>
      </c>
      <c r="K84" s="3">
        <f t="shared" si="11"/>
        <v>38.700000000000003</v>
      </c>
      <c r="L84" s="3">
        <f t="shared" si="11"/>
        <v>7.8</v>
      </c>
      <c r="M84" s="3">
        <f t="shared" si="12"/>
        <v>30.900000000000002</v>
      </c>
    </row>
    <row r="85" spans="1:13" x14ac:dyDescent="0.25">
      <c r="A85" s="14">
        <f t="shared" si="6"/>
        <v>1977</v>
      </c>
      <c r="D85" s="3">
        <v>37.5</v>
      </c>
      <c r="E85" s="3">
        <v>7.5</v>
      </c>
      <c r="F85">
        <f t="shared" si="7"/>
        <v>1</v>
      </c>
      <c r="G85" s="3">
        <f t="shared" si="8"/>
        <v>37.5</v>
      </c>
      <c r="H85" s="3">
        <f t="shared" si="9"/>
        <v>7.5</v>
      </c>
      <c r="J85" s="17">
        <f t="shared" si="10"/>
        <v>1977</v>
      </c>
      <c r="K85" s="3">
        <f t="shared" si="11"/>
        <v>37.5</v>
      </c>
      <c r="L85" s="3">
        <f t="shared" si="11"/>
        <v>7.5</v>
      </c>
      <c r="M85" s="3">
        <f t="shared" si="12"/>
        <v>30</v>
      </c>
    </row>
    <row r="86" spans="1:13" x14ac:dyDescent="0.25">
      <c r="A86" s="14">
        <f t="shared" si="6"/>
        <v>1978</v>
      </c>
      <c r="D86" s="3">
        <v>36.4</v>
      </c>
      <c r="E86" s="3">
        <v>7.3</v>
      </c>
      <c r="F86">
        <f t="shared" si="7"/>
        <v>1</v>
      </c>
      <c r="G86" s="3">
        <f t="shared" si="8"/>
        <v>36.4</v>
      </c>
      <c r="H86" s="3">
        <f t="shared" si="9"/>
        <v>7.3</v>
      </c>
      <c r="J86" s="17">
        <f t="shared" si="10"/>
        <v>1978</v>
      </c>
      <c r="K86" s="3">
        <f t="shared" si="11"/>
        <v>36.4</v>
      </c>
      <c r="L86" s="3">
        <f t="shared" si="11"/>
        <v>7.3</v>
      </c>
      <c r="M86" s="3">
        <f t="shared" si="12"/>
        <v>29.099999999999998</v>
      </c>
    </row>
    <row r="87" spans="1:13" x14ac:dyDescent="0.25">
      <c r="A87" s="14">
        <f t="shared" si="6"/>
        <v>1979</v>
      </c>
      <c r="D87" s="3">
        <v>35.5</v>
      </c>
      <c r="E87" s="3">
        <v>7.1</v>
      </c>
      <c r="F87">
        <f t="shared" si="7"/>
        <v>1</v>
      </c>
      <c r="G87" s="3">
        <f t="shared" si="8"/>
        <v>35.5</v>
      </c>
      <c r="H87" s="3">
        <f t="shared" si="9"/>
        <v>7.1</v>
      </c>
      <c r="J87" s="17">
        <f t="shared" si="10"/>
        <v>1979</v>
      </c>
      <c r="K87" s="3">
        <f t="shared" si="11"/>
        <v>35.5</v>
      </c>
      <c r="L87" s="3">
        <f t="shared" si="11"/>
        <v>7.1</v>
      </c>
      <c r="M87" s="3">
        <f t="shared" si="12"/>
        <v>28.4</v>
      </c>
    </row>
    <row r="88" spans="1:13" x14ac:dyDescent="0.25">
      <c r="A88" s="14">
        <f t="shared" si="6"/>
        <v>1980</v>
      </c>
      <c r="D88" s="3">
        <v>34.700000000000003</v>
      </c>
      <c r="E88" s="3">
        <v>6.9</v>
      </c>
      <c r="F88">
        <f t="shared" si="7"/>
        <v>1</v>
      </c>
      <c r="G88" s="3">
        <f t="shared" si="8"/>
        <v>34.700000000000003</v>
      </c>
      <c r="H88" s="3">
        <f t="shared" si="9"/>
        <v>6.9</v>
      </c>
      <c r="J88" s="17">
        <f t="shared" si="10"/>
        <v>1980</v>
      </c>
      <c r="K88" s="3">
        <f t="shared" si="11"/>
        <v>34.700000000000003</v>
      </c>
      <c r="L88" s="3">
        <f t="shared" si="11"/>
        <v>6.9</v>
      </c>
      <c r="M88" s="3">
        <f t="shared" si="12"/>
        <v>27.800000000000004</v>
      </c>
    </row>
    <row r="89" spans="1:13" x14ac:dyDescent="0.25">
      <c r="A89" s="14">
        <f t="shared" si="6"/>
        <v>1981</v>
      </c>
      <c r="D89" s="3">
        <v>34.1</v>
      </c>
      <c r="E89" s="3">
        <v>6.7</v>
      </c>
      <c r="F89">
        <f t="shared" si="7"/>
        <v>1</v>
      </c>
      <c r="G89" s="3">
        <f t="shared" si="8"/>
        <v>34.1</v>
      </c>
      <c r="H89" s="3">
        <f t="shared" si="9"/>
        <v>6.7</v>
      </c>
      <c r="J89" s="17">
        <f t="shared" si="10"/>
        <v>1981</v>
      </c>
      <c r="K89" s="3">
        <f t="shared" si="11"/>
        <v>34.1</v>
      </c>
      <c r="L89" s="3">
        <f t="shared" si="11"/>
        <v>6.7</v>
      </c>
      <c r="M89" s="3">
        <f t="shared" si="12"/>
        <v>27.400000000000002</v>
      </c>
    </row>
    <row r="90" spans="1:13" x14ac:dyDescent="0.25">
      <c r="A90" s="14">
        <f t="shared" si="6"/>
        <v>1982</v>
      </c>
      <c r="D90" s="3">
        <v>33.6</v>
      </c>
      <c r="E90" s="3">
        <v>6.4</v>
      </c>
      <c r="F90">
        <f t="shared" si="7"/>
        <v>1</v>
      </c>
      <c r="G90" s="3">
        <f t="shared" si="8"/>
        <v>33.6</v>
      </c>
      <c r="H90" s="3">
        <f t="shared" si="9"/>
        <v>6.4</v>
      </c>
      <c r="J90" s="17">
        <f t="shared" si="10"/>
        <v>1982</v>
      </c>
      <c r="K90" s="3">
        <f t="shared" si="11"/>
        <v>33.6</v>
      </c>
      <c r="L90" s="3">
        <f t="shared" si="11"/>
        <v>6.4</v>
      </c>
      <c r="M90" s="3">
        <f t="shared" si="12"/>
        <v>27.200000000000003</v>
      </c>
    </row>
    <row r="91" spans="1:13" x14ac:dyDescent="0.25">
      <c r="A91" s="14">
        <f t="shared" si="6"/>
        <v>1983</v>
      </c>
      <c r="D91" s="3">
        <v>33.1</v>
      </c>
      <c r="E91" s="3">
        <v>6.3</v>
      </c>
      <c r="F91">
        <f t="shared" si="7"/>
        <v>1</v>
      </c>
      <c r="G91" s="3">
        <f t="shared" si="8"/>
        <v>33.1</v>
      </c>
      <c r="H91" s="3">
        <f t="shared" si="9"/>
        <v>6.3</v>
      </c>
      <c r="J91" s="17">
        <f t="shared" si="10"/>
        <v>1983</v>
      </c>
      <c r="K91" s="3">
        <f t="shared" si="11"/>
        <v>33.1</v>
      </c>
      <c r="L91" s="3">
        <f t="shared" si="11"/>
        <v>6.3</v>
      </c>
      <c r="M91" s="3">
        <f t="shared" si="12"/>
        <v>26.8</v>
      </c>
    </row>
    <row r="92" spans="1:13" x14ac:dyDescent="0.25">
      <c r="A92" s="14">
        <f t="shared" si="6"/>
        <v>1984</v>
      </c>
      <c r="D92" s="3">
        <v>32.6</v>
      </c>
      <c r="E92" s="3">
        <v>6.1</v>
      </c>
      <c r="F92">
        <f t="shared" si="7"/>
        <v>1</v>
      </c>
      <c r="G92" s="3">
        <f t="shared" si="8"/>
        <v>32.6</v>
      </c>
      <c r="H92" s="3">
        <f t="shared" si="9"/>
        <v>6.1</v>
      </c>
      <c r="J92" s="17">
        <f t="shared" si="10"/>
        <v>1984</v>
      </c>
      <c r="K92" s="3">
        <f t="shared" si="11"/>
        <v>32.6</v>
      </c>
      <c r="L92" s="3">
        <f t="shared" si="11"/>
        <v>6.1</v>
      </c>
      <c r="M92" s="3">
        <f t="shared" si="12"/>
        <v>26.5</v>
      </c>
    </row>
    <row r="93" spans="1:13" x14ac:dyDescent="0.25">
      <c r="A93" s="14">
        <f t="shared" si="6"/>
        <v>1985</v>
      </c>
      <c r="D93" s="3">
        <v>32.1</v>
      </c>
      <c r="E93" s="3">
        <v>6</v>
      </c>
      <c r="F93">
        <f t="shared" si="7"/>
        <v>1</v>
      </c>
      <c r="G93" s="3">
        <f t="shared" si="8"/>
        <v>32.1</v>
      </c>
      <c r="H93" s="3">
        <f t="shared" si="9"/>
        <v>6</v>
      </c>
      <c r="J93" s="17">
        <f t="shared" si="10"/>
        <v>1985</v>
      </c>
      <c r="K93" s="3">
        <f t="shared" si="11"/>
        <v>32.1</v>
      </c>
      <c r="L93" s="3">
        <f t="shared" si="11"/>
        <v>6</v>
      </c>
      <c r="M93" s="3">
        <f t="shared" si="12"/>
        <v>26.1</v>
      </c>
    </row>
    <row r="94" spans="1:13" x14ac:dyDescent="0.25">
      <c r="A94" s="14">
        <f t="shared" si="6"/>
        <v>1986</v>
      </c>
      <c r="D94" s="3">
        <v>31.5</v>
      </c>
      <c r="E94" s="3">
        <v>5.8</v>
      </c>
      <c r="F94">
        <f t="shared" si="7"/>
        <v>1</v>
      </c>
      <c r="G94" s="3">
        <f t="shared" si="8"/>
        <v>31.5</v>
      </c>
      <c r="H94" s="3">
        <f t="shared" si="9"/>
        <v>5.8</v>
      </c>
      <c r="J94" s="17">
        <f t="shared" si="10"/>
        <v>1986</v>
      </c>
      <c r="K94" s="3">
        <f t="shared" si="11"/>
        <v>31.5</v>
      </c>
      <c r="L94" s="3">
        <f t="shared" si="11"/>
        <v>5.8</v>
      </c>
      <c r="M94" s="3">
        <f t="shared" si="12"/>
        <v>25.7</v>
      </c>
    </row>
    <row r="95" spans="1:13" x14ac:dyDescent="0.25">
      <c r="A95" s="14">
        <f t="shared" si="6"/>
        <v>1987</v>
      </c>
      <c r="D95" s="3">
        <v>31</v>
      </c>
      <c r="E95" s="3">
        <v>5.6</v>
      </c>
      <c r="F95">
        <f t="shared" si="7"/>
        <v>1</v>
      </c>
      <c r="G95" s="3">
        <f t="shared" si="8"/>
        <v>31</v>
      </c>
      <c r="H95" s="3">
        <f t="shared" si="9"/>
        <v>5.6</v>
      </c>
      <c r="J95" s="17">
        <f t="shared" si="10"/>
        <v>1987</v>
      </c>
      <c r="K95" s="3">
        <f t="shared" si="11"/>
        <v>31</v>
      </c>
      <c r="L95" s="3">
        <f t="shared" si="11"/>
        <v>5.6</v>
      </c>
      <c r="M95" s="3">
        <f t="shared" si="12"/>
        <v>25.4</v>
      </c>
    </row>
    <row r="96" spans="1:13" x14ac:dyDescent="0.25">
      <c r="A96" s="14">
        <f t="shared" si="6"/>
        <v>1988</v>
      </c>
      <c r="D96" s="3">
        <v>30.6</v>
      </c>
      <c r="E96" s="3">
        <v>5.6</v>
      </c>
      <c r="F96">
        <f t="shared" si="7"/>
        <v>1</v>
      </c>
      <c r="G96" s="3">
        <f t="shared" si="8"/>
        <v>30.6</v>
      </c>
      <c r="H96" s="3">
        <f t="shared" si="9"/>
        <v>5.6</v>
      </c>
      <c r="J96" s="17">
        <f t="shared" si="10"/>
        <v>1988</v>
      </c>
      <c r="K96" s="3">
        <f t="shared" si="11"/>
        <v>30.6</v>
      </c>
      <c r="L96" s="3">
        <f t="shared" si="11"/>
        <v>5.6</v>
      </c>
      <c r="M96" s="3">
        <f t="shared" si="12"/>
        <v>25</v>
      </c>
    </row>
    <row r="97" spans="1:13" x14ac:dyDescent="0.25">
      <c r="A97" s="14">
        <f t="shared" si="6"/>
        <v>1989</v>
      </c>
      <c r="D97" s="3">
        <v>30.3</v>
      </c>
      <c r="E97" s="3">
        <v>5.6</v>
      </c>
      <c r="F97">
        <f t="shared" si="7"/>
        <v>1</v>
      </c>
      <c r="G97" s="3">
        <f t="shared" si="8"/>
        <v>30.3</v>
      </c>
      <c r="H97" s="3">
        <f t="shared" si="9"/>
        <v>5.6</v>
      </c>
      <c r="J97" s="17">
        <f t="shared" si="10"/>
        <v>1989</v>
      </c>
      <c r="K97" s="3">
        <f t="shared" si="11"/>
        <v>30.3</v>
      </c>
      <c r="L97" s="3">
        <f t="shared" si="11"/>
        <v>5.6</v>
      </c>
      <c r="M97" s="3">
        <f t="shared" si="12"/>
        <v>24.700000000000003</v>
      </c>
    </row>
    <row r="98" spans="1:13" x14ac:dyDescent="0.25">
      <c r="A98" s="14">
        <f t="shared" si="6"/>
        <v>1990</v>
      </c>
      <c r="D98" s="3">
        <v>30</v>
      </c>
      <c r="E98" s="3">
        <v>5.4</v>
      </c>
      <c r="F98">
        <f t="shared" si="7"/>
        <v>1</v>
      </c>
      <c r="G98" s="3">
        <f t="shared" si="8"/>
        <v>30</v>
      </c>
      <c r="H98" s="3">
        <f t="shared" si="9"/>
        <v>5.4</v>
      </c>
      <c r="J98" s="17">
        <f t="shared" si="10"/>
        <v>1990</v>
      </c>
      <c r="K98" s="3">
        <f t="shared" si="11"/>
        <v>30</v>
      </c>
      <c r="L98" s="3">
        <f t="shared" si="11"/>
        <v>5.4</v>
      </c>
      <c r="M98" s="3">
        <f t="shared" si="12"/>
        <v>24.6</v>
      </c>
    </row>
    <row r="99" spans="1:13" x14ac:dyDescent="0.25">
      <c r="A99" s="14">
        <f t="shared" si="6"/>
        <v>1991</v>
      </c>
      <c r="D99" s="3">
        <v>29.6</v>
      </c>
      <c r="E99" s="3">
        <v>5.2</v>
      </c>
      <c r="F99">
        <f t="shared" si="7"/>
        <v>1</v>
      </c>
      <c r="G99" s="3">
        <f t="shared" si="8"/>
        <v>29.6</v>
      </c>
      <c r="H99" s="3">
        <f t="shared" si="9"/>
        <v>5.2</v>
      </c>
      <c r="J99" s="17">
        <f t="shared" si="10"/>
        <v>1991</v>
      </c>
      <c r="K99" s="3">
        <f t="shared" si="11"/>
        <v>29.6</v>
      </c>
      <c r="L99" s="3">
        <f t="shared" si="11"/>
        <v>5.2</v>
      </c>
      <c r="M99" s="3">
        <f t="shared" si="12"/>
        <v>24.400000000000002</v>
      </c>
    </row>
    <row r="100" spans="1:13" x14ac:dyDescent="0.25">
      <c r="A100" s="14">
        <f t="shared" si="6"/>
        <v>1992</v>
      </c>
      <c r="D100" s="3">
        <v>29.1</v>
      </c>
      <c r="E100" s="3">
        <v>5.2</v>
      </c>
      <c r="F100">
        <f t="shared" si="7"/>
        <v>1</v>
      </c>
      <c r="G100" s="3">
        <f t="shared" si="8"/>
        <v>29.1</v>
      </c>
      <c r="H100" s="3">
        <f t="shared" si="9"/>
        <v>5.2</v>
      </c>
      <c r="J100" s="17">
        <f t="shared" si="10"/>
        <v>1992</v>
      </c>
      <c r="K100" s="3">
        <f t="shared" si="11"/>
        <v>29.1</v>
      </c>
      <c r="L100" s="3">
        <f t="shared" si="11"/>
        <v>5.2</v>
      </c>
      <c r="M100" s="3">
        <f t="shared" si="12"/>
        <v>23.900000000000002</v>
      </c>
    </row>
    <row r="101" spans="1:13" x14ac:dyDescent="0.25">
      <c r="A101" s="14">
        <f t="shared" si="6"/>
        <v>1993</v>
      </c>
      <c r="D101" s="3">
        <v>28.4</v>
      </c>
      <c r="E101" s="3">
        <v>5.0999999999999996</v>
      </c>
      <c r="F101">
        <f t="shared" si="7"/>
        <v>1</v>
      </c>
      <c r="G101" s="3">
        <f t="shared" si="8"/>
        <v>28.4</v>
      </c>
      <c r="H101" s="3">
        <f t="shared" si="9"/>
        <v>5.0999999999999996</v>
      </c>
      <c r="J101" s="17">
        <f t="shared" si="10"/>
        <v>1993</v>
      </c>
      <c r="K101" s="3">
        <f t="shared" si="11"/>
        <v>28.4</v>
      </c>
      <c r="L101" s="3">
        <f t="shared" si="11"/>
        <v>5.0999999999999996</v>
      </c>
      <c r="M101" s="3">
        <f t="shared" si="12"/>
        <v>23.299999999999997</v>
      </c>
    </row>
    <row r="102" spans="1:13" x14ac:dyDescent="0.25">
      <c r="A102" s="14">
        <f t="shared" si="6"/>
        <v>1994</v>
      </c>
      <c r="D102" s="3">
        <v>27.7</v>
      </c>
      <c r="E102" s="3">
        <v>5.0999999999999996</v>
      </c>
      <c r="F102">
        <f t="shared" si="7"/>
        <v>1</v>
      </c>
      <c r="G102" s="3">
        <f t="shared" si="8"/>
        <v>27.7</v>
      </c>
      <c r="H102" s="3">
        <f t="shared" si="9"/>
        <v>5.0999999999999996</v>
      </c>
      <c r="J102" s="17">
        <f t="shared" si="10"/>
        <v>1994</v>
      </c>
      <c r="K102" s="3">
        <f t="shared" si="11"/>
        <v>27.7</v>
      </c>
      <c r="L102" s="3">
        <f t="shared" si="11"/>
        <v>5.0999999999999996</v>
      </c>
      <c r="M102" s="3">
        <f t="shared" si="12"/>
        <v>22.6</v>
      </c>
    </row>
    <row r="103" spans="1:13" x14ac:dyDescent="0.25">
      <c r="A103" s="14">
        <f t="shared" si="6"/>
        <v>1995</v>
      </c>
      <c r="D103" s="3">
        <v>27</v>
      </c>
      <c r="E103" s="3">
        <v>5.0999999999999996</v>
      </c>
      <c r="F103">
        <f t="shared" si="7"/>
        <v>1</v>
      </c>
      <c r="G103" s="3">
        <f t="shared" si="8"/>
        <v>27</v>
      </c>
      <c r="H103" s="3">
        <f t="shared" si="9"/>
        <v>5.0999999999999996</v>
      </c>
      <c r="J103" s="17">
        <f t="shared" si="10"/>
        <v>1995</v>
      </c>
      <c r="K103" s="3">
        <f t="shared" si="11"/>
        <v>27</v>
      </c>
      <c r="L103" s="3">
        <f t="shared" si="11"/>
        <v>5.0999999999999996</v>
      </c>
      <c r="M103" s="3">
        <f t="shared" si="12"/>
        <v>21.9</v>
      </c>
    </row>
    <row r="104" spans="1:13" x14ac:dyDescent="0.25">
      <c r="A104" s="14">
        <f t="shared" si="6"/>
        <v>1996</v>
      </c>
      <c r="D104" s="3">
        <v>26.3</v>
      </c>
      <c r="E104" s="3">
        <v>5.0999999999999996</v>
      </c>
      <c r="F104">
        <f t="shared" si="7"/>
        <v>1</v>
      </c>
      <c r="G104" s="3">
        <f t="shared" si="8"/>
        <v>26.3</v>
      </c>
      <c r="H104" s="3">
        <f t="shared" si="9"/>
        <v>5.0999999999999996</v>
      </c>
      <c r="J104" s="17">
        <f t="shared" si="10"/>
        <v>1996</v>
      </c>
      <c r="K104" s="3">
        <f t="shared" si="11"/>
        <v>26.3</v>
      </c>
      <c r="L104" s="3">
        <f t="shared" si="11"/>
        <v>5.0999999999999996</v>
      </c>
      <c r="M104" s="3">
        <f t="shared" si="12"/>
        <v>21.200000000000003</v>
      </c>
    </row>
    <row r="105" spans="1:13" x14ac:dyDescent="0.25">
      <c r="A105" s="14">
        <f t="shared" si="6"/>
        <v>1997</v>
      </c>
      <c r="D105" s="3">
        <v>25.7</v>
      </c>
      <c r="E105" s="3">
        <v>5</v>
      </c>
      <c r="F105">
        <f t="shared" si="7"/>
        <v>1</v>
      </c>
      <c r="G105" s="3">
        <f t="shared" si="8"/>
        <v>25.7</v>
      </c>
      <c r="H105" s="3">
        <f t="shared" si="9"/>
        <v>5</v>
      </c>
      <c r="J105" s="17">
        <f t="shared" si="10"/>
        <v>1997</v>
      </c>
      <c r="K105" s="3">
        <f t="shared" si="11"/>
        <v>25.7</v>
      </c>
      <c r="L105" s="3">
        <f t="shared" si="11"/>
        <v>5</v>
      </c>
      <c r="M105" s="3">
        <f t="shared" si="12"/>
        <v>20.7</v>
      </c>
    </row>
    <row r="106" spans="1:13" x14ac:dyDescent="0.25">
      <c r="A106" s="14">
        <f t="shared" si="6"/>
        <v>1998</v>
      </c>
      <c r="D106" s="3">
        <v>25.4</v>
      </c>
      <c r="E106" s="3">
        <v>5</v>
      </c>
      <c r="F106">
        <f t="shared" si="7"/>
        <v>1</v>
      </c>
      <c r="G106" s="3">
        <f t="shared" si="8"/>
        <v>25.4</v>
      </c>
      <c r="H106" s="3">
        <f t="shared" si="9"/>
        <v>5</v>
      </c>
      <c r="J106" s="17">
        <f t="shared" si="10"/>
        <v>1998</v>
      </c>
      <c r="K106" s="3">
        <f t="shared" si="11"/>
        <v>25.4</v>
      </c>
      <c r="L106" s="3">
        <f t="shared" si="11"/>
        <v>5</v>
      </c>
      <c r="M106" s="3">
        <f t="shared" si="12"/>
        <v>20.399999999999999</v>
      </c>
    </row>
    <row r="107" spans="1:13" x14ac:dyDescent="0.25">
      <c r="A107" s="14">
        <f t="shared" si="6"/>
        <v>1999</v>
      </c>
      <c r="D107" s="3">
        <v>25.1</v>
      </c>
      <c r="E107" s="3">
        <v>4.9000000000000004</v>
      </c>
      <c r="F107">
        <f t="shared" si="7"/>
        <v>1</v>
      </c>
      <c r="G107" s="3">
        <f t="shared" si="8"/>
        <v>25.1</v>
      </c>
      <c r="H107" s="3">
        <f t="shared" si="9"/>
        <v>4.9000000000000004</v>
      </c>
      <c r="J107" s="17">
        <f t="shared" si="10"/>
        <v>1999</v>
      </c>
      <c r="K107" s="3">
        <f t="shared" si="11"/>
        <v>25.1</v>
      </c>
      <c r="L107" s="3">
        <f t="shared" si="11"/>
        <v>4.9000000000000004</v>
      </c>
      <c r="M107" s="3">
        <f t="shared" si="12"/>
        <v>20.200000000000003</v>
      </c>
    </row>
    <row r="108" spans="1:13" x14ac:dyDescent="0.25">
      <c r="A108" s="14">
        <f t="shared" si="6"/>
        <v>2000</v>
      </c>
      <c r="D108" s="3">
        <v>24.7</v>
      </c>
      <c r="E108" s="3">
        <v>4.8</v>
      </c>
      <c r="F108">
        <f t="shared" si="7"/>
        <v>1</v>
      </c>
      <c r="G108" s="3">
        <f t="shared" si="8"/>
        <v>24.7</v>
      </c>
      <c r="H108" s="3">
        <f t="shared" si="9"/>
        <v>4.8</v>
      </c>
      <c r="J108" s="17">
        <f t="shared" si="10"/>
        <v>2000</v>
      </c>
      <c r="K108" s="3">
        <f t="shared" si="11"/>
        <v>24.7</v>
      </c>
      <c r="L108" s="3">
        <f t="shared" si="11"/>
        <v>4.8</v>
      </c>
      <c r="M108" s="3">
        <f t="shared" si="12"/>
        <v>19.899999999999999</v>
      </c>
    </row>
    <row r="109" spans="1:13" x14ac:dyDescent="0.25">
      <c r="A109" s="14">
        <f t="shared" si="6"/>
        <v>2001</v>
      </c>
      <c r="D109" s="3">
        <v>24.1</v>
      </c>
      <c r="E109" s="3">
        <v>4.7</v>
      </c>
      <c r="F109">
        <f t="shared" si="7"/>
        <v>1</v>
      </c>
      <c r="G109" s="3">
        <f t="shared" si="8"/>
        <v>24.1</v>
      </c>
      <c r="H109" s="3">
        <f t="shared" si="9"/>
        <v>4.7</v>
      </c>
      <c r="J109" s="17">
        <f t="shared" si="10"/>
        <v>2001</v>
      </c>
      <c r="K109" s="3">
        <f t="shared" si="11"/>
        <v>24.1</v>
      </c>
      <c r="L109" s="3">
        <f t="shared" si="11"/>
        <v>4.7</v>
      </c>
      <c r="M109" s="3">
        <f t="shared" si="12"/>
        <v>19.400000000000002</v>
      </c>
    </row>
    <row r="110" spans="1:13" x14ac:dyDescent="0.25">
      <c r="A110" s="14">
        <f t="shared" si="6"/>
        <v>2002</v>
      </c>
      <c r="D110" s="3">
        <v>23.5</v>
      </c>
      <c r="E110" s="3">
        <v>4.8</v>
      </c>
      <c r="F110">
        <f t="shared" si="7"/>
        <v>1</v>
      </c>
      <c r="G110" s="3">
        <f t="shared" si="8"/>
        <v>23.5</v>
      </c>
      <c r="H110" s="3">
        <f t="shared" si="9"/>
        <v>4.8</v>
      </c>
      <c r="J110" s="17">
        <f t="shared" si="10"/>
        <v>2002</v>
      </c>
      <c r="K110" s="3">
        <f t="shared" si="11"/>
        <v>23.5</v>
      </c>
      <c r="L110" s="3">
        <f t="shared" si="11"/>
        <v>4.8</v>
      </c>
      <c r="M110" s="3">
        <f t="shared" si="12"/>
        <v>18.7</v>
      </c>
    </row>
    <row r="111" spans="1:13" x14ac:dyDescent="0.25">
      <c r="A111" s="14">
        <f t="shared" si="6"/>
        <v>2003</v>
      </c>
      <c r="D111" s="3">
        <v>22.9</v>
      </c>
      <c r="E111" s="3">
        <v>4.8</v>
      </c>
      <c r="F111">
        <f t="shared" si="7"/>
        <v>1</v>
      </c>
      <c r="G111" s="3">
        <f t="shared" si="8"/>
        <v>22.9</v>
      </c>
      <c r="H111" s="3">
        <f t="shared" si="9"/>
        <v>4.8</v>
      </c>
      <c r="J111" s="17">
        <f t="shared" si="10"/>
        <v>2003</v>
      </c>
      <c r="K111" s="3">
        <f t="shared" si="11"/>
        <v>22.9</v>
      </c>
      <c r="L111" s="3">
        <f t="shared" si="11"/>
        <v>4.8</v>
      </c>
      <c r="M111" s="3">
        <f t="shared" si="12"/>
        <v>18.099999999999998</v>
      </c>
    </row>
    <row r="112" spans="1:13" x14ac:dyDescent="0.25">
      <c r="A112" s="14">
        <f t="shared" si="6"/>
        <v>2004</v>
      </c>
      <c r="D112" s="3">
        <v>22.4</v>
      </c>
      <c r="E112" s="3">
        <v>4.8</v>
      </c>
      <c r="F112">
        <f t="shared" si="7"/>
        <v>1</v>
      </c>
      <c r="G112" s="3">
        <f t="shared" si="8"/>
        <v>22.4</v>
      </c>
      <c r="H112" s="3">
        <f t="shared" si="9"/>
        <v>4.8</v>
      </c>
      <c r="J112" s="17">
        <f t="shared" si="10"/>
        <v>2004</v>
      </c>
      <c r="K112" s="3">
        <f t="shared" si="11"/>
        <v>22.4</v>
      </c>
      <c r="L112" s="3">
        <f t="shared" si="11"/>
        <v>4.8</v>
      </c>
      <c r="M112" s="3">
        <f t="shared" si="12"/>
        <v>17.599999999999998</v>
      </c>
    </row>
    <row r="113" spans="1:13" x14ac:dyDescent="0.25">
      <c r="A113" s="14">
        <f t="shared" si="6"/>
        <v>2005</v>
      </c>
      <c r="D113" s="3">
        <v>22.1</v>
      </c>
      <c r="E113" s="3">
        <v>4.9000000000000004</v>
      </c>
      <c r="F113">
        <f t="shared" si="7"/>
        <v>1</v>
      </c>
      <c r="G113" s="3">
        <f t="shared" si="8"/>
        <v>22.1</v>
      </c>
      <c r="H113" s="3">
        <f t="shared" si="9"/>
        <v>4.9000000000000004</v>
      </c>
      <c r="J113" s="17">
        <f t="shared" si="10"/>
        <v>2005</v>
      </c>
      <c r="K113" s="3">
        <f t="shared" si="11"/>
        <v>22.1</v>
      </c>
      <c r="L113" s="3">
        <f t="shared" si="11"/>
        <v>4.9000000000000004</v>
      </c>
      <c r="M113" s="3">
        <f t="shared" si="12"/>
        <v>17.200000000000003</v>
      </c>
    </row>
    <row r="114" spans="1:13" x14ac:dyDescent="0.25">
      <c r="A114" s="14">
        <f t="shared" si="6"/>
        <v>2006</v>
      </c>
      <c r="D114" s="3">
        <v>21.8</v>
      </c>
      <c r="E114" s="3">
        <v>4.8</v>
      </c>
      <c r="F114">
        <f t="shared" si="7"/>
        <v>1</v>
      </c>
      <c r="G114" s="3">
        <f t="shared" si="8"/>
        <v>21.8</v>
      </c>
      <c r="H114" s="3">
        <f t="shared" si="9"/>
        <v>4.8</v>
      </c>
      <c r="J114" s="17">
        <f t="shared" si="10"/>
        <v>2006</v>
      </c>
      <c r="K114" s="3">
        <f t="shared" si="11"/>
        <v>21.8</v>
      </c>
      <c r="L114" s="3">
        <f t="shared" si="11"/>
        <v>4.8</v>
      </c>
      <c r="M114" s="3">
        <f t="shared" si="12"/>
        <v>17</v>
      </c>
    </row>
    <row r="115" spans="1:13" x14ac:dyDescent="0.25">
      <c r="A115" s="14">
        <f t="shared" si="6"/>
        <v>2007</v>
      </c>
      <c r="D115" s="3">
        <v>21.6</v>
      </c>
      <c r="E115" s="3">
        <v>4.9000000000000004</v>
      </c>
      <c r="F115">
        <f t="shared" si="7"/>
        <v>1</v>
      </c>
      <c r="G115" s="3">
        <f t="shared" si="8"/>
        <v>21.6</v>
      </c>
      <c r="H115" s="3">
        <f t="shared" si="9"/>
        <v>4.9000000000000004</v>
      </c>
      <c r="J115" s="17">
        <f t="shared" si="10"/>
        <v>2007</v>
      </c>
      <c r="K115" s="3">
        <f t="shared" si="11"/>
        <v>21.6</v>
      </c>
      <c r="L115" s="3">
        <f t="shared" si="11"/>
        <v>4.9000000000000004</v>
      </c>
      <c r="M115" s="3">
        <f t="shared" si="12"/>
        <v>16.700000000000003</v>
      </c>
    </row>
    <row r="116" spans="1:13" x14ac:dyDescent="0.25">
      <c r="A116" s="14">
        <f t="shared" si="6"/>
        <v>2008</v>
      </c>
      <c r="D116" s="3">
        <v>21.3</v>
      </c>
      <c r="E116" s="3">
        <v>5.0999999999999996</v>
      </c>
      <c r="F116">
        <f t="shared" si="7"/>
        <v>1</v>
      </c>
      <c r="G116" s="3">
        <f t="shared" si="8"/>
        <v>21.3</v>
      </c>
      <c r="H116" s="3">
        <f t="shared" si="9"/>
        <v>5.0999999999999996</v>
      </c>
      <c r="J116" s="17">
        <f t="shared" si="10"/>
        <v>2008</v>
      </c>
      <c r="K116" s="3">
        <f t="shared" si="11"/>
        <v>21.3</v>
      </c>
      <c r="L116" s="3">
        <f t="shared" si="11"/>
        <v>5.0999999999999996</v>
      </c>
      <c r="M116" s="3">
        <f t="shared" si="12"/>
        <v>16.200000000000003</v>
      </c>
    </row>
    <row r="117" spans="1:13" x14ac:dyDescent="0.25">
      <c r="A117" s="14">
        <f t="shared" si="6"/>
        <v>2009</v>
      </c>
      <c r="D117" s="3">
        <v>21</v>
      </c>
      <c r="E117" s="3">
        <v>5.2</v>
      </c>
      <c r="F117">
        <f t="shared" si="7"/>
        <v>1</v>
      </c>
      <c r="G117" s="3">
        <f t="shared" si="8"/>
        <v>21</v>
      </c>
      <c r="H117" s="3">
        <f t="shared" si="9"/>
        <v>5.2</v>
      </c>
      <c r="J117" s="17">
        <f t="shared" si="10"/>
        <v>2009</v>
      </c>
      <c r="K117" s="3">
        <f t="shared" si="11"/>
        <v>21</v>
      </c>
      <c r="L117" s="3">
        <f t="shared" si="11"/>
        <v>5.2</v>
      </c>
      <c r="M117" s="3">
        <f t="shared" si="12"/>
        <v>15.8</v>
      </c>
    </row>
    <row r="118" spans="1:13" x14ac:dyDescent="0.25">
      <c r="A118" s="14">
        <f t="shared" si="6"/>
        <v>2010</v>
      </c>
      <c r="D118" s="3">
        <v>20.5</v>
      </c>
      <c r="E118" s="3">
        <v>5.4</v>
      </c>
      <c r="F118">
        <f t="shared" si="7"/>
        <v>1</v>
      </c>
      <c r="G118" s="3">
        <f t="shared" si="8"/>
        <v>20.5</v>
      </c>
      <c r="H118" s="3">
        <f t="shared" si="9"/>
        <v>5.4</v>
      </c>
      <c r="J118" s="17">
        <f t="shared" si="10"/>
        <v>2010</v>
      </c>
      <c r="K118" s="3">
        <f t="shared" si="11"/>
        <v>20.5</v>
      </c>
      <c r="L118" s="3">
        <f t="shared" si="11"/>
        <v>5.4</v>
      </c>
      <c r="M118" s="3">
        <f t="shared" si="12"/>
        <v>15.1</v>
      </c>
    </row>
    <row r="119" spans="1:13" x14ac:dyDescent="0.25">
      <c r="A119" s="14">
        <f t="shared" si="6"/>
        <v>2011</v>
      </c>
      <c r="D119" s="3">
        <v>20</v>
      </c>
      <c r="E119" s="3">
        <v>5.3</v>
      </c>
      <c r="F119">
        <f t="shared" si="7"/>
        <v>1</v>
      </c>
      <c r="G119" s="3">
        <f t="shared" si="8"/>
        <v>20</v>
      </c>
      <c r="H119" s="3">
        <f t="shared" si="9"/>
        <v>5.3</v>
      </c>
      <c r="J119" s="17">
        <f t="shared" si="10"/>
        <v>2011</v>
      </c>
      <c r="K119" s="3">
        <f t="shared" si="11"/>
        <v>20</v>
      </c>
      <c r="L119" s="3">
        <f t="shared" si="11"/>
        <v>5.3</v>
      </c>
      <c r="M119" s="3">
        <f t="shared" si="12"/>
        <v>14.7</v>
      </c>
    </row>
    <row r="120" spans="1:13" x14ac:dyDescent="0.25">
      <c r="A120" s="14">
        <f t="shared" si="6"/>
        <v>2012</v>
      </c>
      <c r="D120" s="3">
        <v>19.5</v>
      </c>
      <c r="E120" s="3">
        <v>5.3</v>
      </c>
      <c r="F120">
        <f t="shared" si="7"/>
        <v>1</v>
      </c>
      <c r="G120" s="3">
        <f t="shared" si="8"/>
        <v>19.5</v>
      </c>
      <c r="H120" s="3">
        <f t="shared" si="9"/>
        <v>5.3</v>
      </c>
      <c r="J120" s="17">
        <f t="shared" si="10"/>
        <v>2012</v>
      </c>
      <c r="K120" s="3">
        <f t="shared" si="11"/>
        <v>19.5</v>
      </c>
      <c r="L120" s="3">
        <f t="shared" si="11"/>
        <v>5.3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19.100000000000001</v>
      </c>
      <c r="E121" s="3">
        <v>5.3</v>
      </c>
      <c r="F121">
        <f t="shared" si="7"/>
        <v>1</v>
      </c>
      <c r="G121" s="3">
        <f t="shared" si="8"/>
        <v>19.100000000000001</v>
      </c>
      <c r="H121" s="3">
        <f t="shared" si="9"/>
        <v>5.3</v>
      </c>
      <c r="J121" s="17">
        <f t="shared" si="10"/>
        <v>2013</v>
      </c>
      <c r="K121" s="3">
        <f t="shared" si="11"/>
        <v>19.100000000000001</v>
      </c>
      <c r="L121" s="3">
        <f t="shared" si="11"/>
        <v>5.3</v>
      </c>
      <c r="M121" s="3">
        <f t="shared" si="12"/>
        <v>13.8</v>
      </c>
    </row>
    <row r="122" spans="1:13" x14ac:dyDescent="0.25">
      <c r="A122" s="14">
        <f t="shared" si="6"/>
        <v>2014</v>
      </c>
      <c r="D122" s="3">
        <v>18.7</v>
      </c>
      <c r="E122" s="3">
        <v>5.4</v>
      </c>
      <c r="F122">
        <f t="shared" si="7"/>
        <v>1</v>
      </c>
      <c r="G122" s="3">
        <f t="shared" si="8"/>
        <v>18.7</v>
      </c>
      <c r="H122" s="3">
        <f t="shared" si="9"/>
        <v>5.4</v>
      </c>
      <c r="J122" s="17">
        <f t="shared" si="10"/>
        <v>2014</v>
      </c>
      <c r="K122" s="3">
        <f t="shared" si="11"/>
        <v>18.7</v>
      </c>
      <c r="L122" s="3">
        <f t="shared" si="11"/>
        <v>5.4</v>
      </c>
      <c r="M122" s="3">
        <f t="shared" si="12"/>
        <v>13.299999999999999</v>
      </c>
    </row>
    <row r="123" spans="1:13" x14ac:dyDescent="0.25">
      <c r="A123" s="14">
        <f t="shared" si="6"/>
        <v>2015</v>
      </c>
      <c r="D123" s="3">
        <v>18.3</v>
      </c>
      <c r="E123" s="3">
        <v>5.5</v>
      </c>
      <c r="F123">
        <f t="shared" si="7"/>
        <v>1</v>
      </c>
      <c r="G123" s="3">
        <f t="shared" si="8"/>
        <v>18.3</v>
      </c>
      <c r="H123" s="3">
        <f t="shared" si="9"/>
        <v>5.5</v>
      </c>
      <c r="J123" s="17">
        <f t="shared" si="10"/>
        <v>2015</v>
      </c>
      <c r="K123" s="3">
        <f t="shared" si="11"/>
        <v>18.3</v>
      </c>
      <c r="L123" s="3">
        <f t="shared" si="11"/>
        <v>5.5</v>
      </c>
      <c r="M123" s="3">
        <f t="shared" si="12"/>
        <v>12.8</v>
      </c>
    </row>
    <row r="124" spans="1:13" x14ac:dyDescent="0.25">
      <c r="A124" s="14">
        <f t="shared" si="6"/>
        <v>2016</v>
      </c>
      <c r="D124" s="3">
        <v>17.7</v>
      </c>
      <c r="E124" s="3">
        <v>5.7</v>
      </c>
      <c r="F124">
        <f t="shared" si="7"/>
        <v>1</v>
      </c>
      <c r="G124" s="3">
        <f t="shared" si="8"/>
        <v>17.7</v>
      </c>
      <c r="H124" s="3">
        <f t="shared" si="9"/>
        <v>5.7</v>
      </c>
      <c r="J124" s="17">
        <f t="shared" si="10"/>
        <v>2016</v>
      </c>
      <c r="K124" s="3">
        <f t="shared" si="11"/>
        <v>17.7</v>
      </c>
      <c r="L124" s="3">
        <f t="shared" si="11"/>
        <v>5.7</v>
      </c>
      <c r="M124" s="3">
        <f t="shared" si="12"/>
        <v>12</v>
      </c>
    </row>
    <row r="125" spans="1:13" x14ac:dyDescent="0.25">
      <c r="A125" s="14">
        <f t="shared" ref="A125:A131" si="13">A124+1</f>
        <v>2017</v>
      </c>
      <c r="D125" s="3">
        <v>17.3</v>
      </c>
      <c r="E125" s="3">
        <v>5.8</v>
      </c>
      <c r="F125">
        <f t="shared" si="7"/>
        <v>1</v>
      </c>
      <c r="G125" s="3">
        <f t="shared" si="8"/>
        <v>17.3</v>
      </c>
      <c r="H125" s="3">
        <f t="shared" si="9"/>
        <v>5.8</v>
      </c>
      <c r="J125" s="17">
        <f t="shared" si="10"/>
        <v>2017</v>
      </c>
      <c r="K125" s="3">
        <f t="shared" si="11"/>
        <v>17.3</v>
      </c>
      <c r="L125" s="3">
        <f t="shared" si="11"/>
        <v>5.8</v>
      </c>
      <c r="M125" s="3">
        <f t="shared" si="12"/>
        <v>11.5</v>
      </c>
    </row>
    <row r="126" spans="1:13" x14ac:dyDescent="0.25">
      <c r="A126" s="14">
        <f t="shared" si="13"/>
        <v>2018</v>
      </c>
      <c r="D126" s="3">
        <v>17.100000000000001</v>
      </c>
      <c r="E126" s="3">
        <v>5.9</v>
      </c>
      <c r="F126">
        <f t="shared" si="7"/>
        <v>1</v>
      </c>
      <c r="G126" s="3">
        <f t="shared" si="8"/>
        <v>17.100000000000001</v>
      </c>
      <c r="H126" s="3">
        <f t="shared" si="9"/>
        <v>5.9</v>
      </c>
      <c r="J126" s="17">
        <f t="shared" si="10"/>
        <v>2018</v>
      </c>
      <c r="K126" s="3">
        <f t="shared" si="11"/>
        <v>17.100000000000001</v>
      </c>
      <c r="L126" s="3">
        <f t="shared" si="11"/>
        <v>5.9</v>
      </c>
      <c r="M126" s="3">
        <f t="shared" si="12"/>
        <v>11.200000000000001</v>
      </c>
    </row>
    <row r="127" spans="1:13" x14ac:dyDescent="0.25">
      <c r="A127" s="14">
        <f t="shared" si="13"/>
        <v>2019</v>
      </c>
      <c r="D127" s="3">
        <v>16.899999999999999</v>
      </c>
      <c r="E127" s="3">
        <v>6</v>
      </c>
      <c r="F127">
        <f t="shared" si="7"/>
        <v>1</v>
      </c>
      <c r="G127" s="3">
        <f t="shared" si="8"/>
        <v>16.899999999999999</v>
      </c>
      <c r="H127" s="3">
        <f t="shared" si="9"/>
        <v>6</v>
      </c>
      <c r="J127" s="17">
        <f t="shared" si="10"/>
        <v>2019</v>
      </c>
      <c r="K127" s="3">
        <f t="shared" si="11"/>
        <v>16.899999999999999</v>
      </c>
      <c r="L127" s="3">
        <f t="shared" si="11"/>
        <v>6</v>
      </c>
      <c r="M127" s="3">
        <f t="shared" si="12"/>
        <v>10.899999999999999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9.3000000000000007</v>
      </c>
      <c r="F128">
        <f t="shared" si="7"/>
        <v>1</v>
      </c>
      <c r="G128" s="3">
        <f t="shared" si="8"/>
        <v>16.600000000000001</v>
      </c>
      <c r="H128" s="3">
        <f t="shared" si="9"/>
        <v>9.3000000000000007</v>
      </c>
      <c r="J128" s="17">
        <f t="shared" si="10"/>
        <v>2020</v>
      </c>
      <c r="K128" s="3">
        <f t="shared" si="11"/>
        <v>16.600000000000001</v>
      </c>
      <c r="L128" s="3">
        <f t="shared" si="11"/>
        <v>9.3000000000000007</v>
      </c>
      <c r="M128" s="3">
        <f t="shared" si="12"/>
        <v>7.3000000000000007</v>
      </c>
    </row>
    <row r="129" spans="1:13" x14ac:dyDescent="0.25">
      <c r="A129" s="14">
        <f t="shared" si="13"/>
        <v>2021</v>
      </c>
      <c r="D129" s="3">
        <v>16.3</v>
      </c>
      <c r="E129" s="3">
        <v>9.5</v>
      </c>
      <c r="F129">
        <f t="shared" si="7"/>
        <v>1</v>
      </c>
      <c r="G129" s="3">
        <f t="shared" si="8"/>
        <v>16.3</v>
      </c>
      <c r="H129" s="3">
        <f t="shared" si="9"/>
        <v>9.5</v>
      </c>
      <c r="J129" s="17">
        <f t="shared" si="10"/>
        <v>2021</v>
      </c>
      <c r="K129" s="3">
        <f t="shared" si="11"/>
        <v>16.3</v>
      </c>
      <c r="L129" s="3">
        <f t="shared" si="11"/>
        <v>9.5</v>
      </c>
      <c r="M129" s="3">
        <f t="shared" si="12"/>
        <v>6.8000000000000007</v>
      </c>
    </row>
    <row r="130" spans="1:13" x14ac:dyDescent="0.25">
      <c r="A130" s="14">
        <f t="shared" si="13"/>
        <v>2022</v>
      </c>
      <c r="D130" s="3">
        <v>16.100000000000001</v>
      </c>
      <c r="E130" s="3">
        <v>6.1</v>
      </c>
      <c r="F130">
        <f t="shared" si="7"/>
        <v>1</v>
      </c>
      <c r="G130" s="3">
        <f t="shared" si="8"/>
        <v>16.100000000000001</v>
      </c>
      <c r="H130" s="3">
        <f t="shared" si="9"/>
        <v>6.1</v>
      </c>
      <c r="J130" s="17">
        <f t="shared" si="10"/>
        <v>2022</v>
      </c>
      <c r="K130" s="3">
        <f t="shared" si="11"/>
        <v>16.100000000000001</v>
      </c>
      <c r="L130" s="3">
        <f t="shared" si="11"/>
        <v>6.1</v>
      </c>
      <c r="M130" s="3">
        <f t="shared" si="12"/>
        <v>10.000000000000002</v>
      </c>
    </row>
    <row r="131" spans="1:13" x14ac:dyDescent="0.25">
      <c r="A131" s="14">
        <f t="shared" si="13"/>
        <v>2023</v>
      </c>
      <c r="D131" s="3">
        <v>15.8</v>
      </c>
      <c r="E131" s="3">
        <v>6.1</v>
      </c>
      <c r="F131">
        <f t="shared" si="7"/>
        <v>1</v>
      </c>
      <c r="G131" s="3">
        <f t="shared" si="8"/>
        <v>15.8</v>
      </c>
      <c r="H131" s="3">
        <f t="shared" si="9"/>
        <v>6.1</v>
      </c>
      <c r="J131" s="17">
        <f t="shared" si="10"/>
        <v>2023</v>
      </c>
      <c r="K131" s="3">
        <f t="shared" si="11"/>
        <v>15.8</v>
      </c>
      <c r="L131" s="3">
        <f t="shared" si="11"/>
        <v>6.1</v>
      </c>
      <c r="M131" s="3">
        <f t="shared" si="12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M131"/>
  <sheetViews>
    <sheetView workbookViewId="0">
      <selection activeCell="S62" sqref="S62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7" t="s">
        <v>100</v>
      </c>
      <c r="C1" s="37"/>
      <c r="D1" s="37" t="s">
        <v>160</v>
      </c>
      <c r="E1" s="37"/>
    </row>
    <row r="2" spans="1:13" x14ac:dyDescent="0.25">
      <c r="A2" s="32" t="s">
        <v>73</v>
      </c>
      <c r="B2" s="32" t="s">
        <v>96</v>
      </c>
      <c r="C2" s="32" t="s">
        <v>97</v>
      </c>
      <c r="D2" s="32" t="s">
        <v>162</v>
      </c>
      <c r="E2" s="32" t="s">
        <v>161</v>
      </c>
      <c r="F2" s="32" t="s">
        <v>163</v>
      </c>
      <c r="G2" s="32" t="s">
        <v>84</v>
      </c>
      <c r="H2" s="32" t="s">
        <v>85</v>
      </c>
      <c r="J2" s="32" t="s">
        <v>73</v>
      </c>
      <c r="K2" s="32" t="s">
        <v>89</v>
      </c>
      <c r="L2" s="32" t="s">
        <v>90</v>
      </c>
      <c r="M2" s="32" t="s">
        <v>88</v>
      </c>
    </row>
    <row r="3" spans="1:13" x14ac:dyDescent="0.25">
      <c r="A3" s="32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32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32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32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32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32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32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32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32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32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32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32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32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32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32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32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25">
      <c r="A19" s="32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25">
      <c r="A20" s="32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25">
      <c r="A21" s="32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25">
      <c r="A22" s="32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25">
      <c r="A23" s="32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25">
      <c r="A24" s="32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25">
      <c r="A25" s="32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25">
      <c r="A26" s="32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25">
      <c r="A27" s="32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25">
      <c r="A28" s="32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25">
      <c r="A29" s="32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25">
      <c r="A30" s="32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25">
      <c r="A31" s="32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25">
      <c r="A32" s="32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25">
      <c r="A33" s="32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25">
      <c r="A34" s="32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25">
      <c r="A35" s="32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25">
      <c r="A36" s="32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25">
      <c r="A37" s="32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25">
      <c r="A38" s="32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32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32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32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32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32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32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32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32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32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32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32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32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32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32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32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32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32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32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32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32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46.3</v>
      </c>
      <c r="E68" s="3">
        <v>12.8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46.3</v>
      </c>
      <c r="E69" s="3">
        <v>12.3</v>
      </c>
      <c r="F69" s="16">
        <f t="shared" si="7"/>
        <v>8.5600000000000034E-3</v>
      </c>
      <c r="G69" s="3">
        <f t="shared" si="8"/>
        <v>45.995627920000011</v>
      </c>
      <c r="H69" s="3">
        <f t="shared" si="9"/>
        <v>11.350200479999998</v>
      </c>
      <c r="J69" s="17">
        <f t="shared" si="10"/>
        <v>1961</v>
      </c>
      <c r="K69" s="3">
        <f t="shared" si="11"/>
        <v>45.995627920000011</v>
      </c>
      <c r="L69" s="3">
        <f t="shared" si="11"/>
        <v>11.350200479999998</v>
      </c>
      <c r="M69" s="3">
        <f t="shared" si="12"/>
        <v>34.645427440000013</v>
      </c>
    </row>
    <row r="70" spans="1:13" x14ac:dyDescent="0.25">
      <c r="A70" s="14">
        <f t="shared" si="6"/>
        <v>1962</v>
      </c>
      <c r="D70" s="3">
        <v>46.1</v>
      </c>
      <c r="E70" s="3">
        <v>12.1</v>
      </c>
      <c r="F70" s="16">
        <f t="shared" si="7"/>
        <v>5.7920000000000013E-2</v>
      </c>
      <c r="G70" s="3">
        <f t="shared" si="8"/>
        <v>45.810781440000014</v>
      </c>
      <c r="H70" s="3">
        <f t="shared" si="9"/>
        <v>11.197487359999998</v>
      </c>
      <c r="J70" s="17">
        <f t="shared" si="10"/>
        <v>1962</v>
      </c>
      <c r="K70" s="3">
        <f t="shared" si="11"/>
        <v>45.810781440000014</v>
      </c>
      <c r="L70" s="3">
        <f t="shared" si="11"/>
        <v>11.197487359999998</v>
      </c>
      <c r="M70" s="3">
        <f t="shared" si="12"/>
        <v>34.613294080000017</v>
      </c>
    </row>
    <row r="71" spans="1:13" x14ac:dyDescent="0.25">
      <c r="A71" s="14">
        <f t="shared" si="6"/>
        <v>1963</v>
      </c>
      <c r="D71" s="3">
        <v>46</v>
      </c>
      <c r="E71" s="3">
        <v>11.9</v>
      </c>
      <c r="F71" s="16">
        <f t="shared" si="7"/>
        <v>0.16308</v>
      </c>
      <c r="G71" s="3">
        <f t="shared" si="8"/>
        <v>45.743065560000012</v>
      </c>
      <c r="H71" s="3">
        <f t="shared" si="9"/>
        <v>11.098230639999999</v>
      </c>
      <c r="J71" s="17">
        <f t="shared" si="10"/>
        <v>1963</v>
      </c>
      <c r="K71" s="3">
        <f t="shared" si="11"/>
        <v>45.743065560000012</v>
      </c>
      <c r="L71" s="3">
        <f t="shared" si="11"/>
        <v>11.098230639999999</v>
      </c>
      <c r="M71" s="3">
        <f t="shared" si="12"/>
        <v>34.644834920000015</v>
      </c>
    </row>
    <row r="72" spans="1:13" x14ac:dyDescent="0.25">
      <c r="A72" s="14">
        <f t="shared" si="6"/>
        <v>1964</v>
      </c>
      <c r="D72" s="3">
        <v>45.8</v>
      </c>
      <c r="E72" s="3">
        <v>11.4</v>
      </c>
      <c r="F72" s="16">
        <f t="shared" si="7"/>
        <v>0.31744000000000006</v>
      </c>
      <c r="G72" s="3">
        <f t="shared" si="8"/>
        <v>45.590454080000008</v>
      </c>
      <c r="H72" s="3">
        <f t="shared" si="9"/>
        <v>10.746107519999999</v>
      </c>
      <c r="J72" s="17">
        <f t="shared" si="10"/>
        <v>1964</v>
      </c>
      <c r="K72" s="3">
        <f t="shared" si="11"/>
        <v>45.590454080000008</v>
      </c>
      <c r="L72" s="3">
        <f t="shared" si="11"/>
        <v>10.746107519999999</v>
      </c>
      <c r="M72" s="3">
        <f t="shared" si="12"/>
        <v>34.844346560000005</v>
      </c>
    </row>
    <row r="73" spans="1:13" x14ac:dyDescent="0.25">
      <c r="A73" s="14">
        <f t="shared" si="6"/>
        <v>1965</v>
      </c>
      <c r="D73" s="3">
        <v>45.3</v>
      </c>
      <c r="E73" s="3">
        <v>11.2</v>
      </c>
      <c r="F73" s="16">
        <f t="shared" si="7"/>
        <v>0.5</v>
      </c>
      <c r="G73" s="3">
        <f t="shared" si="8"/>
        <v>45.146500000000003</v>
      </c>
      <c r="H73" s="3">
        <f t="shared" si="9"/>
        <v>10.720999999999998</v>
      </c>
      <c r="J73" s="17">
        <f t="shared" si="10"/>
        <v>1965</v>
      </c>
      <c r="K73" s="3">
        <f t="shared" si="11"/>
        <v>45.146500000000003</v>
      </c>
      <c r="L73" s="3">
        <f t="shared" si="11"/>
        <v>10.720999999999998</v>
      </c>
      <c r="M73" s="3">
        <f t="shared" si="12"/>
        <v>34.425500000000007</v>
      </c>
    </row>
    <row r="74" spans="1:13" x14ac:dyDescent="0.25">
      <c r="A74" s="14">
        <f t="shared" si="6"/>
        <v>1966</v>
      </c>
      <c r="D74" s="3">
        <v>44.9</v>
      </c>
      <c r="E74" s="3">
        <v>10.9</v>
      </c>
      <c r="F74" s="16">
        <f t="shared" si="7"/>
        <v>0.68256000000000006</v>
      </c>
      <c r="G74" s="3">
        <f t="shared" si="8"/>
        <v>44.80254592</v>
      </c>
      <c r="H74" s="3">
        <f t="shared" si="9"/>
        <v>10.59589248</v>
      </c>
      <c r="J74" s="17">
        <f t="shared" si="10"/>
        <v>1966</v>
      </c>
      <c r="K74" s="3">
        <f t="shared" si="11"/>
        <v>44.80254592</v>
      </c>
      <c r="L74" s="3">
        <f t="shared" si="11"/>
        <v>10.59589248</v>
      </c>
      <c r="M74" s="3">
        <f t="shared" si="12"/>
        <v>34.206653439999997</v>
      </c>
    </row>
    <row r="75" spans="1:13" x14ac:dyDescent="0.25">
      <c r="A75" s="14">
        <f t="shared" si="6"/>
        <v>1967</v>
      </c>
      <c r="D75" s="3">
        <v>44.6</v>
      </c>
      <c r="E75" s="3">
        <v>10.5</v>
      </c>
      <c r="F75" s="16">
        <f t="shared" si="7"/>
        <v>0.83691999999999966</v>
      </c>
      <c r="G75" s="3">
        <f t="shared" si="8"/>
        <v>44.549934440000001</v>
      </c>
      <c r="H75" s="3">
        <f t="shared" si="9"/>
        <v>10.34376936</v>
      </c>
      <c r="J75" s="17">
        <f t="shared" si="10"/>
        <v>1967</v>
      </c>
      <c r="K75" s="3">
        <f t="shared" si="11"/>
        <v>44.549934440000001</v>
      </c>
      <c r="L75" s="3">
        <f t="shared" si="11"/>
        <v>10.34376936</v>
      </c>
      <c r="M75" s="3">
        <f t="shared" si="12"/>
        <v>34.206165080000005</v>
      </c>
    </row>
    <row r="76" spans="1:13" x14ac:dyDescent="0.25">
      <c r="A76" s="14">
        <f t="shared" si="6"/>
        <v>1968</v>
      </c>
      <c r="D76" s="3">
        <v>44.3</v>
      </c>
      <c r="E76" s="3">
        <v>10.5</v>
      </c>
      <c r="F76" s="16">
        <f t="shared" si="7"/>
        <v>0.94208000000000058</v>
      </c>
      <c r="G76" s="3">
        <f t="shared" si="8"/>
        <v>44.282218559999997</v>
      </c>
      <c r="H76" s="3">
        <f t="shared" si="9"/>
        <v>10.444512640000001</v>
      </c>
      <c r="J76" s="17">
        <f t="shared" si="10"/>
        <v>1968</v>
      </c>
      <c r="K76" s="3">
        <f t="shared" si="11"/>
        <v>44.282218559999997</v>
      </c>
      <c r="L76" s="3">
        <f t="shared" si="11"/>
        <v>10.444512640000001</v>
      </c>
      <c r="M76" s="3">
        <f t="shared" si="12"/>
        <v>33.837705919999998</v>
      </c>
    </row>
    <row r="77" spans="1:13" x14ac:dyDescent="0.25">
      <c r="A77" s="14">
        <f t="shared" si="6"/>
        <v>1969</v>
      </c>
      <c r="D77" s="3">
        <v>43.9</v>
      </c>
      <c r="E77" s="3">
        <v>10.1</v>
      </c>
      <c r="F77" s="16">
        <f t="shared" si="7"/>
        <v>0.99144000000000032</v>
      </c>
      <c r="G77" s="3">
        <f t="shared" si="8"/>
        <v>43.897372079999997</v>
      </c>
      <c r="H77" s="3">
        <f t="shared" si="9"/>
        <v>10.09179952</v>
      </c>
      <c r="J77" s="17">
        <f t="shared" si="10"/>
        <v>1969</v>
      </c>
      <c r="K77" s="3">
        <f t="shared" si="11"/>
        <v>43.897372079999997</v>
      </c>
      <c r="L77" s="3">
        <f t="shared" si="11"/>
        <v>10.09179952</v>
      </c>
      <c r="M77" s="3">
        <f t="shared" si="12"/>
        <v>33.805572559999995</v>
      </c>
    </row>
    <row r="78" spans="1:13" x14ac:dyDescent="0.25">
      <c r="A78" s="14">
        <f t="shared" si="6"/>
        <v>1970</v>
      </c>
      <c r="D78" s="3">
        <v>43.5</v>
      </c>
      <c r="E78" s="3">
        <v>10.3</v>
      </c>
      <c r="F78">
        <f t="shared" si="7"/>
        <v>1</v>
      </c>
      <c r="G78" s="3">
        <f t="shared" si="8"/>
        <v>43.5</v>
      </c>
      <c r="H78" s="3">
        <f t="shared" si="9"/>
        <v>10.3</v>
      </c>
      <c r="J78" s="17">
        <f t="shared" si="10"/>
        <v>1970</v>
      </c>
      <c r="K78" s="3">
        <f t="shared" si="11"/>
        <v>43.5</v>
      </c>
      <c r="L78" s="3">
        <f t="shared" si="11"/>
        <v>10.3</v>
      </c>
      <c r="M78" s="3">
        <f t="shared" si="12"/>
        <v>33.200000000000003</v>
      </c>
    </row>
    <row r="79" spans="1:13" x14ac:dyDescent="0.25">
      <c r="A79" s="14">
        <f t="shared" si="6"/>
        <v>1971</v>
      </c>
      <c r="D79" s="3">
        <v>43</v>
      </c>
      <c r="E79" s="3">
        <v>9.3000000000000007</v>
      </c>
      <c r="F79">
        <f t="shared" si="7"/>
        <v>1</v>
      </c>
      <c r="G79" s="3">
        <f t="shared" si="8"/>
        <v>43</v>
      </c>
      <c r="H79" s="3">
        <f t="shared" si="9"/>
        <v>9.3000000000000007</v>
      </c>
      <c r="J79" s="17">
        <f t="shared" si="10"/>
        <v>1971</v>
      </c>
      <c r="K79" s="3">
        <f t="shared" si="11"/>
        <v>43</v>
      </c>
      <c r="L79" s="3">
        <f t="shared" si="11"/>
        <v>9.3000000000000007</v>
      </c>
      <c r="M79" s="3">
        <f t="shared" si="12"/>
        <v>33.700000000000003</v>
      </c>
    </row>
    <row r="80" spans="1:13" x14ac:dyDescent="0.25">
      <c r="A80" s="14">
        <f t="shared" si="6"/>
        <v>1972</v>
      </c>
      <c r="D80" s="3">
        <v>42.5</v>
      </c>
      <c r="E80" s="3">
        <v>9</v>
      </c>
      <c r="F80">
        <f t="shared" si="7"/>
        <v>1</v>
      </c>
      <c r="G80" s="3">
        <f t="shared" si="8"/>
        <v>42.5</v>
      </c>
      <c r="H80" s="3">
        <f t="shared" si="9"/>
        <v>9</v>
      </c>
      <c r="J80" s="17">
        <f t="shared" si="10"/>
        <v>1972</v>
      </c>
      <c r="K80" s="3">
        <f t="shared" si="11"/>
        <v>42.5</v>
      </c>
      <c r="L80" s="3">
        <f t="shared" si="11"/>
        <v>9</v>
      </c>
      <c r="M80" s="3">
        <f t="shared" si="12"/>
        <v>33.5</v>
      </c>
    </row>
    <row r="81" spans="1:13" x14ac:dyDescent="0.25">
      <c r="A81" s="14">
        <f t="shared" si="6"/>
        <v>1973</v>
      </c>
      <c r="D81" s="3">
        <v>41.9</v>
      </c>
      <c r="E81" s="3">
        <v>8.8000000000000007</v>
      </c>
      <c r="F81">
        <f t="shared" si="7"/>
        <v>1</v>
      </c>
      <c r="G81" s="3">
        <f t="shared" si="8"/>
        <v>41.9</v>
      </c>
      <c r="H81" s="3">
        <f t="shared" si="9"/>
        <v>8.8000000000000007</v>
      </c>
      <c r="J81" s="17">
        <f t="shared" si="10"/>
        <v>1973</v>
      </c>
      <c r="K81" s="3">
        <f t="shared" si="11"/>
        <v>41.9</v>
      </c>
      <c r="L81" s="3">
        <f t="shared" si="11"/>
        <v>8.8000000000000007</v>
      </c>
      <c r="M81" s="3">
        <f t="shared" si="12"/>
        <v>33.099999999999994</v>
      </c>
    </row>
    <row r="82" spans="1:13" x14ac:dyDescent="0.25">
      <c r="A82" s="14">
        <f t="shared" si="6"/>
        <v>1974</v>
      </c>
      <c r="D82" s="3">
        <v>41.1</v>
      </c>
      <c r="E82" s="3">
        <v>8.3000000000000007</v>
      </c>
      <c r="F82">
        <f t="shared" si="7"/>
        <v>1</v>
      </c>
      <c r="G82" s="3">
        <f t="shared" si="8"/>
        <v>41.1</v>
      </c>
      <c r="H82" s="3">
        <f t="shared" si="9"/>
        <v>8.3000000000000007</v>
      </c>
      <c r="J82" s="17">
        <f t="shared" si="10"/>
        <v>1974</v>
      </c>
      <c r="K82" s="3">
        <f t="shared" si="11"/>
        <v>41.1</v>
      </c>
      <c r="L82" s="3">
        <f t="shared" si="11"/>
        <v>8.3000000000000007</v>
      </c>
      <c r="M82" s="3">
        <f t="shared" si="12"/>
        <v>32.799999999999997</v>
      </c>
    </row>
    <row r="83" spans="1:13" x14ac:dyDescent="0.25">
      <c r="A83" s="14">
        <f t="shared" si="6"/>
        <v>1975</v>
      </c>
      <c r="D83" s="3">
        <v>40</v>
      </c>
      <c r="E83" s="3">
        <v>8.1</v>
      </c>
      <c r="F83">
        <f t="shared" si="7"/>
        <v>1</v>
      </c>
      <c r="G83" s="3">
        <f t="shared" si="8"/>
        <v>40</v>
      </c>
      <c r="H83" s="3">
        <f t="shared" si="9"/>
        <v>8.1</v>
      </c>
      <c r="J83" s="17">
        <f t="shared" si="10"/>
        <v>1975</v>
      </c>
      <c r="K83" s="3">
        <f t="shared" si="11"/>
        <v>40</v>
      </c>
      <c r="L83" s="3">
        <f t="shared" si="11"/>
        <v>8.1</v>
      </c>
      <c r="M83" s="3">
        <f t="shared" si="12"/>
        <v>31.9</v>
      </c>
    </row>
    <row r="84" spans="1:13" x14ac:dyDescent="0.25">
      <c r="A84" s="14">
        <f t="shared" si="6"/>
        <v>1976</v>
      </c>
      <c r="D84" s="3">
        <v>38.700000000000003</v>
      </c>
      <c r="E84" s="3">
        <v>7.8</v>
      </c>
      <c r="F84">
        <f t="shared" si="7"/>
        <v>1</v>
      </c>
      <c r="G84" s="3">
        <f t="shared" si="8"/>
        <v>38.700000000000003</v>
      </c>
      <c r="H84" s="3">
        <f t="shared" si="9"/>
        <v>7.8</v>
      </c>
      <c r="J84" s="17">
        <f t="shared" si="10"/>
        <v>1976</v>
      </c>
      <c r="K84" s="3">
        <f t="shared" si="11"/>
        <v>38.700000000000003</v>
      </c>
      <c r="L84" s="3">
        <f t="shared" si="11"/>
        <v>7.8</v>
      </c>
      <c r="M84" s="3">
        <f t="shared" si="12"/>
        <v>30.900000000000002</v>
      </c>
    </row>
    <row r="85" spans="1:13" x14ac:dyDescent="0.25">
      <c r="A85" s="14">
        <f t="shared" si="6"/>
        <v>1977</v>
      </c>
      <c r="D85" s="3">
        <v>37.5</v>
      </c>
      <c r="E85" s="3">
        <v>7.5</v>
      </c>
      <c r="F85">
        <f t="shared" si="7"/>
        <v>1</v>
      </c>
      <c r="G85" s="3">
        <f t="shared" si="8"/>
        <v>37.5</v>
      </c>
      <c r="H85" s="3">
        <f t="shared" si="9"/>
        <v>7.5</v>
      </c>
      <c r="J85" s="17">
        <f t="shared" si="10"/>
        <v>1977</v>
      </c>
      <c r="K85" s="3">
        <f t="shared" si="11"/>
        <v>37.5</v>
      </c>
      <c r="L85" s="3">
        <f t="shared" si="11"/>
        <v>7.5</v>
      </c>
      <c r="M85" s="3">
        <f t="shared" si="12"/>
        <v>30</v>
      </c>
    </row>
    <row r="86" spans="1:13" x14ac:dyDescent="0.25">
      <c r="A86" s="14">
        <f t="shared" si="6"/>
        <v>1978</v>
      </c>
      <c r="D86" s="3">
        <v>36.4</v>
      </c>
      <c r="E86" s="3">
        <v>7.3</v>
      </c>
      <c r="F86">
        <f t="shared" si="7"/>
        <v>1</v>
      </c>
      <c r="G86" s="3">
        <f t="shared" si="8"/>
        <v>36.4</v>
      </c>
      <c r="H86" s="3">
        <f t="shared" si="9"/>
        <v>7.3</v>
      </c>
      <c r="J86" s="17">
        <f t="shared" si="10"/>
        <v>1978</v>
      </c>
      <c r="K86" s="3">
        <f t="shared" si="11"/>
        <v>36.4</v>
      </c>
      <c r="L86" s="3">
        <f t="shared" si="11"/>
        <v>7.3</v>
      </c>
      <c r="M86" s="3">
        <f t="shared" si="12"/>
        <v>29.099999999999998</v>
      </c>
    </row>
    <row r="87" spans="1:13" x14ac:dyDescent="0.25">
      <c r="A87" s="14">
        <f t="shared" si="6"/>
        <v>1979</v>
      </c>
      <c r="D87" s="3">
        <v>35.5</v>
      </c>
      <c r="E87" s="3">
        <v>7.1</v>
      </c>
      <c r="F87">
        <f t="shared" si="7"/>
        <v>1</v>
      </c>
      <c r="G87" s="3">
        <f t="shared" si="8"/>
        <v>35.5</v>
      </c>
      <c r="H87" s="3">
        <f t="shared" si="9"/>
        <v>7.1</v>
      </c>
      <c r="J87" s="17">
        <f t="shared" si="10"/>
        <v>1979</v>
      </c>
      <c r="K87" s="3">
        <f t="shared" si="11"/>
        <v>35.5</v>
      </c>
      <c r="L87" s="3">
        <f t="shared" si="11"/>
        <v>7.1</v>
      </c>
      <c r="M87" s="3">
        <f t="shared" si="12"/>
        <v>28.4</v>
      </c>
    </row>
    <row r="88" spans="1:13" x14ac:dyDescent="0.25">
      <c r="A88" s="14">
        <f t="shared" si="6"/>
        <v>1980</v>
      </c>
      <c r="D88" s="3">
        <v>34.700000000000003</v>
      </c>
      <c r="E88" s="3">
        <v>6.9</v>
      </c>
      <c r="F88">
        <f t="shared" si="7"/>
        <v>1</v>
      </c>
      <c r="G88" s="3">
        <f t="shared" si="8"/>
        <v>34.700000000000003</v>
      </c>
      <c r="H88" s="3">
        <f t="shared" si="9"/>
        <v>6.9</v>
      </c>
      <c r="J88" s="17">
        <f t="shared" si="10"/>
        <v>1980</v>
      </c>
      <c r="K88" s="3">
        <f t="shared" si="11"/>
        <v>34.700000000000003</v>
      </c>
      <c r="L88" s="3">
        <f t="shared" si="11"/>
        <v>6.9</v>
      </c>
      <c r="M88" s="3">
        <f t="shared" si="12"/>
        <v>27.800000000000004</v>
      </c>
    </row>
    <row r="89" spans="1:13" x14ac:dyDescent="0.25">
      <c r="A89" s="14">
        <f t="shared" si="6"/>
        <v>1981</v>
      </c>
      <c r="D89" s="3">
        <v>34.1</v>
      </c>
      <c r="E89" s="3">
        <v>6.7</v>
      </c>
      <c r="F89">
        <f t="shared" si="7"/>
        <v>1</v>
      </c>
      <c r="G89" s="3">
        <f t="shared" si="8"/>
        <v>34.1</v>
      </c>
      <c r="H89" s="3">
        <f t="shared" si="9"/>
        <v>6.7</v>
      </c>
      <c r="J89" s="17">
        <f t="shared" si="10"/>
        <v>1981</v>
      </c>
      <c r="K89" s="3">
        <f t="shared" si="11"/>
        <v>34.1</v>
      </c>
      <c r="L89" s="3">
        <f t="shared" si="11"/>
        <v>6.7</v>
      </c>
      <c r="M89" s="3">
        <f t="shared" si="12"/>
        <v>27.400000000000002</v>
      </c>
    </row>
    <row r="90" spans="1:13" x14ac:dyDescent="0.25">
      <c r="A90" s="14">
        <f t="shared" si="6"/>
        <v>1982</v>
      </c>
      <c r="D90" s="3">
        <v>33.6</v>
      </c>
      <c r="E90" s="3">
        <v>6.4</v>
      </c>
      <c r="F90">
        <f t="shared" si="7"/>
        <v>1</v>
      </c>
      <c r="G90" s="3">
        <f t="shared" si="8"/>
        <v>33.6</v>
      </c>
      <c r="H90" s="3">
        <f t="shared" si="9"/>
        <v>6.4</v>
      </c>
      <c r="J90" s="17">
        <f t="shared" si="10"/>
        <v>1982</v>
      </c>
      <c r="K90" s="3">
        <f t="shared" si="11"/>
        <v>33.6</v>
      </c>
      <c r="L90" s="3">
        <f t="shared" si="11"/>
        <v>6.4</v>
      </c>
      <c r="M90" s="3">
        <f t="shared" si="12"/>
        <v>27.200000000000003</v>
      </c>
    </row>
    <row r="91" spans="1:13" x14ac:dyDescent="0.25">
      <c r="A91" s="14">
        <f t="shared" si="6"/>
        <v>1983</v>
      </c>
      <c r="D91" s="3">
        <v>33.1</v>
      </c>
      <c r="E91" s="3">
        <v>6.3</v>
      </c>
      <c r="F91">
        <f t="shared" si="7"/>
        <v>1</v>
      </c>
      <c r="G91" s="3">
        <f t="shared" si="8"/>
        <v>33.1</v>
      </c>
      <c r="H91" s="3">
        <f t="shared" si="9"/>
        <v>6.3</v>
      </c>
      <c r="J91" s="17">
        <f t="shared" si="10"/>
        <v>1983</v>
      </c>
      <c r="K91" s="3">
        <f t="shared" si="11"/>
        <v>33.1</v>
      </c>
      <c r="L91" s="3">
        <f t="shared" si="11"/>
        <v>6.3</v>
      </c>
      <c r="M91" s="3">
        <f t="shared" si="12"/>
        <v>26.8</v>
      </c>
    </row>
    <row r="92" spans="1:13" x14ac:dyDescent="0.25">
      <c r="A92" s="14">
        <f t="shared" si="6"/>
        <v>1984</v>
      </c>
      <c r="D92" s="3">
        <v>32.6</v>
      </c>
      <c r="E92" s="3">
        <v>6.1</v>
      </c>
      <c r="F92">
        <f t="shared" si="7"/>
        <v>1</v>
      </c>
      <c r="G92" s="3">
        <f t="shared" si="8"/>
        <v>32.6</v>
      </c>
      <c r="H92" s="3">
        <f t="shared" si="9"/>
        <v>6.1</v>
      </c>
      <c r="J92" s="17">
        <f t="shared" si="10"/>
        <v>1984</v>
      </c>
      <c r="K92" s="3">
        <f t="shared" si="11"/>
        <v>32.6</v>
      </c>
      <c r="L92" s="3">
        <f t="shared" si="11"/>
        <v>6.1</v>
      </c>
      <c r="M92" s="3">
        <f t="shared" si="12"/>
        <v>26.5</v>
      </c>
    </row>
    <row r="93" spans="1:13" x14ac:dyDescent="0.25">
      <c r="A93" s="14">
        <f t="shared" si="6"/>
        <v>1985</v>
      </c>
      <c r="D93" s="3">
        <v>32.1</v>
      </c>
      <c r="E93" s="3">
        <v>6</v>
      </c>
      <c r="F93">
        <f t="shared" si="7"/>
        <v>1</v>
      </c>
      <c r="G93" s="3">
        <f t="shared" si="8"/>
        <v>32.1</v>
      </c>
      <c r="H93" s="3">
        <f t="shared" si="9"/>
        <v>6</v>
      </c>
      <c r="J93" s="17">
        <f t="shared" si="10"/>
        <v>1985</v>
      </c>
      <c r="K93" s="3">
        <f t="shared" si="11"/>
        <v>32.1</v>
      </c>
      <c r="L93" s="3">
        <f t="shared" si="11"/>
        <v>6</v>
      </c>
      <c r="M93" s="3">
        <f t="shared" si="12"/>
        <v>26.1</v>
      </c>
    </row>
    <row r="94" spans="1:13" x14ac:dyDescent="0.25">
      <c r="A94" s="14">
        <f t="shared" si="6"/>
        <v>1986</v>
      </c>
      <c r="D94" s="3">
        <v>31.5</v>
      </c>
      <c r="E94" s="3">
        <v>5.8</v>
      </c>
      <c r="F94">
        <f t="shared" si="7"/>
        <v>1</v>
      </c>
      <c r="G94" s="3">
        <f t="shared" si="8"/>
        <v>31.5</v>
      </c>
      <c r="H94" s="3">
        <f t="shared" si="9"/>
        <v>5.8</v>
      </c>
      <c r="J94" s="17">
        <f t="shared" si="10"/>
        <v>1986</v>
      </c>
      <c r="K94" s="3">
        <f t="shared" si="11"/>
        <v>31.5</v>
      </c>
      <c r="L94" s="3">
        <f t="shared" si="11"/>
        <v>5.8</v>
      </c>
      <c r="M94" s="3">
        <f t="shared" si="12"/>
        <v>25.7</v>
      </c>
    </row>
    <row r="95" spans="1:13" x14ac:dyDescent="0.25">
      <c r="A95" s="14">
        <f t="shared" si="6"/>
        <v>1987</v>
      </c>
      <c r="D95" s="3">
        <v>31</v>
      </c>
      <c r="E95" s="3">
        <v>5.6</v>
      </c>
      <c r="F95">
        <f t="shared" si="7"/>
        <v>1</v>
      </c>
      <c r="G95" s="3">
        <f t="shared" si="8"/>
        <v>31</v>
      </c>
      <c r="H95" s="3">
        <f t="shared" si="9"/>
        <v>5.6</v>
      </c>
      <c r="J95" s="17">
        <f t="shared" si="10"/>
        <v>1987</v>
      </c>
      <c r="K95" s="3">
        <f t="shared" si="11"/>
        <v>31</v>
      </c>
      <c r="L95" s="3">
        <f t="shared" si="11"/>
        <v>5.6</v>
      </c>
      <c r="M95" s="3">
        <f t="shared" si="12"/>
        <v>25.4</v>
      </c>
    </row>
    <row r="96" spans="1:13" x14ac:dyDescent="0.25">
      <c r="A96" s="14">
        <f t="shared" si="6"/>
        <v>1988</v>
      </c>
      <c r="D96" s="3">
        <v>30.6</v>
      </c>
      <c r="E96" s="3">
        <v>5.6</v>
      </c>
      <c r="F96">
        <f t="shared" si="7"/>
        <v>1</v>
      </c>
      <c r="G96" s="3">
        <f t="shared" si="8"/>
        <v>30.6</v>
      </c>
      <c r="H96" s="3">
        <f t="shared" si="9"/>
        <v>5.6</v>
      </c>
      <c r="J96" s="17">
        <f t="shared" si="10"/>
        <v>1988</v>
      </c>
      <c r="K96" s="3">
        <f t="shared" si="11"/>
        <v>30.6</v>
      </c>
      <c r="L96" s="3">
        <f t="shared" si="11"/>
        <v>5.6</v>
      </c>
      <c r="M96" s="3">
        <f t="shared" si="12"/>
        <v>25</v>
      </c>
    </row>
    <row r="97" spans="1:13" x14ac:dyDescent="0.25">
      <c r="A97" s="14">
        <f t="shared" si="6"/>
        <v>1989</v>
      </c>
      <c r="D97" s="3">
        <v>30.3</v>
      </c>
      <c r="E97" s="3">
        <v>5.6</v>
      </c>
      <c r="F97">
        <f t="shared" si="7"/>
        <v>1</v>
      </c>
      <c r="G97" s="3">
        <f t="shared" si="8"/>
        <v>30.3</v>
      </c>
      <c r="H97" s="3">
        <f t="shared" si="9"/>
        <v>5.6</v>
      </c>
      <c r="J97" s="17">
        <f t="shared" si="10"/>
        <v>1989</v>
      </c>
      <c r="K97" s="3">
        <f t="shared" si="11"/>
        <v>30.3</v>
      </c>
      <c r="L97" s="3">
        <f t="shared" si="11"/>
        <v>5.6</v>
      </c>
      <c r="M97" s="3">
        <f t="shared" si="12"/>
        <v>24.700000000000003</v>
      </c>
    </row>
    <row r="98" spans="1:13" x14ac:dyDescent="0.25">
      <c r="A98" s="14">
        <f t="shared" si="6"/>
        <v>1990</v>
      </c>
      <c r="D98" s="3">
        <v>30</v>
      </c>
      <c r="E98" s="3">
        <v>5.4</v>
      </c>
      <c r="F98">
        <f t="shared" si="7"/>
        <v>1</v>
      </c>
      <c r="G98" s="3">
        <f t="shared" si="8"/>
        <v>30</v>
      </c>
      <c r="H98" s="3">
        <f t="shared" si="9"/>
        <v>5.4</v>
      </c>
      <c r="J98" s="17">
        <f t="shared" si="10"/>
        <v>1990</v>
      </c>
      <c r="K98" s="3">
        <f t="shared" si="11"/>
        <v>30</v>
      </c>
      <c r="L98" s="3">
        <f t="shared" si="11"/>
        <v>5.4</v>
      </c>
      <c r="M98" s="3">
        <f t="shared" si="12"/>
        <v>24.6</v>
      </c>
    </row>
    <row r="99" spans="1:13" x14ac:dyDescent="0.25">
      <c r="A99" s="14">
        <f t="shared" si="6"/>
        <v>1991</v>
      </c>
      <c r="D99" s="3">
        <v>29.6</v>
      </c>
      <c r="E99" s="3">
        <v>5.2</v>
      </c>
      <c r="F99">
        <f t="shared" si="7"/>
        <v>1</v>
      </c>
      <c r="G99" s="3">
        <f t="shared" si="8"/>
        <v>29.6</v>
      </c>
      <c r="H99" s="3">
        <f t="shared" si="9"/>
        <v>5.2</v>
      </c>
      <c r="J99" s="17">
        <f t="shared" si="10"/>
        <v>1991</v>
      </c>
      <c r="K99" s="3">
        <f t="shared" si="11"/>
        <v>29.6</v>
      </c>
      <c r="L99" s="3">
        <f t="shared" si="11"/>
        <v>5.2</v>
      </c>
      <c r="M99" s="3">
        <f t="shared" si="12"/>
        <v>24.400000000000002</v>
      </c>
    </row>
    <row r="100" spans="1:13" x14ac:dyDescent="0.25">
      <c r="A100" s="14">
        <f t="shared" si="6"/>
        <v>1992</v>
      </c>
      <c r="D100" s="3">
        <v>29.1</v>
      </c>
      <c r="E100" s="3">
        <v>5.2</v>
      </c>
      <c r="F100">
        <f t="shared" si="7"/>
        <v>1</v>
      </c>
      <c r="G100" s="3">
        <f t="shared" si="8"/>
        <v>29.1</v>
      </c>
      <c r="H100" s="3">
        <f t="shared" si="9"/>
        <v>5.2</v>
      </c>
      <c r="J100" s="17">
        <f t="shared" si="10"/>
        <v>1992</v>
      </c>
      <c r="K100" s="3">
        <f t="shared" si="11"/>
        <v>29.1</v>
      </c>
      <c r="L100" s="3">
        <f t="shared" si="11"/>
        <v>5.2</v>
      </c>
      <c r="M100" s="3">
        <f t="shared" si="12"/>
        <v>23.900000000000002</v>
      </c>
    </row>
    <row r="101" spans="1:13" x14ac:dyDescent="0.25">
      <c r="A101" s="14">
        <f t="shared" si="6"/>
        <v>1993</v>
      </c>
      <c r="D101" s="3">
        <v>28.4</v>
      </c>
      <c r="E101" s="3">
        <v>5.0999999999999996</v>
      </c>
      <c r="F101">
        <f t="shared" si="7"/>
        <v>1</v>
      </c>
      <c r="G101" s="3">
        <f t="shared" si="8"/>
        <v>28.4</v>
      </c>
      <c r="H101" s="3">
        <f t="shared" si="9"/>
        <v>5.0999999999999996</v>
      </c>
      <c r="J101" s="17">
        <f t="shared" si="10"/>
        <v>1993</v>
      </c>
      <c r="K101" s="3">
        <f t="shared" si="11"/>
        <v>28.4</v>
      </c>
      <c r="L101" s="3">
        <f t="shared" si="11"/>
        <v>5.0999999999999996</v>
      </c>
      <c r="M101" s="3">
        <f t="shared" si="12"/>
        <v>23.299999999999997</v>
      </c>
    </row>
    <row r="102" spans="1:13" x14ac:dyDescent="0.25">
      <c r="A102" s="14">
        <f t="shared" si="6"/>
        <v>1994</v>
      </c>
      <c r="D102" s="3">
        <v>27.7</v>
      </c>
      <c r="E102" s="3">
        <v>5.0999999999999996</v>
      </c>
      <c r="F102">
        <f t="shared" si="7"/>
        <v>1</v>
      </c>
      <c r="G102" s="3">
        <f t="shared" si="8"/>
        <v>27.7</v>
      </c>
      <c r="H102" s="3">
        <f t="shared" si="9"/>
        <v>5.0999999999999996</v>
      </c>
      <c r="J102" s="17">
        <f t="shared" si="10"/>
        <v>1994</v>
      </c>
      <c r="K102" s="3">
        <f t="shared" si="11"/>
        <v>27.7</v>
      </c>
      <c r="L102" s="3">
        <f t="shared" si="11"/>
        <v>5.0999999999999996</v>
      </c>
      <c r="M102" s="3">
        <f t="shared" si="12"/>
        <v>22.6</v>
      </c>
    </row>
    <row r="103" spans="1:13" x14ac:dyDescent="0.25">
      <c r="A103" s="14">
        <f t="shared" si="6"/>
        <v>1995</v>
      </c>
      <c r="D103" s="3">
        <v>27</v>
      </c>
      <c r="E103" s="3">
        <v>5.0999999999999996</v>
      </c>
      <c r="F103">
        <f t="shared" si="7"/>
        <v>1</v>
      </c>
      <c r="G103" s="3">
        <f t="shared" si="8"/>
        <v>27</v>
      </c>
      <c r="H103" s="3">
        <f t="shared" si="9"/>
        <v>5.0999999999999996</v>
      </c>
      <c r="J103" s="17">
        <f t="shared" si="10"/>
        <v>1995</v>
      </c>
      <c r="K103" s="3">
        <f t="shared" si="11"/>
        <v>27</v>
      </c>
      <c r="L103" s="3">
        <f t="shared" si="11"/>
        <v>5.0999999999999996</v>
      </c>
      <c r="M103" s="3">
        <f t="shared" si="12"/>
        <v>21.9</v>
      </c>
    </row>
    <row r="104" spans="1:13" x14ac:dyDescent="0.25">
      <c r="A104" s="14">
        <f t="shared" si="6"/>
        <v>1996</v>
      </c>
      <c r="D104" s="3">
        <v>26.3</v>
      </c>
      <c r="E104" s="3">
        <v>5.0999999999999996</v>
      </c>
      <c r="F104">
        <f t="shared" si="7"/>
        <v>1</v>
      </c>
      <c r="G104" s="3">
        <f t="shared" si="8"/>
        <v>26.3</v>
      </c>
      <c r="H104" s="3">
        <f t="shared" si="9"/>
        <v>5.0999999999999996</v>
      </c>
      <c r="J104" s="17">
        <f t="shared" si="10"/>
        <v>1996</v>
      </c>
      <c r="K104" s="3">
        <f t="shared" si="11"/>
        <v>26.3</v>
      </c>
      <c r="L104" s="3">
        <f t="shared" si="11"/>
        <v>5.0999999999999996</v>
      </c>
      <c r="M104" s="3">
        <f t="shared" si="12"/>
        <v>21.200000000000003</v>
      </c>
    </row>
    <row r="105" spans="1:13" x14ac:dyDescent="0.25">
      <c r="A105" s="14">
        <f t="shared" si="6"/>
        <v>1997</v>
      </c>
      <c r="D105" s="3">
        <v>25.7</v>
      </c>
      <c r="E105" s="3">
        <v>5</v>
      </c>
      <c r="F105">
        <f t="shared" si="7"/>
        <v>1</v>
      </c>
      <c r="G105" s="3">
        <f t="shared" si="8"/>
        <v>25.7</v>
      </c>
      <c r="H105" s="3">
        <f t="shared" si="9"/>
        <v>5</v>
      </c>
      <c r="J105" s="17">
        <f t="shared" si="10"/>
        <v>1997</v>
      </c>
      <c r="K105" s="3">
        <f t="shared" si="11"/>
        <v>25.7</v>
      </c>
      <c r="L105" s="3">
        <f t="shared" si="11"/>
        <v>5</v>
      </c>
      <c r="M105" s="3">
        <f t="shared" si="12"/>
        <v>20.7</v>
      </c>
    </row>
    <row r="106" spans="1:13" x14ac:dyDescent="0.25">
      <c r="A106" s="14">
        <f t="shared" si="6"/>
        <v>1998</v>
      </c>
      <c r="D106" s="3">
        <v>25.4</v>
      </c>
      <c r="E106" s="3">
        <v>5</v>
      </c>
      <c r="F106">
        <f t="shared" si="7"/>
        <v>1</v>
      </c>
      <c r="G106" s="3">
        <f t="shared" si="8"/>
        <v>25.4</v>
      </c>
      <c r="H106" s="3">
        <f t="shared" si="9"/>
        <v>5</v>
      </c>
      <c r="J106" s="17">
        <f t="shared" si="10"/>
        <v>1998</v>
      </c>
      <c r="K106" s="3">
        <f t="shared" si="11"/>
        <v>25.4</v>
      </c>
      <c r="L106" s="3">
        <f t="shared" si="11"/>
        <v>5</v>
      </c>
      <c r="M106" s="3">
        <f t="shared" si="12"/>
        <v>20.399999999999999</v>
      </c>
    </row>
    <row r="107" spans="1:13" x14ac:dyDescent="0.25">
      <c r="A107" s="14">
        <f t="shared" si="6"/>
        <v>1999</v>
      </c>
      <c r="D107" s="3">
        <v>25.1</v>
      </c>
      <c r="E107" s="3">
        <v>4.9000000000000004</v>
      </c>
      <c r="F107">
        <f t="shared" si="7"/>
        <v>1</v>
      </c>
      <c r="G107" s="3">
        <f t="shared" si="8"/>
        <v>25.1</v>
      </c>
      <c r="H107" s="3">
        <f t="shared" si="9"/>
        <v>4.9000000000000004</v>
      </c>
      <c r="J107" s="17">
        <f t="shared" si="10"/>
        <v>1999</v>
      </c>
      <c r="K107" s="3">
        <f t="shared" si="11"/>
        <v>25.1</v>
      </c>
      <c r="L107" s="3">
        <f t="shared" si="11"/>
        <v>4.9000000000000004</v>
      </c>
      <c r="M107" s="3">
        <f t="shared" si="12"/>
        <v>20.200000000000003</v>
      </c>
    </row>
    <row r="108" spans="1:13" x14ac:dyDescent="0.25">
      <c r="A108" s="14">
        <f t="shared" si="6"/>
        <v>2000</v>
      </c>
      <c r="D108" s="3">
        <v>24.7</v>
      </c>
      <c r="E108" s="3">
        <v>4.8</v>
      </c>
      <c r="F108">
        <f t="shared" si="7"/>
        <v>1</v>
      </c>
      <c r="G108" s="3">
        <f t="shared" si="8"/>
        <v>24.7</v>
      </c>
      <c r="H108" s="3">
        <f t="shared" si="9"/>
        <v>4.8</v>
      </c>
      <c r="J108" s="17">
        <f t="shared" si="10"/>
        <v>2000</v>
      </c>
      <c r="K108" s="3">
        <f t="shared" si="11"/>
        <v>24.7</v>
      </c>
      <c r="L108" s="3">
        <f t="shared" si="11"/>
        <v>4.8</v>
      </c>
      <c r="M108" s="3">
        <f t="shared" si="12"/>
        <v>19.899999999999999</v>
      </c>
    </row>
    <row r="109" spans="1:13" x14ac:dyDescent="0.25">
      <c r="A109" s="14">
        <f t="shared" si="6"/>
        <v>2001</v>
      </c>
      <c r="D109" s="3">
        <v>24.1</v>
      </c>
      <c r="E109" s="3">
        <v>4.7</v>
      </c>
      <c r="F109">
        <f t="shared" si="7"/>
        <v>1</v>
      </c>
      <c r="G109" s="3">
        <f t="shared" si="8"/>
        <v>24.1</v>
      </c>
      <c r="H109" s="3">
        <f t="shared" si="9"/>
        <v>4.7</v>
      </c>
      <c r="J109" s="17">
        <f t="shared" si="10"/>
        <v>2001</v>
      </c>
      <c r="K109" s="3">
        <f t="shared" si="11"/>
        <v>24.1</v>
      </c>
      <c r="L109" s="3">
        <f t="shared" si="11"/>
        <v>4.7</v>
      </c>
      <c r="M109" s="3">
        <f t="shared" si="12"/>
        <v>19.400000000000002</v>
      </c>
    </row>
    <row r="110" spans="1:13" x14ac:dyDescent="0.25">
      <c r="A110" s="14">
        <f t="shared" si="6"/>
        <v>2002</v>
      </c>
      <c r="D110" s="3">
        <v>23.5</v>
      </c>
      <c r="E110" s="3">
        <v>4.8</v>
      </c>
      <c r="F110">
        <f t="shared" si="7"/>
        <v>1</v>
      </c>
      <c r="G110" s="3">
        <f t="shared" si="8"/>
        <v>23.5</v>
      </c>
      <c r="H110" s="3">
        <f t="shared" si="9"/>
        <v>4.8</v>
      </c>
      <c r="J110" s="17">
        <f t="shared" si="10"/>
        <v>2002</v>
      </c>
      <c r="K110" s="3">
        <f t="shared" si="11"/>
        <v>23.5</v>
      </c>
      <c r="L110" s="3">
        <f t="shared" si="11"/>
        <v>4.8</v>
      </c>
      <c r="M110" s="3">
        <f t="shared" si="12"/>
        <v>18.7</v>
      </c>
    </row>
    <row r="111" spans="1:13" x14ac:dyDescent="0.25">
      <c r="A111" s="14">
        <f t="shared" si="6"/>
        <v>2003</v>
      </c>
      <c r="D111" s="3">
        <v>22.9</v>
      </c>
      <c r="E111" s="3">
        <v>4.8</v>
      </c>
      <c r="F111">
        <f t="shared" si="7"/>
        <v>1</v>
      </c>
      <c r="G111" s="3">
        <f t="shared" si="8"/>
        <v>22.9</v>
      </c>
      <c r="H111" s="3">
        <f t="shared" si="9"/>
        <v>4.8</v>
      </c>
      <c r="J111" s="17">
        <f t="shared" si="10"/>
        <v>2003</v>
      </c>
      <c r="K111" s="3">
        <f t="shared" si="11"/>
        <v>22.9</v>
      </c>
      <c r="L111" s="3">
        <f t="shared" si="11"/>
        <v>4.8</v>
      </c>
      <c r="M111" s="3">
        <f t="shared" si="12"/>
        <v>18.099999999999998</v>
      </c>
    </row>
    <row r="112" spans="1:13" x14ac:dyDescent="0.25">
      <c r="A112" s="14">
        <f t="shared" si="6"/>
        <v>2004</v>
      </c>
      <c r="D112" s="3">
        <v>22.4</v>
      </c>
      <c r="E112" s="3">
        <v>4.8</v>
      </c>
      <c r="F112">
        <f t="shared" si="7"/>
        <v>1</v>
      </c>
      <c r="G112" s="3">
        <f t="shared" si="8"/>
        <v>22.4</v>
      </c>
      <c r="H112" s="3">
        <f t="shared" si="9"/>
        <v>4.8</v>
      </c>
      <c r="J112" s="17">
        <f t="shared" si="10"/>
        <v>2004</v>
      </c>
      <c r="K112" s="3">
        <f t="shared" si="11"/>
        <v>22.4</v>
      </c>
      <c r="L112" s="3">
        <f t="shared" si="11"/>
        <v>4.8</v>
      </c>
      <c r="M112" s="3">
        <f t="shared" si="12"/>
        <v>17.599999999999998</v>
      </c>
    </row>
    <row r="113" spans="1:13" x14ac:dyDescent="0.25">
      <c r="A113" s="14">
        <f t="shared" si="6"/>
        <v>2005</v>
      </c>
      <c r="D113" s="3">
        <v>22.1</v>
      </c>
      <c r="E113" s="3">
        <v>4.9000000000000004</v>
      </c>
      <c r="F113">
        <f t="shared" si="7"/>
        <v>1</v>
      </c>
      <c r="G113" s="3">
        <f t="shared" si="8"/>
        <v>22.1</v>
      </c>
      <c r="H113" s="3">
        <f t="shared" si="9"/>
        <v>4.9000000000000004</v>
      </c>
      <c r="J113" s="17">
        <f t="shared" si="10"/>
        <v>2005</v>
      </c>
      <c r="K113" s="3">
        <f t="shared" si="11"/>
        <v>22.1</v>
      </c>
      <c r="L113" s="3">
        <f t="shared" si="11"/>
        <v>4.9000000000000004</v>
      </c>
      <c r="M113" s="3">
        <f t="shared" si="12"/>
        <v>17.200000000000003</v>
      </c>
    </row>
    <row r="114" spans="1:13" x14ac:dyDescent="0.25">
      <c r="A114" s="14">
        <f t="shared" si="6"/>
        <v>2006</v>
      </c>
      <c r="D114" s="3">
        <v>21.8</v>
      </c>
      <c r="E114" s="3">
        <v>4.8</v>
      </c>
      <c r="F114">
        <f t="shared" si="7"/>
        <v>1</v>
      </c>
      <c r="G114" s="3">
        <f t="shared" si="8"/>
        <v>21.8</v>
      </c>
      <c r="H114" s="3">
        <f t="shared" si="9"/>
        <v>4.8</v>
      </c>
      <c r="J114" s="17">
        <f t="shared" si="10"/>
        <v>2006</v>
      </c>
      <c r="K114" s="3">
        <f t="shared" si="11"/>
        <v>21.8</v>
      </c>
      <c r="L114" s="3">
        <f t="shared" si="11"/>
        <v>4.8</v>
      </c>
      <c r="M114" s="3">
        <f t="shared" si="12"/>
        <v>17</v>
      </c>
    </row>
    <row r="115" spans="1:13" x14ac:dyDescent="0.25">
      <c r="A115" s="14">
        <f t="shared" si="6"/>
        <v>2007</v>
      </c>
      <c r="D115" s="3">
        <v>21.6</v>
      </c>
      <c r="E115" s="3">
        <v>4.9000000000000004</v>
      </c>
      <c r="F115">
        <f t="shared" si="7"/>
        <v>1</v>
      </c>
      <c r="G115" s="3">
        <f t="shared" si="8"/>
        <v>21.6</v>
      </c>
      <c r="H115" s="3">
        <f t="shared" si="9"/>
        <v>4.9000000000000004</v>
      </c>
      <c r="J115" s="17">
        <f t="shared" si="10"/>
        <v>2007</v>
      </c>
      <c r="K115" s="3">
        <f t="shared" si="11"/>
        <v>21.6</v>
      </c>
      <c r="L115" s="3">
        <f t="shared" si="11"/>
        <v>4.9000000000000004</v>
      </c>
      <c r="M115" s="3">
        <f t="shared" si="12"/>
        <v>16.700000000000003</v>
      </c>
    </row>
    <row r="116" spans="1:13" x14ac:dyDescent="0.25">
      <c r="A116" s="14">
        <f t="shared" si="6"/>
        <v>2008</v>
      </c>
      <c r="D116" s="3">
        <v>21.3</v>
      </c>
      <c r="E116" s="3">
        <v>5.0999999999999996</v>
      </c>
      <c r="F116">
        <f t="shared" si="7"/>
        <v>1</v>
      </c>
      <c r="G116" s="3">
        <f t="shared" si="8"/>
        <v>21.3</v>
      </c>
      <c r="H116" s="3">
        <f t="shared" si="9"/>
        <v>5.0999999999999996</v>
      </c>
      <c r="J116" s="17">
        <f t="shared" si="10"/>
        <v>2008</v>
      </c>
      <c r="K116" s="3">
        <f t="shared" si="11"/>
        <v>21.3</v>
      </c>
      <c r="L116" s="3">
        <f t="shared" si="11"/>
        <v>5.0999999999999996</v>
      </c>
      <c r="M116" s="3">
        <f t="shared" si="12"/>
        <v>16.200000000000003</v>
      </c>
    </row>
    <row r="117" spans="1:13" x14ac:dyDescent="0.25">
      <c r="A117" s="14">
        <f t="shared" si="6"/>
        <v>2009</v>
      </c>
      <c r="D117" s="3">
        <v>21</v>
      </c>
      <c r="E117" s="3">
        <v>5.2</v>
      </c>
      <c r="F117">
        <f t="shared" si="7"/>
        <v>1</v>
      </c>
      <c r="G117" s="3">
        <f t="shared" si="8"/>
        <v>21</v>
      </c>
      <c r="H117" s="3">
        <f t="shared" si="9"/>
        <v>5.2</v>
      </c>
      <c r="J117" s="17">
        <f t="shared" si="10"/>
        <v>2009</v>
      </c>
      <c r="K117" s="3">
        <f t="shared" si="11"/>
        <v>21</v>
      </c>
      <c r="L117" s="3">
        <f t="shared" si="11"/>
        <v>5.2</v>
      </c>
      <c r="M117" s="3">
        <f t="shared" si="12"/>
        <v>15.8</v>
      </c>
    </row>
    <row r="118" spans="1:13" x14ac:dyDescent="0.25">
      <c r="A118" s="14">
        <f t="shared" si="6"/>
        <v>2010</v>
      </c>
      <c r="D118" s="3">
        <v>20.5</v>
      </c>
      <c r="E118" s="3">
        <v>5.4</v>
      </c>
      <c r="F118">
        <f t="shared" si="7"/>
        <v>1</v>
      </c>
      <c r="G118" s="3">
        <f t="shared" si="8"/>
        <v>20.5</v>
      </c>
      <c r="H118" s="3">
        <f t="shared" si="9"/>
        <v>5.4</v>
      </c>
      <c r="J118" s="17">
        <f t="shared" si="10"/>
        <v>2010</v>
      </c>
      <c r="K118" s="3">
        <f t="shared" si="11"/>
        <v>20.5</v>
      </c>
      <c r="L118" s="3">
        <f t="shared" si="11"/>
        <v>5.4</v>
      </c>
      <c r="M118" s="3">
        <f t="shared" si="12"/>
        <v>15.1</v>
      </c>
    </row>
    <row r="119" spans="1:13" x14ac:dyDescent="0.25">
      <c r="A119" s="14">
        <f t="shared" si="6"/>
        <v>2011</v>
      </c>
      <c r="D119" s="3">
        <v>20</v>
      </c>
      <c r="E119" s="3">
        <v>5.3</v>
      </c>
      <c r="F119">
        <f t="shared" si="7"/>
        <v>1</v>
      </c>
      <c r="G119" s="3">
        <f t="shared" si="8"/>
        <v>20</v>
      </c>
      <c r="H119" s="3">
        <f t="shared" si="9"/>
        <v>5.3</v>
      </c>
      <c r="J119" s="17">
        <f t="shared" si="10"/>
        <v>2011</v>
      </c>
      <c r="K119" s="3">
        <f t="shared" si="11"/>
        <v>20</v>
      </c>
      <c r="L119" s="3">
        <f t="shared" si="11"/>
        <v>5.3</v>
      </c>
      <c r="M119" s="3">
        <f t="shared" si="12"/>
        <v>14.7</v>
      </c>
    </row>
    <row r="120" spans="1:13" x14ac:dyDescent="0.25">
      <c r="A120" s="14">
        <f t="shared" si="6"/>
        <v>2012</v>
      </c>
      <c r="D120" s="3">
        <v>19.5</v>
      </c>
      <c r="E120" s="3">
        <v>5.3</v>
      </c>
      <c r="F120">
        <f t="shared" si="7"/>
        <v>1</v>
      </c>
      <c r="G120" s="3">
        <f t="shared" si="8"/>
        <v>19.5</v>
      </c>
      <c r="H120" s="3">
        <f t="shared" si="9"/>
        <v>5.3</v>
      </c>
      <c r="J120" s="17">
        <f t="shared" si="10"/>
        <v>2012</v>
      </c>
      <c r="K120" s="3">
        <f t="shared" si="11"/>
        <v>19.5</v>
      </c>
      <c r="L120" s="3">
        <f t="shared" si="11"/>
        <v>5.3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19.100000000000001</v>
      </c>
      <c r="E121" s="3">
        <v>5.3</v>
      </c>
      <c r="F121">
        <f t="shared" si="7"/>
        <v>1</v>
      </c>
      <c r="G121" s="3">
        <f t="shared" si="8"/>
        <v>19.100000000000001</v>
      </c>
      <c r="H121" s="3">
        <f t="shared" si="9"/>
        <v>5.3</v>
      </c>
      <c r="J121" s="17">
        <f t="shared" si="10"/>
        <v>2013</v>
      </c>
      <c r="K121" s="3">
        <f t="shared" si="11"/>
        <v>19.100000000000001</v>
      </c>
      <c r="L121" s="3">
        <f t="shared" si="11"/>
        <v>5.3</v>
      </c>
      <c r="M121" s="3">
        <f t="shared" si="12"/>
        <v>13.8</v>
      </c>
    </row>
    <row r="122" spans="1:13" x14ac:dyDescent="0.25">
      <c r="A122" s="14">
        <f t="shared" si="6"/>
        <v>2014</v>
      </c>
      <c r="D122" s="3">
        <v>18.7</v>
      </c>
      <c r="E122" s="3">
        <v>5.4</v>
      </c>
      <c r="F122">
        <f t="shared" si="7"/>
        <v>1</v>
      </c>
      <c r="G122" s="3">
        <f t="shared" si="8"/>
        <v>18.7</v>
      </c>
      <c r="H122" s="3">
        <f t="shared" si="9"/>
        <v>5.4</v>
      </c>
      <c r="J122" s="17">
        <f t="shared" si="10"/>
        <v>2014</v>
      </c>
      <c r="K122" s="3">
        <f t="shared" si="11"/>
        <v>18.7</v>
      </c>
      <c r="L122" s="3">
        <f t="shared" si="11"/>
        <v>5.4</v>
      </c>
      <c r="M122" s="3">
        <f t="shared" si="12"/>
        <v>13.299999999999999</v>
      </c>
    </row>
    <row r="123" spans="1:13" x14ac:dyDescent="0.25">
      <c r="A123" s="14">
        <f t="shared" si="6"/>
        <v>2015</v>
      </c>
      <c r="D123" s="3">
        <v>18.3</v>
      </c>
      <c r="E123" s="3">
        <v>5.5</v>
      </c>
      <c r="F123">
        <f t="shared" si="7"/>
        <v>1</v>
      </c>
      <c r="G123" s="3">
        <f t="shared" si="8"/>
        <v>18.3</v>
      </c>
      <c r="H123" s="3">
        <f t="shared" si="9"/>
        <v>5.5</v>
      </c>
      <c r="J123" s="17">
        <f t="shared" si="10"/>
        <v>2015</v>
      </c>
      <c r="K123" s="3">
        <f t="shared" si="11"/>
        <v>18.3</v>
      </c>
      <c r="L123" s="3">
        <f t="shared" si="11"/>
        <v>5.5</v>
      </c>
      <c r="M123" s="3">
        <f t="shared" si="12"/>
        <v>12.8</v>
      </c>
    </row>
    <row r="124" spans="1:13" x14ac:dyDescent="0.25">
      <c r="A124" s="14">
        <f t="shared" si="6"/>
        <v>2016</v>
      </c>
      <c r="D124" s="3">
        <v>17.7</v>
      </c>
      <c r="E124" s="3">
        <v>5.7</v>
      </c>
      <c r="F124">
        <f t="shared" si="7"/>
        <v>1</v>
      </c>
      <c r="G124" s="3">
        <f t="shared" si="8"/>
        <v>17.7</v>
      </c>
      <c r="H124" s="3">
        <f t="shared" si="9"/>
        <v>5.7</v>
      </c>
      <c r="J124" s="17">
        <f t="shared" si="10"/>
        <v>2016</v>
      </c>
      <c r="K124" s="3">
        <f t="shared" si="11"/>
        <v>17.7</v>
      </c>
      <c r="L124" s="3">
        <f t="shared" si="11"/>
        <v>5.7</v>
      </c>
      <c r="M124" s="3">
        <f t="shared" si="12"/>
        <v>12</v>
      </c>
    </row>
    <row r="125" spans="1:13" x14ac:dyDescent="0.25">
      <c r="A125" s="14">
        <f t="shared" ref="A125:A131" si="13">A124+1</f>
        <v>2017</v>
      </c>
      <c r="D125" s="3">
        <v>17.3</v>
      </c>
      <c r="E125" s="3">
        <v>5.8</v>
      </c>
      <c r="F125">
        <f t="shared" si="7"/>
        <v>1</v>
      </c>
      <c r="G125" s="3">
        <f t="shared" si="8"/>
        <v>17.3</v>
      </c>
      <c r="H125" s="3">
        <f t="shared" si="9"/>
        <v>5.8</v>
      </c>
      <c r="J125" s="17">
        <f t="shared" si="10"/>
        <v>2017</v>
      </c>
      <c r="K125" s="3">
        <f t="shared" si="11"/>
        <v>17.3</v>
      </c>
      <c r="L125" s="3">
        <f t="shared" si="11"/>
        <v>5.8</v>
      </c>
      <c r="M125" s="3">
        <f t="shared" si="12"/>
        <v>11.5</v>
      </c>
    </row>
    <row r="126" spans="1:13" x14ac:dyDescent="0.25">
      <c r="A126" s="14">
        <f t="shared" si="13"/>
        <v>2018</v>
      </c>
      <c r="D126" s="3">
        <v>17.100000000000001</v>
      </c>
      <c r="E126" s="3">
        <v>5.9</v>
      </c>
      <c r="F126">
        <f t="shared" si="7"/>
        <v>1</v>
      </c>
      <c r="G126" s="3">
        <f t="shared" si="8"/>
        <v>17.100000000000001</v>
      </c>
      <c r="H126" s="3">
        <f t="shared" si="9"/>
        <v>5.9</v>
      </c>
      <c r="J126" s="17">
        <f t="shared" si="10"/>
        <v>2018</v>
      </c>
      <c r="K126" s="3">
        <f t="shared" si="11"/>
        <v>17.100000000000001</v>
      </c>
      <c r="L126" s="3">
        <f t="shared" si="11"/>
        <v>5.9</v>
      </c>
      <c r="M126" s="3">
        <f t="shared" si="12"/>
        <v>11.200000000000001</v>
      </c>
    </row>
    <row r="127" spans="1:13" x14ac:dyDescent="0.25">
      <c r="A127" s="14">
        <f t="shared" si="13"/>
        <v>2019</v>
      </c>
      <c r="D127" s="3">
        <v>16.899999999999999</v>
      </c>
      <c r="E127" s="3">
        <v>6</v>
      </c>
      <c r="F127">
        <f t="shared" si="7"/>
        <v>1</v>
      </c>
      <c r="G127" s="3">
        <f t="shared" si="8"/>
        <v>16.899999999999999</v>
      </c>
      <c r="H127" s="3">
        <f t="shared" si="9"/>
        <v>6</v>
      </c>
      <c r="J127" s="17">
        <f t="shared" si="10"/>
        <v>2019</v>
      </c>
      <c r="K127" s="3">
        <f t="shared" si="11"/>
        <v>16.899999999999999</v>
      </c>
      <c r="L127" s="3">
        <f t="shared" si="11"/>
        <v>6</v>
      </c>
      <c r="M127" s="3">
        <f t="shared" si="12"/>
        <v>10.899999999999999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9.3000000000000007</v>
      </c>
      <c r="F128">
        <f t="shared" si="7"/>
        <v>1</v>
      </c>
      <c r="G128" s="3">
        <f t="shared" si="8"/>
        <v>16.600000000000001</v>
      </c>
      <c r="H128" s="3">
        <f t="shared" si="9"/>
        <v>9.3000000000000007</v>
      </c>
      <c r="J128" s="17">
        <f t="shared" si="10"/>
        <v>2020</v>
      </c>
      <c r="K128" s="3">
        <f t="shared" si="11"/>
        <v>16.600000000000001</v>
      </c>
      <c r="L128" s="3">
        <f t="shared" si="11"/>
        <v>9.3000000000000007</v>
      </c>
      <c r="M128" s="3">
        <f t="shared" si="12"/>
        <v>7.3000000000000007</v>
      </c>
    </row>
    <row r="129" spans="1:13" x14ac:dyDescent="0.25">
      <c r="A129" s="14">
        <f t="shared" si="13"/>
        <v>2021</v>
      </c>
      <c r="D129" s="3">
        <v>16.3</v>
      </c>
      <c r="E129" s="3">
        <v>9.5</v>
      </c>
      <c r="F129">
        <f t="shared" si="7"/>
        <v>1</v>
      </c>
      <c r="G129" s="3">
        <f t="shared" si="8"/>
        <v>16.3</v>
      </c>
      <c r="H129" s="3">
        <f t="shared" si="9"/>
        <v>9.5</v>
      </c>
      <c r="J129" s="17">
        <f t="shared" si="10"/>
        <v>2021</v>
      </c>
      <c r="K129" s="3">
        <f t="shared" si="11"/>
        <v>16.3</v>
      </c>
      <c r="L129" s="3">
        <f t="shared" si="11"/>
        <v>9.5</v>
      </c>
      <c r="M129" s="3">
        <f t="shared" si="12"/>
        <v>6.8000000000000007</v>
      </c>
    </row>
    <row r="130" spans="1:13" x14ac:dyDescent="0.25">
      <c r="A130" s="14">
        <f t="shared" si="13"/>
        <v>2022</v>
      </c>
      <c r="D130" s="3">
        <v>16.100000000000001</v>
      </c>
      <c r="E130" s="3">
        <v>6.1</v>
      </c>
      <c r="F130">
        <f t="shared" si="7"/>
        <v>1</v>
      </c>
      <c r="G130" s="3">
        <f t="shared" si="8"/>
        <v>16.100000000000001</v>
      </c>
      <c r="H130" s="3">
        <f t="shared" si="9"/>
        <v>6.1</v>
      </c>
      <c r="J130" s="17">
        <f t="shared" si="10"/>
        <v>2022</v>
      </c>
      <c r="K130" s="3">
        <f t="shared" si="11"/>
        <v>16.100000000000001</v>
      </c>
      <c r="L130" s="3">
        <f t="shared" si="11"/>
        <v>6.1</v>
      </c>
      <c r="M130" s="3">
        <f t="shared" si="12"/>
        <v>10.000000000000002</v>
      </c>
    </row>
    <row r="131" spans="1:13" x14ac:dyDescent="0.25">
      <c r="A131" s="14">
        <f t="shared" si="13"/>
        <v>2023</v>
      </c>
      <c r="D131" s="3">
        <v>15.8</v>
      </c>
      <c r="E131" s="3">
        <v>6.1</v>
      </c>
      <c r="F131">
        <f t="shared" si="7"/>
        <v>1</v>
      </c>
      <c r="G131" s="3">
        <f t="shared" si="8"/>
        <v>15.8</v>
      </c>
      <c r="H131" s="3">
        <f t="shared" si="9"/>
        <v>6.1</v>
      </c>
      <c r="J131" s="17">
        <f t="shared" si="10"/>
        <v>2023</v>
      </c>
      <c r="K131" s="3">
        <f t="shared" si="11"/>
        <v>15.8</v>
      </c>
      <c r="L131" s="3">
        <f t="shared" si="11"/>
        <v>6.1</v>
      </c>
      <c r="M131" s="3">
        <f t="shared" si="12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9" si="0">A3-1</f>
        <v>1900</v>
      </c>
      <c r="B2" s="25"/>
      <c r="C2" s="25"/>
      <c r="D2" s="25"/>
      <c r="E2" s="3">
        <f>(F3/F2-1) * 1000</f>
        <v>32.653061224489747</v>
      </c>
      <c r="F2" s="26">
        <v>490</v>
      </c>
    </row>
    <row r="3" spans="1:6" x14ac:dyDescent="0.25">
      <c r="A3" s="29">
        <f t="shared" si="0"/>
        <v>1901</v>
      </c>
      <c r="B3" s="25"/>
      <c r="C3" s="25"/>
      <c r="D3" s="25"/>
      <c r="E3" s="3">
        <f t="shared" ref="E3:E66" si="1">(F4/F3-1) * 1000</f>
        <v>31.620553359683832</v>
      </c>
      <c r="F3" s="26">
        <v>506</v>
      </c>
    </row>
    <row r="4" spans="1:6" x14ac:dyDescent="0.25">
      <c r="A4" s="29">
        <f t="shared" si="0"/>
        <v>1902</v>
      </c>
      <c r="B4" s="25"/>
      <c r="C4" s="25"/>
      <c r="D4" s="25"/>
      <c r="E4" s="3">
        <f t="shared" si="1"/>
        <v>32.567049808429175</v>
      </c>
      <c r="F4" s="26">
        <v>522</v>
      </c>
    </row>
    <row r="5" spans="1:6" x14ac:dyDescent="0.25">
      <c r="A5" s="29">
        <f t="shared" si="0"/>
        <v>1903</v>
      </c>
      <c r="B5" s="25"/>
      <c r="C5" s="25"/>
      <c r="D5" s="25"/>
      <c r="E5" s="3">
        <f t="shared" si="1"/>
        <v>29.684601113172615</v>
      </c>
      <c r="F5" s="26">
        <v>539</v>
      </c>
    </row>
    <row r="6" spans="1:6" x14ac:dyDescent="0.25">
      <c r="A6" s="29">
        <f t="shared" si="0"/>
        <v>1904</v>
      </c>
      <c r="B6" s="25"/>
      <c r="C6" s="25"/>
      <c r="D6" s="25"/>
      <c r="E6" s="3">
        <f t="shared" si="1"/>
        <v>28.828828828828755</v>
      </c>
      <c r="F6" s="26">
        <v>555</v>
      </c>
    </row>
    <row r="7" spans="1:6" x14ac:dyDescent="0.25">
      <c r="A7" s="29">
        <f t="shared" si="0"/>
        <v>1905</v>
      </c>
      <c r="B7" s="25"/>
      <c r="C7" s="25"/>
      <c r="D7" s="25"/>
      <c r="E7" s="3">
        <f t="shared" si="1"/>
        <v>15.761821366024442</v>
      </c>
      <c r="F7" s="26">
        <v>571</v>
      </c>
    </row>
    <row r="8" spans="1:6" x14ac:dyDescent="0.25">
      <c r="A8" s="29">
        <f t="shared" si="0"/>
        <v>1906</v>
      </c>
      <c r="B8" s="25"/>
      <c r="C8" s="25"/>
      <c r="D8" s="25"/>
      <c r="E8" s="3">
        <f t="shared" si="1"/>
        <v>17.241379310344751</v>
      </c>
      <c r="F8" s="26">
        <v>580</v>
      </c>
    </row>
    <row r="9" spans="1:6" x14ac:dyDescent="0.25">
      <c r="A9" s="29">
        <f t="shared" si="0"/>
        <v>1907</v>
      </c>
      <c r="B9" s="25"/>
      <c r="C9" s="25"/>
      <c r="D9" s="25"/>
      <c r="E9" s="3">
        <f t="shared" si="1"/>
        <v>16.949152542372836</v>
      </c>
      <c r="F9" s="26">
        <v>590</v>
      </c>
    </row>
    <row r="10" spans="1:6" x14ac:dyDescent="0.25">
      <c r="A10" s="29">
        <f t="shared" ref="A10:A50" si="2">A11-1</f>
        <v>1908</v>
      </c>
      <c r="B10" s="25"/>
      <c r="C10" s="25"/>
      <c r="D10" s="25"/>
      <c r="E10" s="3">
        <f t="shared" si="1"/>
        <v>16.666666666666607</v>
      </c>
      <c r="F10" s="26">
        <v>600</v>
      </c>
    </row>
    <row r="11" spans="1:6" x14ac:dyDescent="0.25">
      <c r="A11" s="29">
        <f t="shared" si="2"/>
        <v>1909</v>
      </c>
      <c r="B11" s="25"/>
      <c r="C11" s="25"/>
      <c r="D11" s="25"/>
      <c r="E11" s="3">
        <f t="shared" si="1"/>
        <v>16.393442622950836</v>
      </c>
      <c r="F11" s="26">
        <v>610</v>
      </c>
    </row>
    <row r="12" spans="1:6" x14ac:dyDescent="0.25">
      <c r="A12" s="29">
        <f t="shared" si="2"/>
        <v>1910</v>
      </c>
      <c r="B12" s="25"/>
      <c r="C12" s="25"/>
      <c r="D12" s="25"/>
      <c r="E12" s="3">
        <f t="shared" si="1"/>
        <v>16.129032258064502</v>
      </c>
      <c r="F12" s="26">
        <v>620</v>
      </c>
    </row>
    <row r="13" spans="1:6" x14ac:dyDescent="0.25">
      <c r="A13" s="29">
        <f t="shared" si="2"/>
        <v>1911</v>
      </c>
      <c r="B13" s="25"/>
      <c r="C13" s="25"/>
      <c r="D13" s="25"/>
      <c r="E13" s="3">
        <f t="shared" si="1"/>
        <v>15.873015873015817</v>
      </c>
      <c r="F13" s="26">
        <v>630</v>
      </c>
    </row>
    <row r="14" spans="1:6" x14ac:dyDescent="0.25">
      <c r="A14" s="29">
        <f t="shared" si="2"/>
        <v>1912</v>
      </c>
      <c r="B14" s="25"/>
      <c r="C14" s="25"/>
      <c r="D14" s="25"/>
      <c r="E14" s="3">
        <f t="shared" si="1"/>
        <v>15.625</v>
      </c>
      <c r="F14" s="26">
        <v>640</v>
      </c>
    </row>
    <row r="15" spans="1:6" x14ac:dyDescent="0.25">
      <c r="A15" s="29">
        <f t="shared" si="2"/>
        <v>1913</v>
      </c>
      <c r="B15" s="25"/>
      <c r="C15" s="25"/>
      <c r="D15" s="25"/>
      <c r="E15" s="3">
        <f t="shared" si="1"/>
        <v>10.769230769230864</v>
      </c>
      <c r="F15" s="26">
        <v>650</v>
      </c>
    </row>
    <row r="16" spans="1:6" x14ac:dyDescent="0.25">
      <c r="A16" s="29">
        <f t="shared" si="2"/>
        <v>1914</v>
      </c>
      <c r="B16" s="25"/>
      <c r="C16" s="25"/>
      <c r="D16" s="25"/>
      <c r="E16" s="3">
        <f t="shared" si="1"/>
        <v>10.654490106544845</v>
      </c>
      <c r="F16" s="26">
        <v>657</v>
      </c>
    </row>
    <row r="17" spans="1:6" x14ac:dyDescent="0.25">
      <c r="A17" s="29">
        <f t="shared" si="2"/>
        <v>1915</v>
      </c>
      <c r="B17" s="25"/>
      <c r="C17" s="25"/>
      <c r="D17" s="25"/>
      <c r="E17" s="3">
        <f t="shared" si="1"/>
        <v>10.542168674698704</v>
      </c>
      <c r="F17" s="26">
        <v>664</v>
      </c>
    </row>
    <row r="18" spans="1:6" x14ac:dyDescent="0.25">
      <c r="A18" s="29">
        <f t="shared" si="2"/>
        <v>1916</v>
      </c>
      <c r="B18" s="25"/>
      <c r="C18" s="25"/>
      <c r="D18" s="25"/>
      <c r="E18" s="3">
        <f t="shared" si="1"/>
        <v>10.432190760059523</v>
      </c>
      <c r="F18" s="26">
        <v>671</v>
      </c>
    </row>
    <row r="19" spans="1:6" x14ac:dyDescent="0.25">
      <c r="A19" s="29">
        <f t="shared" si="2"/>
        <v>1917</v>
      </c>
      <c r="B19" s="25"/>
      <c r="C19" s="25"/>
      <c r="D19" s="25"/>
      <c r="E19" s="3">
        <f t="shared" si="1"/>
        <v>10.324483775811188</v>
      </c>
      <c r="F19" s="26">
        <v>678</v>
      </c>
    </row>
    <row r="20" spans="1:6" x14ac:dyDescent="0.25">
      <c r="A20" s="29">
        <f t="shared" si="2"/>
        <v>1918</v>
      </c>
      <c r="B20" s="25"/>
      <c r="C20" s="25"/>
      <c r="D20" s="25"/>
      <c r="E20" s="3">
        <f t="shared" si="1"/>
        <v>10.218978102189746</v>
      </c>
      <c r="F20" s="26">
        <v>685</v>
      </c>
    </row>
    <row r="21" spans="1:6" x14ac:dyDescent="0.25">
      <c r="A21" s="29">
        <f t="shared" si="2"/>
        <v>1919</v>
      </c>
      <c r="B21" s="25"/>
      <c r="C21" s="25"/>
      <c r="D21" s="25"/>
      <c r="E21" s="3">
        <f t="shared" si="1"/>
        <v>10.115606936416111</v>
      </c>
      <c r="F21" s="26">
        <v>692</v>
      </c>
    </row>
    <row r="22" spans="1:6" x14ac:dyDescent="0.25">
      <c r="A22" s="29">
        <f t="shared" si="2"/>
        <v>1920</v>
      </c>
      <c r="B22" s="25"/>
      <c r="C22" s="25"/>
      <c r="D22" s="25"/>
      <c r="E22" s="3">
        <f t="shared" si="1"/>
        <v>22.889842632331849</v>
      </c>
      <c r="F22" s="26">
        <v>699</v>
      </c>
    </row>
    <row r="23" spans="1:6" x14ac:dyDescent="0.25">
      <c r="A23" s="29">
        <f t="shared" si="2"/>
        <v>1921</v>
      </c>
      <c r="B23" s="25"/>
      <c r="C23" s="25"/>
      <c r="D23" s="25"/>
      <c r="E23" s="3">
        <f t="shared" si="1"/>
        <v>23.776223776223794</v>
      </c>
      <c r="F23" s="26">
        <v>715</v>
      </c>
    </row>
    <row r="24" spans="1:6" x14ac:dyDescent="0.25">
      <c r="A24" s="29">
        <f t="shared" si="2"/>
        <v>1922</v>
      </c>
      <c r="B24" s="25"/>
      <c r="C24" s="25"/>
      <c r="D24" s="25"/>
      <c r="E24" s="3">
        <f t="shared" si="1"/>
        <v>23.224043715847074</v>
      </c>
      <c r="F24" s="26">
        <v>732</v>
      </c>
    </row>
    <row r="25" spans="1:6" x14ac:dyDescent="0.25">
      <c r="A25" s="29">
        <f t="shared" si="2"/>
        <v>1923</v>
      </c>
      <c r="B25" s="25"/>
      <c r="C25" s="25"/>
      <c r="D25" s="25"/>
      <c r="E25" s="3">
        <f t="shared" si="1"/>
        <v>24.032042723631577</v>
      </c>
      <c r="F25" s="26">
        <v>749</v>
      </c>
    </row>
    <row r="26" spans="1:6" x14ac:dyDescent="0.25">
      <c r="A26" s="29">
        <f t="shared" si="2"/>
        <v>1924</v>
      </c>
      <c r="B26" s="25"/>
      <c r="C26" s="25"/>
      <c r="D26" s="25"/>
      <c r="E26" s="3">
        <f t="shared" si="1"/>
        <v>23.468057366362373</v>
      </c>
      <c r="F26" s="26">
        <v>767</v>
      </c>
    </row>
    <row r="27" spans="1:6" x14ac:dyDescent="0.25">
      <c r="A27" s="29">
        <f t="shared" si="2"/>
        <v>1925</v>
      </c>
      <c r="B27" s="25"/>
      <c r="C27" s="25"/>
      <c r="D27" s="25"/>
      <c r="E27" s="3">
        <f t="shared" si="1"/>
        <v>22.929936305732479</v>
      </c>
      <c r="F27" s="26">
        <v>785</v>
      </c>
    </row>
    <row r="28" spans="1:6" x14ac:dyDescent="0.25">
      <c r="A28" s="29">
        <f t="shared" si="2"/>
        <v>1926</v>
      </c>
      <c r="B28" s="25"/>
      <c r="C28" s="25"/>
      <c r="D28" s="25"/>
      <c r="E28" s="3">
        <f t="shared" si="1"/>
        <v>23.661270236612797</v>
      </c>
      <c r="F28" s="26">
        <v>803</v>
      </c>
    </row>
    <row r="29" spans="1:6" x14ac:dyDescent="0.25">
      <c r="A29" s="29">
        <f t="shared" si="2"/>
        <v>1927</v>
      </c>
      <c r="B29" s="25"/>
      <c r="C29" s="25"/>
      <c r="D29" s="25"/>
      <c r="E29" s="3">
        <f t="shared" si="1"/>
        <v>23.11435523114347</v>
      </c>
      <c r="F29" s="26">
        <v>822</v>
      </c>
    </row>
    <row r="30" spans="1:6" x14ac:dyDescent="0.25">
      <c r="A30" s="29">
        <f t="shared" si="2"/>
        <v>1928</v>
      </c>
      <c r="B30" s="25"/>
      <c r="C30" s="25"/>
      <c r="D30" s="25"/>
      <c r="E30" s="3">
        <f t="shared" si="1"/>
        <v>22.592152199762296</v>
      </c>
      <c r="F30" s="26">
        <v>841</v>
      </c>
    </row>
    <row r="31" spans="1:6" x14ac:dyDescent="0.25">
      <c r="A31" s="29">
        <f t="shared" si="2"/>
        <v>1929</v>
      </c>
      <c r="B31" s="25"/>
      <c r="C31" s="25"/>
      <c r="D31" s="25"/>
      <c r="E31" s="3">
        <f t="shared" si="1"/>
        <v>23.255813953488413</v>
      </c>
      <c r="F31" s="26">
        <v>860</v>
      </c>
    </row>
    <row r="32" spans="1:6" x14ac:dyDescent="0.25">
      <c r="A32" s="29">
        <f t="shared" si="2"/>
        <v>1930</v>
      </c>
      <c r="B32" s="25"/>
      <c r="C32" s="25"/>
      <c r="D32" s="25"/>
      <c r="E32" s="3">
        <f t="shared" si="1"/>
        <v>23.86363636363642</v>
      </c>
      <c r="F32" s="26">
        <v>880</v>
      </c>
    </row>
    <row r="33" spans="1:6" x14ac:dyDescent="0.25">
      <c r="A33" s="29">
        <f t="shared" si="2"/>
        <v>1931</v>
      </c>
      <c r="B33" s="25"/>
      <c r="C33" s="25"/>
      <c r="D33" s="25"/>
      <c r="E33" s="3">
        <f t="shared" si="1"/>
        <v>23.307436182020027</v>
      </c>
      <c r="F33" s="26">
        <v>901</v>
      </c>
    </row>
    <row r="34" spans="1:6" x14ac:dyDescent="0.25">
      <c r="A34" s="29">
        <f t="shared" si="2"/>
        <v>1932</v>
      </c>
      <c r="B34" s="25"/>
      <c r="C34" s="25"/>
      <c r="D34" s="25"/>
      <c r="E34" s="3">
        <f t="shared" si="1"/>
        <v>23.86117136659438</v>
      </c>
      <c r="F34" s="26">
        <v>922</v>
      </c>
    </row>
    <row r="35" spans="1:6" x14ac:dyDescent="0.25">
      <c r="A35" s="29">
        <f t="shared" si="2"/>
        <v>1933</v>
      </c>
      <c r="B35" s="25"/>
      <c r="C35" s="25"/>
      <c r="D35" s="25"/>
      <c r="E35" s="3">
        <f t="shared" si="1"/>
        <v>23.305084745762763</v>
      </c>
      <c r="F35" s="26">
        <v>944</v>
      </c>
    </row>
    <row r="36" spans="1:6" x14ac:dyDescent="0.25">
      <c r="A36" s="29">
        <f t="shared" si="2"/>
        <v>1934</v>
      </c>
      <c r="B36" s="25"/>
      <c r="C36" s="25"/>
      <c r="D36" s="25"/>
      <c r="E36" s="3">
        <f t="shared" si="1"/>
        <v>22.774327122153217</v>
      </c>
      <c r="F36" s="26">
        <v>966</v>
      </c>
    </row>
    <row r="37" spans="1:6" x14ac:dyDescent="0.25">
      <c r="A37" s="29">
        <f t="shared" si="2"/>
        <v>1935</v>
      </c>
      <c r="B37" s="25"/>
      <c r="C37" s="25"/>
      <c r="D37" s="25"/>
      <c r="E37" s="3">
        <f t="shared" si="1"/>
        <v>24.291497975708509</v>
      </c>
      <c r="F37" s="26">
        <v>988</v>
      </c>
    </row>
    <row r="38" spans="1:6" x14ac:dyDescent="0.25">
      <c r="A38" s="29">
        <f t="shared" si="2"/>
        <v>1936</v>
      </c>
      <c r="B38" s="25"/>
      <c r="C38" s="25"/>
      <c r="D38" s="25"/>
      <c r="E38" s="3">
        <f t="shared" si="1"/>
        <v>23.715415019762929</v>
      </c>
      <c r="F38" s="26">
        <v>1012</v>
      </c>
    </row>
    <row r="39" spans="1:6" x14ac:dyDescent="0.25">
      <c r="A39" s="29">
        <f t="shared" si="2"/>
        <v>1937</v>
      </c>
      <c r="B39" s="25"/>
      <c r="C39" s="25"/>
      <c r="D39" s="25"/>
      <c r="E39" s="3">
        <f t="shared" si="1"/>
        <v>24.131274131274026</v>
      </c>
      <c r="F39" s="26">
        <v>1036</v>
      </c>
    </row>
    <row r="40" spans="1:6" x14ac:dyDescent="0.25">
      <c r="A40" s="29">
        <f t="shared" si="2"/>
        <v>1938</v>
      </c>
      <c r="B40" s="25"/>
      <c r="C40" s="25"/>
      <c r="D40" s="25"/>
      <c r="E40" s="3">
        <f t="shared" si="1"/>
        <v>23.562676720075395</v>
      </c>
      <c r="F40" s="26">
        <v>1061</v>
      </c>
    </row>
    <row r="41" spans="1:6" x14ac:dyDescent="0.25">
      <c r="A41" s="29">
        <f t="shared" si="2"/>
        <v>1939</v>
      </c>
      <c r="B41" s="25"/>
      <c r="C41" s="25"/>
      <c r="D41" s="25"/>
      <c r="E41" s="3">
        <f t="shared" si="1"/>
        <v>23.020257826887658</v>
      </c>
      <c r="F41" s="26">
        <v>1086</v>
      </c>
    </row>
    <row r="42" spans="1:6" x14ac:dyDescent="0.25">
      <c r="A42" s="29">
        <f t="shared" si="2"/>
        <v>1940</v>
      </c>
      <c r="B42" s="25"/>
      <c r="C42" s="25"/>
      <c r="D42" s="25"/>
      <c r="E42" s="3">
        <f t="shared" si="1"/>
        <v>23.40234023402332</v>
      </c>
      <c r="F42" s="26">
        <v>1111</v>
      </c>
    </row>
    <row r="43" spans="1:6" x14ac:dyDescent="0.25">
      <c r="A43" s="29">
        <f t="shared" si="2"/>
        <v>1941</v>
      </c>
      <c r="B43" s="25"/>
      <c r="C43" s="25"/>
      <c r="D43" s="25"/>
      <c r="E43" s="3">
        <f t="shared" si="1"/>
        <v>23.746701846965699</v>
      </c>
      <c r="F43" s="26">
        <v>1137</v>
      </c>
    </row>
    <row r="44" spans="1:6" x14ac:dyDescent="0.25">
      <c r="A44" s="29">
        <f t="shared" si="2"/>
        <v>1942</v>
      </c>
      <c r="B44" s="25"/>
      <c r="C44" s="25"/>
      <c r="D44" s="25"/>
      <c r="E44" s="3">
        <f t="shared" si="1"/>
        <v>23.195876288659711</v>
      </c>
      <c r="F44" s="26">
        <v>1164</v>
      </c>
    </row>
    <row r="45" spans="1:6" x14ac:dyDescent="0.25">
      <c r="A45" s="29">
        <f t="shared" si="2"/>
        <v>1943</v>
      </c>
      <c r="B45" s="25"/>
      <c r="C45" s="25"/>
      <c r="D45" s="25"/>
      <c r="E45" s="3">
        <f t="shared" si="1"/>
        <v>23.509655751469349</v>
      </c>
      <c r="F45" s="26">
        <v>1191</v>
      </c>
    </row>
    <row r="46" spans="1:6" x14ac:dyDescent="0.25">
      <c r="A46" s="29">
        <f t="shared" si="2"/>
        <v>1944</v>
      </c>
      <c r="B46" s="25"/>
      <c r="C46" s="25"/>
      <c r="D46" s="25"/>
      <c r="E46" s="3">
        <f t="shared" si="1"/>
        <v>22.969647251845693</v>
      </c>
      <c r="F46" s="26">
        <v>1219</v>
      </c>
    </row>
    <row r="47" spans="1:6" x14ac:dyDescent="0.25">
      <c r="A47" s="29">
        <f t="shared" si="2"/>
        <v>1945</v>
      </c>
      <c r="B47" s="25"/>
      <c r="C47" s="25"/>
      <c r="D47" s="25"/>
      <c r="E47" s="3">
        <f t="shared" si="1"/>
        <v>22.453889334402621</v>
      </c>
      <c r="F47" s="26">
        <v>1247</v>
      </c>
    </row>
    <row r="48" spans="1:6" x14ac:dyDescent="0.25">
      <c r="A48" s="29">
        <f t="shared" si="2"/>
        <v>1946</v>
      </c>
      <c r="B48" s="25"/>
      <c r="C48" s="25"/>
      <c r="D48" s="25"/>
      <c r="E48" s="3">
        <f t="shared" si="1"/>
        <v>23.529411764705799</v>
      </c>
      <c r="F48" s="26">
        <v>1275</v>
      </c>
    </row>
    <row r="49" spans="1:33" x14ac:dyDescent="0.25">
      <c r="A49" s="29">
        <f t="shared" si="2"/>
        <v>1947</v>
      </c>
      <c r="B49" s="25"/>
      <c r="C49" s="25"/>
      <c r="D49" s="25"/>
      <c r="E49" s="3">
        <f t="shared" si="1"/>
        <v>22.98850574712641</v>
      </c>
      <c r="F49" s="26">
        <v>1305</v>
      </c>
    </row>
    <row r="50" spans="1:33" x14ac:dyDescent="0.25">
      <c r="A50" s="29">
        <f t="shared" si="2"/>
        <v>1948</v>
      </c>
      <c r="B50" s="25"/>
      <c r="C50" s="25"/>
      <c r="D50" s="25"/>
      <c r="E50" s="3">
        <f t="shared" si="1"/>
        <v>23.220973782771548</v>
      </c>
      <c r="F50" s="26">
        <v>1335</v>
      </c>
    </row>
    <row r="51" spans="1:33" x14ac:dyDescent="0.25">
      <c r="A51" s="29">
        <f>A52-1</f>
        <v>1949</v>
      </c>
      <c r="B51" s="25"/>
      <c r="C51" s="25"/>
      <c r="D51" s="25"/>
      <c r="E51" s="3">
        <f t="shared" si="1"/>
        <v>22.693997071742356</v>
      </c>
      <c r="F51" s="26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6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6">
        <v>1429</v>
      </c>
      <c r="AF53" s="26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6">
        <v>1462</v>
      </c>
      <c r="AF54" s="26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6">
        <v>1496</v>
      </c>
      <c r="AF55" s="26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6">
        <v>1530</v>
      </c>
      <c r="AF56" s="26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6">
        <v>1565</v>
      </c>
      <c r="AF57" s="26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6">
        <v>1613</v>
      </c>
      <c r="AF58" s="26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6">
        <v>1648</v>
      </c>
      <c r="AF59" s="26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6">
        <v>1687</v>
      </c>
      <c r="AF60" s="26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6">
        <v>1728</v>
      </c>
      <c r="AF61" s="26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6">
        <v>1768</v>
      </c>
      <c r="AF62" s="26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6">
        <v>1812</v>
      </c>
      <c r="AF63" s="26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6">
        <v>1858</v>
      </c>
      <c r="AF64" s="26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6">
        <v>1906</v>
      </c>
      <c r="AF65" s="26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6">
        <v>1955</v>
      </c>
      <c r="AF66" s="26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6">
        <v>2007</v>
      </c>
      <c r="AF67" s="26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6">
        <v>2061</v>
      </c>
      <c r="AF68" s="26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6">
        <v>2116</v>
      </c>
      <c r="AF69" s="26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6">
        <v>2174</v>
      </c>
      <c r="AF70" s="26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6">
        <v>2234</v>
      </c>
      <c r="AF71" s="26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6">
        <v>2296</v>
      </c>
      <c r="AF72" s="26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6">
        <v>2361</v>
      </c>
      <c r="AF73" s="26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6">
        <v>2428</v>
      </c>
      <c r="AF74" s="26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6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6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6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6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6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6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6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6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6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6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6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6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6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6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6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6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6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6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6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6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6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6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6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6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6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6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6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6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6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6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6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6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6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6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6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6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6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6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6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6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6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6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6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6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6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6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6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6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6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6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6"/>
      <c r="AG125" s="3"/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40" si="0">A3-1</f>
        <v>1900</v>
      </c>
      <c r="B2" s="25"/>
      <c r="C2" s="25"/>
      <c r="D2" s="25"/>
      <c r="E2" s="28">
        <f>(F3/F2-1) * 1000</f>
        <v>33.333333333333435</v>
      </c>
      <c r="F2" s="26">
        <v>3000</v>
      </c>
    </row>
    <row r="3" spans="1:6" x14ac:dyDescent="0.25">
      <c r="A3" s="29">
        <f t="shared" si="0"/>
        <v>1901</v>
      </c>
      <c r="B3" s="25"/>
      <c r="C3" s="25"/>
      <c r="D3" s="25"/>
      <c r="E3" s="28">
        <f t="shared" ref="E3:E41" si="1">(F4/F3-1) * 1000</f>
        <v>32.258064516129004</v>
      </c>
      <c r="F3" s="26">
        <v>3100</v>
      </c>
    </row>
    <row r="4" spans="1:6" x14ac:dyDescent="0.25">
      <c r="A4" s="29">
        <f t="shared" si="0"/>
        <v>1902</v>
      </c>
      <c r="B4" s="25"/>
      <c r="C4" s="25"/>
      <c r="D4" s="25"/>
      <c r="E4" s="28">
        <f t="shared" si="1"/>
        <v>31.25</v>
      </c>
      <c r="F4" s="26">
        <v>3200</v>
      </c>
    </row>
    <row r="5" spans="1:6" x14ac:dyDescent="0.25">
      <c r="A5" s="29">
        <f t="shared" si="0"/>
        <v>1903</v>
      </c>
      <c r="B5" s="25"/>
      <c r="C5" s="25"/>
      <c r="D5" s="25"/>
      <c r="E5" s="28">
        <f t="shared" si="1"/>
        <v>30.303030303030276</v>
      </c>
      <c r="F5" s="26">
        <v>3300</v>
      </c>
    </row>
    <row r="6" spans="1:6" x14ac:dyDescent="0.25">
      <c r="A6" s="29">
        <f t="shared" si="0"/>
        <v>1904</v>
      </c>
      <c r="B6" s="25"/>
      <c r="C6" s="25"/>
      <c r="D6" s="25"/>
      <c r="E6" s="28">
        <f t="shared" si="1"/>
        <v>29.411764705882248</v>
      </c>
      <c r="F6" s="26">
        <v>3400</v>
      </c>
    </row>
    <row r="7" spans="1:6" x14ac:dyDescent="0.25">
      <c r="A7" s="29">
        <f t="shared" si="0"/>
        <v>1905</v>
      </c>
      <c r="B7" s="25"/>
      <c r="C7" s="25"/>
      <c r="D7" s="25"/>
      <c r="E7" s="28">
        <f t="shared" si="1"/>
        <v>28.57142857142847</v>
      </c>
      <c r="F7" s="26">
        <v>3500</v>
      </c>
    </row>
    <row r="8" spans="1:6" x14ac:dyDescent="0.25">
      <c r="A8" s="29">
        <f t="shared" si="0"/>
        <v>1906</v>
      </c>
      <c r="B8" s="25"/>
      <c r="C8" s="25"/>
      <c r="D8" s="25"/>
      <c r="E8" s="28">
        <f t="shared" si="1"/>
        <v>27.777777777777679</v>
      </c>
      <c r="F8" s="26">
        <v>3600</v>
      </c>
    </row>
    <row r="9" spans="1:6" x14ac:dyDescent="0.25">
      <c r="A9" s="29">
        <f t="shared" si="0"/>
        <v>1907</v>
      </c>
      <c r="B9" s="25"/>
      <c r="C9" s="25"/>
      <c r="D9" s="25"/>
      <c r="E9" s="28">
        <f t="shared" si="1"/>
        <v>27.027027027026975</v>
      </c>
      <c r="F9" s="26">
        <v>3700</v>
      </c>
    </row>
    <row r="10" spans="1:6" x14ac:dyDescent="0.25">
      <c r="A10" s="29">
        <f t="shared" si="0"/>
        <v>1908</v>
      </c>
      <c r="B10" s="25"/>
      <c r="C10" s="25"/>
      <c r="D10" s="25"/>
      <c r="E10" s="28">
        <f t="shared" si="1"/>
        <v>26.315789473684291</v>
      </c>
      <c r="F10" s="26">
        <v>3800</v>
      </c>
    </row>
    <row r="11" spans="1:6" x14ac:dyDescent="0.25">
      <c r="A11" s="29">
        <f t="shared" si="0"/>
        <v>1909</v>
      </c>
      <c r="B11" s="25"/>
      <c r="C11" s="25"/>
      <c r="D11" s="25"/>
      <c r="E11" s="28">
        <f t="shared" si="1"/>
        <v>25.64102564102555</v>
      </c>
      <c r="F11" s="26">
        <v>3900</v>
      </c>
    </row>
    <row r="12" spans="1:6" x14ac:dyDescent="0.25">
      <c r="A12" s="29">
        <f t="shared" si="0"/>
        <v>1910</v>
      </c>
      <c r="B12" s="25"/>
      <c r="C12" s="25"/>
      <c r="D12" s="25"/>
      <c r="E12" s="28">
        <f t="shared" si="1"/>
        <v>24.999999999999911</v>
      </c>
      <c r="F12" s="26">
        <v>4000</v>
      </c>
    </row>
    <row r="13" spans="1:6" x14ac:dyDescent="0.25">
      <c r="A13" s="29">
        <f t="shared" si="0"/>
        <v>1911</v>
      </c>
      <c r="B13" s="25"/>
      <c r="C13" s="25"/>
      <c r="D13" s="25"/>
      <c r="E13" s="28">
        <f t="shared" si="1"/>
        <v>21.219512195121972</v>
      </c>
      <c r="F13" s="26">
        <v>4100</v>
      </c>
    </row>
    <row r="14" spans="1:6" x14ac:dyDescent="0.25">
      <c r="A14" s="29">
        <f t="shared" si="0"/>
        <v>1912</v>
      </c>
      <c r="B14" s="25"/>
      <c r="C14" s="25"/>
      <c r="D14" s="25"/>
      <c r="E14" s="28">
        <f t="shared" si="1"/>
        <v>19.106759016001895</v>
      </c>
      <c r="F14" s="26">
        <v>4187</v>
      </c>
    </row>
    <row r="15" spans="1:6" x14ac:dyDescent="0.25">
      <c r="A15" s="29">
        <f t="shared" si="0"/>
        <v>1913</v>
      </c>
      <c r="B15" s="25"/>
      <c r="C15" s="25"/>
      <c r="D15" s="25"/>
      <c r="E15" s="28">
        <f t="shared" si="1"/>
        <v>18.748535270681987</v>
      </c>
      <c r="F15" s="26">
        <v>4267</v>
      </c>
    </row>
    <row r="16" spans="1:6" x14ac:dyDescent="0.25">
      <c r="A16" s="29">
        <f t="shared" si="0"/>
        <v>1914</v>
      </c>
      <c r="B16" s="25"/>
      <c r="C16" s="25"/>
      <c r="D16" s="25"/>
      <c r="E16" s="28">
        <f t="shared" si="1"/>
        <v>18.403496664366248</v>
      </c>
      <c r="F16" s="26">
        <v>4347</v>
      </c>
    </row>
    <row r="17" spans="1:6" x14ac:dyDescent="0.25">
      <c r="A17" s="29">
        <f t="shared" si="0"/>
        <v>1915</v>
      </c>
      <c r="B17" s="25"/>
      <c r="C17" s="25"/>
      <c r="D17" s="25"/>
      <c r="E17" s="28">
        <f t="shared" si="1"/>
        <v>18.296814998870481</v>
      </c>
      <c r="F17" s="26">
        <v>4427</v>
      </c>
    </row>
    <row r="18" spans="1:6" x14ac:dyDescent="0.25">
      <c r="A18" s="29">
        <f t="shared" si="0"/>
        <v>1916</v>
      </c>
      <c r="B18" s="25"/>
      <c r="C18" s="25"/>
      <c r="D18" s="25"/>
      <c r="E18" s="28">
        <f t="shared" si="1"/>
        <v>17.746228926353247</v>
      </c>
      <c r="F18" s="26">
        <v>4508</v>
      </c>
    </row>
    <row r="19" spans="1:6" x14ac:dyDescent="0.25">
      <c r="A19" s="29">
        <f t="shared" si="0"/>
        <v>1917</v>
      </c>
      <c r="B19" s="25"/>
      <c r="C19" s="25"/>
      <c r="D19" s="25"/>
      <c r="E19" s="28">
        <f t="shared" si="1"/>
        <v>17.436791630339954</v>
      </c>
      <c r="F19" s="26">
        <v>4588</v>
      </c>
    </row>
    <row r="20" spans="1:6" x14ac:dyDescent="0.25">
      <c r="A20" s="29">
        <f t="shared" si="0"/>
        <v>1918</v>
      </c>
      <c r="B20" s="25"/>
      <c r="C20" s="25"/>
      <c r="D20" s="25"/>
      <c r="E20" s="28">
        <f t="shared" si="1"/>
        <v>17.137960582690681</v>
      </c>
      <c r="F20" s="26">
        <v>4668</v>
      </c>
    </row>
    <row r="21" spans="1:6" x14ac:dyDescent="0.25">
      <c r="A21" s="29">
        <f t="shared" si="0"/>
        <v>1919</v>
      </c>
      <c r="B21" s="25"/>
      <c r="C21" s="25"/>
      <c r="D21" s="25"/>
      <c r="E21" s="28">
        <f t="shared" si="1"/>
        <v>16.849199663016012</v>
      </c>
      <c r="F21" s="26">
        <v>4748</v>
      </c>
    </row>
    <row r="22" spans="1:6" x14ac:dyDescent="0.25">
      <c r="A22" s="29">
        <f t="shared" si="0"/>
        <v>1920</v>
      </c>
      <c r="B22" s="25"/>
      <c r="C22" s="25"/>
      <c r="D22" s="25"/>
      <c r="E22" s="28">
        <f t="shared" si="1"/>
        <v>16.570008285004214</v>
      </c>
      <c r="F22" s="26">
        <v>4828</v>
      </c>
    </row>
    <row r="23" spans="1:6" x14ac:dyDescent="0.25">
      <c r="A23" s="29">
        <f t="shared" si="0"/>
        <v>1921</v>
      </c>
      <c r="B23" s="25"/>
      <c r="C23" s="25"/>
      <c r="D23" s="25"/>
      <c r="E23" s="28">
        <f t="shared" si="1"/>
        <v>16.503667481662543</v>
      </c>
      <c r="F23" s="26">
        <v>4908</v>
      </c>
    </row>
    <row r="24" spans="1:6" x14ac:dyDescent="0.25">
      <c r="A24" s="29">
        <f t="shared" si="0"/>
        <v>1922</v>
      </c>
      <c r="B24" s="25"/>
      <c r="C24" s="25"/>
      <c r="D24" s="25"/>
      <c r="E24" s="28">
        <f t="shared" si="1"/>
        <v>16.035277610743528</v>
      </c>
      <c r="F24" s="26">
        <v>4989</v>
      </c>
    </row>
    <row r="25" spans="1:6" x14ac:dyDescent="0.25">
      <c r="A25" s="29">
        <f t="shared" si="0"/>
        <v>1923</v>
      </c>
      <c r="B25" s="25"/>
      <c r="C25" s="25"/>
      <c r="D25" s="25"/>
      <c r="E25" s="28">
        <f t="shared" si="1"/>
        <v>15.584927993687048</v>
      </c>
      <c r="F25" s="26">
        <v>5069</v>
      </c>
    </row>
    <row r="26" spans="1:6" x14ac:dyDescent="0.25">
      <c r="A26" s="29">
        <f t="shared" si="0"/>
        <v>1924</v>
      </c>
      <c r="B26" s="25"/>
      <c r="C26" s="25"/>
      <c r="D26" s="25"/>
      <c r="E26" s="28">
        <f t="shared" si="1"/>
        <v>15.73426573426584</v>
      </c>
      <c r="F26" s="26">
        <v>5148</v>
      </c>
    </row>
    <row r="27" spans="1:6" x14ac:dyDescent="0.25">
      <c r="A27" s="29">
        <f t="shared" si="0"/>
        <v>1925</v>
      </c>
      <c r="B27" s="25"/>
      <c r="C27" s="25"/>
      <c r="D27" s="25"/>
      <c r="E27" s="28">
        <f t="shared" si="1"/>
        <v>16.064257028112429</v>
      </c>
      <c r="F27" s="26">
        <v>5229</v>
      </c>
    </row>
    <row r="28" spans="1:6" x14ac:dyDescent="0.25">
      <c r="A28" s="29">
        <f t="shared" si="0"/>
        <v>1926</v>
      </c>
      <c r="B28" s="25"/>
      <c r="C28" s="25"/>
      <c r="D28" s="25"/>
      <c r="E28" s="28">
        <f t="shared" si="1"/>
        <v>16.18671183888565</v>
      </c>
      <c r="F28" s="26">
        <v>5313</v>
      </c>
    </row>
    <row r="29" spans="1:6" x14ac:dyDescent="0.25">
      <c r="A29" s="29">
        <f t="shared" si="0"/>
        <v>1927</v>
      </c>
      <c r="B29" s="25"/>
      <c r="C29" s="25"/>
      <c r="D29" s="25"/>
      <c r="E29" s="28">
        <f t="shared" si="1"/>
        <v>15.373217262456107</v>
      </c>
      <c r="F29" s="26">
        <v>5399</v>
      </c>
    </row>
    <row r="30" spans="1:6" x14ac:dyDescent="0.25">
      <c r="A30" s="29">
        <f t="shared" si="0"/>
        <v>1928</v>
      </c>
      <c r="B30" s="25"/>
      <c r="C30" s="25"/>
      <c r="D30" s="25"/>
      <c r="E30" s="28">
        <f t="shared" si="1"/>
        <v>15.505290040131348</v>
      </c>
      <c r="F30" s="26">
        <v>5482</v>
      </c>
    </row>
    <row r="31" spans="1:6" x14ac:dyDescent="0.25">
      <c r="A31" s="29">
        <f t="shared" si="0"/>
        <v>1929</v>
      </c>
      <c r="B31" s="25"/>
      <c r="C31" s="25"/>
      <c r="D31" s="25"/>
      <c r="E31" s="28">
        <f t="shared" si="1"/>
        <v>15.088916831327515</v>
      </c>
      <c r="F31" s="26">
        <v>5567</v>
      </c>
    </row>
    <row r="32" spans="1:6" x14ac:dyDescent="0.25">
      <c r="A32" s="29">
        <f t="shared" si="0"/>
        <v>1930</v>
      </c>
      <c r="B32" s="25"/>
      <c r="C32" s="25"/>
      <c r="D32" s="25"/>
      <c r="E32" s="28">
        <f t="shared" si="1"/>
        <v>17.16510352150058</v>
      </c>
      <c r="F32" s="26">
        <v>5651</v>
      </c>
    </row>
    <row r="33" spans="1:33" x14ac:dyDescent="0.25">
      <c r="A33" s="29">
        <f t="shared" si="0"/>
        <v>1931</v>
      </c>
      <c r="B33" s="25"/>
      <c r="C33" s="25"/>
      <c r="D33" s="25"/>
      <c r="E33" s="28">
        <f t="shared" si="1"/>
        <v>16.70146137787065</v>
      </c>
      <c r="F33" s="26">
        <v>5748</v>
      </c>
    </row>
    <row r="34" spans="1:33" x14ac:dyDescent="0.25">
      <c r="A34" s="29">
        <f t="shared" si="0"/>
        <v>1932</v>
      </c>
      <c r="B34" s="25"/>
      <c r="C34" s="25"/>
      <c r="D34" s="25"/>
      <c r="E34" s="28">
        <f t="shared" si="1"/>
        <v>16.598220396988328</v>
      </c>
      <c r="F34" s="26">
        <v>5844</v>
      </c>
    </row>
    <row r="35" spans="1:33" x14ac:dyDescent="0.25">
      <c r="A35" s="29">
        <f t="shared" si="0"/>
        <v>1933</v>
      </c>
      <c r="B35" s="25"/>
      <c r="C35" s="25"/>
      <c r="D35" s="25"/>
      <c r="E35" s="28">
        <f t="shared" si="1"/>
        <v>16.158895808786376</v>
      </c>
      <c r="F35" s="26">
        <v>5941</v>
      </c>
    </row>
    <row r="36" spans="1:33" x14ac:dyDescent="0.25">
      <c r="A36" s="29">
        <f t="shared" si="0"/>
        <v>1934</v>
      </c>
      <c r="B36" s="25"/>
      <c r="C36" s="25"/>
      <c r="D36" s="25"/>
      <c r="E36" s="28">
        <f t="shared" si="1"/>
        <v>16.067583236706984</v>
      </c>
      <c r="F36" s="26">
        <v>6037</v>
      </c>
    </row>
    <row r="37" spans="1:33" x14ac:dyDescent="0.25">
      <c r="A37" s="29">
        <f t="shared" si="0"/>
        <v>1935</v>
      </c>
      <c r="B37" s="25"/>
      <c r="C37" s="25"/>
      <c r="D37" s="25"/>
      <c r="E37" s="28">
        <f t="shared" si="1"/>
        <v>17.769807629605559</v>
      </c>
      <c r="F37" s="26">
        <v>6134</v>
      </c>
    </row>
    <row r="38" spans="1:33" x14ac:dyDescent="0.25">
      <c r="A38" s="29">
        <f t="shared" si="0"/>
        <v>1936</v>
      </c>
      <c r="B38" s="25"/>
      <c r="C38" s="25"/>
      <c r="D38" s="25"/>
      <c r="E38" s="28">
        <f t="shared" si="1"/>
        <v>17.619734102194418</v>
      </c>
      <c r="F38" s="26">
        <v>6243</v>
      </c>
    </row>
    <row r="39" spans="1:33" x14ac:dyDescent="0.25">
      <c r="A39" s="29">
        <f t="shared" si="0"/>
        <v>1937</v>
      </c>
      <c r="B39" s="25"/>
      <c r="C39" s="25"/>
      <c r="D39" s="25"/>
      <c r="E39" s="28">
        <f t="shared" si="1"/>
        <v>17.157248543995031</v>
      </c>
      <c r="F39" s="26">
        <v>6353</v>
      </c>
    </row>
    <row r="40" spans="1:33" x14ac:dyDescent="0.25">
      <c r="A40" s="29">
        <f t="shared" si="0"/>
        <v>1938</v>
      </c>
      <c r="B40" s="25"/>
      <c r="C40" s="25"/>
      <c r="D40" s="25"/>
      <c r="E40" s="28">
        <f t="shared" si="1"/>
        <v>17.02259362426495</v>
      </c>
      <c r="F40" s="26">
        <v>6462</v>
      </c>
    </row>
    <row r="41" spans="1:33" x14ac:dyDescent="0.25">
      <c r="A41" s="29">
        <f>A42-1</f>
        <v>1939</v>
      </c>
      <c r="B41" s="25"/>
      <c r="C41" s="25"/>
      <c r="D41" s="25"/>
      <c r="E41" s="28">
        <f t="shared" si="1"/>
        <v>16.585514303104176</v>
      </c>
      <c r="F41" s="26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6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6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6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6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6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6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6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6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6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6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6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6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6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6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6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6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6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6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6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6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6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6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6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6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6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6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6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6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6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6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6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6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6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6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6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6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6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6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6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6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6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6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7" t="s">
        <v>115</v>
      </c>
      <c r="C1" s="37"/>
      <c r="D1" s="37" t="s">
        <v>75</v>
      </c>
      <c r="E1" s="3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6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6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6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6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6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6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6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6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6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6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6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6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6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6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6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6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6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6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6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6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Мексика-Колвер-СONAPO</vt:lpstr>
      <vt:lpstr>Мексика-Колвер-СONAPO-реформа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2026-06-05T19:03:47Z</dcterms:modified>
</cp:coreProperties>
</file>