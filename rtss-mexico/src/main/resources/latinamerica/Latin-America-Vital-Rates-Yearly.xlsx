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3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6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47CF4724-203F-42DA-AAD2-F4B4A96696A4}" xr6:coauthVersionLast="45" xr6:coauthVersionMax="47" xr10:uidLastSave="{00000000-0000-0000-0000-000000000000}"/>
  <bookViews>
    <workbookView xWindow="-60" yWindow="-60" windowWidth="38520" windowHeight="23700" tabRatio="746" firstSheet="15" activeTab="18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Гондурас-правка" sheetId="32" r:id="rId14"/>
    <sheet name="Доминиканская республика" sheetId="33" r:id="rId15"/>
    <sheet name="Колумбия" sheetId="8" r:id="rId16"/>
    <sheet name="Коста-Рика-Бриньоли" sheetId="25" r:id="rId17"/>
    <sheet name="Коста-Рика-Колвер" sheetId="6" r:id="rId18"/>
    <sheet name="Куба-все" sheetId="40" r:id="rId19"/>
    <sheet name="Куба-Бриньоли" sheetId="26" r:id="rId20"/>
    <sheet name="Куба-Колвер" sheetId="18" r:id="rId21"/>
    <sheet name="Мексика-Бриньоли-WPP" sheetId="29" r:id="rId22"/>
    <sheet name="Мексика-Бриньоли-WPP-реформа" sheetId="38" r:id="rId23"/>
    <sheet name="Мексика-Бриньоли-CONAPO" sheetId="34" r:id="rId24"/>
    <sheet name="Мексика-Бриньоли-CONAPO-реформа" sheetId="39" r:id="rId25"/>
    <sheet name="Мексика-Колвер-WPP" sheetId="19" r:id="rId26"/>
    <sheet name="Мексика-Колвер-WPP-реформа" sheetId="36" r:id="rId27"/>
    <sheet name="Мексика-Колвер-СONAPO" sheetId="35" r:id="rId28"/>
    <sheet name="Мексика-Колвер-СONAPO-реформа" sheetId="37" r:id="rId29"/>
    <sheet name="Панама" sheetId="17" r:id="rId30"/>
    <sheet name="Парагвай" sheetId="10" r:id="rId31"/>
    <sheet name="Перу" sheetId="11" r:id="rId32"/>
    <sheet name="Сальвадор" sheetId="12" r:id="rId33"/>
    <sheet name="Уругвай-Бриньоли" sheetId="27" r:id="rId34"/>
    <sheet name="Уругвай-Ротман" sheetId="16" r:id="rId35"/>
    <sheet name="Уругвай-Митчел" sheetId="20" r:id="rId36"/>
    <sheet name="Чили-Бриньоли" sheetId="28" r:id="rId37"/>
    <sheet name="Чили-Колвер" sheetId="13" r:id="rId38"/>
    <sheet name="Эквадор" sheetId="9" r:id="rId39"/>
  </sheets>
  <externalReferences>
    <externalReference r:id="rId40"/>
  </externalReferences>
  <definedNames>
    <definedName name="LIFT" localSheetId="13">'Гондурас-правка'!$B$118</definedName>
    <definedName name="LIFT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25" i="40" l="1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G131" i="37" l="1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G35" i="37"/>
  <c r="F35" i="37"/>
  <c r="G34" i="37"/>
  <c r="K34" i="37" s="1"/>
  <c r="F34" i="37"/>
  <c r="G33" i="37"/>
  <c r="F33" i="37"/>
  <c r="J33" i="37" s="1"/>
  <c r="L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L25" i="37" s="1"/>
  <c r="G24" i="37"/>
  <c r="F24" i="37"/>
  <c r="G23" i="37"/>
  <c r="F23" i="37"/>
  <c r="G22" i="37"/>
  <c r="F22" i="37"/>
  <c r="G21" i="37"/>
  <c r="F21" i="37"/>
  <c r="G20" i="37"/>
  <c r="F20" i="37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L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K128" i="39" s="1"/>
  <c r="J127" i="39"/>
  <c r="K127" i="39" s="1"/>
  <c r="I127" i="39"/>
  <c r="J126" i="39"/>
  <c r="I126" i="39"/>
  <c r="J125" i="39"/>
  <c r="I125" i="39"/>
  <c r="K125" i="39" s="1"/>
  <c r="J124" i="39"/>
  <c r="I124" i="39"/>
  <c r="J123" i="39"/>
  <c r="I123" i="39"/>
  <c r="K123" i="39" s="1"/>
  <c r="J122" i="39"/>
  <c r="I122" i="39"/>
  <c r="K122" i="39" s="1"/>
  <c r="J121" i="39"/>
  <c r="I121" i="39"/>
  <c r="K121" i="39" s="1"/>
  <c r="J120" i="39"/>
  <c r="I120" i="39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J115" i="39"/>
  <c r="K115" i="39" s="1"/>
  <c r="I115" i="39"/>
  <c r="J114" i="39"/>
  <c r="I114" i="39"/>
  <c r="K114" i="39" s="1"/>
  <c r="J113" i="39"/>
  <c r="I113" i="39"/>
  <c r="K113" i="39" s="1"/>
  <c r="J112" i="39"/>
  <c r="K112" i="39" s="1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K107" i="39" s="1"/>
  <c r="J106" i="39"/>
  <c r="I106" i="39"/>
  <c r="J105" i="39"/>
  <c r="I105" i="39"/>
  <c r="K105" i="39" s="1"/>
  <c r="J104" i="39"/>
  <c r="I104" i="39"/>
  <c r="J103" i="39"/>
  <c r="K103" i="39" s="1"/>
  <c r="I103" i="39"/>
  <c r="J102" i="39"/>
  <c r="I102" i="39"/>
  <c r="K102" i="39" s="1"/>
  <c r="J101" i="39"/>
  <c r="I101" i="39"/>
  <c r="K101" i="39" s="1"/>
  <c r="J100" i="39"/>
  <c r="I100" i="39"/>
  <c r="J99" i="39"/>
  <c r="I99" i="39"/>
  <c r="K99" i="39" s="1"/>
  <c r="K98" i="39"/>
  <c r="J98" i="39"/>
  <c r="I98" i="39"/>
  <c r="J97" i="39"/>
  <c r="I97" i="39"/>
  <c r="J96" i="39"/>
  <c r="I96" i="39"/>
  <c r="K96" i="39" s="1"/>
  <c r="J95" i="39"/>
  <c r="I95" i="39"/>
  <c r="K95" i="39" s="1"/>
  <c r="J94" i="39"/>
  <c r="I94" i="39"/>
  <c r="K94" i="39" s="1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K86" i="39" s="1"/>
  <c r="J85" i="39"/>
  <c r="I85" i="39"/>
  <c r="K85" i="39" s="1"/>
  <c r="A85" i="39"/>
  <c r="H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K82" i="39" s="1"/>
  <c r="H82" i="39"/>
  <c r="J81" i="39"/>
  <c r="I81" i="39"/>
  <c r="H81" i="39"/>
  <c r="J80" i="39"/>
  <c r="I80" i="39"/>
  <c r="H80" i="39"/>
  <c r="J79" i="39"/>
  <c r="I79" i="39"/>
  <c r="K79" i="39" s="1"/>
  <c r="H79" i="39"/>
  <c r="J78" i="39"/>
  <c r="I78" i="39"/>
  <c r="H78" i="39"/>
  <c r="J77" i="39"/>
  <c r="I77" i="39"/>
  <c r="H77" i="39"/>
  <c r="J76" i="39"/>
  <c r="I76" i="39"/>
  <c r="K76" i="39" s="1"/>
  <c r="H76" i="39"/>
  <c r="J75" i="39"/>
  <c r="I75" i="39"/>
  <c r="H75" i="39"/>
  <c r="J74" i="39"/>
  <c r="I74" i="39"/>
  <c r="H74" i="39"/>
  <c r="J73" i="39"/>
  <c r="I73" i="39"/>
  <c r="H73" i="39"/>
  <c r="J72" i="39"/>
  <c r="K72" i="39" s="1"/>
  <c r="I72" i="39"/>
  <c r="H72" i="39"/>
  <c r="J71" i="39"/>
  <c r="I71" i="39"/>
  <c r="H71" i="39"/>
  <c r="J70" i="39"/>
  <c r="I70" i="39"/>
  <c r="K70" i="39" s="1"/>
  <c r="H70" i="39"/>
  <c r="J69" i="39"/>
  <c r="I69" i="39"/>
  <c r="H69" i="39"/>
  <c r="J68" i="39"/>
  <c r="I68" i="39"/>
  <c r="K68" i="39" s="1"/>
  <c r="H68" i="39"/>
  <c r="J67" i="39"/>
  <c r="I67" i="39"/>
  <c r="K67" i="39" s="1"/>
  <c r="H67" i="39"/>
  <c r="J66" i="39"/>
  <c r="I66" i="39"/>
  <c r="H66" i="39"/>
  <c r="J65" i="39"/>
  <c r="I65" i="39"/>
  <c r="K65" i="39" s="1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K59" i="39" s="1"/>
  <c r="H59" i="39"/>
  <c r="J58" i="39"/>
  <c r="I58" i="39"/>
  <c r="H58" i="39"/>
  <c r="J57" i="39"/>
  <c r="K57" i="39" s="1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K50" i="39" s="1"/>
  <c r="H50" i="39"/>
  <c r="J49" i="39"/>
  <c r="I49" i="39"/>
  <c r="K49" i="39" s="1"/>
  <c r="H49" i="39"/>
  <c r="J48" i="39"/>
  <c r="K48" i="39" s="1"/>
  <c r="I48" i="39"/>
  <c r="H48" i="39"/>
  <c r="J47" i="39"/>
  <c r="I47" i="39"/>
  <c r="K47" i="39" s="1"/>
  <c r="H47" i="39"/>
  <c r="J46" i="39"/>
  <c r="I46" i="39"/>
  <c r="K46" i="39" s="1"/>
  <c r="H46" i="39"/>
  <c r="J45" i="39"/>
  <c r="K45" i="39" s="1"/>
  <c r="I45" i="39"/>
  <c r="H45" i="39"/>
  <c r="J44" i="39"/>
  <c r="I44" i="39"/>
  <c r="K44" i="39" s="1"/>
  <c r="H44" i="39"/>
  <c r="J43" i="39"/>
  <c r="I43" i="39"/>
  <c r="K43" i="39" s="1"/>
  <c r="H43" i="39"/>
  <c r="J42" i="39"/>
  <c r="K42" i="39" s="1"/>
  <c r="I42" i="39"/>
  <c r="H42" i="39"/>
  <c r="J41" i="39"/>
  <c r="I41" i="39"/>
  <c r="H41" i="39"/>
  <c r="J40" i="39"/>
  <c r="I40" i="39"/>
  <c r="H40" i="39"/>
  <c r="J39" i="39"/>
  <c r="K39" i="39" s="1"/>
  <c r="I39" i="39"/>
  <c r="H39" i="39"/>
  <c r="J38" i="39"/>
  <c r="I38" i="39"/>
  <c r="K38" i="39" s="1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K31" i="39" s="1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K24" i="39" s="1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K17" i="39" s="1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K11" i="39" s="1"/>
  <c r="H11" i="39"/>
  <c r="J10" i="39"/>
  <c r="I10" i="39"/>
  <c r="H10" i="39"/>
  <c r="J9" i="39"/>
  <c r="K9" i="39" s="1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K129" i="38" s="1"/>
  <c r="J128" i="38"/>
  <c r="I128" i="38"/>
  <c r="K128" i="38" s="1"/>
  <c r="J127" i="38"/>
  <c r="I127" i="38"/>
  <c r="K127" i="38" s="1"/>
  <c r="J126" i="38"/>
  <c r="I126" i="38"/>
  <c r="J125" i="38"/>
  <c r="K125" i="38" s="1"/>
  <c r="I125" i="38"/>
  <c r="J124" i="38"/>
  <c r="I124" i="38"/>
  <c r="K124" i="38" s="1"/>
  <c r="J123" i="38"/>
  <c r="I123" i="38"/>
  <c r="K123" i="38" s="1"/>
  <c r="K122" i="38"/>
  <c r="J122" i="38"/>
  <c r="I122" i="38"/>
  <c r="J121" i="38"/>
  <c r="I121" i="38"/>
  <c r="J120" i="38"/>
  <c r="I120" i="38"/>
  <c r="K120" i="38" s="1"/>
  <c r="J119" i="38"/>
  <c r="I119" i="38"/>
  <c r="J118" i="38"/>
  <c r="I118" i="38"/>
  <c r="J117" i="38"/>
  <c r="I117" i="38"/>
  <c r="K117" i="38" s="1"/>
  <c r="J116" i="38"/>
  <c r="I116" i="38"/>
  <c r="K116" i="38" s="1"/>
  <c r="J115" i="38"/>
  <c r="K115" i="38" s="1"/>
  <c r="I115" i="38"/>
  <c r="J114" i="38"/>
  <c r="I114" i="38"/>
  <c r="K114" i="38" s="1"/>
  <c r="J113" i="38"/>
  <c r="I113" i="38"/>
  <c r="J112" i="38"/>
  <c r="I112" i="38"/>
  <c r="K112" i="38" s="1"/>
  <c r="J111" i="38"/>
  <c r="I111" i="38"/>
  <c r="J110" i="38"/>
  <c r="I110" i="38"/>
  <c r="K110" i="38" s="1"/>
  <c r="J109" i="38"/>
  <c r="I109" i="38"/>
  <c r="J108" i="38"/>
  <c r="K108" i="38" s="1"/>
  <c r="I108" i="38"/>
  <c r="J107" i="38"/>
  <c r="I107" i="38"/>
  <c r="K107" i="38" s="1"/>
  <c r="J106" i="38"/>
  <c r="I106" i="38"/>
  <c r="K106" i="38" s="1"/>
  <c r="J105" i="38"/>
  <c r="I105" i="38"/>
  <c r="K105" i="38" s="1"/>
  <c r="J104" i="38"/>
  <c r="I104" i="38"/>
  <c r="J103" i="38"/>
  <c r="K103" i="38" s="1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K97" i="38" s="1"/>
  <c r="J96" i="38"/>
  <c r="I96" i="38"/>
  <c r="K96" i="38" s="1"/>
  <c r="J95" i="38"/>
  <c r="I95" i="38"/>
  <c r="K95" i="38" s="1"/>
  <c r="J94" i="38"/>
  <c r="I94" i="38"/>
  <c r="K94" i="38" s="1"/>
  <c r="J93" i="38"/>
  <c r="K93" i="38" s="1"/>
  <c r="I93" i="38"/>
  <c r="J92" i="38"/>
  <c r="I92" i="38"/>
  <c r="K92" i="38" s="1"/>
  <c r="J91" i="38"/>
  <c r="I91" i="38"/>
  <c r="J90" i="38"/>
  <c r="I90" i="38"/>
  <c r="K90" i="38" s="1"/>
  <c r="J89" i="38"/>
  <c r="K89" i="38" s="1"/>
  <c r="I89" i="38"/>
  <c r="J88" i="38"/>
  <c r="I88" i="38"/>
  <c r="J87" i="38"/>
  <c r="I87" i="38"/>
  <c r="K87" i="38" s="1"/>
  <c r="J86" i="38"/>
  <c r="I86" i="38"/>
  <c r="K86" i="38" s="1"/>
  <c r="J85" i="38"/>
  <c r="I85" i="38"/>
  <c r="J84" i="38"/>
  <c r="I84" i="38"/>
  <c r="K84" i="38" s="1"/>
  <c r="A84" i="38"/>
  <c r="H84" i="38" s="1"/>
  <c r="J83" i="38"/>
  <c r="I83" i="38"/>
  <c r="H83" i="38"/>
  <c r="J82" i="38"/>
  <c r="I82" i="38"/>
  <c r="K82" i="38" s="1"/>
  <c r="H82" i="38"/>
  <c r="J81" i="38"/>
  <c r="I81" i="38"/>
  <c r="K81" i="38" s="1"/>
  <c r="H81" i="38"/>
  <c r="J80" i="38"/>
  <c r="I80" i="38"/>
  <c r="H80" i="38"/>
  <c r="J79" i="38"/>
  <c r="I79" i="38"/>
  <c r="K79" i="38" s="1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K70" i="38" s="1"/>
  <c r="H70" i="38"/>
  <c r="J69" i="38"/>
  <c r="I69" i="38"/>
  <c r="K69" i="38" s="1"/>
  <c r="H69" i="38"/>
  <c r="J68" i="38"/>
  <c r="I68" i="38"/>
  <c r="K68" i="38" s="1"/>
  <c r="H68" i="38"/>
  <c r="J67" i="38"/>
  <c r="I67" i="38"/>
  <c r="H67" i="38"/>
  <c r="J66" i="38"/>
  <c r="I66" i="38"/>
  <c r="K66" i="38" s="1"/>
  <c r="H66" i="38"/>
  <c r="J65" i="38"/>
  <c r="I65" i="38"/>
  <c r="K65" i="38" s="1"/>
  <c r="H65" i="38"/>
  <c r="J64" i="38"/>
  <c r="I64" i="38"/>
  <c r="H64" i="38"/>
  <c r="J63" i="38"/>
  <c r="I63" i="38"/>
  <c r="K63" i="38" s="1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K54" i="38" s="1"/>
  <c r="H54" i="38"/>
  <c r="J53" i="38"/>
  <c r="I53" i="38"/>
  <c r="K53" i="38" s="1"/>
  <c r="H53" i="38"/>
  <c r="J52" i="38"/>
  <c r="I52" i="38"/>
  <c r="K52" i="38" s="1"/>
  <c r="H52" i="38"/>
  <c r="J51" i="38"/>
  <c r="I51" i="38"/>
  <c r="H51" i="38"/>
  <c r="J50" i="38"/>
  <c r="I50" i="38"/>
  <c r="K50" i="38" s="1"/>
  <c r="H50" i="38"/>
  <c r="J49" i="38"/>
  <c r="I49" i="38"/>
  <c r="K49" i="38" s="1"/>
  <c r="H49" i="38"/>
  <c r="J48" i="38"/>
  <c r="I48" i="38"/>
  <c r="H48" i="38"/>
  <c r="J47" i="38"/>
  <c r="I47" i="38"/>
  <c r="K47" i="38" s="1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K38" i="38" s="1"/>
  <c r="H38" i="38"/>
  <c r="J37" i="38"/>
  <c r="I37" i="38"/>
  <c r="K37" i="38" s="1"/>
  <c r="H37" i="38"/>
  <c r="J36" i="38"/>
  <c r="I36" i="38"/>
  <c r="K36" i="38" s="1"/>
  <c r="H36" i="38"/>
  <c r="J35" i="38"/>
  <c r="I35" i="38"/>
  <c r="H35" i="38"/>
  <c r="J34" i="38"/>
  <c r="I34" i="38"/>
  <c r="K34" i="38" s="1"/>
  <c r="H34" i="38"/>
  <c r="J33" i="38"/>
  <c r="I33" i="38"/>
  <c r="K33" i="38" s="1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K22" i="38" s="1"/>
  <c r="H22" i="38"/>
  <c r="J21" i="38"/>
  <c r="I21" i="38"/>
  <c r="K21" i="38" s="1"/>
  <c r="H21" i="38"/>
  <c r="J20" i="38"/>
  <c r="I20" i="38"/>
  <c r="K20" i="38" s="1"/>
  <c r="H20" i="38"/>
  <c r="J19" i="38"/>
  <c r="I19" i="38"/>
  <c r="H19" i="38"/>
  <c r="J18" i="38"/>
  <c r="I18" i="38"/>
  <c r="K18" i="38" s="1"/>
  <c r="H18" i="38"/>
  <c r="J17" i="38"/>
  <c r="I17" i="38"/>
  <c r="K17" i="38" s="1"/>
  <c r="H17" i="38"/>
  <c r="J16" i="38"/>
  <c r="I16" i="38"/>
  <c r="H16" i="38"/>
  <c r="J15" i="38"/>
  <c r="I15" i="38"/>
  <c r="K15" i="38" s="1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K6" i="38" s="1"/>
  <c r="H6" i="38"/>
  <c r="J5" i="38"/>
  <c r="I5" i="38"/>
  <c r="K5" i="38" s="1"/>
  <c r="H5" i="38"/>
  <c r="J4" i="38"/>
  <c r="I4" i="38"/>
  <c r="K4" i="38" s="1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L46" i="37" s="1"/>
  <c r="I45" i="37"/>
  <c r="K45" i="37"/>
  <c r="J45" i="37"/>
  <c r="I44" i="37"/>
  <c r="K44" i="37"/>
  <c r="J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L39" i="37" s="1"/>
  <c r="I38" i="37"/>
  <c r="K38" i="37"/>
  <c r="J38" i="37"/>
  <c r="I37" i="37"/>
  <c r="K37" i="37"/>
  <c r="J37" i="37"/>
  <c r="I36" i="37"/>
  <c r="K36" i="37"/>
  <c r="J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J20" i="37"/>
  <c r="I19" i="37"/>
  <c r="K19" i="37"/>
  <c r="J19" i="37"/>
  <c r="I18" i="37"/>
  <c r="J18" i="37"/>
  <c r="I17" i="37"/>
  <c r="K17" i="37"/>
  <c r="I16" i="37"/>
  <c r="K16" i="37"/>
  <c r="J16" i="37"/>
  <c r="L16" i="37" s="1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61" i="36"/>
  <c r="J59" i="36"/>
  <c r="H59" i="36"/>
  <c r="L59" i="36" s="1"/>
  <c r="F59" i="36"/>
  <c r="A59" i="36"/>
  <c r="A60" i="36" s="1"/>
  <c r="L58" i="36"/>
  <c r="M58" i="36" s="1"/>
  <c r="J58" i="36"/>
  <c r="H58" i="36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M54" i="36" s="1"/>
  <c r="F54" i="36"/>
  <c r="J53" i="36"/>
  <c r="H53" i="36"/>
  <c r="L53" i="36" s="1"/>
  <c r="G53" i="36"/>
  <c r="K53" i="36" s="1"/>
  <c r="F53" i="36"/>
  <c r="K52" i="36"/>
  <c r="J52" i="36"/>
  <c r="H52" i="36"/>
  <c r="L52" i="36" s="1"/>
  <c r="G52" i="36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L48" i="36"/>
  <c r="J48" i="36"/>
  <c r="H48" i="36"/>
  <c r="G48" i="36"/>
  <c r="K48" i="36" s="1"/>
  <c r="F48" i="36"/>
  <c r="J47" i="36"/>
  <c r="H47" i="36"/>
  <c r="L47" i="36" s="1"/>
  <c r="G47" i="36"/>
  <c r="K47" i="36" s="1"/>
  <c r="M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M44" i="36" s="1"/>
  <c r="F44" i="36"/>
  <c r="K43" i="36"/>
  <c r="J43" i="36"/>
  <c r="H43" i="36"/>
  <c r="L43" i="36" s="1"/>
  <c r="M43" i="36" s="1"/>
  <c r="G43" i="36"/>
  <c r="F43" i="36"/>
  <c r="J42" i="36"/>
  <c r="H42" i="36"/>
  <c r="L42" i="36" s="1"/>
  <c r="G42" i="36"/>
  <c r="K42" i="36" s="1"/>
  <c r="M42" i="36" s="1"/>
  <c r="F42" i="36"/>
  <c r="L41" i="36"/>
  <c r="J41" i="36"/>
  <c r="H41" i="36"/>
  <c r="G41" i="36"/>
  <c r="K41" i="36" s="1"/>
  <c r="M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M35" i="36" s="1"/>
  <c r="F35" i="36"/>
  <c r="L34" i="36"/>
  <c r="J34" i="36"/>
  <c r="H34" i="36"/>
  <c r="G34" i="36"/>
  <c r="K34" i="36" s="1"/>
  <c r="F34" i="36"/>
  <c r="L33" i="36"/>
  <c r="K33" i="36"/>
  <c r="J33" i="36"/>
  <c r="H33" i="36"/>
  <c r="G33" i="36"/>
  <c r="F33" i="36"/>
  <c r="J32" i="36"/>
  <c r="H32" i="36"/>
  <c r="L32" i="36" s="1"/>
  <c r="G32" i="36"/>
  <c r="K32" i="36" s="1"/>
  <c r="F32" i="36"/>
  <c r="K31" i="36"/>
  <c r="J31" i="36"/>
  <c r="H31" i="36"/>
  <c r="L31" i="36" s="1"/>
  <c r="M31" i="36" s="1"/>
  <c r="G31" i="36"/>
  <c r="F31" i="36"/>
  <c r="J30" i="36"/>
  <c r="H30" i="36"/>
  <c r="L30" i="36" s="1"/>
  <c r="G30" i="36"/>
  <c r="K30" i="36" s="1"/>
  <c r="F30" i="36"/>
  <c r="L29" i="36"/>
  <c r="K29" i="36"/>
  <c r="J29" i="36"/>
  <c r="H29" i="36"/>
  <c r="G29" i="36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M25" i="36" s="1"/>
  <c r="F25" i="36"/>
  <c r="L24" i="36"/>
  <c r="J24" i="36"/>
  <c r="H24" i="36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M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K19" i="36"/>
  <c r="J19" i="36"/>
  <c r="H19" i="36"/>
  <c r="L19" i="36" s="1"/>
  <c r="G19" i="36"/>
  <c r="F19" i="36"/>
  <c r="J18" i="36"/>
  <c r="H18" i="36"/>
  <c r="L18" i="36" s="1"/>
  <c r="G18" i="36"/>
  <c r="K18" i="36" s="1"/>
  <c r="F18" i="36"/>
  <c r="K17" i="36"/>
  <c r="J17" i="36"/>
  <c r="H17" i="36"/>
  <c r="L17" i="36" s="1"/>
  <c r="G17" i="36"/>
  <c r="F17" i="36"/>
  <c r="K16" i="36"/>
  <c r="J16" i="36"/>
  <c r="H16" i="36"/>
  <c r="L16" i="36" s="1"/>
  <c r="G16" i="36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M14" i="36" s="1"/>
  <c r="F14" i="36"/>
  <c r="J13" i="36"/>
  <c r="H13" i="36"/>
  <c r="L13" i="36" s="1"/>
  <c r="G13" i="36"/>
  <c r="K13" i="36" s="1"/>
  <c r="F13" i="36"/>
  <c r="K12" i="36"/>
  <c r="J12" i="36"/>
  <c r="H12" i="36"/>
  <c r="L12" i="36" s="1"/>
  <c r="G12" i="36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M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L42" i="37" l="1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A87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M59" i="36"/>
  <c r="H61" i="36"/>
  <c r="L61" i="36" s="1"/>
  <c r="G61" i="36"/>
  <c r="K61" i="36" s="1"/>
  <c r="M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L18" i="35" s="1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K128" i="34" s="1"/>
  <c r="J127" i="34"/>
  <c r="I127" i="34"/>
  <c r="J126" i="34"/>
  <c r="I126" i="34"/>
  <c r="J125" i="34"/>
  <c r="I125" i="34"/>
  <c r="K125" i="34" s="1"/>
  <c r="J124" i="34"/>
  <c r="I124" i="34"/>
  <c r="J123" i="34"/>
  <c r="I123" i="34"/>
  <c r="J122" i="34"/>
  <c r="I122" i="34"/>
  <c r="K122" i="34" s="1"/>
  <c r="J121" i="34"/>
  <c r="I121" i="34"/>
  <c r="J120" i="34"/>
  <c r="I120" i="34"/>
  <c r="J119" i="34"/>
  <c r="I119" i="34"/>
  <c r="K119" i="34" s="1"/>
  <c r="J118" i="34"/>
  <c r="I118" i="34"/>
  <c r="J117" i="34"/>
  <c r="I117" i="34"/>
  <c r="J116" i="34"/>
  <c r="I116" i="34"/>
  <c r="K116" i="34" s="1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K109" i="34" s="1"/>
  <c r="J108" i="34"/>
  <c r="I108" i="34"/>
  <c r="J107" i="34"/>
  <c r="I107" i="34"/>
  <c r="J106" i="34"/>
  <c r="I106" i="34"/>
  <c r="J105" i="34"/>
  <c r="I105" i="34"/>
  <c r="J104" i="34"/>
  <c r="I104" i="34"/>
  <c r="K104" i="34" s="1"/>
  <c r="J103" i="34"/>
  <c r="I103" i="34"/>
  <c r="K103" i="34" s="1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K85" i="34" s="1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H61" i="34"/>
  <c r="J60" i="34"/>
  <c r="I60" i="34"/>
  <c r="K60" i="34" s="1"/>
  <c r="H60" i="34"/>
  <c r="J59" i="34"/>
  <c r="I59" i="34"/>
  <c r="K59" i="34" s="1"/>
  <c r="H59" i="34"/>
  <c r="J58" i="34"/>
  <c r="I58" i="34"/>
  <c r="H58" i="34"/>
  <c r="J57" i="34"/>
  <c r="I57" i="34"/>
  <c r="K57" i="34" s="1"/>
  <c r="H57" i="34"/>
  <c r="J56" i="34"/>
  <c r="I56" i="34"/>
  <c r="H56" i="34"/>
  <c r="J55" i="34"/>
  <c r="I55" i="34"/>
  <c r="K55" i="34" s="1"/>
  <c r="H55" i="34"/>
  <c r="J54" i="34"/>
  <c r="I54" i="34"/>
  <c r="K54" i="34" s="1"/>
  <c r="H54" i="34"/>
  <c r="J53" i="34"/>
  <c r="I53" i="34"/>
  <c r="K53" i="34" s="1"/>
  <c r="H53" i="34"/>
  <c r="K52" i="34"/>
  <c r="J52" i="34"/>
  <c r="I52" i="34"/>
  <c r="H52" i="34"/>
  <c r="J51" i="34"/>
  <c r="I51" i="34"/>
  <c r="H51" i="34"/>
  <c r="J50" i="34"/>
  <c r="I50" i="34"/>
  <c r="K50" i="34" s="1"/>
  <c r="H50" i="34"/>
  <c r="K49" i="34"/>
  <c r="J49" i="34"/>
  <c r="I49" i="34"/>
  <c r="H49" i="34"/>
  <c r="J48" i="34"/>
  <c r="I48" i="34"/>
  <c r="K48" i="34" s="1"/>
  <c r="H48" i="34"/>
  <c r="J47" i="34"/>
  <c r="I47" i="34"/>
  <c r="K47" i="34" s="1"/>
  <c r="H47" i="34"/>
  <c r="J46" i="34"/>
  <c r="K46" i="34" s="1"/>
  <c r="I46" i="34"/>
  <c r="H46" i="34"/>
  <c r="J45" i="34"/>
  <c r="I45" i="34"/>
  <c r="H45" i="34"/>
  <c r="J44" i="34"/>
  <c r="I44" i="34"/>
  <c r="K44" i="34" s="1"/>
  <c r="H44" i="34"/>
  <c r="K43" i="34"/>
  <c r="J43" i="34"/>
  <c r="I43" i="34"/>
  <c r="H43" i="34"/>
  <c r="J42" i="34"/>
  <c r="I42" i="34"/>
  <c r="K42" i="34" s="1"/>
  <c r="H42" i="34"/>
  <c r="J41" i="34"/>
  <c r="I41" i="34"/>
  <c r="K41" i="34" s="1"/>
  <c r="H41" i="34"/>
  <c r="J40" i="34"/>
  <c r="I40" i="34"/>
  <c r="K40" i="34" s="1"/>
  <c r="H40" i="34"/>
  <c r="J39" i="34"/>
  <c r="I39" i="34"/>
  <c r="H39" i="34"/>
  <c r="K38" i="34"/>
  <c r="J38" i="34"/>
  <c r="I38" i="34"/>
  <c r="H38" i="34"/>
  <c r="J37" i="34"/>
  <c r="I37" i="34"/>
  <c r="K37" i="34" s="1"/>
  <c r="H37" i="34"/>
  <c r="J36" i="34"/>
  <c r="I36" i="34"/>
  <c r="H36" i="34"/>
  <c r="J35" i="34"/>
  <c r="I35" i="34"/>
  <c r="K35" i="34" s="1"/>
  <c r="H35" i="34"/>
  <c r="J34" i="34"/>
  <c r="I34" i="34"/>
  <c r="K34" i="34" s="1"/>
  <c r="H34" i="34"/>
  <c r="J33" i="34"/>
  <c r="I33" i="34"/>
  <c r="K33" i="34" s="1"/>
  <c r="H33" i="34"/>
  <c r="J32" i="34"/>
  <c r="K32" i="34" s="1"/>
  <c r="I32" i="34"/>
  <c r="H32" i="34"/>
  <c r="J31" i="34"/>
  <c r="I31" i="34"/>
  <c r="K31" i="34" s="1"/>
  <c r="H31" i="34"/>
  <c r="J30" i="34"/>
  <c r="I30" i="34"/>
  <c r="H30" i="34"/>
  <c r="J29" i="34"/>
  <c r="I29" i="34"/>
  <c r="K29" i="34" s="1"/>
  <c r="H29" i="34"/>
  <c r="J28" i="34"/>
  <c r="I28" i="34"/>
  <c r="K28" i="34" s="1"/>
  <c r="H28" i="34"/>
  <c r="J27" i="34"/>
  <c r="I27" i="34"/>
  <c r="K27" i="34" s="1"/>
  <c r="H27" i="34"/>
  <c r="J26" i="34"/>
  <c r="I26" i="34"/>
  <c r="K26" i="34" s="1"/>
  <c r="H26" i="34"/>
  <c r="K25" i="34"/>
  <c r="J25" i="34"/>
  <c r="I25" i="34"/>
  <c r="H25" i="34"/>
  <c r="J24" i="34"/>
  <c r="I24" i="34"/>
  <c r="H24" i="34"/>
  <c r="K23" i="34"/>
  <c r="J23" i="34"/>
  <c r="I23" i="34"/>
  <c r="H23" i="34"/>
  <c r="J22" i="34"/>
  <c r="I22" i="34"/>
  <c r="K22" i="34" s="1"/>
  <c r="H22" i="34"/>
  <c r="J21" i="34"/>
  <c r="I21" i="34"/>
  <c r="K21" i="34" s="1"/>
  <c r="H21" i="34"/>
  <c r="J20" i="34"/>
  <c r="I20" i="34"/>
  <c r="K20" i="34" s="1"/>
  <c r="H20" i="34"/>
  <c r="J19" i="34"/>
  <c r="K19" i="34" s="1"/>
  <c r="I19" i="34"/>
  <c r="H19" i="34"/>
  <c r="J18" i="34"/>
  <c r="I18" i="34"/>
  <c r="K18" i="34" s="1"/>
  <c r="H18" i="34"/>
  <c r="K17" i="34"/>
  <c r="J17" i="34"/>
  <c r="I17" i="34"/>
  <c r="H17" i="34"/>
  <c r="J16" i="34"/>
  <c r="I16" i="34"/>
  <c r="K16" i="34" s="1"/>
  <c r="H16" i="34"/>
  <c r="J15" i="34"/>
  <c r="I15" i="34"/>
  <c r="K15" i="34" s="1"/>
  <c r="H15" i="34"/>
  <c r="K14" i="34"/>
  <c r="J14" i="34"/>
  <c r="I14" i="34"/>
  <c r="H14" i="34"/>
  <c r="J13" i="34"/>
  <c r="I13" i="34"/>
  <c r="K13" i="34" s="1"/>
  <c r="H13" i="34"/>
  <c r="J12" i="34"/>
  <c r="I12" i="34"/>
  <c r="K12" i="34" s="1"/>
  <c r="H12" i="34"/>
  <c r="J11" i="34"/>
  <c r="K11" i="34" s="1"/>
  <c r="I11" i="34"/>
  <c r="H11" i="34"/>
  <c r="K10" i="34"/>
  <c r="J10" i="34"/>
  <c r="I10" i="34"/>
  <c r="H10" i="34"/>
  <c r="J9" i="34"/>
  <c r="I9" i="34"/>
  <c r="K9" i="34" s="1"/>
  <c r="H9" i="34"/>
  <c r="K8" i="34"/>
  <c r="J8" i="34"/>
  <c r="I8" i="34"/>
  <c r="H8" i="34"/>
  <c r="J7" i="34"/>
  <c r="I7" i="34"/>
  <c r="K7" i="34" s="1"/>
  <c r="H7" i="34"/>
  <c r="J6" i="34"/>
  <c r="I6" i="34"/>
  <c r="K6" i="34" s="1"/>
  <c r="H6" i="34"/>
  <c r="J5" i="34"/>
  <c r="I5" i="34"/>
  <c r="K5" i="34" s="1"/>
  <c r="H5" i="34"/>
  <c r="K4" i="34"/>
  <c r="J4" i="34"/>
  <c r="I4" i="34"/>
  <c r="H4" i="34"/>
  <c r="J3" i="34"/>
  <c r="I3" i="34"/>
  <c r="H3" i="34"/>
  <c r="L54" i="35" l="1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1" i="2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A42" i="21"/>
  <c r="L60" i="37" l="1"/>
  <c r="L59" i="35"/>
  <c r="M62" i="36"/>
  <c r="A88" i="39"/>
  <c r="H87" i="39"/>
  <c r="A89" i="38"/>
  <c r="H88" i="38"/>
  <c r="K61" i="37"/>
  <c r="J61" i="37"/>
  <c r="L61" i="37" s="1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M63" i="36" l="1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M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R57" i="32" l="1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M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R53" i="32" s="1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K124" i="29" s="1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K80" i="29" s="1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K73" i="29" s="1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K42" i="29" s="1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K37" i="29" s="1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K32" i="29" s="1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K119" i="26" s="1"/>
  <c r="J118" i="26"/>
  <c r="I118" i="26"/>
  <c r="K118" i="26" s="1"/>
  <c r="J117" i="26"/>
  <c r="I117" i="26"/>
  <c r="J116" i="26"/>
  <c r="I116" i="26"/>
  <c r="K116" i="26" s="1"/>
  <c r="J115" i="26"/>
  <c r="I115" i="26"/>
  <c r="K115" i="26" s="1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K109" i="26" s="1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K103" i="26" s="1"/>
  <c r="J102" i="26"/>
  <c r="I102" i="26"/>
  <c r="J101" i="26"/>
  <c r="I101" i="26"/>
  <c r="J100" i="26"/>
  <c r="I100" i="26"/>
  <c r="K100" i="26" s="1"/>
  <c r="J99" i="26"/>
  <c r="I99" i="26"/>
  <c r="K99" i="26" s="1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K86" i="26" s="1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J80" i="26"/>
  <c r="I80" i="26"/>
  <c r="K80" i="26" s="1"/>
  <c r="J79" i="26"/>
  <c r="I79" i="26"/>
  <c r="K79" i="26" s="1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J70" i="26"/>
  <c r="I70" i="26"/>
  <c r="J69" i="26"/>
  <c r="I69" i="26"/>
  <c r="J68" i="26"/>
  <c r="I68" i="26"/>
  <c r="K68" i="26" s="1"/>
  <c r="H68" i="26"/>
  <c r="J67" i="26"/>
  <c r="I67" i="26"/>
  <c r="K67" i="26" s="1"/>
  <c r="H67" i="26"/>
  <c r="J66" i="26"/>
  <c r="I66" i="26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K54" i="26" s="1"/>
  <c r="H54" i="26"/>
  <c r="J53" i="26"/>
  <c r="I53" i="26"/>
  <c r="H53" i="26"/>
  <c r="J52" i="26"/>
  <c r="I52" i="26"/>
  <c r="K52" i="26" s="1"/>
  <c r="H52" i="26"/>
  <c r="J51" i="26"/>
  <c r="I51" i="26"/>
  <c r="K51" i="26" s="1"/>
  <c r="H51" i="26"/>
  <c r="J50" i="26"/>
  <c r="I50" i="26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K39" i="26" s="1"/>
  <c r="H39" i="26"/>
  <c r="J38" i="26"/>
  <c r="I38" i="26"/>
  <c r="K38" i="26" s="1"/>
  <c r="H38" i="26"/>
  <c r="J37" i="26"/>
  <c r="I37" i="26"/>
  <c r="H37" i="26"/>
  <c r="J36" i="26"/>
  <c r="I36" i="26"/>
  <c r="H36" i="26"/>
  <c r="J35" i="26"/>
  <c r="I35" i="26"/>
  <c r="K35" i="26" s="1"/>
  <c r="H35" i="26"/>
  <c r="J34" i="26"/>
  <c r="I34" i="26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K23" i="26" s="1"/>
  <c r="H23" i="26"/>
  <c r="J22" i="26"/>
  <c r="I22" i="26"/>
  <c r="K22" i="26" s="1"/>
  <c r="H22" i="26"/>
  <c r="J21" i="26"/>
  <c r="I21" i="26"/>
  <c r="H21" i="26"/>
  <c r="J20" i="26"/>
  <c r="I20" i="26"/>
  <c r="H20" i="26"/>
  <c r="J19" i="26"/>
  <c r="I19" i="26"/>
  <c r="K19" i="26" s="1"/>
  <c r="H19" i="26"/>
  <c r="J18" i="26"/>
  <c r="I18" i="26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K7" i="26" s="1"/>
  <c r="H7" i="26"/>
  <c r="J6" i="26"/>
  <c r="I6" i="26"/>
  <c r="K6" i="26" s="1"/>
  <c r="H6" i="26"/>
  <c r="J5" i="26"/>
  <c r="I5" i="26"/>
  <c r="H5" i="26"/>
  <c r="J4" i="26"/>
  <c r="I4" i="26"/>
  <c r="K4" i="26" s="1"/>
  <c r="H4" i="26"/>
  <c r="J3" i="26"/>
  <c r="I3" i="26"/>
  <c r="K3" i="26" s="1"/>
  <c r="H3" i="26"/>
  <c r="J122" i="28"/>
  <c r="I122" i="28"/>
  <c r="J121" i="28"/>
  <c r="I121" i="28"/>
  <c r="J120" i="28"/>
  <c r="I120" i="28"/>
  <c r="K120" i="28" s="1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K112" i="28" s="1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K104" i="28" s="1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K96" i="28" s="1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K169" i="28" s="1"/>
  <c r="J168" i="28"/>
  <c r="I168" i="28"/>
  <c r="J167" i="28"/>
  <c r="I167" i="28"/>
  <c r="K167" i="28" s="1"/>
  <c r="J166" i="28"/>
  <c r="I166" i="28"/>
  <c r="K166" i="28" s="1"/>
  <c r="J165" i="28"/>
  <c r="I165" i="28"/>
  <c r="J164" i="28"/>
  <c r="I164" i="28"/>
  <c r="J163" i="28"/>
  <c r="I163" i="28"/>
  <c r="K163" i="28" s="1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K153" i="28" s="1"/>
  <c r="J152" i="28"/>
  <c r="I152" i="28"/>
  <c r="J151" i="28"/>
  <c r="I151" i="28"/>
  <c r="K151" i="28" s="1"/>
  <c r="J150" i="28"/>
  <c r="I150" i="28"/>
  <c r="K150" i="28" s="1"/>
  <c r="J149" i="28"/>
  <c r="I149" i="28"/>
  <c r="J148" i="28"/>
  <c r="I148" i="28"/>
  <c r="J147" i="28"/>
  <c r="I147" i="28"/>
  <c r="K147" i="28" s="1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K137" i="28" s="1"/>
  <c r="J136" i="28"/>
  <c r="I136" i="28"/>
  <c r="J135" i="28"/>
  <c r="I135" i="28"/>
  <c r="K135" i="28" s="1"/>
  <c r="J134" i="28"/>
  <c r="I134" i="28"/>
  <c r="K134" i="28" s="1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K67" i="28" s="1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K51" i="28" s="1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K35" i="28" s="1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K19" i="28" s="1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K3" i="28" s="1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K122" i="27" s="1"/>
  <c r="J121" i="27"/>
  <c r="I121" i="27"/>
  <c r="J120" i="27"/>
  <c r="I120" i="27"/>
  <c r="K120" i="27" s="1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K114" i="27" s="1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K106" i="27" s="1"/>
  <c r="J105" i="27"/>
  <c r="I105" i="27"/>
  <c r="J104" i="27"/>
  <c r="I104" i="27"/>
  <c r="K104" i="27" s="1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K88" i="27" s="1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K76" i="27" s="1"/>
  <c r="J75" i="27"/>
  <c r="I75" i="27"/>
  <c r="K75" i="27" s="1"/>
  <c r="J74" i="27"/>
  <c r="I74" i="27"/>
  <c r="K74" i="27" s="1"/>
  <c r="J73" i="27"/>
  <c r="I73" i="27"/>
  <c r="J72" i="27"/>
  <c r="I72" i="27"/>
  <c r="K72" i="27" s="1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K65" i="27" s="1"/>
  <c r="H65" i="27"/>
  <c r="J64" i="27"/>
  <c r="I64" i="27"/>
  <c r="H64" i="27"/>
  <c r="J63" i="27"/>
  <c r="I63" i="27"/>
  <c r="H63" i="27"/>
  <c r="J62" i="27"/>
  <c r="I62" i="27"/>
  <c r="K62" i="27" s="1"/>
  <c r="H62" i="27"/>
  <c r="J61" i="27"/>
  <c r="I61" i="27"/>
  <c r="H61" i="27"/>
  <c r="J60" i="27"/>
  <c r="I60" i="27"/>
  <c r="K60" i="27" s="1"/>
  <c r="H60" i="27"/>
  <c r="J59" i="27"/>
  <c r="I59" i="27"/>
  <c r="K59" i="27" s="1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K46" i="27" s="1"/>
  <c r="H46" i="27"/>
  <c r="J45" i="27"/>
  <c r="I45" i="27"/>
  <c r="H45" i="27"/>
  <c r="J44" i="27"/>
  <c r="I44" i="27"/>
  <c r="K44" i="27" s="1"/>
  <c r="H44" i="27"/>
  <c r="J43" i="27"/>
  <c r="I43" i="27"/>
  <c r="K43" i="27" s="1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K30" i="27" s="1"/>
  <c r="H30" i="27"/>
  <c r="J29" i="27"/>
  <c r="I29" i="27"/>
  <c r="H29" i="27"/>
  <c r="J28" i="27"/>
  <c r="I28" i="27"/>
  <c r="K28" i="27" s="1"/>
  <c r="H28" i="27"/>
  <c r="J27" i="27"/>
  <c r="I27" i="27"/>
  <c r="K27" i="27" s="1"/>
  <c r="H27" i="27"/>
  <c r="J26" i="27"/>
  <c r="I26" i="27"/>
  <c r="H26" i="27"/>
  <c r="J25" i="27"/>
  <c r="I25" i="27"/>
  <c r="H25" i="27"/>
  <c r="J24" i="27"/>
  <c r="I24" i="27"/>
  <c r="K24" i="27" s="1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K14" i="27" s="1"/>
  <c r="H14" i="27"/>
  <c r="J13" i="27"/>
  <c r="I13" i="27"/>
  <c r="H13" i="27"/>
  <c r="J12" i="27"/>
  <c r="I12" i="27"/>
  <c r="K12" i="27" s="1"/>
  <c r="H12" i="27"/>
  <c r="J11" i="27"/>
  <c r="I11" i="27"/>
  <c r="K11" i="27" s="1"/>
  <c r="H11" i="27"/>
  <c r="J10" i="27"/>
  <c r="I10" i="27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K158" i="25" s="1"/>
  <c r="J157" i="25"/>
  <c r="I157" i="25"/>
  <c r="K157" i="25" s="1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K142" i="25" s="1"/>
  <c r="J141" i="25"/>
  <c r="I141" i="25"/>
  <c r="K141" i="25" s="1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K131" i="25" s="1"/>
  <c r="J130" i="25"/>
  <c r="I130" i="25"/>
  <c r="J129" i="25"/>
  <c r="I129" i="25"/>
  <c r="J128" i="25"/>
  <c r="I128" i="25"/>
  <c r="J127" i="25"/>
  <c r="I127" i="25"/>
  <c r="J126" i="25"/>
  <c r="I126" i="25"/>
  <c r="K126" i="25" s="1"/>
  <c r="J125" i="25"/>
  <c r="I125" i="25"/>
  <c r="K125" i="25" s="1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K115" i="25" s="1"/>
  <c r="J114" i="25"/>
  <c r="I114" i="25"/>
  <c r="J113" i="25"/>
  <c r="I113" i="25"/>
  <c r="J112" i="25"/>
  <c r="I112" i="25"/>
  <c r="J111" i="25"/>
  <c r="I111" i="25"/>
  <c r="J110" i="25"/>
  <c r="I110" i="25"/>
  <c r="K110" i="25" s="1"/>
  <c r="J109" i="25"/>
  <c r="I109" i="25"/>
  <c r="K109" i="25" s="1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K99" i="25" s="1"/>
  <c r="J98" i="25"/>
  <c r="I98" i="25"/>
  <c r="J97" i="25"/>
  <c r="I97" i="25"/>
  <c r="J96" i="25"/>
  <c r="I96" i="25"/>
  <c r="J95" i="25"/>
  <c r="I95" i="25"/>
  <c r="J94" i="25"/>
  <c r="I94" i="25"/>
  <c r="K94" i="25" s="1"/>
  <c r="J93" i="25"/>
  <c r="I93" i="25"/>
  <c r="K93" i="25" s="1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K48" i="25" s="1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H28" i="25"/>
  <c r="J27" i="25"/>
  <c r="I27" i="25"/>
  <c r="H27" i="25"/>
  <c r="J26" i="25"/>
  <c r="I26" i="25"/>
  <c r="K26" i="25" s="1"/>
  <c r="H26" i="25"/>
  <c r="J25" i="25"/>
  <c r="I25" i="25"/>
  <c r="H25" i="25"/>
  <c r="J24" i="25"/>
  <c r="I24" i="25"/>
  <c r="H24" i="25"/>
  <c r="J23" i="25"/>
  <c r="I23" i="25"/>
  <c r="H23" i="25"/>
  <c r="J22" i="25"/>
  <c r="I22" i="25"/>
  <c r="K22" i="25" s="1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K6" i="25" s="1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K64" i="24" s="1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K56" i="24" s="1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K48" i="24" s="1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K40" i="24" s="1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K32" i="24" s="1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K24" i="24" s="1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K16" i="24" s="1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K8" i="24" s="1"/>
  <c r="J7" i="24"/>
  <c r="I7" i="24"/>
  <c r="K7" i="24" s="1"/>
  <c r="J6" i="24"/>
  <c r="I6" i="24"/>
  <c r="J5" i="24"/>
  <c r="I5" i="24"/>
  <c r="J4" i="24"/>
  <c r="I4" i="24"/>
  <c r="K4" i="24" s="1"/>
  <c r="J3" i="24"/>
  <c r="I3" i="24"/>
  <c r="K3" i="24" s="1"/>
  <c r="K96" i="25" l="1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M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48" i="23"/>
  <c r="J140" i="23"/>
  <c r="J125" i="23"/>
  <c r="J124" i="23"/>
  <c r="J123" i="23"/>
  <c r="J116" i="23"/>
  <c r="J108" i="23"/>
  <c r="J107" i="23"/>
  <c r="J100" i="23"/>
  <c r="J89" i="23"/>
  <c r="J84" i="23"/>
  <c r="J76" i="23"/>
  <c r="J75" i="23"/>
  <c r="J68" i="23"/>
  <c r="J58" i="23"/>
  <c r="J43" i="23"/>
  <c r="J42" i="23"/>
  <c r="J36" i="23"/>
  <c r="J26" i="23"/>
  <c r="J12" i="23"/>
  <c r="J9" i="23"/>
  <c r="I154" i="23"/>
  <c r="J154" i="23" s="1"/>
  <c r="H154" i="23"/>
  <c r="I153" i="23"/>
  <c r="H153" i="23"/>
  <c r="J153" i="23" s="1"/>
  <c r="I152" i="23"/>
  <c r="H152" i="23"/>
  <c r="I151" i="23"/>
  <c r="H151" i="23"/>
  <c r="J151" i="23" s="1"/>
  <c r="I150" i="23"/>
  <c r="H150" i="23"/>
  <c r="I149" i="23"/>
  <c r="H149" i="23"/>
  <c r="J149" i="23" s="1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J143" i="23" s="1"/>
  <c r="I142" i="23"/>
  <c r="H142" i="23"/>
  <c r="J142" i="23" s="1"/>
  <c r="I141" i="23"/>
  <c r="H141" i="23"/>
  <c r="J141" i="23" s="1"/>
  <c r="I140" i="23"/>
  <c r="H140" i="23"/>
  <c r="I139" i="23"/>
  <c r="J139" i="23" s="1"/>
  <c r="H139" i="23"/>
  <c r="I138" i="23"/>
  <c r="J138" i="23" s="1"/>
  <c r="H138" i="23"/>
  <c r="I137" i="23"/>
  <c r="H137" i="23"/>
  <c r="I136" i="23"/>
  <c r="H136" i="23"/>
  <c r="I135" i="23"/>
  <c r="H135" i="23"/>
  <c r="J135" i="23" s="1"/>
  <c r="I134" i="23"/>
  <c r="H134" i="23"/>
  <c r="I133" i="23"/>
  <c r="H133" i="23"/>
  <c r="J133" i="23" s="1"/>
  <c r="I132" i="23"/>
  <c r="H132" i="23"/>
  <c r="J132" i="23" s="1"/>
  <c r="I131" i="23"/>
  <c r="H131" i="23"/>
  <c r="I130" i="23"/>
  <c r="H130" i="23"/>
  <c r="I129" i="23"/>
  <c r="H129" i="23"/>
  <c r="I128" i="23"/>
  <c r="H128" i="23"/>
  <c r="I127" i="23"/>
  <c r="H127" i="23"/>
  <c r="J127" i="23" s="1"/>
  <c r="I126" i="23"/>
  <c r="H126" i="23"/>
  <c r="J126" i="23" s="1"/>
  <c r="I125" i="23"/>
  <c r="H125" i="23"/>
  <c r="I124" i="23"/>
  <c r="H124" i="23"/>
  <c r="I123" i="23"/>
  <c r="H123" i="23"/>
  <c r="I122" i="23"/>
  <c r="H122" i="23"/>
  <c r="J122" i="23" s="1"/>
  <c r="I121" i="23"/>
  <c r="J121" i="23" s="1"/>
  <c r="H121" i="23"/>
  <c r="I120" i="23"/>
  <c r="H120" i="23"/>
  <c r="I119" i="23"/>
  <c r="H119" i="23"/>
  <c r="J119" i="23" s="1"/>
  <c r="I118" i="23"/>
  <c r="H118" i="23"/>
  <c r="I117" i="23"/>
  <c r="H117" i="23"/>
  <c r="J117" i="23" s="1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J111" i="23" s="1"/>
  <c r="I110" i="23"/>
  <c r="H110" i="23"/>
  <c r="J110" i="23" s="1"/>
  <c r="I109" i="23"/>
  <c r="H109" i="23"/>
  <c r="J109" i="23" s="1"/>
  <c r="I108" i="23"/>
  <c r="H108" i="23"/>
  <c r="I107" i="23"/>
  <c r="H107" i="23"/>
  <c r="I106" i="23"/>
  <c r="H106" i="23"/>
  <c r="J106" i="23" s="1"/>
  <c r="I105" i="23"/>
  <c r="H105" i="23"/>
  <c r="J105" i="23" s="1"/>
  <c r="I104" i="23"/>
  <c r="H104" i="23"/>
  <c r="I103" i="23"/>
  <c r="H103" i="23"/>
  <c r="J103" i="23" s="1"/>
  <c r="I102" i="23"/>
  <c r="H102" i="23"/>
  <c r="I101" i="23"/>
  <c r="H101" i="23"/>
  <c r="J101" i="23" s="1"/>
  <c r="I100" i="23"/>
  <c r="H100" i="23"/>
  <c r="I99" i="23"/>
  <c r="H99" i="23"/>
  <c r="I98" i="23"/>
  <c r="H98" i="23"/>
  <c r="I97" i="23"/>
  <c r="H97" i="23"/>
  <c r="I96" i="23"/>
  <c r="H96" i="23"/>
  <c r="I95" i="23"/>
  <c r="H95" i="23"/>
  <c r="J95" i="23" s="1"/>
  <c r="I94" i="23"/>
  <c r="H94" i="23"/>
  <c r="J94" i="23" s="1"/>
  <c r="I93" i="23"/>
  <c r="H93" i="23"/>
  <c r="J93" i="23" s="1"/>
  <c r="I92" i="23"/>
  <c r="H92" i="23"/>
  <c r="J92" i="23" s="1"/>
  <c r="I91" i="23"/>
  <c r="J91" i="23" s="1"/>
  <c r="H91" i="23"/>
  <c r="I90" i="23"/>
  <c r="H90" i="23"/>
  <c r="J90" i="23" s="1"/>
  <c r="I89" i="23"/>
  <c r="H89" i="23"/>
  <c r="I88" i="23"/>
  <c r="H88" i="23"/>
  <c r="I87" i="23"/>
  <c r="H87" i="23"/>
  <c r="J87" i="23" s="1"/>
  <c r="I86" i="23"/>
  <c r="H86" i="23"/>
  <c r="I85" i="23"/>
  <c r="H85" i="23"/>
  <c r="J85" i="23" s="1"/>
  <c r="I84" i="23"/>
  <c r="H84" i="23"/>
  <c r="I83" i="23"/>
  <c r="H83" i="23"/>
  <c r="I82" i="23"/>
  <c r="H82" i="23"/>
  <c r="I81" i="23"/>
  <c r="H81" i="23"/>
  <c r="I78" i="23"/>
  <c r="H78" i="23"/>
  <c r="I77" i="23"/>
  <c r="H77" i="23"/>
  <c r="J77" i="23" s="1"/>
  <c r="I76" i="23"/>
  <c r="H76" i="23"/>
  <c r="I75" i="23"/>
  <c r="H75" i="23"/>
  <c r="I74" i="23"/>
  <c r="H74" i="23"/>
  <c r="J74" i="23" s="1"/>
  <c r="I73" i="23"/>
  <c r="J73" i="23" s="1"/>
  <c r="H73" i="23"/>
  <c r="I72" i="23"/>
  <c r="H72" i="23"/>
  <c r="I71" i="23"/>
  <c r="H71" i="23"/>
  <c r="I70" i="23"/>
  <c r="H70" i="23"/>
  <c r="I69" i="23"/>
  <c r="H69" i="23"/>
  <c r="J69" i="23" s="1"/>
  <c r="I68" i="23"/>
  <c r="H68" i="23"/>
  <c r="I67" i="23"/>
  <c r="H67" i="23"/>
  <c r="J67" i="23" s="1"/>
  <c r="I66" i="23"/>
  <c r="H66" i="23"/>
  <c r="I65" i="23"/>
  <c r="H65" i="23"/>
  <c r="I64" i="23"/>
  <c r="H64" i="23"/>
  <c r="I63" i="23"/>
  <c r="H63" i="23"/>
  <c r="I62" i="23"/>
  <c r="H62" i="23"/>
  <c r="I61" i="23"/>
  <c r="H61" i="23"/>
  <c r="J61" i="23" s="1"/>
  <c r="I60" i="23"/>
  <c r="H60" i="23"/>
  <c r="J60" i="23" s="1"/>
  <c r="I59" i="23"/>
  <c r="H59" i="23"/>
  <c r="J59" i="23" s="1"/>
  <c r="I58" i="23"/>
  <c r="H58" i="23"/>
  <c r="I57" i="23"/>
  <c r="H57" i="23"/>
  <c r="J57" i="23" s="1"/>
  <c r="I56" i="23"/>
  <c r="H56" i="23"/>
  <c r="I55" i="23"/>
  <c r="H55" i="23"/>
  <c r="I54" i="23"/>
  <c r="H54" i="23"/>
  <c r="I53" i="23"/>
  <c r="H53" i="23"/>
  <c r="J53" i="23" s="1"/>
  <c r="I52" i="23"/>
  <c r="H52" i="23"/>
  <c r="J52" i="23" s="1"/>
  <c r="I51" i="23"/>
  <c r="H51" i="23"/>
  <c r="J51" i="23" s="1"/>
  <c r="I50" i="23"/>
  <c r="H50" i="23"/>
  <c r="I49" i="23"/>
  <c r="H49" i="23"/>
  <c r="I48" i="23"/>
  <c r="H48" i="23"/>
  <c r="I47" i="23"/>
  <c r="H47" i="23"/>
  <c r="I46" i="23"/>
  <c r="H46" i="23"/>
  <c r="I45" i="23"/>
  <c r="H45" i="23"/>
  <c r="J45" i="23" s="1"/>
  <c r="I44" i="23"/>
  <c r="H44" i="23"/>
  <c r="J44" i="23" s="1"/>
  <c r="I43" i="23"/>
  <c r="H43" i="23"/>
  <c r="I42" i="23"/>
  <c r="H42" i="23"/>
  <c r="I41" i="23"/>
  <c r="J41" i="23" s="1"/>
  <c r="H41" i="23"/>
  <c r="I40" i="23"/>
  <c r="H40" i="23"/>
  <c r="I39" i="23"/>
  <c r="H39" i="23"/>
  <c r="I38" i="23"/>
  <c r="H38" i="23"/>
  <c r="I37" i="23"/>
  <c r="H37" i="23"/>
  <c r="J37" i="23" s="1"/>
  <c r="I36" i="23"/>
  <c r="H36" i="23"/>
  <c r="I35" i="23"/>
  <c r="H35" i="23"/>
  <c r="J35" i="23" s="1"/>
  <c r="I34" i="23"/>
  <c r="H34" i="23"/>
  <c r="I33" i="23"/>
  <c r="H33" i="23"/>
  <c r="I32" i="23"/>
  <c r="H32" i="23"/>
  <c r="I31" i="23"/>
  <c r="H31" i="23"/>
  <c r="I30" i="23"/>
  <c r="H30" i="23"/>
  <c r="I29" i="23"/>
  <c r="H29" i="23"/>
  <c r="J29" i="23" s="1"/>
  <c r="I28" i="23"/>
  <c r="H28" i="23"/>
  <c r="J28" i="23" s="1"/>
  <c r="I27" i="23"/>
  <c r="H27" i="23"/>
  <c r="J27" i="23" s="1"/>
  <c r="I26" i="23"/>
  <c r="H26" i="23"/>
  <c r="I25" i="23"/>
  <c r="H25" i="23"/>
  <c r="J25" i="23" s="1"/>
  <c r="I24" i="23"/>
  <c r="H24" i="23"/>
  <c r="I23" i="23"/>
  <c r="H23" i="23"/>
  <c r="I22" i="23"/>
  <c r="H22" i="23"/>
  <c r="I21" i="23"/>
  <c r="H21" i="23"/>
  <c r="J21" i="23" s="1"/>
  <c r="I20" i="23"/>
  <c r="H20" i="23"/>
  <c r="J20" i="23" s="1"/>
  <c r="I19" i="23"/>
  <c r="H19" i="23"/>
  <c r="J19" i="23" s="1"/>
  <c r="I18" i="23"/>
  <c r="H18" i="23"/>
  <c r="I17" i="23"/>
  <c r="H17" i="23"/>
  <c r="I16" i="23"/>
  <c r="H16" i="23"/>
  <c r="I15" i="23"/>
  <c r="H15" i="23"/>
  <c r="I14" i="23"/>
  <c r="H14" i="23"/>
  <c r="I13" i="23"/>
  <c r="H13" i="23"/>
  <c r="J13" i="23" s="1"/>
  <c r="I12" i="23"/>
  <c r="H12" i="23"/>
  <c r="I11" i="23"/>
  <c r="H11" i="23"/>
  <c r="J11" i="23" s="1"/>
  <c r="I10" i="23"/>
  <c r="H10" i="23"/>
  <c r="J10" i="23" s="1"/>
  <c r="I9" i="23"/>
  <c r="H9" i="23"/>
  <c r="I8" i="23"/>
  <c r="H8" i="23"/>
  <c r="I7" i="23"/>
  <c r="H7" i="23"/>
  <c r="I6" i="23"/>
  <c r="H6" i="23"/>
  <c r="I5" i="23"/>
  <c r="H5" i="23"/>
  <c r="J5" i="23" s="1"/>
  <c r="I4" i="23"/>
  <c r="H4" i="23"/>
  <c r="J4" i="23" s="1"/>
  <c r="I3" i="23"/>
  <c r="H3" i="23"/>
  <c r="J3" i="23" s="1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70" i="27"/>
  <c r="A69" i="27"/>
  <c r="H69" i="27" s="1"/>
  <c r="A84" i="29"/>
  <c r="H84" i="29" s="1"/>
  <c r="A69" i="26"/>
  <c r="H69" i="26" s="1"/>
  <c r="A95" i="25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L63" i="35" l="1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J80" i="23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A71" i="27"/>
  <c r="H70" i="27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M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M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J79" i="23" l="1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H68" i="36"/>
  <c r="L68" i="36" s="1"/>
  <c r="G68" i="36"/>
  <c r="K68" i="36" s="1"/>
  <c r="M68" i="36" s="1"/>
  <c r="F68" i="36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76" i="19"/>
  <c r="K76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M100" i="19" l="1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76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R37" i="32" s="1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K118" i="3"/>
  <c r="M118" i="3" s="1"/>
  <c r="J118" i="3"/>
  <c r="J117" i="3"/>
  <c r="J116" i="3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L64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K51" i="3"/>
  <c r="J51" i="3"/>
  <c r="J50" i="3"/>
  <c r="J49" i="3"/>
  <c r="J48" i="3"/>
  <c r="J47" i="3"/>
  <c r="J46" i="3"/>
  <c r="J45" i="3"/>
  <c r="J44" i="3"/>
  <c r="K43" i="3"/>
  <c r="J43" i="3"/>
  <c r="J42" i="3"/>
  <c r="J41" i="3"/>
  <c r="L40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K27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H113" i="3"/>
  <c r="L113" i="3" s="1"/>
  <c r="G113" i="3"/>
  <c r="K113" i="3" s="1"/>
  <c r="H112" i="3"/>
  <c r="G112" i="3"/>
  <c r="K112" i="3" s="1"/>
  <c r="H111" i="3"/>
  <c r="L111" i="3" s="1"/>
  <c r="G111" i="3"/>
  <c r="K111" i="3" s="1"/>
  <c r="H110" i="3"/>
  <c r="L110" i="3" s="1"/>
  <c r="G110" i="3"/>
  <c r="K110" i="3" s="1"/>
  <c r="M110" i="3" s="1"/>
  <c r="H109" i="3"/>
  <c r="L109" i="3" s="1"/>
  <c r="G109" i="3"/>
  <c r="K109" i="3" s="1"/>
  <c r="H108" i="3"/>
  <c r="L108" i="3" s="1"/>
  <c r="G108" i="3"/>
  <c r="K108" i="3" s="1"/>
  <c r="H94" i="3"/>
  <c r="L94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H42" i="3"/>
  <c r="L42" i="3" s="1"/>
  <c r="G42" i="3"/>
  <c r="K42" i="3" s="1"/>
  <c r="H41" i="3"/>
  <c r="L41" i="3" s="1"/>
  <c r="G41" i="3"/>
  <c r="K41" i="3" s="1"/>
  <c r="H40" i="3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L67" i="37" l="1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H70" i="36"/>
  <c r="L70" i="36" s="1"/>
  <c r="G70" i="36"/>
  <c r="K70" i="36" s="1"/>
  <c r="F70" i="36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L68" i="37" l="1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R109" i="32" s="1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H96" i="39" l="1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M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M132" i="3" l="1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G73" i="36"/>
  <c r="K73" i="36" s="1"/>
  <c r="A74" i="36"/>
  <c r="F73" i="36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R111" i="32" l="1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H74" i="36"/>
  <c r="L74" i="36" s="1"/>
  <c r="G74" i="36"/>
  <c r="K74" i="36" s="1"/>
  <c r="M74" i="36" s="1"/>
  <c r="F74" i="36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R112" i="32" l="1"/>
  <c r="H99" i="39"/>
  <c r="A100" i="39"/>
  <c r="A101" i="38"/>
  <c r="H100" i="38"/>
  <c r="K73" i="37"/>
  <c r="J73" i="37"/>
  <c r="L73" i="37" s="1"/>
  <c r="A74" i="37"/>
  <c r="I73" i="37"/>
  <c r="J75" i="36"/>
  <c r="F75" i="36"/>
  <c r="H75" i="36"/>
  <c r="L75" i="36" s="1"/>
  <c r="G75" i="36"/>
  <c r="K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M135" i="3" s="1"/>
  <c r="F135" i="3"/>
  <c r="M134" i="3"/>
  <c r="M75" i="36" l="1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J73" i="35" l="1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G77" i="36"/>
  <c r="K77" i="36" s="1"/>
  <c r="F77" i="36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M77" i="36" l="1"/>
  <c r="A103" i="39"/>
  <c r="H102" i="39"/>
  <c r="H103" i="38"/>
  <c r="A104" i="38"/>
  <c r="R115" i="32"/>
  <c r="L75" i="37"/>
  <c r="K76" i="37"/>
  <c r="J76" i="37"/>
  <c r="L76" i="37" s="1"/>
  <c r="I76" i="37"/>
  <c r="A77" i="37"/>
  <c r="J78" i="36"/>
  <c r="F78" i="36"/>
  <c r="H78" i="36"/>
  <c r="L78" i="36" s="1"/>
  <c r="G78" i="36"/>
  <c r="K78" i="36" s="1"/>
  <c r="M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H103" i="39" l="1"/>
  <c r="A104" i="39"/>
  <c r="H104" i="38"/>
  <c r="A105" i="38"/>
  <c r="I77" i="37"/>
  <c r="K77" i="37"/>
  <c r="A78" i="37"/>
  <c r="J77" i="37"/>
  <c r="L77" i="37" s="1"/>
  <c r="H79" i="36"/>
  <c r="L79" i="36" s="1"/>
  <c r="G79" i="36"/>
  <c r="K79" i="36" s="1"/>
  <c r="M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J76" i="35" l="1"/>
  <c r="L76" i="35" s="1"/>
  <c r="A105" i="39"/>
  <c r="H104" i="39"/>
  <c r="R27" i="32"/>
  <c r="H105" i="38"/>
  <c r="A106" i="38"/>
  <c r="A79" i="37"/>
  <c r="I78" i="37"/>
  <c r="K78" i="37"/>
  <c r="J78" i="37"/>
  <c r="L78" i="37" s="1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A106" i="39" l="1"/>
  <c r="H105" i="39"/>
  <c r="A107" i="38"/>
  <c r="H106" i="38"/>
  <c r="K79" i="37"/>
  <c r="J79" i="37"/>
  <c r="L79" i="37" s="1"/>
  <c r="A80" i="37"/>
  <c r="I79" i="37"/>
  <c r="J81" i="36"/>
  <c r="F81" i="36"/>
  <c r="A82" i="36"/>
  <c r="H81" i="36"/>
  <c r="L81" i="36" s="1"/>
  <c r="G81" i="36"/>
  <c r="K81" i="36" s="1"/>
  <c r="M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H106" i="39" l="1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L79" i="35" l="1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M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R23" i="32" l="1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M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H109" i="39" l="1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L82" i="35" s="1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M85" i="36" l="1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H111" i="39" l="1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M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13" i="39" l="1"/>
  <c r="H112" i="39"/>
  <c r="R19" i="32"/>
  <c r="H113" i="38"/>
  <c r="A114" i="38"/>
  <c r="I86" i="37"/>
  <c r="K86" i="37"/>
  <c r="A87" i="37"/>
  <c r="J86" i="37"/>
  <c r="L86" i="37" s="1"/>
  <c r="H88" i="36"/>
  <c r="L88" i="36" s="1"/>
  <c r="G88" i="36"/>
  <c r="K88" i="36" s="1"/>
  <c r="M88" i="36" s="1"/>
  <c r="A89" i="36"/>
  <c r="F88" i="36"/>
  <c r="J88" i="36"/>
  <c r="L84" i="35"/>
  <c r="K85" i="35"/>
  <c r="J85" i="35"/>
  <c r="L85" i="35" s="1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A114" i="39" l="1"/>
  <c r="H113" i="39"/>
  <c r="A115" i="38"/>
  <c r="H114" i="38"/>
  <c r="A88" i="37"/>
  <c r="K87" i="37"/>
  <c r="I87" i="37"/>
  <c r="J87" i="37"/>
  <c r="L87" i="37" s="1"/>
  <c r="A90" i="36"/>
  <c r="J89" i="36"/>
  <c r="F89" i="36"/>
  <c r="H89" i="36"/>
  <c r="L89" i="36" s="1"/>
  <c r="G89" i="36"/>
  <c r="K89" i="36" s="1"/>
  <c r="M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H114" i="39" l="1"/>
  <c r="A115" i="39"/>
  <c r="A116" i="38"/>
  <c r="H115" i="38"/>
  <c r="K88" i="37"/>
  <c r="J88" i="37"/>
  <c r="L88" i="37" s="1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L87" i="35" s="1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M90" i="36" l="1"/>
  <c r="H115" i="39"/>
  <c r="A116" i="39"/>
  <c r="R16" i="32"/>
  <c r="H116" i="38"/>
  <c r="A117" i="38"/>
  <c r="K89" i="37"/>
  <c r="I89" i="37"/>
  <c r="A90" i="37"/>
  <c r="J89" i="37"/>
  <c r="L89" i="37" s="1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M91" i="36" l="1"/>
  <c r="A117" i="39"/>
  <c r="H116" i="39"/>
  <c r="R15" i="32"/>
  <c r="H117" i="38"/>
  <c r="A118" i="38"/>
  <c r="A91" i="37"/>
  <c r="I90" i="37"/>
  <c r="K90" i="37"/>
  <c r="J90" i="37"/>
  <c r="L90" i="37" s="1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118" i="39" l="1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L91" i="37" l="1"/>
  <c r="M93" i="36"/>
  <c r="A119" i="39"/>
  <c r="H118" i="39"/>
  <c r="R13" i="32"/>
  <c r="A120" i="38"/>
  <c r="H119" i="38"/>
  <c r="I92" i="37"/>
  <c r="K92" i="37"/>
  <c r="A93" i="37"/>
  <c r="J92" i="37"/>
  <c r="L92" i="37" s="1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L91" i="35" l="1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M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L92" i="35" l="1"/>
  <c r="R11" i="32"/>
  <c r="H120" i="39"/>
  <c r="A121" i="39"/>
  <c r="A122" i="38"/>
  <c r="H121" i="38"/>
  <c r="L93" i="37"/>
  <c r="K94" i="37"/>
  <c r="J94" i="37"/>
  <c r="L94" i="37" s="1"/>
  <c r="A95" i="37"/>
  <c r="I94" i="37"/>
  <c r="J96" i="36"/>
  <c r="H96" i="36"/>
  <c r="L96" i="36" s="1"/>
  <c r="F96" i="36"/>
  <c r="G96" i="36"/>
  <c r="K96" i="36" s="1"/>
  <c r="M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H121" i="39" l="1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M97" i="36" l="1"/>
  <c r="H122" i="39"/>
  <c r="A123" i="39"/>
  <c r="H123" i="38"/>
  <c r="A124" i="38"/>
  <c r="R9" i="32"/>
  <c r="A97" i="37"/>
  <c r="K96" i="37"/>
  <c r="J96" i="37"/>
  <c r="L96" i="37" s="1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R8" i="32" l="1"/>
  <c r="A124" i="39"/>
  <c r="H123" i="39"/>
  <c r="A125" i="38"/>
  <c r="H124" i="38"/>
  <c r="K97" i="37"/>
  <c r="J97" i="37"/>
  <c r="L97" i="37" s="1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M99" i="36" l="1"/>
  <c r="R7" i="32"/>
  <c r="A125" i="39"/>
  <c r="H124" i="39"/>
  <c r="A126" i="38"/>
  <c r="H125" i="38"/>
  <c r="I98" i="37"/>
  <c r="K98" i="37"/>
  <c r="A99" i="37"/>
  <c r="J98" i="37"/>
  <c r="L98" i="37" s="1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M100" i="36" l="1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L98" i="35" s="1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M101" i="36" l="1"/>
  <c r="R5" i="32"/>
  <c r="H126" i="39"/>
  <c r="A127" i="39"/>
  <c r="A128" i="38"/>
  <c r="H127" i="38"/>
  <c r="L99" i="37"/>
  <c r="K100" i="37"/>
  <c r="J100" i="37"/>
  <c r="L100" i="37" s="1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M102" i="36" l="1"/>
  <c r="H127" i="39"/>
  <c r="A128" i="39"/>
  <c r="R4" i="32"/>
  <c r="H128" i="38"/>
  <c r="A129" i="38"/>
  <c r="H129" i="38" s="1"/>
  <c r="K101" i="37"/>
  <c r="I101" i="37"/>
  <c r="A102" i="37"/>
  <c r="J101" i="37"/>
  <c r="L101" i="37" s="1"/>
  <c r="H103" i="36"/>
  <c r="L103" i="36" s="1"/>
  <c r="G103" i="36"/>
  <c r="K103" i="36" s="1"/>
  <c r="M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R3" i="32" l="1"/>
  <c r="H128" i="39"/>
  <c r="A129" i="39"/>
  <c r="H129" i="39" s="1"/>
  <c r="A103" i="37"/>
  <c r="I102" i="37"/>
  <c r="K102" i="37"/>
  <c r="J102" i="37"/>
  <c r="L102" i="37" s="1"/>
  <c r="A105" i="36"/>
  <c r="F104" i="36"/>
  <c r="J104" i="36"/>
  <c r="H104" i="36"/>
  <c r="L104" i="36" s="1"/>
  <c r="G104" i="36"/>
  <c r="K104" i="36" s="1"/>
  <c r="M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K103" i="37" l="1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L103" i="37" l="1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L103" i="35" l="1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L105" i="37" l="1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K107" i="37" l="1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L106" i="35" l="1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L108" i="37" l="1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M111" i="36" l="1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L109" i="35" s="1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A112" i="37" l="1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L111" i="37" l="1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I113" i="37" l="1"/>
  <c r="K113" i="37"/>
  <c r="J113" i="37"/>
  <c r="L113" i="37" s="1"/>
  <c r="A114" i="37"/>
  <c r="H115" i="36"/>
  <c r="L115" i="36" s="1"/>
  <c r="G115" i="36"/>
  <c r="K115" i="36" s="1"/>
  <c r="M115" i="36" s="1"/>
  <c r="F115" i="36"/>
  <c r="A116" i="36"/>
  <c r="J115" i="36"/>
  <c r="L111" i="35"/>
  <c r="K112" i="35"/>
  <c r="J112" i="35"/>
  <c r="L112" i="35" s="1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A115" i="37" l="1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L113" i="35" l="1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L114" i="35" l="1"/>
  <c r="K116" i="37"/>
  <c r="I116" i="37"/>
  <c r="A117" i="37"/>
  <c r="J116" i="37"/>
  <c r="L116" i="37" s="1"/>
  <c r="H118" i="36"/>
  <c r="L118" i="36" s="1"/>
  <c r="G118" i="36"/>
  <c r="K118" i="36" s="1"/>
  <c r="M118" i="36" s="1"/>
  <c r="A119" i="36"/>
  <c r="F118" i="36"/>
  <c r="J118" i="36"/>
  <c r="K115" i="35"/>
  <c r="J115" i="35"/>
  <c r="L115" i="35" s="1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A118" i="37" l="1"/>
  <c r="I117" i="37"/>
  <c r="K117" i="37"/>
  <c r="J117" i="37"/>
  <c r="L117" i="37" s="1"/>
  <c r="A120" i="36"/>
  <c r="H119" i="36"/>
  <c r="L119" i="36" s="1"/>
  <c r="J119" i="36"/>
  <c r="G119" i="36"/>
  <c r="K119" i="36" s="1"/>
  <c r="M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K118" i="37" l="1"/>
  <c r="J118" i="37"/>
  <c r="L118" i="37" s="1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I119" i="37" l="1"/>
  <c r="K119" i="37"/>
  <c r="J119" i="37"/>
  <c r="L119" i="37" s="1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L118" i="35" s="1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A121" i="37" l="1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K121" i="37" l="1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M123" i="36" s="1"/>
  <c r="L119" i="35"/>
  <c r="I120" i="35"/>
  <c r="A121" i="35"/>
  <c r="K120" i="35"/>
  <c r="J120" i="35"/>
  <c r="L120" i="35" s="1"/>
  <c r="A172" i="28"/>
  <c r="H171" i="28"/>
  <c r="A131" i="24"/>
  <c r="H130" i="24"/>
  <c r="A152" i="25"/>
  <c r="H151" i="25"/>
  <c r="A127" i="27"/>
  <c r="H126" i="27"/>
  <c r="K122" i="37" l="1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L121" i="35" s="1"/>
  <c r="A122" i="35"/>
  <c r="I121" i="35"/>
  <c r="A153" i="25"/>
  <c r="H152" i="25"/>
  <c r="A132" i="24"/>
  <c r="H131" i="24"/>
  <c r="A128" i="27"/>
  <c r="H127" i="27"/>
  <c r="A173" i="28"/>
  <c r="H172" i="28"/>
  <c r="A124" i="37" l="1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L123" i="37" l="1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M126" i="36" s="1"/>
  <c r="A124" i="35"/>
  <c r="I123" i="35"/>
  <c r="J123" i="35"/>
  <c r="K123" i="35"/>
  <c r="A155" i="25"/>
  <c r="H154" i="25"/>
  <c r="A134" i="24"/>
  <c r="H133" i="24"/>
  <c r="K125" i="37" l="1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L124" i="35" s="1"/>
  <c r="A125" i="35"/>
  <c r="I124" i="35"/>
  <c r="A135" i="24"/>
  <c r="H134" i="24"/>
  <c r="A156" i="25"/>
  <c r="H155" i="25"/>
  <c r="M127" i="36" l="1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L126" i="37" l="1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M129" i="36" s="1"/>
  <c r="L125" i="35"/>
  <c r="I126" i="35"/>
  <c r="A127" i="35"/>
  <c r="J126" i="35"/>
  <c r="K126" i="35"/>
  <c r="A137" i="24"/>
  <c r="H136" i="24"/>
  <c r="A158" i="25"/>
  <c r="H157" i="25"/>
  <c r="K128" i="37" l="1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130" i="37" l="1"/>
  <c r="I129" i="37"/>
  <c r="K129" i="37"/>
  <c r="J129" i="37"/>
  <c r="J131" i="36"/>
  <c r="H131" i="36"/>
  <c r="L131" i="36" s="1"/>
  <c r="G131" i="36"/>
  <c r="K131" i="36" s="1"/>
  <c r="M131" i="36" s="1"/>
  <c r="F131" i="36"/>
  <c r="I128" i="35"/>
  <c r="A129" i="35"/>
  <c r="K128" i="35"/>
  <c r="J128" i="35"/>
  <c r="L128" i="35" s="1"/>
  <c r="A139" i="24"/>
  <c r="H139" i="24" s="1"/>
  <c r="H138" i="24"/>
  <c r="A160" i="25"/>
  <c r="H159" i="25"/>
  <c r="L129" i="37" l="1"/>
  <c r="K130" i="37"/>
  <c r="J130" i="37"/>
  <c r="L130" i="37" s="1"/>
  <c r="A131" i="37"/>
  <c r="I130" i="37"/>
  <c r="A130" i="35"/>
  <c r="I129" i="35"/>
  <c r="K129" i="35"/>
  <c r="J129" i="35"/>
  <c r="L129" i="35" s="1"/>
  <c r="A161" i="25"/>
  <c r="H160" i="25"/>
  <c r="I131" i="37" l="1"/>
  <c r="K131" i="37"/>
  <c r="J131" i="37"/>
  <c r="L131" i="37" s="1"/>
  <c r="K130" i="35"/>
  <c r="J130" i="35"/>
  <c r="L130" i="35" s="1"/>
  <c r="A131" i="35"/>
  <c r="I130" i="35"/>
  <c r="A162" i="25"/>
  <c r="H161" i="25"/>
  <c r="I131" i="35" l="1"/>
  <c r="K131" i="35"/>
  <c r="J131" i="35"/>
  <c r="L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<sst xmlns="http://schemas.openxmlformats.org/spreadsheetml/2006/main" count="541" uniqueCount="228">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</sst>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'Мексика-Колвер-СONAPO'!$J$2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'Мексика-Колвер-СONAPO'!$K$2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'Мексика-Колвер-СONAPO'!$L$2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'Мексика-Колвер-СONAPO-реформа'!$J$2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'Мексика-Колвер-СONAPO-реформа'!$K$2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'Мексика-Колвер-СONAPO-реформа'!$L$2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951</xdr:colOff>
      <xdr:row>2</xdr:row>
      <xdr:rowOff>179075</xdr:rowOff>
    </xdr:from>
    <xdr:to>
      <xdr:col>35</xdr:col>
      <xdr:colOff>19050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@\cuba-a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ба-все"/>
    </sheetNames>
    <sheetDataSet>
      <sheetData sheetId="0">
        <row r="1">
          <cell r="B1" t="str">
            <v>Колвер-р</v>
          </cell>
          <cell r="C1" t="str">
            <v>Колвер-c</v>
          </cell>
          <cell r="D1" t="str">
            <v>Колвер-еп</v>
          </cell>
          <cell r="E1" t="str">
            <v>Бриньоли-р</v>
          </cell>
          <cell r="F1" t="str">
            <v>Бриньоли-c</v>
          </cell>
          <cell r="G1" t="str">
            <v>Бриньоли-еп</v>
          </cell>
          <cell r="H1" t="str">
            <v>WPP-р</v>
          </cell>
          <cell r="I1" t="str">
            <v>WPP-c</v>
          </cell>
          <cell r="J1" t="str">
            <v>WPP-еп</v>
          </cell>
          <cell r="K1" t="str">
            <v>SALA1974-оп</v>
          </cell>
        </row>
        <row r="2">
          <cell r="A2">
            <v>1900</v>
          </cell>
          <cell r="B2">
            <v>43.8</v>
          </cell>
          <cell r="C2">
            <v>23.7</v>
          </cell>
          <cell r="D2">
            <v>20.099999999999998</v>
          </cell>
          <cell r="K2">
            <v>49.375</v>
          </cell>
        </row>
        <row r="3">
          <cell r="A3">
            <v>1901</v>
          </cell>
          <cell r="B3">
            <v>44</v>
          </cell>
          <cell r="C3">
            <v>23.7</v>
          </cell>
          <cell r="D3">
            <v>20.3</v>
          </cell>
          <cell r="K3">
            <v>47.051816557474687</v>
          </cell>
        </row>
        <row r="4">
          <cell r="A4">
            <v>1902</v>
          </cell>
          <cell r="B4">
            <v>44.4</v>
          </cell>
          <cell r="C4">
            <v>23.7</v>
          </cell>
          <cell r="D4">
            <v>20.7</v>
          </cell>
          <cell r="E4">
            <v>44.7</v>
          </cell>
          <cell r="F4">
            <v>23.7</v>
          </cell>
          <cell r="G4">
            <v>21.000000000000004</v>
          </cell>
          <cell r="K4">
            <v>44.937428896473264</v>
          </cell>
        </row>
        <row r="5">
          <cell r="A5">
            <v>1903</v>
          </cell>
          <cell r="B5">
            <v>45</v>
          </cell>
          <cell r="C5">
            <v>23.7</v>
          </cell>
          <cell r="D5">
            <v>21.3</v>
          </cell>
          <cell r="E5">
            <v>45.528799999999997</v>
          </cell>
          <cell r="F5">
            <v>23.661300000000001</v>
          </cell>
          <cell r="G5">
            <v>21.867499999999996</v>
          </cell>
          <cell r="K5">
            <v>22.863364180729452</v>
          </cell>
        </row>
        <row r="6">
          <cell r="A6">
            <v>1904</v>
          </cell>
          <cell r="B6">
            <v>45.8</v>
          </cell>
          <cell r="C6">
            <v>23.8</v>
          </cell>
          <cell r="D6">
            <v>21.999999999999996</v>
          </cell>
          <cell r="E6">
            <v>46.290399999999998</v>
          </cell>
          <cell r="F6">
            <v>23.6173</v>
          </cell>
          <cell r="G6">
            <v>22.673099999999998</v>
          </cell>
          <cell r="K6">
            <v>25.545502927088876</v>
          </cell>
        </row>
        <row r="7">
          <cell r="A7">
            <v>1905</v>
          </cell>
          <cell r="B7">
            <v>46.8</v>
          </cell>
          <cell r="C7">
            <v>23.8</v>
          </cell>
          <cell r="D7">
            <v>22.999999999999996</v>
          </cell>
          <cell r="E7">
            <v>46.9176</v>
          </cell>
          <cell r="F7">
            <v>23.5626</v>
          </cell>
          <cell r="G7">
            <v>23.355</v>
          </cell>
          <cell r="K7">
            <v>26.984950700570835</v>
          </cell>
        </row>
        <row r="8">
          <cell r="A8">
            <v>1906</v>
          </cell>
          <cell r="B8">
            <v>47.5</v>
          </cell>
          <cell r="C8">
            <v>23.7</v>
          </cell>
          <cell r="D8">
            <v>23.8</v>
          </cell>
          <cell r="E8">
            <v>47.343200000000003</v>
          </cell>
          <cell r="F8">
            <v>23.491900000000001</v>
          </cell>
          <cell r="G8">
            <v>23.851300000000002</v>
          </cell>
          <cell r="K8">
            <v>27.791814047498736</v>
          </cell>
        </row>
        <row r="9">
          <cell r="A9">
            <v>1907</v>
          </cell>
          <cell r="B9">
            <v>47.8</v>
          </cell>
          <cell r="C9">
            <v>23.5</v>
          </cell>
          <cell r="D9">
            <v>24.299999999999997</v>
          </cell>
          <cell r="E9">
            <v>47.5</v>
          </cell>
          <cell r="F9">
            <v>23.4</v>
          </cell>
          <cell r="G9">
            <v>24.1</v>
          </cell>
          <cell r="K9">
            <v>28.515240904621436</v>
          </cell>
        </row>
        <row r="10">
          <cell r="A10">
            <v>1908</v>
          </cell>
          <cell r="B10">
            <v>47.7</v>
          </cell>
          <cell r="C10">
            <v>23.1</v>
          </cell>
          <cell r="D10">
            <v>24.6</v>
          </cell>
          <cell r="E10">
            <v>47.331400000000002</v>
          </cell>
          <cell r="F10">
            <v>23.1252</v>
          </cell>
          <cell r="G10">
            <v>24.206200000000003</v>
          </cell>
          <cell r="K10">
            <v>29.636711281070745</v>
          </cell>
        </row>
        <row r="11">
          <cell r="A11">
            <v>1909</v>
          </cell>
          <cell r="B11">
            <v>47.2</v>
          </cell>
          <cell r="C11">
            <v>22.5</v>
          </cell>
          <cell r="D11">
            <v>24.700000000000003</v>
          </cell>
          <cell r="E11">
            <v>46.890300000000003</v>
          </cell>
          <cell r="F11">
            <v>22.620899999999999</v>
          </cell>
          <cell r="G11">
            <v>24.269400000000005</v>
          </cell>
          <cell r="K11">
            <v>30.176415970287838</v>
          </cell>
        </row>
        <row r="12">
          <cell r="A12">
            <v>1910</v>
          </cell>
          <cell r="B12">
            <v>46.4</v>
          </cell>
          <cell r="C12">
            <v>21.8</v>
          </cell>
          <cell r="D12">
            <v>24.599999999999998</v>
          </cell>
          <cell r="E12">
            <v>46.273400000000002</v>
          </cell>
          <cell r="F12">
            <v>22.053899999999999</v>
          </cell>
          <cell r="G12">
            <v>24.219500000000004</v>
          </cell>
          <cell r="K12">
            <v>30.64443442992339</v>
          </cell>
        </row>
        <row r="13">
          <cell r="A13">
            <v>1911</v>
          </cell>
          <cell r="B13">
            <v>45.6</v>
          </cell>
          <cell r="C13">
            <v>21.3</v>
          </cell>
          <cell r="D13">
            <v>24.3</v>
          </cell>
          <cell r="E13">
            <v>45.5777</v>
          </cell>
          <cell r="F13">
            <v>21.5913</v>
          </cell>
          <cell r="G13">
            <v>23.9864</v>
          </cell>
          <cell r="K13">
            <v>31.04503716659379</v>
          </cell>
        </row>
        <row r="14">
          <cell r="A14">
            <v>1912</v>
          </cell>
          <cell r="B14">
            <v>44.7</v>
          </cell>
          <cell r="C14">
            <v>21.1</v>
          </cell>
          <cell r="D14">
            <v>23.6</v>
          </cell>
          <cell r="E14">
            <v>44.9</v>
          </cell>
          <cell r="F14">
            <v>21.4</v>
          </cell>
          <cell r="G14">
            <v>23.5</v>
          </cell>
          <cell r="K14">
            <v>23.324851569126377</v>
          </cell>
        </row>
        <row r="15">
          <cell r="A15">
            <v>1913</v>
          </cell>
          <cell r="B15">
            <v>43.9</v>
          </cell>
          <cell r="C15">
            <v>21.2</v>
          </cell>
          <cell r="D15">
            <v>22.7</v>
          </cell>
          <cell r="E15">
            <v>44.195900000000002</v>
          </cell>
          <cell r="F15">
            <v>21.493600000000001</v>
          </cell>
          <cell r="G15">
            <v>22.702300000000001</v>
          </cell>
          <cell r="K15">
            <v>38.95565685868214</v>
          </cell>
        </row>
        <row r="16">
          <cell r="A16">
            <v>1914</v>
          </cell>
          <cell r="B16">
            <v>43.1</v>
          </cell>
          <cell r="C16">
            <v>21.5</v>
          </cell>
          <cell r="D16">
            <v>21.6</v>
          </cell>
          <cell r="E16">
            <v>43.387300000000003</v>
          </cell>
          <cell r="F16">
            <v>21.716799999999999</v>
          </cell>
          <cell r="G16">
            <v>21.670500000000004</v>
          </cell>
          <cell r="K16">
            <v>31.112883925009971</v>
          </cell>
        </row>
        <row r="17">
          <cell r="A17">
            <v>1915</v>
          </cell>
          <cell r="B17">
            <v>42.3</v>
          </cell>
          <cell r="C17">
            <v>22.1</v>
          </cell>
          <cell r="D17">
            <v>20.199999999999996</v>
          </cell>
          <cell r="E17">
            <v>42.520800000000001</v>
          </cell>
          <cell r="F17">
            <v>21.9832</v>
          </cell>
          <cell r="G17">
            <v>20.537600000000001</v>
          </cell>
          <cell r="K17">
            <v>30.56092843326886</v>
          </cell>
        </row>
        <row r="18">
          <cell r="A18">
            <v>1916</v>
          </cell>
          <cell r="B18">
            <v>41.5</v>
          </cell>
          <cell r="C18">
            <v>22.4</v>
          </cell>
          <cell r="D18">
            <v>19.100000000000001</v>
          </cell>
          <cell r="E18">
            <v>41.642899999999997</v>
          </cell>
          <cell r="F18">
            <v>22.206399999999999</v>
          </cell>
          <cell r="G18">
            <v>19.436499999999999</v>
          </cell>
          <cell r="K18">
            <v>30.780780780780781</v>
          </cell>
        </row>
        <row r="19">
          <cell r="A19">
            <v>1917</v>
          </cell>
          <cell r="B19">
            <v>40.700000000000003</v>
          </cell>
          <cell r="C19">
            <v>22.5</v>
          </cell>
          <cell r="D19">
            <v>18.200000000000003</v>
          </cell>
          <cell r="E19">
            <v>40.799999999999997</v>
          </cell>
          <cell r="F19">
            <v>22.3</v>
          </cell>
          <cell r="G19">
            <v>18.499999999999996</v>
          </cell>
          <cell r="K19">
            <v>29.861616897305172</v>
          </cell>
        </row>
        <row r="20">
          <cell r="A20">
            <v>1918</v>
          </cell>
          <cell r="B20">
            <v>39.9</v>
          </cell>
          <cell r="C20">
            <v>22.2</v>
          </cell>
          <cell r="D20">
            <v>17.7</v>
          </cell>
          <cell r="E20">
            <v>39.992100000000001</v>
          </cell>
          <cell r="F20">
            <v>22.0989</v>
          </cell>
          <cell r="G20">
            <v>17.8932</v>
          </cell>
          <cell r="K20">
            <v>29.702970297029704</v>
          </cell>
        </row>
        <row r="21">
          <cell r="A21">
            <v>1919</v>
          </cell>
          <cell r="B21">
            <v>39.200000000000003</v>
          </cell>
          <cell r="C21">
            <v>21.8</v>
          </cell>
          <cell r="D21">
            <v>17.400000000000002</v>
          </cell>
          <cell r="E21">
            <v>39.188000000000002</v>
          </cell>
          <cell r="F21">
            <v>21.576599999999999</v>
          </cell>
          <cell r="G21">
            <v>17.611400000000003</v>
          </cell>
          <cell r="K21">
            <v>29.189560439560438</v>
          </cell>
        </row>
        <row r="22">
          <cell r="A22">
            <v>1920</v>
          </cell>
          <cell r="B22">
            <v>38.4</v>
          </cell>
          <cell r="C22">
            <v>21</v>
          </cell>
          <cell r="D22">
            <v>17.399999999999999</v>
          </cell>
          <cell r="E22">
            <v>38.387999999999998</v>
          </cell>
          <cell r="F22">
            <v>20.854900000000001</v>
          </cell>
          <cell r="G22">
            <v>17.533099999999997</v>
          </cell>
          <cell r="K22">
            <v>28.695362028695364</v>
          </cell>
        </row>
        <row r="23">
          <cell r="A23">
            <v>1921</v>
          </cell>
          <cell r="B23">
            <v>37.6</v>
          </cell>
          <cell r="C23">
            <v>20.2</v>
          </cell>
          <cell r="D23">
            <v>17.400000000000002</v>
          </cell>
          <cell r="E23">
            <v>37.591900000000003</v>
          </cell>
          <cell r="F23">
            <v>20.055499999999999</v>
          </cell>
          <cell r="G23">
            <v>17.536400000000004</v>
          </cell>
          <cell r="K23">
            <v>28.219266947778138</v>
          </cell>
        </row>
        <row r="24">
          <cell r="A24">
            <v>1922</v>
          </cell>
          <cell r="B24">
            <v>36.799999999999997</v>
          </cell>
          <cell r="C24">
            <v>19.399999999999999</v>
          </cell>
          <cell r="D24">
            <v>17.399999999999999</v>
          </cell>
          <cell r="E24">
            <v>36.799999999999997</v>
          </cell>
          <cell r="F24">
            <v>19.3</v>
          </cell>
          <cell r="G24">
            <v>17.499999999999996</v>
          </cell>
          <cell r="K24">
            <v>27.444794952681388</v>
          </cell>
        </row>
        <row r="25">
          <cell r="A25">
            <v>1923</v>
          </cell>
          <cell r="B25">
            <v>35.9</v>
          </cell>
          <cell r="C25">
            <v>18.5</v>
          </cell>
          <cell r="D25">
            <v>17.399999999999999</v>
          </cell>
          <cell r="E25">
            <v>35.961500000000001</v>
          </cell>
          <cell r="F25">
            <v>18.513200000000001</v>
          </cell>
          <cell r="G25">
            <v>17.4483</v>
          </cell>
          <cell r="K25">
            <v>27.018728891618053</v>
          </cell>
        </row>
        <row r="26">
          <cell r="A26">
            <v>1924</v>
          </cell>
          <cell r="B26">
            <v>35</v>
          </cell>
          <cell r="C26">
            <v>17.600000000000001</v>
          </cell>
          <cell r="D26">
            <v>17.399999999999999</v>
          </cell>
          <cell r="E26">
            <v>35.076300000000003</v>
          </cell>
          <cell r="F26">
            <v>17.607199999999999</v>
          </cell>
          <cell r="G26">
            <v>17.469100000000005</v>
          </cell>
          <cell r="K26">
            <v>26.00896860986547</v>
          </cell>
        </row>
        <row r="27">
          <cell r="A27">
            <v>1925</v>
          </cell>
          <cell r="B27">
            <v>34.200000000000003</v>
          </cell>
          <cell r="C27">
            <v>16.600000000000001</v>
          </cell>
          <cell r="D27">
            <v>17.600000000000001</v>
          </cell>
          <cell r="E27">
            <v>34.220399999999998</v>
          </cell>
          <cell r="F27">
            <v>16.6845</v>
          </cell>
          <cell r="G27">
            <v>17.535899999999998</v>
          </cell>
          <cell r="K27">
            <v>25.34965034965035</v>
          </cell>
        </row>
        <row r="28">
          <cell r="A28">
            <v>1926</v>
          </cell>
          <cell r="B28">
            <v>33.4</v>
          </cell>
          <cell r="C28">
            <v>15.8</v>
          </cell>
          <cell r="D28">
            <v>17.599999999999998</v>
          </cell>
          <cell r="E28">
            <v>33.469700000000003</v>
          </cell>
          <cell r="F28">
            <v>15.847899999999999</v>
          </cell>
          <cell r="G28">
            <v>17.621800000000004</v>
          </cell>
          <cell r="K28">
            <v>24.722932651321397</v>
          </cell>
        </row>
        <row r="29">
          <cell r="A29">
            <v>1927</v>
          </cell>
          <cell r="B29">
            <v>32.799999999999997</v>
          </cell>
          <cell r="C29">
            <v>15.1</v>
          </cell>
          <cell r="D29">
            <v>17.699999999999996</v>
          </cell>
          <cell r="E29">
            <v>32.9</v>
          </cell>
          <cell r="F29">
            <v>15.2</v>
          </cell>
          <cell r="G29">
            <v>17.7</v>
          </cell>
          <cell r="K29">
            <v>-27.45424292845258</v>
          </cell>
        </row>
        <row r="30">
          <cell r="A30">
            <v>1928</v>
          </cell>
          <cell r="B30">
            <v>32.299999999999997</v>
          </cell>
          <cell r="C30">
            <v>14.5</v>
          </cell>
          <cell r="D30">
            <v>17.799999999999997</v>
          </cell>
          <cell r="E30">
            <v>32.459299999999999</v>
          </cell>
          <cell r="F30">
            <v>14.695399999999999</v>
          </cell>
          <cell r="G30">
            <v>17.7639</v>
          </cell>
          <cell r="K30">
            <v>19.960079840319363</v>
          </cell>
        </row>
        <row r="31">
          <cell r="A31">
            <v>1929</v>
          </cell>
          <cell r="B31">
            <v>32</v>
          </cell>
          <cell r="C31">
            <v>14.1</v>
          </cell>
          <cell r="D31">
            <v>17.899999999999999</v>
          </cell>
          <cell r="E31">
            <v>32.058599999999998</v>
          </cell>
          <cell r="F31">
            <v>14.2333</v>
          </cell>
          <cell r="G31">
            <v>17.825299999999999</v>
          </cell>
          <cell r="K31">
            <v>19.569471624266146</v>
          </cell>
        </row>
        <row r="32">
          <cell r="A32">
            <v>1930</v>
          </cell>
          <cell r="B32">
            <v>31.7</v>
          </cell>
          <cell r="C32">
            <v>13.7</v>
          </cell>
          <cell r="D32">
            <v>18</v>
          </cell>
          <cell r="E32">
            <v>31.7181</v>
          </cell>
          <cell r="F32">
            <v>13.833500000000001</v>
          </cell>
          <cell r="G32">
            <v>17.884599999999999</v>
          </cell>
          <cell r="K32">
            <v>86.372360844529751</v>
          </cell>
        </row>
        <row r="33">
          <cell r="A33">
            <v>1931</v>
          </cell>
          <cell r="B33">
            <v>31.5</v>
          </cell>
          <cell r="C33">
            <v>13.4</v>
          </cell>
          <cell r="D33">
            <v>18.100000000000001</v>
          </cell>
          <cell r="E33">
            <v>31.458500000000001</v>
          </cell>
          <cell r="F33">
            <v>13.5158</v>
          </cell>
          <cell r="G33">
            <v>17.942700000000002</v>
          </cell>
          <cell r="K33">
            <v>0</v>
          </cell>
        </row>
        <row r="34">
          <cell r="A34">
            <v>1932</v>
          </cell>
          <cell r="B34">
            <v>31.3</v>
          </cell>
          <cell r="C34">
            <v>13.2</v>
          </cell>
          <cell r="D34">
            <v>18.100000000000001</v>
          </cell>
          <cell r="E34">
            <v>31.3</v>
          </cell>
          <cell r="F34">
            <v>13.3</v>
          </cell>
          <cell r="G34">
            <v>18</v>
          </cell>
          <cell r="K34">
            <v>0</v>
          </cell>
        </row>
        <row r="35">
          <cell r="A35">
            <v>1933</v>
          </cell>
          <cell r="B35">
            <v>31.1</v>
          </cell>
          <cell r="C35">
            <v>13.1</v>
          </cell>
          <cell r="D35">
            <v>18</v>
          </cell>
          <cell r="E35">
            <v>31.2041</v>
          </cell>
          <cell r="F35">
            <v>13.172000000000001</v>
          </cell>
          <cell r="G35">
            <v>18.0321</v>
          </cell>
          <cell r="K35">
            <v>19.434628975265017</v>
          </cell>
        </row>
        <row r="36">
          <cell r="A36">
            <v>1934</v>
          </cell>
          <cell r="B36">
            <v>30.9</v>
          </cell>
          <cell r="C36">
            <v>13</v>
          </cell>
          <cell r="D36">
            <v>17.899999999999999</v>
          </cell>
          <cell r="E36">
            <v>31.121600000000001</v>
          </cell>
          <cell r="F36">
            <v>13.086</v>
          </cell>
          <cell r="G36">
            <v>18.035600000000002</v>
          </cell>
          <cell r="K36">
            <v>7.9227531567219609</v>
          </cell>
        </row>
        <row r="37">
          <cell r="A37">
            <v>1935</v>
          </cell>
          <cell r="B37">
            <v>30.7</v>
          </cell>
          <cell r="C37">
            <v>13</v>
          </cell>
          <cell r="D37">
            <v>17.7</v>
          </cell>
          <cell r="E37">
            <v>31.057099999999998</v>
          </cell>
          <cell r="F37">
            <v>13.013999999999999</v>
          </cell>
          <cell r="G37">
            <v>18.043099999999999</v>
          </cell>
          <cell r="K37">
            <v>9.3343158929010066</v>
          </cell>
        </row>
        <row r="38">
          <cell r="A38">
            <v>1936</v>
          </cell>
          <cell r="B38">
            <v>30.7</v>
          </cell>
          <cell r="C38">
            <v>12.9</v>
          </cell>
          <cell r="D38">
            <v>17.799999999999997</v>
          </cell>
          <cell r="E38">
            <v>31.015000000000001</v>
          </cell>
          <cell r="F38">
            <v>12.928000000000001</v>
          </cell>
          <cell r="G38">
            <v>18.087</v>
          </cell>
          <cell r="K38">
            <v>13.628620102214651</v>
          </cell>
        </row>
        <row r="39">
          <cell r="A39">
            <v>1937</v>
          </cell>
          <cell r="B39">
            <v>30.8</v>
          </cell>
          <cell r="C39">
            <v>12.8</v>
          </cell>
          <cell r="D39">
            <v>18</v>
          </cell>
          <cell r="E39">
            <v>31</v>
          </cell>
          <cell r="F39">
            <v>12.8</v>
          </cell>
          <cell r="G39">
            <v>18.2</v>
          </cell>
          <cell r="K39">
            <v>15.126050420168067</v>
          </cell>
        </row>
        <row r="40">
          <cell r="A40">
            <v>1938</v>
          </cell>
          <cell r="B40">
            <v>31</v>
          </cell>
          <cell r="C40">
            <v>12.5</v>
          </cell>
          <cell r="D40">
            <v>18.5</v>
          </cell>
          <cell r="E40">
            <v>31.103999999999999</v>
          </cell>
          <cell r="F40">
            <v>12.5663</v>
          </cell>
          <cell r="G40">
            <v>18.537700000000001</v>
          </cell>
          <cell r="K40">
            <v>5.9129612109744558</v>
          </cell>
        </row>
        <row r="41">
          <cell r="A41">
            <v>1939</v>
          </cell>
          <cell r="B41">
            <v>31.3</v>
          </cell>
          <cell r="C41">
            <v>12.2</v>
          </cell>
          <cell r="D41">
            <v>19.100000000000001</v>
          </cell>
          <cell r="E41">
            <v>31.352</v>
          </cell>
          <cell r="F41">
            <v>12.212899999999999</v>
          </cell>
          <cell r="G41">
            <v>19.139099999999999</v>
          </cell>
          <cell r="K41">
            <v>8.9348695038796144</v>
          </cell>
        </row>
        <row r="42">
          <cell r="A42">
            <v>1940</v>
          </cell>
          <cell r="B42">
            <v>31.8</v>
          </cell>
          <cell r="C42">
            <v>11.8</v>
          </cell>
          <cell r="D42">
            <v>20</v>
          </cell>
          <cell r="E42">
            <v>31.648</v>
          </cell>
          <cell r="F42">
            <v>11.7864</v>
          </cell>
          <cell r="G42">
            <v>19.861599999999999</v>
          </cell>
          <cell r="K42">
            <v>8.1566068515497552</v>
          </cell>
        </row>
        <row r="43">
          <cell r="A43">
            <v>1941</v>
          </cell>
          <cell r="B43">
            <v>32.1</v>
          </cell>
          <cell r="C43">
            <v>11.4</v>
          </cell>
          <cell r="D43">
            <v>20.700000000000003</v>
          </cell>
          <cell r="E43">
            <v>31.896000000000001</v>
          </cell>
          <cell r="F43">
            <v>11.333299999999999</v>
          </cell>
          <cell r="G43">
            <v>20.5627</v>
          </cell>
          <cell r="K43">
            <v>10.6333795654184</v>
          </cell>
        </row>
        <row r="44">
          <cell r="A44">
            <v>1942</v>
          </cell>
          <cell r="B44">
            <v>32.1</v>
          </cell>
          <cell r="C44">
            <v>11</v>
          </cell>
          <cell r="D44">
            <v>21.1</v>
          </cell>
          <cell r="E44">
            <v>32</v>
          </cell>
          <cell r="F44">
            <v>10.9</v>
          </cell>
          <cell r="G44">
            <v>21.1</v>
          </cell>
          <cell r="K44">
            <v>93.092406221408964</v>
          </cell>
        </row>
        <row r="45">
          <cell r="A45">
            <v>1943</v>
          </cell>
          <cell r="B45">
            <v>31.9</v>
          </cell>
          <cell r="C45">
            <v>10.5</v>
          </cell>
          <cell r="D45">
            <v>21.4</v>
          </cell>
          <cell r="E45">
            <v>31.798400000000001</v>
          </cell>
          <cell r="F45">
            <v>10.4625</v>
          </cell>
          <cell r="G45">
            <v>21.335900000000002</v>
          </cell>
          <cell r="K45">
            <v>14.64741577735928</v>
          </cell>
        </row>
        <row r="46">
          <cell r="A46">
            <v>1944</v>
          </cell>
          <cell r="B46">
            <v>31.5</v>
          </cell>
          <cell r="C46">
            <v>9.9</v>
          </cell>
          <cell r="D46">
            <v>21.6</v>
          </cell>
          <cell r="E46">
            <v>31.311199999999999</v>
          </cell>
          <cell r="F46">
            <v>9.9888999999999992</v>
          </cell>
          <cell r="G46">
            <v>21.322299999999998</v>
          </cell>
          <cell r="K46">
            <v>17.116931326046608</v>
          </cell>
        </row>
        <row r="47">
          <cell r="A47">
            <v>1945</v>
          </cell>
          <cell r="B47">
            <v>30.8</v>
          </cell>
          <cell r="C47">
            <v>9.4</v>
          </cell>
          <cell r="D47">
            <v>21.4</v>
          </cell>
          <cell r="E47">
            <v>30.7148</v>
          </cell>
          <cell r="F47">
            <v>9.5139999999999993</v>
          </cell>
          <cell r="G47">
            <v>21.200800000000001</v>
          </cell>
          <cell r="K47">
            <v>21.695052716950528</v>
          </cell>
        </row>
        <row r="48">
          <cell r="A48">
            <v>1946</v>
          </cell>
          <cell r="B48">
            <v>30.3</v>
          </cell>
          <cell r="C48">
            <v>8.9</v>
          </cell>
          <cell r="D48">
            <v>21.4</v>
          </cell>
          <cell r="E48">
            <v>30.185600000000001</v>
          </cell>
          <cell r="F48">
            <v>9.0726999999999993</v>
          </cell>
          <cell r="G48">
            <v>21.112900000000003</v>
          </cell>
          <cell r="K48">
            <v>22.425084342131374</v>
          </cell>
        </row>
        <row r="49">
          <cell r="A49">
            <v>1947</v>
          </cell>
          <cell r="B49">
            <v>29.9</v>
          </cell>
          <cell r="C49">
            <v>8.6</v>
          </cell>
          <cell r="D49">
            <v>21.299999999999997</v>
          </cell>
          <cell r="E49">
            <v>29.9</v>
          </cell>
          <cell r="F49">
            <v>8.6999999999999993</v>
          </cell>
          <cell r="G49">
            <v>21.2</v>
          </cell>
          <cell r="K49">
            <v>22.51552795031056</v>
          </cell>
        </row>
        <row r="50">
          <cell r="A50">
            <v>1948</v>
          </cell>
          <cell r="B50">
            <v>29.6</v>
          </cell>
          <cell r="C50">
            <v>8.4</v>
          </cell>
          <cell r="D50">
            <v>21.200000000000003</v>
          </cell>
          <cell r="E50">
            <v>29.8186</v>
          </cell>
          <cell r="F50">
            <v>8.3666999999999998</v>
          </cell>
          <cell r="G50">
            <v>21.451900000000002</v>
          </cell>
          <cell r="K50">
            <v>22.399392558845861</v>
          </cell>
        </row>
        <row r="51">
          <cell r="A51">
            <v>1949</v>
          </cell>
          <cell r="B51">
            <v>29.5</v>
          </cell>
          <cell r="C51">
            <v>8.3000000000000007</v>
          </cell>
          <cell r="D51">
            <v>21.2</v>
          </cell>
          <cell r="E51">
            <v>29.7698</v>
          </cell>
          <cell r="F51">
            <v>8.0403000000000002</v>
          </cell>
          <cell r="G51">
            <v>21.729500000000002</v>
          </cell>
          <cell r="K51">
            <v>22.651318232454511</v>
          </cell>
        </row>
        <row r="52">
          <cell r="A52">
            <v>1950</v>
          </cell>
          <cell r="E52">
            <v>29.7316</v>
          </cell>
          <cell r="F52">
            <v>7.7506000000000004</v>
          </cell>
          <cell r="G52">
            <v>21.981000000000002</v>
          </cell>
          <cell r="H52">
            <v>32.1</v>
          </cell>
          <cell r="I52">
            <v>11.2</v>
          </cell>
          <cell r="J52">
            <v>20.900000000000002</v>
          </cell>
          <cell r="K52">
            <v>20.515613652868556</v>
          </cell>
        </row>
        <row r="53">
          <cell r="A53">
            <v>1951</v>
          </cell>
          <cell r="E53">
            <v>29.682300000000001</v>
          </cell>
          <cell r="F53">
            <v>7.5273000000000003</v>
          </cell>
          <cell r="G53">
            <v>22.155000000000001</v>
          </cell>
          <cell r="H53">
            <v>31.4</v>
          </cell>
          <cell r="I53">
            <v>10.9</v>
          </cell>
          <cell r="J53">
            <v>20.5</v>
          </cell>
          <cell r="K53">
            <v>18.502045899306172</v>
          </cell>
        </row>
        <row r="54">
          <cell r="A54">
            <v>1952</v>
          </cell>
          <cell r="E54">
            <v>29.6</v>
          </cell>
          <cell r="F54">
            <v>7.4</v>
          </cell>
          <cell r="G54">
            <v>22.200000000000003</v>
          </cell>
          <cell r="H54">
            <v>31.3</v>
          </cell>
          <cell r="I54">
            <v>10.5</v>
          </cell>
          <cell r="J54">
            <v>20.8</v>
          </cell>
          <cell r="K54">
            <v>26.375545851528383</v>
          </cell>
        </row>
        <row r="55">
          <cell r="A55">
            <v>1953</v>
          </cell>
          <cell r="E55">
            <v>29.292899999999999</v>
          </cell>
          <cell r="F55">
            <v>7.3348000000000004</v>
          </cell>
          <cell r="G55">
            <v>21.958099999999998</v>
          </cell>
          <cell r="H55">
            <v>31.2</v>
          </cell>
          <cell r="I55">
            <v>10.3</v>
          </cell>
          <cell r="J55">
            <v>20.9</v>
          </cell>
          <cell r="K55">
            <v>21.102791014295438</v>
          </cell>
        </row>
        <row r="56">
          <cell r="A56">
            <v>1954</v>
          </cell>
          <cell r="E56">
            <v>28.713999999999999</v>
          </cell>
          <cell r="F56">
            <v>7.2797000000000001</v>
          </cell>
          <cell r="G56">
            <v>21.4343</v>
          </cell>
          <cell r="H56">
            <v>31.2</v>
          </cell>
          <cell r="I56">
            <v>10</v>
          </cell>
          <cell r="J56">
            <v>21.2</v>
          </cell>
          <cell r="K56">
            <v>21.166666666666668</v>
          </cell>
        </row>
        <row r="57">
          <cell r="A57">
            <v>1955</v>
          </cell>
          <cell r="E57">
            <v>28.058599999999998</v>
          </cell>
          <cell r="F57">
            <v>7.2370999999999999</v>
          </cell>
          <cell r="G57">
            <v>20.8215</v>
          </cell>
          <cell r="H57">
            <v>31.1</v>
          </cell>
          <cell r="I57">
            <v>9.8000000000000007</v>
          </cell>
          <cell r="J57">
            <v>21.3</v>
          </cell>
          <cell r="K57">
            <v>21.054349600130571</v>
          </cell>
        </row>
        <row r="58">
          <cell r="A58">
            <v>1956</v>
          </cell>
          <cell r="E58">
            <v>27.522200000000002</v>
          </cell>
          <cell r="F58">
            <v>7.2096999999999998</v>
          </cell>
          <cell r="G58">
            <v>20.3125</v>
          </cell>
          <cell r="H58">
            <v>31.1</v>
          </cell>
          <cell r="I58">
            <v>9.6</v>
          </cell>
          <cell r="J58">
            <v>21.5</v>
          </cell>
          <cell r="K58">
            <v>21.099744245524295</v>
          </cell>
        </row>
        <row r="59">
          <cell r="A59">
            <v>1957</v>
          </cell>
          <cell r="E59">
            <v>27.3</v>
          </cell>
          <cell r="F59">
            <v>7.2</v>
          </cell>
          <cell r="G59">
            <v>20.100000000000001</v>
          </cell>
          <cell r="H59">
            <v>31.1</v>
          </cell>
          <cell r="I59">
            <v>9.4</v>
          </cell>
          <cell r="J59">
            <v>21.700000000000003</v>
          </cell>
          <cell r="K59">
            <v>21.133375078271758</v>
          </cell>
        </row>
        <row r="60">
          <cell r="A60">
            <v>1958</v>
          </cell>
          <cell r="E60">
            <v>28.007200000000001</v>
          </cell>
          <cell r="F60">
            <v>7.2103999999999999</v>
          </cell>
          <cell r="G60">
            <v>20.796800000000001</v>
          </cell>
          <cell r="H60">
            <v>31.2</v>
          </cell>
          <cell r="I60">
            <v>9.1999999999999993</v>
          </cell>
          <cell r="J60">
            <v>22</v>
          </cell>
          <cell r="K60">
            <v>21.155909857427563</v>
          </cell>
        </row>
        <row r="61">
          <cell r="A61">
            <v>1959</v>
          </cell>
          <cell r="E61">
            <v>29.6936</v>
          </cell>
          <cell r="F61">
            <v>7.2351999999999999</v>
          </cell>
          <cell r="G61">
            <v>22.458400000000001</v>
          </cell>
          <cell r="H61">
            <v>31.9</v>
          </cell>
          <cell r="I61">
            <v>9.1</v>
          </cell>
          <cell r="J61">
            <v>22.799999999999997</v>
          </cell>
          <cell r="K61">
            <v>20.417354751538809</v>
          </cell>
        </row>
        <row r="62">
          <cell r="A62">
            <v>1960</v>
          </cell>
          <cell r="E62">
            <v>31.706399999999999</v>
          </cell>
          <cell r="F62">
            <v>7.2648000000000001</v>
          </cell>
          <cell r="G62">
            <v>24.441599999999998</v>
          </cell>
          <cell r="H62">
            <v>32.799999999999997</v>
          </cell>
          <cell r="I62">
            <v>8.9</v>
          </cell>
          <cell r="J62">
            <v>23.9</v>
          </cell>
          <cell r="K62">
            <v>20.008827423863469</v>
          </cell>
        </row>
        <row r="63">
          <cell r="A63">
            <v>1961</v>
          </cell>
          <cell r="E63">
            <v>33.392800000000001</v>
          </cell>
          <cell r="F63">
            <v>7.2896000000000001</v>
          </cell>
          <cell r="G63">
            <v>26.103200000000001</v>
          </cell>
          <cell r="H63">
            <v>33.700000000000003</v>
          </cell>
          <cell r="I63">
            <v>8.8000000000000007</v>
          </cell>
          <cell r="J63">
            <v>24.900000000000002</v>
          </cell>
          <cell r="K63">
            <v>20.914467041684695</v>
          </cell>
        </row>
        <row r="64">
          <cell r="A64">
            <v>1962</v>
          </cell>
          <cell r="E64">
            <v>34.1</v>
          </cell>
          <cell r="F64">
            <v>7.3</v>
          </cell>
          <cell r="G64">
            <v>26.8</v>
          </cell>
          <cell r="H64">
            <v>34.6</v>
          </cell>
          <cell r="I64">
            <v>8.6</v>
          </cell>
          <cell r="J64">
            <v>26</v>
          </cell>
          <cell r="K64">
            <v>20.627295846284262</v>
          </cell>
        </row>
        <row r="65">
          <cell r="A65">
            <v>1963</v>
          </cell>
          <cell r="E65">
            <v>34.010399999999997</v>
          </cell>
          <cell r="F65">
            <v>7.2888000000000002</v>
          </cell>
          <cell r="G65">
            <v>26.721599999999995</v>
          </cell>
          <cell r="H65">
            <v>35.4</v>
          </cell>
          <cell r="I65">
            <v>8.6</v>
          </cell>
          <cell r="J65">
            <v>26.799999999999997</v>
          </cell>
          <cell r="K65">
            <v>20.487264673311184</v>
          </cell>
        </row>
        <row r="66">
          <cell r="A66">
            <v>1964</v>
          </cell>
          <cell r="E66">
            <v>33.767200000000003</v>
          </cell>
          <cell r="F66">
            <v>7.2584</v>
          </cell>
          <cell r="G66">
            <v>26.508800000000001</v>
          </cell>
          <cell r="H66">
            <v>34.9</v>
          </cell>
          <cell r="I66">
            <v>8.3000000000000007</v>
          </cell>
          <cell r="J66">
            <v>26.599999999999998</v>
          </cell>
          <cell r="K66">
            <v>20.482908301682041</v>
          </cell>
        </row>
        <row r="67">
          <cell r="A67">
            <v>1965</v>
          </cell>
          <cell r="E67">
            <v>33.408799999999999</v>
          </cell>
          <cell r="F67">
            <v>7.2135999999999996</v>
          </cell>
          <cell r="G67">
            <v>26.1952</v>
          </cell>
          <cell r="H67">
            <v>34.4</v>
          </cell>
          <cell r="I67">
            <v>8.1</v>
          </cell>
          <cell r="J67">
            <v>26.299999999999997</v>
          </cell>
          <cell r="K67">
            <v>20.204705569586601</v>
          </cell>
        </row>
        <row r="68">
          <cell r="A68">
            <v>1966</v>
          </cell>
          <cell r="E68">
            <v>32.973599999999998</v>
          </cell>
          <cell r="F68">
            <v>7.1592000000000002</v>
          </cell>
          <cell r="G68">
            <v>25.814399999999999</v>
          </cell>
          <cell r="H68">
            <v>33.4</v>
          </cell>
          <cell r="I68">
            <v>7.9</v>
          </cell>
          <cell r="J68">
            <v>25.5</v>
          </cell>
          <cell r="K68">
            <v>20.195439739413679</v>
          </cell>
        </row>
        <row r="69">
          <cell r="A69">
            <v>1967</v>
          </cell>
          <cell r="E69">
            <v>32.5</v>
          </cell>
          <cell r="F69">
            <v>7.1</v>
          </cell>
          <cell r="G69">
            <v>25.4</v>
          </cell>
          <cell r="H69">
            <v>32.5</v>
          </cell>
          <cell r="I69">
            <v>7.7</v>
          </cell>
          <cell r="J69">
            <v>24.8</v>
          </cell>
          <cell r="K69">
            <v>20.051085568326947</v>
          </cell>
        </row>
        <row r="70">
          <cell r="A70">
            <v>1968</v>
          </cell>
          <cell r="H70">
            <v>31.6</v>
          </cell>
          <cell r="I70">
            <v>7.5</v>
          </cell>
          <cell r="J70">
            <v>24.1</v>
          </cell>
          <cell r="K70">
            <v>19.782145987229246</v>
          </cell>
        </row>
        <row r="71">
          <cell r="A71">
            <v>1969</v>
          </cell>
          <cell r="H71">
            <v>31</v>
          </cell>
          <cell r="I71">
            <v>7.3</v>
          </cell>
          <cell r="J71">
            <v>23.7</v>
          </cell>
          <cell r="K71">
            <v>19.88950276243094</v>
          </cell>
        </row>
        <row r="72">
          <cell r="A72">
            <v>1970</v>
          </cell>
          <cell r="H72">
            <v>29.9</v>
          </cell>
          <cell r="I72">
            <v>7</v>
          </cell>
          <cell r="J72">
            <v>22.9</v>
          </cell>
          <cell r="K72">
            <v>19.622005537498495</v>
          </cell>
        </row>
        <row r="73">
          <cell r="A73">
            <v>1971</v>
          </cell>
          <cell r="H73">
            <v>28.5</v>
          </cell>
          <cell r="I73">
            <v>6.8</v>
          </cell>
          <cell r="J73">
            <v>21.7</v>
          </cell>
          <cell r="K73">
            <v>19.598583234946872</v>
          </cell>
        </row>
        <row r="74">
          <cell r="A74">
            <v>1972</v>
          </cell>
          <cell r="H74">
            <v>27.2</v>
          </cell>
          <cell r="I74">
            <v>6.7</v>
          </cell>
          <cell r="J74">
            <v>20.5</v>
          </cell>
        </row>
        <row r="75">
          <cell r="A75">
            <v>1973</v>
          </cell>
          <cell r="H75">
            <v>25.8</v>
          </cell>
          <cell r="I75">
            <v>6.6</v>
          </cell>
          <cell r="J75">
            <v>19.200000000000003</v>
          </cell>
        </row>
        <row r="76">
          <cell r="A76">
            <v>1974</v>
          </cell>
          <cell r="H76">
            <v>24.1</v>
          </cell>
          <cell r="I76">
            <v>6.5</v>
          </cell>
          <cell r="J76">
            <v>17.600000000000001</v>
          </cell>
        </row>
        <row r="77">
          <cell r="A77">
            <v>1975</v>
          </cell>
          <cell r="H77">
            <v>21.6</v>
          </cell>
          <cell r="I77">
            <v>6.4</v>
          </cell>
          <cell r="J77">
            <v>15.200000000000001</v>
          </cell>
        </row>
        <row r="78">
          <cell r="A78">
            <v>1976</v>
          </cell>
          <cell r="H78">
            <v>19.399999999999999</v>
          </cell>
          <cell r="I78">
            <v>6.3</v>
          </cell>
          <cell r="J78">
            <v>13.099999999999998</v>
          </cell>
        </row>
        <row r="79">
          <cell r="A79">
            <v>1977</v>
          </cell>
          <cell r="H79">
            <v>17.3</v>
          </cell>
          <cell r="I79">
            <v>6.2</v>
          </cell>
          <cell r="J79">
            <v>11.100000000000001</v>
          </cell>
        </row>
        <row r="80">
          <cell r="A80">
            <v>1978</v>
          </cell>
          <cell r="H80">
            <v>15.1</v>
          </cell>
          <cell r="I80">
            <v>6.2</v>
          </cell>
          <cell r="J80">
            <v>8.8999999999999986</v>
          </cell>
        </row>
        <row r="81">
          <cell r="A81">
            <v>1979</v>
          </cell>
          <cell r="H81">
            <v>14.6</v>
          </cell>
          <cell r="I81">
            <v>6.3</v>
          </cell>
          <cell r="J81">
            <v>8.3000000000000007</v>
          </cell>
        </row>
        <row r="82">
          <cell r="A82">
            <v>1980</v>
          </cell>
          <cell r="H82">
            <v>13.9</v>
          </cell>
          <cell r="I82">
            <v>6.3</v>
          </cell>
          <cell r="J82">
            <v>7.6000000000000005</v>
          </cell>
        </row>
        <row r="83">
          <cell r="A83">
            <v>1981</v>
          </cell>
          <cell r="H83">
            <v>13.9</v>
          </cell>
          <cell r="I83">
            <v>6.4</v>
          </cell>
          <cell r="J83">
            <v>7.5</v>
          </cell>
        </row>
        <row r="84">
          <cell r="A84">
            <v>1982</v>
          </cell>
          <cell r="H84">
            <v>15.9</v>
          </cell>
          <cell r="I84">
            <v>6.3</v>
          </cell>
          <cell r="J84">
            <v>9.6000000000000014</v>
          </cell>
        </row>
        <row r="85">
          <cell r="A85">
            <v>1983</v>
          </cell>
          <cell r="H85">
            <v>16.5</v>
          </cell>
          <cell r="I85">
            <v>6.3</v>
          </cell>
          <cell r="J85">
            <v>10.199999999999999</v>
          </cell>
        </row>
        <row r="86">
          <cell r="A86">
            <v>1984</v>
          </cell>
          <cell r="H86">
            <v>16.5</v>
          </cell>
          <cell r="I86">
            <v>6.4</v>
          </cell>
          <cell r="J86">
            <v>10.1</v>
          </cell>
        </row>
        <row r="87">
          <cell r="A87">
            <v>1985</v>
          </cell>
          <cell r="H87">
            <v>16.7</v>
          </cell>
          <cell r="I87">
            <v>6.6</v>
          </cell>
          <cell r="J87">
            <v>10.1</v>
          </cell>
        </row>
        <row r="88">
          <cell r="A88">
            <v>1986</v>
          </cell>
          <cell r="H88">
            <v>17</v>
          </cell>
          <cell r="I88">
            <v>6.6</v>
          </cell>
          <cell r="J88">
            <v>10.4</v>
          </cell>
        </row>
        <row r="89">
          <cell r="A89">
            <v>1987</v>
          </cell>
          <cell r="H89">
            <v>17.3</v>
          </cell>
          <cell r="I89">
            <v>6.7</v>
          </cell>
          <cell r="J89">
            <v>10.600000000000001</v>
          </cell>
        </row>
        <row r="90">
          <cell r="A90">
            <v>1988</v>
          </cell>
          <cell r="H90">
            <v>18</v>
          </cell>
          <cell r="I90">
            <v>6.8</v>
          </cell>
          <cell r="J90">
            <v>11.2</v>
          </cell>
        </row>
        <row r="91">
          <cell r="A91">
            <v>1989</v>
          </cell>
          <cell r="H91">
            <v>17.8</v>
          </cell>
          <cell r="I91">
            <v>6.9</v>
          </cell>
          <cell r="J91">
            <v>10.9</v>
          </cell>
        </row>
        <row r="92">
          <cell r="A92">
            <v>1990</v>
          </cell>
          <cell r="H92">
            <v>17.600000000000001</v>
          </cell>
          <cell r="I92">
            <v>7</v>
          </cell>
          <cell r="J92">
            <v>10.600000000000001</v>
          </cell>
        </row>
        <row r="93">
          <cell r="A93">
            <v>1991</v>
          </cell>
          <cell r="H93">
            <v>16.100000000000001</v>
          </cell>
          <cell r="I93">
            <v>7.2</v>
          </cell>
          <cell r="J93">
            <v>8.9000000000000021</v>
          </cell>
        </row>
        <row r="94">
          <cell r="A94">
            <v>1992</v>
          </cell>
          <cell r="H94">
            <v>15</v>
          </cell>
          <cell r="I94">
            <v>7.3</v>
          </cell>
          <cell r="J94">
            <v>7.7</v>
          </cell>
        </row>
        <row r="95">
          <cell r="A95">
            <v>1993</v>
          </cell>
          <cell r="H95">
            <v>14.1</v>
          </cell>
          <cell r="I95">
            <v>7.4</v>
          </cell>
          <cell r="J95">
            <v>6.6999999999999993</v>
          </cell>
        </row>
        <row r="96">
          <cell r="A96">
            <v>1994</v>
          </cell>
          <cell r="H96">
            <v>13.7</v>
          </cell>
          <cell r="I96">
            <v>7.4</v>
          </cell>
          <cell r="J96">
            <v>6.2999999999999989</v>
          </cell>
        </row>
        <row r="97">
          <cell r="A97">
            <v>1995</v>
          </cell>
          <cell r="H97">
            <v>13.5</v>
          </cell>
          <cell r="I97">
            <v>7.4</v>
          </cell>
          <cell r="J97">
            <v>6.1</v>
          </cell>
        </row>
        <row r="98">
          <cell r="A98">
            <v>1996</v>
          </cell>
          <cell r="H98">
            <v>13</v>
          </cell>
          <cell r="I98">
            <v>7.3</v>
          </cell>
          <cell r="J98">
            <v>5.7</v>
          </cell>
        </row>
        <row r="99">
          <cell r="A99">
            <v>1997</v>
          </cell>
          <cell r="H99">
            <v>13.8</v>
          </cell>
          <cell r="I99">
            <v>7.3</v>
          </cell>
          <cell r="J99">
            <v>6.5000000000000009</v>
          </cell>
        </row>
        <row r="100">
          <cell r="A100">
            <v>1998</v>
          </cell>
          <cell r="H100">
            <v>13.7</v>
          </cell>
          <cell r="I100">
            <v>7.2</v>
          </cell>
          <cell r="J100">
            <v>6.4999999999999991</v>
          </cell>
        </row>
        <row r="101">
          <cell r="A101">
            <v>1999</v>
          </cell>
          <cell r="H101">
            <v>13.5</v>
          </cell>
          <cell r="I101">
            <v>7.2</v>
          </cell>
          <cell r="J101">
            <v>6.3</v>
          </cell>
        </row>
        <row r="102">
          <cell r="A102">
            <v>2000</v>
          </cell>
          <cell r="H102">
            <v>12.9</v>
          </cell>
          <cell r="I102">
            <v>7.4</v>
          </cell>
          <cell r="J102">
            <v>5.5</v>
          </cell>
        </row>
        <row r="103">
          <cell r="A103">
            <v>2001</v>
          </cell>
          <cell r="H103">
            <v>12.4</v>
          </cell>
          <cell r="I103">
            <v>7.3</v>
          </cell>
          <cell r="J103">
            <v>5.1000000000000005</v>
          </cell>
        </row>
        <row r="104">
          <cell r="A104">
            <v>2002</v>
          </cell>
          <cell r="H104">
            <v>12.5</v>
          </cell>
          <cell r="I104">
            <v>7.3</v>
          </cell>
          <cell r="J104">
            <v>5.2</v>
          </cell>
        </row>
        <row r="105">
          <cell r="A105">
            <v>2003</v>
          </cell>
          <cell r="H105">
            <v>12.1</v>
          </cell>
          <cell r="I105">
            <v>7.1</v>
          </cell>
          <cell r="J105">
            <v>5</v>
          </cell>
        </row>
        <row r="106">
          <cell r="A106">
            <v>2004</v>
          </cell>
          <cell r="H106">
            <v>11.3</v>
          </cell>
          <cell r="I106">
            <v>7.3</v>
          </cell>
          <cell r="J106">
            <v>4.0000000000000009</v>
          </cell>
        </row>
        <row r="107">
          <cell r="A107">
            <v>2005</v>
          </cell>
          <cell r="H107">
            <v>10.6</v>
          </cell>
          <cell r="I107">
            <v>7.4</v>
          </cell>
          <cell r="J107">
            <v>3.1999999999999993</v>
          </cell>
        </row>
        <row r="108">
          <cell r="A108">
            <v>2006</v>
          </cell>
          <cell r="H108">
            <v>9.9</v>
          </cell>
          <cell r="I108">
            <v>7.7</v>
          </cell>
          <cell r="J108">
            <v>2.2000000000000002</v>
          </cell>
        </row>
        <row r="109">
          <cell r="A109">
            <v>2007</v>
          </cell>
          <cell r="H109">
            <v>10</v>
          </cell>
          <cell r="I109">
            <v>7.8</v>
          </cell>
          <cell r="J109">
            <v>2.2000000000000002</v>
          </cell>
        </row>
        <row r="110">
          <cell r="A110">
            <v>2008</v>
          </cell>
          <cell r="H110">
            <v>10.9</v>
          </cell>
          <cell r="I110">
            <v>8</v>
          </cell>
          <cell r="J110">
            <v>2.9000000000000004</v>
          </cell>
        </row>
        <row r="111">
          <cell r="A111">
            <v>2009</v>
          </cell>
          <cell r="H111">
            <v>11.5</v>
          </cell>
          <cell r="I111">
            <v>8.1999999999999993</v>
          </cell>
          <cell r="J111">
            <v>3.3000000000000007</v>
          </cell>
        </row>
        <row r="112">
          <cell r="A112">
            <v>2010</v>
          </cell>
          <cell r="H112">
            <v>11.4</v>
          </cell>
          <cell r="I112">
            <v>8.1999999999999993</v>
          </cell>
          <cell r="J112">
            <v>3.2000000000000011</v>
          </cell>
        </row>
        <row r="113">
          <cell r="A113">
            <v>2011</v>
          </cell>
          <cell r="H113">
            <v>11.8</v>
          </cell>
          <cell r="I113">
            <v>8.1999999999999993</v>
          </cell>
          <cell r="J113">
            <v>3.6000000000000014</v>
          </cell>
        </row>
        <row r="114">
          <cell r="A114">
            <v>2012</v>
          </cell>
          <cell r="H114">
            <v>11.2</v>
          </cell>
          <cell r="I114">
            <v>8.1999999999999993</v>
          </cell>
          <cell r="J114">
            <v>3</v>
          </cell>
        </row>
        <row r="115">
          <cell r="A115">
            <v>2013</v>
          </cell>
          <cell r="H115">
            <v>11.2</v>
          </cell>
          <cell r="I115">
            <v>8.5</v>
          </cell>
          <cell r="J115">
            <v>2.6999999999999993</v>
          </cell>
        </row>
        <row r="116">
          <cell r="A116">
            <v>2014</v>
          </cell>
          <cell r="H116">
            <v>10.9</v>
          </cell>
          <cell r="I116">
            <v>8.9</v>
          </cell>
          <cell r="J116">
            <v>2</v>
          </cell>
        </row>
        <row r="117">
          <cell r="A117">
            <v>2015</v>
          </cell>
          <cell r="H117">
            <v>10.9</v>
          </cell>
          <cell r="I117">
            <v>9.1</v>
          </cell>
          <cell r="J117">
            <v>1.8000000000000007</v>
          </cell>
        </row>
        <row r="118">
          <cell r="A118">
            <v>2016</v>
          </cell>
          <cell r="H118">
            <v>10.3</v>
          </cell>
          <cell r="I118">
            <v>9.4</v>
          </cell>
          <cell r="J118">
            <v>0.90000000000000036</v>
          </cell>
        </row>
        <row r="119">
          <cell r="A119">
            <v>2017</v>
          </cell>
          <cell r="H119">
            <v>10.1</v>
          </cell>
          <cell r="I119">
            <v>9.9</v>
          </cell>
          <cell r="J119">
            <v>0.19999999999999929</v>
          </cell>
        </row>
        <row r="120">
          <cell r="A120">
            <v>2018</v>
          </cell>
          <cell r="H120">
            <v>10.199999999999999</v>
          </cell>
          <cell r="I120">
            <v>9.9</v>
          </cell>
          <cell r="J120">
            <v>0.29999999999999893</v>
          </cell>
        </row>
        <row r="121">
          <cell r="A121">
            <v>2019</v>
          </cell>
          <cell r="H121">
            <v>9.6999999999999993</v>
          </cell>
          <cell r="I121">
            <v>10</v>
          </cell>
          <cell r="J121">
            <v>-0.30000000000000071</v>
          </cell>
        </row>
        <row r="122">
          <cell r="A122">
            <v>2020</v>
          </cell>
          <cell r="H122">
            <v>9.3000000000000007</v>
          </cell>
          <cell r="I122">
            <v>10.4</v>
          </cell>
          <cell r="J122">
            <v>-1.0999999999999996</v>
          </cell>
        </row>
        <row r="123">
          <cell r="A123">
            <v>2021</v>
          </cell>
          <cell r="H123">
            <v>8.8000000000000007</v>
          </cell>
          <cell r="I123">
            <v>15.3</v>
          </cell>
          <cell r="J123">
            <v>-6.5</v>
          </cell>
        </row>
        <row r="124">
          <cell r="A124">
            <v>2022</v>
          </cell>
          <cell r="H124">
            <v>8.6999999999999993</v>
          </cell>
          <cell r="I124">
            <v>10.3</v>
          </cell>
          <cell r="J124">
            <v>-1.6000000000000014</v>
          </cell>
        </row>
        <row r="125">
          <cell r="A125">
            <v>2023</v>
          </cell>
          <cell r="H125">
            <v>8.6999999999999993</v>
          </cell>
          <cell r="I125">
            <v>10.1</v>
          </cell>
          <cell r="J125">
            <v>-1.4000000000000004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48"/>
  <sheetViews>
    <sheetView topLeftCell="A100" workbookViewId="0">
      <selection activeCell="A79" sqref="A79"/>
    </sheetView>
  </sheetViews>
  <sheetFormatPr defaultRowHeight="15" x14ac:dyDescent="0.25"/>
  <sheetData>
    <row r="1" spans="1:4" ht="21" x14ac:dyDescent="0.35">
      <c r="A1" s="15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1">
        <v>1881</v>
      </c>
      <c r="C11" s="12">
        <v>47</v>
      </c>
      <c r="D11" s="12">
        <v>32.5</v>
      </c>
    </row>
    <row r="12" spans="1:4" x14ac:dyDescent="0.25">
      <c r="B12" s="11">
        <v>1890</v>
      </c>
      <c r="C12" s="12">
        <v>46.5</v>
      </c>
      <c r="D12" s="12">
        <v>30.2</v>
      </c>
    </row>
    <row r="13" spans="1:4" x14ac:dyDescent="0.25">
      <c r="B13" s="11">
        <v>1900</v>
      </c>
      <c r="C13" s="12">
        <v>46</v>
      </c>
      <c r="D13" s="12">
        <v>27.8</v>
      </c>
    </row>
    <row r="14" spans="1:4" x14ac:dyDescent="0.25">
      <c r="B14" s="11">
        <v>1910</v>
      </c>
      <c r="C14" s="12">
        <v>45.5</v>
      </c>
      <c r="D14" s="12">
        <v>27</v>
      </c>
    </row>
    <row r="15" spans="1:4" x14ac:dyDescent="0.25">
      <c r="B15" s="11">
        <v>1920</v>
      </c>
      <c r="C15" s="12">
        <v>45</v>
      </c>
      <c r="D15" s="12">
        <v>26.4</v>
      </c>
    </row>
    <row r="16" spans="1:4" x14ac:dyDescent="0.25">
      <c r="B16" s="11">
        <v>1930</v>
      </c>
      <c r="C16" s="12">
        <v>44.8</v>
      </c>
      <c r="D16" s="12">
        <v>26</v>
      </c>
    </row>
    <row r="17" spans="1:4" x14ac:dyDescent="0.25">
      <c r="B17" s="11">
        <v>1945</v>
      </c>
      <c r="C17" s="12">
        <v>44.4</v>
      </c>
      <c r="D17" s="12">
        <v>20.9</v>
      </c>
    </row>
    <row r="18" spans="1:4" x14ac:dyDescent="0.25">
      <c r="B18" s="11">
        <v>1955</v>
      </c>
      <c r="C18" s="12">
        <v>43.2</v>
      </c>
      <c r="D18" s="12">
        <v>14.2</v>
      </c>
    </row>
    <row r="19" spans="1:4" x14ac:dyDescent="0.25">
      <c r="B19" s="11">
        <v>1965</v>
      </c>
      <c r="C19" s="12">
        <v>38.700000000000003</v>
      </c>
      <c r="D19" s="12">
        <v>9.8000000000000007</v>
      </c>
    </row>
    <row r="20" spans="1:4" x14ac:dyDescent="0.25">
      <c r="B20" s="11">
        <v>1975</v>
      </c>
      <c r="C20" s="12">
        <v>34.200000000000003</v>
      </c>
      <c r="D20" s="12">
        <v>9.3000000000000007</v>
      </c>
    </row>
    <row r="21" spans="1:4" x14ac:dyDescent="0.25">
      <c r="B21" s="11">
        <v>1985</v>
      </c>
      <c r="C21" s="12">
        <v>28.99</v>
      </c>
      <c r="D21" s="12">
        <v>7.68</v>
      </c>
    </row>
    <row r="22" spans="1:4" x14ac:dyDescent="0.25">
      <c r="B22" s="11">
        <v>1995</v>
      </c>
      <c r="C22" s="12">
        <v>21.93</v>
      </c>
      <c r="D22" s="12">
        <v>6.55</v>
      </c>
    </row>
    <row r="23" spans="1:4" x14ac:dyDescent="0.25">
      <c r="B23" s="11">
        <v>2000</v>
      </c>
      <c r="C23" s="12">
        <v>21.13</v>
      </c>
      <c r="D23" s="12">
        <v>6.34</v>
      </c>
    </row>
    <row r="24" spans="1:4" x14ac:dyDescent="0.25">
      <c r="B24" s="11">
        <v>2007</v>
      </c>
      <c r="C24" s="12">
        <v>17.059999999999999</v>
      </c>
      <c r="D24" s="12">
        <v>6.27</v>
      </c>
    </row>
    <row r="25" spans="1:4" x14ac:dyDescent="0.25">
      <c r="B25" s="11"/>
      <c r="C25" s="12"/>
      <c r="D25" s="12"/>
    </row>
    <row r="26" spans="1:4" x14ac:dyDescent="0.25">
      <c r="B26" t="s">
        <v>80</v>
      </c>
      <c r="C26" s="12"/>
      <c r="D26" s="12"/>
    </row>
    <row r="27" spans="1:4" x14ac:dyDescent="0.25">
      <c r="B27" t="s">
        <v>81</v>
      </c>
      <c r="C27" s="12"/>
      <c r="D27" s="12"/>
    </row>
    <row r="28" spans="1:4" x14ac:dyDescent="0.25">
      <c r="B28" t="s">
        <v>82</v>
      </c>
      <c r="C28" s="12"/>
      <c r="D28" s="12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4" x14ac:dyDescent="0.25">
      <c r="A49" t="s">
        <v>61</v>
      </c>
    </row>
    <row r="50" spans="1:4" x14ac:dyDescent="0.25">
      <c r="B50" t="s">
        <v>65</v>
      </c>
    </row>
    <row r="52" spans="1:4" x14ac:dyDescent="0.25">
      <c r="A52" t="s">
        <v>120</v>
      </c>
      <c r="B52" s="3"/>
      <c r="C52" s="3"/>
      <c r="D52" s="3"/>
    </row>
    <row r="53" spans="1:4" x14ac:dyDescent="0.25">
      <c r="A53" s="22"/>
      <c r="B53" s="3"/>
      <c r="C53" s="3"/>
      <c r="D53" s="3"/>
    </row>
    <row r="54" spans="1:4" x14ac:dyDescent="0.25">
      <c r="A54" s="22"/>
      <c r="B54" s="3" t="s">
        <v>116</v>
      </c>
      <c r="C54" s="3"/>
      <c r="D54" s="3"/>
    </row>
    <row r="55" spans="1:4" x14ac:dyDescent="0.25">
      <c r="A55" s="22"/>
      <c r="B55" s="3" t="s">
        <v>117</v>
      </c>
      <c r="C55" s="3"/>
      <c r="D55" s="3"/>
    </row>
    <row r="56" spans="1:4" x14ac:dyDescent="0.25">
      <c r="A56" s="22"/>
      <c r="B56" s="3" t="s">
        <v>118</v>
      </c>
      <c r="C56" s="3"/>
      <c r="D56" s="3"/>
    </row>
    <row r="57" spans="1:4" x14ac:dyDescent="0.25">
      <c r="A57" s="22"/>
      <c r="B57" s="3" t="s">
        <v>119</v>
      </c>
      <c r="C57" s="3"/>
      <c r="D57" s="3"/>
    </row>
    <row r="59" spans="1:4" x14ac:dyDescent="0.25">
      <c r="B59" s="3" t="s">
        <v>127</v>
      </c>
    </row>
    <row r="60" spans="1:4" x14ac:dyDescent="0.25">
      <c r="C60" s="3" t="s">
        <v>126</v>
      </c>
    </row>
    <row r="61" spans="1:4" x14ac:dyDescent="0.25">
      <c r="C61" s="3" t="s">
        <v>121</v>
      </c>
    </row>
    <row r="62" spans="1:4" x14ac:dyDescent="0.25">
      <c r="C62" s="3" t="s">
        <v>122</v>
      </c>
    </row>
    <row r="63" spans="1:4" x14ac:dyDescent="0.25">
      <c r="C63" s="3" t="s">
        <v>123</v>
      </c>
    </row>
    <row r="64" spans="1:4" x14ac:dyDescent="0.25">
      <c r="C64" s="3" t="s">
        <v>124</v>
      </c>
    </row>
    <row r="65" spans="1:3" x14ac:dyDescent="0.25">
      <c r="C65" s="3" t="s">
        <v>125</v>
      </c>
    </row>
    <row r="66" spans="1:3" x14ac:dyDescent="0.25">
      <c r="C66" s="3" t="s">
        <v>11</v>
      </c>
    </row>
    <row r="68" spans="1:3" x14ac:dyDescent="0.25">
      <c r="A68" t="s">
        <v>58</v>
      </c>
    </row>
    <row r="69" spans="1:3" x14ac:dyDescent="0.25">
      <c r="A69" t="s">
        <v>91</v>
      </c>
    </row>
    <row r="71" spans="1:3" x14ac:dyDescent="0.25">
      <c r="A71" t="s">
        <v>94</v>
      </c>
    </row>
    <row r="72" spans="1:3" x14ac:dyDescent="0.25">
      <c r="A72" t="s">
        <v>95</v>
      </c>
    </row>
    <row r="74" spans="1:3" x14ac:dyDescent="0.25">
      <c r="A74" t="s">
        <v>191</v>
      </c>
    </row>
    <row r="76" spans="1:3" x14ac:dyDescent="0.25">
      <c r="B76" t="s">
        <v>192</v>
      </c>
    </row>
    <row r="77" spans="1:3" x14ac:dyDescent="0.25">
      <c r="B77" t="s">
        <v>194</v>
      </c>
    </row>
    <row r="78" spans="1:3" x14ac:dyDescent="0.25">
      <c r="B78" t="s">
        <v>195</v>
      </c>
    </row>
    <row r="80" spans="1:3" x14ac:dyDescent="0.25">
      <c r="B80" t="s">
        <v>193</v>
      </c>
    </row>
    <row r="81" spans="1:3" x14ac:dyDescent="0.25">
      <c r="B81" t="s">
        <v>196</v>
      </c>
    </row>
    <row r="82" spans="1:3" x14ac:dyDescent="0.25">
      <c r="B82" t="s">
        <v>197</v>
      </c>
    </row>
    <row r="83" spans="1:3" x14ac:dyDescent="0.25">
      <c r="B83" t="s">
        <v>198</v>
      </c>
    </row>
    <row r="85" spans="1:3" x14ac:dyDescent="0.25">
      <c r="A85" t="s">
        <v>199</v>
      </c>
    </row>
    <row r="87" spans="1:3" x14ac:dyDescent="0.25">
      <c r="B87" t="s">
        <v>164</v>
      </c>
    </row>
    <row r="88" spans="1:3" x14ac:dyDescent="0.25">
      <c r="B88" t="s">
        <v>165</v>
      </c>
    </row>
    <row r="89" spans="1:3" x14ac:dyDescent="0.25">
      <c r="B89" t="s">
        <v>166</v>
      </c>
    </row>
    <row r="91" spans="1:3" x14ac:dyDescent="0.25">
      <c r="C91" t="s">
        <v>167</v>
      </c>
    </row>
    <row r="92" spans="1:3" x14ac:dyDescent="0.25">
      <c r="C92" t="s">
        <v>168</v>
      </c>
    </row>
    <row r="94" spans="1:3" x14ac:dyDescent="0.25">
      <c r="B94" t="s">
        <v>169</v>
      </c>
    </row>
    <row r="96" spans="1:3" x14ac:dyDescent="0.25">
      <c r="C96" t="s">
        <v>170</v>
      </c>
    </row>
    <row r="97" spans="2:3" x14ac:dyDescent="0.25">
      <c r="C97" t="s">
        <v>171</v>
      </c>
    </row>
    <row r="98" spans="2:3" x14ac:dyDescent="0.25">
      <c r="C98" t="s">
        <v>172</v>
      </c>
    </row>
    <row r="99" spans="2:3" x14ac:dyDescent="0.25">
      <c r="C99" t="s">
        <v>173</v>
      </c>
    </row>
    <row r="101" spans="2:3" x14ac:dyDescent="0.25">
      <c r="B101" t="s">
        <v>184</v>
      </c>
    </row>
    <row r="102" spans="2:3" x14ac:dyDescent="0.25">
      <c r="B102" t="s">
        <v>174</v>
      </c>
    </row>
    <row r="104" spans="2:3" x14ac:dyDescent="0.25">
      <c r="C104" t="s">
        <v>175</v>
      </c>
    </row>
    <row r="105" spans="2:3" x14ac:dyDescent="0.25">
      <c r="C105" t="s">
        <v>176</v>
      </c>
    </row>
    <row r="106" spans="2:3" x14ac:dyDescent="0.25">
      <c r="C106" t="s">
        <v>177</v>
      </c>
    </row>
    <row r="108" spans="2:3" x14ac:dyDescent="0.25">
      <c r="B108" t="s">
        <v>178</v>
      </c>
    </row>
    <row r="109" spans="2:3" x14ac:dyDescent="0.25">
      <c r="B109" t="s">
        <v>179</v>
      </c>
    </row>
    <row r="111" spans="2:3" x14ac:dyDescent="0.25">
      <c r="C111" t="s">
        <v>180</v>
      </c>
    </row>
    <row r="112" spans="2:3" x14ac:dyDescent="0.25">
      <c r="C112" t="s">
        <v>181</v>
      </c>
    </row>
    <row r="113" spans="1:3" x14ac:dyDescent="0.25">
      <c r="C113" t="s">
        <v>182</v>
      </c>
    </row>
    <row r="114" spans="1:3" x14ac:dyDescent="0.25">
      <c r="C114" t="s">
        <v>183</v>
      </c>
    </row>
    <row r="116" spans="1:3" x14ac:dyDescent="0.25">
      <c r="B116" t="s">
        <v>200</v>
      </c>
    </row>
    <row r="117" spans="1:3" x14ac:dyDescent="0.25">
      <c r="B117" t="s">
        <v>201</v>
      </c>
    </row>
    <row r="119" spans="1:3" x14ac:dyDescent="0.25">
      <c r="A119" t="s">
        <v>189</v>
      </c>
    </row>
    <row r="120" spans="1:3" x14ac:dyDescent="0.25">
      <c r="A120" t="s">
        <v>190</v>
      </c>
    </row>
    <row r="122" spans="1:3" x14ac:dyDescent="0.25">
      <c r="A122" t="s">
        <v>138</v>
      </c>
    </row>
    <row r="123" spans="1:3" x14ac:dyDescent="0.25">
      <c r="A123" t="s">
        <v>139</v>
      </c>
    </row>
    <row r="124" spans="1:3" x14ac:dyDescent="0.25">
      <c r="B124" t="s">
        <v>149</v>
      </c>
    </row>
    <row r="125" spans="1:3" x14ac:dyDescent="0.25">
      <c r="B125" t="s">
        <v>139</v>
      </c>
    </row>
    <row r="126" spans="1:3" x14ac:dyDescent="0.25">
      <c r="C126" t="s">
        <v>140</v>
      </c>
    </row>
    <row r="127" spans="1:3" x14ac:dyDescent="0.25">
      <c r="C127" t="s">
        <v>141</v>
      </c>
    </row>
    <row r="128" spans="1:3" x14ac:dyDescent="0.25">
      <c r="C128" t="s">
        <v>142</v>
      </c>
    </row>
    <row r="129" spans="1:3" x14ac:dyDescent="0.25">
      <c r="C129" t="s">
        <v>143</v>
      </c>
    </row>
    <row r="130" spans="1:3" x14ac:dyDescent="0.25">
      <c r="C130" t="s">
        <v>144</v>
      </c>
    </row>
    <row r="131" spans="1:3" x14ac:dyDescent="0.25">
      <c r="C131" t="s">
        <v>139</v>
      </c>
    </row>
    <row r="132" spans="1:3" x14ac:dyDescent="0.25">
      <c r="C132" t="s">
        <v>145</v>
      </c>
    </row>
    <row r="133" spans="1:3" x14ac:dyDescent="0.25">
      <c r="C133" t="s">
        <v>146</v>
      </c>
    </row>
    <row r="134" spans="1:3" x14ac:dyDescent="0.25">
      <c r="C134" t="s">
        <v>147</v>
      </c>
    </row>
    <row r="136" spans="1:3" x14ac:dyDescent="0.25">
      <c r="B136" t="s">
        <v>150</v>
      </c>
    </row>
    <row r="137" spans="1:3" x14ac:dyDescent="0.25">
      <c r="B137" t="s">
        <v>148</v>
      </c>
    </row>
    <row r="138" spans="1:3" x14ac:dyDescent="0.25">
      <c r="B138" t="s">
        <v>159</v>
      </c>
    </row>
    <row r="140" spans="1:3" x14ac:dyDescent="0.25">
      <c r="A140" t="s">
        <v>151</v>
      </c>
    </row>
    <row r="142" spans="1:3" x14ac:dyDescent="0.25">
      <c r="A142" t="s">
        <v>152</v>
      </c>
    </row>
    <row r="144" spans="1:3" x14ac:dyDescent="0.25">
      <c r="A144" t="s">
        <v>186</v>
      </c>
    </row>
    <row r="146" spans="2:2" x14ac:dyDescent="0.25">
      <c r="B146" t="s">
        <v>185</v>
      </c>
    </row>
    <row r="147" spans="2:2" x14ac:dyDescent="0.25">
      <c r="B147" t="s">
        <v>188</v>
      </c>
    </row>
    <row r="148" spans="2:2" x14ac:dyDescent="0.25">
      <c r="B148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2" sqref="A12:AA24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8" t="s">
        <v>0</v>
      </c>
      <c r="B1" s="28" t="s">
        <v>20</v>
      </c>
      <c r="C1" s="28"/>
      <c r="D1" s="28" t="s">
        <v>21</v>
      </c>
      <c r="E1" s="28"/>
      <c r="F1" s="28" t="s">
        <v>22</v>
      </c>
      <c r="G1" s="28"/>
      <c r="H1" s="28" t="s">
        <v>23</v>
      </c>
      <c r="I1" s="28"/>
      <c r="J1" s="28" t="s">
        <v>24</v>
      </c>
      <c r="K1" s="28"/>
      <c r="L1" s="28" t="s">
        <v>25</v>
      </c>
      <c r="M1" s="28"/>
      <c r="N1" s="28" t="s">
        <v>26</v>
      </c>
      <c r="O1" s="28"/>
      <c r="P1" s="28" t="s">
        <v>27</v>
      </c>
      <c r="Q1" s="28"/>
      <c r="R1" s="28" t="s">
        <v>28</v>
      </c>
      <c r="S1" s="28"/>
      <c r="T1" s="28" t="s">
        <v>57</v>
      </c>
      <c r="U1" s="28"/>
      <c r="V1" s="28" t="s">
        <v>29</v>
      </c>
      <c r="W1" s="28"/>
      <c r="X1" s="28" t="s">
        <v>30</v>
      </c>
      <c r="Y1" s="28"/>
      <c r="Z1" s="28" t="s">
        <v>31</v>
      </c>
      <c r="AA1" s="28"/>
      <c r="AB1" s="28" t="s">
        <v>32</v>
      </c>
      <c r="AC1" s="28"/>
      <c r="AD1" s="28" t="s">
        <v>33</v>
      </c>
      <c r="AE1" s="28"/>
      <c r="AF1" s="19" t="s">
        <v>34</v>
      </c>
      <c r="AG1" s="19"/>
      <c r="AH1" s="28" t="s">
        <v>35</v>
      </c>
      <c r="AI1" s="28"/>
      <c r="AJ1" s="28" t="s">
        <v>36</v>
      </c>
      <c r="AK1" s="28"/>
      <c r="AL1" s="28" t="s">
        <v>93</v>
      </c>
      <c r="AM1" s="28"/>
    </row>
    <row r="2" spans="1:39" x14ac:dyDescent="0.25">
      <c r="A2" s="20" t="s">
        <v>92</v>
      </c>
      <c r="B2" s="27" t="s">
        <v>1</v>
      </c>
      <c r="C2" s="27"/>
      <c r="D2" s="27" t="s">
        <v>2</v>
      </c>
      <c r="E2" s="27"/>
      <c r="F2" s="27" t="s">
        <v>3</v>
      </c>
      <c r="G2" s="27"/>
      <c r="H2" s="27" t="s">
        <v>4</v>
      </c>
      <c r="I2" s="27"/>
      <c r="J2" s="27" t="s">
        <v>5</v>
      </c>
      <c r="K2" s="27"/>
      <c r="L2" s="27" t="s">
        <v>6</v>
      </c>
      <c r="M2" s="27"/>
      <c r="N2" s="27" t="s">
        <v>7</v>
      </c>
      <c r="O2" s="27"/>
      <c r="P2" s="27" t="s">
        <v>8</v>
      </c>
      <c r="Q2" s="27"/>
      <c r="R2" s="27" t="s">
        <v>9</v>
      </c>
      <c r="S2" s="27"/>
      <c r="T2" s="27" t="s">
        <v>10</v>
      </c>
      <c r="U2" s="27"/>
      <c r="V2" s="27" t="s">
        <v>11</v>
      </c>
      <c r="W2" s="27"/>
      <c r="X2" s="27" t="s">
        <v>12</v>
      </c>
      <c r="Y2" s="27"/>
      <c r="Z2" s="27" t="s">
        <v>13</v>
      </c>
      <c r="AA2" s="27"/>
      <c r="AB2" s="27" t="s">
        <v>14</v>
      </c>
      <c r="AC2" s="27"/>
      <c r="AD2" s="27" t="s">
        <v>15</v>
      </c>
      <c r="AE2" s="27"/>
      <c r="AF2" s="27" t="s">
        <v>16</v>
      </c>
      <c r="AG2" s="27"/>
      <c r="AH2" s="27" t="s">
        <v>17</v>
      </c>
      <c r="AI2" s="27"/>
      <c r="AJ2" s="27" t="s">
        <v>18</v>
      </c>
      <c r="AK2" s="27"/>
      <c r="AL2" s="27" t="s">
        <v>19</v>
      </c>
      <c r="AM2" s="27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25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25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25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25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25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25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25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25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25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25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25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25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25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25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25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25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25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25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25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25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25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25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25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25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25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25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25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25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25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25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25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25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25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25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25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25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25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25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25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25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25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25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25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25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25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25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25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25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25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25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25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25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25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25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25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25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25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25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25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25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25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25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25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25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25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25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25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25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25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25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25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25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25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5" x14ac:dyDescent="0.25"/>
  <sheetData>
    <row r="1" spans="1:39" x14ac:dyDescent="0.25">
      <c r="A1" s="18" t="s">
        <v>0</v>
      </c>
      <c r="B1" s="28" t="s">
        <v>20</v>
      </c>
      <c r="C1" s="28"/>
      <c r="D1" s="28" t="s">
        <v>21</v>
      </c>
      <c r="E1" s="28"/>
      <c r="F1" s="28" t="s">
        <v>22</v>
      </c>
      <c r="G1" s="28"/>
      <c r="H1" s="28" t="s">
        <v>23</v>
      </c>
      <c r="I1" s="28"/>
      <c r="J1" s="28" t="s">
        <v>24</v>
      </c>
      <c r="K1" s="28"/>
      <c r="L1" s="28" t="s">
        <v>25</v>
      </c>
      <c r="M1" s="28"/>
      <c r="N1" s="28" t="s">
        <v>26</v>
      </c>
      <c r="O1" s="28"/>
      <c r="P1" s="28" t="s">
        <v>27</v>
      </c>
      <c r="Q1" s="28"/>
      <c r="R1" s="28" t="s">
        <v>28</v>
      </c>
      <c r="S1" s="28"/>
      <c r="T1" s="28" t="s">
        <v>57</v>
      </c>
      <c r="U1" s="28"/>
      <c r="V1" s="28" t="s">
        <v>29</v>
      </c>
      <c r="W1" s="28"/>
      <c r="X1" s="28" t="s">
        <v>30</v>
      </c>
      <c r="Y1" s="28"/>
      <c r="Z1" s="28" t="s">
        <v>31</v>
      </c>
      <c r="AA1" s="28"/>
      <c r="AB1" s="28" t="s">
        <v>32</v>
      </c>
      <c r="AC1" s="28"/>
      <c r="AD1" s="28" t="s">
        <v>33</v>
      </c>
      <c r="AE1" s="28"/>
      <c r="AF1" s="19" t="s">
        <v>34</v>
      </c>
      <c r="AG1" s="19"/>
      <c r="AH1" s="28" t="s">
        <v>35</v>
      </c>
      <c r="AI1" s="28"/>
      <c r="AJ1" s="28" t="s">
        <v>36</v>
      </c>
      <c r="AK1" s="28"/>
      <c r="AL1" s="28" t="s">
        <v>93</v>
      </c>
      <c r="AM1" s="28"/>
    </row>
    <row r="2" spans="1:39" x14ac:dyDescent="0.25">
      <c r="A2" s="20" t="s">
        <v>92</v>
      </c>
      <c r="B2" s="27" t="s">
        <v>1</v>
      </c>
      <c r="C2" s="27"/>
      <c r="D2" s="27" t="s">
        <v>2</v>
      </c>
      <c r="E2" s="27"/>
      <c r="F2" s="27" t="s">
        <v>3</v>
      </c>
      <c r="G2" s="27"/>
      <c r="H2" s="27" t="s">
        <v>4</v>
      </c>
      <c r="I2" s="27"/>
      <c r="J2" s="27" t="s">
        <v>5</v>
      </c>
      <c r="K2" s="27"/>
      <c r="L2" s="27" t="s">
        <v>6</v>
      </c>
      <c r="M2" s="27"/>
      <c r="N2" s="27" t="s">
        <v>7</v>
      </c>
      <c r="O2" s="27"/>
      <c r="P2" s="27" t="s">
        <v>8</v>
      </c>
      <c r="Q2" s="27"/>
      <c r="R2" s="27" t="s">
        <v>9</v>
      </c>
      <c r="S2" s="27"/>
      <c r="T2" s="27" t="s">
        <v>10</v>
      </c>
      <c r="U2" s="27"/>
      <c r="V2" s="27" t="s">
        <v>11</v>
      </c>
      <c r="W2" s="27"/>
      <c r="X2" s="27" t="s">
        <v>12</v>
      </c>
      <c r="Y2" s="27"/>
      <c r="Z2" s="27" t="s">
        <v>13</v>
      </c>
      <c r="AA2" s="27"/>
      <c r="AB2" s="27" t="s">
        <v>14</v>
      </c>
      <c r="AC2" s="27"/>
      <c r="AD2" s="27" t="s">
        <v>15</v>
      </c>
      <c r="AE2" s="27"/>
      <c r="AF2" s="27" t="s">
        <v>16</v>
      </c>
      <c r="AG2" s="27"/>
      <c r="AH2" s="27" t="s">
        <v>17</v>
      </c>
      <c r="AI2" s="27"/>
      <c r="AJ2" s="27" t="s">
        <v>18</v>
      </c>
      <c r="AK2" s="27"/>
      <c r="AL2" s="27" t="s">
        <v>19</v>
      </c>
      <c r="AM2" s="27"/>
    </row>
    <row r="3" spans="1:39" x14ac:dyDescent="0.25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25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25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25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25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25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25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25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25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25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25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25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25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25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25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25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25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25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25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25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25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25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25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25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25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25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25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25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25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25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25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25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25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25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25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25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25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25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25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25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25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25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25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25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25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25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25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25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25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25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25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25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25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25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25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25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25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25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25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25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25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25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25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25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25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25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25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25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25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25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25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25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25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25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25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25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25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25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25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25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25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25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25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25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25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25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25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25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25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25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25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25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25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25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25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25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25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25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25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25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25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25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25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25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25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25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25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25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25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25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25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25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25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25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25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25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25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25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25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25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25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25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25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25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25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25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25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25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25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25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25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25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25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25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25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25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25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25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25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25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25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25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25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25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 x14ac:dyDescent="0.2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 x14ac:dyDescent="0.25">
      <c r="B1" s="29" t="s">
        <v>115</v>
      </c>
      <c r="C1" s="29"/>
      <c r="D1" s="29" t="s">
        <v>75</v>
      </c>
      <c r="E1" s="29"/>
    </row>
    <row r="2" spans="1:10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25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25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25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25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25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25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25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25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25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25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25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25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25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25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25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25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25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25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25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25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25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25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25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25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25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25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25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25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25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25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25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25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25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25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25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25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25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25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25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25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25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25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25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25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25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25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25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25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25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25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25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25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25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25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25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25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25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25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25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25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25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25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25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25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25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25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25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25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25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25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25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25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25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25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25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25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25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25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25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25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25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25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25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25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25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25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25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25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25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25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25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25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25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25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25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25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25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25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25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25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25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25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25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25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25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25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25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25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25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25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25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25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25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25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25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25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25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25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25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25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25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25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25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25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25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25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25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25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25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25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25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25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25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25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25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25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25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25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25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25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25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25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25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25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25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25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25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25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25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25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25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25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25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25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25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25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25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25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25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25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25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25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25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25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25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25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25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25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25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25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25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25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25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25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25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25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25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25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25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25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25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25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25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25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25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25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25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25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25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25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25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25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25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25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25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25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25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25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25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25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25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25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25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25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25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25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25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25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25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25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25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25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25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25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25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25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25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25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25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25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25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25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25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25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25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25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25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25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25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25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25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25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25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25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25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25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25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25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25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25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25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25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25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25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25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25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25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25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25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25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25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25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25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25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25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25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25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25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25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25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25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25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25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25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25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25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25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25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25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25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25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25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25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25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25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25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25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25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25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25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25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25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25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25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25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25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25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25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25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25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25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25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25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25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25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25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25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25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25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25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25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25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25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25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25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25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25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25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25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25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25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25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25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25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25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2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2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2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2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2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2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2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2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2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2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2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2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2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2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2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2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2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2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2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2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2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2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2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2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2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2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2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2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2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2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2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2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2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2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2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2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2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2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2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2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2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2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2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2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2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2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2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2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2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2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2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2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2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2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2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2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2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2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2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2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2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2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2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2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2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2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2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2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2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2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2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2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2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2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2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2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2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2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2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2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2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2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2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2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2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2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2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2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2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2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2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2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2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2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2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2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2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2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2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2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2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2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2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2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2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2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2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2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2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2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2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2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2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2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2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2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2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2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2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2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2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2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2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2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2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2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2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2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2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2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2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2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2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2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2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2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2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2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2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2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2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2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2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2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5" x14ac:dyDescent="0.25"/>
  <sheetData>
    <row r="1" spans="1:34" x14ac:dyDescent="0.25">
      <c r="B1" s="29" t="s">
        <v>100</v>
      </c>
      <c r="C1" s="29"/>
      <c r="D1" s="29" t="s">
        <v>75</v>
      </c>
      <c r="E1" s="29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  <c r="AF2" t="s">
        <v>73</v>
      </c>
      <c r="AG2" t="s">
        <v>153</v>
      </c>
      <c r="AH2" t="s">
        <v>154</v>
      </c>
    </row>
    <row r="3" spans="1:34" x14ac:dyDescent="0.25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 x14ac:dyDescent="0.25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 x14ac:dyDescent="0.25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 x14ac:dyDescent="0.25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 x14ac:dyDescent="0.25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 x14ac:dyDescent="0.25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 x14ac:dyDescent="0.25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 x14ac:dyDescent="0.25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 x14ac:dyDescent="0.25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 x14ac:dyDescent="0.25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 x14ac:dyDescent="0.25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 x14ac:dyDescent="0.25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 x14ac:dyDescent="0.25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 x14ac:dyDescent="0.25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 x14ac:dyDescent="0.25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 x14ac:dyDescent="0.25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 x14ac:dyDescent="0.25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 x14ac:dyDescent="0.25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 x14ac:dyDescent="0.25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 x14ac:dyDescent="0.25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 x14ac:dyDescent="0.25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 x14ac:dyDescent="0.25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 x14ac:dyDescent="0.25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 x14ac:dyDescent="0.25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 x14ac:dyDescent="0.25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 x14ac:dyDescent="0.25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 x14ac:dyDescent="0.25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 x14ac:dyDescent="0.25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 x14ac:dyDescent="0.25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 x14ac:dyDescent="0.25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 x14ac:dyDescent="0.25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 x14ac:dyDescent="0.25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 x14ac:dyDescent="0.25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 x14ac:dyDescent="0.25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 x14ac:dyDescent="0.25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 x14ac:dyDescent="0.25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 x14ac:dyDescent="0.25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 x14ac:dyDescent="0.25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 x14ac:dyDescent="0.25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 x14ac:dyDescent="0.25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 x14ac:dyDescent="0.25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 x14ac:dyDescent="0.25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 x14ac:dyDescent="0.25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 x14ac:dyDescent="0.25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 x14ac:dyDescent="0.25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 x14ac:dyDescent="0.25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 x14ac:dyDescent="0.25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 x14ac:dyDescent="0.25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 x14ac:dyDescent="0.25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 x14ac:dyDescent="0.25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 x14ac:dyDescent="0.25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 x14ac:dyDescent="0.25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 x14ac:dyDescent="0.25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 x14ac:dyDescent="0.25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 x14ac:dyDescent="0.25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 x14ac:dyDescent="0.25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 x14ac:dyDescent="0.25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 x14ac:dyDescent="0.25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 x14ac:dyDescent="0.25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 x14ac:dyDescent="0.25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 x14ac:dyDescent="0.25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 x14ac:dyDescent="0.25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 x14ac:dyDescent="0.25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 x14ac:dyDescent="0.25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 x14ac:dyDescent="0.25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 x14ac:dyDescent="0.25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 x14ac:dyDescent="0.25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 x14ac:dyDescent="0.25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 x14ac:dyDescent="0.25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 x14ac:dyDescent="0.25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 x14ac:dyDescent="0.25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 x14ac:dyDescent="0.25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 x14ac:dyDescent="0.25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 x14ac:dyDescent="0.25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 x14ac:dyDescent="0.25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 x14ac:dyDescent="0.25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 x14ac:dyDescent="0.25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 x14ac:dyDescent="0.25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 x14ac:dyDescent="0.25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 x14ac:dyDescent="0.25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 x14ac:dyDescent="0.25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 x14ac:dyDescent="0.25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 x14ac:dyDescent="0.25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 x14ac:dyDescent="0.25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 x14ac:dyDescent="0.25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 x14ac:dyDescent="0.25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 x14ac:dyDescent="0.25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 x14ac:dyDescent="0.25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 x14ac:dyDescent="0.25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 x14ac:dyDescent="0.25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 x14ac:dyDescent="0.25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 x14ac:dyDescent="0.25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 x14ac:dyDescent="0.25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 x14ac:dyDescent="0.25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 x14ac:dyDescent="0.25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 x14ac:dyDescent="0.25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 x14ac:dyDescent="0.25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 x14ac:dyDescent="0.25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 x14ac:dyDescent="0.25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 x14ac:dyDescent="0.25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 x14ac:dyDescent="0.25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 x14ac:dyDescent="0.25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 x14ac:dyDescent="0.25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 x14ac:dyDescent="0.25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 x14ac:dyDescent="0.25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 x14ac:dyDescent="0.25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 x14ac:dyDescent="0.25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 x14ac:dyDescent="0.25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 x14ac:dyDescent="0.25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 x14ac:dyDescent="0.25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 x14ac:dyDescent="0.25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 x14ac:dyDescent="0.25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 x14ac:dyDescent="0.25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 x14ac:dyDescent="0.25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25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25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25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25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25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25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25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25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25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25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5" x14ac:dyDescent="0.25"/>
  <sheetData>
    <row r="1" spans="1:30" x14ac:dyDescent="0.25">
      <c r="B1" s="29" t="s">
        <v>75</v>
      </c>
      <c r="C1" s="29"/>
    </row>
    <row r="2" spans="1:30" x14ac:dyDescent="0.25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25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25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25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25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25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25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25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25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25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25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25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25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25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25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25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25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25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25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25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25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25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25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25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25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25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25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25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25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25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25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25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25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25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25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25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25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25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25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25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25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25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25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25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25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25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25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25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25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25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25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25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25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25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25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25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25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25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25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25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25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25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25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25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25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25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25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25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25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25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25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25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25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25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25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 x14ac:dyDescent="0.25"/>
  <cols>
    <col min="1" max="1" width="9.140625" style="1"/>
  </cols>
  <sheetData>
    <row r="1" spans="1:13" x14ac:dyDescent="0.25">
      <c r="B1" s="29" t="s">
        <v>74</v>
      </c>
      <c r="C1" s="29"/>
      <c r="D1" s="29" t="s">
        <v>75</v>
      </c>
      <c r="E1" s="29"/>
      <c r="G1" s="29" t="s">
        <v>86</v>
      </c>
      <c r="H1" s="29"/>
      <c r="J1" s="29" t="s">
        <v>87</v>
      </c>
      <c r="K1" s="29"/>
      <c r="L1" s="29"/>
      <c r="M1" s="29"/>
    </row>
    <row r="2" spans="1:13" x14ac:dyDescent="0.25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25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25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25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25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25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25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25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25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25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25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25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25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25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25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25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25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25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25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25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25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25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25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25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25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25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25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25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25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25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25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25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25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25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25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25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25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25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25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25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25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25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25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25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25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25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25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25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25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25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25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25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25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25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25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25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25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25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25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25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25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25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25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25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25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25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25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25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25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25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25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25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25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25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25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25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25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25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25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25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25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25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25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25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25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25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25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25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25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25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25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25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25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25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25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25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25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25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25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25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25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25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25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25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25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25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25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25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25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25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25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25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25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25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25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25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25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25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25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25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25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25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25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25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25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25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25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25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25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25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25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25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25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25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25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25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25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25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25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25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25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25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25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25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25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25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25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25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25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25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25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25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25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25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25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25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25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25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25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25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25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25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25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25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25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25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25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25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25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25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25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25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25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25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25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25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25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25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25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25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25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25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25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25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25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25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25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25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25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25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25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25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25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25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25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25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25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25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25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25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25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25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25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25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25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25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25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25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25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25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25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25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25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25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25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25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25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25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25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25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25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25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25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25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25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25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25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25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25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25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25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25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25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25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25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25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25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25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25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25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25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25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25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25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25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25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25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25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25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25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25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25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25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25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25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25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25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25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25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25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25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25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25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25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25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25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25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25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25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25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25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25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25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25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25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25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25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25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25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25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25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75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25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25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25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25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25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25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25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25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25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25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25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25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25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25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25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25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25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25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25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25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25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25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25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25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25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25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25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25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25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25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25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25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25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25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25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25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25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25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25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25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25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25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25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25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25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25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25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25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25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25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25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25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25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25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25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25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25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25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25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25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25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25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25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25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25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25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25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25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25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25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25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25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25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25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25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25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25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25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25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25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25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25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25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25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25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25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25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25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25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25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25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25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25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25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25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25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25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25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25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25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25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25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25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25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25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25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25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25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25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25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25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25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25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25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25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25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25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25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25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25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25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25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25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25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25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25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25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25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25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25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25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25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25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25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25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25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I11" sqref="AI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25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25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5" x14ac:dyDescent="0.25"/>
  <sheetData>
    <row r="1" spans="1:34" x14ac:dyDescent="0.25">
      <c r="B1" s="29" t="s">
        <v>100</v>
      </c>
      <c r="C1" s="29"/>
      <c r="D1" s="29" t="s">
        <v>75</v>
      </c>
      <c r="E1" s="29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</row>
    <row r="3" spans="1:34" x14ac:dyDescent="0.25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 x14ac:dyDescent="0.25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 x14ac:dyDescent="0.25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 x14ac:dyDescent="0.25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 x14ac:dyDescent="0.25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 x14ac:dyDescent="0.25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 x14ac:dyDescent="0.25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 x14ac:dyDescent="0.25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 x14ac:dyDescent="0.25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 x14ac:dyDescent="0.25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 x14ac:dyDescent="0.25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 x14ac:dyDescent="0.25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 x14ac:dyDescent="0.25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 x14ac:dyDescent="0.25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 x14ac:dyDescent="0.25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 x14ac:dyDescent="0.25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 x14ac:dyDescent="0.25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 x14ac:dyDescent="0.25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 x14ac:dyDescent="0.25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 x14ac:dyDescent="0.25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 x14ac:dyDescent="0.25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 x14ac:dyDescent="0.25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 x14ac:dyDescent="0.25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 x14ac:dyDescent="0.25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 x14ac:dyDescent="0.25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 x14ac:dyDescent="0.25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 x14ac:dyDescent="0.25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 x14ac:dyDescent="0.25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 x14ac:dyDescent="0.25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 x14ac:dyDescent="0.25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 x14ac:dyDescent="0.25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 x14ac:dyDescent="0.25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 x14ac:dyDescent="0.25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 x14ac:dyDescent="0.25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 x14ac:dyDescent="0.25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 x14ac:dyDescent="0.25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 x14ac:dyDescent="0.25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 x14ac:dyDescent="0.25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 x14ac:dyDescent="0.25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 x14ac:dyDescent="0.25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 x14ac:dyDescent="0.25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 x14ac:dyDescent="0.25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 x14ac:dyDescent="0.25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 x14ac:dyDescent="0.25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 x14ac:dyDescent="0.25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 x14ac:dyDescent="0.25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 x14ac:dyDescent="0.25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 x14ac:dyDescent="0.25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 x14ac:dyDescent="0.25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 x14ac:dyDescent="0.25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 x14ac:dyDescent="0.25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 x14ac:dyDescent="0.25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 x14ac:dyDescent="0.25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 x14ac:dyDescent="0.25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 x14ac:dyDescent="0.25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 x14ac:dyDescent="0.25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 x14ac:dyDescent="0.25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 x14ac:dyDescent="0.25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 x14ac:dyDescent="0.25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 x14ac:dyDescent="0.25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 x14ac:dyDescent="0.25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 x14ac:dyDescent="0.25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 x14ac:dyDescent="0.25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 x14ac:dyDescent="0.25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 x14ac:dyDescent="0.25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 x14ac:dyDescent="0.25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 x14ac:dyDescent="0.25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 x14ac:dyDescent="0.25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 x14ac:dyDescent="0.25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 x14ac:dyDescent="0.25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 x14ac:dyDescent="0.25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 x14ac:dyDescent="0.25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 x14ac:dyDescent="0.25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 x14ac:dyDescent="0.25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 x14ac:dyDescent="0.25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 x14ac:dyDescent="0.25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 x14ac:dyDescent="0.25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 x14ac:dyDescent="0.25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 x14ac:dyDescent="0.25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 x14ac:dyDescent="0.25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 x14ac:dyDescent="0.25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 x14ac:dyDescent="0.25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 x14ac:dyDescent="0.25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 x14ac:dyDescent="0.25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25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25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25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25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25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25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25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25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25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25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25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25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25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25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25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25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25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25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25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25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25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25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25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25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25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25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25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25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25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25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25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25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25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25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25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25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25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25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25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25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U129"/>
  <sheetViews>
    <sheetView workbookViewId="0">
      <selection activeCell="M9" sqref="M9"/>
    </sheetView>
  </sheetViews>
  <sheetFormatPr defaultRowHeight="15" x14ac:dyDescent="0.25"/>
  <cols>
    <col min="15" max="15" width="5" bestFit="1" customWidth="1"/>
    <col min="16" max="16" width="13.85546875" bestFit="1" customWidth="1"/>
    <col min="17" max="17" width="11.5703125" bestFit="1" customWidth="1"/>
    <col min="18" max="18" width="5.5703125" bestFit="1" customWidth="1"/>
  </cols>
  <sheetData>
    <row r="1" spans="1:21" x14ac:dyDescent="0.25">
      <c r="B1" s="30" t="s">
        <v>90</v>
      </c>
      <c r="C1" s="30"/>
      <c r="D1" s="30"/>
      <c r="E1" s="30"/>
      <c r="I1" s="30" t="s">
        <v>89</v>
      </c>
      <c r="J1" s="30"/>
      <c r="K1" s="30"/>
      <c r="U1" s="3"/>
    </row>
    <row r="2" spans="1:21" x14ac:dyDescent="0.25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</row>
    <row r="3" spans="1:21" x14ac:dyDescent="0.25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21" x14ac:dyDescent="0.25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</row>
    <row r="5" spans="1:21" x14ac:dyDescent="0.25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</row>
    <row r="6" spans="1:21" x14ac:dyDescent="0.25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</row>
    <row r="7" spans="1:21" x14ac:dyDescent="0.25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</row>
    <row r="8" spans="1:21" x14ac:dyDescent="0.25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</row>
    <row r="9" spans="1:21" x14ac:dyDescent="0.25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</row>
    <row r="10" spans="1:21" x14ac:dyDescent="0.25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</row>
    <row r="11" spans="1:21" x14ac:dyDescent="0.25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</row>
    <row r="12" spans="1:21" x14ac:dyDescent="0.25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21" x14ac:dyDescent="0.25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</row>
    <row r="14" spans="1:21" x14ac:dyDescent="0.25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</row>
    <row r="15" spans="1:21" x14ac:dyDescent="0.25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</row>
    <row r="16" spans="1:21" x14ac:dyDescent="0.25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</row>
    <row r="17" spans="1:18" x14ac:dyDescent="0.25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</row>
    <row r="18" spans="1:18" x14ac:dyDescent="0.25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</row>
    <row r="19" spans="1:18" x14ac:dyDescent="0.25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</row>
    <row r="20" spans="1:18" x14ac:dyDescent="0.25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18" x14ac:dyDescent="0.25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</row>
    <row r="22" spans="1:18" x14ac:dyDescent="0.25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</row>
    <row r="23" spans="1:18" x14ac:dyDescent="0.25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</row>
    <row r="24" spans="1:18" x14ac:dyDescent="0.25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</row>
    <row r="25" spans="1:18" x14ac:dyDescent="0.25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</row>
    <row r="26" spans="1:18" x14ac:dyDescent="0.25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18" x14ac:dyDescent="0.25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</row>
    <row r="28" spans="1:18" x14ac:dyDescent="0.25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18" x14ac:dyDescent="0.25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</row>
    <row r="30" spans="1:18" x14ac:dyDescent="0.25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</row>
    <row r="31" spans="1:18" x14ac:dyDescent="0.25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</row>
    <row r="32" spans="1:18" x14ac:dyDescent="0.25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</row>
    <row r="33" spans="1:18" x14ac:dyDescent="0.25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25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25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25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25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25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25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25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25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25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25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25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25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25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25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25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25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25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25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25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25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25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25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25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25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25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25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25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25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25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25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25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25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25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25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25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25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25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25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25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25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25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25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25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25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25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25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25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25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25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25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25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25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25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25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25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25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25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25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25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25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25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25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25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25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25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25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25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25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25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25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25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25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25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25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25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25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25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25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25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25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25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25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25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25">
      <c r="A117" s="24"/>
    </row>
    <row r="118" spans="1:18" x14ac:dyDescent="0.25">
      <c r="A118" s="24" t="s">
        <v>137</v>
      </c>
      <c r="B118" s="16">
        <v>8.1850000000000005</v>
      </c>
    </row>
    <row r="119" spans="1:18" x14ac:dyDescent="0.25">
      <c r="A119" s="24"/>
    </row>
    <row r="120" spans="1:18" x14ac:dyDescent="0.25">
      <c r="A120" s="24"/>
    </row>
    <row r="121" spans="1:18" x14ac:dyDescent="0.25">
      <c r="A121" s="24"/>
    </row>
    <row r="122" spans="1:18" x14ac:dyDescent="0.25">
      <c r="A122" s="24"/>
    </row>
    <row r="123" spans="1:18" x14ac:dyDescent="0.25">
      <c r="A123" s="24"/>
    </row>
    <row r="124" spans="1:18" x14ac:dyDescent="0.25">
      <c r="A124" s="24"/>
    </row>
    <row r="125" spans="1:18" x14ac:dyDescent="0.25">
      <c r="A125" s="24"/>
    </row>
    <row r="126" spans="1:18" x14ac:dyDescent="0.25">
      <c r="A126" s="24"/>
    </row>
    <row r="127" spans="1:18" x14ac:dyDescent="0.25">
      <c r="A127" s="24"/>
    </row>
    <row r="128" spans="1:18" x14ac:dyDescent="0.25">
      <c r="A128" s="24"/>
    </row>
    <row r="129" spans="1:1" x14ac:dyDescent="0.25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5" x14ac:dyDescent="0.25"/>
  <cols>
    <col min="1" max="1" width="8.85546875" style="1"/>
  </cols>
  <sheetData>
    <row r="2" spans="1:32" x14ac:dyDescent="0.25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154</v>
      </c>
      <c r="F2" s="13" t="s">
        <v>153</v>
      </c>
      <c r="AF2" t="s">
        <v>202</v>
      </c>
    </row>
    <row r="3" spans="1:32" x14ac:dyDescent="0.25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216</v>
      </c>
    </row>
    <row r="4" spans="1:32" x14ac:dyDescent="0.25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 x14ac:dyDescent="0.25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203</v>
      </c>
    </row>
    <row r="6" spans="1:32" x14ac:dyDescent="0.25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 x14ac:dyDescent="0.25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204</v>
      </c>
    </row>
    <row r="8" spans="1:32" x14ac:dyDescent="0.25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205</v>
      </c>
    </row>
    <row r="9" spans="1:32" x14ac:dyDescent="0.25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206</v>
      </c>
    </row>
    <row r="10" spans="1:32" x14ac:dyDescent="0.25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207</v>
      </c>
    </row>
    <row r="11" spans="1:32" x14ac:dyDescent="0.25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 x14ac:dyDescent="0.25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208</v>
      </c>
    </row>
    <row r="13" spans="1:32" x14ac:dyDescent="0.25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209</v>
      </c>
    </row>
    <row r="14" spans="1:32" x14ac:dyDescent="0.25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210</v>
      </c>
    </row>
    <row r="15" spans="1:32" x14ac:dyDescent="0.25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 x14ac:dyDescent="0.25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211</v>
      </c>
    </row>
    <row r="17" spans="1:32" x14ac:dyDescent="0.25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212</v>
      </c>
    </row>
    <row r="18" spans="1:32" x14ac:dyDescent="0.25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213</v>
      </c>
    </row>
    <row r="19" spans="1:32" x14ac:dyDescent="0.25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 x14ac:dyDescent="0.25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214</v>
      </c>
    </row>
    <row r="21" spans="1:32" x14ac:dyDescent="0.25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215</v>
      </c>
    </row>
    <row r="22" spans="1:32" x14ac:dyDescent="0.25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 x14ac:dyDescent="0.25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 x14ac:dyDescent="0.25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 x14ac:dyDescent="0.25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 x14ac:dyDescent="0.25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 x14ac:dyDescent="0.25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 x14ac:dyDescent="0.25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 x14ac:dyDescent="0.25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 x14ac:dyDescent="0.25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 x14ac:dyDescent="0.25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 x14ac:dyDescent="0.25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 x14ac:dyDescent="0.25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 x14ac:dyDescent="0.25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 x14ac:dyDescent="0.25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 x14ac:dyDescent="0.25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 x14ac:dyDescent="0.25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 x14ac:dyDescent="0.25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 x14ac:dyDescent="0.25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 x14ac:dyDescent="0.25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 x14ac:dyDescent="0.25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 x14ac:dyDescent="0.25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 x14ac:dyDescent="0.25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 x14ac:dyDescent="0.25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 x14ac:dyDescent="0.25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 x14ac:dyDescent="0.25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 x14ac:dyDescent="0.25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 x14ac:dyDescent="0.25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 x14ac:dyDescent="0.25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 x14ac:dyDescent="0.25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 x14ac:dyDescent="0.25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 x14ac:dyDescent="0.25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 x14ac:dyDescent="0.25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 x14ac:dyDescent="0.25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 x14ac:dyDescent="0.25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 x14ac:dyDescent="0.25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 x14ac:dyDescent="0.25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 x14ac:dyDescent="0.25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 x14ac:dyDescent="0.25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 x14ac:dyDescent="0.25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 x14ac:dyDescent="0.25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 x14ac:dyDescent="0.25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 x14ac:dyDescent="0.25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 x14ac:dyDescent="0.25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 x14ac:dyDescent="0.25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 x14ac:dyDescent="0.25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 x14ac:dyDescent="0.25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 x14ac:dyDescent="0.25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 x14ac:dyDescent="0.25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 x14ac:dyDescent="0.25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 x14ac:dyDescent="0.25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 x14ac:dyDescent="0.25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 x14ac:dyDescent="0.25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 x14ac:dyDescent="0.25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 x14ac:dyDescent="0.25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 x14ac:dyDescent="0.25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 x14ac:dyDescent="0.25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 x14ac:dyDescent="0.25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 x14ac:dyDescent="0.25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 x14ac:dyDescent="0.25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 x14ac:dyDescent="0.25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 x14ac:dyDescent="0.25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 x14ac:dyDescent="0.25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 x14ac:dyDescent="0.25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 x14ac:dyDescent="0.25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 x14ac:dyDescent="0.25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 x14ac:dyDescent="0.25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 x14ac:dyDescent="0.25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 x14ac:dyDescent="0.25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 x14ac:dyDescent="0.25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 x14ac:dyDescent="0.25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 x14ac:dyDescent="0.25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 x14ac:dyDescent="0.25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 x14ac:dyDescent="0.25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 x14ac:dyDescent="0.25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 x14ac:dyDescent="0.25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 x14ac:dyDescent="0.25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 x14ac:dyDescent="0.25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 x14ac:dyDescent="0.25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 x14ac:dyDescent="0.25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 x14ac:dyDescent="0.25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 x14ac:dyDescent="0.25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 x14ac:dyDescent="0.25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 x14ac:dyDescent="0.25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 x14ac:dyDescent="0.25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 x14ac:dyDescent="0.25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 x14ac:dyDescent="0.25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 x14ac:dyDescent="0.25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 x14ac:dyDescent="0.25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 x14ac:dyDescent="0.25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 x14ac:dyDescent="0.25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 x14ac:dyDescent="0.25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 x14ac:dyDescent="0.25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 x14ac:dyDescent="0.25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 x14ac:dyDescent="0.25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 x14ac:dyDescent="0.25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 x14ac:dyDescent="0.25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 x14ac:dyDescent="0.25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 x14ac:dyDescent="0.25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 x14ac:dyDescent="0.25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 x14ac:dyDescent="0.25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 x14ac:dyDescent="0.25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 x14ac:dyDescent="0.25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 x14ac:dyDescent="0.25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 x14ac:dyDescent="0.25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 x14ac:dyDescent="0.25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25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25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25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25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25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25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25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25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25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25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25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25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25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25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25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25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25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25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25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25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25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25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25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25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25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25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25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25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25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25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25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25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25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25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25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25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25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25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25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25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25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25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25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25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25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25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25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25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25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25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25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25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25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25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25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25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25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25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25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25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25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25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25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25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25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25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25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25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25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25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25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25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25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25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25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25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25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25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25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25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25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25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25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25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25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25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25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25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25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25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25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25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25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25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25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25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25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25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25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25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25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25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25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25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25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25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25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25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25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25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25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25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25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25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25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25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25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25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25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25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25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25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25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L8" sqref="AL8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75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25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25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25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25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25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25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25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25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25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25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25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25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25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25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25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25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25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25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25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25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25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25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25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25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25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25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25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25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25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25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25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25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25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25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25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25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25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25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25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25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25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25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25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25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25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25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25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25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25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25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25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25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25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25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25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25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25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25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25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25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25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25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25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25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25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25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25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25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25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25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25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25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25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25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25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25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25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25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25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25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25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25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25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25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25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25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25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25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25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25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25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25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25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25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25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25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25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25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25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25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25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25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25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25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25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25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25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25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25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25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25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25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25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25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25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25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25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25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25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25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25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25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25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25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25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25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25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25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25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25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25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25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25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25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25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25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25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25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25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25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25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25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25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25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25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25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25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25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25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25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25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25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25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25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25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25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25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25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25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25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25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25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25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25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25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25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25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25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25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25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25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25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25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25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25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25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25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25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25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25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25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25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25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25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25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25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25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25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25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25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25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25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25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25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25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25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25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25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25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25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25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25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25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25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25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25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25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25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25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25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25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25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25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25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25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25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25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25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25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25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25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25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25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25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25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25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25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25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25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25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25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25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25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25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25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25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25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25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25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25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25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25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25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25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25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25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25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25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25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25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25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25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25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25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25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25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25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25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25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25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25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25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25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25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25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25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25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25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25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25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25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25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25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25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25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25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25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25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25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25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25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25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25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25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25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25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25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25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25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25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25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25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25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25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tabSelected="1" workbookViewId="0">
      <selection activeCell="AA63" sqref="AA63"/>
    </sheetView>
  </sheetViews>
  <sheetFormatPr defaultRowHeight="15" x14ac:dyDescent="0.25"/>
  <cols>
    <col min="1" max="1" width="5" bestFit="1" customWidth="1"/>
    <col min="2" max="2" width="9.5703125" bestFit="1" customWidth="1"/>
    <col min="3" max="3" width="9.28515625" bestFit="1" customWidth="1"/>
    <col min="4" max="4" width="10.7109375" bestFit="1" customWidth="1"/>
    <col min="5" max="5" width="11.85546875" bestFit="1" customWidth="1"/>
    <col min="6" max="6" width="11.5703125" bestFit="1" customWidth="1"/>
    <col min="7" max="7" width="13.140625" bestFit="1" customWidth="1"/>
    <col min="8" max="8" width="7.140625" bestFit="1" customWidth="1"/>
    <col min="9" max="9" width="6.85546875" bestFit="1" customWidth="1"/>
    <col min="10" max="10" width="8.28515625" bestFit="1" customWidth="1"/>
    <col min="11" max="11" width="12.42578125" bestFit="1" customWidth="1"/>
    <col min="12" max="12" width="12.28515625" bestFit="1" customWidth="1"/>
  </cols>
  <sheetData>
    <row r="1" spans="1:12" x14ac:dyDescent="0.25">
      <c r="A1" s="4" t="s">
        <v>73</v>
      </c>
      <c r="B1" s="4" t="s">
        <v>217</v>
      </c>
      <c r="C1" s="4" t="s">
        <v>218</v>
      </c>
      <c r="D1" s="4" t="s">
        <v>219</v>
      </c>
      <c r="E1" s="4" t="s">
        <v>220</v>
      </c>
      <c r="F1" s="4" t="s">
        <v>221</v>
      </c>
      <c r="G1" s="4" t="s">
        <v>222</v>
      </c>
      <c r="H1" s="4" t="s">
        <v>223</v>
      </c>
      <c r="I1" s="4" t="s">
        <v>224</v>
      </c>
      <c r="J1" s="4" t="s">
        <v>225</v>
      </c>
      <c r="K1" s="4" t="s">
        <v>226</v>
      </c>
      <c r="L1" s="4" t="s">
        <v>227</v>
      </c>
    </row>
    <row r="2" spans="1:12" x14ac:dyDescent="0.25">
      <c r="A2">
        <v>1900</v>
      </c>
      <c r="B2" s="3">
        <v>43.8</v>
      </c>
      <c r="C2" s="3">
        <v>23.7</v>
      </c>
      <c r="D2" s="3">
        <f>B2-C2</f>
        <v>20.099999999999998</v>
      </c>
      <c r="K2" s="31">
        <f>1000*(L3-L2)/L2</f>
        <v>49.375</v>
      </c>
      <c r="L2" s="25">
        <v>1600</v>
      </c>
    </row>
    <row r="3" spans="1:12" x14ac:dyDescent="0.25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31">
        <f t="shared" ref="K3:K66" si="1">1000*(L4-L3)/L3</f>
        <v>47.051816557474687</v>
      </c>
      <c r="L3" s="25">
        <v>1679</v>
      </c>
    </row>
    <row r="4" spans="1:12" x14ac:dyDescent="0.25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31">
        <f t="shared" si="1"/>
        <v>44.937428896473264</v>
      </c>
      <c r="L4" s="25">
        <v>1758</v>
      </c>
    </row>
    <row r="5" spans="1:12" x14ac:dyDescent="0.25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31">
        <f t="shared" si="1"/>
        <v>22.863364180729452</v>
      </c>
      <c r="L5" s="25">
        <v>1837</v>
      </c>
    </row>
    <row r="6" spans="1:12" x14ac:dyDescent="0.25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31">
        <f t="shared" si="1"/>
        <v>25.545502927088876</v>
      </c>
      <c r="L6" s="25">
        <v>1879</v>
      </c>
    </row>
    <row r="7" spans="1:12" x14ac:dyDescent="0.25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31">
        <f t="shared" si="1"/>
        <v>26.984950700570835</v>
      </c>
      <c r="L7" s="25">
        <v>1927</v>
      </c>
    </row>
    <row r="8" spans="1:12" x14ac:dyDescent="0.25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31">
        <f t="shared" si="1"/>
        <v>27.791814047498736</v>
      </c>
      <c r="L8" s="25">
        <v>1979</v>
      </c>
    </row>
    <row r="9" spans="1:12" x14ac:dyDescent="0.25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31">
        <f t="shared" si="1"/>
        <v>28.515240904621436</v>
      </c>
      <c r="L9" s="25">
        <v>2034</v>
      </c>
    </row>
    <row r="10" spans="1:12" x14ac:dyDescent="0.25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31">
        <f t="shared" si="1"/>
        <v>29.636711281070745</v>
      </c>
      <c r="L10" s="25">
        <v>2092</v>
      </c>
    </row>
    <row r="11" spans="1:12" x14ac:dyDescent="0.25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31">
        <f t="shared" si="1"/>
        <v>30.176415970287838</v>
      </c>
      <c r="L11" s="25">
        <v>2154</v>
      </c>
    </row>
    <row r="12" spans="1:12" x14ac:dyDescent="0.25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31">
        <f t="shared" si="1"/>
        <v>30.64443442992339</v>
      </c>
      <c r="L12" s="25">
        <v>2219</v>
      </c>
    </row>
    <row r="13" spans="1:12" x14ac:dyDescent="0.25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31">
        <f t="shared" si="1"/>
        <v>31.04503716659379</v>
      </c>
      <c r="L13" s="25">
        <v>2287</v>
      </c>
    </row>
    <row r="14" spans="1:12" x14ac:dyDescent="0.25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31">
        <f t="shared" si="1"/>
        <v>23.324851569126377</v>
      </c>
      <c r="L14" s="25">
        <v>2358</v>
      </c>
    </row>
    <row r="15" spans="1:12" x14ac:dyDescent="0.25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31">
        <f t="shared" si="1"/>
        <v>38.95565685868214</v>
      </c>
      <c r="L15" s="25">
        <v>2413</v>
      </c>
    </row>
    <row r="16" spans="1:12" x14ac:dyDescent="0.25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31">
        <f t="shared" si="1"/>
        <v>31.112883925009971</v>
      </c>
      <c r="L16" s="25">
        <v>2507</v>
      </c>
    </row>
    <row r="17" spans="1:12" x14ac:dyDescent="0.25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31">
        <f t="shared" si="1"/>
        <v>30.56092843326886</v>
      </c>
      <c r="L17" s="25">
        <v>2585</v>
      </c>
    </row>
    <row r="18" spans="1:12" x14ac:dyDescent="0.25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31">
        <f t="shared" si="1"/>
        <v>30.780780780780781</v>
      </c>
      <c r="L18" s="25">
        <v>2664</v>
      </c>
    </row>
    <row r="19" spans="1:12" x14ac:dyDescent="0.25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31">
        <f t="shared" si="1"/>
        <v>29.861616897305172</v>
      </c>
      <c r="L19" s="25">
        <v>2746</v>
      </c>
    </row>
    <row r="20" spans="1:12" x14ac:dyDescent="0.25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31">
        <f t="shared" si="1"/>
        <v>29.702970297029704</v>
      </c>
      <c r="L20" s="25">
        <v>2828</v>
      </c>
    </row>
    <row r="21" spans="1:12" x14ac:dyDescent="0.25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31">
        <f t="shared" si="1"/>
        <v>29.189560439560438</v>
      </c>
      <c r="L21" s="25">
        <v>2912</v>
      </c>
    </row>
    <row r="22" spans="1:12" x14ac:dyDescent="0.25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31">
        <f t="shared" si="1"/>
        <v>28.695362028695364</v>
      </c>
      <c r="L22" s="25">
        <v>2997</v>
      </c>
    </row>
    <row r="23" spans="1:12" x14ac:dyDescent="0.25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31">
        <f t="shared" si="1"/>
        <v>28.219266947778138</v>
      </c>
      <c r="L23" s="25">
        <v>3083</v>
      </c>
    </row>
    <row r="24" spans="1:12" x14ac:dyDescent="0.25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31">
        <f t="shared" si="1"/>
        <v>27.444794952681388</v>
      </c>
      <c r="L24" s="25">
        <v>3170</v>
      </c>
    </row>
    <row r="25" spans="1:12" x14ac:dyDescent="0.25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31">
        <f t="shared" si="1"/>
        <v>27.018728891618053</v>
      </c>
      <c r="L25" s="25">
        <v>3257</v>
      </c>
    </row>
    <row r="26" spans="1:12" x14ac:dyDescent="0.25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31">
        <f t="shared" si="1"/>
        <v>26.00896860986547</v>
      </c>
      <c r="L26" s="25">
        <v>3345</v>
      </c>
    </row>
    <row r="27" spans="1:12" x14ac:dyDescent="0.25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31">
        <f t="shared" si="1"/>
        <v>25.34965034965035</v>
      </c>
      <c r="L27" s="25">
        <v>3432</v>
      </c>
    </row>
    <row r="28" spans="1:12" x14ac:dyDescent="0.25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31">
        <f t="shared" si="1"/>
        <v>24.722932651321397</v>
      </c>
      <c r="L28" s="25">
        <v>3519</v>
      </c>
    </row>
    <row r="29" spans="1:12" x14ac:dyDescent="0.25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31">
        <f t="shared" si="1"/>
        <v>-27.45424292845258</v>
      </c>
      <c r="L29" s="25">
        <v>3606</v>
      </c>
    </row>
    <row r="30" spans="1:12" x14ac:dyDescent="0.25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31">
        <f t="shared" si="1"/>
        <v>19.960079840319363</v>
      </c>
      <c r="L30" s="25">
        <v>3507</v>
      </c>
    </row>
    <row r="31" spans="1:12" x14ac:dyDescent="0.25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31">
        <f t="shared" si="1"/>
        <v>19.569471624266146</v>
      </c>
      <c r="L31" s="25">
        <v>3577</v>
      </c>
    </row>
    <row r="32" spans="1:12" x14ac:dyDescent="0.25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31">
        <f t="shared" si="1"/>
        <v>86.372360844529751</v>
      </c>
      <c r="L32" s="25">
        <v>3647</v>
      </c>
    </row>
    <row r="33" spans="1:12" x14ac:dyDescent="0.25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31">
        <f t="shared" si="1"/>
        <v>0</v>
      </c>
      <c r="L33" s="25">
        <v>3962</v>
      </c>
    </row>
    <row r="34" spans="1:12" x14ac:dyDescent="0.25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31">
        <f t="shared" si="1"/>
        <v>0</v>
      </c>
      <c r="L34" s="25">
        <v>3962</v>
      </c>
    </row>
    <row r="35" spans="1:12" x14ac:dyDescent="0.25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31">
        <f t="shared" si="1"/>
        <v>19.434628975265017</v>
      </c>
      <c r="L35" s="25">
        <v>3962</v>
      </c>
    </row>
    <row r="36" spans="1:12" x14ac:dyDescent="0.25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31">
        <f t="shared" si="1"/>
        <v>7.9227531567219609</v>
      </c>
      <c r="L36" s="25">
        <v>4039</v>
      </c>
    </row>
    <row r="37" spans="1:12" x14ac:dyDescent="0.25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31">
        <f t="shared" si="1"/>
        <v>9.3343158929010066</v>
      </c>
      <c r="L37" s="25">
        <v>4071</v>
      </c>
    </row>
    <row r="38" spans="1:12" x14ac:dyDescent="0.25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31">
        <f t="shared" si="1"/>
        <v>13.628620102214651</v>
      </c>
      <c r="L38" s="25">
        <v>4109</v>
      </c>
    </row>
    <row r="39" spans="1:12" x14ac:dyDescent="0.25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31">
        <f t="shared" si="1"/>
        <v>15.126050420168067</v>
      </c>
      <c r="L39" s="25">
        <v>4165</v>
      </c>
    </row>
    <row r="40" spans="1:12" x14ac:dyDescent="0.25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31">
        <f t="shared" si="1"/>
        <v>5.9129612109744558</v>
      </c>
      <c r="L40" s="25">
        <v>4228</v>
      </c>
    </row>
    <row r="41" spans="1:12" x14ac:dyDescent="0.25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31">
        <f t="shared" si="1"/>
        <v>8.9348695038796144</v>
      </c>
      <c r="L41" s="25">
        <v>4253</v>
      </c>
    </row>
    <row r="42" spans="1:12" x14ac:dyDescent="0.25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31">
        <f t="shared" si="1"/>
        <v>8.1566068515497552</v>
      </c>
      <c r="L42" s="25">
        <v>4291</v>
      </c>
    </row>
    <row r="43" spans="1:12" x14ac:dyDescent="0.25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31">
        <f t="shared" si="1"/>
        <v>10.6333795654184</v>
      </c>
      <c r="L43" s="25">
        <v>4326</v>
      </c>
    </row>
    <row r="44" spans="1:12" x14ac:dyDescent="0.25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31">
        <f t="shared" si="1"/>
        <v>93.092406221408964</v>
      </c>
      <c r="L44" s="25">
        <v>4372</v>
      </c>
    </row>
    <row r="45" spans="1:12" x14ac:dyDescent="0.25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31">
        <f t="shared" si="1"/>
        <v>14.64741577735928</v>
      </c>
      <c r="L45" s="25">
        <v>4779</v>
      </c>
    </row>
    <row r="46" spans="1:12" x14ac:dyDescent="0.25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31">
        <f t="shared" si="1"/>
        <v>17.116931326046608</v>
      </c>
      <c r="L46" s="25">
        <v>4849</v>
      </c>
    </row>
    <row r="47" spans="1:12" x14ac:dyDescent="0.25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31">
        <f t="shared" si="1"/>
        <v>21.695052716950528</v>
      </c>
      <c r="L47" s="25">
        <v>4932</v>
      </c>
    </row>
    <row r="48" spans="1:12" x14ac:dyDescent="0.25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31">
        <f t="shared" si="1"/>
        <v>22.425084342131374</v>
      </c>
      <c r="L48" s="25">
        <v>5039</v>
      </c>
    </row>
    <row r="49" spans="1:12" x14ac:dyDescent="0.25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31">
        <f t="shared" si="1"/>
        <v>22.51552795031056</v>
      </c>
      <c r="L49" s="25">
        <v>5152</v>
      </c>
    </row>
    <row r="50" spans="1:12" x14ac:dyDescent="0.25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31">
        <f t="shared" si="1"/>
        <v>22.399392558845861</v>
      </c>
      <c r="L50" s="25">
        <v>5268</v>
      </c>
    </row>
    <row r="51" spans="1:12" x14ac:dyDescent="0.25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31">
        <f t="shared" si="1"/>
        <v>22.651318232454511</v>
      </c>
      <c r="L51" s="25">
        <v>5386</v>
      </c>
    </row>
    <row r="52" spans="1:12" x14ac:dyDescent="0.25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31">
        <f t="shared" si="1"/>
        <v>20.515613652868556</v>
      </c>
      <c r="L52" s="25">
        <v>5508</v>
      </c>
    </row>
    <row r="53" spans="1:12" x14ac:dyDescent="0.25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31">
        <f t="shared" si="1"/>
        <v>18.502045899306172</v>
      </c>
      <c r="L53" s="25">
        <v>5621</v>
      </c>
    </row>
    <row r="54" spans="1:12" x14ac:dyDescent="0.25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31">
        <f t="shared" si="1"/>
        <v>26.375545851528383</v>
      </c>
      <c r="L54" s="25">
        <v>5725</v>
      </c>
    </row>
    <row r="55" spans="1:12" x14ac:dyDescent="0.25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31">
        <f t="shared" si="1"/>
        <v>21.102791014295438</v>
      </c>
      <c r="L55" s="25">
        <v>5876</v>
      </c>
    </row>
    <row r="56" spans="1:12" x14ac:dyDescent="0.25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31">
        <f t="shared" si="1"/>
        <v>21.166666666666668</v>
      </c>
      <c r="L56" s="25">
        <v>6000</v>
      </c>
    </row>
    <row r="57" spans="1:12" x14ac:dyDescent="0.25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31">
        <f t="shared" si="1"/>
        <v>21.054349600130571</v>
      </c>
      <c r="L57" s="25">
        <v>6127</v>
      </c>
    </row>
    <row r="58" spans="1:12" x14ac:dyDescent="0.25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31">
        <f t="shared" si="1"/>
        <v>21.099744245524295</v>
      </c>
      <c r="L58" s="25">
        <v>6256</v>
      </c>
    </row>
    <row r="59" spans="1:12" x14ac:dyDescent="0.25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31">
        <f t="shared" si="1"/>
        <v>21.133375078271758</v>
      </c>
      <c r="L59" s="25">
        <v>6388</v>
      </c>
    </row>
    <row r="60" spans="1:12" x14ac:dyDescent="0.25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31">
        <f t="shared" si="1"/>
        <v>21.155909857427563</v>
      </c>
      <c r="L60" s="25">
        <v>6523</v>
      </c>
    </row>
    <row r="61" spans="1:12" x14ac:dyDescent="0.25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31">
        <f t="shared" si="1"/>
        <v>20.417354751538809</v>
      </c>
      <c r="L61" s="25">
        <v>6661</v>
      </c>
    </row>
    <row r="62" spans="1:12" x14ac:dyDescent="0.25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31">
        <f t="shared" si="1"/>
        <v>20.008827423863469</v>
      </c>
      <c r="L62" s="25">
        <v>6797</v>
      </c>
    </row>
    <row r="63" spans="1:12" x14ac:dyDescent="0.25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31">
        <f t="shared" si="1"/>
        <v>20.914467041684695</v>
      </c>
      <c r="L63" s="25">
        <v>6933</v>
      </c>
    </row>
    <row r="64" spans="1:12" x14ac:dyDescent="0.25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31">
        <f t="shared" si="1"/>
        <v>20.627295846284262</v>
      </c>
      <c r="L64" s="25">
        <v>7078</v>
      </c>
    </row>
    <row r="65" spans="1:12" x14ac:dyDescent="0.25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31">
        <f t="shared" si="1"/>
        <v>20.487264673311184</v>
      </c>
      <c r="L65" s="25">
        <v>7224</v>
      </c>
    </row>
    <row r="66" spans="1:12" x14ac:dyDescent="0.25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31">
        <f t="shared" si="1"/>
        <v>20.482908301682041</v>
      </c>
      <c r="L66" s="25">
        <v>7372</v>
      </c>
    </row>
    <row r="67" spans="1:12" x14ac:dyDescent="0.25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31">
        <f t="shared" ref="K67:K73" si="5">1000*(L68-L67)/L67</f>
        <v>20.204705569586601</v>
      </c>
      <c r="L67" s="25">
        <v>7523</v>
      </c>
    </row>
    <row r="68" spans="1:12" x14ac:dyDescent="0.25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31">
        <f t="shared" si="5"/>
        <v>20.195439739413679</v>
      </c>
      <c r="L68" s="25">
        <v>7675</v>
      </c>
    </row>
    <row r="69" spans="1:12" x14ac:dyDescent="0.25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31">
        <f t="shared" si="5"/>
        <v>20.051085568326947</v>
      </c>
      <c r="L69" s="25">
        <v>7830</v>
      </c>
    </row>
    <row r="70" spans="1:12" x14ac:dyDescent="0.25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31">
        <f t="shared" si="5"/>
        <v>19.782145987229246</v>
      </c>
      <c r="L70" s="25">
        <v>7987</v>
      </c>
    </row>
    <row r="71" spans="1:12" x14ac:dyDescent="0.25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31">
        <f t="shared" si="5"/>
        <v>19.88950276243094</v>
      </c>
      <c r="L71" s="25">
        <v>8145</v>
      </c>
    </row>
    <row r="72" spans="1:12" x14ac:dyDescent="0.25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31">
        <f t="shared" si="5"/>
        <v>19.622005537498495</v>
      </c>
      <c r="L72" s="25">
        <v>8307</v>
      </c>
    </row>
    <row r="73" spans="1:12" x14ac:dyDescent="0.25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31">
        <f t="shared" si="5"/>
        <v>19.598583234946872</v>
      </c>
      <c r="L73" s="25">
        <v>8470</v>
      </c>
    </row>
    <row r="74" spans="1:12" x14ac:dyDescent="0.25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31"/>
      <c r="L74" s="25">
        <v>8636</v>
      </c>
    </row>
    <row r="75" spans="1:12" x14ac:dyDescent="0.25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 x14ac:dyDescent="0.25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 x14ac:dyDescent="0.25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 x14ac:dyDescent="0.25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 x14ac:dyDescent="0.25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 x14ac:dyDescent="0.25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 x14ac:dyDescent="0.25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 x14ac:dyDescent="0.25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 x14ac:dyDescent="0.25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 x14ac:dyDescent="0.25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 x14ac:dyDescent="0.25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 x14ac:dyDescent="0.25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 x14ac:dyDescent="0.25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 x14ac:dyDescent="0.25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 x14ac:dyDescent="0.25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 x14ac:dyDescent="0.25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 x14ac:dyDescent="0.25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 x14ac:dyDescent="0.25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 x14ac:dyDescent="0.25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 x14ac:dyDescent="0.25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 x14ac:dyDescent="0.25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 x14ac:dyDescent="0.25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 x14ac:dyDescent="0.25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 x14ac:dyDescent="0.25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 x14ac:dyDescent="0.25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 x14ac:dyDescent="0.25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 x14ac:dyDescent="0.25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 x14ac:dyDescent="0.25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 x14ac:dyDescent="0.25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 x14ac:dyDescent="0.25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 x14ac:dyDescent="0.25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 x14ac:dyDescent="0.25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 x14ac:dyDescent="0.25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 x14ac:dyDescent="0.25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 x14ac:dyDescent="0.25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 x14ac:dyDescent="0.25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 x14ac:dyDescent="0.25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 x14ac:dyDescent="0.25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 x14ac:dyDescent="0.25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 x14ac:dyDescent="0.25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 x14ac:dyDescent="0.25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 x14ac:dyDescent="0.25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 x14ac:dyDescent="0.25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 x14ac:dyDescent="0.25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 x14ac:dyDescent="0.25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 x14ac:dyDescent="0.25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 x14ac:dyDescent="0.25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 x14ac:dyDescent="0.25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 x14ac:dyDescent="0.25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 x14ac:dyDescent="0.25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 x14ac:dyDescent="0.25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32" sqref="AK32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75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25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25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25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25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25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25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25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25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25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25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25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25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25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25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25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25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25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25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25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25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25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25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25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25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25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25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25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25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25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25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25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25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25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25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25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25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25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25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25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25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25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25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25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25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25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25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25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25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25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25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25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25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25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25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25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25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25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25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25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25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25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25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25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25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25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25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25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25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25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25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25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25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25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25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25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25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25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25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25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25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25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25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25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25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25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25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25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25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25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25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25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25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25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25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25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25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25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25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25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25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25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25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25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25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25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25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25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25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25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25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25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25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25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25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25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25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25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25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25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25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25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25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25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25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25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25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25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25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25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25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25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25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25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25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25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25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25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25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25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25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25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25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25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25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25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25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25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25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25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25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25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25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25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25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25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25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25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25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25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25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25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25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25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25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25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25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25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25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25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25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25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25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25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25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25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25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25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25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25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25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25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25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25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25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25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25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25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25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25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25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25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25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25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25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25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25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25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25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25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25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25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25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25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25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25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25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25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25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25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25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25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25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25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25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25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25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25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25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25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25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25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25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25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25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25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25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25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25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25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25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25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25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25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25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25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25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25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25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25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25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25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25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25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25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75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25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25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25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25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25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25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25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25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25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25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25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25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25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25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25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25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25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25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25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25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25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25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25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25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25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25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25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25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25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25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25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25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25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25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25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25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25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25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25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25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25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25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25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25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25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75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25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25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25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25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25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25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25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25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25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25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25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25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25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25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25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25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25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25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25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13" sqref="AK1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160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" sqref="F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160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25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25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25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25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25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25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25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25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25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25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25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25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25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25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25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25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25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25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25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G3" sqref="G3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29" t="s">
        <v>100</v>
      </c>
      <c r="C1" s="29"/>
      <c r="D1" s="29" t="s">
        <v>75</v>
      </c>
      <c r="E1" s="29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25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25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25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25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25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25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25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25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25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25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25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25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25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25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25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25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25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25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25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25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25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25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25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25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25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25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25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25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25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25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25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25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25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25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25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25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25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25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25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25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25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25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25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25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25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25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25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25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25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25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25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25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25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25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25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25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25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25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25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25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25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25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25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25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25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25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25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25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25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25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25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25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25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25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25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25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25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25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25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25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25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25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25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25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25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25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25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25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25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25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25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25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25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25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25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25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25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25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25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25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25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25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25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25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25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25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25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25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25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25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25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25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25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25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25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25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25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25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25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25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25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25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25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25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25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topLeftCell="A37" workbookViewId="0">
      <selection activeCell="A58" sqref="A58:E131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29" t="s">
        <v>100</v>
      </c>
      <c r="C1" s="29"/>
      <c r="D1" s="29" t="s">
        <v>75</v>
      </c>
      <c r="E1" s="29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25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25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25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25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25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25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25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25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25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25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25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25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25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25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25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25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25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25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25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25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25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25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25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25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25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25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25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25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25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25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25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25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25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25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25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25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25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25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25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25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25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25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25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25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25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25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25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25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25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25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25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25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25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25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25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25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25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25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25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25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25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25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25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25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25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25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25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25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25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25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25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25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25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25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25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25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25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25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25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25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25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25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25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25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25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25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25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25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25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25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25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25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25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25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25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25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25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25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25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25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25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25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25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25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25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25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25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25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25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25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25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25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25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25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25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25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25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25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25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25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25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25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25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25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25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31"/>
  <sheetViews>
    <sheetView zoomScaleNormal="100" workbookViewId="0">
      <selection activeCell="AK28" sqref="AK28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9" max="9" width="5" bestFit="1" customWidth="1"/>
    <col min="10" max="10" width="13.85546875" bestFit="1" customWidth="1"/>
    <col min="11" max="11" width="11.5703125" bestFit="1" customWidth="1"/>
    <col min="12" max="12" width="5.28515625" bestFit="1" customWidth="1"/>
  </cols>
  <sheetData>
    <row r="1" spans="1:12" x14ac:dyDescent="0.25">
      <c r="B1" s="29" t="s">
        <v>100</v>
      </c>
      <c r="C1" s="29"/>
      <c r="D1" s="29" t="s">
        <v>160</v>
      </c>
      <c r="E1" s="29"/>
    </row>
    <row r="2" spans="1:12" x14ac:dyDescent="0.25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25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25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 x14ac:dyDescent="0.25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 x14ac:dyDescent="0.25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 x14ac:dyDescent="0.25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 x14ac:dyDescent="0.25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 x14ac:dyDescent="0.25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 x14ac:dyDescent="0.25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 x14ac:dyDescent="0.25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 x14ac:dyDescent="0.25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 x14ac:dyDescent="0.25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 x14ac:dyDescent="0.25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 x14ac:dyDescent="0.25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 x14ac:dyDescent="0.25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 x14ac:dyDescent="0.25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 x14ac:dyDescent="0.25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 x14ac:dyDescent="0.25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 x14ac:dyDescent="0.25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 x14ac:dyDescent="0.25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 x14ac:dyDescent="0.25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 x14ac:dyDescent="0.25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 x14ac:dyDescent="0.25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 x14ac:dyDescent="0.25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 x14ac:dyDescent="0.25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 x14ac:dyDescent="0.25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 x14ac:dyDescent="0.25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 x14ac:dyDescent="0.25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 x14ac:dyDescent="0.25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 x14ac:dyDescent="0.25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 x14ac:dyDescent="0.25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 x14ac:dyDescent="0.25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 x14ac:dyDescent="0.25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 x14ac:dyDescent="0.25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 x14ac:dyDescent="0.25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 x14ac:dyDescent="0.25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 x14ac:dyDescent="0.25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 x14ac:dyDescent="0.25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 x14ac:dyDescent="0.25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 x14ac:dyDescent="0.25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 x14ac:dyDescent="0.25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 x14ac:dyDescent="0.25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 x14ac:dyDescent="0.25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 x14ac:dyDescent="0.25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 x14ac:dyDescent="0.25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 x14ac:dyDescent="0.25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 x14ac:dyDescent="0.25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 x14ac:dyDescent="0.25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 x14ac:dyDescent="0.25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 x14ac:dyDescent="0.25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 x14ac:dyDescent="0.25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 x14ac:dyDescent="0.25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 x14ac:dyDescent="0.25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 x14ac:dyDescent="0.25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 x14ac:dyDescent="0.25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 x14ac:dyDescent="0.25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 x14ac:dyDescent="0.25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 x14ac:dyDescent="0.25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 x14ac:dyDescent="0.25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 x14ac:dyDescent="0.25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 x14ac:dyDescent="0.25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 x14ac:dyDescent="0.25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 x14ac:dyDescent="0.25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 x14ac:dyDescent="0.25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 x14ac:dyDescent="0.25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 x14ac:dyDescent="0.25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 x14ac:dyDescent="0.25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 x14ac:dyDescent="0.25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 x14ac:dyDescent="0.25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 x14ac:dyDescent="0.25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 x14ac:dyDescent="0.25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 x14ac:dyDescent="0.25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 x14ac:dyDescent="0.25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 x14ac:dyDescent="0.25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 x14ac:dyDescent="0.25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 x14ac:dyDescent="0.25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 x14ac:dyDescent="0.25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 x14ac:dyDescent="0.25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 x14ac:dyDescent="0.25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 x14ac:dyDescent="0.25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 x14ac:dyDescent="0.25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 x14ac:dyDescent="0.25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 x14ac:dyDescent="0.25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 x14ac:dyDescent="0.25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 x14ac:dyDescent="0.25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 x14ac:dyDescent="0.25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 x14ac:dyDescent="0.25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 x14ac:dyDescent="0.25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 x14ac:dyDescent="0.25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 x14ac:dyDescent="0.25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 x14ac:dyDescent="0.25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 x14ac:dyDescent="0.25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 x14ac:dyDescent="0.25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 x14ac:dyDescent="0.25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 x14ac:dyDescent="0.25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 x14ac:dyDescent="0.25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 x14ac:dyDescent="0.25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 x14ac:dyDescent="0.25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 x14ac:dyDescent="0.25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 x14ac:dyDescent="0.25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 x14ac:dyDescent="0.25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 x14ac:dyDescent="0.25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 x14ac:dyDescent="0.25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 x14ac:dyDescent="0.25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 x14ac:dyDescent="0.25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 x14ac:dyDescent="0.25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 x14ac:dyDescent="0.25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 x14ac:dyDescent="0.25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 x14ac:dyDescent="0.25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 x14ac:dyDescent="0.25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 x14ac:dyDescent="0.25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 x14ac:dyDescent="0.25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 x14ac:dyDescent="0.25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 x14ac:dyDescent="0.25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 x14ac:dyDescent="0.25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 x14ac:dyDescent="0.25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 x14ac:dyDescent="0.25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 x14ac:dyDescent="0.25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 x14ac:dyDescent="0.25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 x14ac:dyDescent="0.25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 x14ac:dyDescent="0.25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 x14ac:dyDescent="0.25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 x14ac:dyDescent="0.25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 x14ac:dyDescent="0.25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 x14ac:dyDescent="0.25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 x14ac:dyDescent="0.25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 x14ac:dyDescent="0.25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 x14ac:dyDescent="0.25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 x14ac:dyDescent="0.25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 x14ac:dyDescent="0.25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31"/>
  <sheetViews>
    <sheetView workbookViewId="0">
      <selection activeCell="AN23" sqref="AN23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9" max="9" width="5" bestFit="1" customWidth="1"/>
    <col min="10" max="10" width="13.85546875" bestFit="1" customWidth="1"/>
    <col min="11" max="11" width="11.5703125" bestFit="1" customWidth="1"/>
    <col min="12" max="12" width="5.28515625" bestFit="1" customWidth="1"/>
  </cols>
  <sheetData>
    <row r="1" spans="1:12" x14ac:dyDescent="0.25">
      <c r="B1" s="29" t="s">
        <v>100</v>
      </c>
      <c r="C1" s="29"/>
      <c r="D1" s="29" t="s">
        <v>160</v>
      </c>
      <c r="E1" s="29"/>
    </row>
    <row r="2" spans="1:12" x14ac:dyDescent="0.25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25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25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 x14ac:dyDescent="0.25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 x14ac:dyDescent="0.25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 x14ac:dyDescent="0.25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 x14ac:dyDescent="0.25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 x14ac:dyDescent="0.25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 x14ac:dyDescent="0.25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 x14ac:dyDescent="0.25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 x14ac:dyDescent="0.25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 x14ac:dyDescent="0.25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 x14ac:dyDescent="0.25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 x14ac:dyDescent="0.25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 x14ac:dyDescent="0.25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 x14ac:dyDescent="0.25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 x14ac:dyDescent="0.25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 x14ac:dyDescent="0.25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 x14ac:dyDescent="0.25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 x14ac:dyDescent="0.25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 x14ac:dyDescent="0.25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 x14ac:dyDescent="0.25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 x14ac:dyDescent="0.25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 x14ac:dyDescent="0.25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 x14ac:dyDescent="0.25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 x14ac:dyDescent="0.25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 x14ac:dyDescent="0.25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 x14ac:dyDescent="0.25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 x14ac:dyDescent="0.25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 x14ac:dyDescent="0.25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 x14ac:dyDescent="0.25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 x14ac:dyDescent="0.25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 x14ac:dyDescent="0.25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 x14ac:dyDescent="0.25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 x14ac:dyDescent="0.25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 x14ac:dyDescent="0.25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 x14ac:dyDescent="0.25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 x14ac:dyDescent="0.25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 x14ac:dyDescent="0.25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 x14ac:dyDescent="0.25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 x14ac:dyDescent="0.25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 x14ac:dyDescent="0.25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 x14ac:dyDescent="0.25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 x14ac:dyDescent="0.25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 x14ac:dyDescent="0.25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 x14ac:dyDescent="0.25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 x14ac:dyDescent="0.25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 x14ac:dyDescent="0.25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 x14ac:dyDescent="0.25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 x14ac:dyDescent="0.25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 x14ac:dyDescent="0.25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 x14ac:dyDescent="0.25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 x14ac:dyDescent="0.25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 x14ac:dyDescent="0.25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 x14ac:dyDescent="0.25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 x14ac:dyDescent="0.25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 x14ac:dyDescent="0.25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 x14ac:dyDescent="0.25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 x14ac:dyDescent="0.25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 x14ac:dyDescent="0.25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 x14ac:dyDescent="0.25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 x14ac:dyDescent="0.25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 x14ac:dyDescent="0.25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 x14ac:dyDescent="0.25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 x14ac:dyDescent="0.25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 x14ac:dyDescent="0.25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 x14ac:dyDescent="0.25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 x14ac:dyDescent="0.25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 x14ac:dyDescent="0.25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 x14ac:dyDescent="0.25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 x14ac:dyDescent="0.25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 x14ac:dyDescent="0.25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 x14ac:dyDescent="0.25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 x14ac:dyDescent="0.25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 x14ac:dyDescent="0.25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 x14ac:dyDescent="0.25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 x14ac:dyDescent="0.25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 x14ac:dyDescent="0.25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 x14ac:dyDescent="0.25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 x14ac:dyDescent="0.25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 x14ac:dyDescent="0.25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 x14ac:dyDescent="0.25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 x14ac:dyDescent="0.25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 x14ac:dyDescent="0.25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 x14ac:dyDescent="0.25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 x14ac:dyDescent="0.25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 x14ac:dyDescent="0.25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 x14ac:dyDescent="0.25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 x14ac:dyDescent="0.25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 x14ac:dyDescent="0.25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 x14ac:dyDescent="0.25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 x14ac:dyDescent="0.25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 x14ac:dyDescent="0.25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 x14ac:dyDescent="0.25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 x14ac:dyDescent="0.25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 x14ac:dyDescent="0.25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 x14ac:dyDescent="0.25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 x14ac:dyDescent="0.25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 x14ac:dyDescent="0.25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 x14ac:dyDescent="0.25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 x14ac:dyDescent="0.25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 x14ac:dyDescent="0.25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 x14ac:dyDescent="0.25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 x14ac:dyDescent="0.25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 x14ac:dyDescent="0.25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 x14ac:dyDescent="0.25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 x14ac:dyDescent="0.25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 x14ac:dyDescent="0.25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 x14ac:dyDescent="0.25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 x14ac:dyDescent="0.25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 x14ac:dyDescent="0.25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 x14ac:dyDescent="0.25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 x14ac:dyDescent="0.25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 x14ac:dyDescent="0.25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 x14ac:dyDescent="0.25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 x14ac:dyDescent="0.25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 x14ac:dyDescent="0.25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 x14ac:dyDescent="0.25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 x14ac:dyDescent="0.25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 x14ac:dyDescent="0.25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 x14ac:dyDescent="0.25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 x14ac:dyDescent="0.25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 x14ac:dyDescent="0.25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 x14ac:dyDescent="0.25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 x14ac:dyDescent="0.25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 x14ac:dyDescent="0.25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 x14ac:dyDescent="0.25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 x14ac:dyDescent="0.25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 x14ac:dyDescent="0.25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 x14ac:dyDescent="0.25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25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25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25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25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25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25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25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25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25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25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25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25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25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25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25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2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2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2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2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2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2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25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25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25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25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25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25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2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2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2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25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2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2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2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2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25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2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25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25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2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25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2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2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25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25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25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2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25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25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25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2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25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25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2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2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25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2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2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25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25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2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25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25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2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2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25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2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25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25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25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2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25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25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2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2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25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25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25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25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25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25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25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25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25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25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25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25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25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25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2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25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2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25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25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2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25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25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2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2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25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25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25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2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2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25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2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25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2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2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2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2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2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25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2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25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25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25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25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2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25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2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25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25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25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 x14ac:dyDescent="0.25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 x14ac:dyDescent="0.25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 x14ac:dyDescent="0.25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 x14ac:dyDescent="0.25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 x14ac:dyDescent="0.25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 x14ac:dyDescent="0.25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 x14ac:dyDescent="0.25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 x14ac:dyDescent="0.25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 x14ac:dyDescent="0.25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 x14ac:dyDescent="0.25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 x14ac:dyDescent="0.25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 x14ac:dyDescent="0.25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 x14ac:dyDescent="0.25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 x14ac:dyDescent="0.25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 x14ac:dyDescent="0.25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 x14ac:dyDescent="0.25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 x14ac:dyDescent="0.25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 x14ac:dyDescent="0.25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 x14ac:dyDescent="0.25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 x14ac:dyDescent="0.25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 x14ac:dyDescent="0.25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 x14ac:dyDescent="0.25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 x14ac:dyDescent="0.25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 x14ac:dyDescent="0.25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 x14ac:dyDescent="0.25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 x14ac:dyDescent="0.25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 x14ac:dyDescent="0.25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 x14ac:dyDescent="0.25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 x14ac:dyDescent="0.25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 x14ac:dyDescent="0.25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 x14ac:dyDescent="0.25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 x14ac:dyDescent="0.25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 x14ac:dyDescent="0.25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 x14ac:dyDescent="0.25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 x14ac:dyDescent="0.25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 x14ac:dyDescent="0.25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 x14ac:dyDescent="0.25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 x14ac:dyDescent="0.25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 x14ac:dyDescent="0.25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 x14ac:dyDescent="0.25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 x14ac:dyDescent="0.25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 x14ac:dyDescent="0.25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 x14ac:dyDescent="0.25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 x14ac:dyDescent="0.25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 x14ac:dyDescent="0.25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 x14ac:dyDescent="0.25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 x14ac:dyDescent="0.25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 x14ac:dyDescent="0.25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 x14ac:dyDescent="0.25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 x14ac:dyDescent="0.25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 x14ac:dyDescent="0.25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 x14ac:dyDescent="0.25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 x14ac:dyDescent="0.25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 x14ac:dyDescent="0.25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 x14ac:dyDescent="0.25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 x14ac:dyDescent="0.25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 x14ac:dyDescent="0.25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 x14ac:dyDescent="0.25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 x14ac:dyDescent="0.25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 x14ac:dyDescent="0.25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 x14ac:dyDescent="0.25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 x14ac:dyDescent="0.25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 x14ac:dyDescent="0.25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 x14ac:dyDescent="0.25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 x14ac:dyDescent="0.25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 x14ac:dyDescent="0.25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 x14ac:dyDescent="0.25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 x14ac:dyDescent="0.25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 x14ac:dyDescent="0.25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 x14ac:dyDescent="0.25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 x14ac:dyDescent="0.25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 x14ac:dyDescent="0.25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 x14ac:dyDescent="0.25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 x14ac:dyDescent="0.25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 x14ac:dyDescent="0.25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 x14ac:dyDescent="0.25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 x14ac:dyDescent="0.25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 x14ac:dyDescent="0.25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 x14ac:dyDescent="0.25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 x14ac:dyDescent="0.25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 x14ac:dyDescent="0.25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 x14ac:dyDescent="0.25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 x14ac:dyDescent="0.25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 x14ac:dyDescent="0.25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 x14ac:dyDescent="0.25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 x14ac:dyDescent="0.25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 x14ac:dyDescent="0.25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 x14ac:dyDescent="0.25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 x14ac:dyDescent="0.25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 x14ac:dyDescent="0.25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 x14ac:dyDescent="0.25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 x14ac:dyDescent="0.25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 x14ac:dyDescent="0.25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 x14ac:dyDescent="0.25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 x14ac:dyDescent="0.25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 x14ac:dyDescent="0.25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 x14ac:dyDescent="0.25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 x14ac:dyDescent="0.25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 x14ac:dyDescent="0.25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 x14ac:dyDescent="0.25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 x14ac:dyDescent="0.25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 x14ac:dyDescent="0.25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 x14ac:dyDescent="0.25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 x14ac:dyDescent="0.25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 x14ac:dyDescent="0.25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 x14ac:dyDescent="0.25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 x14ac:dyDescent="0.25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 x14ac:dyDescent="0.25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 x14ac:dyDescent="0.25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 x14ac:dyDescent="0.25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 x14ac:dyDescent="0.25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 x14ac:dyDescent="0.25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 x14ac:dyDescent="0.25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 x14ac:dyDescent="0.25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 x14ac:dyDescent="0.25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 x14ac:dyDescent="0.25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 x14ac:dyDescent="0.25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 x14ac:dyDescent="0.25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 x14ac:dyDescent="0.25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 x14ac:dyDescent="0.25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 x14ac:dyDescent="0.25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 x14ac:dyDescent="0.25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 x14ac:dyDescent="0.25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F34" sqref="AF3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25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</row>
    <row r="3" spans="1:6" x14ac:dyDescent="0.25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6" x14ac:dyDescent="0.25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</row>
    <row r="5" spans="1:6" x14ac:dyDescent="0.25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</row>
    <row r="6" spans="1:6" x14ac:dyDescent="0.25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</row>
    <row r="7" spans="1:6" x14ac:dyDescent="0.25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</row>
    <row r="8" spans="1:6" x14ac:dyDescent="0.25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</row>
    <row r="9" spans="1:6" x14ac:dyDescent="0.25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6" x14ac:dyDescent="0.25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</row>
    <row r="11" spans="1:6" x14ac:dyDescent="0.25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6" x14ac:dyDescent="0.25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</row>
    <row r="13" spans="1:6" x14ac:dyDescent="0.25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</row>
    <row r="14" spans="1:6" x14ac:dyDescent="0.25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6" x14ac:dyDescent="0.25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</row>
    <row r="16" spans="1:6" x14ac:dyDescent="0.25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</row>
    <row r="17" spans="1:6" x14ac:dyDescent="0.25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</row>
    <row r="18" spans="1:6" x14ac:dyDescent="0.25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</row>
    <row r="19" spans="1:6" x14ac:dyDescent="0.25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6" x14ac:dyDescent="0.25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</row>
    <row r="21" spans="1:6" x14ac:dyDescent="0.25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</row>
    <row r="22" spans="1:6" x14ac:dyDescent="0.25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</row>
    <row r="23" spans="1:6" x14ac:dyDescent="0.25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6" x14ac:dyDescent="0.25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</row>
    <row r="25" spans="1:6" x14ac:dyDescent="0.25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</row>
    <row r="26" spans="1:6" x14ac:dyDescent="0.25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6" x14ac:dyDescent="0.25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6" x14ac:dyDescent="0.25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6" x14ac:dyDescent="0.25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6" x14ac:dyDescent="0.25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6" x14ac:dyDescent="0.25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6" x14ac:dyDescent="0.25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 x14ac:dyDescent="0.25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 x14ac:dyDescent="0.25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 x14ac:dyDescent="0.25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 x14ac:dyDescent="0.25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 x14ac:dyDescent="0.25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 x14ac:dyDescent="0.25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 x14ac:dyDescent="0.25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 x14ac:dyDescent="0.25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 x14ac:dyDescent="0.25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 x14ac:dyDescent="0.25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 x14ac:dyDescent="0.25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 x14ac:dyDescent="0.25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 x14ac:dyDescent="0.25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 x14ac:dyDescent="0.25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 x14ac:dyDescent="0.25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 x14ac:dyDescent="0.25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 x14ac:dyDescent="0.25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 x14ac:dyDescent="0.25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 x14ac:dyDescent="0.25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 x14ac:dyDescent="0.25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 x14ac:dyDescent="0.25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 x14ac:dyDescent="0.25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 x14ac:dyDescent="0.25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 x14ac:dyDescent="0.25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 x14ac:dyDescent="0.25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 x14ac:dyDescent="0.25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 x14ac:dyDescent="0.25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 x14ac:dyDescent="0.25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 x14ac:dyDescent="0.25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 x14ac:dyDescent="0.25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 x14ac:dyDescent="0.25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 x14ac:dyDescent="0.25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 x14ac:dyDescent="0.25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 x14ac:dyDescent="0.25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 x14ac:dyDescent="0.25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 x14ac:dyDescent="0.25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 x14ac:dyDescent="0.25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 x14ac:dyDescent="0.25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 x14ac:dyDescent="0.25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 x14ac:dyDescent="0.25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 x14ac:dyDescent="0.25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 x14ac:dyDescent="0.25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 x14ac:dyDescent="0.25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 x14ac:dyDescent="0.25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 x14ac:dyDescent="0.25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 x14ac:dyDescent="0.25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 x14ac:dyDescent="0.25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 x14ac:dyDescent="0.25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 x14ac:dyDescent="0.25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 x14ac:dyDescent="0.25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 x14ac:dyDescent="0.25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 x14ac:dyDescent="0.25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25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25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25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25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25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25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25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25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25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25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25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25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25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25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25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25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25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25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25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25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25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25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25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25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25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25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25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25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25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25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25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25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25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25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25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25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25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25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25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25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25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activeCell="AI8" sqref="AI8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25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25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25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25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25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25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25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25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25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25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25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25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25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25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25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25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25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25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25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25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25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25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25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25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25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25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25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25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25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25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25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25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25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25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25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25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25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25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25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25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25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25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25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25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25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25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25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25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25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25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25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25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25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25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25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25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25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25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25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25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25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25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25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25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25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25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25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25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25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25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25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25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25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25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25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25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25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25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25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25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25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25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25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25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25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25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25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25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25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25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25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25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25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25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25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25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25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25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25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25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25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25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25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25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25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25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25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25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25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25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25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25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25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25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25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25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25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25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25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25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25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25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25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75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25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25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25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25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25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25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25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25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25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25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25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25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25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25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25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25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25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25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25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25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25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25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25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25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25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25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25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25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25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25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25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25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25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25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25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25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25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25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25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25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25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25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25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25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25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25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25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25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25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25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25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25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25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25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25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25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25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25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25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25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25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25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25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25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25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25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25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25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25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25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25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25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25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25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25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25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25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25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25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25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25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25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25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25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25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25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25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25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25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25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25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25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25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25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25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25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25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25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25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25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25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25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25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25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25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25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25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25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25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25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25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25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25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25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25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25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25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25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25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25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25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25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25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25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25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25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25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25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25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25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25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25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25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25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25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25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25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25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25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25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25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25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25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25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25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25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25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25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25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25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25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25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25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25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25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25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25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25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25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25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25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25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25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25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25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25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25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25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25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25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25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25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25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25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25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25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25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25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25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25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25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25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25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25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25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25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25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25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25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25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25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25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25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25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25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25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25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25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25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25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25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25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25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25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25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25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25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25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25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25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25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25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25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25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25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25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25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25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25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25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25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25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25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25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25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25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25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25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25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25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25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25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25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25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25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25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25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25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25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25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25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25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25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25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25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25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25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25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25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25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25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25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25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25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5" x14ac:dyDescent="0.25"/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25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25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25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25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25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25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25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25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25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25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25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25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25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25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25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25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25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25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25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25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25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25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25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25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25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25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25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25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25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25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25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25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25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25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25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25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25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25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25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25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25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25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25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25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25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25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25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25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25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25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25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25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25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25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25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25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25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25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25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25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25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25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25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25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25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25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25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25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25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25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25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25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25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25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25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25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25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25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25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25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25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25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25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25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25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25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25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25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25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25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25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25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25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25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25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25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25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25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25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25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25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25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25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25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25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25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25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25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25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5" x14ac:dyDescent="0.2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75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25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25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25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25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25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25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25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25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25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25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25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25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25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25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25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25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25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25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25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25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25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25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25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25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25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25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25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25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25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25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25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25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25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25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25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25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25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25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25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25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25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25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25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25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25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25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25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25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25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25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25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25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25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25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25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25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25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25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25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25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25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25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25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25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25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25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25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25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25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25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25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25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25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25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25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25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25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25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25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25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25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25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25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25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25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25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25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25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25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25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25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25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25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25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25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25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25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25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25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25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25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25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25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25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25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25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25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25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25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25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25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25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25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25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25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25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25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25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25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25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25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25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25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25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25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25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25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25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25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25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25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25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25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25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25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25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25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25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25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25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25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25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25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25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25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25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25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25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25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25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25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25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25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25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25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25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25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25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25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25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25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25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25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25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25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25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25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25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25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25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25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25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25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25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25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25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25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25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25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25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25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2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2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2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25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25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25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25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25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25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2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25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25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25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2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2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2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2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25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2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25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25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25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25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25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25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2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2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25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2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2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2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25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25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25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25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25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25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25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25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25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25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25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25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25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25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25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25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2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25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2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25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25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25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25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2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25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25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25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25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25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25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25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25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25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25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25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25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25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25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25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25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25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25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25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25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25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2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2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2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25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25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25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2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25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25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25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25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2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2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2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25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25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25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25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25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25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2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25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2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2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25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2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2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25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2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25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25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25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25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25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2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25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25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25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25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25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25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25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2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25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25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25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25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25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25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25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25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25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25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25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25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25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25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25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25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25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25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2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25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25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25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25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25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2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25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25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25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25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25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25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25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25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25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25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25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25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25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25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25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25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25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2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25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3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25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25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 x14ac:dyDescent="0.25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 x14ac:dyDescent="0.25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 x14ac:dyDescent="0.25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 x14ac:dyDescent="0.25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 x14ac:dyDescent="0.25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 x14ac:dyDescent="0.25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 x14ac:dyDescent="0.25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 x14ac:dyDescent="0.25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 x14ac:dyDescent="0.25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 x14ac:dyDescent="0.25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 x14ac:dyDescent="0.25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 x14ac:dyDescent="0.25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 x14ac:dyDescent="0.25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 x14ac:dyDescent="0.25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 x14ac:dyDescent="0.25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 x14ac:dyDescent="0.25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 x14ac:dyDescent="0.25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 x14ac:dyDescent="0.25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 x14ac:dyDescent="0.25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 x14ac:dyDescent="0.25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25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25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25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25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25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25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25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25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25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25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25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25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25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25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25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25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25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25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25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25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25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25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25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25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25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25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25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25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25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25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25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25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25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25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25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25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25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25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25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25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25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25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25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25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25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25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25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25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25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25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25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25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25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25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25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25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25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25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25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25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25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25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25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25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25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25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25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25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25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25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25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25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25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25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25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25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25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25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25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25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25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25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25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25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25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25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25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39</vt:i4>
      </vt:variant>
      <vt:variant>
        <vt:lpstr>Named Ranges</vt:lpstr>
      </vt:variant>
      <vt:variant>
        <vt:i4>1</vt:i4>
      </vt:variant>
    </vt:vector>
  </HeadingPairs>
  <TitlesOfParts>
    <vt:vector size="40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Гондурас-правка</vt:lpstr>
      <vt:lpstr>Доминиканская республика</vt:lpstr>
      <vt:lpstr>Колумбия</vt:lpstr>
      <vt:lpstr>Коста-Рика-Бриньоли</vt:lpstr>
      <vt:lpstr>Коста-Рика-Колвер</vt:lpstr>
      <vt:lpstr>Куба-все</vt:lpstr>
      <vt:lpstr>Куба-Бриньоли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Мексика-Колвер-СONAPO</vt:lpstr>
      <vt:lpstr>Мексика-Колвер-СONAPO-реформа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2026-06-09T17:49:36Z</dcterms:modified>
</cp:coreProperties>
</file>