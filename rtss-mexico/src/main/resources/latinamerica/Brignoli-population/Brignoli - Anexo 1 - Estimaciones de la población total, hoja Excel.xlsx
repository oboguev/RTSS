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hectorperez-brignoli1/Documents/ALatina transición demo/"/>
    </mc:Choice>
  </mc:AlternateContent>
  <xr:revisionPtr revIDLastSave="0" documentId="13_ncr:1_{37DA2686-BA63-944A-B543-D41EDCB93390}" xr6:coauthVersionLast="46" xr6:coauthVersionMax="46" xr10:uidLastSave="{00000000-0000-0000-0000-000000000000}"/>
  <bookViews>
    <workbookView xWindow="0" yWindow="460" windowWidth="37320" windowHeight="14240" firstSheet="1" activeTab="5" xr2:uid="{00000000-000D-0000-FFFF-FFFF00000000}"/>
  </bookViews>
  <sheets>
    <sheet name="Mexico - Central America" sheetId="1" r:id="rId1"/>
    <sheet name="Caribbean" sheetId="2" r:id="rId2"/>
    <sheet name="Andean Countries" sheetId="3" r:id="rId3"/>
    <sheet name="Brazil - Argentina - Paraguay" sheetId="4" r:id="rId4"/>
    <sheet name="Non-Spanish caribb" sheetId="5" r:id="rId5"/>
    <sheet name="general" sheetId="7" r:id="rId6"/>
    <sheet name="Sheet1" sheetId="8" r:id="rId7"/>
  </sheet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2" i="7" l="1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AA33" i="8"/>
  <c r="X20" i="8"/>
  <c r="X21" i="8"/>
  <c r="X22" i="8"/>
  <c r="X23" i="8"/>
  <c r="X24" i="8"/>
  <c r="X25" i="8"/>
  <c r="X26" i="8"/>
  <c r="X27" i="8"/>
  <c r="X28" i="8"/>
  <c r="X29" i="8"/>
  <c r="X30" i="8"/>
  <c r="X31" i="8"/>
  <c r="Y15" i="8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251" i="3"/>
  <c r="G251" i="3"/>
  <c r="H250" i="3"/>
  <c r="G250" i="3"/>
  <c r="H249" i="3"/>
  <c r="G249" i="3"/>
  <c r="H248" i="3"/>
  <c r="G248" i="3"/>
  <c r="H247" i="3"/>
  <c r="G247" i="3"/>
  <c r="H246" i="3"/>
  <c r="G246" i="3"/>
  <c r="H245" i="3"/>
  <c r="G245" i="3"/>
  <c r="H244" i="3"/>
  <c r="G244" i="3"/>
  <c r="H243" i="3"/>
  <c r="G243" i="3"/>
  <c r="H242" i="3"/>
  <c r="G242" i="3"/>
  <c r="H241" i="3"/>
  <c r="G241" i="3"/>
  <c r="H240" i="3"/>
  <c r="G240" i="3"/>
  <c r="H239" i="3"/>
  <c r="G239" i="3"/>
  <c r="H238" i="3"/>
  <c r="G238" i="3"/>
  <c r="H237" i="3"/>
  <c r="G237" i="3"/>
  <c r="H236" i="3"/>
  <c r="G236" i="3"/>
  <c r="H235" i="3"/>
  <c r="G235" i="3"/>
  <c r="H234" i="3"/>
  <c r="G234" i="3"/>
  <c r="H233" i="3"/>
  <c r="G233" i="3"/>
  <c r="H232" i="3"/>
  <c r="G232" i="3"/>
  <c r="H231" i="3"/>
  <c r="G231" i="3"/>
  <c r="H230" i="3"/>
  <c r="G230" i="3"/>
  <c r="H229" i="3"/>
  <c r="G229" i="3"/>
  <c r="H228" i="3"/>
  <c r="G228" i="3"/>
  <c r="H227" i="3"/>
  <c r="G227" i="3"/>
  <c r="H226" i="3"/>
  <c r="G226" i="3"/>
  <c r="H225" i="3"/>
  <c r="G225" i="3"/>
  <c r="H224" i="3"/>
  <c r="G224" i="3"/>
  <c r="H223" i="3"/>
  <c r="G223" i="3"/>
  <c r="H222" i="3"/>
  <c r="G222" i="3"/>
  <c r="H221" i="3"/>
  <c r="G221" i="3"/>
  <c r="H220" i="3"/>
  <c r="G220" i="3"/>
  <c r="H219" i="3"/>
  <c r="G219" i="3"/>
  <c r="H218" i="3"/>
  <c r="G218" i="3"/>
  <c r="H217" i="3"/>
  <c r="G217" i="3"/>
  <c r="H209" i="3"/>
  <c r="G209" i="3"/>
  <c r="H208" i="3"/>
  <c r="G208" i="3"/>
  <c r="H207" i="3"/>
  <c r="G207" i="3"/>
  <c r="H206" i="3"/>
  <c r="G206" i="3"/>
  <c r="H205" i="3"/>
  <c r="G205" i="3"/>
  <c r="H204" i="3"/>
  <c r="G204" i="3"/>
  <c r="H203" i="3"/>
  <c r="G203" i="3"/>
  <c r="H202" i="3"/>
  <c r="G202" i="3"/>
  <c r="H201" i="3"/>
  <c r="G201" i="3"/>
  <c r="H200" i="3"/>
  <c r="G200" i="3"/>
  <c r="H199" i="3"/>
  <c r="G199" i="3"/>
  <c r="H198" i="3"/>
  <c r="G198" i="3"/>
  <c r="H197" i="3"/>
  <c r="G197" i="3"/>
  <c r="H196" i="3"/>
  <c r="G196" i="3"/>
  <c r="H195" i="3"/>
  <c r="G195" i="3"/>
  <c r="H194" i="3"/>
  <c r="G194" i="3"/>
  <c r="H193" i="3"/>
  <c r="G193" i="3"/>
  <c r="H192" i="3"/>
  <c r="G192" i="3"/>
  <c r="H191" i="3"/>
  <c r="G191" i="3"/>
  <c r="H190" i="3"/>
  <c r="G190" i="3"/>
  <c r="H189" i="3"/>
  <c r="G189" i="3"/>
  <c r="H188" i="3"/>
  <c r="G188" i="3"/>
  <c r="H187" i="3"/>
  <c r="G187" i="3"/>
  <c r="H186" i="3"/>
  <c r="G186" i="3"/>
  <c r="H185" i="3"/>
  <c r="G185" i="3"/>
  <c r="H184" i="3"/>
  <c r="G184" i="3"/>
  <c r="H183" i="3"/>
  <c r="G183" i="3"/>
  <c r="H182" i="3"/>
  <c r="G182" i="3"/>
  <c r="H181" i="3"/>
  <c r="G181" i="3"/>
  <c r="H180" i="3"/>
  <c r="G180" i="3"/>
  <c r="H179" i="3"/>
  <c r="G179" i="3"/>
  <c r="H178" i="3"/>
  <c r="G178" i="3"/>
  <c r="H177" i="3"/>
  <c r="G177" i="3"/>
  <c r="H176" i="3"/>
  <c r="G176" i="3"/>
  <c r="H175" i="3"/>
  <c r="G175" i="3"/>
  <c r="H169" i="3"/>
  <c r="G169" i="3"/>
  <c r="H168" i="3"/>
  <c r="G168" i="3"/>
  <c r="H167" i="3"/>
  <c r="G167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8" i="3"/>
  <c r="G158" i="3"/>
  <c r="H157" i="3"/>
  <c r="G157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J16" i="1"/>
  <c r="J17" i="1"/>
  <c r="J18" i="1"/>
  <c r="J19" i="1" s="1"/>
  <c r="J20" i="1" s="1"/>
  <c r="J21" i="1" s="1"/>
  <c r="J22" i="1" s="1"/>
  <c r="J23" i="1" s="1"/>
  <c r="J24" i="1" s="1"/>
  <c r="J25" i="1" s="1"/>
  <c r="G136" i="1"/>
  <c r="G135" i="1"/>
  <c r="G134" i="1"/>
  <c r="G133" i="1"/>
  <c r="G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</calcChain>
</file>

<file path=xl/sharedStrings.xml><?xml version="1.0" encoding="utf-8"?>
<sst xmlns="http://schemas.openxmlformats.org/spreadsheetml/2006/main" count="1413" uniqueCount="195">
  <si>
    <t>censos</t>
  </si>
  <si>
    <t>CELADE</t>
  </si>
  <si>
    <t>Series básicas</t>
  </si>
  <si>
    <t>t</t>
  </si>
  <si>
    <t>r (%)</t>
  </si>
  <si>
    <t>MEXICO</t>
  </si>
  <si>
    <t>GUATEMALA</t>
  </si>
  <si>
    <t>censo</t>
  </si>
  <si>
    <t>Woodward corregido</t>
  </si>
  <si>
    <t>r%</t>
  </si>
  <si>
    <t>Censo borbónico</t>
  </si>
  <si>
    <t>HONDURAS</t>
  </si>
  <si>
    <t>Cifra original fue de 2300000; hubo una corrección arbitraria de 38%.</t>
  </si>
  <si>
    <t>Tabla resumen en Juarros (1981), p. 56.</t>
  </si>
  <si>
    <t xml:space="preserve">Arzobispo Peñalver </t>
  </si>
  <si>
    <t>Palma Murga, 1985, p. 40.</t>
  </si>
  <si>
    <t>Marure, 1960, I, p. 358.</t>
  </si>
  <si>
    <t>Morelet, 1990, p. 419.</t>
  </si>
  <si>
    <t>Naturalista y viajero</t>
  </si>
  <si>
    <t>Periódico La Semana</t>
  </si>
  <si>
    <t>Woodward, 1980, p. 226.</t>
  </si>
  <si>
    <t>I Censo de Población</t>
  </si>
  <si>
    <t>IV Censo de Población</t>
  </si>
  <si>
    <t>V Censo de Población</t>
  </si>
  <si>
    <t>VI Censo de Población</t>
  </si>
  <si>
    <t>Decreto electoral</t>
  </si>
  <si>
    <t>Casal, 1981,  pp.25-31.</t>
  </si>
  <si>
    <t>Pérez Brignoli, 2000.</t>
  </si>
  <si>
    <t>Pérez Brignoli, 2000</t>
  </si>
  <si>
    <t>Censo</t>
  </si>
  <si>
    <t>Censo Obispo Cadiñanos</t>
  </si>
  <si>
    <t>Informe Anguiano</t>
  </si>
  <si>
    <t>Arzobispo García Peláez</t>
  </si>
  <si>
    <t>Cónsul británico</t>
  </si>
  <si>
    <t>estimación</t>
  </si>
  <si>
    <t>Pérez Brignoli, 1973</t>
  </si>
  <si>
    <t>Guevara-Escuero, 1983, p. 84.</t>
  </si>
  <si>
    <t>cifras ajustadas</t>
  </si>
  <si>
    <t>Factores de ajuste</t>
  </si>
  <si>
    <t>EL SALVADOR</t>
  </si>
  <si>
    <t>Barón Castro, 1978</t>
  </si>
  <si>
    <t>Cifras, siglo XIX</t>
  </si>
  <si>
    <t>NICARAGUA</t>
  </si>
  <si>
    <t>Niederlein, 1898</t>
  </si>
  <si>
    <t>Lanuza, 1976, cuadro I-1</t>
  </si>
  <si>
    <t>COSTA RICA</t>
  </si>
  <si>
    <t>Pérez Brignoli, 2010</t>
  </si>
  <si>
    <t>Costa Rica. INEC-CCP, 2008</t>
  </si>
  <si>
    <t>PANAMÁ</t>
  </si>
  <si>
    <t>Jaén Suárez, 1979</t>
  </si>
  <si>
    <t>McCaa, 1993-2000</t>
  </si>
  <si>
    <t>Fuentes</t>
  </si>
  <si>
    <t xml:space="preserve">Estimaciones decenales y quinquenales </t>
  </si>
  <si>
    <t>Tasa de crecimiento annual (%)</t>
  </si>
  <si>
    <t>Fuente</t>
  </si>
  <si>
    <t>CUBA</t>
  </si>
  <si>
    <t>Estimaciones decenales y quinquenales y tasa de crecimiento annual (%)</t>
  </si>
  <si>
    <t>Cuba, 1988, p. 67</t>
  </si>
  <si>
    <t>Cuba, 1988, p. 68</t>
  </si>
  <si>
    <t>Padrón</t>
  </si>
  <si>
    <t>Cuba, 1988, p. 72</t>
  </si>
  <si>
    <t>Cuba, 1988, p. 78</t>
  </si>
  <si>
    <t>Cuba, 1988, p. 80</t>
  </si>
  <si>
    <t>Cuba, 1988, p. 91</t>
  </si>
  <si>
    <t>Cuba, 1988, p. 99</t>
  </si>
  <si>
    <t>Cuba, 1988, p. 113</t>
  </si>
  <si>
    <t>Cuba, 1988, p. 116</t>
  </si>
  <si>
    <t>cuadro general</t>
  </si>
  <si>
    <t>Cuba, 1988, p. 129</t>
  </si>
  <si>
    <t>Cuba, 1988, p. 151</t>
  </si>
  <si>
    <t>Cuba, 1988, p. 166</t>
  </si>
  <si>
    <t>Cuba, 1988, p. 167</t>
  </si>
  <si>
    <t>Cuba, 2007</t>
  </si>
  <si>
    <t>proyección</t>
  </si>
  <si>
    <t>HAITI</t>
  </si>
  <si>
    <t>Engerman, 2000</t>
  </si>
  <si>
    <t>Moreau de St. Méry, Knight, p. 367</t>
  </si>
  <si>
    <t>Schaedel,1962;  censo Dessaline</t>
  </si>
  <si>
    <t>Rotberg, 1971</t>
  </si>
  <si>
    <t>Schaedel, 1962</t>
  </si>
  <si>
    <t>Despaignes, 2001</t>
  </si>
  <si>
    <t>Wilkie, 1988</t>
  </si>
  <si>
    <t>REPÚBLICA DOMINICANA</t>
  </si>
  <si>
    <t>Hoetink, 1982</t>
  </si>
  <si>
    <t>estimacion</t>
  </si>
  <si>
    <t>Moya Pons, 2010, p. 53</t>
  </si>
  <si>
    <t>censo eclesiástico</t>
  </si>
  <si>
    <t>estimación USA</t>
  </si>
  <si>
    <t>United States, 1945a, p. 58</t>
  </si>
  <si>
    <t>PUERTO RICO</t>
  </si>
  <si>
    <t>Censo de Puerto Rico, 1935</t>
  </si>
  <si>
    <t>Censos decenales USA</t>
  </si>
  <si>
    <t>CELADE, 2004</t>
  </si>
  <si>
    <t>VENEZUELA</t>
  </si>
  <si>
    <t>Izard, 1970, p. 9</t>
  </si>
  <si>
    <t>Humboldt,1991,  tomo 5, p. 101</t>
  </si>
  <si>
    <t>Codazzi, 1841, p. 244</t>
  </si>
  <si>
    <t>estimación propia, ver texto.</t>
  </si>
  <si>
    <t>COLOMBIA</t>
  </si>
  <si>
    <t>Urrutia y Arrubla, 1970.</t>
  </si>
  <si>
    <t>Corregido por Melo, 1979, p. 138.</t>
  </si>
  <si>
    <t>Collver, 1965.</t>
  </si>
  <si>
    <t>Rueda, 1986</t>
  </si>
  <si>
    <t>ECUADOR</t>
  </si>
  <si>
    <t>Hammerly, 1973, p. 80</t>
  </si>
  <si>
    <t>Saint-Geours, 1989</t>
  </si>
  <si>
    <t>Collver, 1965</t>
  </si>
  <si>
    <t>PERÚ</t>
  </si>
  <si>
    <t>Gootenberg, 1991</t>
  </si>
  <si>
    <t>Estimación propia, ver texto</t>
  </si>
  <si>
    <t>Censo ajustado</t>
  </si>
  <si>
    <t>BOLIVIA</t>
  </si>
  <si>
    <t>Dalence, 1851</t>
  </si>
  <si>
    <t>Ver texto</t>
  </si>
  <si>
    <t>Bolivia, 1902-04</t>
  </si>
  <si>
    <t>CHILE</t>
  </si>
  <si>
    <t>Braun, 2000, p. 203.</t>
  </si>
  <si>
    <t>Gutiérrez Roldán, 1975</t>
  </si>
  <si>
    <t>interp. Censos corregidos</t>
  </si>
  <si>
    <t>BRASIL</t>
  </si>
  <si>
    <t>Mortara, 1941</t>
  </si>
  <si>
    <t>PARAGUAY</t>
  </si>
  <si>
    <t>Azara, 1847, I. p. 330</t>
  </si>
  <si>
    <t>censo ajustado por Rivarola, 1974</t>
  </si>
  <si>
    <t>Williams, 1976; censo sin corregir</t>
  </si>
  <si>
    <t>Reber, 1988</t>
  </si>
  <si>
    <t>Carrasco, 1905</t>
  </si>
  <si>
    <t>Potthast - Wigham, 1999</t>
  </si>
  <si>
    <t>Behm-Wagner - Kleinpenning, 2002</t>
  </si>
  <si>
    <t>Censo, corregido oficialmente en 37.5%</t>
  </si>
  <si>
    <t>Mendoza, 1968 - Kleinpenning, 2009</t>
  </si>
  <si>
    <t>ARGENTINA</t>
  </si>
  <si>
    <t>Maeder, 1969</t>
  </si>
  <si>
    <t>Lates, 1975</t>
  </si>
  <si>
    <t>Incluyendo la población indígena no controlada por el estado</t>
  </si>
  <si>
    <t>URUGUAY</t>
  </si>
  <si>
    <t>Pellegrino, 2003</t>
  </si>
  <si>
    <t>Oddone, 1966, p. 15</t>
  </si>
  <si>
    <t>Nahum, 1993,  I, p. 106</t>
  </si>
  <si>
    <t>Bahamas</t>
  </si>
  <si>
    <t>Barbados</t>
  </si>
  <si>
    <t>Belize</t>
  </si>
  <si>
    <t>Guyana</t>
  </si>
  <si>
    <t>Jamaica</t>
  </si>
  <si>
    <t>Suriname</t>
  </si>
  <si>
    <t>French colonies</t>
  </si>
  <si>
    <t>Scandin-US</t>
  </si>
  <si>
    <t>Cuba</t>
  </si>
  <si>
    <t>Trinidad &amp; Tobago</t>
  </si>
  <si>
    <t>Dutch Antilles</t>
  </si>
  <si>
    <t>Other British colonies</t>
  </si>
  <si>
    <t>total</t>
  </si>
  <si>
    <t>Mexico</t>
  </si>
  <si>
    <t>Guatemala</t>
  </si>
  <si>
    <t>Honduras</t>
  </si>
  <si>
    <t>El Salvador</t>
  </si>
  <si>
    <t>Nicaragua</t>
  </si>
  <si>
    <t>Costa Rica</t>
  </si>
  <si>
    <t>Pananmá</t>
  </si>
  <si>
    <t>Haiti</t>
  </si>
  <si>
    <t>República</t>
  </si>
  <si>
    <t>Dominicana</t>
  </si>
  <si>
    <t>Puerto Rico</t>
  </si>
  <si>
    <t>Venezuela</t>
  </si>
  <si>
    <t>Colombia</t>
  </si>
  <si>
    <t>Ecuador</t>
  </si>
  <si>
    <t>Bolivia</t>
  </si>
  <si>
    <t>Chile</t>
  </si>
  <si>
    <t>Brasil</t>
  </si>
  <si>
    <t>Paraguay</t>
  </si>
  <si>
    <t>Uruguay</t>
  </si>
  <si>
    <t>Argentina</t>
  </si>
  <si>
    <t>Peru</t>
  </si>
  <si>
    <t>Caribbean</t>
  </si>
  <si>
    <t>Non Spanish</t>
  </si>
  <si>
    <t>Latin American</t>
  </si>
  <si>
    <t>Source:</t>
  </si>
  <si>
    <t>Bulmer-Thomas, 2012</t>
  </si>
  <si>
    <t>data</t>
  </si>
  <si>
    <t>estimation</t>
  </si>
  <si>
    <t>Bulmer-Thomas</t>
  </si>
  <si>
    <t>Bulmer-Thomas, Victor</t>
  </si>
  <si>
    <t>The Economic History of the Caribbean since the Napoleonic Wars</t>
  </si>
  <si>
    <t>Cambridge University Press, 2012</t>
  </si>
  <si>
    <r>
      <rPr>
        <b/>
        <sz val="11"/>
        <color theme="1"/>
        <rFont val="Calibri"/>
        <scheme val="minor"/>
      </rPr>
      <t>Data: 1800-2008</t>
    </r>
    <r>
      <rPr>
        <sz val="11"/>
        <color theme="1"/>
        <rFont val="Calibri"/>
        <family val="2"/>
        <scheme val="minor"/>
      </rPr>
      <t>:</t>
    </r>
  </si>
  <si>
    <t>CELADE, projections</t>
  </si>
  <si>
    <r>
      <rPr>
        <b/>
        <sz val="11"/>
        <color theme="1"/>
        <rFont val="Calibri"/>
        <scheme val="minor"/>
      </rPr>
      <t>Data 2008-2050</t>
    </r>
    <r>
      <rPr>
        <sz val="11"/>
        <color theme="1"/>
        <rFont val="Calibri"/>
        <family val="2"/>
        <scheme val="minor"/>
      </rPr>
      <t>:</t>
    </r>
  </si>
  <si>
    <t>Hector Pérez-Brignoli</t>
  </si>
  <si>
    <r>
      <t xml:space="preserve">The data in this excel file are coming from my book: </t>
    </r>
    <r>
      <rPr>
        <b/>
        <sz val="11"/>
        <color theme="1"/>
        <rFont val="Calibri"/>
        <scheme val="minor"/>
      </rPr>
      <t>La transición demográfica en América Latina, 1800-2050</t>
    </r>
    <r>
      <rPr>
        <sz val="11"/>
        <color theme="1"/>
        <rFont val="Calibri"/>
        <family val="2"/>
        <scheme val="minor"/>
      </rPr>
      <t>, to be published soon.</t>
    </r>
  </si>
  <si>
    <t>Estimaciones de la población total, 1800-2050. Fuentes y procedimientos</t>
  </si>
  <si>
    <t>Please use the normal citation system if you want to use these data</t>
  </si>
  <si>
    <t xml:space="preserve">The sources are discussed in the pdf document: </t>
  </si>
  <si>
    <t>Total Population of LATIN AMERICA</t>
  </si>
  <si>
    <t>Any doubt or inquiry, please send me an e-mail: hector.perez@ucr.ac.cr</t>
  </si>
  <si>
    <r>
      <t xml:space="preserve">The data in this file are coming from my book: </t>
    </r>
    <r>
      <rPr>
        <b/>
        <sz val="11"/>
        <color theme="1"/>
        <rFont val="Calibri"/>
        <scheme val="minor"/>
      </rPr>
      <t>La transición demográfica en América Latina, 1800-2050</t>
    </r>
    <r>
      <rPr>
        <sz val="11"/>
        <color theme="1"/>
        <rFont val="Calibri"/>
        <family val="2"/>
        <scheme val="minor"/>
      </rPr>
      <t>, to be published soon.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</si>
</sst>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indexed="8"/>
      <name val="Calibri"/>
      <scheme val="minor"/>
    </font>
    <font>
      <sz val="11"/>
      <color indexed="10"/>
      <name val="Calibri"/>
      <scheme val="minor"/>
    </font>
    <font>
      <sz val="11"/>
      <name val="Calibri"/>
      <scheme val="minor"/>
    </font>
    <font>
      <b/>
      <sz val="11"/>
      <color indexed="8"/>
      <name val="Calibri"/>
      <scheme val="minor"/>
    </font>
    <font>
      <b/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i/>
      <sz val="12"/>
      <color theme="1"/>
      <name val="Garamond"/>
    </font>
    <font>
      <i/>
      <sz val="14"/>
      <color theme="1"/>
      <name val="Garamond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48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1" fontId="10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1" fontId="0" fillId="0" borderId="0" xfId="0" applyNumberFormat="1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0" borderId="0" xfId="0" applyNumberFormat="1"/>
    <xf numFmtId="3" fontId="1" fillId="2" borderId="0" xfId="1" applyNumberFormat="1"/>
    <xf numFmtId="0" fontId="1" fillId="2" borderId="0" xfId="1"/>
    <xf numFmtId="0" fontId="0" fillId="0" borderId="0" xfId="0" applyNumberFormat="1" applyProtection="1"/>
    <xf numFmtId="0" fontId="2" fillId="0" borderId="1" xfId="0" applyFont="1" applyFill="1" applyBorder="1" applyAlignment="1">
      <alignment vertical="top"/>
    </xf>
    <xf numFmtId="1" fontId="0" fillId="0" borderId="0" xfId="0" applyNumberFormat="1" applyFont="1"/>
    <xf numFmtId="0" fontId="0" fillId="0" borderId="0" xfId="0" applyFont="1"/>
    <xf numFmtId="0" fontId="5" fillId="0" borderId="0" xfId="0" applyNumberFormat="1" applyFont="1" applyFill="1" applyBorder="1" applyAlignment="1" applyProtection="1"/>
    <xf numFmtId="1" fontId="6" fillId="0" borderId="0" xfId="0" applyNumberFormat="1" applyFont="1"/>
    <xf numFmtId="1" fontId="5" fillId="0" borderId="0" xfId="0" applyNumberFormat="1" applyFont="1" applyFill="1" applyBorder="1" applyAlignment="1" applyProtection="1"/>
    <xf numFmtId="1" fontId="5" fillId="0" borderId="0" xfId="0" applyNumberFormat="1" applyFont="1"/>
    <xf numFmtId="0" fontId="6" fillId="0" borderId="0" xfId="0" applyNumberFormat="1" applyFont="1" applyFill="1" applyBorder="1" applyAlignment="1" applyProtection="1"/>
    <xf numFmtId="0" fontId="7" fillId="0" borderId="0" xfId="0" applyFont="1"/>
    <xf numFmtId="1" fontId="6" fillId="0" borderId="0" xfId="0" applyNumberFormat="1" applyFont="1" applyFill="1" applyBorder="1" applyAlignment="1" applyProtection="1"/>
    <xf numFmtId="0" fontId="5" fillId="0" borderId="0" xfId="0" applyFont="1"/>
    <xf numFmtId="0" fontId="7" fillId="0" borderId="0" xfId="0" applyNumberFormat="1" applyFont="1" applyFill="1" applyBorder="1" applyAlignment="1" applyProtection="1"/>
    <xf numFmtId="1" fontId="7" fillId="0" borderId="0" xfId="0" applyNumberFormat="1" applyFont="1" applyFill="1" applyBorder="1" applyAlignment="1" applyProtection="1">
      <protection locked="0"/>
    </xf>
    <xf numFmtId="0" fontId="8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/>
    <xf numFmtId="0" fontId="6" fillId="0" borderId="0" xfId="0" applyFont="1"/>
    <xf numFmtId="1" fontId="7" fillId="0" borderId="0" xfId="0" applyNumberFormat="1" applyFont="1" applyFill="1" applyBorder="1" applyAlignment="1" applyProtection="1"/>
    <xf numFmtId="0" fontId="2" fillId="0" borderId="0" xfId="0" applyFont="1" applyFill="1" applyBorder="1" applyAlignment="1">
      <alignment vertical="top"/>
    </xf>
    <xf numFmtId="1" fontId="0" fillId="0" borderId="0" xfId="314" applyNumberFormat="1" applyFont="1"/>
    <xf numFmtId="1" fontId="2" fillId="0" borderId="0" xfId="314" applyNumberFormat="1" applyFont="1" applyFill="1" applyBorder="1" applyAlignment="1">
      <alignment vertical="top"/>
    </xf>
    <xf numFmtId="1" fontId="5" fillId="0" borderId="0" xfId="314" applyNumberFormat="1" applyFont="1" applyFill="1" applyBorder="1" applyAlignment="1" applyProtection="1"/>
    <xf numFmtId="1" fontId="6" fillId="0" borderId="0" xfId="314" applyNumberFormat="1" applyFont="1"/>
    <xf numFmtId="1" fontId="5" fillId="0" borderId="0" xfId="314" applyNumberFormat="1" applyFont="1"/>
    <xf numFmtId="1" fontId="6" fillId="0" borderId="0" xfId="314" applyNumberFormat="1" applyFont="1" applyFill="1" applyBorder="1" applyAlignment="1" applyProtection="1"/>
    <xf numFmtId="1" fontId="7" fillId="0" borderId="0" xfId="314" applyNumberFormat="1" applyFont="1"/>
    <xf numFmtId="1" fontId="7" fillId="0" borderId="0" xfId="314" applyNumberFormat="1" applyFont="1" applyFill="1" applyBorder="1" applyAlignment="1" applyProtection="1"/>
    <xf numFmtId="1" fontId="7" fillId="0" borderId="0" xfId="314" applyNumberFormat="1" applyFont="1" applyFill="1" applyBorder="1" applyAlignment="1" applyProtection="1">
      <protection locked="0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479"/>
    <xf numFmtId="0" fontId="0" fillId="3" borderId="0" xfId="0" applyFill="1"/>
    <xf numFmtId="1" fontId="0" fillId="3" borderId="0" xfId="314" applyNumberFormat="1" applyFont="1" applyFill="1"/>
    <xf numFmtId="1" fontId="6" fillId="3" borderId="0" xfId="314" applyNumberFormat="1" applyFont="1" applyFill="1" applyBorder="1" applyAlignment="1" applyProtection="1"/>
    <xf numFmtId="1" fontId="7" fillId="3" borderId="0" xfId="314" applyNumberFormat="1" applyFont="1" applyFill="1" applyBorder="1" applyAlignment="1" applyProtection="1"/>
    <xf numFmtId="1" fontId="5" fillId="3" borderId="0" xfId="314" applyNumberFormat="1" applyFont="1" applyFill="1"/>
    <xf numFmtId="1" fontId="0" fillId="3" borderId="0" xfId="0" applyNumberFormat="1" applyFill="1"/>
  </cellXfs>
  <cellStyles count="483">
    <cellStyle name="Bad" xfId="1" builtinId="27"/>
    <cellStyle name="Comma [0]" xfId="314" builtinId="6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1" builtinId="9" hidden="1"/>
    <cellStyle name="Followed Hyperlink" xfId="482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'Andean Countries'!$K$53</c:f>
              <c:strCache>
                <c:ptCount val="1"/>
                <c:pt idx="0">
                  <c:v>data</c:v>
                </c:pt>
              </c:strCache>
            </c:strRef>
          </c:tx>
          <c:spPr>
            <a:ln w="47625">
              <a:noFill/>
            </a:ln>
          </c:spPr>
          <c:marker>
            <c:symbol val="x"/>
            <c:size val="9"/>
          </c:marker>
          <c:xVal>
            <c:numRef>
              <c:f>'Andean Countries'!$J$54:$J$78</c:f>
              <c:numCache>
                <c:formatCode>General</c:formatCode>
                <c:ptCount val="25"/>
                <c:pt idx="0">
                  <c:v>1780</c:v>
                </c:pt>
                <c:pt idx="1">
                  <c:v>1800</c:v>
                </c:pt>
                <c:pt idx="2">
                  <c:v>1810</c:v>
                </c:pt>
                <c:pt idx="3">
                  <c:v>1820</c:v>
                </c:pt>
                <c:pt idx="4">
                  <c:v>1825</c:v>
                </c:pt>
                <c:pt idx="5">
                  <c:v>1830</c:v>
                </c:pt>
                <c:pt idx="6">
                  <c:v>1835</c:v>
                </c:pt>
                <c:pt idx="7">
                  <c:v>1840</c:v>
                </c:pt>
                <c:pt idx="8">
                  <c:v>1843</c:v>
                </c:pt>
                <c:pt idx="9">
                  <c:v>1850</c:v>
                </c:pt>
                <c:pt idx="10">
                  <c:v>1851</c:v>
                </c:pt>
                <c:pt idx="11">
                  <c:v>1860</c:v>
                </c:pt>
                <c:pt idx="12">
                  <c:v>1870</c:v>
                </c:pt>
                <c:pt idx="13">
                  <c:v>1880</c:v>
                </c:pt>
                <c:pt idx="14">
                  <c:v>1890</c:v>
                </c:pt>
                <c:pt idx="15">
                  <c:v>1900</c:v>
                </c:pt>
                <c:pt idx="16">
                  <c:v>1905</c:v>
                </c:pt>
                <c:pt idx="17">
                  <c:v>1910</c:v>
                </c:pt>
                <c:pt idx="18">
                  <c:v>1912</c:v>
                </c:pt>
                <c:pt idx="19">
                  <c:v>1918</c:v>
                </c:pt>
                <c:pt idx="20">
                  <c:v>1920</c:v>
                </c:pt>
                <c:pt idx="21">
                  <c:v>1930</c:v>
                </c:pt>
                <c:pt idx="22">
                  <c:v>1938</c:v>
                </c:pt>
                <c:pt idx="23">
                  <c:v>1940</c:v>
                </c:pt>
                <c:pt idx="24">
                  <c:v>1950</c:v>
                </c:pt>
              </c:numCache>
            </c:numRef>
          </c:xVal>
          <c:yVal>
            <c:numRef>
              <c:f>'Andean Countries'!$K$54:$K$78</c:f>
              <c:numCache>
                <c:formatCode>General</c:formatCode>
                <c:ptCount val="25"/>
                <c:pt idx="0">
                  <c:v>796781</c:v>
                </c:pt>
                <c:pt idx="4">
                  <c:v>1344000</c:v>
                </c:pt>
                <c:pt idx="6">
                  <c:v>1570859</c:v>
                </c:pt>
                <c:pt idx="8">
                  <c:v>1812582</c:v>
                </c:pt>
                <c:pt idx="10">
                  <c:v>2105622</c:v>
                </c:pt>
                <c:pt idx="12">
                  <c:v>2707952</c:v>
                </c:pt>
                <c:pt idx="16">
                  <c:v>4450000</c:v>
                </c:pt>
                <c:pt idx="18">
                  <c:v>5072604</c:v>
                </c:pt>
                <c:pt idx="19">
                  <c:v>5855077</c:v>
                </c:pt>
                <c:pt idx="22">
                  <c:v>8701816</c:v>
                </c:pt>
                <c:pt idx="24" formatCode="0">
                  <c:v>11999600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0-6C45-AA8E-DFD3899E1E0D}"/>
            </c:ext>
          </c:extLst>
        </c:ser>
        <c:ser>
          <c:idx val="1"/>
          <c:order val="1"/>
          <c:tx>
            <c:strRef>
              <c:f>'Andean Countries'!$L$53</c:f>
              <c:strCache>
                <c:ptCount val="1"/>
                <c:pt idx="0">
                  <c:v>estimation</c:v>
                </c:pt>
              </c:strCache>
            </c:strRef>
          </c:tx>
          <c:spPr>
            <a:ln w="47625"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'Andean Countries'!$J$54:$J$78</c:f>
              <c:numCache>
                <c:formatCode>General</c:formatCode>
                <c:ptCount val="25"/>
                <c:pt idx="0">
                  <c:v>1780</c:v>
                </c:pt>
                <c:pt idx="1">
                  <c:v>1800</c:v>
                </c:pt>
                <c:pt idx="2">
                  <c:v>1810</c:v>
                </c:pt>
                <c:pt idx="3">
                  <c:v>1820</c:v>
                </c:pt>
                <c:pt idx="4">
                  <c:v>1825</c:v>
                </c:pt>
                <c:pt idx="5">
                  <c:v>1830</c:v>
                </c:pt>
                <c:pt idx="6">
                  <c:v>1835</c:v>
                </c:pt>
                <c:pt idx="7">
                  <c:v>1840</c:v>
                </c:pt>
                <c:pt idx="8">
                  <c:v>1843</c:v>
                </c:pt>
                <c:pt idx="9">
                  <c:v>1850</c:v>
                </c:pt>
                <c:pt idx="10">
                  <c:v>1851</c:v>
                </c:pt>
                <c:pt idx="11">
                  <c:v>1860</c:v>
                </c:pt>
                <c:pt idx="12">
                  <c:v>1870</c:v>
                </c:pt>
                <c:pt idx="13">
                  <c:v>1880</c:v>
                </c:pt>
                <c:pt idx="14">
                  <c:v>1890</c:v>
                </c:pt>
                <c:pt idx="15">
                  <c:v>1900</c:v>
                </c:pt>
                <c:pt idx="16">
                  <c:v>1905</c:v>
                </c:pt>
                <c:pt idx="17">
                  <c:v>1910</c:v>
                </c:pt>
                <c:pt idx="18">
                  <c:v>1912</c:v>
                </c:pt>
                <c:pt idx="19">
                  <c:v>1918</c:v>
                </c:pt>
                <c:pt idx="20">
                  <c:v>1920</c:v>
                </c:pt>
                <c:pt idx="21">
                  <c:v>1930</c:v>
                </c:pt>
                <c:pt idx="22">
                  <c:v>1938</c:v>
                </c:pt>
                <c:pt idx="23">
                  <c:v>1940</c:v>
                </c:pt>
                <c:pt idx="24">
                  <c:v>1950</c:v>
                </c:pt>
              </c:numCache>
            </c:numRef>
          </c:xVal>
          <c:yVal>
            <c:numRef>
              <c:f>'Andean Countries'!$L$54:$L$78</c:f>
              <c:numCache>
                <c:formatCode>0</c:formatCode>
                <c:ptCount val="25"/>
                <c:pt idx="1">
                  <c:v>1005205.0412392132</c:v>
                </c:pt>
                <c:pt idx="2">
                  <c:v>1129048.2508487913</c:v>
                </c:pt>
                <c:pt idx="3">
                  <c:v>1268149.1839448081</c:v>
                </c:pt>
                <c:pt idx="5">
                  <c:v>1453008.7735454319</c:v>
                </c:pt>
                <c:pt idx="7">
                  <c:v>1717858.9069913328</c:v>
                </c:pt>
                <c:pt idx="9">
                  <c:v>2066545.9494749929</c:v>
                </c:pt>
                <c:pt idx="11">
                  <c:v>2372113.1882186588</c:v>
                </c:pt>
                <c:pt idx="12">
                  <c:v>2707952</c:v>
                </c:pt>
                <c:pt idx="13">
                  <c:v>3120864.9516822672</c:v>
                </c:pt>
                <c:pt idx="14">
                  <c:v>3596739.5458408268</c:v>
                </c:pt>
                <c:pt idx="15">
                  <c:v>4145176.276737635</c:v>
                </c:pt>
                <c:pt idx="17">
                  <c:v>4886322.3879376752</c:v>
                </c:pt>
                <c:pt idx="20">
                  <c:v>6091725.6969556985</c:v>
                </c:pt>
                <c:pt idx="21">
                  <c:v>7426411.0196653036</c:v>
                </c:pt>
                <c:pt idx="23">
                  <c:v>9180564.2593960203</c:v>
                </c:pt>
                <c:pt idx="24" formatCode="General">
                  <c:v>11999600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80-6C45-AA8E-DFD3899E1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462184"/>
        <c:axId val="2132465144"/>
      </c:scatterChart>
      <c:valAx>
        <c:axId val="2132462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CR"/>
          </a:p>
        </c:txPr>
        <c:crossAx val="2132465144"/>
        <c:crosses val="autoZero"/>
        <c:crossBetween val="midCat"/>
      </c:valAx>
      <c:valAx>
        <c:axId val="2132465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2462184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CR"/>
        </a:p>
      </c:txPr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660400</xdr:colOff>
      <xdr:row>50</xdr:row>
      <xdr:rowOff>101600</xdr:rowOff>
    </xdr:from>
    <xdr:to>
      <xdr:col>21</xdr:col>
      <xdr:colOff>457200</xdr:colOff>
      <xdr:row>75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305"/>
  <sheetViews>
    <sheetView topLeftCell="A265" workbookViewId="0">
      <selection activeCell="E270" sqref="E270:E305"/>
    </sheetView>
  </sheetViews>
  <sheetFormatPr baseColWidth="10" defaultColWidth="8.83203125" defaultRowHeight="15" x14ac:dyDescent="0.2"/>
  <cols>
    <col min="2" max="2" width="13.6640625" style="3" customWidth="1"/>
    <col min="3" max="3" width="18.5" customWidth="1"/>
    <col min="4" max="4" width="10.33203125" customWidth="1"/>
    <col min="5" max="5" width="13" customWidth="1"/>
    <col min="6" max="6" width="10.6640625" customWidth="1"/>
    <col min="7" max="7" width="9.5" bestFit="1" customWidth="1"/>
    <col min="9" max="9" width="10.1640625" bestFit="1" customWidth="1"/>
    <col min="18" max="18" width="15.5" customWidth="1"/>
    <col min="19" max="19" width="17.5" customWidth="1"/>
    <col min="20" max="20" width="14.5" customWidth="1"/>
  </cols>
  <sheetData>
    <row r="3" spans="1:11" x14ac:dyDescent="0.2">
      <c r="B3" s="6" t="s">
        <v>5</v>
      </c>
    </row>
    <row r="4" spans="1:11" x14ac:dyDescent="0.2">
      <c r="A4" t="s">
        <v>2</v>
      </c>
      <c r="C4" t="s">
        <v>51</v>
      </c>
      <c r="D4" t="s">
        <v>52</v>
      </c>
      <c r="F4" t="s">
        <v>53</v>
      </c>
    </row>
    <row r="5" spans="1:11" x14ac:dyDescent="0.2">
      <c r="A5">
        <v>1790</v>
      </c>
      <c r="B5" s="3">
        <v>4795871</v>
      </c>
      <c r="C5" t="s">
        <v>50</v>
      </c>
      <c r="D5">
        <v>1790</v>
      </c>
      <c r="E5" s="3">
        <v>4795871</v>
      </c>
      <c r="F5" t="s">
        <v>3</v>
      </c>
      <c r="G5" t="s">
        <v>4</v>
      </c>
    </row>
    <row r="6" spans="1:11" x14ac:dyDescent="0.2">
      <c r="A6">
        <v>1800</v>
      </c>
      <c r="B6" s="3">
        <v>5100000</v>
      </c>
      <c r="C6" t="s">
        <v>50</v>
      </c>
      <c r="D6">
        <v>1800</v>
      </c>
      <c r="E6" s="3">
        <v>5100000</v>
      </c>
      <c r="F6">
        <v>1795</v>
      </c>
      <c r="G6" s="2">
        <v>0.61485200341266311</v>
      </c>
    </row>
    <row r="7" spans="1:11" x14ac:dyDescent="0.2">
      <c r="A7">
        <v>1810</v>
      </c>
      <c r="B7" s="3">
        <v>5600000</v>
      </c>
      <c r="C7" t="s">
        <v>50</v>
      </c>
      <c r="D7">
        <v>1810</v>
      </c>
      <c r="E7" s="3">
        <v>5600000</v>
      </c>
      <c r="F7">
        <v>1805</v>
      </c>
      <c r="G7" s="2">
        <v>0.93526058010823554</v>
      </c>
    </row>
    <row r="8" spans="1:11" x14ac:dyDescent="0.2">
      <c r="A8">
        <v>1820</v>
      </c>
      <c r="B8" s="3">
        <v>5900000</v>
      </c>
      <c r="C8" t="s">
        <v>50</v>
      </c>
      <c r="D8">
        <v>1820</v>
      </c>
      <c r="E8" s="3">
        <v>5900000</v>
      </c>
      <c r="F8">
        <v>1815</v>
      </c>
      <c r="G8" s="2">
        <v>0.52185753170570248</v>
      </c>
    </row>
    <row r="9" spans="1:11" x14ac:dyDescent="0.2">
      <c r="A9">
        <v>1830</v>
      </c>
      <c r="B9" s="3">
        <v>6400000</v>
      </c>
      <c r="C9" t="s">
        <v>50</v>
      </c>
      <c r="D9">
        <v>1830</v>
      </c>
      <c r="E9" s="3">
        <v>6400000</v>
      </c>
      <c r="F9">
        <v>1825</v>
      </c>
      <c r="G9" s="2">
        <v>0.81345639453952401</v>
      </c>
    </row>
    <row r="10" spans="1:11" x14ac:dyDescent="0.2">
      <c r="A10">
        <v>1840</v>
      </c>
      <c r="B10" s="3">
        <v>7200000</v>
      </c>
      <c r="C10" t="s">
        <v>50</v>
      </c>
      <c r="D10">
        <v>1840</v>
      </c>
      <c r="E10" s="3">
        <v>7200000</v>
      </c>
      <c r="F10">
        <v>1835</v>
      </c>
      <c r="G10" s="2">
        <v>1.1778303565638346</v>
      </c>
    </row>
    <row r="11" spans="1:11" x14ac:dyDescent="0.2">
      <c r="A11">
        <v>1850</v>
      </c>
      <c r="B11" s="3">
        <v>7600000</v>
      </c>
      <c r="C11" t="s">
        <v>50</v>
      </c>
      <c r="D11">
        <v>1850</v>
      </c>
      <c r="E11" s="3">
        <v>7600000</v>
      </c>
      <c r="F11">
        <v>1845</v>
      </c>
      <c r="G11" s="2">
        <v>0.540672212702758</v>
      </c>
    </row>
    <row r="12" spans="1:11" x14ac:dyDescent="0.2">
      <c r="A12">
        <v>1860</v>
      </c>
      <c r="B12" s="3">
        <v>8300000</v>
      </c>
      <c r="C12" t="s">
        <v>50</v>
      </c>
      <c r="D12">
        <v>1860</v>
      </c>
      <c r="E12" s="3">
        <v>8300000</v>
      </c>
      <c r="F12">
        <v>1855</v>
      </c>
      <c r="G12" s="2">
        <v>0.88107267510266796</v>
      </c>
    </row>
    <row r="13" spans="1:11" x14ac:dyDescent="0.2">
      <c r="A13">
        <v>1870</v>
      </c>
      <c r="B13" s="3">
        <v>8700000</v>
      </c>
      <c r="C13" t="s">
        <v>50</v>
      </c>
      <c r="D13">
        <v>1870</v>
      </c>
      <c r="E13" s="3">
        <v>8700000</v>
      </c>
      <c r="F13">
        <v>1865</v>
      </c>
      <c r="G13" s="2">
        <v>0.47067510857985734</v>
      </c>
    </row>
    <row r="14" spans="1:11" x14ac:dyDescent="0.2">
      <c r="A14">
        <v>1880</v>
      </c>
      <c r="B14" s="3">
        <v>9900000</v>
      </c>
      <c r="C14" t="s">
        <v>50</v>
      </c>
      <c r="D14">
        <v>1880</v>
      </c>
      <c r="E14" s="3">
        <v>9900000</v>
      </c>
      <c r="F14">
        <v>1875</v>
      </c>
      <c r="G14" s="2">
        <v>1.2921173148000624</v>
      </c>
    </row>
    <row r="15" spans="1:11" x14ac:dyDescent="0.2">
      <c r="A15">
        <v>1890</v>
      </c>
      <c r="B15" s="3">
        <v>11500000</v>
      </c>
      <c r="C15" t="s">
        <v>50</v>
      </c>
      <c r="D15">
        <v>1890</v>
      </c>
      <c r="E15" s="3">
        <v>11500000</v>
      </c>
      <c r="F15">
        <v>1885</v>
      </c>
      <c r="G15" s="2">
        <v>1.4981227822866008</v>
      </c>
      <c r="J15">
        <v>1895</v>
      </c>
      <c r="K15">
        <v>12433</v>
      </c>
    </row>
    <row r="16" spans="1:11" x14ac:dyDescent="0.2">
      <c r="A16">
        <v>1900</v>
      </c>
      <c r="B16" s="3">
        <v>13600000</v>
      </c>
      <c r="C16" t="s">
        <v>50</v>
      </c>
      <c r="D16">
        <v>1900</v>
      </c>
      <c r="E16" s="3">
        <v>13600000</v>
      </c>
      <c r="F16">
        <v>1895</v>
      </c>
      <c r="G16" s="2">
        <v>1.6772275737280198</v>
      </c>
      <c r="J16">
        <f>J15+5</f>
        <v>1900</v>
      </c>
      <c r="K16">
        <v>13251</v>
      </c>
    </row>
    <row r="17" spans="1:11" x14ac:dyDescent="0.2">
      <c r="A17">
        <v>1910</v>
      </c>
      <c r="B17" s="3">
        <v>15200000</v>
      </c>
      <c r="C17" t="s">
        <v>50</v>
      </c>
      <c r="D17">
        <v>1910</v>
      </c>
      <c r="E17" s="3">
        <v>15200000</v>
      </c>
      <c r="F17">
        <v>1905</v>
      </c>
      <c r="G17" s="2">
        <v>1.1122563511022441</v>
      </c>
      <c r="J17">
        <f t="shared" ref="J17:J25" si="0">J16+5</f>
        <v>1905</v>
      </c>
      <c r="K17">
        <v>14102</v>
      </c>
    </row>
    <row r="18" spans="1:11" x14ac:dyDescent="0.2">
      <c r="A18">
        <v>1920</v>
      </c>
      <c r="B18" s="3">
        <v>15291000</v>
      </c>
      <c r="C18" t="s">
        <v>50</v>
      </c>
      <c r="D18">
        <v>1920</v>
      </c>
      <c r="E18" s="3">
        <v>15291000</v>
      </c>
      <c r="F18">
        <v>1915</v>
      </c>
      <c r="G18" s="2">
        <v>5.9689921737836167E-2</v>
      </c>
      <c r="J18">
        <f t="shared" si="0"/>
        <v>1910</v>
      </c>
      <c r="K18">
        <v>15003</v>
      </c>
    </row>
    <row r="19" spans="1:11" x14ac:dyDescent="0.2">
      <c r="A19">
        <v>1930</v>
      </c>
      <c r="B19" s="3">
        <v>16552722</v>
      </c>
      <c r="C19" t="s">
        <v>0</v>
      </c>
      <c r="D19">
        <v>1930</v>
      </c>
      <c r="E19" s="3">
        <v>16552722</v>
      </c>
      <c r="F19">
        <v>1925</v>
      </c>
      <c r="G19" s="2">
        <v>0.79286139572229841</v>
      </c>
      <c r="J19">
        <f t="shared" si="0"/>
        <v>1915</v>
      </c>
      <c r="K19">
        <v>14604</v>
      </c>
    </row>
    <row r="20" spans="1:11" x14ac:dyDescent="0.2">
      <c r="A20">
        <v>1940</v>
      </c>
      <c r="B20" s="3">
        <v>19653552</v>
      </c>
      <c r="C20" t="s">
        <v>0</v>
      </c>
      <c r="D20">
        <v>1940</v>
      </c>
      <c r="E20" s="3">
        <v>19653552</v>
      </c>
      <c r="F20">
        <v>1935</v>
      </c>
      <c r="G20" s="2">
        <v>1.7170752574007724</v>
      </c>
      <c r="J20">
        <f t="shared" si="0"/>
        <v>1920</v>
      </c>
      <c r="K20">
        <v>14005</v>
      </c>
    </row>
    <row r="21" spans="1:11" x14ac:dyDescent="0.2">
      <c r="A21">
        <v>1950</v>
      </c>
      <c r="B21" s="3">
        <v>25791017</v>
      </c>
      <c r="C21" t="s">
        <v>0</v>
      </c>
      <c r="D21">
        <v>1950</v>
      </c>
      <c r="E21" s="3">
        <v>27740700</v>
      </c>
      <c r="F21">
        <v>1945</v>
      </c>
      <c r="G21" s="2">
        <v>3.4464256354865741</v>
      </c>
      <c r="J21">
        <f t="shared" si="0"/>
        <v>1925</v>
      </c>
      <c r="K21">
        <v>15166</v>
      </c>
    </row>
    <row r="22" spans="1:11" x14ac:dyDescent="0.2">
      <c r="A22">
        <v>1950</v>
      </c>
      <c r="B22" s="3">
        <v>27740700</v>
      </c>
      <c r="C22" t="s">
        <v>1</v>
      </c>
      <c r="D22">
        <v>1955</v>
      </c>
      <c r="E22" s="3">
        <v>32256487</v>
      </c>
      <c r="F22">
        <v>1952.5</v>
      </c>
      <c r="G22" s="2">
        <v>3.0163704282844241</v>
      </c>
      <c r="J22">
        <f t="shared" si="0"/>
        <v>1930</v>
      </c>
      <c r="K22">
        <v>16467</v>
      </c>
    </row>
    <row r="23" spans="1:11" x14ac:dyDescent="0.2">
      <c r="A23">
        <v>1955</v>
      </c>
      <c r="B23" s="3">
        <v>32256487</v>
      </c>
      <c r="C23" t="s">
        <v>1</v>
      </c>
      <c r="D23">
        <v>1960</v>
      </c>
      <c r="E23" s="3">
        <v>37910204</v>
      </c>
      <c r="F23">
        <v>1957.5</v>
      </c>
      <c r="G23" s="2">
        <v>3.230022807569684</v>
      </c>
      <c r="J23">
        <f t="shared" si="0"/>
        <v>1935</v>
      </c>
      <c r="K23">
        <v>18017</v>
      </c>
    </row>
    <row r="24" spans="1:11" x14ac:dyDescent="0.2">
      <c r="A24">
        <v>1960</v>
      </c>
      <c r="B24" s="3">
        <v>37910204</v>
      </c>
      <c r="C24" t="s">
        <v>1</v>
      </c>
      <c r="D24">
        <v>1965</v>
      </c>
      <c r="E24" s="3">
        <v>44429281</v>
      </c>
      <c r="F24">
        <v>1962.5</v>
      </c>
      <c r="G24" s="2">
        <v>3.1735684675558753</v>
      </c>
      <c r="J24">
        <f t="shared" si="0"/>
        <v>1940</v>
      </c>
      <c r="K24">
        <v>19967</v>
      </c>
    </row>
    <row r="25" spans="1:11" x14ac:dyDescent="0.2">
      <c r="A25">
        <v>1965</v>
      </c>
      <c r="B25" s="3">
        <v>44429281</v>
      </c>
      <c r="C25" t="s">
        <v>1</v>
      </c>
      <c r="D25">
        <v>1970</v>
      </c>
      <c r="E25" s="3">
        <v>51910150</v>
      </c>
      <c r="F25">
        <v>1967.5</v>
      </c>
      <c r="G25" s="2">
        <v>3.1123121078825777</v>
      </c>
      <c r="J25">
        <f t="shared" si="0"/>
        <v>1945</v>
      </c>
      <c r="K25">
        <v>22243</v>
      </c>
    </row>
    <row r="26" spans="1:11" x14ac:dyDescent="0.2">
      <c r="A26">
        <v>1970</v>
      </c>
      <c r="B26" s="3">
        <v>51910150</v>
      </c>
      <c r="C26" t="s">
        <v>1</v>
      </c>
      <c r="D26">
        <v>1975</v>
      </c>
      <c r="E26" s="3">
        <v>60430176</v>
      </c>
      <c r="F26">
        <v>1972.5</v>
      </c>
      <c r="G26" s="2">
        <v>3.0394848675663479</v>
      </c>
    </row>
    <row r="27" spans="1:11" x14ac:dyDescent="0.2">
      <c r="A27">
        <v>1975</v>
      </c>
      <c r="B27" s="3">
        <v>60430176</v>
      </c>
      <c r="C27" t="s">
        <v>1</v>
      </c>
      <c r="D27">
        <v>1980</v>
      </c>
      <c r="E27" s="3">
        <v>68872104</v>
      </c>
      <c r="F27">
        <v>1977.5</v>
      </c>
      <c r="G27" s="2">
        <v>2.6152527314442722</v>
      </c>
    </row>
    <row r="28" spans="1:11" x14ac:dyDescent="0.2">
      <c r="A28">
        <v>1980</v>
      </c>
      <c r="B28" s="3">
        <v>68872104</v>
      </c>
      <c r="C28" t="s">
        <v>1</v>
      </c>
      <c r="D28">
        <v>1985</v>
      </c>
      <c r="E28" s="3">
        <v>75764847</v>
      </c>
      <c r="F28">
        <v>1982.5</v>
      </c>
      <c r="G28" s="2">
        <v>1.9076641156369989</v>
      </c>
    </row>
    <row r="29" spans="1:11" x14ac:dyDescent="0.2">
      <c r="A29">
        <v>1985</v>
      </c>
      <c r="B29" s="3">
        <v>75764847</v>
      </c>
      <c r="C29" t="s">
        <v>1</v>
      </c>
      <c r="D29">
        <v>1990</v>
      </c>
      <c r="E29" s="3">
        <v>83403829</v>
      </c>
      <c r="F29">
        <v>1987.5</v>
      </c>
      <c r="G29" s="2">
        <v>1.9211958879561231</v>
      </c>
    </row>
    <row r="30" spans="1:11" x14ac:dyDescent="0.2">
      <c r="A30">
        <v>1990</v>
      </c>
      <c r="B30" s="3">
        <v>83403829</v>
      </c>
      <c r="C30" t="s">
        <v>1</v>
      </c>
      <c r="D30">
        <v>1995</v>
      </c>
      <c r="E30" s="3">
        <v>91649761</v>
      </c>
      <c r="F30">
        <v>1992.5</v>
      </c>
      <c r="G30" s="2">
        <v>1.8856029390731313</v>
      </c>
    </row>
    <row r="31" spans="1:11" x14ac:dyDescent="0.2">
      <c r="A31">
        <v>1995</v>
      </c>
      <c r="B31" s="3">
        <v>91649761</v>
      </c>
      <c r="C31" t="s">
        <v>1</v>
      </c>
      <c r="D31">
        <v>2000</v>
      </c>
      <c r="E31" s="3">
        <v>99530440</v>
      </c>
      <c r="F31">
        <v>1997.5</v>
      </c>
      <c r="G31" s="2">
        <v>1.6497832098080971</v>
      </c>
    </row>
    <row r="32" spans="1:11" x14ac:dyDescent="0.2">
      <c r="A32">
        <v>2000</v>
      </c>
      <c r="B32" s="3">
        <v>99530440</v>
      </c>
      <c r="C32" t="s">
        <v>1</v>
      </c>
      <c r="D32">
        <v>2005</v>
      </c>
      <c r="E32" s="3">
        <v>105934141</v>
      </c>
      <c r="F32">
        <v>2002.5</v>
      </c>
      <c r="G32" s="2">
        <v>1.2470812534318632</v>
      </c>
    </row>
    <row r="33" spans="1:7" x14ac:dyDescent="0.2">
      <c r="A33">
        <v>2005</v>
      </c>
      <c r="B33" s="3">
        <v>105934141</v>
      </c>
      <c r="C33" t="s">
        <v>1</v>
      </c>
      <c r="D33">
        <v>2010</v>
      </c>
      <c r="E33" s="3">
        <v>112363683</v>
      </c>
      <c r="F33">
        <v>2007.5</v>
      </c>
      <c r="G33" s="2">
        <v>1.1784638114054882</v>
      </c>
    </row>
    <row r="34" spans="1:7" x14ac:dyDescent="0.2">
      <c r="A34">
        <v>2010</v>
      </c>
      <c r="B34" s="3">
        <v>112363683</v>
      </c>
      <c r="C34" t="s">
        <v>1</v>
      </c>
      <c r="D34">
        <v>2015</v>
      </c>
      <c r="E34" s="3">
        <v>118282791</v>
      </c>
      <c r="F34">
        <v>2012.5</v>
      </c>
      <c r="G34" s="2">
        <v>1.0267502197743441</v>
      </c>
    </row>
    <row r="35" spans="1:7" x14ac:dyDescent="0.2">
      <c r="A35">
        <v>2015</v>
      </c>
      <c r="B35" s="3">
        <v>118282791</v>
      </c>
      <c r="C35" t="s">
        <v>1</v>
      </c>
      <c r="D35">
        <v>2020</v>
      </c>
      <c r="E35" s="3">
        <v>123527415</v>
      </c>
      <c r="F35">
        <v>2017.5</v>
      </c>
      <c r="G35" s="2">
        <v>0.86769647965000574</v>
      </c>
    </row>
    <row r="36" spans="1:7" x14ac:dyDescent="0.2">
      <c r="A36">
        <v>2020</v>
      </c>
      <c r="B36" s="3">
        <v>123527415</v>
      </c>
      <c r="C36" t="s">
        <v>1</v>
      </c>
      <c r="D36">
        <v>2025</v>
      </c>
      <c r="E36" s="3">
        <v>128002864</v>
      </c>
      <c r="F36">
        <v>2022.5</v>
      </c>
      <c r="G36" s="2">
        <v>0.71179046860719974</v>
      </c>
    </row>
    <row r="37" spans="1:7" x14ac:dyDescent="0.2">
      <c r="A37">
        <v>2025</v>
      </c>
      <c r="B37" s="3">
        <v>128002864</v>
      </c>
      <c r="C37" t="s">
        <v>1</v>
      </c>
      <c r="D37">
        <v>2030</v>
      </c>
      <c r="E37" s="3">
        <v>131587046</v>
      </c>
      <c r="F37">
        <v>2027.5</v>
      </c>
      <c r="G37" s="2">
        <v>0.55231881452904363</v>
      </c>
    </row>
    <row r="38" spans="1:7" x14ac:dyDescent="0.2">
      <c r="A38">
        <v>2030</v>
      </c>
      <c r="B38" s="3">
        <v>131587046</v>
      </c>
      <c r="C38" t="s">
        <v>1</v>
      </c>
      <c r="D38">
        <v>2035</v>
      </c>
      <c r="E38" s="3">
        <v>134178191</v>
      </c>
      <c r="F38">
        <v>2032.5</v>
      </c>
      <c r="G38" s="2">
        <v>0.39000241516218609</v>
      </c>
    </row>
    <row r="39" spans="1:7" x14ac:dyDescent="0.2">
      <c r="A39">
        <v>2035</v>
      </c>
      <c r="B39" s="3">
        <v>134178191</v>
      </c>
      <c r="C39" t="s">
        <v>1</v>
      </c>
      <c r="D39">
        <v>2040</v>
      </c>
      <c r="E39" s="3">
        <v>136047193</v>
      </c>
      <c r="F39">
        <v>2037.5</v>
      </c>
      <c r="G39" s="2">
        <v>0.27666265484008362</v>
      </c>
    </row>
    <row r="40" spans="1:7" x14ac:dyDescent="0.2">
      <c r="A40">
        <v>2040</v>
      </c>
      <c r="B40" s="3">
        <v>136047193</v>
      </c>
      <c r="C40" t="s">
        <v>1</v>
      </c>
      <c r="D40">
        <v>2045</v>
      </c>
      <c r="E40" s="3">
        <v>137040128</v>
      </c>
      <c r="F40">
        <v>2042.5</v>
      </c>
      <c r="G40" s="2">
        <v>0.14543910306841634</v>
      </c>
    </row>
    <row r="41" spans="1:7" x14ac:dyDescent="0.2">
      <c r="A41">
        <v>2045</v>
      </c>
      <c r="B41" s="3">
        <v>137040128</v>
      </c>
      <c r="C41" t="s">
        <v>1</v>
      </c>
      <c r="D41">
        <v>2050</v>
      </c>
      <c r="E41" s="3">
        <v>137108343</v>
      </c>
      <c r="F41">
        <v>2047.5</v>
      </c>
      <c r="G41" s="2">
        <v>9.9530011834809383E-3</v>
      </c>
    </row>
    <row r="42" spans="1:7" x14ac:dyDescent="0.2">
      <c r="A42">
        <v>2050</v>
      </c>
      <c r="B42" s="3">
        <v>137108343</v>
      </c>
      <c r="C42" t="s">
        <v>1</v>
      </c>
    </row>
    <row r="46" spans="1:7" x14ac:dyDescent="0.2">
      <c r="B46" s="6" t="s">
        <v>6</v>
      </c>
    </row>
    <row r="47" spans="1:7" x14ac:dyDescent="0.2">
      <c r="A47" t="s">
        <v>2</v>
      </c>
      <c r="C47" t="s">
        <v>51</v>
      </c>
    </row>
    <row r="48" spans="1:7" x14ac:dyDescent="0.2">
      <c r="A48">
        <v>1800</v>
      </c>
      <c r="B48" s="3">
        <v>465000</v>
      </c>
      <c r="C48" t="s">
        <v>8</v>
      </c>
      <c r="D48">
        <v>1800</v>
      </c>
      <c r="E48" s="3">
        <v>465000</v>
      </c>
      <c r="F48" t="s">
        <v>3</v>
      </c>
      <c r="G48" t="s">
        <v>9</v>
      </c>
    </row>
    <row r="49" spans="1:7" x14ac:dyDescent="0.2">
      <c r="A49">
        <v>1810</v>
      </c>
      <c r="B49" s="3">
        <v>527000</v>
      </c>
      <c r="C49" t="s">
        <v>8</v>
      </c>
      <c r="D49">
        <v>1810</v>
      </c>
      <c r="E49" s="3">
        <v>527000</v>
      </c>
      <c r="F49" s="5">
        <v>1805</v>
      </c>
      <c r="G49" s="4">
        <v>1.2516314295400599</v>
      </c>
    </row>
    <row r="50" spans="1:7" x14ac:dyDescent="0.2">
      <c r="A50">
        <v>1820</v>
      </c>
      <c r="B50" s="3">
        <v>595000</v>
      </c>
      <c r="C50" t="s">
        <v>8</v>
      </c>
      <c r="D50">
        <v>1820</v>
      </c>
      <c r="E50" s="3">
        <v>595000</v>
      </c>
      <c r="F50" s="5">
        <v>1815</v>
      </c>
      <c r="G50" s="4">
        <v>1.2136085700426753</v>
      </c>
    </row>
    <row r="51" spans="1:7" x14ac:dyDescent="0.2">
      <c r="A51">
        <v>1830</v>
      </c>
      <c r="B51" s="3">
        <v>670000</v>
      </c>
      <c r="C51" t="s">
        <v>8</v>
      </c>
      <c r="D51">
        <v>1830</v>
      </c>
      <c r="E51" s="3">
        <v>670000</v>
      </c>
      <c r="F51" s="5">
        <v>1825</v>
      </c>
      <c r="G51" s="4">
        <v>1.1871630683938197</v>
      </c>
    </row>
    <row r="52" spans="1:7" x14ac:dyDescent="0.2">
      <c r="A52">
        <v>1840</v>
      </c>
      <c r="B52" s="3">
        <v>719000</v>
      </c>
      <c r="C52" t="s">
        <v>8</v>
      </c>
      <c r="D52">
        <v>1840</v>
      </c>
      <c r="E52" s="3">
        <v>719000</v>
      </c>
      <c r="F52" s="5">
        <v>1835</v>
      </c>
      <c r="G52" s="4">
        <v>0.70583645336034873</v>
      </c>
    </row>
    <row r="53" spans="1:7" x14ac:dyDescent="0.2">
      <c r="A53">
        <v>1850</v>
      </c>
      <c r="B53" s="3">
        <v>847000</v>
      </c>
      <c r="C53" t="s">
        <v>8</v>
      </c>
      <c r="D53">
        <v>1850</v>
      </c>
      <c r="E53" s="3">
        <v>847000</v>
      </c>
      <c r="F53" s="5">
        <v>1845</v>
      </c>
      <c r="G53" s="4">
        <v>1.6383933693100767</v>
      </c>
    </row>
    <row r="54" spans="1:7" x14ac:dyDescent="0.2">
      <c r="A54">
        <v>1860</v>
      </c>
      <c r="B54" s="3">
        <v>951000</v>
      </c>
      <c r="C54" t="s">
        <v>8</v>
      </c>
      <c r="D54">
        <v>1860</v>
      </c>
      <c r="E54" s="3">
        <v>951000</v>
      </c>
      <c r="F54" s="5">
        <v>1855</v>
      </c>
      <c r="G54" s="4">
        <v>1.1581336789333585</v>
      </c>
    </row>
    <row r="55" spans="1:7" x14ac:dyDescent="0.2">
      <c r="A55">
        <v>1870</v>
      </c>
      <c r="B55" s="3">
        <v>1080000</v>
      </c>
      <c r="C55" t="s">
        <v>8</v>
      </c>
      <c r="D55">
        <v>1870</v>
      </c>
      <c r="E55" s="3">
        <v>1080000</v>
      </c>
      <c r="F55" s="5">
        <v>1865</v>
      </c>
      <c r="G55" s="4">
        <v>1.2720225757287511</v>
      </c>
    </row>
    <row r="56" spans="1:7" x14ac:dyDescent="0.2">
      <c r="A56">
        <v>1880</v>
      </c>
      <c r="B56" s="3">
        <v>1224000</v>
      </c>
      <c r="C56" t="s">
        <v>7</v>
      </c>
      <c r="D56">
        <v>1880</v>
      </c>
      <c r="E56" s="3">
        <v>1224602</v>
      </c>
      <c r="F56" s="5">
        <v>1875</v>
      </c>
      <c r="G56" s="4">
        <v>1.256548521106017</v>
      </c>
    </row>
    <row r="57" spans="1:7" x14ac:dyDescent="0.2">
      <c r="A57">
        <v>1890</v>
      </c>
      <c r="B57" s="3">
        <v>1388180.2999999996</v>
      </c>
      <c r="C57" t="s">
        <v>28</v>
      </c>
      <c r="D57">
        <v>1890</v>
      </c>
      <c r="E57" s="3">
        <v>1388180.2999999996</v>
      </c>
      <c r="F57" s="5">
        <v>1885</v>
      </c>
      <c r="G57" s="4">
        <v>1.2537785953716696</v>
      </c>
    </row>
    <row r="58" spans="1:7" x14ac:dyDescent="0.2">
      <c r="A58">
        <v>1900</v>
      </c>
      <c r="B58" s="3">
        <v>1583967.0999999996</v>
      </c>
      <c r="C58" t="s">
        <v>28</v>
      </c>
      <c r="D58">
        <v>1900</v>
      </c>
      <c r="E58" s="3">
        <v>1583967.0999999996</v>
      </c>
      <c r="F58" s="5">
        <v>1895</v>
      </c>
      <c r="G58" s="4">
        <v>1.3193877019061298</v>
      </c>
    </row>
    <row r="59" spans="1:7" x14ac:dyDescent="0.2">
      <c r="A59">
        <v>1910</v>
      </c>
      <c r="B59" s="3">
        <v>1778292.8999999997</v>
      </c>
      <c r="C59" t="s">
        <v>28</v>
      </c>
      <c r="D59">
        <v>1910</v>
      </c>
      <c r="E59" s="3">
        <v>1778292.8999999997</v>
      </c>
      <c r="F59" s="5">
        <v>1905</v>
      </c>
      <c r="G59" s="4">
        <v>1.1572133620781684</v>
      </c>
    </row>
    <row r="60" spans="1:7" x14ac:dyDescent="0.2">
      <c r="A60">
        <v>1920</v>
      </c>
      <c r="B60" s="3">
        <v>1960053.4999999998</v>
      </c>
      <c r="C60" t="s">
        <v>28</v>
      </c>
      <c r="D60">
        <v>1920</v>
      </c>
      <c r="E60" s="3">
        <v>1960053.4999999998</v>
      </c>
      <c r="F60" s="5">
        <v>1915</v>
      </c>
      <c r="G60" s="4">
        <v>0.97317909605939379</v>
      </c>
    </row>
    <row r="61" spans="1:7" x14ac:dyDescent="0.2">
      <c r="A61">
        <v>1930</v>
      </c>
      <c r="B61" s="3">
        <v>2316675.8999999994</v>
      </c>
      <c r="C61" t="s">
        <v>28</v>
      </c>
      <c r="D61">
        <v>1930</v>
      </c>
      <c r="E61" s="3">
        <v>2316675.8999999994</v>
      </c>
      <c r="F61" s="5">
        <v>1925</v>
      </c>
      <c r="G61" s="4">
        <v>1.6716158772389274</v>
      </c>
    </row>
    <row r="62" spans="1:7" x14ac:dyDescent="0.2">
      <c r="A62">
        <v>1940</v>
      </c>
      <c r="B62" s="3">
        <v>2610027.2999999989</v>
      </c>
      <c r="C62" t="s">
        <v>28</v>
      </c>
      <c r="D62">
        <v>1940</v>
      </c>
      <c r="E62" s="3">
        <v>2610027.2999999989</v>
      </c>
      <c r="F62" s="5">
        <v>1935</v>
      </c>
      <c r="G62" s="4">
        <v>1.192273245378545</v>
      </c>
    </row>
    <row r="63" spans="1:7" x14ac:dyDescent="0.2">
      <c r="A63">
        <v>1950</v>
      </c>
      <c r="B63" s="3">
        <v>2989499.0999999992</v>
      </c>
      <c r="C63" t="s">
        <v>1</v>
      </c>
      <c r="D63">
        <v>1950</v>
      </c>
      <c r="E63" s="3">
        <v>2989499.0999999992</v>
      </c>
      <c r="F63" s="5">
        <v>1945</v>
      </c>
      <c r="G63" s="4">
        <v>1.3574516723507493</v>
      </c>
    </row>
    <row r="64" spans="1:7" x14ac:dyDescent="0.2">
      <c r="A64">
        <v>1955</v>
      </c>
      <c r="B64" s="3">
        <v>3404680</v>
      </c>
      <c r="C64" t="s">
        <v>1</v>
      </c>
      <c r="D64">
        <v>1955</v>
      </c>
      <c r="E64" s="3">
        <v>3404680</v>
      </c>
      <c r="F64" s="5">
        <v>1952.5</v>
      </c>
      <c r="G64" s="4">
        <v>1.3004510745804574</v>
      </c>
    </row>
    <row r="65" spans="1:7" x14ac:dyDescent="0.2">
      <c r="A65">
        <v>1960</v>
      </c>
      <c r="B65" s="3">
        <v>3942430</v>
      </c>
      <c r="C65" t="s">
        <v>1</v>
      </c>
      <c r="D65">
        <v>1960</v>
      </c>
      <c r="E65" s="3">
        <v>3942430</v>
      </c>
      <c r="F65" s="5">
        <v>1957.5</v>
      </c>
      <c r="G65" s="4">
        <v>1.4664632872284418</v>
      </c>
    </row>
    <row r="66" spans="1:7" x14ac:dyDescent="0.2">
      <c r="A66">
        <v>1965</v>
      </c>
      <c r="B66" s="3">
        <v>4735966</v>
      </c>
      <c r="C66" t="s">
        <v>1</v>
      </c>
      <c r="D66">
        <v>1965</v>
      </c>
      <c r="E66" s="3">
        <v>4735966</v>
      </c>
      <c r="F66" s="5">
        <v>1962.5</v>
      </c>
      <c r="G66" s="4">
        <v>1.833884340359027</v>
      </c>
    </row>
    <row r="67" spans="1:7" x14ac:dyDescent="0.2">
      <c r="A67">
        <v>1970</v>
      </c>
      <c r="B67" s="3">
        <v>5415626</v>
      </c>
      <c r="C67" t="s">
        <v>1</v>
      </c>
      <c r="D67">
        <v>1970</v>
      </c>
      <c r="E67" s="3">
        <v>5415626</v>
      </c>
      <c r="F67" s="5">
        <v>1967.5</v>
      </c>
      <c r="G67" s="4">
        <v>1.3410276007083031</v>
      </c>
    </row>
    <row r="68" spans="1:7" x14ac:dyDescent="0.2">
      <c r="A68">
        <v>1975</v>
      </c>
      <c r="B68" s="3">
        <v>6194250</v>
      </c>
      <c r="C68" t="s">
        <v>1</v>
      </c>
      <c r="D68">
        <v>1975</v>
      </c>
      <c r="E68" s="3">
        <v>6194250</v>
      </c>
      <c r="F68" s="5">
        <v>1972.5</v>
      </c>
      <c r="G68" s="4">
        <v>1.3433296380408788</v>
      </c>
    </row>
    <row r="69" spans="1:7" x14ac:dyDescent="0.2">
      <c r="A69">
        <v>1980</v>
      </c>
      <c r="B69" s="3">
        <v>7001071</v>
      </c>
      <c r="C69" t="s">
        <v>1</v>
      </c>
      <c r="D69">
        <v>1980</v>
      </c>
      <c r="E69" s="3">
        <v>7001071</v>
      </c>
      <c r="F69" s="5">
        <v>1977.5</v>
      </c>
      <c r="G69" s="4">
        <v>1.2244169497520809</v>
      </c>
    </row>
    <row r="70" spans="1:7" x14ac:dyDescent="0.2">
      <c r="A70">
        <v>1985</v>
      </c>
      <c r="B70" s="3">
        <v>7919892</v>
      </c>
      <c r="C70" t="s">
        <v>1</v>
      </c>
      <c r="D70">
        <v>1985</v>
      </c>
      <c r="E70" s="3">
        <v>7919892</v>
      </c>
      <c r="F70" s="5">
        <v>1982.5</v>
      </c>
      <c r="G70" s="4">
        <v>1.2331443201771506</v>
      </c>
    </row>
    <row r="71" spans="1:7" x14ac:dyDescent="0.2">
      <c r="A71">
        <v>1990</v>
      </c>
      <c r="B71" s="3">
        <v>8890216</v>
      </c>
      <c r="C71" t="s">
        <v>1</v>
      </c>
      <c r="D71">
        <v>1990</v>
      </c>
      <c r="E71" s="3">
        <v>8890216</v>
      </c>
      <c r="F71" s="5">
        <v>1987.5</v>
      </c>
      <c r="G71" s="4">
        <v>1.1557377682380436</v>
      </c>
    </row>
    <row r="72" spans="1:7" x14ac:dyDescent="0.2">
      <c r="A72">
        <v>1995</v>
      </c>
      <c r="B72" s="3">
        <v>9983714</v>
      </c>
      <c r="C72" t="s">
        <v>1</v>
      </c>
      <c r="D72">
        <v>1995</v>
      </c>
      <c r="E72" s="3">
        <v>9983714</v>
      </c>
      <c r="F72" s="5">
        <v>1992.5</v>
      </c>
      <c r="G72" s="4">
        <v>1.1600381918991245</v>
      </c>
    </row>
    <row r="73" spans="1:7" x14ac:dyDescent="0.2">
      <c r="A73">
        <v>2000</v>
      </c>
      <c r="B73" s="3">
        <v>11203791</v>
      </c>
      <c r="C73" t="s">
        <v>1</v>
      </c>
      <c r="D73">
        <v>2000</v>
      </c>
      <c r="E73" s="3">
        <v>11203791</v>
      </c>
      <c r="F73" s="5">
        <v>1997.5</v>
      </c>
      <c r="G73" s="4">
        <v>1.1529703778831006</v>
      </c>
    </row>
    <row r="74" spans="1:7" x14ac:dyDescent="0.2">
      <c r="A74">
        <v>2005</v>
      </c>
      <c r="B74" s="3">
        <v>12678471</v>
      </c>
      <c r="C74" t="s">
        <v>1</v>
      </c>
      <c r="D74">
        <v>2005</v>
      </c>
      <c r="E74" s="3">
        <v>12678471</v>
      </c>
      <c r="F74" s="5">
        <v>2002.5</v>
      </c>
      <c r="G74" s="4">
        <v>1.2365315497033014</v>
      </c>
    </row>
    <row r="75" spans="1:7" x14ac:dyDescent="0.2">
      <c r="A75">
        <v>2010</v>
      </c>
      <c r="B75" s="3">
        <v>14333748</v>
      </c>
      <c r="C75" t="s">
        <v>1</v>
      </c>
      <c r="D75">
        <v>2010</v>
      </c>
      <c r="E75" s="3">
        <v>14333748</v>
      </c>
      <c r="F75" s="5">
        <v>2007.5</v>
      </c>
      <c r="G75" s="4">
        <v>1.2271139869746075</v>
      </c>
    </row>
    <row r="76" spans="1:7" x14ac:dyDescent="0.2">
      <c r="A76">
        <v>2015</v>
      </c>
      <c r="B76" s="3">
        <v>16157970</v>
      </c>
      <c r="C76" t="s">
        <v>1</v>
      </c>
      <c r="D76">
        <v>2015</v>
      </c>
      <c r="E76" s="3">
        <v>16157970</v>
      </c>
      <c r="F76" s="5">
        <v>2012.5</v>
      </c>
      <c r="G76" s="4">
        <v>1.1979666955082462</v>
      </c>
    </row>
    <row r="77" spans="1:7" x14ac:dyDescent="0.2">
      <c r="A77">
        <v>2020</v>
      </c>
      <c r="B77" s="3">
        <v>17992361</v>
      </c>
      <c r="C77" t="s">
        <v>1</v>
      </c>
      <c r="D77">
        <v>2020</v>
      </c>
      <c r="E77" s="3">
        <v>17992361</v>
      </c>
      <c r="F77" s="5">
        <v>2017.5</v>
      </c>
      <c r="G77" s="4">
        <v>1.0753385253846057</v>
      </c>
    </row>
    <row r="78" spans="1:7" x14ac:dyDescent="0.2">
      <c r="A78">
        <v>2025</v>
      </c>
      <c r="B78" s="3">
        <v>19796419</v>
      </c>
      <c r="C78" t="s">
        <v>1</v>
      </c>
      <c r="D78">
        <v>2025</v>
      </c>
      <c r="E78" s="3">
        <v>19796419</v>
      </c>
      <c r="F78" s="5">
        <v>2022.5</v>
      </c>
      <c r="G78" s="4">
        <v>0.95553783828919814</v>
      </c>
    </row>
    <row r="79" spans="1:7" x14ac:dyDescent="0.2">
      <c r="A79">
        <v>2030</v>
      </c>
      <c r="B79" s="3">
        <v>21536554</v>
      </c>
      <c r="C79" t="s">
        <v>1</v>
      </c>
      <c r="D79">
        <v>2030</v>
      </c>
      <c r="E79" s="3">
        <v>21536554</v>
      </c>
      <c r="F79" s="5">
        <v>2027.5</v>
      </c>
      <c r="G79" s="4">
        <v>0.84250614742205943</v>
      </c>
    </row>
    <row r="80" spans="1:7" x14ac:dyDescent="0.2">
      <c r="A80">
        <v>2035</v>
      </c>
      <c r="B80" s="3">
        <v>23181909</v>
      </c>
      <c r="C80" t="s">
        <v>1</v>
      </c>
      <c r="D80">
        <v>2035</v>
      </c>
      <c r="E80" s="3">
        <v>23181909</v>
      </c>
      <c r="F80" s="5">
        <v>2032.5</v>
      </c>
      <c r="G80" s="4">
        <v>0.73620512499489865</v>
      </c>
    </row>
    <row r="81" spans="1:7" x14ac:dyDescent="0.2">
      <c r="A81">
        <v>2040</v>
      </c>
      <c r="B81" s="3">
        <v>24710615</v>
      </c>
      <c r="C81" t="s">
        <v>1</v>
      </c>
      <c r="D81">
        <v>2040</v>
      </c>
      <c r="E81" s="3">
        <v>24710615</v>
      </c>
      <c r="F81" s="5">
        <v>2037.5</v>
      </c>
      <c r="G81" s="4">
        <v>0.63860718400384042</v>
      </c>
    </row>
    <row r="82" spans="1:7" x14ac:dyDescent="0.2">
      <c r="A82">
        <v>2045</v>
      </c>
      <c r="B82" s="3">
        <v>26103909</v>
      </c>
      <c r="C82" t="s">
        <v>1</v>
      </c>
      <c r="D82">
        <v>2045</v>
      </c>
      <c r="E82" s="3">
        <v>26103909</v>
      </c>
      <c r="F82" s="5">
        <v>2042.5</v>
      </c>
      <c r="G82" s="4">
        <v>0.54852164829341654</v>
      </c>
    </row>
    <row r="83" spans="1:7" x14ac:dyDescent="0.2">
      <c r="A83">
        <v>2050</v>
      </c>
      <c r="B83" s="3">
        <v>27347207</v>
      </c>
      <c r="C83" t="s">
        <v>1</v>
      </c>
      <c r="D83">
        <v>2050</v>
      </c>
      <c r="E83" s="3">
        <v>27347207</v>
      </c>
      <c r="F83" s="5">
        <v>2047.5</v>
      </c>
      <c r="G83" s="4">
        <v>0.46529329766019106</v>
      </c>
    </row>
    <row r="85" spans="1:7" x14ac:dyDescent="0.2">
      <c r="A85">
        <v>1778</v>
      </c>
      <c r="B85" s="3">
        <v>361202</v>
      </c>
      <c r="C85" t="s">
        <v>10</v>
      </c>
      <c r="D85" t="s">
        <v>13</v>
      </c>
    </row>
    <row r="86" spans="1:7" x14ac:dyDescent="0.2">
      <c r="A86">
        <v>1805</v>
      </c>
      <c r="B86" s="3">
        <v>411561</v>
      </c>
      <c r="C86" t="s">
        <v>14</v>
      </c>
      <c r="D86" t="s">
        <v>15</v>
      </c>
    </row>
    <row r="87" spans="1:7" x14ac:dyDescent="0.2">
      <c r="A87">
        <v>1824</v>
      </c>
      <c r="B87" s="3">
        <v>625000</v>
      </c>
      <c r="C87" t="s">
        <v>25</v>
      </c>
      <c r="D87" t="s">
        <v>16</v>
      </c>
    </row>
    <row r="88" spans="1:7" x14ac:dyDescent="0.2">
      <c r="A88">
        <v>1848</v>
      </c>
      <c r="B88" s="3">
        <v>705505</v>
      </c>
      <c r="C88" t="s">
        <v>25</v>
      </c>
      <c r="D88" t="s">
        <v>20</v>
      </c>
    </row>
    <row r="89" spans="1:7" x14ac:dyDescent="0.2">
      <c r="A89">
        <v>1852</v>
      </c>
      <c r="B89" s="3">
        <v>890000</v>
      </c>
      <c r="C89" t="s">
        <v>18</v>
      </c>
      <c r="D89" t="s">
        <v>17</v>
      </c>
    </row>
    <row r="90" spans="1:7" x14ac:dyDescent="0.2">
      <c r="A90">
        <v>1860</v>
      </c>
      <c r="B90" s="3">
        <v>905000</v>
      </c>
      <c r="C90" t="s">
        <v>19</v>
      </c>
      <c r="D90" t="s">
        <v>26</v>
      </c>
    </row>
    <row r="91" spans="1:7" x14ac:dyDescent="0.2">
      <c r="A91">
        <v>1865</v>
      </c>
      <c r="B91" s="3">
        <v>1180100</v>
      </c>
      <c r="C91" t="s">
        <v>19</v>
      </c>
      <c r="D91" t="s">
        <v>20</v>
      </c>
    </row>
    <row r="92" spans="1:7" x14ac:dyDescent="0.2">
      <c r="A92">
        <v>1880</v>
      </c>
      <c r="B92" s="3">
        <v>1224602</v>
      </c>
      <c r="C92" t="s">
        <v>21</v>
      </c>
    </row>
    <row r="93" spans="1:7" x14ac:dyDescent="0.2">
      <c r="A93">
        <v>1921</v>
      </c>
      <c r="B93" s="3">
        <v>2004900</v>
      </c>
      <c r="C93" t="s">
        <v>22</v>
      </c>
    </row>
    <row r="94" spans="1:7" x14ac:dyDescent="0.2">
      <c r="A94">
        <v>1940</v>
      </c>
      <c r="B94" s="3">
        <v>3283209</v>
      </c>
      <c r="C94" t="s">
        <v>23</v>
      </c>
      <c r="D94" t="s">
        <v>12</v>
      </c>
    </row>
    <row r="95" spans="1:7" x14ac:dyDescent="0.2">
      <c r="A95">
        <v>1950</v>
      </c>
      <c r="B95" s="3">
        <v>2790868</v>
      </c>
      <c r="C95" t="s">
        <v>24</v>
      </c>
    </row>
    <row r="99" spans="1:21" x14ac:dyDescent="0.2">
      <c r="B99" s="6" t="s">
        <v>11</v>
      </c>
    </row>
    <row r="100" spans="1:21" x14ac:dyDescent="0.2">
      <c r="A100" t="s">
        <v>2</v>
      </c>
      <c r="M100" s="1"/>
    </row>
    <row r="101" spans="1:21" x14ac:dyDescent="0.2">
      <c r="A101">
        <v>1791</v>
      </c>
      <c r="B101" s="3">
        <v>93501</v>
      </c>
      <c r="C101" t="s">
        <v>35</v>
      </c>
      <c r="D101">
        <v>1800</v>
      </c>
      <c r="E101" s="3">
        <v>124350.36005118379</v>
      </c>
      <c r="F101" t="s">
        <v>3</v>
      </c>
      <c r="G101" t="s">
        <v>9</v>
      </c>
      <c r="M101" s="1"/>
    </row>
    <row r="102" spans="1:21" x14ac:dyDescent="0.2">
      <c r="A102">
        <v>1801</v>
      </c>
      <c r="B102" s="3">
        <v>128353</v>
      </c>
      <c r="C102" t="s">
        <v>35</v>
      </c>
      <c r="D102">
        <v>1810</v>
      </c>
      <c r="E102" s="3">
        <v>141406.57182719206</v>
      </c>
      <c r="F102">
        <f t="shared" ref="F102:F131" si="1">(D102+D101)/2</f>
        <v>1805</v>
      </c>
      <c r="G102" s="4">
        <f t="shared" ref="G102:G136" si="2">(LN(E102/E101)/(D102-D101))*100</f>
        <v>1.2853616352560004</v>
      </c>
      <c r="M102" s="1"/>
      <c r="Q102" s="3"/>
      <c r="S102" t="s">
        <v>54</v>
      </c>
      <c r="T102" t="s">
        <v>38</v>
      </c>
      <c r="U102" t="s">
        <v>37</v>
      </c>
    </row>
    <row r="103" spans="1:21" x14ac:dyDescent="0.2">
      <c r="A103">
        <v>1824</v>
      </c>
      <c r="B103" s="3">
        <v>137000</v>
      </c>
      <c r="C103" t="s">
        <v>16</v>
      </c>
      <c r="D103">
        <v>1820</v>
      </c>
      <c r="E103" s="3">
        <v>157473.28719935985</v>
      </c>
      <c r="F103">
        <f t="shared" si="1"/>
        <v>1815</v>
      </c>
      <c r="G103" s="4">
        <f t="shared" si="2"/>
        <v>1.0761660956097483</v>
      </c>
      <c r="M103" s="1"/>
      <c r="P103">
        <v>1791</v>
      </c>
      <c r="Q103" s="3">
        <v>93501</v>
      </c>
      <c r="R103" t="s">
        <v>30</v>
      </c>
      <c r="S103" t="s">
        <v>35</v>
      </c>
      <c r="T103">
        <v>0</v>
      </c>
      <c r="U103" s="3">
        <v>93501</v>
      </c>
    </row>
    <row r="104" spans="1:21" x14ac:dyDescent="0.2">
      <c r="A104">
        <v>1838</v>
      </c>
      <c r="B104" s="3">
        <v>173365</v>
      </c>
      <c r="C104" t="s">
        <v>35</v>
      </c>
      <c r="D104">
        <v>1830</v>
      </c>
      <c r="E104" s="3">
        <v>181852.51984603266</v>
      </c>
      <c r="F104">
        <f t="shared" si="1"/>
        <v>1825</v>
      </c>
      <c r="G104" s="4">
        <f t="shared" si="2"/>
        <v>1.4394018926755703</v>
      </c>
      <c r="M104" s="1"/>
      <c r="P104">
        <v>1801</v>
      </c>
      <c r="Q104" s="3">
        <v>128353</v>
      </c>
      <c r="R104" t="s">
        <v>31</v>
      </c>
      <c r="S104" t="s">
        <v>35</v>
      </c>
      <c r="T104">
        <v>0</v>
      </c>
      <c r="U104" s="3">
        <v>128353</v>
      </c>
    </row>
    <row r="105" spans="1:21" x14ac:dyDescent="0.2">
      <c r="A105">
        <v>1855</v>
      </c>
      <c r="B105" s="3">
        <v>302000</v>
      </c>
      <c r="C105" t="s">
        <v>36</v>
      </c>
      <c r="D105">
        <v>1840</v>
      </c>
      <c r="E105" s="3">
        <v>214685.29166239518</v>
      </c>
      <c r="F105">
        <f t="shared" si="1"/>
        <v>1835</v>
      </c>
      <c r="G105" s="4">
        <f t="shared" si="2"/>
        <v>1.659771680098197</v>
      </c>
      <c r="M105" s="1"/>
      <c r="P105">
        <v>1824</v>
      </c>
      <c r="Q105" s="3">
        <v>137000</v>
      </c>
      <c r="R105" t="s">
        <v>25</v>
      </c>
      <c r="S105" t="s">
        <v>16</v>
      </c>
      <c r="T105">
        <v>1.2</v>
      </c>
      <c r="U105" s="3">
        <v>164400</v>
      </c>
    </row>
    <row r="106" spans="1:21" x14ac:dyDescent="0.2">
      <c r="A106">
        <v>1881</v>
      </c>
      <c r="B106" s="3">
        <v>307289</v>
      </c>
      <c r="C106" t="s">
        <v>35</v>
      </c>
      <c r="D106">
        <v>1850</v>
      </c>
      <c r="E106" s="3">
        <v>251246.71881277903</v>
      </c>
      <c r="F106">
        <f t="shared" si="1"/>
        <v>1845</v>
      </c>
      <c r="G106" s="4">
        <f t="shared" si="2"/>
        <v>1.5726220376131799</v>
      </c>
      <c r="M106" s="1"/>
      <c r="P106">
        <v>1838</v>
      </c>
      <c r="Q106" s="3">
        <v>173365</v>
      </c>
      <c r="R106" t="s">
        <v>32</v>
      </c>
      <c r="S106" t="s">
        <v>35</v>
      </c>
      <c r="T106">
        <v>1.2</v>
      </c>
      <c r="U106" s="3">
        <v>208038</v>
      </c>
    </row>
    <row r="107" spans="1:21" x14ac:dyDescent="0.2">
      <c r="A107">
        <v>1887</v>
      </c>
      <c r="B107" s="3">
        <v>331917</v>
      </c>
      <c r="C107" t="s">
        <v>35</v>
      </c>
      <c r="D107">
        <v>1860</v>
      </c>
      <c r="E107" s="3">
        <v>294824.22782274825</v>
      </c>
      <c r="F107">
        <f t="shared" si="1"/>
        <v>1855</v>
      </c>
      <c r="G107" s="4">
        <f t="shared" si="2"/>
        <v>1.59943941032508</v>
      </c>
      <c r="M107" s="1"/>
      <c r="P107">
        <v>1855</v>
      </c>
      <c r="Q107" s="3">
        <v>302000</v>
      </c>
      <c r="R107" t="s">
        <v>33</v>
      </c>
      <c r="S107" t="s">
        <v>36</v>
      </c>
      <c r="T107">
        <v>0.9</v>
      </c>
      <c r="U107" s="3">
        <v>271800</v>
      </c>
    </row>
    <row r="108" spans="1:21" x14ac:dyDescent="0.2">
      <c r="A108">
        <v>1910</v>
      </c>
      <c r="B108" s="3">
        <v>708931</v>
      </c>
      <c r="C108" t="s">
        <v>27</v>
      </c>
      <c r="D108">
        <v>1870</v>
      </c>
      <c r="E108" s="3">
        <v>346889.06074928417</v>
      </c>
      <c r="F108">
        <f t="shared" si="1"/>
        <v>1865</v>
      </c>
      <c r="G108" s="4">
        <f t="shared" si="2"/>
        <v>1.6262567830369754</v>
      </c>
      <c r="M108" s="1"/>
      <c r="P108">
        <v>1881</v>
      </c>
      <c r="Q108" s="3">
        <v>307289</v>
      </c>
      <c r="R108" t="s">
        <v>29</v>
      </c>
      <c r="S108" t="s">
        <v>35</v>
      </c>
      <c r="T108">
        <v>1.35</v>
      </c>
      <c r="U108" s="3">
        <v>414840.15</v>
      </c>
    </row>
    <row r="109" spans="1:21" x14ac:dyDescent="0.2">
      <c r="A109">
        <v>1920</v>
      </c>
      <c r="B109" s="3">
        <v>791342.8</v>
      </c>
      <c r="C109" t="s">
        <v>27</v>
      </c>
      <c r="D109">
        <v>1880</v>
      </c>
      <c r="E109" s="3">
        <v>408148.34437509527</v>
      </c>
      <c r="F109">
        <f t="shared" si="1"/>
        <v>1875</v>
      </c>
      <c r="G109" s="4">
        <f t="shared" si="2"/>
        <v>1.626256783036979</v>
      </c>
      <c r="P109">
        <v>1887</v>
      </c>
      <c r="Q109" s="3">
        <v>331917</v>
      </c>
      <c r="R109" t="s">
        <v>29</v>
      </c>
      <c r="S109" t="s">
        <v>35</v>
      </c>
      <c r="T109">
        <v>1.4</v>
      </c>
      <c r="U109" s="3">
        <v>464683.8</v>
      </c>
    </row>
    <row r="110" spans="1:21" x14ac:dyDescent="0.2">
      <c r="A110">
        <v>1930</v>
      </c>
      <c r="B110" s="3">
        <v>932556</v>
      </c>
      <c r="C110" t="s">
        <v>27</v>
      </c>
      <c r="D110">
        <v>1890</v>
      </c>
      <c r="E110" s="3">
        <v>491004.33685685141</v>
      </c>
      <c r="F110">
        <f t="shared" si="1"/>
        <v>1885</v>
      </c>
      <c r="G110" s="4">
        <f t="shared" si="2"/>
        <v>1.848222629815699</v>
      </c>
      <c r="P110">
        <v>1910</v>
      </c>
      <c r="Q110" s="3">
        <v>708931</v>
      </c>
      <c r="R110" t="s">
        <v>34</v>
      </c>
      <c r="S110" t="s">
        <v>27</v>
      </c>
      <c r="T110">
        <v>0</v>
      </c>
    </row>
    <row r="111" spans="1:21" x14ac:dyDescent="0.2">
      <c r="A111">
        <v>1940</v>
      </c>
      <c r="B111" s="3">
        <v>1136138.6000000001</v>
      </c>
      <c r="C111" t="s">
        <v>27</v>
      </c>
      <c r="D111">
        <v>1900</v>
      </c>
      <c r="E111" s="3">
        <v>589989.99612897215</v>
      </c>
      <c r="F111">
        <f t="shared" si="1"/>
        <v>1895</v>
      </c>
      <c r="G111" s="4">
        <f t="shared" si="2"/>
        <v>1.836526205845513</v>
      </c>
    </row>
    <row r="112" spans="1:21" x14ac:dyDescent="0.2">
      <c r="A112">
        <v>1950</v>
      </c>
      <c r="B112" s="3">
        <v>1370110.9400000002</v>
      </c>
      <c r="C112" t="s">
        <v>27</v>
      </c>
      <c r="D112">
        <v>1910</v>
      </c>
      <c r="E112" s="3">
        <v>709000</v>
      </c>
      <c r="F112">
        <f t="shared" si="1"/>
        <v>1905</v>
      </c>
      <c r="G112" s="4">
        <f t="shared" si="2"/>
        <v>1.837499454897187</v>
      </c>
      <c r="M112" s="1"/>
    </row>
    <row r="113" spans="1:13" x14ac:dyDescent="0.2">
      <c r="A113">
        <v>1955</v>
      </c>
      <c r="B113" s="3">
        <v>1594039.58</v>
      </c>
      <c r="C113" t="s">
        <v>27</v>
      </c>
      <c r="D113">
        <v>1920</v>
      </c>
      <c r="E113" s="3">
        <v>791342.8</v>
      </c>
      <c r="F113">
        <f t="shared" si="1"/>
        <v>1915</v>
      </c>
      <c r="G113" s="4">
        <f t="shared" si="2"/>
        <v>1.0987572282958169</v>
      </c>
    </row>
    <row r="114" spans="1:13" x14ac:dyDescent="0.2">
      <c r="A114">
        <v>1960</v>
      </c>
      <c r="B114" s="3">
        <v>1873223.56</v>
      </c>
      <c r="C114" t="s">
        <v>27</v>
      </c>
      <c r="D114">
        <v>1930</v>
      </c>
      <c r="E114" s="3">
        <v>932556</v>
      </c>
      <c r="F114">
        <f t="shared" si="1"/>
        <v>1925</v>
      </c>
      <c r="G114" s="4">
        <f t="shared" si="2"/>
        <v>1.6419795397241803</v>
      </c>
      <c r="M114" s="1"/>
    </row>
    <row r="115" spans="1:13" x14ac:dyDescent="0.2">
      <c r="A115">
        <v>1965</v>
      </c>
      <c r="B115" s="3">
        <v>2213801.1800000002</v>
      </c>
      <c r="C115" t="s">
        <v>27</v>
      </c>
      <c r="D115">
        <v>1940</v>
      </c>
      <c r="E115" s="3">
        <v>1136138.6000000001</v>
      </c>
      <c r="F115">
        <f t="shared" si="1"/>
        <v>1935</v>
      </c>
      <c r="G115" s="4">
        <f t="shared" si="2"/>
        <v>1.974613955469692</v>
      </c>
      <c r="M115" s="1"/>
    </row>
    <row r="116" spans="1:13" x14ac:dyDescent="0.2">
      <c r="A116">
        <v>1970</v>
      </c>
      <c r="B116" s="3">
        <v>2624799.1900000004</v>
      </c>
      <c r="C116" t="s">
        <v>27</v>
      </c>
      <c r="D116">
        <v>1950</v>
      </c>
      <c r="E116" s="3">
        <v>1370110.9400000002</v>
      </c>
      <c r="F116">
        <f t="shared" si="1"/>
        <v>1945</v>
      </c>
      <c r="G116" s="4">
        <f t="shared" si="2"/>
        <v>1.8725639476471458</v>
      </c>
      <c r="M116" s="1"/>
    </row>
    <row r="117" spans="1:13" x14ac:dyDescent="0.2">
      <c r="A117">
        <v>1975</v>
      </c>
      <c r="B117" s="3">
        <v>3107730</v>
      </c>
      <c r="C117" t="s">
        <v>1</v>
      </c>
      <c r="D117">
        <v>1955</v>
      </c>
      <c r="E117" s="3">
        <v>1594039.58</v>
      </c>
      <c r="F117">
        <f t="shared" si="1"/>
        <v>1952.5</v>
      </c>
      <c r="G117" s="4">
        <f t="shared" si="2"/>
        <v>3.0275939202176074</v>
      </c>
      <c r="M117" s="1"/>
    </row>
    <row r="118" spans="1:13" x14ac:dyDescent="0.2">
      <c r="A118">
        <v>1980</v>
      </c>
      <c r="B118" s="3">
        <v>3635862</v>
      </c>
      <c r="C118" t="s">
        <v>1</v>
      </c>
      <c r="D118">
        <v>1960</v>
      </c>
      <c r="E118" s="3">
        <v>1873223.56</v>
      </c>
      <c r="F118">
        <f t="shared" si="1"/>
        <v>1957.5</v>
      </c>
      <c r="G118" s="4">
        <f t="shared" si="2"/>
        <v>3.2277872996249029</v>
      </c>
      <c r="M118" s="1"/>
    </row>
    <row r="119" spans="1:13" x14ac:dyDescent="0.2">
      <c r="A119">
        <v>1985</v>
      </c>
      <c r="B119" s="3">
        <v>4237519</v>
      </c>
      <c r="C119" t="s">
        <v>1</v>
      </c>
      <c r="D119">
        <v>1965</v>
      </c>
      <c r="E119" s="3">
        <v>2213801.1800000002</v>
      </c>
      <c r="F119">
        <f t="shared" si="1"/>
        <v>1962.5</v>
      </c>
      <c r="G119" s="4">
        <f t="shared" si="2"/>
        <v>3.3410050666718307</v>
      </c>
      <c r="M119" s="1"/>
    </row>
    <row r="120" spans="1:13" x14ac:dyDescent="0.2">
      <c r="A120">
        <v>1990</v>
      </c>
      <c r="B120" s="3">
        <v>4903704</v>
      </c>
      <c r="C120" t="s">
        <v>1</v>
      </c>
      <c r="D120">
        <v>1970</v>
      </c>
      <c r="E120" s="3">
        <v>2624799.1900000004</v>
      </c>
      <c r="F120">
        <f t="shared" si="1"/>
        <v>1967.5</v>
      </c>
      <c r="G120" s="4">
        <f t="shared" si="2"/>
        <v>3.4058673016075174</v>
      </c>
    </row>
    <row r="121" spans="1:13" x14ac:dyDescent="0.2">
      <c r="A121">
        <v>1995</v>
      </c>
      <c r="B121" s="3">
        <v>5591950</v>
      </c>
      <c r="C121" t="s">
        <v>1</v>
      </c>
      <c r="D121">
        <v>1975</v>
      </c>
      <c r="E121" s="3">
        <v>3107730</v>
      </c>
      <c r="F121">
        <f t="shared" si="1"/>
        <v>1972.5</v>
      </c>
      <c r="G121" s="4">
        <f t="shared" si="2"/>
        <v>3.3777632415023988</v>
      </c>
    </row>
    <row r="122" spans="1:13" x14ac:dyDescent="0.2">
      <c r="A122">
        <v>2000</v>
      </c>
      <c r="B122" s="3">
        <v>6235595</v>
      </c>
      <c r="C122" t="s">
        <v>1</v>
      </c>
      <c r="D122">
        <v>1980</v>
      </c>
      <c r="E122" s="3">
        <v>3635862</v>
      </c>
      <c r="F122">
        <f t="shared" si="1"/>
        <v>1977.5</v>
      </c>
      <c r="G122" s="4">
        <f t="shared" si="2"/>
        <v>3.1390733130940549</v>
      </c>
    </row>
    <row r="123" spans="1:13" x14ac:dyDescent="0.2">
      <c r="A123">
        <v>2005</v>
      </c>
      <c r="B123" s="3">
        <v>6898882</v>
      </c>
      <c r="C123" t="s">
        <v>1</v>
      </c>
      <c r="D123">
        <v>1985</v>
      </c>
      <c r="E123" s="3">
        <v>4237519</v>
      </c>
      <c r="F123">
        <f t="shared" si="1"/>
        <v>1982.5</v>
      </c>
      <c r="G123" s="4">
        <f t="shared" si="2"/>
        <v>3.0626346934547679</v>
      </c>
    </row>
    <row r="124" spans="1:13" x14ac:dyDescent="0.2">
      <c r="A124">
        <v>2010</v>
      </c>
      <c r="B124" s="3">
        <v>7619253</v>
      </c>
      <c r="C124" t="s">
        <v>1</v>
      </c>
      <c r="D124">
        <v>1990</v>
      </c>
      <c r="E124" s="3">
        <v>4903704</v>
      </c>
      <c r="F124">
        <f t="shared" si="1"/>
        <v>1987.5</v>
      </c>
      <c r="G124" s="4">
        <f t="shared" si="2"/>
        <v>2.9202576289841957</v>
      </c>
    </row>
    <row r="125" spans="1:13" x14ac:dyDescent="0.2">
      <c r="A125">
        <v>2015</v>
      </c>
      <c r="B125" s="3">
        <v>8378067</v>
      </c>
      <c r="C125" t="s">
        <v>1</v>
      </c>
      <c r="D125">
        <v>1995</v>
      </c>
      <c r="E125" s="3">
        <v>5591950</v>
      </c>
      <c r="F125">
        <f t="shared" si="1"/>
        <v>1992.5</v>
      </c>
      <c r="G125" s="4">
        <f t="shared" si="2"/>
        <v>2.6267445125043842</v>
      </c>
    </row>
    <row r="126" spans="1:13" x14ac:dyDescent="0.2">
      <c r="A126">
        <v>2020</v>
      </c>
      <c r="B126" s="3">
        <v>9103492</v>
      </c>
      <c r="C126" t="s">
        <v>1</v>
      </c>
      <c r="D126">
        <v>2000</v>
      </c>
      <c r="E126" s="3">
        <v>6235595</v>
      </c>
      <c r="F126">
        <f t="shared" si="1"/>
        <v>1997.5</v>
      </c>
      <c r="G126" s="4">
        <f t="shared" si="2"/>
        <v>2.1789188012370788</v>
      </c>
    </row>
    <row r="127" spans="1:13" x14ac:dyDescent="0.2">
      <c r="A127">
        <v>2025</v>
      </c>
      <c r="B127" s="3">
        <v>9774154</v>
      </c>
      <c r="C127" t="s">
        <v>1</v>
      </c>
      <c r="D127">
        <v>2005</v>
      </c>
      <c r="E127" s="3">
        <v>6898882</v>
      </c>
      <c r="F127">
        <f t="shared" si="1"/>
        <v>2002.5</v>
      </c>
      <c r="G127" s="4">
        <f t="shared" si="2"/>
        <v>2.0217073176196294</v>
      </c>
    </row>
    <row r="128" spans="1:13" x14ac:dyDescent="0.2">
      <c r="A128">
        <v>2030</v>
      </c>
      <c r="B128" s="3">
        <v>10378613</v>
      </c>
      <c r="C128" t="s">
        <v>1</v>
      </c>
      <c r="D128">
        <v>2010</v>
      </c>
      <c r="E128" s="3">
        <v>7619253</v>
      </c>
      <c r="F128">
        <f t="shared" si="1"/>
        <v>2007.5</v>
      </c>
      <c r="G128" s="4">
        <f t="shared" si="2"/>
        <v>1.9863792781499707</v>
      </c>
    </row>
    <row r="129" spans="1:7" x14ac:dyDescent="0.2">
      <c r="A129">
        <v>2035</v>
      </c>
      <c r="B129" s="3">
        <v>10913764</v>
      </c>
      <c r="C129" t="s">
        <v>1</v>
      </c>
      <c r="D129">
        <v>2015</v>
      </c>
      <c r="E129" s="3">
        <v>8378067</v>
      </c>
      <c r="F129">
        <f t="shared" si="1"/>
        <v>2012.5</v>
      </c>
      <c r="G129" s="4">
        <f t="shared" si="2"/>
        <v>1.8987777246225985</v>
      </c>
    </row>
    <row r="130" spans="1:7" x14ac:dyDescent="0.2">
      <c r="A130">
        <v>2040</v>
      </c>
      <c r="B130" s="3">
        <v>11374886</v>
      </c>
      <c r="C130" t="s">
        <v>1</v>
      </c>
      <c r="D130">
        <v>2020</v>
      </c>
      <c r="E130" s="3">
        <v>9103492</v>
      </c>
      <c r="F130">
        <f t="shared" si="1"/>
        <v>2017.5</v>
      </c>
      <c r="G130" s="4">
        <f t="shared" si="2"/>
        <v>1.6608171310077975</v>
      </c>
    </row>
    <row r="131" spans="1:7" x14ac:dyDescent="0.2">
      <c r="A131">
        <v>2045</v>
      </c>
      <c r="B131" s="3">
        <v>11755574</v>
      </c>
      <c r="C131" t="s">
        <v>1</v>
      </c>
      <c r="D131">
        <v>2025</v>
      </c>
      <c r="E131" s="3">
        <v>9774154</v>
      </c>
      <c r="F131">
        <f t="shared" si="1"/>
        <v>2022.5</v>
      </c>
      <c r="G131" s="4">
        <f t="shared" si="2"/>
        <v>1.4216695726561179</v>
      </c>
    </row>
    <row r="132" spans="1:7" x14ac:dyDescent="0.2">
      <c r="A132">
        <v>2050</v>
      </c>
      <c r="B132" s="3">
        <v>12053731</v>
      </c>
      <c r="C132" t="s">
        <v>1</v>
      </c>
      <c r="D132">
        <v>2030</v>
      </c>
      <c r="E132" s="3">
        <v>10378613</v>
      </c>
      <c r="F132">
        <v>2027.5</v>
      </c>
      <c r="G132" s="4">
        <f t="shared" si="2"/>
        <v>1.2001138329477996</v>
      </c>
    </row>
    <row r="133" spans="1:7" x14ac:dyDescent="0.2">
      <c r="D133">
        <v>2035</v>
      </c>
      <c r="E133" s="3">
        <v>10913764</v>
      </c>
      <c r="F133">
        <v>2032.5</v>
      </c>
      <c r="G133" s="4">
        <f t="shared" si="2"/>
        <v>1.0055499693745615</v>
      </c>
    </row>
    <row r="134" spans="1:7" x14ac:dyDescent="0.2">
      <c r="D134">
        <v>2040</v>
      </c>
      <c r="E134" s="3">
        <v>11374886</v>
      </c>
      <c r="F134">
        <v>2037.5</v>
      </c>
      <c r="G134" s="4">
        <f t="shared" si="2"/>
        <v>0.82766395762474443</v>
      </c>
    </row>
    <row r="135" spans="1:7" x14ac:dyDescent="0.2">
      <c r="D135">
        <v>2045</v>
      </c>
      <c r="E135" s="3">
        <v>11755574</v>
      </c>
      <c r="F135">
        <v>2042.5</v>
      </c>
      <c r="G135" s="4">
        <f t="shared" si="2"/>
        <v>0.65839136552173383</v>
      </c>
    </row>
    <row r="136" spans="1:7" x14ac:dyDescent="0.2">
      <c r="D136">
        <v>2050</v>
      </c>
      <c r="E136" s="3">
        <v>12053731</v>
      </c>
      <c r="F136">
        <v>2047.5</v>
      </c>
      <c r="G136" s="4">
        <f t="shared" si="2"/>
        <v>0.50093454966824824</v>
      </c>
    </row>
    <row r="138" spans="1:7" x14ac:dyDescent="0.2">
      <c r="B138" s="6" t="s">
        <v>39</v>
      </c>
    </row>
    <row r="139" spans="1:7" x14ac:dyDescent="0.2">
      <c r="A139" t="s">
        <v>2</v>
      </c>
    </row>
    <row r="140" spans="1:7" x14ac:dyDescent="0.2">
      <c r="A140">
        <v>1800</v>
      </c>
      <c r="B140" s="3">
        <v>186000</v>
      </c>
      <c r="C140" t="s">
        <v>8</v>
      </c>
      <c r="D140">
        <v>1800</v>
      </c>
      <c r="E140" s="3">
        <v>186000</v>
      </c>
      <c r="F140" t="s">
        <v>3</v>
      </c>
      <c r="G140" t="s">
        <v>9</v>
      </c>
    </row>
    <row r="141" spans="1:7" x14ac:dyDescent="0.2">
      <c r="A141">
        <v>1810</v>
      </c>
      <c r="B141" s="3">
        <v>210000</v>
      </c>
      <c r="C141" t="s">
        <v>8</v>
      </c>
      <c r="D141">
        <v>1810</v>
      </c>
      <c r="E141" s="3">
        <v>210000</v>
      </c>
      <c r="F141">
        <v>1805</v>
      </c>
      <c r="G141" s="4">
        <v>1.2136085700426753</v>
      </c>
    </row>
    <row r="142" spans="1:7" x14ac:dyDescent="0.2">
      <c r="A142">
        <v>1820</v>
      </c>
      <c r="B142" s="3">
        <v>248000</v>
      </c>
      <c r="C142" t="s">
        <v>8</v>
      </c>
      <c r="D142">
        <v>1820</v>
      </c>
      <c r="E142" s="3">
        <v>248000</v>
      </c>
      <c r="F142">
        <v>1815</v>
      </c>
      <c r="G142" s="4">
        <v>1.663212154475135</v>
      </c>
    </row>
    <row r="143" spans="1:7" x14ac:dyDescent="0.2">
      <c r="A143">
        <v>1830</v>
      </c>
      <c r="B143" s="3">
        <v>271000</v>
      </c>
      <c r="C143" t="s">
        <v>8</v>
      </c>
      <c r="D143">
        <v>1830</v>
      </c>
      <c r="E143" s="3">
        <v>271000</v>
      </c>
      <c r="F143">
        <v>1825</v>
      </c>
      <c r="G143" s="4">
        <v>0.88690074714718758</v>
      </c>
    </row>
    <row r="144" spans="1:7" x14ac:dyDescent="0.2">
      <c r="A144">
        <v>1840</v>
      </c>
      <c r="B144" s="3">
        <v>315000</v>
      </c>
      <c r="C144" t="s">
        <v>8</v>
      </c>
      <c r="D144">
        <v>1840</v>
      </c>
      <c r="E144" s="3">
        <v>315000</v>
      </c>
      <c r="F144">
        <v>1835</v>
      </c>
      <c r="G144" s="4">
        <v>1.5045381794593218</v>
      </c>
    </row>
    <row r="145" spans="1:7" x14ac:dyDescent="0.2">
      <c r="A145">
        <v>1850</v>
      </c>
      <c r="B145" s="3">
        <v>366000</v>
      </c>
      <c r="C145" t="s">
        <v>8</v>
      </c>
      <c r="D145">
        <v>1850</v>
      </c>
      <c r="E145" s="3">
        <v>366000</v>
      </c>
      <c r="F145">
        <v>1845</v>
      </c>
      <c r="G145" s="4">
        <v>1.5006069457573328</v>
      </c>
    </row>
    <row r="146" spans="1:7" x14ac:dyDescent="0.2">
      <c r="A146">
        <v>1860</v>
      </c>
      <c r="B146" s="3">
        <v>424000</v>
      </c>
      <c r="C146" t="s">
        <v>8</v>
      </c>
      <c r="D146">
        <v>1860</v>
      </c>
      <c r="E146" s="3">
        <v>424000</v>
      </c>
      <c r="F146">
        <v>1855</v>
      </c>
      <c r="G146" s="4">
        <v>1.4710012183059149</v>
      </c>
    </row>
    <row r="147" spans="1:7" x14ac:dyDescent="0.2">
      <c r="A147">
        <v>1870</v>
      </c>
      <c r="B147" s="3">
        <v>517000</v>
      </c>
      <c r="C147" t="s">
        <v>8</v>
      </c>
      <c r="D147">
        <v>1870</v>
      </c>
      <c r="E147" s="3">
        <v>517000</v>
      </c>
      <c r="F147">
        <v>1865</v>
      </c>
      <c r="G147" s="4">
        <v>1.9830941927647137</v>
      </c>
    </row>
    <row r="148" spans="1:7" x14ac:dyDescent="0.2">
      <c r="A148">
        <v>1880</v>
      </c>
      <c r="B148" s="3">
        <v>631000</v>
      </c>
      <c r="C148" t="s">
        <v>8</v>
      </c>
      <c r="D148">
        <v>1880</v>
      </c>
      <c r="E148" s="3">
        <v>631000</v>
      </c>
      <c r="F148">
        <v>1875</v>
      </c>
      <c r="G148" s="4">
        <v>1.9926298803278404</v>
      </c>
    </row>
    <row r="149" spans="1:7" x14ac:dyDescent="0.2">
      <c r="A149">
        <v>1890</v>
      </c>
      <c r="B149" s="3">
        <v>770000</v>
      </c>
      <c r="C149" t="s">
        <v>8</v>
      </c>
      <c r="D149">
        <v>1890</v>
      </c>
      <c r="E149" s="3">
        <v>770000</v>
      </c>
      <c r="F149">
        <v>1885</v>
      </c>
      <c r="G149" s="4">
        <v>1.9908465230651633</v>
      </c>
    </row>
    <row r="150" spans="1:7" x14ac:dyDescent="0.2">
      <c r="A150">
        <v>1900</v>
      </c>
      <c r="B150" s="3">
        <v>950000</v>
      </c>
      <c r="C150" t="s">
        <v>27</v>
      </c>
      <c r="D150">
        <v>1900</v>
      </c>
      <c r="E150" s="3">
        <v>950000</v>
      </c>
      <c r="F150">
        <v>1895</v>
      </c>
      <c r="G150" s="4">
        <v>2.1007146974685704</v>
      </c>
    </row>
    <row r="151" spans="1:7" x14ac:dyDescent="0.2">
      <c r="A151">
        <v>1910</v>
      </c>
      <c r="B151" s="3">
        <v>1088277.3999999999</v>
      </c>
      <c r="C151" t="s">
        <v>27</v>
      </c>
      <c r="D151">
        <v>1910</v>
      </c>
      <c r="E151" s="3">
        <v>1088277.3999999999</v>
      </c>
      <c r="F151">
        <v>1905</v>
      </c>
      <c r="G151" s="4">
        <v>1.3588937355899344</v>
      </c>
    </row>
    <row r="152" spans="1:7" x14ac:dyDescent="0.2">
      <c r="A152">
        <v>1920</v>
      </c>
      <c r="B152" s="3">
        <v>1184014.7999999998</v>
      </c>
      <c r="C152" t="s">
        <v>27</v>
      </c>
      <c r="D152">
        <v>1920</v>
      </c>
      <c r="E152" s="3">
        <v>1184014.7999999998</v>
      </c>
      <c r="F152">
        <v>1915</v>
      </c>
      <c r="G152" s="4">
        <v>0.84314957212246489</v>
      </c>
    </row>
    <row r="153" spans="1:7" x14ac:dyDescent="0.2">
      <c r="A153">
        <v>1930</v>
      </c>
      <c r="B153" s="3">
        <v>1358573.0999999999</v>
      </c>
      <c r="C153" t="s">
        <v>27</v>
      </c>
      <c r="D153">
        <v>1930</v>
      </c>
      <c r="E153" s="3">
        <v>1358573.0999999999</v>
      </c>
      <c r="F153">
        <v>1925</v>
      </c>
      <c r="G153" s="4">
        <v>1.3752392140145093</v>
      </c>
    </row>
    <row r="154" spans="1:7" x14ac:dyDescent="0.2">
      <c r="A154">
        <v>1940</v>
      </c>
      <c r="B154" s="3">
        <v>1567693.3</v>
      </c>
      <c r="C154" t="s">
        <v>27</v>
      </c>
      <c r="D154">
        <v>1940</v>
      </c>
      <c r="E154" s="3">
        <v>1567693.3</v>
      </c>
      <c r="F154">
        <v>1935</v>
      </c>
      <c r="G154" s="4">
        <v>1.4317034552120476</v>
      </c>
    </row>
    <row r="155" spans="1:7" x14ac:dyDescent="0.2">
      <c r="A155">
        <v>1950</v>
      </c>
      <c r="B155" s="3">
        <v>1885031.9</v>
      </c>
      <c r="C155" t="s">
        <v>27</v>
      </c>
      <c r="D155">
        <v>1950</v>
      </c>
      <c r="E155" s="3">
        <v>1885031.9</v>
      </c>
      <c r="F155">
        <v>1945</v>
      </c>
      <c r="G155" s="4">
        <v>1.8433944052735838</v>
      </c>
    </row>
    <row r="156" spans="1:7" x14ac:dyDescent="0.2">
      <c r="A156">
        <v>1955</v>
      </c>
      <c r="B156" s="3">
        <v>2150211.7999999998</v>
      </c>
      <c r="C156" t="s">
        <v>27</v>
      </c>
      <c r="D156">
        <v>1955</v>
      </c>
      <c r="E156" s="3">
        <v>2150211.7999999998</v>
      </c>
      <c r="F156">
        <v>1952.5</v>
      </c>
      <c r="G156" s="4">
        <v>1.3162160508182308</v>
      </c>
    </row>
    <row r="157" spans="1:7" x14ac:dyDescent="0.2">
      <c r="A157">
        <v>1960</v>
      </c>
      <c r="B157" s="3">
        <v>2772974</v>
      </c>
      <c r="C157" t="s">
        <v>1</v>
      </c>
      <c r="D157">
        <v>1960</v>
      </c>
      <c r="E157" s="3">
        <v>2772974</v>
      </c>
      <c r="F157">
        <v>1957.5</v>
      </c>
      <c r="G157" s="4">
        <v>2.5435404154721999</v>
      </c>
    </row>
    <row r="158" spans="1:7" x14ac:dyDescent="0.2">
      <c r="A158">
        <v>1965</v>
      </c>
      <c r="B158" s="3">
        <v>3243527</v>
      </c>
      <c r="C158" t="s">
        <v>1</v>
      </c>
      <c r="D158">
        <v>1965</v>
      </c>
      <c r="E158" s="3">
        <v>3243527</v>
      </c>
      <c r="F158">
        <v>1962.5</v>
      </c>
      <c r="G158" s="4">
        <v>1.5674092751456905</v>
      </c>
    </row>
    <row r="159" spans="1:7" x14ac:dyDescent="0.2">
      <c r="A159">
        <v>1970</v>
      </c>
      <c r="B159" s="3">
        <v>3735613</v>
      </c>
      <c r="C159" t="s">
        <v>1</v>
      </c>
      <c r="D159">
        <v>1970</v>
      </c>
      <c r="E159" s="3">
        <v>3735613</v>
      </c>
      <c r="F159">
        <v>1967.5</v>
      </c>
      <c r="G159" s="4">
        <v>1.4125061030003669</v>
      </c>
    </row>
    <row r="160" spans="1:7" x14ac:dyDescent="0.2">
      <c r="A160">
        <v>1975</v>
      </c>
      <c r="B160" s="3">
        <v>4232351</v>
      </c>
      <c r="C160" t="s">
        <v>1</v>
      </c>
      <c r="D160">
        <v>1975</v>
      </c>
      <c r="E160" s="3">
        <v>4232351</v>
      </c>
      <c r="F160">
        <v>1972.5</v>
      </c>
      <c r="G160" s="4">
        <v>1.2484570234786176</v>
      </c>
    </row>
    <row r="161" spans="1:7" x14ac:dyDescent="0.2">
      <c r="A161">
        <v>1980</v>
      </c>
      <c r="B161" s="3">
        <v>4660544</v>
      </c>
      <c r="C161" t="s">
        <v>1</v>
      </c>
      <c r="D161">
        <v>1980</v>
      </c>
      <c r="E161" s="3">
        <v>4660544</v>
      </c>
      <c r="F161">
        <v>1977.5</v>
      </c>
      <c r="G161" s="4">
        <v>0.9637454889639232</v>
      </c>
    </row>
    <row r="162" spans="1:7" x14ac:dyDescent="0.2">
      <c r="A162">
        <v>1985</v>
      </c>
      <c r="B162" s="3">
        <v>5003884</v>
      </c>
      <c r="C162" t="s">
        <v>1</v>
      </c>
      <c r="D162">
        <v>1985</v>
      </c>
      <c r="E162" s="3">
        <v>5003884</v>
      </c>
      <c r="F162">
        <v>1982.5</v>
      </c>
      <c r="G162" s="4">
        <v>0.7108223135952827</v>
      </c>
    </row>
    <row r="163" spans="1:7" x14ac:dyDescent="0.2">
      <c r="A163">
        <v>1990</v>
      </c>
      <c r="B163" s="3">
        <v>5344338</v>
      </c>
      <c r="C163" t="s">
        <v>1</v>
      </c>
      <c r="D163">
        <v>1990</v>
      </c>
      <c r="E163" s="3">
        <v>5344338</v>
      </c>
      <c r="F163">
        <v>1987.5</v>
      </c>
      <c r="G163" s="4">
        <v>0.65823271856101873</v>
      </c>
    </row>
    <row r="164" spans="1:7" x14ac:dyDescent="0.2">
      <c r="A164">
        <v>1995</v>
      </c>
      <c r="B164" s="3">
        <v>5748152</v>
      </c>
      <c r="C164" t="s">
        <v>1</v>
      </c>
      <c r="D164">
        <v>1995</v>
      </c>
      <c r="E164" s="3">
        <v>5748152</v>
      </c>
      <c r="F164">
        <v>1992.5</v>
      </c>
      <c r="G164" s="4">
        <v>0.7284072911042121</v>
      </c>
    </row>
    <row r="165" spans="1:7" x14ac:dyDescent="0.2">
      <c r="A165">
        <v>2000</v>
      </c>
      <c r="B165" s="3">
        <v>5959069</v>
      </c>
      <c r="C165" t="s">
        <v>1</v>
      </c>
      <c r="D165">
        <v>2000</v>
      </c>
      <c r="E165" s="3">
        <v>5959069</v>
      </c>
      <c r="F165">
        <v>1997.5</v>
      </c>
      <c r="G165" s="4">
        <v>0.36035848974160839</v>
      </c>
    </row>
    <row r="166" spans="1:7" x14ac:dyDescent="0.2">
      <c r="A166">
        <v>2005</v>
      </c>
      <c r="B166" s="3">
        <v>6072779</v>
      </c>
      <c r="C166" t="s">
        <v>1</v>
      </c>
      <c r="D166">
        <v>2005</v>
      </c>
      <c r="E166" s="3">
        <v>6072779</v>
      </c>
      <c r="F166">
        <v>2002.5</v>
      </c>
      <c r="G166" s="4">
        <v>0.18902064850205366</v>
      </c>
    </row>
    <row r="167" spans="1:7" x14ac:dyDescent="0.2">
      <c r="A167">
        <v>2010</v>
      </c>
      <c r="B167" s="3">
        <v>6217893</v>
      </c>
      <c r="C167" t="s">
        <v>1</v>
      </c>
      <c r="D167">
        <v>2010</v>
      </c>
      <c r="E167" s="3">
        <v>6217893</v>
      </c>
      <c r="F167">
        <v>2007.5</v>
      </c>
      <c r="G167" s="4">
        <v>0.23614777710977033</v>
      </c>
    </row>
    <row r="168" spans="1:7" x14ac:dyDescent="0.2">
      <c r="A168">
        <v>2015</v>
      </c>
      <c r="B168" s="3">
        <v>6404773</v>
      </c>
      <c r="C168" t="s">
        <v>1</v>
      </c>
      <c r="D168">
        <v>2015</v>
      </c>
      <c r="E168" s="3">
        <v>6404773</v>
      </c>
      <c r="F168">
        <v>2012.5</v>
      </c>
      <c r="G168" s="4">
        <v>0.29612390275976985</v>
      </c>
    </row>
    <row r="169" spans="1:7" x14ac:dyDescent="0.2">
      <c r="A169">
        <v>2020</v>
      </c>
      <c r="B169" s="3">
        <v>6619359</v>
      </c>
      <c r="C169" t="s">
        <v>1</v>
      </c>
      <c r="D169">
        <v>2020</v>
      </c>
      <c r="E169" s="3">
        <v>6619359</v>
      </c>
      <c r="F169">
        <v>2017.5</v>
      </c>
      <c r="G169" s="4">
        <v>0.32955043807263634</v>
      </c>
    </row>
    <row r="170" spans="1:7" x14ac:dyDescent="0.2">
      <c r="A170">
        <v>2025</v>
      </c>
      <c r="B170" s="3">
        <v>6843711</v>
      </c>
      <c r="C170" t="s">
        <v>1</v>
      </c>
      <c r="D170">
        <v>2025</v>
      </c>
      <c r="E170" s="3">
        <v>6843711</v>
      </c>
      <c r="F170">
        <v>2022.5</v>
      </c>
      <c r="G170" s="4">
        <v>0.3333159090415862</v>
      </c>
    </row>
    <row r="171" spans="1:7" x14ac:dyDescent="0.2">
      <c r="A171">
        <v>2030</v>
      </c>
      <c r="B171" s="3">
        <v>7073901</v>
      </c>
      <c r="C171" t="s">
        <v>1</v>
      </c>
      <c r="D171">
        <v>2030</v>
      </c>
      <c r="E171" s="3">
        <v>7073901</v>
      </c>
      <c r="F171">
        <v>2027.5</v>
      </c>
      <c r="G171" s="4">
        <v>0.33081967404017593</v>
      </c>
    </row>
    <row r="172" spans="1:7" x14ac:dyDescent="0.2">
      <c r="A172">
        <v>2035</v>
      </c>
      <c r="B172" s="3">
        <v>7252256</v>
      </c>
      <c r="C172" t="s">
        <v>1</v>
      </c>
      <c r="D172">
        <v>2035</v>
      </c>
      <c r="E172" s="3">
        <v>7252256</v>
      </c>
      <c r="F172">
        <v>2032.5</v>
      </c>
      <c r="G172" s="4">
        <v>0.24900497101864424</v>
      </c>
    </row>
    <row r="173" spans="1:7" x14ac:dyDescent="0.2">
      <c r="A173">
        <v>2040</v>
      </c>
      <c r="B173" s="3">
        <v>7404547</v>
      </c>
      <c r="C173" t="s">
        <v>1</v>
      </c>
      <c r="D173">
        <v>2040</v>
      </c>
      <c r="E173" s="3">
        <v>7404547</v>
      </c>
      <c r="F173">
        <v>2037.5</v>
      </c>
      <c r="G173" s="4">
        <v>0.20781678090384101</v>
      </c>
    </row>
    <row r="174" spans="1:7" x14ac:dyDescent="0.2">
      <c r="A174">
        <v>2045</v>
      </c>
      <c r="B174" s="3">
        <v>7526886</v>
      </c>
      <c r="C174" t="s">
        <v>1</v>
      </c>
      <c r="D174">
        <v>2045</v>
      </c>
      <c r="E174" s="3">
        <v>7526886</v>
      </c>
      <c r="F174">
        <v>2042.5</v>
      </c>
      <c r="G174" s="4">
        <v>0.16387139494749581</v>
      </c>
    </row>
    <row r="175" spans="1:7" x14ac:dyDescent="0.2">
      <c r="A175">
        <v>2050</v>
      </c>
      <c r="B175" s="3">
        <v>7613063</v>
      </c>
      <c r="C175" t="s">
        <v>1</v>
      </c>
      <c r="D175">
        <v>2050</v>
      </c>
      <c r="E175" s="3">
        <v>7613063</v>
      </c>
      <c r="F175">
        <v>2047.5</v>
      </c>
      <c r="G175" s="4">
        <v>0.11384177146953807</v>
      </c>
    </row>
    <row r="177" spans="1:7" x14ac:dyDescent="0.2">
      <c r="B177" s="3" t="s">
        <v>41</v>
      </c>
    </row>
    <row r="178" spans="1:7" x14ac:dyDescent="0.2">
      <c r="A178">
        <v>1778</v>
      </c>
      <c r="B178" s="3">
        <v>147000</v>
      </c>
      <c r="C178" t="s">
        <v>40</v>
      </c>
    </row>
    <row r="179" spans="1:7" x14ac:dyDescent="0.2">
      <c r="A179">
        <v>1807</v>
      </c>
      <c r="B179" s="3">
        <v>200000</v>
      </c>
      <c r="C179" t="s">
        <v>40</v>
      </c>
    </row>
    <row r="180" spans="1:7" x14ac:dyDescent="0.2">
      <c r="A180">
        <v>1821</v>
      </c>
      <c r="B180" s="3">
        <v>250000</v>
      </c>
      <c r="C180" t="s">
        <v>40</v>
      </c>
    </row>
    <row r="181" spans="1:7" x14ac:dyDescent="0.2">
      <c r="A181">
        <v>1855</v>
      </c>
      <c r="B181" s="3">
        <v>394000</v>
      </c>
      <c r="C181" t="s">
        <v>40</v>
      </c>
    </row>
    <row r="182" spans="1:7" x14ac:dyDescent="0.2">
      <c r="A182">
        <v>1878</v>
      </c>
      <c r="B182" s="3">
        <v>555000</v>
      </c>
      <c r="C182" t="s">
        <v>40</v>
      </c>
    </row>
    <row r="183" spans="1:7" x14ac:dyDescent="0.2">
      <c r="A183">
        <v>1892</v>
      </c>
      <c r="B183" s="3">
        <v>704000</v>
      </c>
      <c r="C183" t="s">
        <v>40</v>
      </c>
    </row>
    <row r="184" spans="1:7" x14ac:dyDescent="0.2">
      <c r="A184">
        <v>1900</v>
      </c>
      <c r="B184" s="3">
        <v>783000</v>
      </c>
      <c r="C184" t="s">
        <v>40</v>
      </c>
    </row>
    <row r="188" spans="1:7" x14ac:dyDescent="0.2">
      <c r="B188" s="6" t="s">
        <v>42</v>
      </c>
    </row>
    <row r="189" spans="1:7" x14ac:dyDescent="0.2">
      <c r="A189" t="s">
        <v>2</v>
      </c>
    </row>
    <row r="190" spans="1:7" x14ac:dyDescent="0.2">
      <c r="A190">
        <v>1778</v>
      </c>
      <c r="B190" s="3">
        <v>104000</v>
      </c>
      <c r="C190" t="s">
        <v>13</v>
      </c>
      <c r="D190">
        <v>1800</v>
      </c>
      <c r="E190" s="3">
        <v>133000</v>
      </c>
      <c r="F190" t="s">
        <v>3</v>
      </c>
      <c r="G190" t="s">
        <v>9</v>
      </c>
    </row>
    <row r="191" spans="1:7" x14ac:dyDescent="0.2">
      <c r="A191">
        <v>1815</v>
      </c>
      <c r="B191" s="3">
        <v>158000</v>
      </c>
      <c r="C191" t="s">
        <v>44</v>
      </c>
      <c r="D191">
        <v>1810</v>
      </c>
      <c r="E191" s="3">
        <v>149000</v>
      </c>
      <c r="F191">
        <v>1805</v>
      </c>
      <c r="G191" s="4">
        <v>1.1359717772370537</v>
      </c>
    </row>
    <row r="192" spans="1:7" x14ac:dyDescent="0.2">
      <c r="A192">
        <v>1824</v>
      </c>
      <c r="B192" s="3">
        <v>203000</v>
      </c>
      <c r="C192" t="s">
        <v>16</v>
      </c>
      <c r="D192">
        <v>1820</v>
      </c>
      <c r="E192" s="3">
        <v>182000</v>
      </c>
      <c r="F192">
        <v>1815</v>
      </c>
      <c r="G192" s="4">
        <v>2.0006038113133626</v>
      </c>
    </row>
    <row r="193" spans="1:7" x14ac:dyDescent="0.2">
      <c r="A193">
        <v>1846</v>
      </c>
      <c r="B193" s="3">
        <v>257000</v>
      </c>
      <c r="C193" t="s">
        <v>44</v>
      </c>
      <c r="D193">
        <v>1830</v>
      </c>
      <c r="E193" s="3">
        <v>216000</v>
      </c>
      <c r="F193">
        <v>1825</v>
      </c>
      <c r="G193" s="4">
        <v>1.7127172060736964</v>
      </c>
    </row>
    <row r="194" spans="1:7" x14ac:dyDescent="0.2">
      <c r="A194">
        <v>1854</v>
      </c>
      <c r="B194" s="3">
        <v>292000</v>
      </c>
      <c r="C194" t="s">
        <v>44</v>
      </c>
      <c r="D194">
        <v>1840</v>
      </c>
      <c r="E194" s="3">
        <v>241000</v>
      </c>
      <c r="F194">
        <v>1835</v>
      </c>
      <c r="G194" s="4">
        <v>1.0951852580648995</v>
      </c>
    </row>
    <row r="195" spans="1:7" x14ac:dyDescent="0.2">
      <c r="A195">
        <v>1857</v>
      </c>
      <c r="B195" s="3">
        <v>262000</v>
      </c>
      <c r="C195" t="s">
        <v>44</v>
      </c>
      <c r="D195">
        <v>1850</v>
      </c>
      <c r="E195" s="3">
        <v>274000</v>
      </c>
      <c r="F195">
        <v>1845</v>
      </c>
      <c r="G195" s="4">
        <v>1.2833117289741518</v>
      </c>
    </row>
    <row r="196" spans="1:7" x14ac:dyDescent="0.2">
      <c r="A196">
        <v>1866</v>
      </c>
      <c r="B196" s="3">
        <v>313000</v>
      </c>
      <c r="C196" t="s">
        <v>44</v>
      </c>
      <c r="D196">
        <v>1860</v>
      </c>
      <c r="E196" s="3">
        <v>277000</v>
      </c>
      <c r="F196">
        <v>1855</v>
      </c>
      <c r="G196" s="4">
        <v>0.10889399799268316</v>
      </c>
    </row>
    <row r="197" spans="1:7" x14ac:dyDescent="0.2">
      <c r="A197">
        <v>1869</v>
      </c>
      <c r="B197" s="3">
        <v>330000</v>
      </c>
      <c r="C197" t="s">
        <v>44</v>
      </c>
      <c r="D197">
        <v>1870</v>
      </c>
      <c r="E197" s="3">
        <v>336000</v>
      </c>
      <c r="F197">
        <v>1865</v>
      </c>
      <c r="G197" s="4">
        <v>1.9309365377586565</v>
      </c>
    </row>
    <row r="198" spans="1:7" x14ac:dyDescent="0.2">
      <c r="A198">
        <v>1875</v>
      </c>
      <c r="B198" s="3">
        <v>373000</v>
      </c>
      <c r="C198" t="s">
        <v>44</v>
      </c>
      <c r="D198">
        <v>1880</v>
      </c>
      <c r="E198" s="3">
        <v>413000</v>
      </c>
      <c r="F198">
        <v>1875</v>
      </c>
      <c r="G198" s="4">
        <v>2.063364329978286</v>
      </c>
    </row>
    <row r="199" spans="1:7" x14ac:dyDescent="0.2">
      <c r="A199">
        <v>1898</v>
      </c>
      <c r="B199" s="3">
        <v>423000</v>
      </c>
      <c r="C199" t="s">
        <v>43</v>
      </c>
      <c r="D199">
        <v>1890</v>
      </c>
      <c r="E199" s="3">
        <v>431000</v>
      </c>
      <c r="F199">
        <v>1885</v>
      </c>
      <c r="G199" s="4">
        <v>0.42660497142715037</v>
      </c>
    </row>
    <row r="200" spans="1:7" x14ac:dyDescent="0.2">
      <c r="A200">
        <v>1906</v>
      </c>
      <c r="B200" s="3">
        <v>505000</v>
      </c>
      <c r="C200" t="s">
        <v>7</v>
      </c>
      <c r="D200">
        <v>1900</v>
      </c>
      <c r="E200" s="3">
        <v>475000</v>
      </c>
      <c r="F200">
        <v>1895</v>
      </c>
      <c r="G200" s="4">
        <v>0.97206713930893351</v>
      </c>
    </row>
    <row r="201" spans="1:7" x14ac:dyDescent="0.2">
      <c r="A201">
        <v>1920</v>
      </c>
      <c r="B201" s="3">
        <v>638000</v>
      </c>
      <c r="C201" t="s">
        <v>7</v>
      </c>
      <c r="D201">
        <v>1910</v>
      </c>
      <c r="E201" s="3">
        <v>526000</v>
      </c>
      <c r="F201">
        <v>1905</v>
      </c>
      <c r="G201" s="4">
        <v>1.0198640870306863</v>
      </c>
    </row>
    <row r="202" spans="1:7" x14ac:dyDescent="0.2">
      <c r="A202">
        <v>1950</v>
      </c>
      <c r="B202" s="3">
        <v>1098000</v>
      </c>
      <c r="C202" t="s">
        <v>7</v>
      </c>
      <c r="D202">
        <v>1920</v>
      </c>
      <c r="E202" s="3">
        <v>638000</v>
      </c>
      <c r="F202">
        <v>1915</v>
      </c>
      <c r="G202" s="4">
        <v>1.9303707060708004</v>
      </c>
    </row>
    <row r="203" spans="1:7" x14ac:dyDescent="0.2">
      <c r="A203">
        <v>1955</v>
      </c>
      <c r="B203" s="3">
        <v>1507936</v>
      </c>
      <c r="C203" t="s">
        <v>1</v>
      </c>
      <c r="D203">
        <v>1930</v>
      </c>
      <c r="E203" s="3">
        <v>765000</v>
      </c>
      <c r="F203">
        <v>1925</v>
      </c>
      <c r="G203" s="4">
        <v>1.8153755048174594</v>
      </c>
    </row>
    <row r="204" spans="1:7" x14ac:dyDescent="0.2">
      <c r="A204">
        <v>1960</v>
      </c>
      <c r="B204" s="3">
        <v>1774577</v>
      </c>
      <c r="C204" t="s">
        <v>1</v>
      </c>
      <c r="D204">
        <v>1940</v>
      </c>
      <c r="E204" s="3">
        <v>931698</v>
      </c>
      <c r="F204">
        <v>1935</v>
      </c>
      <c r="G204" s="4">
        <v>1.9713289401382259</v>
      </c>
    </row>
    <row r="205" spans="1:7" x14ac:dyDescent="0.2">
      <c r="A205">
        <v>1965</v>
      </c>
      <c r="B205" s="3">
        <v>2062938</v>
      </c>
      <c r="C205" t="s">
        <v>1</v>
      </c>
      <c r="D205">
        <v>1950</v>
      </c>
      <c r="E205" s="3">
        <v>1294993</v>
      </c>
      <c r="F205">
        <v>1945</v>
      </c>
      <c r="G205" s="4">
        <v>3.2925184087326498</v>
      </c>
    </row>
    <row r="206" spans="1:7" x14ac:dyDescent="0.2">
      <c r="A206">
        <v>1970</v>
      </c>
      <c r="B206" s="3">
        <v>2399688</v>
      </c>
      <c r="C206" t="s">
        <v>1</v>
      </c>
      <c r="D206">
        <v>1955</v>
      </c>
      <c r="E206" s="3">
        <v>1507936</v>
      </c>
      <c r="F206">
        <v>1952.5</v>
      </c>
      <c r="G206" s="4">
        <v>3.0447307727071928</v>
      </c>
    </row>
    <row r="207" spans="1:7" x14ac:dyDescent="0.2">
      <c r="A207">
        <v>1975</v>
      </c>
      <c r="B207" s="3">
        <v>2798056</v>
      </c>
      <c r="C207" t="s">
        <v>1</v>
      </c>
      <c r="D207">
        <v>1960</v>
      </c>
      <c r="E207" s="3">
        <v>1774577</v>
      </c>
      <c r="F207">
        <v>1957.5</v>
      </c>
      <c r="G207" s="4">
        <v>3.2564051260214284</v>
      </c>
    </row>
    <row r="208" spans="1:7" x14ac:dyDescent="0.2">
      <c r="A208">
        <v>1980</v>
      </c>
      <c r="B208" s="3">
        <v>3250481</v>
      </c>
      <c r="C208" t="s">
        <v>1</v>
      </c>
      <c r="D208">
        <v>1965</v>
      </c>
      <c r="E208" s="3">
        <v>2062938</v>
      </c>
      <c r="F208">
        <v>1962.5</v>
      </c>
      <c r="G208" s="4">
        <v>3.0113819129835995</v>
      </c>
    </row>
    <row r="209" spans="1:7" x14ac:dyDescent="0.2">
      <c r="A209">
        <v>1985</v>
      </c>
      <c r="B209" s="3">
        <v>3709723</v>
      </c>
      <c r="C209" t="s">
        <v>1</v>
      </c>
      <c r="D209">
        <v>1970</v>
      </c>
      <c r="E209" s="3">
        <v>2399688</v>
      </c>
      <c r="F209">
        <v>1967.5</v>
      </c>
      <c r="G209" s="4">
        <v>3.0241509717214003</v>
      </c>
    </row>
    <row r="210" spans="1:7" x14ac:dyDescent="0.2">
      <c r="A210">
        <v>1990</v>
      </c>
      <c r="B210" s="3">
        <v>4137815</v>
      </c>
      <c r="C210" t="s">
        <v>1</v>
      </c>
      <c r="D210">
        <v>1975</v>
      </c>
      <c r="E210" s="3">
        <v>2798056</v>
      </c>
      <c r="F210">
        <v>1972.5</v>
      </c>
      <c r="G210" s="4">
        <v>3.0717232287152831</v>
      </c>
    </row>
    <row r="211" spans="1:7" x14ac:dyDescent="0.2">
      <c r="A211">
        <v>1995</v>
      </c>
      <c r="B211" s="3">
        <v>4659487</v>
      </c>
      <c r="C211" t="s">
        <v>1</v>
      </c>
      <c r="D211">
        <v>1980</v>
      </c>
      <c r="E211" s="3">
        <v>3250481</v>
      </c>
      <c r="F211">
        <v>1977.5</v>
      </c>
      <c r="G211" s="4">
        <v>2.9975619010358985</v>
      </c>
    </row>
    <row r="212" spans="1:7" x14ac:dyDescent="0.2">
      <c r="A212">
        <v>2000</v>
      </c>
      <c r="B212" s="3">
        <v>5100958</v>
      </c>
      <c r="C212" t="s">
        <v>1</v>
      </c>
      <c r="D212">
        <v>1985</v>
      </c>
      <c r="E212" s="3">
        <v>3709723</v>
      </c>
      <c r="F212">
        <v>1982.5</v>
      </c>
      <c r="G212" s="4">
        <v>2.6430845073682994</v>
      </c>
    </row>
    <row r="213" spans="1:7" x14ac:dyDescent="0.2">
      <c r="A213">
        <v>2005</v>
      </c>
      <c r="B213" s="3">
        <v>5455309</v>
      </c>
      <c r="C213" t="s">
        <v>1</v>
      </c>
      <c r="D213">
        <v>1990</v>
      </c>
      <c r="E213" s="3">
        <v>4137815</v>
      </c>
      <c r="F213">
        <v>1987.5</v>
      </c>
      <c r="G213" s="4">
        <v>2.1842131995317793</v>
      </c>
    </row>
    <row r="214" spans="1:7" x14ac:dyDescent="0.2">
      <c r="A214">
        <v>2010</v>
      </c>
      <c r="B214" s="3">
        <v>5812931</v>
      </c>
      <c r="C214" t="s">
        <v>1</v>
      </c>
      <c r="D214">
        <v>1995</v>
      </c>
      <c r="E214" s="3">
        <v>4659487</v>
      </c>
      <c r="F214">
        <v>1992.5</v>
      </c>
      <c r="G214" s="4">
        <v>2.3747497101004766</v>
      </c>
    </row>
    <row r="215" spans="1:7" x14ac:dyDescent="0.2">
      <c r="A215">
        <v>2015</v>
      </c>
      <c r="B215" s="3">
        <v>6235757</v>
      </c>
      <c r="C215" t="s">
        <v>1</v>
      </c>
      <c r="D215">
        <v>2000</v>
      </c>
      <c r="E215" s="3">
        <v>5100958</v>
      </c>
      <c r="F215">
        <v>1997.5</v>
      </c>
      <c r="G215" s="4">
        <v>1.8104601797293542</v>
      </c>
    </row>
    <row r="216" spans="1:7" x14ac:dyDescent="0.2">
      <c r="A216">
        <v>2020</v>
      </c>
      <c r="B216" s="3">
        <v>6626908</v>
      </c>
      <c r="C216" t="s">
        <v>1</v>
      </c>
      <c r="D216">
        <v>2005</v>
      </c>
      <c r="E216" s="3">
        <v>5455309</v>
      </c>
      <c r="F216">
        <v>2002.5</v>
      </c>
      <c r="G216" s="4">
        <v>1.3432179546617777</v>
      </c>
    </row>
    <row r="217" spans="1:7" x14ac:dyDescent="0.2">
      <c r="A217">
        <v>2025</v>
      </c>
      <c r="B217" s="3">
        <v>6970565</v>
      </c>
      <c r="C217" t="s">
        <v>1</v>
      </c>
      <c r="D217">
        <v>2010</v>
      </c>
      <c r="E217" s="3">
        <v>5812931</v>
      </c>
      <c r="F217">
        <v>2007.5</v>
      </c>
      <c r="G217" s="4">
        <v>1.2699131148356593</v>
      </c>
    </row>
    <row r="218" spans="1:7" x14ac:dyDescent="0.2">
      <c r="A218">
        <v>2030</v>
      </c>
      <c r="B218" s="3">
        <v>7261745</v>
      </c>
      <c r="C218" t="s">
        <v>1</v>
      </c>
      <c r="D218">
        <v>2015</v>
      </c>
      <c r="E218" s="3">
        <v>6235757</v>
      </c>
      <c r="F218">
        <v>2012.5</v>
      </c>
      <c r="G218" s="4">
        <v>1.4043012889493902</v>
      </c>
    </row>
    <row r="219" spans="1:7" x14ac:dyDescent="0.2">
      <c r="A219">
        <v>2035</v>
      </c>
      <c r="B219" s="3">
        <v>7499807</v>
      </c>
      <c r="C219" t="s">
        <v>1</v>
      </c>
      <c r="D219">
        <v>2020</v>
      </c>
      <c r="E219" s="3">
        <v>6626908</v>
      </c>
      <c r="F219">
        <v>2017.5</v>
      </c>
      <c r="G219" s="4">
        <v>1.2167669451736691</v>
      </c>
    </row>
    <row r="220" spans="1:7" x14ac:dyDescent="0.2">
      <c r="A220">
        <v>2040</v>
      </c>
      <c r="B220" s="3">
        <v>7681647</v>
      </c>
      <c r="C220" t="s">
        <v>1</v>
      </c>
      <c r="D220">
        <v>2025</v>
      </c>
      <c r="E220" s="3">
        <v>6970565</v>
      </c>
      <c r="F220">
        <v>2022.5</v>
      </c>
      <c r="G220" s="4">
        <v>1.0111590554366798</v>
      </c>
    </row>
    <row r="221" spans="1:7" x14ac:dyDescent="0.2">
      <c r="A221">
        <v>2045</v>
      </c>
      <c r="B221" s="3">
        <v>7805414</v>
      </c>
      <c r="C221" t="s">
        <v>1</v>
      </c>
      <c r="D221">
        <v>2030</v>
      </c>
      <c r="E221" s="3">
        <v>7261745</v>
      </c>
      <c r="F221">
        <v>2027.5</v>
      </c>
      <c r="G221" s="4">
        <v>0.81847749803917946</v>
      </c>
    </row>
    <row r="222" spans="1:7" x14ac:dyDescent="0.2">
      <c r="A222">
        <v>2050</v>
      </c>
      <c r="B222" s="3">
        <v>7865909</v>
      </c>
      <c r="C222" t="s">
        <v>1</v>
      </c>
      <c r="D222">
        <v>2035</v>
      </c>
      <c r="E222" s="3">
        <v>7499807</v>
      </c>
      <c r="F222">
        <v>2032.5</v>
      </c>
      <c r="G222" s="4">
        <v>0.64514257591567525</v>
      </c>
    </row>
    <row r="223" spans="1:7" x14ac:dyDescent="0.2">
      <c r="D223">
        <v>2040</v>
      </c>
      <c r="E223" s="3">
        <v>7681647</v>
      </c>
      <c r="F223">
        <v>2037.5</v>
      </c>
      <c r="G223" s="4">
        <v>0.47913380829945629</v>
      </c>
    </row>
    <row r="224" spans="1:7" x14ac:dyDescent="0.2">
      <c r="D224">
        <v>2045</v>
      </c>
      <c r="E224" s="3">
        <v>7805414</v>
      </c>
      <c r="F224">
        <v>2042.5</v>
      </c>
      <c r="G224" s="4">
        <v>0.31967236378154734</v>
      </c>
    </row>
    <row r="225" spans="1:7" x14ac:dyDescent="0.2">
      <c r="D225">
        <v>2050</v>
      </c>
      <c r="E225" s="3">
        <v>7865909</v>
      </c>
      <c r="F225">
        <v>2047.5</v>
      </c>
      <c r="G225" s="4">
        <v>0.15441019367620387</v>
      </c>
    </row>
    <row r="227" spans="1:7" x14ac:dyDescent="0.2">
      <c r="B227" s="6" t="s">
        <v>45</v>
      </c>
    </row>
    <row r="229" spans="1:7" x14ac:dyDescent="0.2">
      <c r="A229">
        <v>1800</v>
      </c>
      <c r="B229" s="3">
        <v>49177</v>
      </c>
      <c r="C229" t="s">
        <v>46</v>
      </c>
    </row>
    <row r="230" spans="1:7" x14ac:dyDescent="0.2">
      <c r="A230">
        <v>1810</v>
      </c>
      <c r="B230" s="3">
        <v>53371</v>
      </c>
      <c r="C230" t="s">
        <v>46</v>
      </c>
      <c r="D230">
        <v>1805</v>
      </c>
      <c r="E230" s="4">
        <v>0.81841492767770452</v>
      </c>
    </row>
    <row r="231" spans="1:7" x14ac:dyDescent="0.2">
      <c r="A231">
        <v>1820</v>
      </c>
      <c r="B231" s="3">
        <v>62472</v>
      </c>
      <c r="C231" t="s">
        <v>46</v>
      </c>
      <c r="D231">
        <v>1815</v>
      </c>
      <c r="E231" s="4">
        <v>1.5745092907182696</v>
      </c>
    </row>
    <row r="232" spans="1:7" x14ac:dyDescent="0.2">
      <c r="A232">
        <v>1830</v>
      </c>
      <c r="B232" s="3">
        <v>71688</v>
      </c>
      <c r="C232" t="s">
        <v>46</v>
      </c>
      <c r="D232">
        <v>1825</v>
      </c>
      <c r="E232" s="4">
        <v>1.3760491322154436</v>
      </c>
    </row>
    <row r="233" spans="1:7" x14ac:dyDescent="0.2">
      <c r="A233">
        <v>1840</v>
      </c>
      <c r="B233" s="3">
        <v>85894</v>
      </c>
      <c r="C233" t="s">
        <v>46</v>
      </c>
      <c r="D233">
        <v>1835</v>
      </c>
      <c r="E233" s="4">
        <v>1.8079060830752594</v>
      </c>
    </row>
    <row r="234" spans="1:7" x14ac:dyDescent="0.2">
      <c r="A234">
        <v>1850</v>
      </c>
      <c r="B234" s="3">
        <v>107254</v>
      </c>
      <c r="C234" t="s">
        <v>46</v>
      </c>
      <c r="D234">
        <v>1845</v>
      </c>
      <c r="E234" s="4">
        <v>2.2208587526049817</v>
      </c>
    </row>
    <row r="235" spans="1:7" x14ac:dyDescent="0.2">
      <c r="A235">
        <v>1860</v>
      </c>
      <c r="B235" s="3">
        <v>119953</v>
      </c>
      <c r="C235" t="s">
        <v>46</v>
      </c>
      <c r="D235">
        <v>1855</v>
      </c>
      <c r="E235" s="4">
        <v>1.119001462440145</v>
      </c>
    </row>
    <row r="236" spans="1:7" x14ac:dyDescent="0.2">
      <c r="A236">
        <v>1870</v>
      </c>
      <c r="B236" s="3">
        <v>146277</v>
      </c>
      <c r="C236" t="s">
        <v>46</v>
      </c>
      <c r="D236">
        <v>1865</v>
      </c>
      <c r="E236" s="4">
        <v>1.9840208506330126</v>
      </c>
    </row>
    <row r="237" spans="1:7" x14ac:dyDescent="0.2">
      <c r="A237">
        <v>1880</v>
      </c>
      <c r="B237" s="3">
        <v>181566</v>
      </c>
      <c r="C237" t="s">
        <v>46</v>
      </c>
      <c r="D237">
        <v>1875</v>
      </c>
      <c r="E237" s="4">
        <v>2.1611713951160474</v>
      </c>
    </row>
    <row r="238" spans="1:7" x14ac:dyDescent="0.2">
      <c r="A238">
        <v>1890</v>
      </c>
      <c r="B238" s="3">
        <v>221452</v>
      </c>
      <c r="C238" t="s">
        <v>46</v>
      </c>
      <c r="D238">
        <v>1885</v>
      </c>
      <c r="E238" s="4">
        <v>1.98586637743621</v>
      </c>
    </row>
    <row r="239" spans="1:7" x14ac:dyDescent="0.2">
      <c r="A239">
        <v>1900</v>
      </c>
      <c r="B239" s="3">
        <v>259875</v>
      </c>
      <c r="C239" t="s">
        <v>46</v>
      </c>
      <c r="D239">
        <v>1895</v>
      </c>
      <c r="E239" s="4">
        <v>1.5999488446569294</v>
      </c>
    </row>
    <row r="240" spans="1:7" x14ac:dyDescent="0.2">
      <c r="A240">
        <v>1910</v>
      </c>
      <c r="B240" s="3">
        <v>339589</v>
      </c>
      <c r="C240" t="s">
        <v>46</v>
      </c>
      <c r="D240">
        <v>1905</v>
      </c>
      <c r="E240" s="4">
        <v>2.6753531668612185</v>
      </c>
    </row>
    <row r="241" spans="1:5" x14ac:dyDescent="0.2">
      <c r="A241">
        <v>1920</v>
      </c>
      <c r="B241" s="3">
        <v>419634</v>
      </c>
      <c r="C241" t="s">
        <v>46</v>
      </c>
      <c r="D241">
        <v>1915</v>
      </c>
      <c r="E241" s="4">
        <v>2.1164683992708078</v>
      </c>
    </row>
    <row r="242" spans="1:5" x14ac:dyDescent="0.2">
      <c r="A242">
        <v>1930</v>
      </c>
      <c r="B242" s="3">
        <v>532205</v>
      </c>
      <c r="C242" t="s">
        <v>46</v>
      </c>
      <c r="D242">
        <v>1925</v>
      </c>
      <c r="E242" s="4">
        <v>2.3764585067237594</v>
      </c>
    </row>
    <row r="243" spans="1:5" x14ac:dyDescent="0.2">
      <c r="A243">
        <v>1940</v>
      </c>
      <c r="B243" s="3">
        <v>672903</v>
      </c>
      <c r="C243" t="s">
        <v>46</v>
      </c>
      <c r="D243">
        <v>1935</v>
      </c>
      <c r="E243" s="4">
        <v>2.3457243503533562</v>
      </c>
    </row>
    <row r="244" spans="1:5" x14ac:dyDescent="0.2">
      <c r="A244">
        <v>1950</v>
      </c>
      <c r="B244" s="3">
        <v>887850</v>
      </c>
      <c r="C244" t="s">
        <v>47</v>
      </c>
      <c r="D244">
        <v>1945</v>
      </c>
      <c r="E244" s="4">
        <v>2.7720162130575265</v>
      </c>
    </row>
    <row r="245" spans="1:5" x14ac:dyDescent="0.2">
      <c r="A245">
        <v>1955</v>
      </c>
      <c r="B245" s="3">
        <v>1058330</v>
      </c>
      <c r="C245" t="s">
        <v>47</v>
      </c>
      <c r="D245">
        <v>1952.5</v>
      </c>
      <c r="E245" s="4">
        <v>1.7564466324257937</v>
      </c>
    </row>
    <row r="246" spans="1:5" x14ac:dyDescent="0.2">
      <c r="A246">
        <v>1960</v>
      </c>
      <c r="B246" s="3">
        <v>1276640</v>
      </c>
      <c r="C246" t="s">
        <v>47</v>
      </c>
      <c r="D246">
        <v>1957.5</v>
      </c>
      <c r="E246" s="4">
        <v>1.8753943251254765</v>
      </c>
    </row>
    <row r="247" spans="1:5" x14ac:dyDescent="0.2">
      <c r="A247">
        <v>1965</v>
      </c>
      <c r="B247" s="3">
        <v>1530713</v>
      </c>
      <c r="C247" t="s">
        <v>47</v>
      </c>
      <c r="D247">
        <v>1962.5</v>
      </c>
      <c r="E247" s="4">
        <v>1.8150201334803686</v>
      </c>
    </row>
    <row r="248" spans="1:5" x14ac:dyDescent="0.2">
      <c r="A248">
        <v>1970</v>
      </c>
      <c r="B248" s="3">
        <v>1779655</v>
      </c>
      <c r="C248" t="s">
        <v>47</v>
      </c>
      <c r="D248">
        <v>1967.5</v>
      </c>
      <c r="E248" s="4">
        <v>1.5068588536783698</v>
      </c>
    </row>
    <row r="249" spans="1:5" x14ac:dyDescent="0.2">
      <c r="A249">
        <v>1975</v>
      </c>
      <c r="B249" s="3">
        <v>2013066</v>
      </c>
      <c r="C249" t="s">
        <v>47</v>
      </c>
      <c r="D249">
        <v>1972.5</v>
      </c>
      <c r="E249" s="4">
        <v>1.2323940771171469</v>
      </c>
    </row>
    <row r="250" spans="1:5" x14ac:dyDescent="0.2">
      <c r="A250">
        <v>1980</v>
      </c>
      <c r="B250" s="3">
        <v>2315705</v>
      </c>
      <c r="C250" t="s">
        <v>47</v>
      </c>
      <c r="D250">
        <v>1977.5</v>
      </c>
      <c r="E250" s="4">
        <v>1.4005524380835941</v>
      </c>
    </row>
    <row r="251" spans="1:5" x14ac:dyDescent="0.2">
      <c r="A251">
        <v>1985</v>
      </c>
      <c r="B251" s="3">
        <v>2671525</v>
      </c>
      <c r="C251" t="s">
        <v>47</v>
      </c>
      <c r="D251">
        <v>1982.5</v>
      </c>
      <c r="E251" s="4">
        <v>1.4293529359667634</v>
      </c>
    </row>
    <row r="252" spans="1:5" x14ac:dyDescent="0.2">
      <c r="A252">
        <v>1990</v>
      </c>
      <c r="B252" s="3">
        <v>3057164</v>
      </c>
      <c r="C252" t="s">
        <v>47</v>
      </c>
      <c r="D252">
        <v>1987.5</v>
      </c>
      <c r="E252" s="4">
        <v>1.348382184259705</v>
      </c>
    </row>
    <row r="253" spans="1:5" x14ac:dyDescent="0.2">
      <c r="A253">
        <v>1995</v>
      </c>
      <c r="B253" s="3">
        <v>3484445</v>
      </c>
      <c r="C253" t="s">
        <v>47</v>
      </c>
      <c r="D253">
        <v>1992.5</v>
      </c>
      <c r="E253" s="4">
        <v>1.3082108874832215</v>
      </c>
    </row>
    <row r="254" spans="1:5" x14ac:dyDescent="0.2">
      <c r="A254">
        <v>2000</v>
      </c>
      <c r="B254" s="3">
        <v>3929248</v>
      </c>
      <c r="C254" t="s">
        <v>47</v>
      </c>
      <c r="D254">
        <v>1997.5</v>
      </c>
      <c r="E254" s="4">
        <v>1.2013928138643128</v>
      </c>
    </row>
    <row r="255" spans="1:5" x14ac:dyDescent="0.2">
      <c r="A255">
        <v>2005</v>
      </c>
      <c r="B255" s="3">
        <v>4263479</v>
      </c>
      <c r="C255" t="s">
        <v>47</v>
      </c>
      <c r="D255">
        <v>2002.5</v>
      </c>
      <c r="E255" s="4">
        <v>0.81637434685987686</v>
      </c>
    </row>
    <row r="256" spans="1:5" x14ac:dyDescent="0.2">
      <c r="A256">
        <v>2010</v>
      </c>
      <c r="B256" s="3">
        <v>4563539</v>
      </c>
      <c r="C256" t="s">
        <v>47</v>
      </c>
      <c r="D256">
        <v>2007.5</v>
      </c>
      <c r="E256" s="4">
        <v>0.68012925353201859</v>
      </c>
    </row>
    <row r="257" spans="1:7" x14ac:dyDescent="0.2">
      <c r="A257">
        <v>2015</v>
      </c>
      <c r="B257" s="3">
        <v>4821471</v>
      </c>
      <c r="C257" t="s">
        <v>47</v>
      </c>
      <c r="D257">
        <v>2012.5</v>
      </c>
      <c r="E257" s="4">
        <v>0.54980649214134447</v>
      </c>
    </row>
    <row r="258" spans="1:7" x14ac:dyDescent="0.2">
      <c r="A258">
        <v>2020</v>
      </c>
      <c r="B258" s="3">
        <v>5084215</v>
      </c>
      <c r="C258" t="s">
        <v>47</v>
      </c>
      <c r="D258">
        <v>2017.5</v>
      </c>
      <c r="E258" s="4">
        <v>0.53061573744323143</v>
      </c>
    </row>
    <row r="259" spans="1:7" x14ac:dyDescent="0.2">
      <c r="A259">
        <v>2025</v>
      </c>
      <c r="B259" s="3">
        <v>5339344</v>
      </c>
      <c r="C259" t="s">
        <v>47</v>
      </c>
      <c r="D259">
        <v>2022.5</v>
      </c>
      <c r="E259" s="4">
        <v>0.48962157015084828</v>
      </c>
    </row>
    <row r="260" spans="1:7" x14ac:dyDescent="0.2">
      <c r="A260">
        <v>2030</v>
      </c>
      <c r="B260" s="3">
        <v>5563132</v>
      </c>
      <c r="C260" t="s">
        <v>47</v>
      </c>
      <c r="D260">
        <v>2027.5</v>
      </c>
      <c r="E260" s="4">
        <v>0.41058460031939503</v>
      </c>
    </row>
    <row r="261" spans="1:7" x14ac:dyDescent="0.2">
      <c r="A261">
        <v>2035</v>
      </c>
      <c r="B261" s="3">
        <v>5744396</v>
      </c>
      <c r="C261" t="s">
        <v>47</v>
      </c>
      <c r="D261">
        <v>2032.5</v>
      </c>
      <c r="E261" s="4">
        <v>0.32063511857891869</v>
      </c>
    </row>
    <row r="262" spans="1:7" x14ac:dyDescent="0.2">
      <c r="A262">
        <v>2040</v>
      </c>
      <c r="B262" s="3">
        <v>5885556</v>
      </c>
      <c r="C262" t="s">
        <v>47</v>
      </c>
      <c r="D262">
        <v>2037.5</v>
      </c>
      <c r="E262" s="4">
        <v>0.24276442860910194</v>
      </c>
    </row>
    <row r="263" spans="1:7" x14ac:dyDescent="0.2">
      <c r="A263">
        <v>2045</v>
      </c>
      <c r="B263" s="3">
        <v>5991750</v>
      </c>
      <c r="C263" t="s">
        <v>47</v>
      </c>
      <c r="D263">
        <v>2042.5</v>
      </c>
      <c r="E263" s="4">
        <v>0.17882309313468808</v>
      </c>
    </row>
    <row r="264" spans="1:7" x14ac:dyDescent="0.2">
      <c r="A264">
        <v>2050</v>
      </c>
      <c r="B264" s="3">
        <v>6069474</v>
      </c>
      <c r="C264" t="s">
        <v>47</v>
      </c>
      <c r="D264">
        <v>2047.5</v>
      </c>
      <c r="E264" s="4">
        <v>0.12888422584771897</v>
      </c>
    </row>
    <row r="268" spans="1:7" x14ac:dyDescent="0.2">
      <c r="B268" s="6" t="s">
        <v>48</v>
      </c>
    </row>
    <row r="270" spans="1:7" x14ac:dyDescent="0.2">
      <c r="A270">
        <v>1790</v>
      </c>
      <c r="B270" s="3">
        <v>63000</v>
      </c>
      <c r="C270" t="s">
        <v>49</v>
      </c>
      <c r="D270">
        <v>1800</v>
      </c>
      <c r="E270" s="3">
        <v>80977.848114417662</v>
      </c>
    </row>
    <row r="271" spans="1:7" x14ac:dyDescent="0.2">
      <c r="A271">
        <v>1803</v>
      </c>
      <c r="B271" s="3">
        <v>87312</v>
      </c>
      <c r="C271" t="s">
        <v>49</v>
      </c>
      <c r="D271">
        <v>1810</v>
      </c>
      <c r="E271" s="3">
        <v>92259.790171043423</v>
      </c>
      <c r="F271">
        <v>1805</v>
      </c>
      <c r="G271" s="4">
        <v>1.3043276660396466</v>
      </c>
    </row>
    <row r="272" spans="1:7" x14ac:dyDescent="0.2">
      <c r="A272">
        <v>1843</v>
      </c>
      <c r="B272" s="3">
        <v>119637</v>
      </c>
      <c r="C272" t="s">
        <v>49</v>
      </c>
      <c r="D272">
        <v>1820</v>
      </c>
      <c r="E272" s="3">
        <v>99818.343172240886</v>
      </c>
      <c r="F272">
        <v>1815</v>
      </c>
      <c r="G272" s="4">
        <v>0.78743561944451257</v>
      </c>
    </row>
    <row r="273" spans="1:7" x14ac:dyDescent="0.2">
      <c r="A273">
        <v>1851</v>
      </c>
      <c r="B273" s="3">
        <v>138108</v>
      </c>
      <c r="C273" t="s">
        <v>49</v>
      </c>
      <c r="D273">
        <v>1830</v>
      </c>
      <c r="E273" s="3">
        <v>107996.14453034436</v>
      </c>
      <c r="F273">
        <v>1825</v>
      </c>
      <c r="G273" s="4">
        <v>0.78743561944451468</v>
      </c>
    </row>
    <row r="274" spans="1:7" x14ac:dyDescent="0.2">
      <c r="A274">
        <v>1870</v>
      </c>
      <c r="B274" s="3">
        <v>211119</v>
      </c>
      <c r="C274" t="s">
        <v>49</v>
      </c>
      <c r="D274">
        <v>1840</v>
      </c>
      <c r="E274" s="3">
        <v>116843.92730596343</v>
      </c>
      <c r="F274">
        <v>1835</v>
      </c>
      <c r="G274" s="4">
        <v>0.78743561944451046</v>
      </c>
    </row>
    <row r="275" spans="1:7" x14ac:dyDescent="0.2">
      <c r="A275">
        <v>1896</v>
      </c>
      <c r="B275" s="3">
        <v>311054</v>
      </c>
      <c r="C275" t="s">
        <v>49</v>
      </c>
      <c r="D275">
        <v>1850</v>
      </c>
      <c r="E275" s="3">
        <v>135651.52199819183</v>
      </c>
      <c r="F275">
        <v>1845</v>
      </c>
      <c r="G275" s="4">
        <v>1.4925016944192442</v>
      </c>
    </row>
    <row r="276" spans="1:7" x14ac:dyDescent="0.2">
      <c r="A276">
        <v>1911</v>
      </c>
      <c r="B276" s="3">
        <v>386054</v>
      </c>
      <c r="C276" t="s">
        <v>49</v>
      </c>
      <c r="D276">
        <v>1860</v>
      </c>
      <c r="E276" s="3">
        <v>168858.47193081546</v>
      </c>
      <c r="F276">
        <v>1855</v>
      </c>
      <c r="G276" s="4">
        <v>2.1897166079416075</v>
      </c>
    </row>
    <row r="277" spans="1:7" x14ac:dyDescent="0.2">
      <c r="A277">
        <v>1930</v>
      </c>
      <c r="B277" s="3">
        <v>506928</v>
      </c>
      <c r="C277" t="s">
        <v>49</v>
      </c>
      <c r="D277">
        <v>1870</v>
      </c>
      <c r="E277" s="3">
        <v>211119</v>
      </c>
      <c r="F277">
        <v>1865</v>
      </c>
      <c r="G277" s="4">
        <v>2.2336103566675196</v>
      </c>
    </row>
    <row r="278" spans="1:7" x14ac:dyDescent="0.2">
      <c r="A278">
        <v>1950</v>
      </c>
      <c r="B278" s="3">
        <v>857585</v>
      </c>
      <c r="C278" t="s">
        <v>49</v>
      </c>
      <c r="D278">
        <v>1880</v>
      </c>
      <c r="E278" s="3">
        <v>245053.74683264998</v>
      </c>
      <c r="F278">
        <v>1875</v>
      </c>
      <c r="G278" s="4">
        <v>1.4905560577154786</v>
      </c>
    </row>
    <row r="279" spans="1:7" x14ac:dyDescent="0.2">
      <c r="A279">
        <v>1970</v>
      </c>
      <c r="B279" s="3">
        <v>1472280</v>
      </c>
      <c r="C279" t="s">
        <v>49</v>
      </c>
      <c r="D279">
        <v>1890</v>
      </c>
      <c r="E279" s="3">
        <v>284443.08109038265</v>
      </c>
      <c r="F279">
        <v>1885</v>
      </c>
      <c r="G279" s="4">
        <v>1.4905560577154771</v>
      </c>
    </row>
    <row r="280" spans="1:7" x14ac:dyDescent="0.2">
      <c r="A280">
        <v>1950</v>
      </c>
      <c r="B280" s="3">
        <v>860092</v>
      </c>
      <c r="C280" t="s">
        <v>1</v>
      </c>
      <c r="D280">
        <v>1900</v>
      </c>
      <c r="E280" s="3">
        <v>329497.70561368787</v>
      </c>
      <c r="F280">
        <v>1895</v>
      </c>
      <c r="G280" s="4">
        <v>1.4703622359788777</v>
      </c>
    </row>
    <row r="281" spans="1:7" x14ac:dyDescent="0.2">
      <c r="A281">
        <v>1955</v>
      </c>
      <c r="B281" s="3">
        <v>980817</v>
      </c>
      <c r="C281" t="s">
        <v>1</v>
      </c>
      <c r="D281">
        <v>1910</v>
      </c>
      <c r="E281" s="3">
        <v>380534.38494818396</v>
      </c>
      <c r="F281">
        <v>1905</v>
      </c>
      <c r="G281" s="4">
        <v>1.4400715033739675</v>
      </c>
    </row>
    <row r="282" spans="1:7" x14ac:dyDescent="0.2">
      <c r="A282">
        <v>1960</v>
      </c>
      <c r="B282" s="3">
        <v>1130675</v>
      </c>
      <c r="C282" t="s">
        <v>1</v>
      </c>
      <c r="D282">
        <v>1920</v>
      </c>
      <c r="E282" s="3">
        <v>439221.97168841766</v>
      </c>
      <c r="F282">
        <v>1915</v>
      </c>
      <c r="G282" s="4">
        <v>1.4342837453744133</v>
      </c>
    </row>
    <row r="283" spans="1:7" x14ac:dyDescent="0.2">
      <c r="A283">
        <v>1965</v>
      </c>
      <c r="B283" s="3">
        <v>1299842</v>
      </c>
      <c r="C283" t="s">
        <v>1</v>
      </c>
      <c r="D283">
        <v>1930</v>
      </c>
      <c r="E283" s="3">
        <v>506928</v>
      </c>
      <c r="F283">
        <v>1925</v>
      </c>
      <c r="G283" s="4">
        <v>1.433640661152239</v>
      </c>
    </row>
    <row r="284" spans="1:7" x14ac:dyDescent="0.2">
      <c r="A284">
        <v>1970</v>
      </c>
      <c r="B284" s="3">
        <v>1491838</v>
      </c>
      <c r="C284" t="s">
        <v>1</v>
      </c>
      <c r="D284">
        <v>1940</v>
      </c>
      <c r="E284" s="3">
        <v>659343.49839821737</v>
      </c>
      <c r="F284">
        <v>1935</v>
      </c>
      <c r="G284" s="4">
        <v>2.6287565890985198</v>
      </c>
    </row>
    <row r="285" spans="1:7" x14ac:dyDescent="0.2">
      <c r="A285">
        <v>1975</v>
      </c>
      <c r="B285" s="3">
        <v>1701184</v>
      </c>
      <c r="C285" t="s">
        <v>1</v>
      </c>
      <c r="D285">
        <v>1950</v>
      </c>
      <c r="E285" s="3">
        <v>860092</v>
      </c>
      <c r="F285">
        <v>1945</v>
      </c>
      <c r="G285" s="4">
        <v>2.6579471968805537</v>
      </c>
    </row>
    <row r="286" spans="1:7" x14ac:dyDescent="0.2">
      <c r="A286">
        <v>1980</v>
      </c>
      <c r="B286" s="3">
        <v>1929126</v>
      </c>
      <c r="C286" t="s">
        <v>1</v>
      </c>
      <c r="D286">
        <v>1955</v>
      </c>
      <c r="E286" s="3">
        <v>980817</v>
      </c>
      <c r="F286">
        <v>1952.5</v>
      </c>
      <c r="G286" s="4">
        <v>2.6269307510231958</v>
      </c>
    </row>
    <row r="287" spans="1:7" x14ac:dyDescent="0.2">
      <c r="A287">
        <v>1985</v>
      </c>
      <c r="B287" s="3">
        <v>2154856</v>
      </c>
      <c r="C287" t="s">
        <v>1</v>
      </c>
      <c r="D287">
        <v>1960</v>
      </c>
      <c r="E287" s="3">
        <v>1130675</v>
      </c>
      <c r="F287">
        <v>1957.5</v>
      </c>
      <c r="G287" s="4">
        <v>2.8436836135649393</v>
      </c>
    </row>
    <row r="288" spans="1:7" x14ac:dyDescent="0.2">
      <c r="A288">
        <v>1990</v>
      </c>
      <c r="B288" s="3">
        <v>2380926</v>
      </c>
      <c r="C288" t="s">
        <v>1</v>
      </c>
      <c r="D288">
        <v>1965</v>
      </c>
      <c r="E288" s="3">
        <v>1299842</v>
      </c>
      <c r="F288">
        <v>1962.5</v>
      </c>
      <c r="G288" s="4">
        <v>2.7885583820429973</v>
      </c>
    </row>
    <row r="289" spans="1:7" x14ac:dyDescent="0.2">
      <c r="A289">
        <v>1995</v>
      </c>
      <c r="B289" s="3">
        <v>2638269</v>
      </c>
      <c r="C289" t="s">
        <v>1</v>
      </c>
      <c r="D289">
        <v>1970</v>
      </c>
      <c r="E289" s="3">
        <v>1491838</v>
      </c>
      <c r="F289">
        <v>1967.5</v>
      </c>
      <c r="G289" s="4">
        <v>2.7553239635681188</v>
      </c>
    </row>
    <row r="290" spans="1:7" x14ac:dyDescent="0.2">
      <c r="A290">
        <v>2000</v>
      </c>
      <c r="B290" s="3">
        <v>2916541</v>
      </c>
      <c r="C290" t="s">
        <v>1</v>
      </c>
      <c r="D290">
        <v>1975</v>
      </c>
      <c r="E290" s="3">
        <v>1701184</v>
      </c>
      <c r="F290">
        <v>1972.5</v>
      </c>
      <c r="G290" s="4">
        <v>2.6263112485871605</v>
      </c>
    </row>
    <row r="291" spans="1:7" x14ac:dyDescent="0.2">
      <c r="A291">
        <v>2005</v>
      </c>
      <c r="B291" s="3">
        <v>3196662</v>
      </c>
      <c r="C291" t="s">
        <v>1</v>
      </c>
      <c r="D291">
        <v>1980</v>
      </c>
      <c r="E291" s="3">
        <v>1929126</v>
      </c>
      <c r="F291">
        <v>1977.5</v>
      </c>
      <c r="G291" s="4">
        <v>2.5148514276226392</v>
      </c>
    </row>
    <row r="292" spans="1:7" x14ac:dyDescent="0.2">
      <c r="A292">
        <v>2010</v>
      </c>
      <c r="B292" s="3">
        <v>3473848</v>
      </c>
      <c r="C292" t="s">
        <v>1</v>
      </c>
      <c r="D292">
        <v>1985</v>
      </c>
      <c r="E292" s="3">
        <v>2154856</v>
      </c>
      <c r="F292">
        <v>1982.5</v>
      </c>
      <c r="G292" s="4">
        <v>2.213136987378129</v>
      </c>
    </row>
    <row r="293" spans="1:7" x14ac:dyDescent="0.2">
      <c r="A293">
        <v>2015</v>
      </c>
      <c r="B293" s="3">
        <v>3740892</v>
      </c>
      <c r="C293" t="s">
        <v>1</v>
      </c>
      <c r="D293">
        <v>1990</v>
      </c>
      <c r="E293" s="3">
        <v>2380926</v>
      </c>
      <c r="F293">
        <v>1987.5</v>
      </c>
      <c r="G293" s="4">
        <v>1.995311753319629</v>
      </c>
    </row>
    <row r="294" spans="1:7" x14ac:dyDescent="0.2">
      <c r="A294">
        <v>2020</v>
      </c>
      <c r="B294" s="3">
        <v>3997573</v>
      </c>
      <c r="C294" t="s">
        <v>1</v>
      </c>
      <c r="D294">
        <v>1995</v>
      </c>
      <c r="E294" s="3">
        <v>2638269</v>
      </c>
      <c r="F294">
        <v>1992.5</v>
      </c>
      <c r="G294" s="4">
        <v>2.0526706528674143</v>
      </c>
    </row>
    <row r="295" spans="1:7" x14ac:dyDescent="0.2">
      <c r="A295">
        <v>2025</v>
      </c>
      <c r="B295" s="3">
        <v>4242707</v>
      </c>
      <c r="C295" t="s">
        <v>1</v>
      </c>
      <c r="D295">
        <v>2000</v>
      </c>
      <c r="E295" s="3">
        <v>2916541</v>
      </c>
      <c r="F295">
        <v>1997.5</v>
      </c>
      <c r="G295" s="4">
        <v>2.0055060954440309</v>
      </c>
    </row>
    <row r="296" spans="1:7" x14ac:dyDescent="0.2">
      <c r="A296">
        <v>2030</v>
      </c>
      <c r="B296" s="3">
        <v>4470627</v>
      </c>
      <c r="C296" t="s">
        <v>1</v>
      </c>
      <c r="D296">
        <v>2005</v>
      </c>
      <c r="E296" s="3">
        <v>3196662</v>
      </c>
      <c r="F296">
        <v>2002.5</v>
      </c>
      <c r="G296" s="4">
        <v>1.8341763062649075</v>
      </c>
    </row>
    <row r="297" spans="1:7" x14ac:dyDescent="0.2">
      <c r="A297">
        <v>2035</v>
      </c>
      <c r="B297" s="3">
        <v>4676197</v>
      </c>
      <c r="C297" t="s">
        <v>1</v>
      </c>
      <c r="D297">
        <v>2010</v>
      </c>
      <c r="E297" s="3">
        <v>3473848</v>
      </c>
      <c r="F297">
        <v>2007.5</v>
      </c>
      <c r="G297" s="4">
        <v>1.6631154578276359</v>
      </c>
    </row>
    <row r="298" spans="1:7" x14ac:dyDescent="0.2">
      <c r="A298">
        <v>2040</v>
      </c>
      <c r="B298" s="3">
        <v>4854954</v>
      </c>
      <c r="C298" t="s">
        <v>1</v>
      </c>
      <c r="D298">
        <v>2015</v>
      </c>
      <c r="E298" s="3">
        <v>3740892</v>
      </c>
      <c r="F298">
        <v>2012.5</v>
      </c>
      <c r="G298" s="4">
        <v>1.4812234479891475</v>
      </c>
    </row>
    <row r="299" spans="1:7" x14ac:dyDescent="0.2">
      <c r="A299">
        <v>2045</v>
      </c>
      <c r="B299" s="3">
        <v>5005442</v>
      </c>
      <c r="C299" t="s">
        <v>1</v>
      </c>
      <c r="D299">
        <v>2020</v>
      </c>
      <c r="E299" s="3">
        <v>3997573</v>
      </c>
      <c r="F299">
        <v>2017.5</v>
      </c>
      <c r="G299" s="4">
        <v>1.327266826192437</v>
      </c>
    </row>
    <row r="300" spans="1:7" x14ac:dyDescent="0.2">
      <c r="A300">
        <v>2050</v>
      </c>
      <c r="B300" s="3">
        <v>5127530</v>
      </c>
      <c r="C300" t="s">
        <v>1</v>
      </c>
      <c r="D300">
        <v>2025</v>
      </c>
      <c r="E300" s="3">
        <v>4242707</v>
      </c>
      <c r="F300">
        <v>2022.5</v>
      </c>
      <c r="G300" s="4">
        <v>1.1902816389838711</v>
      </c>
    </row>
    <row r="301" spans="1:7" x14ac:dyDescent="0.2">
      <c r="D301">
        <v>2030</v>
      </c>
      <c r="E301" s="3">
        <v>4470627</v>
      </c>
      <c r="F301">
        <v>2027.5</v>
      </c>
      <c r="G301" s="4">
        <v>1.0465431664668365</v>
      </c>
    </row>
    <row r="302" spans="1:7" x14ac:dyDescent="0.2">
      <c r="D302">
        <v>2035</v>
      </c>
      <c r="E302" s="3">
        <v>4676197</v>
      </c>
      <c r="F302">
        <v>2032.5</v>
      </c>
      <c r="G302" s="4">
        <v>0.89913011005774079</v>
      </c>
    </row>
    <row r="303" spans="1:7" x14ac:dyDescent="0.2">
      <c r="D303">
        <v>2040</v>
      </c>
      <c r="E303" s="3">
        <v>4854954</v>
      </c>
      <c r="F303">
        <v>2037.5</v>
      </c>
      <c r="G303" s="4">
        <v>0.75028908364163693</v>
      </c>
    </row>
    <row r="304" spans="1:7" x14ac:dyDescent="0.2">
      <c r="D304">
        <v>2045</v>
      </c>
      <c r="E304" s="3">
        <v>5005442</v>
      </c>
      <c r="F304">
        <v>2042.5</v>
      </c>
      <c r="G304" s="4">
        <v>0.61052187252251489</v>
      </c>
    </row>
    <row r="305" spans="4:7" x14ac:dyDescent="0.2">
      <c r="D305">
        <v>2050</v>
      </c>
      <c r="E305" s="3">
        <v>5127530</v>
      </c>
      <c r="F305">
        <v>2047.5</v>
      </c>
      <c r="G305" s="4">
        <v>0.48196682391040846</v>
      </c>
    </row>
  </sheetData>
  <pageMargins left="0.7" right="0.7" top="0.75" bottom="0.75" header="0.3" footer="0.3"/>
  <pageSetup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165"/>
  <sheetViews>
    <sheetView topLeftCell="A3" workbookViewId="0">
      <selection activeCell="B1" sqref="B1"/>
    </sheetView>
  </sheetViews>
  <sheetFormatPr baseColWidth="10" defaultColWidth="8.83203125" defaultRowHeight="15" x14ac:dyDescent="0.2"/>
  <sheetData>
    <row r="3" spans="1:8" x14ac:dyDescent="0.2">
      <c r="B3" s="7" t="s">
        <v>55</v>
      </c>
    </row>
    <row r="4" spans="1:8" x14ac:dyDescent="0.2">
      <c r="A4" t="s">
        <v>2</v>
      </c>
      <c r="E4" t="s">
        <v>56</v>
      </c>
    </row>
    <row r="5" spans="1:8" x14ac:dyDescent="0.2">
      <c r="A5">
        <v>1774</v>
      </c>
      <c r="B5">
        <v>172620</v>
      </c>
      <c r="C5" t="s">
        <v>7</v>
      </c>
      <c r="D5" t="s">
        <v>57</v>
      </c>
      <c r="G5" t="s">
        <v>3</v>
      </c>
      <c r="H5" t="s">
        <v>4</v>
      </c>
    </row>
    <row r="6" spans="1:8" x14ac:dyDescent="0.2">
      <c r="A6">
        <v>1778</v>
      </c>
      <c r="B6">
        <v>179484</v>
      </c>
      <c r="C6" t="s">
        <v>7</v>
      </c>
      <c r="D6" t="s">
        <v>58</v>
      </c>
      <c r="E6">
        <v>1800</v>
      </c>
      <c r="F6" s="1">
        <v>351779.79171175451</v>
      </c>
    </row>
    <row r="7" spans="1:8" x14ac:dyDescent="0.2">
      <c r="A7">
        <v>1792</v>
      </c>
      <c r="B7">
        <v>273979</v>
      </c>
      <c r="C7" t="s">
        <v>59</v>
      </c>
      <c r="D7" t="s">
        <v>60</v>
      </c>
      <c r="E7">
        <v>1810</v>
      </c>
      <c r="F7" s="1">
        <v>480798.27567328373</v>
      </c>
      <c r="G7">
        <v>1805</v>
      </c>
      <c r="H7">
        <v>3.1244240873855262</v>
      </c>
    </row>
    <row r="8" spans="1:8" x14ac:dyDescent="0.2">
      <c r="A8">
        <v>1817</v>
      </c>
      <c r="B8">
        <v>598339</v>
      </c>
      <c r="C8" t="s">
        <v>7</v>
      </c>
      <c r="D8" t="s">
        <v>61</v>
      </c>
      <c r="E8">
        <v>1820</v>
      </c>
      <c r="F8" s="1">
        <v>628383.8473119816</v>
      </c>
      <c r="G8">
        <v>1815</v>
      </c>
      <c r="H8">
        <v>2.6770340473805518</v>
      </c>
    </row>
    <row r="9" spans="1:8" x14ac:dyDescent="0.2">
      <c r="A9">
        <v>1827</v>
      </c>
      <c r="B9">
        <v>704487</v>
      </c>
      <c r="C9" t="s">
        <v>7</v>
      </c>
      <c r="D9" t="s">
        <v>62</v>
      </c>
      <c r="E9">
        <v>1830</v>
      </c>
      <c r="F9" s="1">
        <v>760638.75978411478</v>
      </c>
      <c r="G9">
        <v>1825</v>
      </c>
      <c r="H9">
        <v>1.9100735209795723</v>
      </c>
    </row>
    <row r="10" spans="1:8" x14ac:dyDescent="0.2">
      <c r="A10">
        <v>1841</v>
      </c>
      <c r="B10">
        <v>1007624</v>
      </c>
      <c r="C10" t="s">
        <v>7</v>
      </c>
      <c r="D10" t="s">
        <v>63</v>
      </c>
      <c r="E10">
        <v>1840</v>
      </c>
      <c r="F10" s="1">
        <v>982192.65100437356</v>
      </c>
      <c r="G10">
        <v>1835</v>
      </c>
      <c r="H10">
        <v>2.5562891771821334</v>
      </c>
    </row>
    <row r="11" spans="1:8" x14ac:dyDescent="0.2">
      <c r="A11">
        <v>1846</v>
      </c>
      <c r="B11">
        <v>938752</v>
      </c>
      <c r="C11" t="s">
        <v>7</v>
      </c>
      <c r="D11" t="s">
        <v>64</v>
      </c>
      <c r="E11">
        <v>1850</v>
      </c>
      <c r="F11" s="1">
        <v>1043628.0371655991</v>
      </c>
      <c r="G11">
        <v>1845</v>
      </c>
      <c r="H11">
        <v>0.60670947318963842</v>
      </c>
    </row>
    <row r="12" spans="1:8" x14ac:dyDescent="0.2">
      <c r="A12">
        <v>1861</v>
      </c>
      <c r="B12">
        <v>1396470</v>
      </c>
      <c r="C12" t="s">
        <v>7</v>
      </c>
      <c r="D12" t="s">
        <v>65</v>
      </c>
      <c r="E12">
        <v>1860</v>
      </c>
      <c r="F12" s="1">
        <v>1359981.1680200177</v>
      </c>
      <c r="G12">
        <v>1855</v>
      </c>
      <c r="H12">
        <v>2.6476771287240752</v>
      </c>
    </row>
    <row r="13" spans="1:8" x14ac:dyDescent="0.2">
      <c r="A13">
        <v>1862</v>
      </c>
      <c r="B13">
        <v>1359238</v>
      </c>
      <c r="C13" t="s">
        <v>7</v>
      </c>
      <c r="D13" t="s">
        <v>66</v>
      </c>
      <c r="E13">
        <v>1870</v>
      </c>
      <c r="F13" s="1">
        <v>1932661.935104277</v>
      </c>
      <c r="G13">
        <v>1865</v>
      </c>
      <c r="H13">
        <v>3.5142744101630736</v>
      </c>
    </row>
    <row r="14" spans="1:8" x14ac:dyDescent="0.2">
      <c r="A14">
        <v>1869</v>
      </c>
      <c r="B14">
        <v>1999811</v>
      </c>
      <c r="C14" t="s">
        <v>67</v>
      </c>
      <c r="D14" t="s">
        <v>68</v>
      </c>
      <c r="E14">
        <v>1880</v>
      </c>
      <c r="F14" s="1">
        <v>1553882.5440546349</v>
      </c>
      <c r="G14">
        <v>1875</v>
      </c>
      <c r="H14">
        <v>-2.1814162751179906</v>
      </c>
    </row>
    <row r="15" spans="1:8" x14ac:dyDescent="0.2">
      <c r="A15">
        <v>1877</v>
      </c>
      <c r="B15">
        <v>1521684</v>
      </c>
      <c r="C15" t="s">
        <v>7</v>
      </c>
      <c r="D15" t="s">
        <v>69</v>
      </c>
      <c r="E15">
        <v>1890</v>
      </c>
      <c r="F15" s="1">
        <v>1616760.9391297549</v>
      </c>
      <c r="G15">
        <v>1885</v>
      </c>
      <c r="H15">
        <v>0.39668061332426008</v>
      </c>
    </row>
    <row r="16" spans="1:8" x14ac:dyDescent="0.2">
      <c r="A16">
        <v>1887</v>
      </c>
      <c r="B16">
        <v>1631687</v>
      </c>
      <c r="C16" t="s">
        <v>7</v>
      </c>
      <c r="D16" t="s">
        <v>70</v>
      </c>
      <c r="E16">
        <v>1900</v>
      </c>
      <c r="F16" s="1">
        <v>1625666.037870548</v>
      </c>
      <c r="G16">
        <v>1895</v>
      </c>
      <c r="H16">
        <v>5.4928738220384458E-2</v>
      </c>
    </row>
    <row r="17" spans="1:8" x14ac:dyDescent="0.2">
      <c r="A17">
        <v>1899</v>
      </c>
      <c r="B17">
        <v>1572797</v>
      </c>
      <c r="C17" t="s">
        <v>7</v>
      </c>
      <c r="D17" t="s">
        <v>71</v>
      </c>
      <c r="E17">
        <v>1910</v>
      </c>
      <c r="F17" s="1">
        <v>2232766.7406232967</v>
      </c>
      <c r="G17">
        <v>1905</v>
      </c>
      <c r="H17">
        <v>3.1732390604663903</v>
      </c>
    </row>
    <row r="18" spans="1:8" x14ac:dyDescent="0.2">
      <c r="A18">
        <v>1907</v>
      </c>
      <c r="B18" s="1">
        <v>2049000</v>
      </c>
      <c r="C18" t="s">
        <v>7</v>
      </c>
      <c r="D18" t="s">
        <v>72</v>
      </c>
      <c r="E18">
        <v>1920</v>
      </c>
      <c r="F18" s="1">
        <v>2966047.6195153678</v>
      </c>
      <c r="G18">
        <v>1915</v>
      </c>
      <c r="H18">
        <v>2.8398879140319</v>
      </c>
    </row>
    <row r="19" spans="1:8" x14ac:dyDescent="0.2">
      <c r="A19">
        <v>1919</v>
      </c>
      <c r="B19" s="1">
        <v>2889000</v>
      </c>
      <c r="C19" t="s">
        <v>7</v>
      </c>
      <c r="D19" t="s">
        <v>72</v>
      </c>
      <c r="E19">
        <v>1930</v>
      </c>
      <c r="F19" s="1">
        <v>3859080.9954259046</v>
      </c>
      <c r="G19">
        <v>1925</v>
      </c>
      <c r="H19">
        <v>2.6319877232688431</v>
      </c>
    </row>
    <row r="20" spans="1:8" x14ac:dyDescent="0.2">
      <c r="A20">
        <v>1931</v>
      </c>
      <c r="B20" s="1">
        <v>3962000</v>
      </c>
      <c r="C20" t="s">
        <v>7</v>
      </c>
      <c r="D20" t="s">
        <v>72</v>
      </c>
      <c r="E20">
        <v>1940</v>
      </c>
      <c r="F20" s="1">
        <v>4560173.7540838132</v>
      </c>
      <c r="G20">
        <v>1935</v>
      </c>
      <c r="H20">
        <v>1.669316557224348</v>
      </c>
    </row>
    <row r="21" spans="1:8" x14ac:dyDescent="0.2">
      <c r="A21">
        <v>1943</v>
      </c>
      <c r="B21">
        <v>4779000</v>
      </c>
      <c r="C21" t="s">
        <v>7</v>
      </c>
      <c r="D21" t="s">
        <v>72</v>
      </c>
      <c r="E21">
        <v>1950</v>
      </c>
      <c r="F21">
        <v>5919997</v>
      </c>
      <c r="G21">
        <v>1945</v>
      </c>
      <c r="H21">
        <v>2.6097521537292354</v>
      </c>
    </row>
    <row r="22" spans="1:8" x14ac:dyDescent="0.2">
      <c r="A22">
        <v>1950</v>
      </c>
      <c r="B22">
        <v>5919997</v>
      </c>
      <c r="C22" t="s">
        <v>34</v>
      </c>
      <c r="D22" t="s">
        <v>1</v>
      </c>
      <c r="E22">
        <v>1955</v>
      </c>
      <c r="F22">
        <v>6540031</v>
      </c>
      <c r="G22">
        <v>1952.5</v>
      </c>
      <c r="H22">
        <v>1.9921192676001227</v>
      </c>
    </row>
    <row r="23" spans="1:8" x14ac:dyDescent="0.2">
      <c r="A23">
        <v>1955</v>
      </c>
      <c r="B23">
        <v>6540031</v>
      </c>
      <c r="C23" t="s">
        <v>34</v>
      </c>
      <c r="D23" t="s">
        <v>1</v>
      </c>
      <c r="E23">
        <v>1960</v>
      </c>
      <c r="F23">
        <v>7141027</v>
      </c>
      <c r="G23">
        <v>1957.5</v>
      </c>
      <c r="H23">
        <v>1.7582939604769068</v>
      </c>
    </row>
    <row r="24" spans="1:8" x14ac:dyDescent="0.2">
      <c r="A24">
        <v>1960</v>
      </c>
      <c r="B24">
        <v>7141027</v>
      </c>
      <c r="C24" t="s">
        <v>34</v>
      </c>
      <c r="D24" t="s">
        <v>1</v>
      </c>
      <c r="E24">
        <v>1965</v>
      </c>
      <c r="F24">
        <v>7950041</v>
      </c>
      <c r="G24">
        <v>1962.5</v>
      </c>
      <c r="H24">
        <v>2.1464096468553175</v>
      </c>
    </row>
    <row r="25" spans="1:8" x14ac:dyDescent="0.2">
      <c r="A25">
        <v>1965</v>
      </c>
      <c r="B25">
        <v>7950041</v>
      </c>
      <c r="C25" t="s">
        <v>34</v>
      </c>
      <c r="D25" t="s">
        <v>1</v>
      </c>
      <c r="E25">
        <v>1970</v>
      </c>
      <c r="F25">
        <v>8710456</v>
      </c>
      <c r="G25">
        <v>1967.5</v>
      </c>
      <c r="H25">
        <v>1.8269411444978969</v>
      </c>
    </row>
    <row r="26" spans="1:8" x14ac:dyDescent="0.2">
      <c r="A26">
        <v>1970</v>
      </c>
      <c r="B26">
        <v>8710456</v>
      </c>
      <c r="C26" t="s">
        <v>34</v>
      </c>
      <c r="D26" t="s">
        <v>1</v>
      </c>
      <c r="E26">
        <v>1975</v>
      </c>
      <c r="F26">
        <v>9431942</v>
      </c>
      <c r="G26">
        <v>1972.5</v>
      </c>
      <c r="H26">
        <v>1.5915574165314292</v>
      </c>
    </row>
    <row r="27" spans="1:8" x14ac:dyDescent="0.2">
      <c r="A27">
        <v>1975</v>
      </c>
      <c r="B27">
        <v>9431942</v>
      </c>
      <c r="C27" t="s">
        <v>34</v>
      </c>
      <c r="D27" t="s">
        <v>1</v>
      </c>
      <c r="E27">
        <v>1980</v>
      </c>
      <c r="F27">
        <v>9823414</v>
      </c>
      <c r="G27">
        <v>1977.5</v>
      </c>
      <c r="H27">
        <v>0.81333411702835989</v>
      </c>
    </row>
    <row r="28" spans="1:8" x14ac:dyDescent="0.2">
      <c r="A28">
        <v>1980</v>
      </c>
      <c r="B28">
        <v>9823414</v>
      </c>
      <c r="C28" t="s">
        <v>34</v>
      </c>
      <c r="D28" t="s">
        <v>1</v>
      </c>
      <c r="E28">
        <v>1985</v>
      </c>
      <c r="F28">
        <v>10064492</v>
      </c>
      <c r="G28">
        <v>1982.5</v>
      </c>
      <c r="H28">
        <v>0.48489732194067814</v>
      </c>
    </row>
    <row r="29" spans="1:8" x14ac:dyDescent="0.2">
      <c r="A29">
        <v>1985</v>
      </c>
      <c r="B29">
        <v>10064492</v>
      </c>
      <c r="C29" t="s">
        <v>34</v>
      </c>
      <c r="D29" t="s">
        <v>1</v>
      </c>
      <c r="E29">
        <v>1990</v>
      </c>
      <c r="F29">
        <v>10563843</v>
      </c>
      <c r="G29">
        <v>1987.5</v>
      </c>
      <c r="H29">
        <v>0.96847093288217478</v>
      </c>
    </row>
    <row r="30" spans="1:8" x14ac:dyDescent="0.2">
      <c r="A30">
        <v>1990</v>
      </c>
      <c r="B30">
        <v>10563843</v>
      </c>
      <c r="C30" t="s">
        <v>34</v>
      </c>
      <c r="D30" t="s">
        <v>1</v>
      </c>
      <c r="E30">
        <v>1995</v>
      </c>
      <c r="F30">
        <v>10884587</v>
      </c>
      <c r="G30">
        <v>1992.5</v>
      </c>
      <c r="H30">
        <v>0.59821238629660478</v>
      </c>
    </row>
    <row r="31" spans="1:8" x14ac:dyDescent="0.2">
      <c r="A31">
        <v>1995</v>
      </c>
      <c r="B31">
        <v>10884587</v>
      </c>
      <c r="C31" t="s">
        <v>34</v>
      </c>
      <c r="D31" t="s">
        <v>1</v>
      </c>
      <c r="E31">
        <v>2000</v>
      </c>
      <c r="F31">
        <v>11075234</v>
      </c>
      <c r="G31">
        <v>1997.5</v>
      </c>
      <c r="H31">
        <v>0.34727385063320154</v>
      </c>
    </row>
    <row r="32" spans="1:8" x14ac:dyDescent="0.2">
      <c r="A32">
        <v>2000</v>
      </c>
      <c r="B32">
        <v>11075234</v>
      </c>
      <c r="C32" t="s">
        <v>34</v>
      </c>
      <c r="D32" t="s">
        <v>1</v>
      </c>
      <c r="E32">
        <v>2005</v>
      </c>
      <c r="F32">
        <v>11188802</v>
      </c>
      <c r="G32">
        <v>2002.5</v>
      </c>
      <c r="H32">
        <v>0.20404024682928709</v>
      </c>
    </row>
    <row r="33" spans="1:8" x14ac:dyDescent="0.2">
      <c r="A33">
        <v>2005</v>
      </c>
      <c r="B33">
        <v>11188802</v>
      </c>
      <c r="C33" t="s">
        <v>34</v>
      </c>
      <c r="D33" t="s">
        <v>1</v>
      </c>
      <c r="E33">
        <v>2010</v>
      </c>
      <c r="F33">
        <v>11202755</v>
      </c>
      <c r="G33">
        <v>2007.5</v>
      </c>
      <c r="H33">
        <v>2.4925469552619369E-2</v>
      </c>
    </row>
    <row r="34" spans="1:8" x14ac:dyDescent="0.2">
      <c r="A34">
        <v>2010</v>
      </c>
      <c r="B34">
        <v>11202755</v>
      </c>
      <c r="C34" t="s">
        <v>34</v>
      </c>
      <c r="D34" t="s">
        <v>1</v>
      </c>
      <c r="E34">
        <v>2015</v>
      </c>
      <c r="F34">
        <v>11212861</v>
      </c>
      <c r="G34">
        <v>2012.5</v>
      </c>
      <c r="H34">
        <v>1.8033857619121404E-2</v>
      </c>
    </row>
    <row r="35" spans="1:8" x14ac:dyDescent="0.2">
      <c r="A35">
        <v>2015</v>
      </c>
      <c r="B35">
        <v>11212861</v>
      </c>
      <c r="C35" t="s">
        <v>73</v>
      </c>
      <c r="D35" t="s">
        <v>1</v>
      </c>
      <c r="E35">
        <v>2020</v>
      </c>
      <c r="F35">
        <v>11193277</v>
      </c>
      <c r="G35">
        <v>2017.5</v>
      </c>
      <c r="H35">
        <v>-3.4961857303765331E-2</v>
      </c>
    </row>
    <row r="36" spans="1:8" x14ac:dyDescent="0.2">
      <c r="A36">
        <v>2020</v>
      </c>
      <c r="B36">
        <v>11193277</v>
      </c>
      <c r="C36" t="s">
        <v>73</v>
      </c>
      <c r="D36" t="s">
        <v>1</v>
      </c>
      <c r="E36">
        <v>2025</v>
      </c>
      <c r="F36">
        <v>11142717</v>
      </c>
      <c r="G36">
        <v>2022.5</v>
      </c>
      <c r="H36">
        <v>-9.0544591578310449E-2</v>
      </c>
    </row>
    <row r="37" spans="1:8" x14ac:dyDescent="0.2">
      <c r="A37">
        <v>2025</v>
      </c>
      <c r="B37">
        <v>11142717</v>
      </c>
      <c r="C37" t="s">
        <v>73</v>
      </c>
      <c r="D37" t="s">
        <v>1</v>
      </c>
      <c r="E37">
        <v>2030</v>
      </c>
      <c r="F37">
        <v>11050718</v>
      </c>
      <c r="G37">
        <v>2027.5</v>
      </c>
      <c r="H37">
        <v>-0.16581394807444258</v>
      </c>
    </row>
    <row r="38" spans="1:8" x14ac:dyDescent="0.2">
      <c r="A38">
        <v>2030</v>
      </c>
      <c r="B38">
        <v>11050718</v>
      </c>
      <c r="C38" t="s">
        <v>73</v>
      </c>
      <c r="D38" t="s">
        <v>1</v>
      </c>
      <c r="E38">
        <v>2035</v>
      </c>
      <c r="F38">
        <v>10894939</v>
      </c>
      <c r="G38">
        <v>2032.5</v>
      </c>
      <c r="H38">
        <v>-0.28394067492114472</v>
      </c>
    </row>
    <row r="39" spans="1:8" x14ac:dyDescent="0.2">
      <c r="A39">
        <v>2035</v>
      </c>
      <c r="B39">
        <v>10894939</v>
      </c>
      <c r="C39" t="s">
        <v>73</v>
      </c>
      <c r="D39" t="s">
        <v>1</v>
      </c>
      <c r="E39">
        <v>2040</v>
      </c>
      <c r="F39">
        <v>10670343</v>
      </c>
      <c r="G39">
        <v>2037.5</v>
      </c>
      <c r="H39">
        <v>-0.41660316962073951</v>
      </c>
    </row>
    <row r="40" spans="1:8" x14ac:dyDescent="0.2">
      <c r="A40">
        <v>2040</v>
      </c>
      <c r="B40">
        <v>10670343</v>
      </c>
      <c r="C40" t="s">
        <v>73</v>
      </c>
      <c r="D40" t="s">
        <v>1</v>
      </c>
      <c r="E40">
        <v>2045</v>
      </c>
      <c r="F40">
        <v>10380492</v>
      </c>
      <c r="G40">
        <v>2042.5</v>
      </c>
      <c r="H40">
        <v>-0.55079871085823007</v>
      </c>
    </row>
    <row r="41" spans="1:8" x14ac:dyDescent="0.2">
      <c r="A41">
        <v>2045</v>
      </c>
      <c r="B41">
        <v>10380492</v>
      </c>
      <c r="C41" t="s">
        <v>73</v>
      </c>
      <c r="D41" t="s">
        <v>1</v>
      </c>
      <c r="E41">
        <v>2050</v>
      </c>
      <c r="F41">
        <v>10029570</v>
      </c>
      <c r="G41">
        <v>2047.5</v>
      </c>
      <c r="H41">
        <v>-0.68781091578771836</v>
      </c>
    </row>
    <row r="42" spans="1:8" x14ac:dyDescent="0.2">
      <c r="A42">
        <v>2050</v>
      </c>
      <c r="B42">
        <v>10029570</v>
      </c>
      <c r="C42" t="s">
        <v>73</v>
      </c>
      <c r="D42" t="s">
        <v>1</v>
      </c>
    </row>
    <row r="45" spans="1:8" x14ac:dyDescent="0.2">
      <c r="B45" s="7" t="s">
        <v>74</v>
      </c>
    </row>
    <row r="46" spans="1:8" x14ac:dyDescent="0.2">
      <c r="E46" t="s">
        <v>56</v>
      </c>
    </row>
    <row r="47" spans="1:8" x14ac:dyDescent="0.2">
      <c r="A47" t="s">
        <v>2</v>
      </c>
      <c r="G47" t="s">
        <v>3</v>
      </c>
      <c r="H47" t="s">
        <v>4</v>
      </c>
    </row>
    <row r="48" spans="1:8" x14ac:dyDescent="0.2">
      <c r="A48">
        <v>1750</v>
      </c>
      <c r="B48">
        <v>182000</v>
      </c>
      <c r="C48" t="s">
        <v>34</v>
      </c>
      <c r="D48" t="s">
        <v>75</v>
      </c>
      <c r="E48">
        <v>1800</v>
      </c>
      <c r="F48" s="1">
        <v>430795.83460641408</v>
      </c>
    </row>
    <row r="49" spans="1:8" x14ac:dyDescent="0.2">
      <c r="A49">
        <v>1791</v>
      </c>
      <c r="B49">
        <v>520000</v>
      </c>
      <c r="C49" t="s">
        <v>34</v>
      </c>
      <c r="D49" t="s">
        <v>76</v>
      </c>
      <c r="E49">
        <v>1810</v>
      </c>
      <c r="F49" s="1">
        <v>431522.96183137904</v>
      </c>
      <c r="G49">
        <f>(E48+E49)/2</f>
        <v>1805</v>
      </c>
      <c r="H49">
        <f>(LN(F49/F48)/(E49-E48))*100</f>
        <v>1.6864468229246907E-2</v>
      </c>
    </row>
    <row r="50" spans="1:8" x14ac:dyDescent="0.2">
      <c r="A50">
        <v>1806</v>
      </c>
      <c r="B50">
        <v>380000</v>
      </c>
      <c r="C50" t="s">
        <v>34</v>
      </c>
      <c r="D50" t="s">
        <v>77</v>
      </c>
      <c r="E50">
        <v>1820</v>
      </c>
      <c r="F50" s="1">
        <v>593000</v>
      </c>
      <c r="G50">
        <f t="shared" ref="G50:G83" si="0">(E49+E50)/2</f>
        <v>1815</v>
      </c>
      <c r="H50">
        <f t="shared" ref="H50:H83" si="1">(LN(F50/F49)/(E50-E49))*100</f>
        <v>3.1787367591235278</v>
      </c>
    </row>
    <row r="51" spans="1:8" x14ac:dyDescent="0.2">
      <c r="A51">
        <v>1820</v>
      </c>
      <c r="B51">
        <v>593000</v>
      </c>
      <c r="C51" t="s">
        <v>34</v>
      </c>
      <c r="D51" t="s">
        <v>78</v>
      </c>
      <c r="E51">
        <v>1830</v>
      </c>
      <c r="F51" s="1">
        <v>628000</v>
      </c>
      <c r="G51">
        <f t="shared" si="0"/>
        <v>1825</v>
      </c>
      <c r="H51">
        <f t="shared" si="1"/>
        <v>0.57345767470473297</v>
      </c>
    </row>
    <row r="52" spans="1:8" x14ac:dyDescent="0.2">
      <c r="A52">
        <v>1830</v>
      </c>
      <c r="B52">
        <v>628000</v>
      </c>
      <c r="C52" t="s">
        <v>34</v>
      </c>
      <c r="D52" t="s">
        <v>75</v>
      </c>
      <c r="E52">
        <v>1840</v>
      </c>
      <c r="F52" s="1">
        <v>731000</v>
      </c>
      <c r="G52">
        <f t="shared" si="0"/>
        <v>1835</v>
      </c>
      <c r="H52">
        <f t="shared" si="1"/>
        <v>1.5187329328157977</v>
      </c>
    </row>
    <row r="53" spans="1:8" x14ac:dyDescent="0.2">
      <c r="A53">
        <v>1840</v>
      </c>
      <c r="B53">
        <v>731000</v>
      </c>
      <c r="C53" t="s">
        <v>34</v>
      </c>
      <c r="D53" t="s">
        <v>78</v>
      </c>
      <c r="E53">
        <v>1850</v>
      </c>
      <c r="F53" s="1">
        <v>842682.27997206198</v>
      </c>
      <c r="G53">
        <f t="shared" si="0"/>
        <v>1845</v>
      </c>
      <c r="H53">
        <f t="shared" si="1"/>
        <v>1.4217653512506863</v>
      </c>
    </row>
    <row r="54" spans="1:8" x14ac:dyDescent="0.2">
      <c r="A54">
        <v>1845</v>
      </c>
      <c r="B54">
        <v>800000</v>
      </c>
      <c r="C54" t="s">
        <v>34</v>
      </c>
      <c r="D54" t="s">
        <v>79</v>
      </c>
      <c r="E54">
        <v>1860</v>
      </c>
      <c r="F54" s="1">
        <v>935000</v>
      </c>
      <c r="G54">
        <f t="shared" si="0"/>
        <v>1855</v>
      </c>
      <c r="H54">
        <f t="shared" si="1"/>
        <v>1.0395653441383985</v>
      </c>
    </row>
    <row r="55" spans="1:8" x14ac:dyDescent="0.2">
      <c r="A55">
        <v>1860</v>
      </c>
      <c r="B55">
        <v>935000</v>
      </c>
      <c r="C55" t="s">
        <v>34</v>
      </c>
      <c r="D55" t="s">
        <v>78</v>
      </c>
      <c r="E55">
        <v>1870</v>
      </c>
      <c r="F55" s="1">
        <v>1090988.0842612351</v>
      </c>
      <c r="G55">
        <f t="shared" si="0"/>
        <v>1865</v>
      </c>
      <c r="H55">
        <f t="shared" si="1"/>
        <v>1.542925346343597</v>
      </c>
    </row>
    <row r="56" spans="1:8" x14ac:dyDescent="0.2">
      <c r="A56">
        <v>1880</v>
      </c>
      <c r="B56">
        <v>1273000</v>
      </c>
      <c r="C56" t="s">
        <v>34</v>
      </c>
      <c r="D56" t="s">
        <v>75</v>
      </c>
      <c r="E56">
        <v>1880</v>
      </c>
      <c r="F56">
        <v>1273000</v>
      </c>
      <c r="G56">
        <f t="shared" si="0"/>
        <v>1875</v>
      </c>
      <c r="H56">
        <f t="shared" si="1"/>
        <v>1.5429253463435992</v>
      </c>
    </row>
    <row r="57" spans="1:8" x14ac:dyDescent="0.2">
      <c r="A57">
        <v>1890</v>
      </c>
      <c r="B57">
        <v>1355000</v>
      </c>
      <c r="C57" t="s">
        <v>34</v>
      </c>
      <c r="D57" t="s">
        <v>78</v>
      </c>
      <c r="E57">
        <v>1890</v>
      </c>
      <c r="F57" s="1">
        <v>1355000</v>
      </c>
      <c r="G57">
        <f t="shared" si="0"/>
        <v>1885</v>
      </c>
      <c r="H57">
        <f t="shared" si="1"/>
        <v>0.62425134756394851</v>
      </c>
    </row>
    <row r="58" spans="1:8" x14ac:dyDescent="0.2">
      <c r="A58">
        <v>1904</v>
      </c>
      <c r="B58">
        <v>1600000</v>
      </c>
      <c r="C58" t="s">
        <v>34</v>
      </c>
      <c r="D58" t="s">
        <v>80</v>
      </c>
      <c r="E58">
        <v>1900</v>
      </c>
      <c r="F58" s="1">
        <v>1525797.6058416476</v>
      </c>
      <c r="G58">
        <f t="shared" si="0"/>
        <v>1895</v>
      </c>
      <c r="H58">
        <f t="shared" si="1"/>
        <v>1.1871583922433659</v>
      </c>
    </row>
    <row r="59" spans="1:8" x14ac:dyDescent="0.2">
      <c r="A59">
        <v>1914</v>
      </c>
      <c r="B59">
        <v>1823000</v>
      </c>
      <c r="C59" t="s">
        <v>34</v>
      </c>
      <c r="D59" t="s">
        <v>78</v>
      </c>
      <c r="E59">
        <v>1910</v>
      </c>
      <c r="F59" s="1">
        <v>1730294.3682905731</v>
      </c>
      <c r="G59">
        <f t="shared" si="0"/>
        <v>1905</v>
      </c>
      <c r="H59">
        <f t="shared" si="1"/>
        <v>1.2577425556020896</v>
      </c>
    </row>
    <row r="60" spans="1:8" x14ac:dyDescent="0.2">
      <c r="A60">
        <v>1920</v>
      </c>
      <c r="B60">
        <v>2120000</v>
      </c>
      <c r="C60" t="s">
        <v>34</v>
      </c>
      <c r="D60" t="s">
        <v>81</v>
      </c>
      <c r="E60">
        <v>1920</v>
      </c>
      <c r="F60" s="1">
        <v>2120000</v>
      </c>
      <c r="G60">
        <f t="shared" si="0"/>
        <v>1915</v>
      </c>
      <c r="H60">
        <f t="shared" si="1"/>
        <v>2.0312453956771126</v>
      </c>
    </row>
    <row r="61" spans="1:8" x14ac:dyDescent="0.2">
      <c r="A61">
        <v>1930</v>
      </c>
      <c r="B61">
        <v>2420000</v>
      </c>
      <c r="C61" t="s">
        <v>34</v>
      </c>
      <c r="D61" t="s">
        <v>81</v>
      </c>
      <c r="E61">
        <v>1930</v>
      </c>
      <c r="F61" s="1">
        <v>2420000</v>
      </c>
      <c r="G61">
        <f t="shared" si="0"/>
        <v>1925</v>
      </c>
      <c r="H61">
        <f t="shared" si="1"/>
        <v>1.32351451484674</v>
      </c>
    </row>
    <row r="62" spans="1:8" x14ac:dyDescent="0.2">
      <c r="A62">
        <v>1940</v>
      </c>
      <c r="B62">
        <v>2830000</v>
      </c>
      <c r="C62" t="s">
        <v>34</v>
      </c>
      <c r="D62" t="s">
        <v>81</v>
      </c>
      <c r="E62">
        <v>1940</v>
      </c>
      <c r="F62" s="1">
        <v>2830000</v>
      </c>
      <c r="G62">
        <f t="shared" si="0"/>
        <v>1935</v>
      </c>
      <c r="H62">
        <f t="shared" si="1"/>
        <v>1.5650917148655124</v>
      </c>
    </row>
    <row r="63" spans="1:8" x14ac:dyDescent="0.2">
      <c r="A63">
        <v>1950</v>
      </c>
      <c r="B63" s="1">
        <v>3221277</v>
      </c>
      <c r="C63" t="s">
        <v>34</v>
      </c>
      <c r="D63" t="s">
        <v>1</v>
      </c>
      <c r="E63">
        <v>1950</v>
      </c>
      <c r="F63" s="1">
        <v>3221277</v>
      </c>
      <c r="G63">
        <f t="shared" si="0"/>
        <v>1945</v>
      </c>
      <c r="H63">
        <f t="shared" si="1"/>
        <v>1.2950115313351214</v>
      </c>
    </row>
    <row r="64" spans="1:8" x14ac:dyDescent="0.2">
      <c r="A64">
        <v>1955</v>
      </c>
      <c r="B64" s="1">
        <v>3516283</v>
      </c>
      <c r="C64" t="s">
        <v>34</v>
      </c>
      <c r="D64" t="s">
        <v>1</v>
      </c>
      <c r="E64">
        <v>1955</v>
      </c>
      <c r="F64">
        <v>3516283</v>
      </c>
      <c r="G64">
        <f t="shared" si="0"/>
        <v>1952.5</v>
      </c>
      <c r="H64">
        <f t="shared" si="1"/>
        <v>1.7525320197490968</v>
      </c>
    </row>
    <row r="65" spans="1:8" x14ac:dyDescent="0.2">
      <c r="A65">
        <v>1960</v>
      </c>
      <c r="B65" s="1">
        <v>3869396</v>
      </c>
      <c r="C65" t="s">
        <v>34</v>
      </c>
      <c r="D65" t="s">
        <v>1</v>
      </c>
      <c r="E65">
        <v>1960</v>
      </c>
      <c r="F65">
        <v>3869396</v>
      </c>
      <c r="G65">
        <f t="shared" si="0"/>
        <v>1957.5</v>
      </c>
      <c r="H65">
        <f t="shared" si="1"/>
        <v>1.9138791346719815</v>
      </c>
    </row>
    <row r="66" spans="1:8" x14ac:dyDescent="0.2">
      <c r="A66">
        <v>1965</v>
      </c>
      <c r="B66" s="1">
        <v>4275271</v>
      </c>
      <c r="C66" t="s">
        <v>34</v>
      </c>
      <c r="D66" t="s">
        <v>1</v>
      </c>
      <c r="E66">
        <v>1965</v>
      </c>
      <c r="F66">
        <v>4275271</v>
      </c>
      <c r="G66">
        <f t="shared" si="0"/>
        <v>1962.5</v>
      </c>
      <c r="H66">
        <f t="shared" si="1"/>
        <v>1.9949813936540119</v>
      </c>
    </row>
    <row r="67" spans="1:8" x14ac:dyDescent="0.2">
      <c r="A67">
        <v>1970</v>
      </c>
      <c r="B67" s="1">
        <v>4712998</v>
      </c>
      <c r="C67" t="s">
        <v>34</v>
      </c>
      <c r="D67" t="s">
        <v>1</v>
      </c>
      <c r="E67">
        <v>1970</v>
      </c>
      <c r="F67">
        <v>4712998</v>
      </c>
      <c r="G67">
        <f t="shared" si="0"/>
        <v>1967.5</v>
      </c>
      <c r="H67">
        <f t="shared" si="1"/>
        <v>1.9495346278186512</v>
      </c>
    </row>
    <row r="68" spans="1:8" x14ac:dyDescent="0.2">
      <c r="A68">
        <v>1975</v>
      </c>
      <c r="B68" s="1">
        <v>5143813</v>
      </c>
      <c r="C68" t="s">
        <v>34</v>
      </c>
      <c r="D68" t="s">
        <v>1</v>
      </c>
      <c r="E68">
        <v>1975</v>
      </c>
      <c r="F68">
        <v>5143813</v>
      </c>
      <c r="G68">
        <f t="shared" si="0"/>
        <v>1972.5</v>
      </c>
      <c r="H68">
        <f t="shared" si="1"/>
        <v>1.7494081931705159</v>
      </c>
    </row>
    <row r="69" spans="1:8" x14ac:dyDescent="0.2">
      <c r="A69">
        <v>1980</v>
      </c>
      <c r="B69" s="1">
        <v>5691275</v>
      </c>
      <c r="C69" t="s">
        <v>34</v>
      </c>
      <c r="D69" t="s">
        <v>1</v>
      </c>
      <c r="E69">
        <v>1980</v>
      </c>
      <c r="F69">
        <v>5691275</v>
      </c>
      <c r="G69">
        <f t="shared" si="0"/>
        <v>1977.5</v>
      </c>
      <c r="H69">
        <f t="shared" si="1"/>
        <v>2.0227933424688018</v>
      </c>
    </row>
    <row r="70" spans="1:8" x14ac:dyDescent="0.2">
      <c r="A70">
        <v>1985</v>
      </c>
      <c r="B70" s="1">
        <v>6388180</v>
      </c>
      <c r="C70" t="s">
        <v>34</v>
      </c>
      <c r="D70" t="s">
        <v>1</v>
      </c>
      <c r="E70">
        <v>1985</v>
      </c>
      <c r="F70">
        <v>6388180</v>
      </c>
      <c r="G70">
        <f t="shared" si="0"/>
        <v>1982.5</v>
      </c>
      <c r="H70">
        <f t="shared" si="1"/>
        <v>2.3103021484780903</v>
      </c>
    </row>
    <row r="71" spans="1:8" x14ac:dyDescent="0.2">
      <c r="A71">
        <v>1990</v>
      </c>
      <c r="B71" s="1">
        <v>7108570</v>
      </c>
      <c r="C71" t="s">
        <v>34</v>
      </c>
      <c r="D71" t="s">
        <v>1</v>
      </c>
      <c r="E71">
        <v>1990</v>
      </c>
      <c r="F71">
        <v>7108570</v>
      </c>
      <c r="G71">
        <f t="shared" si="0"/>
        <v>1987.5</v>
      </c>
      <c r="H71">
        <f t="shared" si="1"/>
        <v>2.1370338124348862</v>
      </c>
    </row>
    <row r="72" spans="1:8" x14ac:dyDescent="0.2">
      <c r="A72">
        <v>1995</v>
      </c>
      <c r="B72" s="1">
        <v>7836659</v>
      </c>
      <c r="C72" t="s">
        <v>34</v>
      </c>
      <c r="D72" t="s">
        <v>1</v>
      </c>
      <c r="E72">
        <v>1995</v>
      </c>
      <c r="F72">
        <v>7836659</v>
      </c>
      <c r="G72">
        <f t="shared" si="0"/>
        <v>1992.5</v>
      </c>
      <c r="H72">
        <f t="shared" si="1"/>
        <v>1.9502299433065244</v>
      </c>
    </row>
    <row r="73" spans="1:8" x14ac:dyDescent="0.2">
      <c r="A73">
        <v>2000</v>
      </c>
      <c r="B73" s="1">
        <v>8578185</v>
      </c>
      <c r="C73" t="s">
        <v>34</v>
      </c>
      <c r="D73" t="s">
        <v>1</v>
      </c>
      <c r="E73">
        <v>2000</v>
      </c>
      <c r="F73">
        <v>8578185</v>
      </c>
      <c r="G73">
        <f t="shared" si="0"/>
        <v>1997.5</v>
      </c>
      <c r="H73">
        <f t="shared" si="1"/>
        <v>1.8081951416925959</v>
      </c>
    </row>
    <row r="74" spans="1:8" x14ac:dyDescent="0.2">
      <c r="A74">
        <v>2005</v>
      </c>
      <c r="B74" s="1">
        <v>9294750</v>
      </c>
      <c r="C74" t="s">
        <v>34</v>
      </c>
      <c r="D74" t="s">
        <v>1</v>
      </c>
      <c r="E74">
        <v>2005</v>
      </c>
      <c r="F74">
        <v>9294750</v>
      </c>
      <c r="G74">
        <f t="shared" si="0"/>
        <v>2002.5</v>
      </c>
      <c r="H74">
        <f t="shared" si="1"/>
        <v>1.604547439400799</v>
      </c>
    </row>
    <row r="75" spans="1:8" x14ac:dyDescent="0.2">
      <c r="A75">
        <v>2010</v>
      </c>
      <c r="B75" s="1">
        <v>10089158</v>
      </c>
      <c r="C75" t="s">
        <v>34</v>
      </c>
      <c r="D75" t="s">
        <v>1</v>
      </c>
      <c r="E75">
        <v>2010</v>
      </c>
      <c r="F75">
        <v>10089158</v>
      </c>
      <c r="G75">
        <f t="shared" si="0"/>
        <v>2007.5</v>
      </c>
      <c r="H75">
        <f t="shared" si="1"/>
        <v>1.640233145862751</v>
      </c>
    </row>
    <row r="76" spans="1:8" x14ac:dyDescent="0.2">
      <c r="A76">
        <v>2015</v>
      </c>
      <c r="B76" s="1">
        <v>10917909</v>
      </c>
      <c r="C76" t="s">
        <v>34</v>
      </c>
      <c r="D76" t="s">
        <v>1</v>
      </c>
      <c r="E76">
        <v>2015</v>
      </c>
      <c r="F76">
        <v>10917909</v>
      </c>
      <c r="G76">
        <f t="shared" si="0"/>
        <v>2012.5</v>
      </c>
      <c r="H76">
        <f t="shared" si="1"/>
        <v>1.5788617308174511</v>
      </c>
    </row>
    <row r="77" spans="1:8" x14ac:dyDescent="0.2">
      <c r="A77">
        <v>2020</v>
      </c>
      <c r="B77" s="1">
        <v>11751612</v>
      </c>
      <c r="C77" t="s">
        <v>34</v>
      </c>
      <c r="D77" t="s">
        <v>1</v>
      </c>
      <c r="E77">
        <v>2020</v>
      </c>
      <c r="F77">
        <v>11751612</v>
      </c>
      <c r="G77">
        <f t="shared" si="0"/>
        <v>2017.5</v>
      </c>
      <c r="H77">
        <f t="shared" si="1"/>
        <v>1.4717190840934327</v>
      </c>
    </row>
    <row r="78" spans="1:8" x14ac:dyDescent="0.2">
      <c r="A78">
        <v>2025</v>
      </c>
      <c r="B78" s="1">
        <v>12568310</v>
      </c>
      <c r="C78" t="s">
        <v>34</v>
      </c>
      <c r="D78" t="s">
        <v>1</v>
      </c>
      <c r="E78">
        <v>2025</v>
      </c>
      <c r="F78">
        <v>12568310</v>
      </c>
      <c r="G78">
        <f t="shared" si="0"/>
        <v>2022.5</v>
      </c>
      <c r="H78">
        <f t="shared" si="1"/>
        <v>1.343762875948725</v>
      </c>
    </row>
    <row r="79" spans="1:8" x14ac:dyDescent="0.2">
      <c r="A79">
        <v>2030</v>
      </c>
      <c r="B79" s="1">
        <v>13362593</v>
      </c>
      <c r="C79" t="s">
        <v>34</v>
      </c>
      <c r="D79" t="s">
        <v>1</v>
      </c>
      <c r="E79">
        <v>2030</v>
      </c>
      <c r="F79">
        <v>13362593</v>
      </c>
      <c r="G79">
        <f t="shared" si="0"/>
        <v>2027.5</v>
      </c>
      <c r="H79">
        <f t="shared" si="1"/>
        <v>1.2256133927072301</v>
      </c>
    </row>
    <row r="80" spans="1:8" x14ac:dyDescent="0.2">
      <c r="A80">
        <v>2035</v>
      </c>
      <c r="B80" s="1">
        <v>14135437</v>
      </c>
      <c r="C80" t="s">
        <v>34</v>
      </c>
      <c r="D80" t="s">
        <v>1</v>
      </c>
      <c r="E80">
        <v>2035</v>
      </c>
      <c r="F80">
        <v>14135437</v>
      </c>
      <c r="G80">
        <f t="shared" si="0"/>
        <v>2032.5</v>
      </c>
      <c r="H80">
        <f t="shared" si="1"/>
        <v>1.1245134146153939</v>
      </c>
    </row>
    <row r="81" spans="1:8" x14ac:dyDescent="0.2">
      <c r="A81">
        <v>2040</v>
      </c>
      <c r="B81" s="1">
        <v>14873220</v>
      </c>
      <c r="C81" t="s">
        <v>34</v>
      </c>
      <c r="D81" t="s">
        <v>1</v>
      </c>
      <c r="E81">
        <v>2040</v>
      </c>
      <c r="F81">
        <v>14873220</v>
      </c>
      <c r="G81">
        <f t="shared" si="0"/>
        <v>2037.5</v>
      </c>
      <c r="H81">
        <f t="shared" si="1"/>
        <v>1.0175474714530066</v>
      </c>
    </row>
    <row r="82" spans="1:8" x14ac:dyDescent="0.2">
      <c r="A82">
        <v>2045</v>
      </c>
      <c r="B82" s="1">
        <v>15563615</v>
      </c>
      <c r="C82" t="s">
        <v>34</v>
      </c>
      <c r="D82" t="s">
        <v>1</v>
      </c>
      <c r="E82">
        <v>2045</v>
      </c>
      <c r="F82">
        <v>15563615</v>
      </c>
      <c r="G82">
        <f t="shared" si="0"/>
        <v>2042.5</v>
      </c>
      <c r="H82">
        <f t="shared" si="1"/>
        <v>0.90747075677844036</v>
      </c>
    </row>
    <row r="83" spans="1:8" x14ac:dyDescent="0.2">
      <c r="A83">
        <v>2050</v>
      </c>
      <c r="B83" s="1">
        <v>16191656</v>
      </c>
      <c r="C83" t="s">
        <v>34</v>
      </c>
      <c r="D83" t="s">
        <v>1</v>
      </c>
      <c r="E83">
        <v>2050</v>
      </c>
      <c r="F83">
        <v>16191656</v>
      </c>
      <c r="G83">
        <f t="shared" si="0"/>
        <v>2047.5</v>
      </c>
      <c r="H83">
        <f t="shared" si="1"/>
        <v>0.79120459150618694</v>
      </c>
    </row>
    <row r="86" spans="1:8" x14ac:dyDescent="0.2">
      <c r="B86" s="7" t="s">
        <v>82</v>
      </c>
    </row>
    <row r="87" spans="1:8" x14ac:dyDescent="0.2">
      <c r="E87" t="s">
        <v>56</v>
      </c>
    </row>
    <row r="88" spans="1:8" x14ac:dyDescent="0.2">
      <c r="A88" t="s">
        <v>2</v>
      </c>
      <c r="G88" t="s">
        <v>3</v>
      </c>
      <c r="H88" t="s">
        <v>4</v>
      </c>
    </row>
    <row r="89" spans="1:8" x14ac:dyDescent="0.2">
      <c r="A89">
        <v>1791</v>
      </c>
      <c r="B89">
        <v>125000</v>
      </c>
      <c r="C89" t="s">
        <v>34</v>
      </c>
      <c r="D89" t="s">
        <v>76</v>
      </c>
      <c r="E89">
        <v>1800</v>
      </c>
      <c r="F89" s="1">
        <v>104324.97938473088</v>
      </c>
    </row>
    <row r="90" spans="1:8" x14ac:dyDescent="0.2">
      <c r="A90">
        <v>1819</v>
      </c>
      <c r="B90">
        <v>71223</v>
      </c>
      <c r="C90" t="s">
        <v>7</v>
      </c>
      <c r="D90" t="s">
        <v>83</v>
      </c>
      <c r="E90">
        <v>1810</v>
      </c>
      <c r="F90" s="1">
        <v>85337.903275953446</v>
      </c>
      <c r="G90">
        <f t="shared" ref="G90" si="2">(E89+E90)/2</f>
        <v>1805</v>
      </c>
      <c r="H90">
        <f t="shared" ref="H90" si="3">(LN(F90/F89)/(E90-E89))*100</f>
        <v>-2.0089212047880749</v>
      </c>
    </row>
    <row r="91" spans="1:8" x14ac:dyDescent="0.2">
      <c r="A91">
        <v>1844</v>
      </c>
      <c r="B91">
        <v>126000</v>
      </c>
      <c r="C91" t="s">
        <v>84</v>
      </c>
      <c r="D91" t="s">
        <v>85</v>
      </c>
      <c r="E91">
        <v>1820</v>
      </c>
      <c r="F91" s="1">
        <v>87307.585811422687</v>
      </c>
      <c r="G91">
        <f>(E90+E91)/2</f>
        <v>1815</v>
      </c>
      <c r="H91">
        <f>(LN(F91/F90)/(E91-E90))*100</f>
        <v>0.22818644279593556</v>
      </c>
    </row>
    <row r="92" spans="1:8" x14ac:dyDescent="0.2">
      <c r="A92">
        <v>1863</v>
      </c>
      <c r="B92">
        <v>207000</v>
      </c>
      <c r="C92" t="s">
        <v>86</v>
      </c>
      <c r="D92" t="s">
        <v>83</v>
      </c>
      <c r="E92">
        <v>1830</v>
      </c>
      <c r="F92" s="1">
        <v>91544.105826916755</v>
      </c>
      <c r="G92">
        <f t="shared" ref="G92:G124" si="4">(E91+E92)/2</f>
        <v>1825</v>
      </c>
      <c r="H92">
        <f t="shared" ref="H92:H124" si="5">(LN(F92/F91)/(E92-E91))*100</f>
        <v>0.47383534365008578</v>
      </c>
    </row>
    <row r="93" spans="1:8" x14ac:dyDescent="0.2">
      <c r="A93">
        <v>1871</v>
      </c>
      <c r="B93">
        <v>150000</v>
      </c>
      <c r="C93" t="s">
        <v>87</v>
      </c>
      <c r="D93" t="s">
        <v>83</v>
      </c>
      <c r="E93">
        <v>1840</v>
      </c>
      <c r="F93" s="1">
        <v>115008.64849421887</v>
      </c>
      <c r="G93">
        <f t="shared" si="4"/>
        <v>1835</v>
      </c>
      <c r="H93">
        <f t="shared" si="5"/>
        <v>2.2818644279593499</v>
      </c>
    </row>
    <row r="94" spans="1:8" x14ac:dyDescent="0.2">
      <c r="A94">
        <v>1887</v>
      </c>
      <c r="B94">
        <v>382312</v>
      </c>
      <c r="C94" t="s">
        <v>86</v>
      </c>
      <c r="D94" t="s">
        <v>83</v>
      </c>
      <c r="E94">
        <v>1850</v>
      </c>
      <c r="F94" s="1">
        <v>147385.47742924336</v>
      </c>
      <c r="G94">
        <f t="shared" si="4"/>
        <v>1845</v>
      </c>
      <c r="H94">
        <f t="shared" si="5"/>
        <v>2.4804412016486581</v>
      </c>
    </row>
    <row r="95" spans="1:8" x14ac:dyDescent="0.2">
      <c r="A95">
        <v>1898</v>
      </c>
      <c r="B95">
        <v>486000</v>
      </c>
      <c r="C95" t="s">
        <v>34</v>
      </c>
      <c r="D95" t="s">
        <v>83</v>
      </c>
      <c r="E95">
        <v>1860</v>
      </c>
      <c r="F95" s="1">
        <v>191393.97917193366</v>
      </c>
      <c r="G95">
        <f t="shared" si="4"/>
        <v>1855</v>
      </c>
      <c r="H95">
        <f t="shared" si="5"/>
        <v>2.612825717441535</v>
      </c>
    </row>
    <row r="96" spans="1:8" x14ac:dyDescent="0.2">
      <c r="A96">
        <v>1908</v>
      </c>
      <c r="B96">
        <v>638000</v>
      </c>
      <c r="C96" t="s">
        <v>34</v>
      </c>
      <c r="D96" t="s">
        <v>85</v>
      </c>
      <c r="E96">
        <v>1870</v>
      </c>
      <c r="F96" s="1">
        <v>156162.28133118371</v>
      </c>
      <c r="G96">
        <f t="shared" si="4"/>
        <v>1865</v>
      </c>
      <c r="H96">
        <f t="shared" si="5"/>
        <v>-2.034382902497283</v>
      </c>
    </row>
    <row r="97" spans="1:8" x14ac:dyDescent="0.2">
      <c r="A97">
        <v>1910</v>
      </c>
      <c r="B97">
        <v>612868</v>
      </c>
      <c r="C97" t="s">
        <v>34</v>
      </c>
      <c r="D97" t="s">
        <v>88</v>
      </c>
      <c r="E97">
        <v>1880</v>
      </c>
      <c r="F97" s="1">
        <v>253892.58149703738</v>
      </c>
      <c r="G97">
        <f t="shared" si="4"/>
        <v>1875</v>
      </c>
      <c r="H97">
        <f t="shared" si="5"/>
        <v>4.8601553858356912</v>
      </c>
    </row>
    <row r="98" spans="1:8" x14ac:dyDescent="0.2">
      <c r="A98">
        <v>1920</v>
      </c>
      <c r="B98">
        <v>894665</v>
      </c>
      <c r="C98" t="s">
        <v>7</v>
      </c>
      <c r="D98" t="s">
        <v>85</v>
      </c>
      <c r="E98">
        <v>1890</v>
      </c>
      <c r="F98" s="1">
        <v>408170.02997781168</v>
      </c>
      <c r="G98">
        <f t="shared" si="4"/>
        <v>1885</v>
      </c>
      <c r="H98">
        <f t="shared" si="5"/>
        <v>4.7477255765783806</v>
      </c>
    </row>
    <row r="99" spans="1:8" x14ac:dyDescent="0.2">
      <c r="A99">
        <v>1935</v>
      </c>
      <c r="B99">
        <v>1479417</v>
      </c>
      <c r="C99" t="s">
        <v>7</v>
      </c>
      <c r="D99" t="s">
        <v>85</v>
      </c>
      <c r="E99">
        <v>1900</v>
      </c>
      <c r="F99" s="1">
        <v>513184.05155598349</v>
      </c>
      <c r="G99">
        <f t="shared" si="4"/>
        <v>1895</v>
      </c>
      <c r="H99">
        <f t="shared" si="5"/>
        <v>2.2895072805555099</v>
      </c>
    </row>
    <row r="100" spans="1:8" x14ac:dyDescent="0.2">
      <c r="A100">
        <v>1950</v>
      </c>
      <c r="B100">
        <v>2364650</v>
      </c>
      <c r="C100" t="s">
        <v>34</v>
      </c>
      <c r="D100" t="s">
        <v>1</v>
      </c>
      <c r="E100">
        <v>1910</v>
      </c>
      <c r="F100" s="1">
        <v>612868</v>
      </c>
      <c r="G100">
        <f t="shared" si="4"/>
        <v>1905</v>
      </c>
      <c r="H100">
        <f t="shared" si="5"/>
        <v>1.7751502253819225</v>
      </c>
    </row>
    <row r="101" spans="1:8" x14ac:dyDescent="0.2">
      <c r="A101">
        <v>1955</v>
      </c>
      <c r="B101">
        <v>2780598</v>
      </c>
      <c r="C101" t="s">
        <v>34</v>
      </c>
      <c r="D101" t="s">
        <v>1</v>
      </c>
      <c r="E101">
        <v>1920</v>
      </c>
      <c r="F101" s="1">
        <v>894665</v>
      </c>
      <c r="G101">
        <f t="shared" si="4"/>
        <v>1915</v>
      </c>
      <c r="H101">
        <f t="shared" si="5"/>
        <v>3.7829976820297504</v>
      </c>
    </row>
    <row r="102" spans="1:8" x14ac:dyDescent="0.2">
      <c r="A102">
        <v>1960</v>
      </c>
      <c r="B102">
        <v>3293807</v>
      </c>
      <c r="C102" t="s">
        <v>34</v>
      </c>
      <c r="D102" t="s">
        <v>1</v>
      </c>
      <c r="E102">
        <v>1930</v>
      </c>
      <c r="F102" s="1">
        <v>1251066.953474889</v>
      </c>
      <c r="G102">
        <f t="shared" si="4"/>
        <v>1925</v>
      </c>
      <c r="H102">
        <f t="shared" si="5"/>
        <v>3.3530268246818857</v>
      </c>
    </row>
    <row r="103" spans="1:8" x14ac:dyDescent="0.2">
      <c r="A103">
        <v>1965</v>
      </c>
      <c r="B103">
        <v>3878488</v>
      </c>
      <c r="C103" t="s">
        <v>34</v>
      </c>
      <c r="D103" t="s">
        <v>1</v>
      </c>
      <c r="E103">
        <v>1940</v>
      </c>
      <c r="F103" s="1">
        <v>1729747.4248422028</v>
      </c>
      <c r="G103">
        <f t="shared" si="4"/>
        <v>1935</v>
      </c>
      <c r="H103">
        <f t="shared" si="5"/>
        <v>3.2397865063344797</v>
      </c>
    </row>
    <row r="104" spans="1:8" x14ac:dyDescent="0.2">
      <c r="A104">
        <v>1970</v>
      </c>
      <c r="B104">
        <v>4502381</v>
      </c>
      <c r="C104" t="s">
        <v>34</v>
      </c>
      <c r="D104" t="s">
        <v>1</v>
      </c>
      <c r="E104">
        <v>1950</v>
      </c>
      <c r="F104">
        <v>2364650</v>
      </c>
      <c r="G104">
        <f t="shared" si="4"/>
        <v>1945</v>
      </c>
      <c r="H104">
        <f t="shared" si="5"/>
        <v>3.1265461879870697</v>
      </c>
    </row>
    <row r="105" spans="1:8" x14ac:dyDescent="0.2">
      <c r="A105">
        <v>1975</v>
      </c>
      <c r="B105">
        <v>5148908</v>
      </c>
      <c r="C105" t="s">
        <v>34</v>
      </c>
      <c r="D105" t="s">
        <v>1</v>
      </c>
      <c r="E105">
        <v>1955</v>
      </c>
      <c r="F105">
        <v>2780598</v>
      </c>
      <c r="G105">
        <f t="shared" si="4"/>
        <v>1952.5</v>
      </c>
      <c r="H105">
        <f t="shared" si="5"/>
        <v>3.2407198607019581</v>
      </c>
    </row>
    <row r="106" spans="1:8" x14ac:dyDescent="0.2">
      <c r="A106">
        <v>1980</v>
      </c>
      <c r="B106">
        <v>5807918</v>
      </c>
      <c r="C106" t="s">
        <v>34</v>
      </c>
      <c r="D106" t="s">
        <v>1</v>
      </c>
      <c r="E106">
        <v>1960</v>
      </c>
      <c r="F106" s="1">
        <v>3293807</v>
      </c>
      <c r="G106">
        <f t="shared" si="4"/>
        <v>1957.5</v>
      </c>
      <c r="H106">
        <f t="shared" si="5"/>
        <v>3.3875605235363713</v>
      </c>
    </row>
    <row r="107" spans="1:8" x14ac:dyDescent="0.2">
      <c r="A107">
        <v>1985</v>
      </c>
      <c r="B107">
        <v>6486524</v>
      </c>
      <c r="C107" t="s">
        <v>34</v>
      </c>
      <c r="D107" t="s">
        <v>1</v>
      </c>
      <c r="E107">
        <v>1965</v>
      </c>
      <c r="F107" s="1">
        <v>3878488</v>
      </c>
      <c r="G107">
        <f t="shared" si="4"/>
        <v>1962.5</v>
      </c>
      <c r="H107">
        <f t="shared" si="5"/>
        <v>3.2680269660745656</v>
      </c>
    </row>
    <row r="108" spans="1:8" x14ac:dyDescent="0.2">
      <c r="A108">
        <v>1990</v>
      </c>
      <c r="B108">
        <v>7179459</v>
      </c>
      <c r="C108" t="s">
        <v>34</v>
      </c>
      <c r="D108" t="s">
        <v>1</v>
      </c>
      <c r="E108">
        <v>1970</v>
      </c>
      <c r="F108">
        <v>4502381</v>
      </c>
      <c r="G108">
        <f t="shared" si="4"/>
        <v>1967.5</v>
      </c>
      <c r="H108">
        <f t="shared" si="5"/>
        <v>2.9832196198617282</v>
      </c>
    </row>
    <row r="109" spans="1:8" x14ac:dyDescent="0.2">
      <c r="A109">
        <v>1995</v>
      </c>
      <c r="B109">
        <v>7887651</v>
      </c>
      <c r="C109" t="s">
        <v>34</v>
      </c>
      <c r="D109" t="s">
        <v>1</v>
      </c>
      <c r="E109">
        <v>1975</v>
      </c>
      <c r="F109">
        <v>5148908</v>
      </c>
      <c r="G109">
        <f t="shared" si="4"/>
        <v>1972.5</v>
      </c>
      <c r="H109">
        <f t="shared" si="5"/>
        <v>2.6835657079964652</v>
      </c>
    </row>
    <row r="110" spans="1:8" x14ac:dyDescent="0.2">
      <c r="A110">
        <v>2000</v>
      </c>
      <c r="B110">
        <v>8560253</v>
      </c>
      <c r="C110" t="s">
        <v>34</v>
      </c>
      <c r="D110" t="s">
        <v>1</v>
      </c>
      <c r="E110">
        <v>1980</v>
      </c>
      <c r="F110">
        <v>5807918</v>
      </c>
      <c r="G110">
        <f t="shared" si="4"/>
        <v>1977.5</v>
      </c>
      <c r="H110">
        <f t="shared" si="5"/>
        <v>2.4087501121649426</v>
      </c>
    </row>
    <row r="111" spans="1:8" x14ac:dyDescent="0.2">
      <c r="A111">
        <v>2005</v>
      </c>
      <c r="B111">
        <v>9237045</v>
      </c>
      <c r="C111" t="s">
        <v>34</v>
      </c>
      <c r="D111" t="s">
        <v>1</v>
      </c>
      <c r="E111">
        <v>1985</v>
      </c>
      <c r="F111">
        <v>6486524</v>
      </c>
      <c r="G111">
        <f t="shared" si="4"/>
        <v>1982.5</v>
      </c>
      <c r="H111">
        <f t="shared" si="5"/>
        <v>2.2100927009769693</v>
      </c>
    </row>
    <row r="112" spans="1:8" x14ac:dyDescent="0.2">
      <c r="A112">
        <v>2010</v>
      </c>
      <c r="B112">
        <v>9898898</v>
      </c>
      <c r="C112" t="s">
        <v>34</v>
      </c>
      <c r="D112" t="s">
        <v>1</v>
      </c>
      <c r="E112">
        <v>1990</v>
      </c>
      <c r="F112">
        <v>7179459</v>
      </c>
      <c r="G112">
        <f t="shared" si="4"/>
        <v>1987.5</v>
      </c>
      <c r="H112">
        <f t="shared" si="5"/>
        <v>2.0299447603504723</v>
      </c>
    </row>
    <row r="113" spans="1:8" x14ac:dyDescent="0.2">
      <c r="A113">
        <v>2015</v>
      </c>
      <c r="B113">
        <v>10515076</v>
      </c>
      <c r="C113" t="s">
        <v>34</v>
      </c>
      <c r="D113" t="s">
        <v>1</v>
      </c>
      <c r="E113">
        <v>1995</v>
      </c>
      <c r="F113">
        <v>7887651</v>
      </c>
      <c r="G113">
        <f t="shared" si="4"/>
        <v>1992.5</v>
      </c>
      <c r="H113">
        <f t="shared" si="5"/>
        <v>1.8814867973542808</v>
      </c>
    </row>
    <row r="114" spans="1:8" x14ac:dyDescent="0.2">
      <c r="A114">
        <v>2020</v>
      </c>
      <c r="B114">
        <v>11077298</v>
      </c>
      <c r="C114" t="s">
        <v>34</v>
      </c>
      <c r="D114" t="s">
        <v>1</v>
      </c>
      <c r="E114">
        <v>2000</v>
      </c>
      <c r="F114">
        <v>8560253</v>
      </c>
      <c r="G114">
        <f t="shared" si="4"/>
        <v>1997.5</v>
      </c>
      <c r="H114">
        <f t="shared" si="5"/>
        <v>1.6366274778406125</v>
      </c>
    </row>
    <row r="115" spans="1:8" x14ac:dyDescent="0.2">
      <c r="A115">
        <v>2025</v>
      </c>
      <c r="B115">
        <v>11584822</v>
      </c>
      <c r="C115" t="s">
        <v>34</v>
      </c>
      <c r="D115" t="s">
        <v>1</v>
      </c>
      <c r="E115">
        <v>2005</v>
      </c>
      <c r="F115">
        <v>9237045</v>
      </c>
      <c r="G115">
        <f t="shared" si="4"/>
        <v>2002.5</v>
      </c>
      <c r="H115">
        <f t="shared" si="5"/>
        <v>1.5218456703711183</v>
      </c>
    </row>
    <row r="116" spans="1:8" x14ac:dyDescent="0.2">
      <c r="A116">
        <v>2030</v>
      </c>
      <c r="B116">
        <v>12038753</v>
      </c>
      <c r="C116" t="s">
        <v>34</v>
      </c>
      <c r="D116" t="s">
        <v>1</v>
      </c>
      <c r="E116">
        <v>2010</v>
      </c>
      <c r="F116">
        <v>9898898</v>
      </c>
      <c r="G116">
        <f t="shared" si="4"/>
        <v>2007.5</v>
      </c>
      <c r="H116">
        <f t="shared" si="5"/>
        <v>1.3840281700652755</v>
      </c>
    </row>
    <row r="117" spans="1:8" x14ac:dyDescent="0.2">
      <c r="A117">
        <v>2035</v>
      </c>
      <c r="B117">
        <v>12435917</v>
      </c>
      <c r="C117" t="s">
        <v>34</v>
      </c>
      <c r="D117" t="s">
        <v>1</v>
      </c>
      <c r="E117">
        <v>2015</v>
      </c>
      <c r="F117">
        <v>10515076</v>
      </c>
      <c r="G117">
        <f t="shared" si="4"/>
        <v>2012.5</v>
      </c>
      <c r="H117">
        <f t="shared" si="5"/>
        <v>1.2077319816986163</v>
      </c>
    </row>
    <row r="118" spans="1:8" x14ac:dyDescent="0.2">
      <c r="A118">
        <v>2040</v>
      </c>
      <c r="B118">
        <v>12769486</v>
      </c>
      <c r="C118" t="s">
        <v>34</v>
      </c>
      <c r="D118" t="s">
        <v>1</v>
      </c>
      <c r="E118">
        <v>2020</v>
      </c>
      <c r="F118">
        <v>11077298</v>
      </c>
      <c r="G118">
        <f t="shared" si="4"/>
        <v>2017.5</v>
      </c>
      <c r="H118">
        <f t="shared" si="5"/>
        <v>1.0417550373097249</v>
      </c>
    </row>
    <row r="119" spans="1:8" x14ac:dyDescent="0.2">
      <c r="A119">
        <v>2045</v>
      </c>
      <c r="B119">
        <v>13039024</v>
      </c>
      <c r="C119" t="s">
        <v>34</v>
      </c>
      <c r="D119" t="s">
        <v>1</v>
      </c>
      <c r="E119">
        <v>2025</v>
      </c>
      <c r="F119">
        <v>11584822</v>
      </c>
      <c r="G119">
        <f t="shared" si="4"/>
        <v>2022.5</v>
      </c>
      <c r="H119">
        <f t="shared" si="5"/>
        <v>0.8959600861338447</v>
      </c>
    </row>
    <row r="120" spans="1:8" x14ac:dyDescent="0.2">
      <c r="A120">
        <v>2050</v>
      </c>
      <c r="B120">
        <v>13243669</v>
      </c>
      <c r="C120" t="s">
        <v>34</v>
      </c>
      <c r="D120" t="s">
        <v>1</v>
      </c>
      <c r="E120">
        <v>2030</v>
      </c>
      <c r="F120">
        <v>12038753</v>
      </c>
      <c r="G120">
        <f t="shared" si="4"/>
        <v>2027.5</v>
      </c>
      <c r="H120">
        <f t="shared" si="5"/>
        <v>0.76870140035277468</v>
      </c>
    </row>
    <row r="121" spans="1:8" x14ac:dyDescent="0.2">
      <c r="E121">
        <v>2035</v>
      </c>
      <c r="F121">
        <v>12435917</v>
      </c>
      <c r="G121">
        <f t="shared" si="4"/>
        <v>2032.5</v>
      </c>
      <c r="H121">
        <f t="shared" si="5"/>
        <v>0.64915909828525709</v>
      </c>
    </row>
    <row r="122" spans="1:8" x14ac:dyDescent="0.2">
      <c r="E122">
        <v>2040</v>
      </c>
      <c r="F122">
        <v>12769486</v>
      </c>
      <c r="G122">
        <f t="shared" si="4"/>
        <v>2037.5</v>
      </c>
      <c r="H122">
        <f t="shared" si="5"/>
        <v>0.5293920128916324</v>
      </c>
    </row>
    <row r="123" spans="1:8" x14ac:dyDescent="0.2">
      <c r="E123">
        <v>2045</v>
      </c>
      <c r="F123">
        <v>13039024</v>
      </c>
      <c r="G123">
        <f t="shared" si="4"/>
        <v>2042.5</v>
      </c>
      <c r="H123">
        <f t="shared" si="5"/>
        <v>0.41776576849068459</v>
      </c>
    </row>
    <row r="124" spans="1:8" x14ac:dyDescent="0.2">
      <c r="E124">
        <v>2050</v>
      </c>
      <c r="F124">
        <v>13243669</v>
      </c>
      <c r="G124">
        <f t="shared" si="4"/>
        <v>2047.5</v>
      </c>
      <c r="H124">
        <f t="shared" si="5"/>
        <v>0.31145839703361655</v>
      </c>
    </row>
    <row r="127" spans="1:8" x14ac:dyDescent="0.2">
      <c r="B127" s="7" t="s">
        <v>89</v>
      </c>
    </row>
    <row r="128" spans="1:8" x14ac:dyDescent="0.2">
      <c r="E128" t="s">
        <v>56</v>
      </c>
    </row>
    <row r="129" spans="1:8" x14ac:dyDescent="0.2">
      <c r="A129" t="s">
        <v>2</v>
      </c>
      <c r="G129" t="s">
        <v>3</v>
      </c>
      <c r="H129" t="s">
        <v>4</v>
      </c>
    </row>
    <row r="130" spans="1:8" x14ac:dyDescent="0.2">
      <c r="A130">
        <v>1800</v>
      </c>
      <c r="B130">
        <v>155426</v>
      </c>
      <c r="C130" t="s">
        <v>90</v>
      </c>
      <c r="E130">
        <v>1800</v>
      </c>
      <c r="F130">
        <v>155426</v>
      </c>
    </row>
    <row r="131" spans="1:8" x14ac:dyDescent="0.2">
      <c r="A131">
        <v>1815</v>
      </c>
      <c r="B131">
        <v>220892</v>
      </c>
      <c r="C131" t="s">
        <v>90</v>
      </c>
      <c r="E131">
        <v>1810</v>
      </c>
      <c r="F131" s="1">
        <v>196469.23239243473</v>
      </c>
      <c r="G131">
        <f t="shared" ref="G131:G165" si="6">(E130+E131)/2</f>
        <v>1805</v>
      </c>
      <c r="H131">
        <f t="shared" ref="H131:H165" si="7">(LN(F131/F130)/(E131-E130))*100</f>
        <v>2.3433610678805614</v>
      </c>
    </row>
    <row r="132" spans="1:8" x14ac:dyDescent="0.2">
      <c r="A132">
        <v>1832</v>
      </c>
      <c r="B132">
        <v>330051</v>
      </c>
      <c r="C132" t="s">
        <v>90</v>
      </c>
      <c r="E132">
        <v>1820</v>
      </c>
      <c r="F132" s="1">
        <v>248584.71342758206</v>
      </c>
      <c r="G132">
        <f t="shared" si="6"/>
        <v>1815</v>
      </c>
      <c r="H132">
        <f t="shared" si="7"/>
        <v>2.3527784565461531</v>
      </c>
    </row>
    <row r="133" spans="1:8" x14ac:dyDescent="0.2">
      <c r="A133">
        <v>1846</v>
      </c>
      <c r="B133">
        <v>447914</v>
      </c>
      <c r="C133" t="s">
        <v>90</v>
      </c>
      <c r="E133">
        <v>1830</v>
      </c>
      <c r="F133" s="1">
        <v>330051</v>
      </c>
      <c r="G133">
        <f t="shared" si="6"/>
        <v>1825</v>
      </c>
      <c r="H133">
        <f t="shared" si="7"/>
        <v>2.8346350142540917</v>
      </c>
    </row>
    <row r="134" spans="1:8" x14ac:dyDescent="0.2">
      <c r="A134">
        <v>1860</v>
      </c>
      <c r="B134">
        <v>583308</v>
      </c>
      <c r="C134" t="s">
        <v>90</v>
      </c>
      <c r="E134">
        <v>1840</v>
      </c>
      <c r="F134" s="1">
        <v>392970.76635882002</v>
      </c>
      <c r="G134">
        <f t="shared" si="6"/>
        <v>1835</v>
      </c>
      <c r="H134">
        <f t="shared" si="7"/>
        <v>1.7448803527292369</v>
      </c>
    </row>
    <row r="135" spans="1:8" x14ac:dyDescent="0.2">
      <c r="A135">
        <v>1877</v>
      </c>
      <c r="B135">
        <v>731648</v>
      </c>
      <c r="C135" t="s">
        <v>90</v>
      </c>
      <c r="E135">
        <v>1850</v>
      </c>
      <c r="F135" s="1">
        <v>483022.10606420657</v>
      </c>
      <c r="G135">
        <f t="shared" si="6"/>
        <v>1845</v>
      </c>
      <c r="H135">
        <f t="shared" si="7"/>
        <v>2.0632719760703666</v>
      </c>
    </row>
    <row r="136" spans="1:8" x14ac:dyDescent="0.2">
      <c r="A136">
        <v>1887</v>
      </c>
      <c r="B136">
        <v>798565</v>
      </c>
      <c r="C136" t="s">
        <v>90</v>
      </c>
      <c r="E136">
        <v>1860</v>
      </c>
      <c r="F136" s="1">
        <v>583308</v>
      </c>
      <c r="G136">
        <f t="shared" si="6"/>
        <v>1855</v>
      </c>
      <c r="H136">
        <f t="shared" si="7"/>
        <v>1.8865292788086057</v>
      </c>
    </row>
    <row r="137" spans="1:8" x14ac:dyDescent="0.2">
      <c r="A137">
        <v>1899</v>
      </c>
      <c r="B137">
        <v>953243</v>
      </c>
      <c r="C137" t="s">
        <v>91</v>
      </c>
      <c r="E137">
        <v>1870</v>
      </c>
      <c r="F137" s="1">
        <v>666473.35258844984</v>
      </c>
      <c r="G137">
        <f t="shared" si="6"/>
        <v>1865</v>
      </c>
      <c r="H137">
        <f t="shared" si="7"/>
        <v>1.3328480897192028</v>
      </c>
    </row>
    <row r="138" spans="1:8" x14ac:dyDescent="0.2">
      <c r="A138">
        <v>1910</v>
      </c>
      <c r="B138">
        <v>1118012</v>
      </c>
      <c r="C138" t="s">
        <v>91</v>
      </c>
      <c r="E138">
        <v>1880</v>
      </c>
      <c r="F138" s="1">
        <v>751111.85109252564</v>
      </c>
      <c r="G138">
        <f t="shared" si="6"/>
        <v>1875</v>
      </c>
      <c r="H138">
        <f t="shared" si="7"/>
        <v>1.1955441917576772</v>
      </c>
    </row>
    <row r="139" spans="1:8" x14ac:dyDescent="0.2">
      <c r="A139">
        <v>1920</v>
      </c>
      <c r="B139">
        <v>1299809</v>
      </c>
      <c r="C139" t="s">
        <v>91</v>
      </c>
      <c r="E139">
        <v>1890</v>
      </c>
      <c r="F139" s="1">
        <v>834706.14360255422</v>
      </c>
      <c r="G139">
        <f t="shared" si="6"/>
        <v>1885</v>
      </c>
      <c r="H139">
        <f t="shared" si="7"/>
        <v>1.0552516219919408</v>
      </c>
    </row>
    <row r="140" spans="1:8" x14ac:dyDescent="0.2">
      <c r="A140">
        <v>1930</v>
      </c>
      <c r="B140">
        <v>1543913</v>
      </c>
      <c r="C140" t="s">
        <v>91</v>
      </c>
      <c r="E140">
        <v>1900</v>
      </c>
      <c r="F140" s="1">
        <v>967411.8530371628</v>
      </c>
      <c r="G140">
        <f t="shared" si="6"/>
        <v>1895</v>
      </c>
      <c r="H140">
        <f t="shared" si="7"/>
        <v>1.4754457369957299</v>
      </c>
    </row>
    <row r="141" spans="1:8" x14ac:dyDescent="0.2">
      <c r="A141">
        <v>1940</v>
      </c>
      <c r="B141">
        <v>1869255</v>
      </c>
      <c r="C141" t="s">
        <v>91</v>
      </c>
      <c r="E141">
        <v>1910</v>
      </c>
      <c r="F141">
        <v>1118012</v>
      </c>
      <c r="G141">
        <f t="shared" si="6"/>
        <v>1905</v>
      </c>
      <c r="H141">
        <f t="shared" si="7"/>
        <v>1.4468307432860654</v>
      </c>
    </row>
    <row r="142" spans="1:8" x14ac:dyDescent="0.2">
      <c r="A142">
        <v>1950</v>
      </c>
      <c r="B142">
        <v>2218000</v>
      </c>
      <c r="C142" t="s">
        <v>92</v>
      </c>
      <c r="E142">
        <v>1920</v>
      </c>
      <c r="F142">
        <v>1299809</v>
      </c>
      <c r="G142">
        <f t="shared" si="6"/>
        <v>1915</v>
      </c>
      <c r="H142">
        <f t="shared" si="7"/>
        <v>1.5066522246841711</v>
      </c>
    </row>
    <row r="143" spans="1:8" x14ac:dyDescent="0.2">
      <c r="A143">
        <v>1955</v>
      </c>
      <c r="B143">
        <v>2249995</v>
      </c>
      <c r="C143" t="s">
        <v>92</v>
      </c>
      <c r="E143">
        <v>1930</v>
      </c>
      <c r="F143">
        <v>1543913</v>
      </c>
      <c r="G143">
        <f t="shared" si="6"/>
        <v>1925</v>
      </c>
      <c r="H143">
        <f t="shared" si="7"/>
        <v>1.7210277226844963</v>
      </c>
    </row>
    <row r="144" spans="1:8" x14ac:dyDescent="0.2">
      <c r="A144">
        <v>1960</v>
      </c>
      <c r="B144">
        <v>2359797</v>
      </c>
      <c r="C144" t="s">
        <v>92</v>
      </c>
      <c r="E144">
        <v>1940</v>
      </c>
      <c r="F144">
        <v>1869255</v>
      </c>
      <c r="G144">
        <f t="shared" si="6"/>
        <v>1935</v>
      </c>
      <c r="H144">
        <f t="shared" si="7"/>
        <v>1.9121985289914545</v>
      </c>
    </row>
    <row r="145" spans="1:8" x14ac:dyDescent="0.2">
      <c r="A145">
        <v>1965</v>
      </c>
      <c r="B145">
        <v>2583003</v>
      </c>
      <c r="C145" t="s">
        <v>92</v>
      </c>
      <c r="E145">
        <v>1950</v>
      </c>
      <c r="F145">
        <v>2218000</v>
      </c>
      <c r="G145">
        <f t="shared" si="6"/>
        <v>1945</v>
      </c>
      <c r="H145">
        <f t="shared" si="7"/>
        <v>1.7106593316426479</v>
      </c>
    </row>
    <row r="146" spans="1:8" x14ac:dyDescent="0.2">
      <c r="A146">
        <v>1970</v>
      </c>
      <c r="B146">
        <v>2716299</v>
      </c>
      <c r="C146" t="s">
        <v>92</v>
      </c>
      <c r="E146">
        <v>1955</v>
      </c>
      <c r="F146">
        <v>2249995</v>
      </c>
      <c r="G146">
        <f t="shared" si="6"/>
        <v>1952.5</v>
      </c>
      <c r="H146">
        <f t="shared" si="7"/>
        <v>0.28644210126924041</v>
      </c>
    </row>
    <row r="147" spans="1:8" x14ac:dyDescent="0.2">
      <c r="A147">
        <v>1975</v>
      </c>
      <c r="B147">
        <v>2938800</v>
      </c>
      <c r="C147" t="s">
        <v>92</v>
      </c>
      <c r="E147">
        <v>1960</v>
      </c>
      <c r="F147">
        <v>2359797</v>
      </c>
      <c r="G147">
        <f t="shared" si="6"/>
        <v>1957.5</v>
      </c>
      <c r="H147">
        <f t="shared" si="7"/>
        <v>0.95295208794117692</v>
      </c>
    </row>
    <row r="148" spans="1:8" x14ac:dyDescent="0.2">
      <c r="A148">
        <v>1980</v>
      </c>
      <c r="B148">
        <v>3196520</v>
      </c>
      <c r="C148" t="s">
        <v>92</v>
      </c>
      <c r="E148">
        <v>1965</v>
      </c>
      <c r="F148">
        <v>2583003</v>
      </c>
      <c r="G148">
        <f t="shared" si="6"/>
        <v>1962.5</v>
      </c>
      <c r="H148">
        <f t="shared" si="7"/>
        <v>1.8075415432903703</v>
      </c>
    </row>
    <row r="149" spans="1:8" x14ac:dyDescent="0.2">
      <c r="A149">
        <v>1985</v>
      </c>
      <c r="B149">
        <v>3378125</v>
      </c>
      <c r="C149" t="s">
        <v>92</v>
      </c>
      <c r="E149">
        <v>1970</v>
      </c>
      <c r="F149">
        <v>2716299</v>
      </c>
      <c r="G149">
        <f t="shared" si="6"/>
        <v>1967.5</v>
      </c>
      <c r="H149">
        <f t="shared" si="7"/>
        <v>1.0063523289839684</v>
      </c>
    </row>
    <row r="150" spans="1:8" x14ac:dyDescent="0.2">
      <c r="A150">
        <v>1990</v>
      </c>
      <c r="B150">
        <v>3527796</v>
      </c>
      <c r="C150" t="s">
        <v>92</v>
      </c>
      <c r="E150">
        <v>1975</v>
      </c>
      <c r="F150">
        <v>2938800</v>
      </c>
      <c r="G150">
        <f t="shared" si="6"/>
        <v>1972.5</v>
      </c>
      <c r="H150">
        <f t="shared" si="7"/>
        <v>1.5746208552314394</v>
      </c>
    </row>
    <row r="151" spans="1:8" x14ac:dyDescent="0.2">
      <c r="A151">
        <v>1995</v>
      </c>
      <c r="B151">
        <v>3683462</v>
      </c>
      <c r="C151" t="s">
        <v>92</v>
      </c>
      <c r="E151">
        <v>1980</v>
      </c>
      <c r="F151">
        <v>3196520</v>
      </c>
      <c r="G151">
        <f t="shared" si="6"/>
        <v>1977.5</v>
      </c>
      <c r="H151">
        <f t="shared" si="7"/>
        <v>1.6812276656901528</v>
      </c>
    </row>
    <row r="152" spans="1:8" x14ac:dyDescent="0.2">
      <c r="A152">
        <v>2000</v>
      </c>
      <c r="B152">
        <v>3815739</v>
      </c>
      <c r="C152" t="s">
        <v>92</v>
      </c>
      <c r="E152">
        <v>1985</v>
      </c>
      <c r="F152" s="1">
        <v>3378125</v>
      </c>
      <c r="G152">
        <f t="shared" si="6"/>
        <v>1982.5</v>
      </c>
      <c r="H152">
        <f t="shared" si="7"/>
        <v>1.1051620759388596</v>
      </c>
    </row>
    <row r="153" spans="1:8" x14ac:dyDescent="0.2">
      <c r="A153">
        <v>2005</v>
      </c>
      <c r="B153">
        <v>3915379</v>
      </c>
      <c r="C153" t="s">
        <v>92</v>
      </c>
      <c r="E153">
        <v>1990</v>
      </c>
      <c r="F153" s="1">
        <v>3527796</v>
      </c>
      <c r="G153">
        <f t="shared" si="6"/>
        <v>1987.5</v>
      </c>
      <c r="H153">
        <f t="shared" si="7"/>
        <v>0.86704982996071256</v>
      </c>
    </row>
    <row r="154" spans="1:8" x14ac:dyDescent="0.2">
      <c r="A154">
        <v>2010</v>
      </c>
      <c r="B154">
        <v>3990199</v>
      </c>
      <c r="C154" t="s">
        <v>92</v>
      </c>
      <c r="E154">
        <v>1995</v>
      </c>
      <c r="F154" s="1">
        <v>3683462</v>
      </c>
      <c r="G154">
        <f t="shared" si="6"/>
        <v>1992.5</v>
      </c>
      <c r="H154">
        <f t="shared" si="7"/>
        <v>0.86359514937529547</v>
      </c>
    </row>
    <row r="155" spans="1:8" x14ac:dyDescent="0.2">
      <c r="A155">
        <v>2015</v>
      </c>
      <c r="B155">
        <v>4044135</v>
      </c>
      <c r="C155" t="s">
        <v>92</v>
      </c>
      <c r="E155">
        <v>2000</v>
      </c>
      <c r="F155" s="1">
        <v>3815739</v>
      </c>
      <c r="G155">
        <f t="shared" si="6"/>
        <v>1997.5</v>
      </c>
      <c r="H155">
        <f t="shared" si="7"/>
        <v>0.70562568416519911</v>
      </c>
    </row>
    <row r="156" spans="1:8" x14ac:dyDescent="0.2">
      <c r="A156">
        <v>2020</v>
      </c>
      <c r="B156">
        <v>4072803</v>
      </c>
      <c r="C156" t="s">
        <v>92</v>
      </c>
      <c r="E156">
        <v>2005</v>
      </c>
      <c r="F156" s="1">
        <v>3915379</v>
      </c>
      <c r="G156">
        <f t="shared" si="6"/>
        <v>2002.5</v>
      </c>
      <c r="H156">
        <f t="shared" si="7"/>
        <v>0.51555553777479346</v>
      </c>
    </row>
    <row r="157" spans="1:8" x14ac:dyDescent="0.2">
      <c r="A157">
        <v>2025</v>
      </c>
      <c r="B157">
        <v>4072835</v>
      </c>
      <c r="C157" t="s">
        <v>92</v>
      </c>
      <c r="E157">
        <v>2010</v>
      </c>
      <c r="F157">
        <v>3990199</v>
      </c>
      <c r="G157">
        <f t="shared" si="6"/>
        <v>2007.5</v>
      </c>
      <c r="H157">
        <f t="shared" si="7"/>
        <v>0.37857944871104177</v>
      </c>
    </row>
    <row r="158" spans="1:8" x14ac:dyDescent="0.2">
      <c r="A158">
        <v>2030</v>
      </c>
      <c r="B158">
        <v>4046390</v>
      </c>
      <c r="C158" t="s">
        <v>92</v>
      </c>
      <c r="E158">
        <v>2015</v>
      </c>
      <c r="F158">
        <v>4044135</v>
      </c>
      <c r="G158">
        <f t="shared" si="6"/>
        <v>2012.5</v>
      </c>
      <c r="H158">
        <f t="shared" si="7"/>
        <v>0.26853158091123019</v>
      </c>
    </row>
    <row r="159" spans="1:8" x14ac:dyDescent="0.2">
      <c r="A159">
        <v>2035</v>
      </c>
      <c r="B159">
        <v>3995491</v>
      </c>
      <c r="C159" t="s">
        <v>92</v>
      </c>
      <c r="E159">
        <v>2020</v>
      </c>
      <c r="F159">
        <v>4072803</v>
      </c>
      <c r="G159">
        <f t="shared" si="6"/>
        <v>2017.5</v>
      </c>
      <c r="H159">
        <f t="shared" si="7"/>
        <v>0.14127553618715266</v>
      </c>
    </row>
    <row r="160" spans="1:8" x14ac:dyDescent="0.2">
      <c r="A160">
        <v>2040</v>
      </c>
      <c r="B160">
        <v>3922268</v>
      </c>
      <c r="C160" t="s">
        <v>92</v>
      </c>
      <c r="E160">
        <v>2025</v>
      </c>
      <c r="F160">
        <v>4072835</v>
      </c>
      <c r="G160">
        <f t="shared" si="6"/>
        <v>2022.5</v>
      </c>
      <c r="H160">
        <f t="shared" si="7"/>
        <v>1.5713931800098903E-4</v>
      </c>
    </row>
    <row r="161" spans="1:8" x14ac:dyDescent="0.2">
      <c r="A161">
        <v>2045</v>
      </c>
      <c r="B161">
        <v>3830839</v>
      </c>
      <c r="C161" t="s">
        <v>92</v>
      </c>
      <c r="E161">
        <v>2030</v>
      </c>
      <c r="F161">
        <v>4046390</v>
      </c>
      <c r="G161">
        <f t="shared" si="6"/>
        <v>2027.5</v>
      </c>
      <c r="H161">
        <f t="shared" si="7"/>
        <v>-0.13028383135279969</v>
      </c>
    </row>
    <row r="162" spans="1:8" x14ac:dyDescent="0.2">
      <c r="A162">
        <v>2050</v>
      </c>
      <c r="B162">
        <v>3723098</v>
      </c>
      <c r="C162" t="s">
        <v>92</v>
      </c>
      <c r="E162">
        <v>2035</v>
      </c>
      <c r="F162">
        <v>3995491</v>
      </c>
      <c r="G162">
        <f t="shared" si="6"/>
        <v>2032.5</v>
      </c>
      <c r="H162">
        <f t="shared" si="7"/>
        <v>-0.25317300604449577</v>
      </c>
    </row>
    <row r="163" spans="1:8" x14ac:dyDescent="0.2">
      <c r="E163">
        <v>2040</v>
      </c>
      <c r="F163">
        <v>3922268</v>
      </c>
      <c r="G163">
        <f t="shared" si="6"/>
        <v>2037.5</v>
      </c>
      <c r="H163">
        <f t="shared" si="7"/>
        <v>-0.36992834745438119</v>
      </c>
    </row>
    <row r="164" spans="1:8" x14ac:dyDescent="0.2">
      <c r="E164">
        <v>2045</v>
      </c>
      <c r="F164">
        <v>3830839</v>
      </c>
      <c r="G164">
        <f t="shared" si="6"/>
        <v>2042.5</v>
      </c>
      <c r="H164">
        <f t="shared" si="7"/>
        <v>-0.47172437336798817</v>
      </c>
    </row>
    <row r="165" spans="1:8" x14ac:dyDescent="0.2">
      <c r="E165">
        <v>2050</v>
      </c>
      <c r="F165">
        <v>3723098</v>
      </c>
      <c r="G165">
        <f t="shared" si="6"/>
        <v>2047.5</v>
      </c>
      <c r="H165">
        <f t="shared" si="7"/>
        <v>-0.57055443705148789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L251"/>
  <sheetViews>
    <sheetView topLeftCell="A228" workbookViewId="0">
      <selection activeCell="N16" sqref="N16"/>
    </sheetView>
  </sheetViews>
  <sheetFormatPr baseColWidth="10" defaultColWidth="8.83203125" defaultRowHeight="15" x14ac:dyDescent="0.2"/>
  <cols>
    <col min="4" max="4" width="19.33203125" customWidth="1"/>
  </cols>
  <sheetData>
    <row r="3" spans="1:9" x14ac:dyDescent="0.2">
      <c r="B3" s="7" t="s">
        <v>93</v>
      </c>
    </row>
    <row r="5" spans="1:9" x14ac:dyDescent="0.2">
      <c r="E5" t="s">
        <v>56</v>
      </c>
    </row>
    <row r="6" spans="1:9" x14ac:dyDescent="0.2">
      <c r="A6" t="s">
        <v>2</v>
      </c>
      <c r="F6" s="1"/>
      <c r="H6" t="s">
        <v>3</v>
      </c>
      <c r="I6" t="s">
        <v>9</v>
      </c>
    </row>
    <row r="7" spans="1:9" x14ac:dyDescent="0.2">
      <c r="A7">
        <v>1800</v>
      </c>
      <c r="B7">
        <v>780000</v>
      </c>
      <c r="C7" t="s">
        <v>34</v>
      </c>
      <c r="D7" t="s">
        <v>94</v>
      </c>
      <c r="F7" s="1">
        <v>1800</v>
      </c>
      <c r="G7">
        <v>780000</v>
      </c>
    </row>
    <row r="8" spans="1:9" x14ac:dyDescent="0.2">
      <c r="A8">
        <v>1810</v>
      </c>
      <c r="B8">
        <v>800000</v>
      </c>
      <c r="C8" t="s">
        <v>34</v>
      </c>
      <c r="D8" t="s">
        <v>94</v>
      </c>
      <c r="F8" s="1">
        <v>1810</v>
      </c>
      <c r="G8">
        <v>800000</v>
      </c>
      <c r="H8">
        <f>(F7+F8)/2</f>
        <v>1805</v>
      </c>
      <c r="I8">
        <f>(LN(G8/G7)/(F8-F7))*100</f>
        <v>0.25317807984289786</v>
      </c>
    </row>
    <row r="9" spans="1:9" x14ac:dyDescent="0.2">
      <c r="A9">
        <v>1822</v>
      </c>
      <c r="B9">
        <v>767100</v>
      </c>
      <c r="C9" t="s">
        <v>34</v>
      </c>
      <c r="D9" t="s">
        <v>95</v>
      </c>
      <c r="F9" s="1">
        <v>1820</v>
      </c>
      <c r="G9" s="1">
        <v>772487.83706558566</v>
      </c>
      <c r="H9">
        <f t="shared" ref="H9:H42" si="0">(F8+F9)/2</f>
        <v>1815</v>
      </c>
      <c r="I9">
        <f t="shared" ref="I9:I42" si="1">(LN(G9/G8)/(F9-F8))*100</f>
        <v>-0.34995463918897235</v>
      </c>
    </row>
    <row r="10" spans="1:9" x14ac:dyDescent="0.2">
      <c r="A10">
        <v>1825</v>
      </c>
      <c r="B10">
        <v>701633</v>
      </c>
      <c r="C10" t="s">
        <v>34</v>
      </c>
      <c r="D10" t="s">
        <v>96</v>
      </c>
      <c r="F10" s="1">
        <v>1830</v>
      </c>
      <c r="G10" s="1">
        <v>780465.07266423933</v>
      </c>
      <c r="H10">
        <f t="shared" si="0"/>
        <v>1825</v>
      </c>
      <c r="I10">
        <f t="shared" si="1"/>
        <v>0.10273725255422415</v>
      </c>
    </row>
    <row r="11" spans="1:9" x14ac:dyDescent="0.2">
      <c r="A11">
        <v>1839</v>
      </c>
      <c r="B11">
        <v>945348</v>
      </c>
      <c r="C11" t="s">
        <v>34</v>
      </c>
      <c r="D11" t="s">
        <v>96</v>
      </c>
      <c r="F11" s="1">
        <v>1840</v>
      </c>
      <c r="G11" s="1">
        <v>980662.26581833302</v>
      </c>
      <c r="H11">
        <f t="shared" si="0"/>
        <v>1835</v>
      </c>
      <c r="I11">
        <f t="shared" si="1"/>
        <v>2.2833813586998146</v>
      </c>
    </row>
    <row r="12" spans="1:9" x14ac:dyDescent="0.2">
      <c r="A12">
        <v>1847</v>
      </c>
      <c r="B12">
        <v>1267692</v>
      </c>
      <c r="C12" t="s">
        <v>34</v>
      </c>
      <c r="D12" t="s">
        <v>94</v>
      </c>
      <c r="F12" s="1">
        <v>1850</v>
      </c>
      <c r="G12">
        <v>1375000</v>
      </c>
      <c r="H12">
        <f t="shared" si="0"/>
        <v>1845</v>
      </c>
      <c r="I12">
        <f t="shared" si="1"/>
        <v>3.3798088522623768</v>
      </c>
    </row>
    <row r="13" spans="1:9" x14ac:dyDescent="0.2">
      <c r="A13">
        <v>1850</v>
      </c>
      <c r="B13">
        <v>1375000</v>
      </c>
      <c r="C13" t="s">
        <v>34</v>
      </c>
      <c r="D13" t="s">
        <v>94</v>
      </c>
      <c r="F13" s="1">
        <v>1860</v>
      </c>
      <c r="G13">
        <v>1499604.6051857742</v>
      </c>
      <c r="H13">
        <f t="shared" si="0"/>
        <v>1855</v>
      </c>
      <c r="I13">
        <f t="shared" si="1"/>
        <v>0.86747745699137424</v>
      </c>
    </row>
    <row r="14" spans="1:9" x14ac:dyDescent="0.2">
      <c r="A14">
        <v>1875</v>
      </c>
      <c r="B14">
        <v>1708000</v>
      </c>
      <c r="C14" t="s">
        <v>34</v>
      </c>
      <c r="D14" t="s">
        <v>97</v>
      </c>
      <c r="F14" s="1">
        <v>1870</v>
      </c>
      <c r="G14">
        <v>1635501.0704686409</v>
      </c>
      <c r="H14">
        <f t="shared" si="0"/>
        <v>1865</v>
      </c>
      <c r="I14">
        <f t="shared" si="1"/>
        <v>0.86747745699137213</v>
      </c>
    </row>
    <row r="15" spans="1:9" x14ac:dyDescent="0.2">
      <c r="A15">
        <v>1885</v>
      </c>
      <c r="B15">
        <v>1890000</v>
      </c>
      <c r="C15" t="s">
        <v>34</v>
      </c>
      <c r="D15" t="s">
        <v>97</v>
      </c>
      <c r="F15" s="1">
        <v>1880</v>
      </c>
      <c r="G15">
        <v>1796696.9694414246</v>
      </c>
      <c r="H15">
        <f t="shared" si="0"/>
        <v>1875</v>
      </c>
      <c r="I15">
        <f t="shared" si="1"/>
        <v>0.94000739702155023</v>
      </c>
    </row>
    <row r="16" spans="1:9" x14ac:dyDescent="0.2">
      <c r="A16">
        <v>1890</v>
      </c>
      <c r="B16">
        <v>1942800</v>
      </c>
      <c r="C16" t="s">
        <v>34</v>
      </c>
      <c r="D16" t="s">
        <v>97</v>
      </c>
      <c r="F16" s="1">
        <v>1890</v>
      </c>
      <c r="G16">
        <v>1942800</v>
      </c>
      <c r="H16">
        <f t="shared" si="0"/>
        <v>1885</v>
      </c>
      <c r="I16">
        <f>(LN(G16/G15)/(F16-F15))*100</f>
        <v>0.78180269270488267</v>
      </c>
    </row>
    <row r="17" spans="1:9" x14ac:dyDescent="0.2">
      <c r="A17">
        <v>1895</v>
      </c>
      <c r="B17">
        <v>2049600</v>
      </c>
      <c r="C17" t="s">
        <v>34</v>
      </c>
      <c r="D17" t="s">
        <v>97</v>
      </c>
      <c r="F17" s="1">
        <v>1900</v>
      </c>
      <c r="G17">
        <v>2183600</v>
      </c>
      <c r="H17">
        <f t="shared" si="0"/>
        <v>1895</v>
      </c>
      <c r="I17">
        <f t="shared" si="1"/>
        <v>1.1684465943601279</v>
      </c>
    </row>
    <row r="18" spans="1:9" x14ac:dyDescent="0.2">
      <c r="A18">
        <v>1900</v>
      </c>
      <c r="B18" s="1">
        <v>2183600</v>
      </c>
      <c r="C18" t="s">
        <v>34</v>
      </c>
      <c r="D18" t="s">
        <v>97</v>
      </c>
      <c r="F18" s="1">
        <v>1910</v>
      </c>
      <c r="G18">
        <v>2473600</v>
      </c>
      <c r="H18">
        <f t="shared" si="0"/>
        <v>1905</v>
      </c>
      <c r="I18">
        <f t="shared" si="1"/>
        <v>1.2469968848550017</v>
      </c>
    </row>
    <row r="19" spans="1:9" x14ac:dyDescent="0.2">
      <c r="A19">
        <v>1905</v>
      </c>
      <c r="B19" s="1">
        <v>2315600</v>
      </c>
      <c r="C19" t="s">
        <v>34</v>
      </c>
      <c r="D19" t="s">
        <v>97</v>
      </c>
      <c r="F19" s="1">
        <v>1920</v>
      </c>
      <c r="G19">
        <v>2826600</v>
      </c>
      <c r="H19">
        <f t="shared" si="0"/>
        <v>1915</v>
      </c>
      <c r="I19">
        <f t="shared" si="1"/>
        <v>1.3339999654094756</v>
      </c>
    </row>
    <row r="20" spans="1:9" x14ac:dyDescent="0.2">
      <c r="A20">
        <v>1910</v>
      </c>
      <c r="B20" s="1">
        <v>2473600</v>
      </c>
      <c r="C20" t="s">
        <v>34</v>
      </c>
      <c r="D20" t="s">
        <v>97</v>
      </c>
      <c r="F20" s="1">
        <v>1930</v>
      </c>
      <c r="G20">
        <v>3325600</v>
      </c>
      <c r="H20">
        <f t="shared" si="0"/>
        <v>1925</v>
      </c>
      <c r="I20">
        <f t="shared" si="1"/>
        <v>1.625755330043773</v>
      </c>
    </row>
    <row r="21" spans="1:9" x14ac:dyDescent="0.2">
      <c r="A21">
        <v>1915</v>
      </c>
      <c r="B21">
        <v>2673600</v>
      </c>
      <c r="C21" t="s">
        <v>34</v>
      </c>
      <c r="D21" t="s">
        <v>97</v>
      </c>
      <c r="F21">
        <v>1940</v>
      </c>
      <c r="G21">
        <v>3974600</v>
      </c>
      <c r="H21">
        <f t="shared" si="0"/>
        <v>1935</v>
      </c>
      <c r="I21">
        <f t="shared" si="1"/>
        <v>1.7827400515575642</v>
      </c>
    </row>
    <row r="22" spans="1:9" x14ac:dyDescent="0.2">
      <c r="A22">
        <v>1920</v>
      </c>
      <c r="B22">
        <v>2826600</v>
      </c>
      <c r="C22" t="s">
        <v>34</v>
      </c>
      <c r="D22" t="s">
        <v>97</v>
      </c>
      <c r="F22">
        <v>1950</v>
      </c>
      <c r="G22">
        <v>5093708</v>
      </c>
      <c r="H22">
        <f t="shared" si="0"/>
        <v>1945</v>
      </c>
      <c r="I22">
        <f t="shared" si="1"/>
        <v>2.4808193846222228</v>
      </c>
    </row>
    <row r="23" spans="1:9" x14ac:dyDescent="0.2">
      <c r="A23">
        <v>1925</v>
      </c>
      <c r="B23">
        <v>3037600</v>
      </c>
      <c r="C23" t="s">
        <v>34</v>
      </c>
      <c r="D23" t="s">
        <v>97</v>
      </c>
      <c r="F23">
        <v>1955</v>
      </c>
      <c r="G23">
        <v>6229557</v>
      </c>
      <c r="H23">
        <f t="shared" si="0"/>
        <v>1952.5</v>
      </c>
      <c r="I23">
        <f t="shared" si="1"/>
        <v>4.0259834030537993</v>
      </c>
    </row>
    <row r="24" spans="1:9" x14ac:dyDescent="0.2">
      <c r="A24">
        <v>1930</v>
      </c>
      <c r="B24">
        <v>3325600</v>
      </c>
      <c r="C24" t="s">
        <v>34</v>
      </c>
      <c r="D24" t="s">
        <v>97</v>
      </c>
      <c r="F24">
        <v>1960</v>
      </c>
      <c r="G24">
        <v>7578987</v>
      </c>
      <c r="H24">
        <f t="shared" si="0"/>
        <v>1957.5</v>
      </c>
      <c r="I24">
        <f t="shared" si="1"/>
        <v>3.9214865367119116</v>
      </c>
    </row>
    <row r="25" spans="1:9" x14ac:dyDescent="0.2">
      <c r="A25">
        <v>1935</v>
      </c>
      <c r="B25">
        <v>3618600</v>
      </c>
      <c r="C25" t="s">
        <v>34</v>
      </c>
      <c r="D25" t="s">
        <v>97</v>
      </c>
      <c r="F25">
        <v>1965</v>
      </c>
      <c r="G25">
        <v>9093699</v>
      </c>
      <c r="H25">
        <f t="shared" si="0"/>
        <v>1962.5</v>
      </c>
      <c r="I25">
        <f t="shared" si="1"/>
        <v>3.6440441309212463</v>
      </c>
    </row>
    <row r="26" spans="1:9" x14ac:dyDescent="0.2">
      <c r="A26">
        <v>1940</v>
      </c>
      <c r="B26">
        <v>3974600</v>
      </c>
      <c r="C26" t="s">
        <v>34</v>
      </c>
      <c r="D26" t="s">
        <v>97</v>
      </c>
      <c r="F26">
        <v>1970</v>
      </c>
      <c r="G26">
        <v>10721268</v>
      </c>
      <c r="H26">
        <f t="shared" si="0"/>
        <v>1967.5</v>
      </c>
      <c r="I26">
        <f t="shared" si="1"/>
        <v>3.2929535224235447</v>
      </c>
    </row>
    <row r="27" spans="1:9" x14ac:dyDescent="0.2">
      <c r="A27">
        <v>1945</v>
      </c>
      <c r="B27">
        <v>4415600</v>
      </c>
      <c r="C27" t="s">
        <v>34</v>
      </c>
      <c r="D27" t="s">
        <v>97</v>
      </c>
      <c r="F27">
        <v>1975</v>
      </c>
      <c r="G27">
        <v>12734554</v>
      </c>
      <c r="H27">
        <f t="shared" si="0"/>
        <v>1972.5</v>
      </c>
      <c r="I27">
        <f t="shared" si="1"/>
        <v>3.4417930798864718</v>
      </c>
    </row>
    <row r="28" spans="1:9" x14ac:dyDescent="0.2">
      <c r="A28">
        <v>1950</v>
      </c>
      <c r="B28">
        <v>5093708</v>
      </c>
      <c r="C28" t="s">
        <v>34</v>
      </c>
      <c r="D28" t="s">
        <v>1</v>
      </c>
      <c r="F28">
        <v>1980</v>
      </c>
      <c r="G28">
        <v>15091346</v>
      </c>
      <c r="H28">
        <f t="shared" si="0"/>
        <v>1977.5</v>
      </c>
      <c r="I28">
        <f t="shared" si="1"/>
        <v>3.3960476144437659</v>
      </c>
    </row>
    <row r="29" spans="1:9" x14ac:dyDescent="0.2">
      <c r="A29">
        <v>1955</v>
      </c>
      <c r="B29">
        <v>6229557</v>
      </c>
      <c r="C29" t="s">
        <v>34</v>
      </c>
      <c r="D29" t="s">
        <v>1</v>
      </c>
      <c r="F29">
        <v>1985</v>
      </c>
      <c r="G29">
        <v>17317174</v>
      </c>
      <c r="H29">
        <f t="shared" si="0"/>
        <v>1982.5</v>
      </c>
      <c r="I29">
        <f t="shared" si="1"/>
        <v>2.7515451780601499</v>
      </c>
    </row>
    <row r="30" spans="1:9" x14ac:dyDescent="0.2">
      <c r="A30">
        <v>1960</v>
      </c>
      <c r="B30">
        <v>7578987</v>
      </c>
      <c r="C30" t="s">
        <v>34</v>
      </c>
      <c r="D30" t="s">
        <v>1</v>
      </c>
      <c r="F30">
        <v>1990</v>
      </c>
      <c r="G30">
        <v>19730827</v>
      </c>
      <c r="H30">
        <f t="shared" si="0"/>
        <v>1987.5</v>
      </c>
      <c r="I30">
        <f t="shared" si="1"/>
        <v>2.6096701834186238</v>
      </c>
    </row>
    <row r="31" spans="1:9" x14ac:dyDescent="0.2">
      <c r="A31">
        <v>1965</v>
      </c>
      <c r="B31">
        <v>9093699</v>
      </c>
      <c r="C31" t="s">
        <v>34</v>
      </c>
      <c r="D31" t="s">
        <v>1</v>
      </c>
      <c r="F31">
        <v>1995</v>
      </c>
      <c r="G31">
        <v>22078264</v>
      </c>
      <c r="H31">
        <f t="shared" si="0"/>
        <v>1992.5</v>
      </c>
      <c r="I31">
        <f t="shared" si="1"/>
        <v>2.2482272021855803</v>
      </c>
    </row>
    <row r="32" spans="1:9" x14ac:dyDescent="0.2">
      <c r="A32">
        <v>1970</v>
      </c>
      <c r="B32">
        <v>10721268</v>
      </c>
      <c r="C32" t="s">
        <v>34</v>
      </c>
      <c r="D32" t="s">
        <v>1</v>
      </c>
      <c r="F32">
        <v>2000</v>
      </c>
      <c r="G32">
        <v>24401504</v>
      </c>
      <c r="H32">
        <f t="shared" si="0"/>
        <v>1997.5</v>
      </c>
      <c r="I32">
        <f t="shared" si="1"/>
        <v>2.001023492285364</v>
      </c>
    </row>
    <row r="33" spans="1:9" x14ac:dyDescent="0.2">
      <c r="A33">
        <v>1975</v>
      </c>
      <c r="B33">
        <v>12734554</v>
      </c>
      <c r="C33" t="s">
        <v>34</v>
      </c>
      <c r="D33" t="s">
        <v>1</v>
      </c>
      <c r="F33">
        <v>2005</v>
      </c>
      <c r="G33">
        <v>26723879</v>
      </c>
      <c r="H33">
        <f t="shared" si="0"/>
        <v>2002.5</v>
      </c>
      <c r="I33">
        <f t="shared" si="1"/>
        <v>1.8182548108776735</v>
      </c>
    </row>
    <row r="34" spans="1:9" x14ac:dyDescent="0.2">
      <c r="A34">
        <v>1980</v>
      </c>
      <c r="B34">
        <v>15091346</v>
      </c>
      <c r="C34" t="s">
        <v>34</v>
      </c>
      <c r="D34" t="s">
        <v>1</v>
      </c>
      <c r="F34">
        <v>2010</v>
      </c>
      <c r="G34">
        <v>29042930</v>
      </c>
      <c r="H34">
        <f t="shared" si="0"/>
        <v>2007.5</v>
      </c>
      <c r="I34">
        <f t="shared" si="1"/>
        <v>1.6643513979226734</v>
      </c>
    </row>
    <row r="35" spans="1:9" x14ac:dyDescent="0.2">
      <c r="A35">
        <v>1985</v>
      </c>
      <c r="B35">
        <v>17317174</v>
      </c>
      <c r="C35" t="s">
        <v>34</v>
      </c>
      <c r="D35" t="s">
        <v>1</v>
      </c>
      <c r="F35">
        <v>2015</v>
      </c>
      <c r="G35">
        <v>31291416</v>
      </c>
      <c r="H35">
        <f t="shared" si="0"/>
        <v>2012.5</v>
      </c>
      <c r="I35">
        <f t="shared" si="1"/>
        <v>1.4913746109566139</v>
      </c>
    </row>
    <row r="36" spans="1:9" x14ac:dyDescent="0.2">
      <c r="A36">
        <v>1990</v>
      </c>
      <c r="B36">
        <v>19730827</v>
      </c>
      <c r="C36" t="s">
        <v>34</v>
      </c>
      <c r="D36" t="s">
        <v>1</v>
      </c>
      <c r="F36">
        <v>2020</v>
      </c>
      <c r="G36">
        <v>33412112</v>
      </c>
      <c r="H36">
        <f t="shared" si="0"/>
        <v>2017.5</v>
      </c>
      <c r="I36">
        <f t="shared" si="1"/>
        <v>1.3114931649094201</v>
      </c>
    </row>
    <row r="37" spans="1:9" x14ac:dyDescent="0.2">
      <c r="A37">
        <v>1995</v>
      </c>
      <c r="B37">
        <v>22078264</v>
      </c>
      <c r="C37" t="s">
        <v>34</v>
      </c>
      <c r="D37" t="s">
        <v>1</v>
      </c>
      <c r="F37">
        <v>2025</v>
      </c>
      <c r="G37">
        <v>35370002</v>
      </c>
      <c r="H37">
        <f t="shared" si="0"/>
        <v>2022.5</v>
      </c>
      <c r="I37">
        <f t="shared" si="1"/>
        <v>1.1389118157074203</v>
      </c>
    </row>
    <row r="38" spans="1:9" x14ac:dyDescent="0.2">
      <c r="A38">
        <v>2000</v>
      </c>
      <c r="B38">
        <v>24401504</v>
      </c>
      <c r="C38" t="s">
        <v>34</v>
      </c>
      <c r="D38" t="s">
        <v>1</v>
      </c>
      <c r="F38">
        <v>2030</v>
      </c>
      <c r="G38">
        <v>37144698</v>
      </c>
      <c r="H38">
        <f t="shared" si="0"/>
        <v>2027.5</v>
      </c>
      <c r="I38">
        <f t="shared" si="1"/>
        <v>0.97913965016122262</v>
      </c>
    </row>
    <row r="39" spans="1:9" x14ac:dyDescent="0.2">
      <c r="A39">
        <v>2005</v>
      </c>
      <c r="B39">
        <v>26723879</v>
      </c>
      <c r="C39" t="s">
        <v>34</v>
      </c>
      <c r="D39" t="s">
        <v>1</v>
      </c>
      <c r="F39">
        <v>2035</v>
      </c>
      <c r="G39">
        <v>38713013</v>
      </c>
      <c r="H39">
        <f t="shared" si="0"/>
        <v>2032.5</v>
      </c>
      <c r="I39">
        <f t="shared" si="1"/>
        <v>0.82709508949438626</v>
      </c>
    </row>
    <row r="40" spans="1:9" x14ac:dyDescent="0.2">
      <c r="A40">
        <v>2010</v>
      </c>
      <c r="B40">
        <v>29042930</v>
      </c>
      <c r="C40" t="s">
        <v>34</v>
      </c>
      <c r="D40" t="s">
        <v>1</v>
      </c>
      <c r="F40">
        <v>2040</v>
      </c>
      <c r="G40">
        <v>40050929</v>
      </c>
      <c r="H40">
        <f t="shared" si="0"/>
        <v>2037.5</v>
      </c>
      <c r="I40">
        <f t="shared" si="1"/>
        <v>0.67952145010152398</v>
      </c>
    </row>
    <row r="41" spans="1:9" x14ac:dyDescent="0.2">
      <c r="A41">
        <v>2015</v>
      </c>
      <c r="B41">
        <v>31291416</v>
      </c>
      <c r="C41" t="s">
        <v>34</v>
      </c>
      <c r="D41" t="s">
        <v>1</v>
      </c>
      <c r="F41">
        <v>2045</v>
      </c>
      <c r="G41">
        <v>41143537</v>
      </c>
      <c r="H41">
        <f t="shared" si="0"/>
        <v>2042.5</v>
      </c>
      <c r="I41">
        <f t="shared" si="1"/>
        <v>0.53829971998649007</v>
      </c>
    </row>
    <row r="42" spans="1:9" x14ac:dyDescent="0.2">
      <c r="A42">
        <v>2020</v>
      </c>
      <c r="B42">
        <v>33412112</v>
      </c>
      <c r="C42" t="s">
        <v>34</v>
      </c>
      <c r="D42" t="s">
        <v>1</v>
      </c>
      <c r="F42">
        <v>2050</v>
      </c>
      <c r="G42">
        <v>42041652</v>
      </c>
      <c r="H42">
        <f t="shared" si="0"/>
        <v>2047.5</v>
      </c>
      <c r="I42">
        <f t="shared" si="1"/>
        <v>0.43187971791362872</v>
      </c>
    </row>
    <row r="43" spans="1:9" x14ac:dyDescent="0.2">
      <c r="A43">
        <v>2025</v>
      </c>
      <c r="B43">
        <v>35370002</v>
      </c>
      <c r="C43" t="s">
        <v>34</v>
      </c>
      <c r="D43" t="s">
        <v>1</v>
      </c>
    </row>
    <row r="44" spans="1:9" x14ac:dyDescent="0.2">
      <c r="A44">
        <v>2030</v>
      </c>
      <c r="B44">
        <v>37144698</v>
      </c>
      <c r="C44" t="s">
        <v>34</v>
      </c>
      <c r="D44" t="s">
        <v>1</v>
      </c>
    </row>
    <row r="45" spans="1:9" x14ac:dyDescent="0.2">
      <c r="A45">
        <v>2035</v>
      </c>
      <c r="B45">
        <v>38713013</v>
      </c>
      <c r="C45" t="s">
        <v>34</v>
      </c>
      <c r="D45" t="s">
        <v>1</v>
      </c>
    </row>
    <row r="46" spans="1:9" x14ac:dyDescent="0.2">
      <c r="A46">
        <v>2040</v>
      </c>
      <c r="B46">
        <v>40050929</v>
      </c>
      <c r="C46" t="s">
        <v>34</v>
      </c>
      <c r="D46" t="s">
        <v>1</v>
      </c>
    </row>
    <row r="47" spans="1:9" x14ac:dyDescent="0.2">
      <c r="A47">
        <v>2045</v>
      </c>
      <c r="B47">
        <v>41143537</v>
      </c>
      <c r="C47" t="s">
        <v>34</v>
      </c>
      <c r="D47" t="s">
        <v>1</v>
      </c>
    </row>
    <row r="48" spans="1:9" x14ac:dyDescent="0.2">
      <c r="A48">
        <v>2050</v>
      </c>
      <c r="B48">
        <v>42041652</v>
      </c>
      <c r="C48" t="s">
        <v>34</v>
      </c>
      <c r="D48" t="s">
        <v>1</v>
      </c>
      <c r="F48" s="1"/>
    </row>
    <row r="49" spans="1:12" x14ac:dyDescent="0.2">
      <c r="F49" s="1"/>
    </row>
    <row r="50" spans="1:12" x14ac:dyDescent="0.2">
      <c r="B50" s="7" t="s">
        <v>98</v>
      </c>
      <c r="F50" s="1"/>
    </row>
    <row r="51" spans="1:12" x14ac:dyDescent="0.2">
      <c r="E51" t="s">
        <v>56</v>
      </c>
    </row>
    <row r="52" spans="1:12" x14ac:dyDescent="0.2">
      <c r="A52" t="s">
        <v>2</v>
      </c>
      <c r="F52" s="1"/>
      <c r="H52" t="s">
        <v>3</v>
      </c>
      <c r="I52" t="s">
        <v>9</v>
      </c>
    </row>
    <row r="53" spans="1:12" x14ac:dyDescent="0.2">
      <c r="A53">
        <v>1780</v>
      </c>
      <c r="B53">
        <v>796781</v>
      </c>
      <c r="C53" t="s">
        <v>59</v>
      </c>
      <c r="D53" t="s">
        <v>99</v>
      </c>
      <c r="E53">
        <v>1800</v>
      </c>
      <c r="F53" s="1">
        <v>1005205.0412392132</v>
      </c>
      <c r="K53" t="s">
        <v>178</v>
      </c>
      <c r="L53" t="s">
        <v>179</v>
      </c>
    </row>
    <row r="54" spans="1:12" x14ac:dyDescent="0.2">
      <c r="A54">
        <v>1825</v>
      </c>
      <c r="B54">
        <v>1344000</v>
      </c>
      <c r="C54" t="s">
        <v>29</v>
      </c>
      <c r="D54" t="s">
        <v>100</v>
      </c>
      <c r="E54">
        <v>1810</v>
      </c>
      <c r="F54" s="1">
        <v>1129048.2508487913</v>
      </c>
      <c r="G54">
        <f>(E53+E54)/2</f>
        <v>1805</v>
      </c>
      <c r="H54">
        <f>(LN(F54/F53)/(E54-E53))*100</f>
        <v>1.1618348010634176</v>
      </c>
      <c r="J54">
        <v>1780</v>
      </c>
      <c r="K54">
        <v>796781</v>
      </c>
    </row>
    <row r="55" spans="1:12" x14ac:dyDescent="0.2">
      <c r="A55">
        <v>1835</v>
      </c>
      <c r="B55">
        <v>1570859</v>
      </c>
      <c r="C55" t="s">
        <v>29</v>
      </c>
      <c r="D55" t="s">
        <v>99</v>
      </c>
      <c r="E55">
        <v>1820</v>
      </c>
      <c r="F55" s="1">
        <v>1268149.1839448081</v>
      </c>
      <c r="G55">
        <f t="shared" ref="G55:G88" si="2">(E54+E55)/2</f>
        <v>1815</v>
      </c>
      <c r="H55">
        <f t="shared" ref="H55:H88" si="3">(LN(F55/F54)/(E55-E54))*100</f>
        <v>1.1618348010634176</v>
      </c>
      <c r="J55">
        <v>1800</v>
      </c>
      <c r="L55" s="1">
        <v>1005205.0412392132</v>
      </c>
    </row>
    <row r="56" spans="1:12" x14ac:dyDescent="0.2">
      <c r="A56">
        <v>1843</v>
      </c>
      <c r="B56">
        <v>1812582</v>
      </c>
      <c r="C56" t="s">
        <v>29</v>
      </c>
      <c r="D56" t="s">
        <v>99</v>
      </c>
      <c r="E56">
        <v>1830</v>
      </c>
      <c r="F56" s="1">
        <v>1453008.7735454319</v>
      </c>
      <c r="G56">
        <f t="shared" si="2"/>
        <v>1825</v>
      </c>
      <c r="H56">
        <f t="shared" si="3"/>
        <v>1.3607792075023069</v>
      </c>
      <c r="J56">
        <v>1810</v>
      </c>
      <c r="L56" s="1">
        <v>1129048.2508487913</v>
      </c>
    </row>
    <row r="57" spans="1:12" x14ac:dyDescent="0.2">
      <c r="A57">
        <v>1851</v>
      </c>
      <c r="B57">
        <v>2105622</v>
      </c>
      <c r="C57" t="s">
        <v>29</v>
      </c>
      <c r="D57" t="s">
        <v>99</v>
      </c>
      <c r="E57">
        <v>1840</v>
      </c>
      <c r="F57" s="1">
        <v>1717858.9069913328</v>
      </c>
      <c r="G57">
        <f t="shared" si="2"/>
        <v>1835</v>
      </c>
      <c r="H57">
        <f t="shared" si="3"/>
        <v>1.6744227107678817</v>
      </c>
      <c r="J57">
        <v>1820</v>
      </c>
      <c r="L57" s="1">
        <v>1268149.1839448081</v>
      </c>
    </row>
    <row r="58" spans="1:12" x14ac:dyDescent="0.2">
      <c r="A58">
        <v>1870</v>
      </c>
      <c r="B58">
        <v>2707952</v>
      </c>
      <c r="C58" t="s">
        <v>29</v>
      </c>
      <c r="D58" t="s">
        <v>99</v>
      </c>
      <c r="E58">
        <v>1850</v>
      </c>
      <c r="F58" s="1">
        <v>2066545.9494749929</v>
      </c>
      <c r="G58">
        <f t="shared" si="2"/>
        <v>1845</v>
      </c>
      <c r="H58">
        <f t="shared" si="3"/>
        <v>1.8479989625775148</v>
      </c>
      <c r="J58">
        <v>1825</v>
      </c>
      <c r="K58">
        <v>1344000</v>
      </c>
    </row>
    <row r="59" spans="1:12" x14ac:dyDescent="0.2">
      <c r="A59">
        <v>1905</v>
      </c>
      <c r="B59">
        <v>4450000</v>
      </c>
      <c r="D59" t="s">
        <v>101</v>
      </c>
      <c r="E59">
        <v>1860</v>
      </c>
      <c r="F59" s="1">
        <v>2372113.1882186588</v>
      </c>
      <c r="G59">
        <f t="shared" si="2"/>
        <v>1855</v>
      </c>
      <c r="H59">
        <f t="shared" si="3"/>
        <v>1.3790260833772798</v>
      </c>
      <c r="J59">
        <v>1830</v>
      </c>
      <c r="L59" s="1">
        <v>1453008.7735454319</v>
      </c>
    </row>
    <row r="60" spans="1:12" x14ac:dyDescent="0.2">
      <c r="A60">
        <v>1912</v>
      </c>
      <c r="B60">
        <v>5072604</v>
      </c>
      <c r="C60" t="s">
        <v>29</v>
      </c>
      <c r="D60" t="s">
        <v>99</v>
      </c>
      <c r="E60">
        <v>1870</v>
      </c>
      <c r="F60" s="1">
        <v>2707952</v>
      </c>
      <c r="G60">
        <f t="shared" si="2"/>
        <v>1865</v>
      </c>
      <c r="H60">
        <f t="shared" si="3"/>
        <v>1.3241143116415586</v>
      </c>
      <c r="J60">
        <v>1835</v>
      </c>
      <c r="K60">
        <v>1570859</v>
      </c>
    </row>
    <row r="61" spans="1:12" x14ac:dyDescent="0.2">
      <c r="A61">
        <v>1918</v>
      </c>
      <c r="B61">
        <v>5855077</v>
      </c>
      <c r="C61" t="s">
        <v>29</v>
      </c>
      <c r="D61" t="s">
        <v>102</v>
      </c>
      <c r="E61">
        <v>1880</v>
      </c>
      <c r="F61" s="1">
        <v>3120864.9516822672</v>
      </c>
      <c r="G61">
        <f t="shared" si="2"/>
        <v>1875</v>
      </c>
      <c r="H61">
        <f t="shared" si="3"/>
        <v>1.419175618696308</v>
      </c>
      <c r="J61">
        <v>1840</v>
      </c>
      <c r="L61" s="1">
        <v>1717858.9069913328</v>
      </c>
    </row>
    <row r="62" spans="1:12" x14ac:dyDescent="0.2">
      <c r="A62">
        <v>1938</v>
      </c>
      <c r="B62">
        <v>8701816</v>
      </c>
      <c r="C62" t="s">
        <v>29</v>
      </c>
      <c r="D62" t="s">
        <v>102</v>
      </c>
      <c r="E62">
        <v>1890</v>
      </c>
      <c r="F62" s="1">
        <v>3596739.5458408268</v>
      </c>
      <c r="G62">
        <f t="shared" si="2"/>
        <v>1885</v>
      </c>
      <c r="H62">
        <f t="shared" si="3"/>
        <v>1.4191756186963065</v>
      </c>
      <c r="J62">
        <v>1843</v>
      </c>
      <c r="K62">
        <v>1812582</v>
      </c>
    </row>
    <row r="63" spans="1:12" x14ac:dyDescent="0.2">
      <c r="A63">
        <v>1950</v>
      </c>
      <c r="B63" s="1">
        <v>11999600</v>
      </c>
      <c r="C63" t="s">
        <v>34</v>
      </c>
      <c r="D63" t="s">
        <v>1</v>
      </c>
      <c r="E63">
        <v>1900</v>
      </c>
      <c r="F63" s="1">
        <v>4145176.276737635</v>
      </c>
      <c r="G63">
        <f t="shared" si="2"/>
        <v>1895</v>
      </c>
      <c r="H63">
        <f t="shared" si="3"/>
        <v>1.419175618696308</v>
      </c>
      <c r="J63">
        <v>1850</v>
      </c>
      <c r="L63" s="1">
        <v>2066545.9494749929</v>
      </c>
    </row>
    <row r="64" spans="1:12" x14ac:dyDescent="0.2">
      <c r="A64">
        <v>1955</v>
      </c>
      <c r="B64" s="1">
        <v>13827285</v>
      </c>
      <c r="C64" t="s">
        <v>34</v>
      </c>
      <c r="D64" t="s">
        <v>1</v>
      </c>
      <c r="E64">
        <v>1910</v>
      </c>
      <c r="F64" s="1">
        <v>4886322.3879376752</v>
      </c>
      <c r="G64">
        <f t="shared" si="2"/>
        <v>1905</v>
      </c>
      <c r="H64">
        <f t="shared" si="3"/>
        <v>1.6449463739210204</v>
      </c>
      <c r="J64">
        <v>1851</v>
      </c>
      <c r="K64">
        <v>2105622</v>
      </c>
    </row>
    <row r="65" spans="1:12" x14ac:dyDescent="0.2">
      <c r="A65">
        <v>1960</v>
      </c>
      <c r="B65" s="1">
        <v>16004531</v>
      </c>
      <c r="C65" t="s">
        <v>34</v>
      </c>
      <c r="D65" t="s">
        <v>1</v>
      </c>
      <c r="E65">
        <v>1920</v>
      </c>
      <c r="F65" s="1">
        <v>6091725.6969556985</v>
      </c>
      <c r="G65">
        <f t="shared" si="2"/>
        <v>1915</v>
      </c>
      <c r="H65">
        <f t="shared" si="3"/>
        <v>2.2049145462007096</v>
      </c>
      <c r="J65">
        <v>1860</v>
      </c>
      <c r="L65" s="1">
        <v>2372113.1882186588</v>
      </c>
    </row>
    <row r="66" spans="1:12" x14ac:dyDescent="0.2">
      <c r="A66">
        <v>1965</v>
      </c>
      <c r="B66" s="1">
        <v>18555659</v>
      </c>
      <c r="C66" t="s">
        <v>34</v>
      </c>
      <c r="D66" t="s">
        <v>1</v>
      </c>
      <c r="E66">
        <v>1930</v>
      </c>
      <c r="F66" s="1">
        <v>7426411.0196653036</v>
      </c>
      <c r="G66">
        <f t="shared" si="2"/>
        <v>1925</v>
      </c>
      <c r="H66">
        <f t="shared" si="3"/>
        <v>1.9811129569720254</v>
      </c>
      <c r="J66">
        <v>1870</v>
      </c>
      <c r="K66">
        <v>2707952</v>
      </c>
      <c r="L66" s="1">
        <v>2707952</v>
      </c>
    </row>
    <row r="67" spans="1:12" x14ac:dyDescent="0.2">
      <c r="A67">
        <v>1970</v>
      </c>
      <c r="B67" s="1">
        <v>21327219</v>
      </c>
      <c r="C67" t="s">
        <v>34</v>
      </c>
      <c r="D67" t="s">
        <v>1</v>
      </c>
      <c r="E67">
        <v>1940</v>
      </c>
      <c r="F67" s="1">
        <v>9180564.2593960203</v>
      </c>
      <c r="G67">
        <f t="shared" si="2"/>
        <v>1935</v>
      </c>
      <c r="H67">
        <f t="shared" si="3"/>
        <v>2.1204596595586671</v>
      </c>
      <c r="J67">
        <v>1880</v>
      </c>
      <c r="L67" s="1">
        <v>3120864.9516822672</v>
      </c>
    </row>
    <row r="68" spans="1:12" x14ac:dyDescent="0.2">
      <c r="A68">
        <v>1975</v>
      </c>
      <c r="B68" s="1">
        <v>23961538</v>
      </c>
      <c r="C68" t="s">
        <v>34</v>
      </c>
      <c r="D68" t="s">
        <v>1</v>
      </c>
      <c r="E68">
        <v>1950</v>
      </c>
      <c r="F68">
        <v>11999600</v>
      </c>
      <c r="G68">
        <f t="shared" si="2"/>
        <v>1945</v>
      </c>
      <c r="H68">
        <f t="shared" si="3"/>
        <v>2.6778464699052344</v>
      </c>
      <c r="J68">
        <v>1890</v>
      </c>
      <c r="L68" s="1">
        <v>3596739.5458408268</v>
      </c>
    </row>
    <row r="69" spans="1:12" x14ac:dyDescent="0.2">
      <c r="A69">
        <v>1980</v>
      </c>
      <c r="B69" s="1">
        <v>26881396</v>
      </c>
      <c r="C69" t="s">
        <v>34</v>
      </c>
      <c r="D69" t="s">
        <v>1</v>
      </c>
      <c r="E69">
        <v>1955</v>
      </c>
      <c r="F69">
        <v>13827285</v>
      </c>
      <c r="G69">
        <f t="shared" si="2"/>
        <v>1952.5</v>
      </c>
      <c r="H69">
        <f t="shared" si="3"/>
        <v>2.8354099628269616</v>
      </c>
      <c r="J69">
        <v>1900</v>
      </c>
      <c r="L69" s="1">
        <v>4145176.276737635</v>
      </c>
    </row>
    <row r="70" spans="1:12" x14ac:dyDescent="0.2">
      <c r="A70">
        <v>1985</v>
      </c>
      <c r="B70" s="1">
        <v>29983778</v>
      </c>
      <c r="C70" t="s">
        <v>34</v>
      </c>
      <c r="D70" t="s">
        <v>1</v>
      </c>
      <c r="E70">
        <v>1960</v>
      </c>
      <c r="F70">
        <v>16004531</v>
      </c>
      <c r="G70">
        <f t="shared" si="2"/>
        <v>1957.5</v>
      </c>
      <c r="H70">
        <f t="shared" si="3"/>
        <v>2.9245611121864465</v>
      </c>
      <c r="J70">
        <v>1905</v>
      </c>
      <c r="K70">
        <v>4450000</v>
      </c>
    </row>
    <row r="71" spans="1:12" x14ac:dyDescent="0.2">
      <c r="A71">
        <v>1990</v>
      </c>
      <c r="B71" s="1">
        <v>33186211</v>
      </c>
      <c r="C71" t="s">
        <v>34</v>
      </c>
      <c r="D71" t="s">
        <v>1</v>
      </c>
      <c r="E71">
        <v>1965</v>
      </c>
      <c r="F71">
        <v>18555659</v>
      </c>
      <c r="G71">
        <f t="shared" si="2"/>
        <v>1962.5</v>
      </c>
      <c r="H71">
        <f t="shared" si="3"/>
        <v>2.9580588053105221</v>
      </c>
      <c r="J71">
        <v>1910</v>
      </c>
      <c r="L71" s="1">
        <v>4886322.3879376752</v>
      </c>
    </row>
    <row r="72" spans="1:12" x14ac:dyDescent="0.2">
      <c r="A72">
        <v>1995</v>
      </c>
      <c r="B72" s="1">
        <v>36436400</v>
      </c>
      <c r="C72" t="s">
        <v>34</v>
      </c>
      <c r="D72" t="s">
        <v>1</v>
      </c>
      <c r="E72">
        <v>1970</v>
      </c>
      <c r="F72">
        <v>21327219</v>
      </c>
      <c r="G72">
        <f t="shared" si="2"/>
        <v>1967.5</v>
      </c>
      <c r="H72">
        <f t="shared" si="3"/>
        <v>2.7841866864190026</v>
      </c>
      <c r="J72">
        <v>1912</v>
      </c>
      <c r="K72">
        <v>5072604</v>
      </c>
    </row>
    <row r="73" spans="1:12" x14ac:dyDescent="0.2">
      <c r="A73">
        <v>2000</v>
      </c>
      <c r="B73" s="1">
        <v>39762942</v>
      </c>
      <c r="C73" t="s">
        <v>34</v>
      </c>
      <c r="D73" t="s">
        <v>1</v>
      </c>
      <c r="E73">
        <v>1975</v>
      </c>
      <c r="F73">
        <v>23961538</v>
      </c>
      <c r="G73">
        <f t="shared" si="2"/>
        <v>1972.5</v>
      </c>
      <c r="H73">
        <f t="shared" si="3"/>
        <v>2.32931634536176</v>
      </c>
      <c r="J73">
        <v>1918</v>
      </c>
      <c r="K73">
        <v>5855077</v>
      </c>
    </row>
    <row r="74" spans="1:12" x14ac:dyDescent="0.2">
      <c r="A74">
        <v>2005</v>
      </c>
      <c r="B74" s="1">
        <v>43045561</v>
      </c>
      <c r="C74" t="s">
        <v>34</v>
      </c>
      <c r="D74" t="s">
        <v>1</v>
      </c>
      <c r="E74">
        <v>1980</v>
      </c>
      <c r="F74">
        <v>26881396</v>
      </c>
      <c r="G74">
        <f t="shared" si="2"/>
        <v>1977.5</v>
      </c>
      <c r="H74">
        <f t="shared" si="3"/>
        <v>2.299689746517477</v>
      </c>
      <c r="J74">
        <v>1920</v>
      </c>
      <c r="L74" s="1">
        <v>6091725.6969556985</v>
      </c>
    </row>
    <row r="75" spans="1:12" x14ac:dyDescent="0.2">
      <c r="A75">
        <v>2010</v>
      </c>
      <c r="B75" s="1">
        <v>46299052</v>
      </c>
      <c r="C75" t="s">
        <v>34</v>
      </c>
      <c r="D75" t="s">
        <v>1</v>
      </c>
      <c r="E75">
        <v>1985</v>
      </c>
      <c r="F75">
        <v>29983778</v>
      </c>
      <c r="G75">
        <f t="shared" si="2"/>
        <v>1982.5</v>
      </c>
      <c r="H75">
        <f t="shared" si="3"/>
        <v>2.1844410649924413</v>
      </c>
      <c r="J75">
        <v>1930</v>
      </c>
      <c r="L75" s="1">
        <v>7426411.0196653036</v>
      </c>
    </row>
    <row r="76" spans="1:12" x14ac:dyDescent="0.2">
      <c r="A76">
        <v>2015</v>
      </c>
      <c r="B76" s="1">
        <v>49384901</v>
      </c>
      <c r="C76" t="s">
        <v>34</v>
      </c>
      <c r="D76" t="s">
        <v>1</v>
      </c>
      <c r="E76">
        <v>1990</v>
      </c>
      <c r="F76">
        <v>33186211</v>
      </c>
      <c r="G76">
        <f t="shared" si="2"/>
        <v>1987.5</v>
      </c>
      <c r="H76">
        <f t="shared" si="3"/>
        <v>2.0295591248673617</v>
      </c>
      <c r="J76">
        <v>1938</v>
      </c>
      <c r="K76">
        <v>8701816</v>
      </c>
    </row>
    <row r="77" spans="1:12" x14ac:dyDescent="0.2">
      <c r="A77">
        <v>2020</v>
      </c>
      <c r="B77" s="1">
        <v>52278246</v>
      </c>
      <c r="C77" t="s">
        <v>34</v>
      </c>
      <c r="D77" t="s">
        <v>1</v>
      </c>
      <c r="E77">
        <v>1995</v>
      </c>
      <c r="F77">
        <v>36436400</v>
      </c>
      <c r="G77">
        <f t="shared" si="2"/>
        <v>1992.5</v>
      </c>
      <c r="H77">
        <f t="shared" si="3"/>
        <v>1.868676333051617</v>
      </c>
      <c r="J77">
        <v>1940</v>
      </c>
      <c r="L77" s="1">
        <v>9180564.2593960203</v>
      </c>
    </row>
    <row r="78" spans="1:12" x14ac:dyDescent="0.2">
      <c r="A78">
        <v>2025</v>
      </c>
      <c r="B78" s="1">
        <v>54917520</v>
      </c>
      <c r="C78" t="s">
        <v>34</v>
      </c>
      <c r="D78" t="s">
        <v>1</v>
      </c>
      <c r="E78">
        <v>2000</v>
      </c>
      <c r="F78">
        <v>39762942</v>
      </c>
      <c r="G78">
        <f t="shared" si="2"/>
        <v>1997.5</v>
      </c>
      <c r="H78">
        <f t="shared" si="3"/>
        <v>1.7473419607791842</v>
      </c>
      <c r="J78">
        <v>1950</v>
      </c>
      <c r="K78" s="1">
        <v>11999600</v>
      </c>
      <c r="L78">
        <v>11999600</v>
      </c>
    </row>
    <row r="79" spans="1:12" x14ac:dyDescent="0.2">
      <c r="A79">
        <v>2030</v>
      </c>
      <c r="B79" s="1">
        <v>57262165</v>
      </c>
      <c r="C79" t="s">
        <v>34</v>
      </c>
      <c r="D79" t="s">
        <v>1</v>
      </c>
      <c r="E79">
        <v>2005</v>
      </c>
      <c r="F79">
        <v>43045561</v>
      </c>
      <c r="G79">
        <f t="shared" si="2"/>
        <v>2002.5</v>
      </c>
      <c r="H79">
        <f t="shared" si="3"/>
        <v>1.586474797656567</v>
      </c>
    </row>
    <row r="80" spans="1:12" x14ac:dyDescent="0.2">
      <c r="A80">
        <v>2035</v>
      </c>
      <c r="B80" s="1">
        <v>59234255</v>
      </c>
      <c r="C80" t="s">
        <v>34</v>
      </c>
      <c r="D80" t="s">
        <v>1</v>
      </c>
      <c r="E80">
        <v>2010</v>
      </c>
      <c r="F80">
        <v>46299052</v>
      </c>
      <c r="G80">
        <f t="shared" si="2"/>
        <v>2007.5</v>
      </c>
      <c r="H80">
        <f t="shared" si="3"/>
        <v>1.4572474564603268</v>
      </c>
    </row>
    <row r="81" spans="1:8" x14ac:dyDescent="0.2">
      <c r="A81">
        <v>2040</v>
      </c>
      <c r="B81" s="1">
        <v>60806443</v>
      </c>
      <c r="C81" t="s">
        <v>34</v>
      </c>
      <c r="D81" t="s">
        <v>1</v>
      </c>
      <c r="E81">
        <v>2015</v>
      </c>
      <c r="F81">
        <v>49384901</v>
      </c>
      <c r="G81">
        <f t="shared" si="2"/>
        <v>2012.5</v>
      </c>
      <c r="H81">
        <f t="shared" si="3"/>
        <v>1.2904648796042861</v>
      </c>
    </row>
    <row r="82" spans="1:8" x14ac:dyDescent="0.2">
      <c r="A82">
        <v>2045</v>
      </c>
      <c r="B82" s="1">
        <v>61997878</v>
      </c>
      <c r="C82" t="s">
        <v>34</v>
      </c>
      <c r="D82" t="s">
        <v>1</v>
      </c>
      <c r="E82">
        <v>2020</v>
      </c>
      <c r="F82">
        <v>52278246</v>
      </c>
      <c r="G82">
        <f t="shared" si="2"/>
        <v>2017.5</v>
      </c>
      <c r="H82">
        <f t="shared" si="3"/>
        <v>1.138712167552804</v>
      </c>
    </row>
    <row r="83" spans="1:8" x14ac:dyDescent="0.2">
      <c r="A83">
        <v>2050</v>
      </c>
      <c r="B83" s="1">
        <v>62873891</v>
      </c>
      <c r="C83" t="s">
        <v>34</v>
      </c>
      <c r="D83" t="s">
        <v>1</v>
      </c>
      <c r="E83">
        <v>2025</v>
      </c>
      <c r="F83">
        <v>54917520</v>
      </c>
      <c r="G83">
        <f t="shared" si="2"/>
        <v>2022.5</v>
      </c>
      <c r="H83">
        <f t="shared" si="3"/>
        <v>0.98504170420676174</v>
      </c>
    </row>
    <row r="84" spans="1:8" x14ac:dyDescent="0.2">
      <c r="E84">
        <v>2030</v>
      </c>
      <c r="F84">
        <v>57262165</v>
      </c>
      <c r="G84">
        <f t="shared" si="2"/>
        <v>2027.5</v>
      </c>
      <c r="H84">
        <f t="shared" si="3"/>
        <v>0.83615371311871778</v>
      </c>
    </row>
    <row r="85" spans="1:8" x14ac:dyDescent="0.2">
      <c r="E85">
        <v>2035</v>
      </c>
      <c r="F85">
        <v>59234255</v>
      </c>
      <c r="G85">
        <f t="shared" si="2"/>
        <v>2032.5</v>
      </c>
      <c r="H85">
        <f t="shared" si="3"/>
        <v>0.67719794718402282</v>
      </c>
    </row>
    <row r="86" spans="1:8" x14ac:dyDescent="0.2">
      <c r="E86">
        <v>2040</v>
      </c>
      <c r="F86">
        <v>60806443</v>
      </c>
      <c r="G86">
        <f t="shared" si="2"/>
        <v>2037.5</v>
      </c>
      <c r="H86">
        <f t="shared" si="3"/>
        <v>0.52391494896961355</v>
      </c>
    </row>
    <row r="87" spans="1:8" x14ac:dyDescent="0.2">
      <c r="E87">
        <v>2045</v>
      </c>
      <c r="F87">
        <v>61997878</v>
      </c>
      <c r="G87">
        <f t="shared" si="2"/>
        <v>2042.5</v>
      </c>
      <c r="H87">
        <f t="shared" si="3"/>
        <v>0.38808809801062105</v>
      </c>
    </row>
    <row r="88" spans="1:8" x14ac:dyDescent="0.2">
      <c r="E88">
        <v>2050</v>
      </c>
      <c r="F88">
        <v>62873891</v>
      </c>
      <c r="G88">
        <f t="shared" si="2"/>
        <v>2047.5</v>
      </c>
      <c r="H88">
        <f t="shared" si="3"/>
        <v>0.28061662880902399</v>
      </c>
    </row>
    <row r="90" spans="1:8" x14ac:dyDescent="0.2">
      <c r="B90" s="7" t="s">
        <v>103</v>
      </c>
      <c r="F90" s="1"/>
    </row>
    <row r="91" spans="1:8" x14ac:dyDescent="0.2">
      <c r="E91" t="s">
        <v>56</v>
      </c>
    </row>
    <row r="92" spans="1:8" x14ac:dyDescent="0.2">
      <c r="A92" t="s">
        <v>2</v>
      </c>
      <c r="F92" s="1"/>
      <c r="G92" t="s">
        <v>3</v>
      </c>
      <c r="H92" t="s">
        <v>9</v>
      </c>
    </row>
    <row r="93" spans="1:8" x14ac:dyDescent="0.2">
      <c r="A93">
        <v>1780</v>
      </c>
      <c r="B93">
        <v>446966</v>
      </c>
      <c r="C93" t="s">
        <v>34</v>
      </c>
      <c r="D93" t="s">
        <v>104</v>
      </c>
      <c r="E93" s="1">
        <v>1800</v>
      </c>
      <c r="F93" s="1">
        <v>464959.32926129195</v>
      </c>
    </row>
    <row r="94" spans="1:8" x14ac:dyDescent="0.2">
      <c r="A94">
        <v>1825</v>
      </c>
      <c r="B94">
        <v>488473</v>
      </c>
      <c r="C94" t="s">
        <v>34</v>
      </c>
      <c r="D94" t="s">
        <v>104</v>
      </c>
      <c r="E94" s="1">
        <v>1810</v>
      </c>
      <c r="F94" s="1">
        <v>474225.8296852099</v>
      </c>
      <c r="G94">
        <f t="shared" ref="G94:G128" si="4">(E93+E94)/2</f>
        <v>1805</v>
      </c>
      <c r="H94">
        <f t="shared" ref="H94:H128" si="5">(LN(F94/F93)/(E94-E93))*100</f>
        <v>0.1973370436355609</v>
      </c>
    </row>
    <row r="95" spans="1:8" x14ac:dyDescent="0.2">
      <c r="A95">
        <v>1840</v>
      </c>
      <c r="B95">
        <v>650000</v>
      </c>
      <c r="C95" t="s">
        <v>34</v>
      </c>
      <c r="D95" t="s">
        <v>105</v>
      </c>
      <c r="E95" s="1">
        <v>1820</v>
      </c>
      <c r="F95" s="1">
        <v>483677.00869218347</v>
      </c>
      <c r="G95">
        <f t="shared" si="4"/>
        <v>1815</v>
      </c>
      <c r="H95">
        <f t="shared" si="5"/>
        <v>0.1973370436355609</v>
      </c>
    </row>
    <row r="96" spans="1:8" x14ac:dyDescent="0.2">
      <c r="A96">
        <v>1858</v>
      </c>
      <c r="B96">
        <v>748297</v>
      </c>
      <c r="C96" t="s">
        <v>34</v>
      </c>
      <c r="D96" t="s">
        <v>104</v>
      </c>
      <c r="E96" s="1">
        <v>1830</v>
      </c>
      <c r="F96" s="1">
        <v>537276.89070799958</v>
      </c>
      <c r="G96">
        <f t="shared" si="4"/>
        <v>1825</v>
      </c>
      <c r="H96">
        <f t="shared" si="5"/>
        <v>1.0509624023939195</v>
      </c>
    </row>
    <row r="97" spans="1:9" x14ac:dyDescent="0.2">
      <c r="A97">
        <v>1870</v>
      </c>
      <c r="B97">
        <v>800000</v>
      </c>
      <c r="C97" t="s">
        <v>34</v>
      </c>
      <c r="D97" t="s">
        <v>105</v>
      </c>
      <c r="E97" s="1">
        <v>1840</v>
      </c>
      <c r="F97" s="1">
        <v>650000</v>
      </c>
      <c r="G97">
        <f t="shared" si="4"/>
        <v>1835</v>
      </c>
      <c r="H97">
        <f t="shared" si="5"/>
        <v>1.9045877611522779</v>
      </c>
    </row>
    <row r="98" spans="1:9" x14ac:dyDescent="0.2">
      <c r="A98">
        <v>1890</v>
      </c>
      <c r="B98">
        <v>1100000</v>
      </c>
      <c r="C98" t="s">
        <v>34</v>
      </c>
      <c r="D98" t="s">
        <v>105</v>
      </c>
      <c r="E98" s="1">
        <v>1850</v>
      </c>
      <c r="F98" s="1">
        <v>702896.68340362259</v>
      </c>
      <c r="G98">
        <f t="shared" si="4"/>
        <v>1845</v>
      </c>
      <c r="H98">
        <f t="shared" si="5"/>
        <v>0.78237552834071777</v>
      </c>
    </row>
    <row r="99" spans="1:9" x14ac:dyDescent="0.2">
      <c r="A99">
        <v>1915</v>
      </c>
      <c r="B99">
        <v>1481000</v>
      </c>
      <c r="C99" t="s">
        <v>34</v>
      </c>
      <c r="D99" t="s">
        <v>106</v>
      </c>
      <c r="E99" s="1">
        <v>1860</v>
      </c>
      <c r="F99" s="1">
        <v>756676.07294670003</v>
      </c>
      <c r="G99">
        <f t="shared" si="4"/>
        <v>1855</v>
      </c>
      <c r="H99">
        <f t="shared" si="5"/>
        <v>0.73725337213409714</v>
      </c>
    </row>
    <row r="100" spans="1:9" x14ac:dyDescent="0.2">
      <c r="A100">
        <v>1930</v>
      </c>
      <c r="B100">
        <v>1959000</v>
      </c>
      <c r="C100" t="s">
        <v>34</v>
      </c>
      <c r="D100" t="s">
        <v>106</v>
      </c>
      <c r="E100" s="1">
        <v>1870</v>
      </c>
      <c r="F100" s="1">
        <v>800000</v>
      </c>
      <c r="G100">
        <f t="shared" si="4"/>
        <v>1865</v>
      </c>
      <c r="H100">
        <f t="shared" si="5"/>
        <v>0.55676474730762915</v>
      </c>
    </row>
    <row r="101" spans="1:9" x14ac:dyDescent="0.2">
      <c r="A101">
        <v>1950</v>
      </c>
      <c r="B101">
        <v>3387357</v>
      </c>
      <c r="C101" t="s">
        <v>34</v>
      </c>
      <c r="D101" t="s">
        <v>1</v>
      </c>
      <c r="E101" s="1">
        <v>1880</v>
      </c>
      <c r="F101" s="1">
        <v>938083.151964686</v>
      </c>
      <c r="G101">
        <f t="shared" si="4"/>
        <v>1875</v>
      </c>
      <c r="H101">
        <f t="shared" si="5"/>
        <v>1.5922686555926733</v>
      </c>
      <c r="I101" s="1"/>
    </row>
    <row r="102" spans="1:9" x14ac:dyDescent="0.2">
      <c r="A102">
        <v>1955</v>
      </c>
      <c r="B102">
        <v>3862243</v>
      </c>
      <c r="C102" t="s">
        <v>34</v>
      </c>
      <c r="D102" t="s">
        <v>1</v>
      </c>
      <c r="E102" s="1">
        <v>1890</v>
      </c>
      <c r="F102" s="1">
        <v>1100000</v>
      </c>
      <c r="G102">
        <f t="shared" si="4"/>
        <v>1885</v>
      </c>
      <c r="H102">
        <f t="shared" si="5"/>
        <v>1.5922686555926717</v>
      </c>
      <c r="I102" s="1"/>
    </row>
    <row r="103" spans="1:9" x14ac:dyDescent="0.2">
      <c r="A103">
        <v>1960</v>
      </c>
      <c r="B103">
        <v>4438763</v>
      </c>
      <c r="C103" t="s">
        <v>34</v>
      </c>
      <c r="D103" t="s">
        <v>1</v>
      </c>
      <c r="E103" s="1">
        <v>1900</v>
      </c>
      <c r="F103" s="1">
        <v>1238960.996088407</v>
      </c>
      <c r="G103">
        <f t="shared" si="4"/>
        <v>1895</v>
      </c>
      <c r="H103">
        <f t="shared" si="5"/>
        <v>1.1896294219253483</v>
      </c>
      <c r="I103" s="1"/>
    </row>
    <row r="104" spans="1:9" x14ac:dyDescent="0.2">
      <c r="A104">
        <v>1965</v>
      </c>
      <c r="B104">
        <v>5144214</v>
      </c>
      <c r="C104" t="s">
        <v>34</v>
      </c>
      <c r="D104" t="s">
        <v>1</v>
      </c>
      <c r="E104">
        <v>1910</v>
      </c>
      <c r="F104" s="1">
        <v>1395476.6816621614</v>
      </c>
      <c r="G104">
        <f t="shared" si="4"/>
        <v>1905</v>
      </c>
      <c r="H104">
        <f t="shared" si="5"/>
        <v>1.1896294219253483</v>
      </c>
      <c r="I104" s="1"/>
    </row>
    <row r="105" spans="1:9" x14ac:dyDescent="0.2">
      <c r="A105">
        <v>1970</v>
      </c>
      <c r="B105">
        <v>5969928</v>
      </c>
      <c r="C105" t="s">
        <v>34</v>
      </c>
      <c r="D105" t="s">
        <v>1</v>
      </c>
      <c r="E105">
        <v>1920</v>
      </c>
      <c r="F105" s="1">
        <v>1625729.1180431941</v>
      </c>
      <c r="G105">
        <f t="shared" si="4"/>
        <v>1915</v>
      </c>
      <c r="H105">
        <f t="shared" si="5"/>
        <v>1.527203389885146</v>
      </c>
      <c r="I105" s="1"/>
    </row>
    <row r="106" spans="1:9" x14ac:dyDescent="0.2">
      <c r="A106">
        <v>1975</v>
      </c>
      <c r="B106">
        <v>6907207</v>
      </c>
      <c r="C106" t="s">
        <v>34</v>
      </c>
      <c r="D106" t="s">
        <v>1</v>
      </c>
      <c r="E106" s="1">
        <v>1930</v>
      </c>
      <c r="F106" s="1">
        <v>1959000</v>
      </c>
      <c r="G106">
        <f t="shared" si="4"/>
        <v>1925</v>
      </c>
      <c r="H106">
        <f t="shared" si="5"/>
        <v>1.8647773578449451</v>
      </c>
      <c r="I106" s="1"/>
    </row>
    <row r="107" spans="1:9" x14ac:dyDescent="0.2">
      <c r="A107">
        <v>1980</v>
      </c>
      <c r="B107">
        <v>7961432</v>
      </c>
      <c r="C107" t="s">
        <v>34</v>
      </c>
      <c r="D107" t="s">
        <v>1</v>
      </c>
      <c r="E107" s="1">
        <v>1940</v>
      </c>
      <c r="F107" s="1">
        <v>2576010.9400000614</v>
      </c>
      <c r="G107">
        <f t="shared" si="4"/>
        <v>1935</v>
      </c>
      <c r="H107">
        <f t="shared" si="5"/>
        <v>2.7380791616511924</v>
      </c>
      <c r="I107" s="1"/>
    </row>
    <row r="108" spans="1:9" x14ac:dyDescent="0.2">
      <c r="A108">
        <v>1985</v>
      </c>
      <c r="B108">
        <v>9098844</v>
      </c>
      <c r="C108" t="s">
        <v>34</v>
      </c>
      <c r="D108" t="s">
        <v>1</v>
      </c>
      <c r="E108">
        <v>1950</v>
      </c>
      <c r="F108">
        <v>3387357</v>
      </c>
      <c r="G108">
        <f t="shared" si="4"/>
        <v>1945</v>
      </c>
      <c r="H108">
        <f t="shared" si="5"/>
        <v>2.7380791616511924</v>
      </c>
      <c r="I108" s="1"/>
    </row>
    <row r="109" spans="1:9" x14ac:dyDescent="0.2">
      <c r="A109">
        <v>1990</v>
      </c>
      <c r="B109">
        <v>10272023</v>
      </c>
      <c r="C109" t="s">
        <v>34</v>
      </c>
      <c r="D109" t="s">
        <v>1</v>
      </c>
      <c r="E109">
        <v>1955</v>
      </c>
      <c r="F109">
        <v>3862243</v>
      </c>
      <c r="G109">
        <f t="shared" si="4"/>
        <v>1952.5</v>
      </c>
      <c r="H109">
        <f t="shared" si="5"/>
        <v>2.6239626300138896</v>
      </c>
      <c r="I109" s="1"/>
    </row>
    <row r="110" spans="1:9" x14ac:dyDescent="0.2">
      <c r="A110">
        <v>1995</v>
      </c>
      <c r="B110">
        <v>11396655</v>
      </c>
      <c r="C110" t="s">
        <v>34</v>
      </c>
      <c r="D110" t="s">
        <v>1</v>
      </c>
      <c r="E110">
        <v>1960</v>
      </c>
      <c r="F110">
        <v>4438763</v>
      </c>
      <c r="G110">
        <f t="shared" si="4"/>
        <v>1957.5</v>
      </c>
      <c r="H110">
        <f t="shared" si="5"/>
        <v>2.7825526245999885</v>
      </c>
    </row>
    <row r="111" spans="1:9" x14ac:dyDescent="0.2">
      <c r="A111">
        <v>2000</v>
      </c>
      <c r="B111">
        <v>12305018</v>
      </c>
      <c r="C111" t="s">
        <v>34</v>
      </c>
      <c r="D111" t="s">
        <v>1</v>
      </c>
      <c r="E111">
        <v>1965</v>
      </c>
      <c r="F111">
        <v>5144214</v>
      </c>
      <c r="G111">
        <f t="shared" si="4"/>
        <v>1962.5</v>
      </c>
      <c r="H111">
        <f t="shared" si="5"/>
        <v>2.9499370782580114</v>
      </c>
    </row>
    <row r="112" spans="1:9" x14ac:dyDescent="0.2">
      <c r="A112">
        <v>2005</v>
      </c>
      <c r="B112">
        <v>13059635</v>
      </c>
      <c r="C112" t="s">
        <v>34</v>
      </c>
      <c r="D112" t="s">
        <v>1</v>
      </c>
      <c r="E112">
        <v>1970</v>
      </c>
      <c r="F112">
        <v>5969928</v>
      </c>
      <c r="G112">
        <f t="shared" si="4"/>
        <v>1967.5</v>
      </c>
      <c r="H112">
        <f t="shared" si="5"/>
        <v>2.9772455818808101</v>
      </c>
    </row>
    <row r="113" spans="1:9" x14ac:dyDescent="0.2">
      <c r="A113">
        <v>2010</v>
      </c>
      <c r="B113">
        <v>13773140</v>
      </c>
      <c r="C113" t="s">
        <v>34</v>
      </c>
      <c r="D113" t="s">
        <v>1</v>
      </c>
      <c r="E113">
        <v>1975</v>
      </c>
      <c r="F113">
        <v>6907207</v>
      </c>
      <c r="G113">
        <f t="shared" si="4"/>
        <v>1972.5</v>
      </c>
      <c r="H113">
        <f t="shared" si="5"/>
        <v>2.9166098444708259</v>
      </c>
      <c r="I113" s="1"/>
    </row>
    <row r="114" spans="1:9" x14ac:dyDescent="0.2">
      <c r="A114">
        <v>2015</v>
      </c>
      <c r="B114">
        <v>14550411</v>
      </c>
      <c r="C114" t="s">
        <v>34</v>
      </c>
      <c r="D114" t="s">
        <v>1</v>
      </c>
      <c r="E114">
        <v>1980</v>
      </c>
      <c r="F114">
        <v>7961432</v>
      </c>
      <c r="G114">
        <f t="shared" si="4"/>
        <v>1977.5</v>
      </c>
      <c r="H114">
        <f t="shared" si="5"/>
        <v>2.8408704783997312</v>
      </c>
    </row>
    <row r="115" spans="1:9" x14ac:dyDescent="0.2">
      <c r="A115">
        <v>2020</v>
      </c>
      <c r="B115">
        <v>15349178</v>
      </c>
      <c r="C115" t="s">
        <v>34</v>
      </c>
      <c r="D115" t="s">
        <v>1</v>
      </c>
      <c r="E115">
        <v>1985</v>
      </c>
      <c r="F115">
        <v>9098844</v>
      </c>
      <c r="G115">
        <f t="shared" si="4"/>
        <v>1982.5</v>
      </c>
      <c r="H115">
        <f t="shared" si="5"/>
        <v>2.6707697862519124</v>
      </c>
      <c r="I115" s="1"/>
    </row>
    <row r="116" spans="1:9" x14ac:dyDescent="0.2">
      <c r="A116">
        <v>2025</v>
      </c>
      <c r="B116">
        <v>16127519</v>
      </c>
      <c r="C116" t="s">
        <v>34</v>
      </c>
      <c r="D116" t="s">
        <v>1</v>
      </c>
      <c r="E116">
        <v>1990</v>
      </c>
      <c r="F116">
        <v>10272023</v>
      </c>
      <c r="G116">
        <f t="shared" si="4"/>
        <v>1987.5</v>
      </c>
      <c r="H116">
        <f t="shared" si="5"/>
        <v>2.4255322711054221</v>
      </c>
      <c r="I116" s="1"/>
    </row>
    <row r="117" spans="1:9" x14ac:dyDescent="0.2">
      <c r="A117">
        <v>2030</v>
      </c>
      <c r="B117">
        <v>16855905</v>
      </c>
      <c r="C117" t="s">
        <v>34</v>
      </c>
      <c r="D117" t="s">
        <v>1</v>
      </c>
      <c r="E117">
        <v>1995</v>
      </c>
      <c r="F117">
        <v>11396655</v>
      </c>
      <c r="G117">
        <f t="shared" si="4"/>
        <v>1992.5</v>
      </c>
      <c r="H117">
        <f t="shared" si="5"/>
        <v>2.0779181049953355</v>
      </c>
      <c r="I117" s="1"/>
    </row>
    <row r="118" spans="1:9" x14ac:dyDescent="0.2">
      <c r="A118">
        <v>2035</v>
      </c>
      <c r="B118">
        <v>17506579</v>
      </c>
      <c r="C118" t="s">
        <v>34</v>
      </c>
      <c r="D118" t="s">
        <v>1</v>
      </c>
      <c r="E118">
        <v>2000</v>
      </c>
      <c r="F118">
        <v>12305018</v>
      </c>
      <c r="G118">
        <f t="shared" si="4"/>
        <v>1997.5</v>
      </c>
      <c r="H118">
        <f t="shared" si="5"/>
        <v>1.533745107410053</v>
      </c>
      <c r="I118" s="1"/>
    </row>
    <row r="119" spans="1:9" x14ac:dyDescent="0.2">
      <c r="A119">
        <v>2040</v>
      </c>
      <c r="B119">
        <v>18062838</v>
      </c>
      <c r="C119" t="s">
        <v>34</v>
      </c>
      <c r="D119" t="s">
        <v>1</v>
      </c>
      <c r="E119">
        <v>2005</v>
      </c>
      <c r="F119">
        <v>13059635</v>
      </c>
      <c r="G119">
        <f t="shared" si="4"/>
        <v>2002.5</v>
      </c>
      <c r="H119">
        <f t="shared" si="5"/>
        <v>1.1903805772634901</v>
      </c>
      <c r="I119" s="1"/>
    </row>
    <row r="120" spans="1:9" x14ac:dyDescent="0.2">
      <c r="A120">
        <v>2045</v>
      </c>
      <c r="B120">
        <v>18518057</v>
      </c>
      <c r="C120" t="s">
        <v>34</v>
      </c>
      <c r="D120" t="s">
        <v>1</v>
      </c>
      <c r="E120">
        <v>2010</v>
      </c>
      <c r="F120">
        <v>13773140</v>
      </c>
      <c r="G120">
        <f t="shared" si="4"/>
        <v>2007.5</v>
      </c>
      <c r="H120">
        <f t="shared" si="5"/>
        <v>1.0638828634727182</v>
      </c>
      <c r="I120" s="1"/>
    </row>
    <row r="121" spans="1:9" x14ac:dyDescent="0.2">
      <c r="A121">
        <v>2050</v>
      </c>
      <c r="B121">
        <v>18891441</v>
      </c>
      <c r="C121" t="s">
        <v>34</v>
      </c>
      <c r="D121" t="s">
        <v>1</v>
      </c>
      <c r="E121">
        <v>2015</v>
      </c>
      <c r="F121">
        <v>14550411</v>
      </c>
      <c r="G121">
        <f t="shared" si="4"/>
        <v>2012.5</v>
      </c>
      <c r="H121">
        <f t="shared" si="5"/>
        <v>1.0979784388495899</v>
      </c>
    </row>
    <row r="122" spans="1:9" x14ac:dyDescent="0.2">
      <c r="E122">
        <v>2020</v>
      </c>
      <c r="F122">
        <v>15349178</v>
      </c>
      <c r="G122">
        <f t="shared" si="4"/>
        <v>2017.5</v>
      </c>
      <c r="H122">
        <f t="shared" si="5"/>
        <v>1.0688536293899442</v>
      </c>
    </row>
    <row r="123" spans="1:9" x14ac:dyDescent="0.2">
      <c r="E123">
        <v>2025</v>
      </c>
      <c r="F123">
        <v>16127519</v>
      </c>
      <c r="G123">
        <f t="shared" si="4"/>
        <v>2022.5</v>
      </c>
      <c r="H123">
        <f t="shared" si="5"/>
        <v>0.98930290849516478</v>
      </c>
    </row>
    <row r="124" spans="1:9" x14ac:dyDescent="0.2">
      <c r="E124">
        <v>2030</v>
      </c>
      <c r="F124">
        <v>16855905</v>
      </c>
      <c r="G124">
        <f t="shared" si="4"/>
        <v>2027.5</v>
      </c>
      <c r="H124">
        <f t="shared" si="5"/>
        <v>0.88347945950398021</v>
      </c>
    </row>
    <row r="125" spans="1:9" x14ac:dyDescent="0.2">
      <c r="E125">
        <v>2035</v>
      </c>
      <c r="F125">
        <v>17506579</v>
      </c>
      <c r="G125">
        <f t="shared" si="4"/>
        <v>2032.5</v>
      </c>
      <c r="H125">
        <f t="shared" si="5"/>
        <v>0.75751425254232174</v>
      </c>
    </row>
    <row r="126" spans="1:9" x14ac:dyDescent="0.2">
      <c r="E126">
        <v>2040</v>
      </c>
      <c r="F126">
        <v>18062838</v>
      </c>
      <c r="G126">
        <f t="shared" si="4"/>
        <v>2037.5</v>
      </c>
      <c r="H126">
        <f t="shared" si="5"/>
        <v>0.62559850725070942</v>
      </c>
    </row>
    <row r="127" spans="1:9" x14ac:dyDescent="0.2">
      <c r="E127">
        <v>2045</v>
      </c>
      <c r="F127">
        <v>18518057</v>
      </c>
      <c r="G127">
        <f t="shared" si="4"/>
        <v>2042.5</v>
      </c>
      <c r="H127">
        <f t="shared" si="5"/>
        <v>0.4977926321393541</v>
      </c>
    </row>
    <row r="128" spans="1:9" x14ac:dyDescent="0.2">
      <c r="E128">
        <v>2050</v>
      </c>
      <c r="F128">
        <v>18891441</v>
      </c>
      <c r="G128">
        <f t="shared" si="4"/>
        <v>2047.5</v>
      </c>
      <c r="H128">
        <f t="shared" si="5"/>
        <v>0.39925304489342994</v>
      </c>
    </row>
    <row r="131" spans="1:8" x14ac:dyDescent="0.2">
      <c r="B131" s="7" t="s">
        <v>107</v>
      </c>
      <c r="F131" s="1"/>
    </row>
    <row r="132" spans="1:8" x14ac:dyDescent="0.2">
      <c r="E132" t="s">
        <v>56</v>
      </c>
    </row>
    <row r="133" spans="1:8" x14ac:dyDescent="0.2">
      <c r="A133" t="s">
        <v>2</v>
      </c>
      <c r="F133" s="1"/>
      <c r="G133" t="s">
        <v>3</v>
      </c>
      <c r="H133" t="s">
        <v>9</v>
      </c>
    </row>
    <row r="134" spans="1:8" x14ac:dyDescent="0.2">
      <c r="A134">
        <v>1791</v>
      </c>
      <c r="B134">
        <v>1239197</v>
      </c>
      <c r="C134" t="s">
        <v>34</v>
      </c>
      <c r="D134" t="s">
        <v>108</v>
      </c>
      <c r="E134" s="1">
        <v>1800</v>
      </c>
      <c r="F134" s="1">
        <v>1303405.9092117196</v>
      </c>
    </row>
    <row r="135" spans="1:8" x14ac:dyDescent="0.2">
      <c r="A135">
        <v>1827</v>
      </c>
      <c r="B135">
        <v>1516693</v>
      </c>
      <c r="C135" t="s">
        <v>34</v>
      </c>
      <c r="D135" t="s">
        <v>108</v>
      </c>
      <c r="E135" s="1">
        <v>1810</v>
      </c>
      <c r="F135" s="1">
        <v>1378658.5592838668</v>
      </c>
      <c r="G135">
        <f t="shared" ref="G135:G169" si="6">(E134+E135)/2</f>
        <v>1805</v>
      </c>
      <c r="H135">
        <f t="shared" ref="H135:H169" si="7">(LN(F135/F134)/(E135-E134))*100</f>
        <v>0.56130199327920116</v>
      </c>
    </row>
    <row r="136" spans="1:8" x14ac:dyDescent="0.2">
      <c r="A136">
        <v>1850</v>
      </c>
      <c r="B136">
        <v>2001123</v>
      </c>
      <c r="C136" t="s">
        <v>34</v>
      </c>
      <c r="D136" t="s">
        <v>108</v>
      </c>
      <c r="E136" s="1">
        <v>1820</v>
      </c>
      <c r="F136" s="1">
        <v>1458255.9505474253</v>
      </c>
      <c r="G136">
        <f t="shared" si="6"/>
        <v>1815</v>
      </c>
      <c r="H136">
        <f t="shared" si="7"/>
        <v>0.56130199327920116</v>
      </c>
    </row>
    <row r="137" spans="1:8" x14ac:dyDescent="0.2">
      <c r="A137">
        <v>1862</v>
      </c>
      <c r="B137">
        <v>2461936</v>
      </c>
      <c r="C137" t="s">
        <v>34</v>
      </c>
      <c r="D137" t="s">
        <v>108</v>
      </c>
      <c r="E137" s="1">
        <v>1830</v>
      </c>
      <c r="F137" s="1">
        <v>1572529.904033774</v>
      </c>
      <c r="G137">
        <f t="shared" si="6"/>
        <v>1825</v>
      </c>
      <c r="H137">
        <f t="shared" si="7"/>
        <v>0.75444559033425007</v>
      </c>
    </row>
    <row r="138" spans="1:8" x14ac:dyDescent="0.2">
      <c r="A138">
        <v>1876</v>
      </c>
      <c r="B138">
        <v>2699106</v>
      </c>
      <c r="C138" t="s">
        <v>29</v>
      </c>
      <c r="D138" t="s">
        <v>29</v>
      </c>
      <c r="E138" s="1">
        <v>1840</v>
      </c>
      <c r="F138" s="1">
        <v>1773929.4684822669</v>
      </c>
      <c r="G138">
        <f t="shared" si="6"/>
        <v>1835</v>
      </c>
      <c r="H138">
        <f t="shared" si="7"/>
        <v>1.2051139834627083</v>
      </c>
    </row>
    <row r="139" spans="1:8" x14ac:dyDescent="0.2">
      <c r="A139">
        <v>1890</v>
      </c>
      <c r="B139" s="1">
        <v>2894813.2670723433</v>
      </c>
      <c r="C139" t="s">
        <v>34</v>
      </c>
      <c r="D139" t="s">
        <v>109</v>
      </c>
      <c r="E139" s="1">
        <v>1850</v>
      </c>
      <c r="F139" s="1">
        <v>2001123</v>
      </c>
      <c r="G139">
        <f t="shared" si="6"/>
        <v>1845</v>
      </c>
      <c r="H139">
        <f t="shared" si="7"/>
        <v>1.2051139834627083</v>
      </c>
    </row>
    <row r="140" spans="1:8" x14ac:dyDescent="0.2">
      <c r="A140">
        <v>1900</v>
      </c>
      <c r="B140" s="1">
        <v>3396456.4709744495</v>
      </c>
      <c r="C140" t="s">
        <v>34</v>
      </c>
      <c r="D140" t="s">
        <v>109</v>
      </c>
      <c r="E140" s="1">
        <v>1860</v>
      </c>
      <c r="F140" s="1">
        <v>2378352.7211520439</v>
      </c>
      <c r="G140">
        <f t="shared" si="6"/>
        <v>1855</v>
      </c>
      <c r="H140">
        <f t="shared" si="7"/>
        <v>1.7269959110055249</v>
      </c>
    </row>
    <row r="141" spans="1:8" x14ac:dyDescent="0.2">
      <c r="A141">
        <v>1925</v>
      </c>
      <c r="B141" s="1">
        <v>5064537.6000000006</v>
      </c>
      <c r="C141" t="s">
        <v>34</v>
      </c>
      <c r="D141" t="s">
        <v>109</v>
      </c>
      <c r="E141">
        <v>1870</v>
      </c>
      <c r="F141" s="1">
        <v>2594785.3315174049</v>
      </c>
      <c r="G141">
        <f t="shared" si="6"/>
        <v>1865</v>
      </c>
      <c r="H141">
        <f t="shared" si="7"/>
        <v>0.87095675232291159</v>
      </c>
    </row>
    <row r="142" spans="1:8" x14ac:dyDescent="0.2">
      <c r="A142">
        <v>1930</v>
      </c>
      <c r="B142" s="1">
        <v>5487241.4000000004</v>
      </c>
      <c r="C142" t="s">
        <v>34</v>
      </c>
      <c r="D142" t="s">
        <v>109</v>
      </c>
      <c r="E142">
        <v>1880</v>
      </c>
      <c r="F142" s="1">
        <v>2753631.5580742569</v>
      </c>
      <c r="G142">
        <f t="shared" si="6"/>
        <v>1875</v>
      </c>
      <c r="H142">
        <f t="shared" si="7"/>
        <v>0.59416817759135443</v>
      </c>
    </row>
    <row r="143" spans="1:8" x14ac:dyDescent="0.2">
      <c r="A143">
        <v>1940</v>
      </c>
      <c r="B143">
        <v>6325662</v>
      </c>
      <c r="C143" t="s">
        <v>110</v>
      </c>
      <c r="D143" t="s">
        <v>109</v>
      </c>
      <c r="E143">
        <v>1890</v>
      </c>
      <c r="F143" s="1">
        <v>2894813.2670723433</v>
      </c>
      <c r="G143">
        <f t="shared" si="6"/>
        <v>1885</v>
      </c>
      <c r="H143">
        <f t="shared" si="7"/>
        <v>0.50000000000000067</v>
      </c>
    </row>
    <row r="144" spans="1:8" x14ac:dyDescent="0.2">
      <c r="A144">
        <v>1950</v>
      </c>
      <c r="B144">
        <v>7632000</v>
      </c>
      <c r="C144" t="s">
        <v>34</v>
      </c>
      <c r="D144" t="s">
        <v>1</v>
      </c>
      <c r="E144">
        <v>1900</v>
      </c>
      <c r="F144" s="1">
        <v>3396456.4709744495</v>
      </c>
      <c r="G144">
        <f t="shared" si="6"/>
        <v>1895</v>
      </c>
      <c r="H144">
        <f t="shared" si="7"/>
        <v>1.5981206664995318</v>
      </c>
    </row>
    <row r="145" spans="1:8" x14ac:dyDescent="0.2">
      <c r="A145">
        <v>1955</v>
      </c>
      <c r="B145">
        <v>8671543</v>
      </c>
      <c r="C145" t="s">
        <v>34</v>
      </c>
      <c r="D145" t="s">
        <v>1</v>
      </c>
      <c r="E145">
        <v>1910</v>
      </c>
      <c r="F145" s="1">
        <v>3985029.60119808</v>
      </c>
      <c r="G145">
        <f t="shared" si="6"/>
        <v>1905</v>
      </c>
      <c r="H145">
        <f t="shared" si="7"/>
        <v>1.5981206664995318</v>
      </c>
    </row>
    <row r="146" spans="1:8" x14ac:dyDescent="0.2">
      <c r="A146">
        <v>1960</v>
      </c>
      <c r="B146">
        <v>9930967</v>
      </c>
      <c r="C146" t="s">
        <v>34</v>
      </c>
      <c r="D146" t="s">
        <v>1</v>
      </c>
      <c r="E146">
        <v>1920</v>
      </c>
      <c r="F146" s="1">
        <v>4675596.7750909505</v>
      </c>
      <c r="G146">
        <f t="shared" si="6"/>
        <v>1915</v>
      </c>
      <c r="H146">
        <f t="shared" si="7"/>
        <v>1.5981206664995318</v>
      </c>
    </row>
    <row r="147" spans="1:8" x14ac:dyDescent="0.2">
      <c r="A147">
        <v>1965</v>
      </c>
      <c r="B147">
        <v>11467227</v>
      </c>
      <c r="C147" t="s">
        <v>34</v>
      </c>
      <c r="D147" t="s">
        <v>1</v>
      </c>
      <c r="E147">
        <v>1930</v>
      </c>
      <c r="F147" s="1">
        <v>5487241.4000000004</v>
      </c>
      <c r="G147">
        <f t="shared" si="6"/>
        <v>1925</v>
      </c>
      <c r="H147">
        <f t="shared" si="7"/>
        <v>1.6006884498647616</v>
      </c>
    </row>
    <row r="148" spans="1:8" x14ac:dyDescent="0.2">
      <c r="A148">
        <v>1970</v>
      </c>
      <c r="B148">
        <v>13192692</v>
      </c>
      <c r="C148" t="s">
        <v>34</v>
      </c>
      <c r="D148" t="s">
        <v>1</v>
      </c>
      <c r="E148">
        <v>1940</v>
      </c>
      <c r="F148">
        <v>6325662</v>
      </c>
      <c r="G148">
        <f t="shared" si="6"/>
        <v>1935</v>
      </c>
      <c r="H148">
        <f t="shared" si="7"/>
        <v>1.4218904116218631</v>
      </c>
    </row>
    <row r="149" spans="1:8" x14ac:dyDescent="0.2">
      <c r="A149">
        <v>1975</v>
      </c>
      <c r="B149">
        <v>15161160</v>
      </c>
      <c r="C149" t="s">
        <v>34</v>
      </c>
      <c r="D149" t="s">
        <v>1</v>
      </c>
      <c r="E149">
        <v>1950</v>
      </c>
      <c r="F149">
        <v>7632000</v>
      </c>
      <c r="G149">
        <f t="shared" si="6"/>
        <v>1945</v>
      </c>
      <c r="H149">
        <f t="shared" si="7"/>
        <v>1.8773524097767855</v>
      </c>
    </row>
    <row r="150" spans="1:8" x14ac:dyDescent="0.2">
      <c r="A150">
        <v>1980</v>
      </c>
      <c r="B150">
        <v>17324203</v>
      </c>
      <c r="C150" t="s">
        <v>34</v>
      </c>
      <c r="D150" t="s">
        <v>1</v>
      </c>
      <c r="E150">
        <v>1955</v>
      </c>
      <c r="F150">
        <v>8671543</v>
      </c>
      <c r="G150">
        <f t="shared" si="6"/>
        <v>1952.5</v>
      </c>
      <c r="H150">
        <f t="shared" si="7"/>
        <v>2.5539362164643058</v>
      </c>
    </row>
    <row r="151" spans="1:8" x14ac:dyDescent="0.2">
      <c r="A151">
        <v>1985</v>
      </c>
      <c r="B151">
        <v>19518599</v>
      </c>
      <c r="C151" t="s">
        <v>34</v>
      </c>
      <c r="D151" t="s">
        <v>1</v>
      </c>
      <c r="E151">
        <v>1960</v>
      </c>
      <c r="F151">
        <v>9930967</v>
      </c>
      <c r="G151">
        <f t="shared" si="6"/>
        <v>1957.5</v>
      </c>
      <c r="H151">
        <f t="shared" si="7"/>
        <v>2.7122222003659058</v>
      </c>
    </row>
    <row r="152" spans="1:8" x14ac:dyDescent="0.2">
      <c r="A152">
        <v>1990</v>
      </c>
      <c r="B152">
        <v>21764614</v>
      </c>
      <c r="C152" t="s">
        <v>34</v>
      </c>
      <c r="D152" t="s">
        <v>1</v>
      </c>
      <c r="E152" s="1">
        <v>1965</v>
      </c>
      <c r="F152">
        <v>11467227</v>
      </c>
      <c r="G152">
        <f t="shared" si="6"/>
        <v>1962.5</v>
      </c>
      <c r="H152">
        <f t="shared" si="7"/>
        <v>2.876705716177983</v>
      </c>
    </row>
    <row r="153" spans="1:8" x14ac:dyDescent="0.2">
      <c r="A153">
        <v>1995</v>
      </c>
      <c r="B153">
        <v>23926524</v>
      </c>
      <c r="C153" t="s">
        <v>34</v>
      </c>
      <c r="D153" t="s">
        <v>1</v>
      </c>
      <c r="E153" s="1">
        <v>1970</v>
      </c>
      <c r="F153">
        <v>13192692</v>
      </c>
      <c r="G153">
        <f t="shared" si="6"/>
        <v>1967.5</v>
      </c>
      <c r="H153">
        <f t="shared" si="7"/>
        <v>2.8033979823818611</v>
      </c>
    </row>
    <row r="154" spans="1:8" x14ac:dyDescent="0.2">
      <c r="A154">
        <v>2000</v>
      </c>
      <c r="B154">
        <v>25996576</v>
      </c>
      <c r="C154" t="s">
        <v>34</v>
      </c>
      <c r="D154" t="s">
        <v>1</v>
      </c>
      <c r="E154" s="1">
        <v>1975</v>
      </c>
      <c r="F154">
        <v>15161160</v>
      </c>
      <c r="G154">
        <f t="shared" si="6"/>
        <v>1972.5</v>
      </c>
      <c r="H154">
        <f t="shared" si="7"/>
        <v>2.7814770904369084</v>
      </c>
    </row>
    <row r="155" spans="1:8" x14ac:dyDescent="0.2">
      <c r="A155">
        <v>2005</v>
      </c>
      <c r="B155">
        <v>27833144</v>
      </c>
      <c r="C155" t="s">
        <v>34</v>
      </c>
      <c r="D155" t="s">
        <v>1</v>
      </c>
      <c r="E155" s="1">
        <v>1980</v>
      </c>
      <c r="F155">
        <v>17324203</v>
      </c>
      <c r="G155">
        <f t="shared" si="6"/>
        <v>1977.5</v>
      </c>
      <c r="H155">
        <f t="shared" si="7"/>
        <v>2.6673529338893043</v>
      </c>
    </row>
    <row r="156" spans="1:8" x14ac:dyDescent="0.2">
      <c r="A156">
        <v>2010</v>
      </c>
      <c r="B156">
        <v>29495252</v>
      </c>
      <c r="C156" t="s">
        <v>34</v>
      </c>
      <c r="D156" t="s">
        <v>1</v>
      </c>
      <c r="E156" s="1">
        <v>1985</v>
      </c>
      <c r="F156">
        <v>19518599</v>
      </c>
      <c r="G156">
        <f t="shared" si="6"/>
        <v>1982.5</v>
      </c>
      <c r="H156">
        <f t="shared" si="7"/>
        <v>2.3852652947278399</v>
      </c>
    </row>
    <row r="157" spans="1:8" x14ac:dyDescent="0.2">
      <c r="A157">
        <v>2015</v>
      </c>
      <c r="B157">
        <v>31196670</v>
      </c>
      <c r="C157" t="s">
        <v>34</v>
      </c>
      <c r="D157" t="s">
        <v>1</v>
      </c>
      <c r="E157">
        <v>1990</v>
      </c>
      <c r="F157">
        <v>21764614</v>
      </c>
      <c r="G157">
        <f t="shared" si="6"/>
        <v>1987.5</v>
      </c>
      <c r="H157">
        <f t="shared" si="7"/>
        <v>2.1783526816666123</v>
      </c>
    </row>
    <row r="158" spans="1:8" x14ac:dyDescent="0.2">
      <c r="A158">
        <v>2020</v>
      </c>
      <c r="B158">
        <v>32880561</v>
      </c>
      <c r="C158" t="s">
        <v>34</v>
      </c>
      <c r="D158" t="s">
        <v>1</v>
      </c>
      <c r="E158">
        <v>1995</v>
      </c>
      <c r="F158">
        <v>23926524</v>
      </c>
      <c r="G158">
        <f t="shared" si="6"/>
        <v>1992.5</v>
      </c>
      <c r="H158">
        <f t="shared" si="7"/>
        <v>1.894043888367174</v>
      </c>
    </row>
    <row r="159" spans="1:8" x14ac:dyDescent="0.2">
      <c r="A159">
        <v>2025</v>
      </c>
      <c r="B159">
        <v>34478467</v>
      </c>
      <c r="C159" t="s">
        <v>34</v>
      </c>
      <c r="D159" t="s">
        <v>1</v>
      </c>
      <c r="E159">
        <v>2000</v>
      </c>
      <c r="F159">
        <v>25996576</v>
      </c>
      <c r="G159">
        <f t="shared" si="6"/>
        <v>1997.5</v>
      </c>
      <c r="H159">
        <f t="shared" si="7"/>
        <v>1.6595440534343264</v>
      </c>
    </row>
    <row r="160" spans="1:8" x14ac:dyDescent="0.2">
      <c r="A160">
        <v>2030</v>
      </c>
      <c r="B160">
        <v>35978031</v>
      </c>
      <c r="C160" t="s">
        <v>34</v>
      </c>
      <c r="D160" t="s">
        <v>1</v>
      </c>
      <c r="E160">
        <v>2005</v>
      </c>
      <c r="F160">
        <v>27833144</v>
      </c>
      <c r="G160">
        <f t="shared" si="6"/>
        <v>2002.5</v>
      </c>
      <c r="H160">
        <f t="shared" si="7"/>
        <v>1.365254074575154</v>
      </c>
    </row>
    <row r="161" spans="1:8" x14ac:dyDescent="0.2">
      <c r="A161">
        <v>2035</v>
      </c>
      <c r="B161">
        <v>37344846</v>
      </c>
      <c r="C161" t="s">
        <v>34</v>
      </c>
      <c r="D161" t="s">
        <v>1</v>
      </c>
      <c r="E161">
        <v>2010</v>
      </c>
      <c r="F161">
        <v>29495252</v>
      </c>
      <c r="G161">
        <f t="shared" si="6"/>
        <v>2007.5</v>
      </c>
      <c r="H161">
        <f t="shared" si="7"/>
        <v>1.1600352093834567</v>
      </c>
    </row>
    <row r="162" spans="1:8" x14ac:dyDescent="0.2">
      <c r="A162">
        <v>2040</v>
      </c>
      <c r="B162">
        <v>38533858</v>
      </c>
      <c r="C162" t="s">
        <v>34</v>
      </c>
      <c r="D162" t="s">
        <v>1</v>
      </c>
      <c r="E162">
        <v>2015</v>
      </c>
      <c r="F162">
        <v>31196670</v>
      </c>
      <c r="G162">
        <f t="shared" si="6"/>
        <v>2012.5</v>
      </c>
      <c r="H162">
        <f t="shared" si="7"/>
        <v>1.1216411422109014</v>
      </c>
    </row>
    <row r="163" spans="1:8" x14ac:dyDescent="0.2">
      <c r="A163">
        <v>2045</v>
      </c>
      <c r="B163">
        <v>39525630</v>
      </c>
      <c r="C163" t="s">
        <v>34</v>
      </c>
      <c r="D163" t="s">
        <v>1</v>
      </c>
      <c r="E163">
        <v>2020</v>
      </c>
      <c r="F163">
        <v>32880561</v>
      </c>
      <c r="G163">
        <f t="shared" si="6"/>
        <v>2017.5</v>
      </c>
      <c r="H163">
        <f t="shared" si="7"/>
        <v>1.0514054747229529</v>
      </c>
    </row>
    <row r="164" spans="1:8" x14ac:dyDescent="0.2">
      <c r="A164">
        <v>2050</v>
      </c>
      <c r="B164">
        <v>40304954</v>
      </c>
      <c r="C164" t="s">
        <v>34</v>
      </c>
      <c r="D164" t="s">
        <v>1</v>
      </c>
      <c r="E164">
        <v>2025</v>
      </c>
      <c r="F164">
        <v>34478467</v>
      </c>
      <c r="G164">
        <f t="shared" si="6"/>
        <v>2022.5</v>
      </c>
      <c r="H164">
        <f t="shared" si="7"/>
        <v>0.94906704328056168</v>
      </c>
    </row>
    <row r="165" spans="1:8" x14ac:dyDescent="0.2">
      <c r="E165">
        <v>2030</v>
      </c>
      <c r="F165">
        <v>35978031</v>
      </c>
      <c r="G165">
        <f t="shared" si="6"/>
        <v>2027.5</v>
      </c>
      <c r="H165">
        <f t="shared" si="7"/>
        <v>0.85147035855085251</v>
      </c>
    </row>
    <row r="166" spans="1:8" x14ac:dyDescent="0.2">
      <c r="E166">
        <v>2035</v>
      </c>
      <c r="F166">
        <v>37344846</v>
      </c>
      <c r="G166">
        <f t="shared" si="6"/>
        <v>2032.5</v>
      </c>
      <c r="H166">
        <f t="shared" si="7"/>
        <v>0.74572815822793415</v>
      </c>
    </row>
    <row r="167" spans="1:8" x14ac:dyDescent="0.2">
      <c r="E167">
        <v>2040</v>
      </c>
      <c r="F167">
        <v>38533858</v>
      </c>
      <c r="G167">
        <f t="shared" si="6"/>
        <v>2037.5</v>
      </c>
      <c r="H167">
        <f t="shared" si="7"/>
        <v>0.62684746610478637</v>
      </c>
    </row>
    <row r="168" spans="1:8" x14ac:dyDescent="0.2">
      <c r="E168">
        <v>2045</v>
      </c>
      <c r="F168">
        <v>39525630</v>
      </c>
      <c r="G168">
        <f t="shared" si="6"/>
        <v>2042.5</v>
      </c>
      <c r="H168">
        <f t="shared" si="7"/>
        <v>0.5082407770603492</v>
      </c>
    </row>
    <row r="169" spans="1:8" x14ac:dyDescent="0.2">
      <c r="E169">
        <v>2050</v>
      </c>
      <c r="F169">
        <v>40304954</v>
      </c>
      <c r="G169">
        <f t="shared" si="6"/>
        <v>2047.5</v>
      </c>
      <c r="H169">
        <f t="shared" si="7"/>
        <v>0.39050134379726242</v>
      </c>
    </row>
    <row r="171" spans="1:8" x14ac:dyDescent="0.2">
      <c r="B171" s="7" t="s">
        <v>111</v>
      </c>
    </row>
    <row r="172" spans="1:8" x14ac:dyDescent="0.2">
      <c r="E172" t="s">
        <v>56</v>
      </c>
    </row>
    <row r="173" spans="1:8" x14ac:dyDescent="0.2">
      <c r="A173" t="s">
        <v>2</v>
      </c>
      <c r="G173" t="s">
        <v>3</v>
      </c>
      <c r="H173" t="s">
        <v>9</v>
      </c>
    </row>
    <row r="174" spans="1:8" x14ac:dyDescent="0.2">
      <c r="A174">
        <v>1792</v>
      </c>
      <c r="B174">
        <v>739044</v>
      </c>
      <c r="C174" s="8" t="s">
        <v>34</v>
      </c>
      <c r="D174" s="8" t="s">
        <v>112</v>
      </c>
      <c r="E174">
        <v>1800</v>
      </c>
      <c r="F174" s="1">
        <v>804480.59545018454</v>
      </c>
    </row>
    <row r="175" spans="1:8" x14ac:dyDescent="0.2">
      <c r="A175">
        <v>1825</v>
      </c>
      <c r="B175">
        <v>1048714</v>
      </c>
      <c r="C175" s="8" t="s">
        <v>34</v>
      </c>
      <c r="D175" t="s">
        <v>113</v>
      </c>
      <c r="E175">
        <v>1810</v>
      </c>
      <c r="F175" s="1">
        <v>894483.16296172957</v>
      </c>
      <c r="G175">
        <f t="shared" ref="G175:G209" si="8">(E174+E175)/2</f>
        <v>1805</v>
      </c>
      <c r="H175">
        <f t="shared" ref="H175:H209" si="9">(LN(F175/F174)/(E175-E174))*100</f>
        <v>1.0604923379345577</v>
      </c>
    </row>
    <row r="176" spans="1:8" x14ac:dyDescent="0.2">
      <c r="A176">
        <v>1831</v>
      </c>
      <c r="B176">
        <v>1088898</v>
      </c>
      <c r="C176" s="8" t="s">
        <v>34</v>
      </c>
      <c r="D176" s="8" t="s">
        <v>112</v>
      </c>
      <c r="E176">
        <v>1820</v>
      </c>
      <c r="F176" s="1">
        <v>994554.91325342271</v>
      </c>
      <c r="G176">
        <f t="shared" si="8"/>
        <v>1815</v>
      </c>
      <c r="H176">
        <f t="shared" si="9"/>
        <v>1.0604923379345577</v>
      </c>
    </row>
    <row r="177" spans="1:8" x14ac:dyDescent="0.2">
      <c r="A177">
        <v>1846</v>
      </c>
      <c r="B177">
        <v>1378896</v>
      </c>
      <c r="C177" s="8" t="s">
        <v>34</v>
      </c>
      <c r="D177" s="8" t="s">
        <v>112</v>
      </c>
      <c r="E177">
        <v>1830</v>
      </c>
      <c r="F177" s="1">
        <v>1082095.3008681801</v>
      </c>
      <c r="G177">
        <f t="shared" si="8"/>
        <v>1825</v>
      </c>
      <c r="H177">
        <f t="shared" si="9"/>
        <v>0.84359220247888256</v>
      </c>
    </row>
    <row r="178" spans="1:8" x14ac:dyDescent="0.2">
      <c r="A178">
        <v>1860</v>
      </c>
      <c r="B178" s="1">
        <v>1470347.7179717771</v>
      </c>
      <c r="C178" s="8" t="s">
        <v>7</v>
      </c>
      <c r="D178" s="8" t="s">
        <v>114</v>
      </c>
      <c r="E178">
        <v>1840</v>
      </c>
      <c r="F178" s="1">
        <v>1254624.5665372685</v>
      </c>
      <c r="G178">
        <f t="shared" si="8"/>
        <v>1835</v>
      </c>
      <c r="H178">
        <f t="shared" si="9"/>
        <v>1.4793712267789461</v>
      </c>
    </row>
    <row r="179" spans="1:8" x14ac:dyDescent="0.2">
      <c r="A179">
        <v>1880</v>
      </c>
      <c r="B179" s="1">
        <v>1611613.2280292823</v>
      </c>
      <c r="C179" s="8" t="s">
        <v>7</v>
      </c>
      <c r="D179" s="8" t="s">
        <v>114</v>
      </c>
      <c r="E179">
        <v>1850</v>
      </c>
      <c r="F179" s="1">
        <v>1404428.6037302059</v>
      </c>
      <c r="G179">
        <f t="shared" si="8"/>
        <v>1845</v>
      </c>
      <c r="H179">
        <f t="shared" si="9"/>
        <v>1.1279415466941289</v>
      </c>
    </row>
    <row r="180" spans="1:8" x14ac:dyDescent="0.2">
      <c r="A180">
        <v>1900</v>
      </c>
      <c r="B180">
        <v>1766451</v>
      </c>
      <c r="C180" s="8" t="s">
        <v>7</v>
      </c>
      <c r="D180" s="8" t="s">
        <v>114</v>
      </c>
      <c r="E180">
        <v>1860</v>
      </c>
      <c r="F180" s="1">
        <v>1470347.7179717771</v>
      </c>
      <c r="G180">
        <f t="shared" si="8"/>
        <v>1855</v>
      </c>
      <c r="H180">
        <f t="shared" si="9"/>
        <v>0.45868383327427181</v>
      </c>
    </row>
    <row r="181" spans="1:8" x14ac:dyDescent="0.2">
      <c r="A181">
        <v>1930</v>
      </c>
      <c r="B181">
        <v>2153000</v>
      </c>
      <c r="C181" s="8" t="s">
        <v>34</v>
      </c>
      <c r="D181" s="8" t="s">
        <v>113</v>
      </c>
      <c r="E181">
        <v>1870</v>
      </c>
      <c r="F181" s="1">
        <v>1539360.8518102518</v>
      </c>
      <c r="G181">
        <f t="shared" si="8"/>
        <v>1865</v>
      </c>
      <c r="H181">
        <f t="shared" si="9"/>
        <v>0.45868383327427181</v>
      </c>
    </row>
    <row r="182" spans="1:8" x14ac:dyDescent="0.2">
      <c r="A182">
        <v>1950</v>
      </c>
      <c r="B182">
        <v>2713630</v>
      </c>
      <c r="C182" t="s">
        <v>34</v>
      </c>
      <c r="D182" t="s">
        <v>1</v>
      </c>
      <c r="E182">
        <v>1880</v>
      </c>
      <c r="F182" s="1">
        <v>1611613.2280292823</v>
      </c>
      <c r="G182">
        <f t="shared" si="8"/>
        <v>1875</v>
      </c>
      <c r="H182">
        <f t="shared" si="9"/>
        <v>0.45868383327427387</v>
      </c>
    </row>
    <row r="183" spans="1:8" x14ac:dyDescent="0.2">
      <c r="A183">
        <v>1955</v>
      </c>
      <c r="B183">
        <v>3005846</v>
      </c>
      <c r="C183" t="s">
        <v>34</v>
      </c>
      <c r="D183" t="s">
        <v>1</v>
      </c>
      <c r="E183">
        <v>1890</v>
      </c>
      <c r="F183" s="1">
        <v>1687256.8856773272</v>
      </c>
      <c r="G183">
        <f t="shared" si="8"/>
        <v>1885</v>
      </c>
      <c r="H183">
        <f t="shared" si="9"/>
        <v>0.45868383327427181</v>
      </c>
    </row>
    <row r="184" spans="1:8" x14ac:dyDescent="0.2">
      <c r="A184">
        <v>1960</v>
      </c>
      <c r="B184">
        <v>3351438</v>
      </c>
      <c r="C184" t="s">
        <v>34</v>
      </c>
      <c r="D184" t="s">
        <v>1</v>
      </c>
      <c r="E184">
        <v>1900</v>
      </c>
      <c r="F184" s="1">
        <v>1766451</v>
      </c>
      <c r="G184">
        <f t="shared" si="8"/>
        <v>1895</v>
      </c>
      <c r="H184">
        <f t="shared" si="9"/>
        <v>0.45868383327427387</v>
      </c>
    </row>
    <row r="185" spans="1:8" x14ac:dyDescent="0.2">
      <c r="A185">
        <v>1965</v>
      </c>
      <c r="B185">
        <v>3747904</v>
      </c>
      <c r="C185" t="s">
        <v>34</v>
      </c>
      <c r="D185" t="s">
        <v>1</v>
      </c>
      <c r="E185">
        <v>1910</v>
      </c>
      <c r="F185" s="1">
        <v>1886900.8200975722</v>
      </c>
      <c r="G185">
        <f t="shared" si="8"/>
        <v>1905</v>
      </c>
      <c r="H185">
        <f t="shared" si="9"/>
        <v>0.65963256471924825</v>
      </c>
    </row>
    <row r="186" spans="1:8" x14ac:dyDescent="0.2">
      <c r="A186">
        <v>1970</v>
      </c>
      <c r="B186">
        <v>4211618</v>
      </c>
      <c r="C186" t="s">
        <v>34</v>
      </c>
      <c r="D186" t="s">
        <v>1</v>
      </c>
      <c r="E186">
        <v>1920</v>
      </c>
      <c r="F186" s="1">
        <v>2015563.8083846599</v>
      </c>
      <c r="G186">
        <f t="shared" si="8"/>
        <v>1915</v>
      </c>
      <c r="H186">
        <f t="shared" si="9"/>
        <v>0.65963256471925025</v>
      </c>
    </row>
    <row r="187" spans="1:8" x14ac:dyDescent="0.2">
      <c r="A187">
        <v>1975</v>
      </c>
      <c r="B187">
        <v>4758871</v>
      </c>
      <c r="C187" t="s">
        <v>34</v>
      </c>
      <c r="D187" t="s">
        <v>1</v>
      </c>
      <c r="E187">
        <v>1930</v>
      </c>
      <c r="F187" s="1">
        <v>2153000</v>
      </c>
      <c r="G187">
        <f t="shared" si="8"/>
        <v>1925</v>
      </c>
      <c r="H187">
        <f t="shared" si="9"/>
        <v>0.65963256471924614</v>
      </c>
    </row>
    <row r="188" spans="1:8" x14ac:dyDescent="0.2">
      <c r="A188">
        <v>1980</v>
      </c>
      <c r="B188">
        <v>5355126</v>
      </c>
      <c r="C188" t="s">
        <v>34</v>
      </c>
      <c r="D188" t="s">
        <v>1</v>
      </c>
      <c r="E188">
        <v>1940</v>
      </c>
      <c r="F188" s="1">
        <v>2417115.096556223</v>
      </c>
      <c r="G188">
        <f t="shared" si="8"/>
        <v>1935</v>
      </c>
      <c r="H188">
        <f t="shared" si="9"/>
        <v>1.1571250179831909</v>
      </c>
    </row>
    <row r="189" spans="1:8" x14ac:dyDescent="0.2">
      <c r="A189">
        <v>1985</v>
      </c>
      <c r="B189">
        <v>5964211</v>
      </c>
      <c r="C189" t="s">
        <v>34</v>
      </c>
      <c r="D189" t="s">
        <v>1</v>
      </c>
      <c r="E189">
        <v>1950</v>
      </c>
      <c r="F189">
        <v>2713630</v>
      </c>
      <c r="G189">
        <f t="shared" si="8"/>
        <v>1945</v>
      </c>
      <c r="H189">
        <f t="shared" si="9"/>
        <v>1.1571250179831929</v>
      </c>
    </row>
    <row r="190" spans="1:8" x14ac:dyDescent="0.2">
      <c r="A190">
        <v>1990</v>
      </c>
      <c r="B190">
        <v>6668714</v>
      </c>
      <c r="C190" t="s">
        <v>34</v>
      </c>
      <c r="D190" t="s">
        <v>1</v>
      </c>
      <c r="E190">
        <v>1955</v>
      </c>
      <c r="F190">
        <v>3005846</v>
      </c>
      <c r="G190">
        <f t="shared" si="8"/>
        <v>1952.5</v>
      </c>
      <c r="H190">
        <f t="shared" si="9"/>
        <v>2.045436743359645</v>
      </c>
    </row>
    <row r="191" spans="1:8" x14ac:dyDescent="0.2">
      <c r="A191">
        <v>1995</v>
      </c>
      <c r="B191">
        <v>7481694</v>
      </c>
      <c r="C191" t="s">
        <v>34</v>
      </c>
      <c r="D191" t="s">
        <v>1</v>
      </c>
      <c r="E191">
        <v>1960</v>
      </c>
      <c r="F191">
        <v>3351438</v>
      </c>
      <c r="G191">
        <f t="shared" si="8"/>
        <v>1957.5</v>
      </c>
      <c r="H191">
        <f t="shared" si="9"/>
        <v>2.1766089663688972</v>
      </c>
    </row>
    <row r="192" spans="1:8" x14ac:dyDescent="0.2">
      <c r="A192">
        <v>2000</v>
      </c>
      <c r="B192">
        <v>8316648</v>
      </c>
      <c r="C192" t="s">
        <v>34</v>
      </c>
      <c r="D192" t="s">
        <v>1</v>
      </c>
      <c r="E192">
        <v>1965</v>
      </c>
      <c r="F192">
        <v>3747904</v>
      </c>
      <c r="G192">
        <f t="shared" si="8"/>
        <v>1962.5</v>
      </c>
      <c r="H192">
        <f t="shared" si="9"/>
        <v>2.2361448584445958</v>
      </c>
    </row>
    <row r="193" spans="1:8" x14ac:dyDescent="0.2">
      <c r="A193">
        <v>2005</v>
      </c>
      <c r="B193">
        <v>9182015</v>
      </c>
      <c r="C193" t="s">
        <v>34</v>
      </c>
      <c r="D193" t="s">
        <v>1</v>
      </c>
      <c r="E193">
        <v>1970</v>
      </c>
      <c r="F193">
        <v>4211618</v>
      </c>
      <c r="G193">
        <f t="shared" si="8"/>
        <v>1967.5</v>
      </c>
      <c r="H193">
        <f t="shared" si="9"/>
        <v>2.3330029302793132</v>
      </c>
    </row>
    <row r="194" spans="1:8" x14ac:dyDescent="0.2">
      <c r="A194">
        <v>2010</v>
      </c>
      <c r="B194">
        <v>10031005</v>
      </c>
      <c r="C194" t="s">
        <v>34</v>
      </c>
      <c r="D194" t="s">
        <v>1</v>
      </c>
      <c r="E194">
        <v>1975</v>
      </c>
      <c r="F194">
        <v>4758871</v>
      </c>
      <c r="G194">
        <f t="shared" si="8"/>
        <v>1972.5</v>
      </c>
      <c r="H194">
        <f t="shared" si="9"/>
        <v>2.4432711667022269</v>
      </c>
    </row>
    <row r="195" spans="1:8" x14ac:dyDescent="0.2">
      <c r="A195">
        <v>2015</v>
      </c>
      <c r="B195">
        <v>10854338</v>
      </c>
      <c r="C195" t="s">
        <v>34</v>
      </c>
      <c r="D195" t="s">
        <v>1</v>
      </c>
      <c r="E195">
        <v>1980</v>
      </c>
      <c r="F195">
        <v>5355126</v>
      </c>
      <c r="G195">
        <f t="shared" si="8"/>
        <v>1977.5</v>
      </c>
      <c r="H195">
        <f t="shared" si="9"/>
        <v>2.3608755559613241</v>
      </c>
    </row>
    <row r="196" spans="1:8" x14ac:dyDescent="0.2">
      <c r="A196">
        <v>2020</v>
      </c>
      <c r="B196">
        <v>11638075</v>
      </c>
      <c r="C196" t="s">
        <v>34</v>
      </c>
      <c r="D196" t="s">
        <v>1</v>
      </c>
      <c r="E196">
        <v>1985</v>
      </c>
      <c r="F196">
        <v>5964211</v>
      </c>
      <c r="G196">
        <f t="shared" si="8"/>
        <v>1982.5</v>
      </c>
      <c r="H196">
        <f t="shared" si="9"/>
        <v>2.1544508436463188</v>
      </c>
    </row>
    <row r="197" spans="1:8" x14ac:dyDescent="0.2">
      <c r="A197">
        <v>2025</v>
      </c>
      <c r="B197">
        <v>12368497</v>
      </c>
      <c r="C197" t="s">
        <v>34</v>
      </c>
      <c r="D197" t="s">
        <v>1</v>
      </c>
      <c r="E197">
        <v>1990</v>
      </c>
      <c r="F197">
        <v>6668714</v>
      </c>
      <c r="G197">
        <f t="shared" si="8"/>
        <v>1987.5</v>
      </c>
      <c r="H197">
        <f t="shared" si="9"/>
        <v>2.2330052504669551</v>
      </c>
    </row>
    <row r="198" spans="1:8" x14ac:dyDescent="0.2">
      <c r="A198">
        <v>2030</v>
      </c>
      <c r="B198">
        <v>13034186</v>
      </c>
      <c r="C198" t="s">
        <v>34</v>
      </c>
      <c r="D198" t="s">
        <v>1</v>
      </c>
      <c r="E198">
        <v>1995</v>
      </c>
      <c r="F198">
        <v>7481694</v>
      </c>
      <c r="G198">
        <f t="shared" si="8"/>
        <v>1992.5</v>
      </c>
      <c r="H198">
        <f t="shared" si="9"/>
        <v>2.3006439838740071</v>
      </c>
    </row>
    <row r="199" spans="1:8" x14ac:dyDescent="0.2">
      <c r="A199">
        <v>2035</v>
      </c>
      <c r="B199">
        <v>13625982</v>
      </c>
      <c r="C199" t="s">
        <v>34</v>
      </c>
      <c r="D199" t="s">
        <v>1</v>
      </c>
      <c r="E199">
        <v>2000</v>
      </c>
      <c r="F199">
        <v>8316648</v>
      </c>
      <c r="G199">
        <f t="shared" si="8"/>
        <v>1997.5</v>
      </c>
      <c r="H199">
        <f t="shared" si="9"/>
        <v>2.1160010420778517</v>
      </c>
    </row>
    <row r="200" spans="1:8" x14ac:dyDescent="0.2">
      <c r="A200">
        <v>2040</v>
      </c>
      <c r="B200">
        <v>14135899</v>
      </c>
      <c r="C200" t="s">
        <v>34</v>
      </c>
      <c r="D200" t="s">
        <v>1</v>
      </c>
      <c r="E200">
        <v>2005</v>
      </c>
      <c r="F200">
        <v>9182015</v>
      </c>
      <c r="G200">
        <f t="shared" si="8"/>
        <v>2002.5</v>
      </c>
      <c r="H200">
        <f t="shared" si="9"/>
        <v>1.9797478083758386</v>
      </c>
    </row>
    <row r="201" spans="1:8" x14ac:dyDescent="0.2">
      <c r="A201">
        <v>2045</v>
      </c>
      <c r="B201">
        <v>14563681</v>
      </c>
      <c r="C201" t="s">
        <v>34</v>
      </c>
      <c r="D201" t="s">
        <v>1</v>
      </c>
      <c r="E201">
        <v>2010</v>
      </c>
      <c r="F201">
        <v>10031005</v>
      </c>
      <c r="G201">
        <f t="shared" si="8"/>
        <v>2007.5</v>
      </c>
      <c r="H201">
        <f t="shared" si="9"/>
        <v>1.7686823379860181</v>
      </c>
    </row>
    <row r="202" spans="1:8" x14ac:dyDescent="0.2">
      <c r="A202">
        <v>2050</v>
      </c>
      <c r="B202">
        <v>14908126</v>
      </c>
      <c r="C202" t="s">
        <v>34</v>
      </c>
      <c r="D202" t="s">
        <v>1</v>
      </c>
      <c r="E202">
        <v>2015</v>
      </c>
      <c r="F202">
        <v>10854338</v>
      </c>
      <c r="G202">
        <f t="shared" si="8"/>
        <v>2012.5</v>
      </c>
      <c r="H202">
        <f t="shared" si="9"/>
        <v>1.577680387873412</v>
      </c>
    </row>
    <row r="203" spans="1:8" x14ac:dyDescent="0.2">
      <c r="E203">
        <v>2020</v>
      </c>
      <c r="F203">
        <v>11638075</v>
      </c>
      <c r="G203">
        <f t="shared" si="8"/>
        <v>2017.5</v>
      </c>
      <c r="H203">
        <f t="shared" si="9"/>
        <v>1.394344697405677</v>
      </c>
    </row>
    <row r="204" spans="1:8" x14ac:dyDescent="0.2">
      <c r="E204">
        <v>2025</v>
      </c>
      <c r="F204">
        <v>12368497</v>
      </c>
      <c r="G204">
        <f t="shared" si="8"/>
        <v>2022.5</v>
      </c>
      <c r="H204">
        <f t="shared" si="9"/>
        <v>1.2174124952885919</v>
      </c>
    </row>
    <row r="205" spans="1:8" x14ac:dyDescent="0.2">
      <c r="E205">
        <v>2030</v>
      </c>
      <c r="F205">
        <v>13034186</v>
      </c>
      <c r="G205">
        <f t="shared" si="8"/>
        <v>2027.5</v>
      </c>
      <c r="H205">
        <f t="shared" si="9"/>
        <v>1.0484584558754351</v>
      </c>
    </row>
    <row r="206" spans="1:8" x14ac:dyDescent="0.2">
      <c r="E206">
        <v>2035</v>
      </c>
      <c r="F206">
        <v>13625982</v>
      </c>
      <c r="G206">
        <f t="shared" si="8"/>
        <v>2032.5</v>
      </c>
      <c r="H206">
        <f t="shared" si="9"/>
        <v>0.88805626336941956</v>
      </c>
    </row>
    <row r="207" spans="1:8" x14ac:dyDescent="0.2">
      <c r="E207">
        <v>2040</v>
      </c>
      <c r="F207">
        <v>14135899</v>
      </c>
      <c r="G207">
        <f t="shared" si="8"/>
        <v>2037.5</v>
      </c>
      <c r="H207">
        <f t="shared" si="9"/>
        <v>0.73478357533809546</v>
      </c>
    </row>
    <row r="208" spans="1:8" x14ac:dyDescent="0.2">
      <c r="E208">
        <v>2045</v>
      </c>
      <c r="F208">
        <v>14563681</v>
      </c>
      <c r="G208">
        <f t="shared" si="8"/>
        <v>2042.5</v>
      </c>
      <c r="H208">
        <f t="shared" si="9"/>
        <v>0.5962647327299464</v>
      </c>
    </row>
    <row r="209" spans="1:8" x14ac:dyDescent="0.2">
      <c r="E209">
        <v>2050</v>
      </c>
      <c r="F209">
        <v>14908126</v>
      </c>
      <c r="G209">
        <f t="shared" si="8"/>
        <v>2047.5</v>
      </c>
      <c r="H209">
        <f t="shared" si="9"/>
        <v>0.4675121333838369</v>
      </c>
    </row>
    <row r="213" spans="1:8" x14ac:dyDescent="0.2">
      <c r="B213" s="7" t="s">
        <v>115</v>
      </c>
      <c r="F213" s="1"/>
    </row>
    <row r="214" spans="1:8" x14ac:dyDescent="0.2">
      <c r="E214" t="s">
        <v>56</v>
      </c>
    </row>
    <row r="215" spans="1:8" x14ac:dyDescent="0.2">
      <c r="A215" t="s">
        <v>2</v>
      </c>
      <c r="F215" s="1"/>
      <c r="G215" t="s">
        <v>3</v>
      </c>
      <c r="H215" t="s">
        <v>9</v>
      </c>
    </row>
    <row r="216" spans="1:8" x14ac:dyDescent="0.2">
      <c r="A216">
        <v>1790</v>
      </c>
      <c r="B216">
        <v>600000</v>
      </c>
      <c r="C216" t="s">
        <v>34</v>
      </c>
      <c r="D216" t="s">
        <v>116</v>
      </c>
      <c r="E216">
        <v>1800</v>
      </c>
      <c r="F216" s="1">
        <v>673924.05837852426</v>
      </c>
    </row>
    <row r="217" spans="1:8" x14ac:dyDescent="0.2">
      <c r="A217">
        <v>1813</v>
      </c>
      <c r="B217">
        <v>783806</v>
      </c>
      <c r="C217" t="s">
        <v>34</v>
      </c>
      <c r="D217" t="s">
        <v>116</v>
      </c>
      <c r="E217">
        <v>1810</v>
      </c>
      <c r="F217" s="1">
        <v>756956.06076896761</v>
      </c>
      <c r="G217">
        <f t="shared" ref="G217:G251" si="10">(E216+E217)/2</f>
        <v>1805</v>
      </c>
      <c r="H217">
        <f t="shared" ref="H217:H251" si="11">(LN(F217/F216)/(E217-E216))*100</f>
        <v>1.161877763191824</v>
      </c>
    </row>
    <row r="218" spans="1:8" x14ac:dyDescent="0.2">
      <c r="A218">
        <v>1835</v>
      </c>
      <c r="B218">
        <v>1135202</v>
      </c>
      <c r="C218" t="s">
        <v>34</v>
      </c>
      <c r="D218" t="s">
        <v>116</v>
      </c>
      <c r="E218">
        <v>1820</v>
      </c>
      <c r="F218" s="1">
        <v>881846.02797345514</v>
      </c>
      <c r="G218">
        <f t="shared" si="10"/>
        <v>1815</v>
      </c>
      <c r="H218">
        <f t="shared" si="11"/>
        <v>1.5271226145424195</v>
      </c>
    </row>
    <row r="219" spans="1:8" x14ac:dyDescent="0.2">
      <c r="A219">
        <v>1843</v>
      </c>
      <c r="B219">
        <v>1292194</v>
      </c>
      <c r="C219" t="s">
        <v>34</v>
      </c>
      <c r="D219" t="s">
        <v>116</v>
      </c>
      <c r="E219">
        <v>1830</v>
      </c>
      <c r="F219" s="1">
        <v>1043549.4161312284</v>
      </c>
      <c r="G219">
        <f t="shared" si="10"/>
        <v>1825</v>
      </c>
      <c r="H219">
        <f t="shared" si="11"/>
        <v>1.6836561222641024</v>
      </c>
    </row>
    <row r="220" spans="1:8" x14ac:dyDescent="0.2">
      <c r="A220">
        <v>1854</v>
      </c>
      <c r="B220">
        <v>1400000</v>
      </c>
      <c r="C220" t="s">
        <v>29</v>
      </c>
      <c r="D220" t="s">
        <v>117</v>
      </c>
      <c r="E220">
        <v>1840</v>
      </c>
      <c r="F220" s="1">
        <v>1226962.3465248216</v>
      </c>
      <c r="G220">
        <f t="shared" si="10"/>
        <v>1835</v>
      </c>
      <c r="H220">
        <f t="shared" si="11"/>
        <v>1.6191367527604619</v>
      </c>
    </row>
    <row r="221" spans="1:8" x14ac:dyDescent="0.2">
      <c r="A221">
        <v>1865</v>
      </c>
      <c r="B221">
        <v>1800000</v>
      </c>
      <c r="C221" t="s">
        <v>29</v>
      </c>
      <c r="D221" t="s">
        <v>117</v>
      </c>
      <c r="E221">
        <v>1850</v>
      </c>
      <c r="F221" s="1">
        <v>1500000</v>
      </c>
      <c r="G221">
        <f t="shared" si="10"/>
        <v>1845</v>
      </c>
      <c r="H221">
        <f t="shared" si="11"/>
        <v>2.0092363027909195</v>
      </c>
    </row>
    <row r="222" spans="1:8" x14ac:dyDescent="0.2">
      <c r="A222">
        <v>1875</v>
      </c>
      <c r="B222">
        <v>2100000</v>
      </c>
      <c r="C222" t="s">
        <v>29</v>
      </c>
      <c r="D222" t="s">
        <v>117</v>
      </c>
      <c r="E222">
        <v>1860</v>
      </c>
      <c r="F222" s="1">
        <v>1695000</v>
      </c>
      <c r="G222">
        <f t="shared" si="10"/>
        <v>1855</v>
      </c>
      <c r="H222">
        <f t="shared" si="11"/>
        <v>1.222176327242491</v>
      </c>
    </row>
    <row r="223" spans="1:8" x14ac:dyDescent="0.2">
      <c r="A223">
        <v>1885</v>
      </c>
      <c r="B223">
        <v>2500000</v>
      </c>
      <c r="C223" t="s">
        <v>29</v>
      </c>
      <c r="D223" t="s">
        <v>117</v>
      </c>
      <c r="E223">
        <v>1870</v>
      </c>
      <c r="F223" s="1">
        <v>1914000</v>
      </c>
      <c r="G223">
        <f t="shared" si="10"/>
        <v>1865</v>
      </c>
      <c r="H223">
        <f t="shared" si="11"/>
        <v>1.21512552198349</v>
      </c>
    </row>
    <row r="224" spans="1:8" x14ac:dyDescent="0.2">
      <c r="A224">
        <v>1895</v>
      </c>
      <c r="B224">
        <v>2700000</v>
      </c>
      <c r="C224" t="s">
        <v>29</v>
      </c>
      <c r="D224" t="s">
        <v>117</v>
      </c>
      <c r="E224">
        <v>1880</v>
      </c>
      <c r="F224" s="1">
        <v>2165000</v>
      </c>
      <c r="G224">
        <f t="shared" si="10"/>
        <v>1875</v>
      </c>
      <c r="H224">
        <f t="shared" si="11"/>
        <v>1.232250684236907</v>
      </c>
    </row>
    <row r="225" spans="1:8" x14ac:dyDescent="0.2">
      <c r="A225">
        <v>1900</v>
      </c>
      <c r="B225">
        <v>3000000</v>
      </c>
      <c r="C225" t="s">
        <v>118</v>
      </c>
      <c r="D225" t="s">
        <v>117</v>
      </c>
      <c r="E225">
        <v>1890</v>
      </c>
      <c r="F225" s="1">
        <v>2484000</v>
      </c>
      <c r="G225">
        <f t="shared" si="10"/>
        <v>1885</v>
      </c>
      <c r="H225">
        <f t="shared" si="11"/>
        <v>1.3744980261677919</v>
      </c>
    </row>
    <row r="226" spans="1:8" x14ac:dyDescent="0.2">
      <c r="A226">
        <v>1910</v>
      </c>
      <c r="B226">
        <v>3300000</v>
      </c>
      <c r="C226" t="s">
        <v>118</v>
      </c>
      <c r="D226" t="s">
        <v>117</v>
      </c>
      <c r="E226">
        <v>1900</v>
      </c>
      <c r="F226">
        <v>2856000</v>
      </c>
      <c r="G226">
        <f t="shared" si="10"/>
        <v>1895</v>
      </c>
      <c r="H226">
        <f t="shared" si="11"/>
        <v>1.395518804061056</v>
      </c>
    </row>
    <row r="227" spans="1:8" x14ac:dyDescent="0.2">
      <c r="A227">
        <v>1920</v>
      </c>
      <c r="B227">
        <v>3800000</v>
      </c>
      <c r="C227" t="s">
        <v>118</v>
      </c>
      <c r="D227" t="s">
        <v>117</v>
      </c>
      <c r="E227">
        <v>1910</v>
      </c>
      <c r="F227">
        <v>3229000</v>
      </c>
      <c r="G227">
        <f t="shared" si="10"/>
        <v>1905</v>
      </c>
      <c r="H227">
        <f t="shared" si="11"/>
        <v>1.227504472988002</v>
      </c>
    </row>
    <row r="228" spans="1:8" x14ac:dyDescent="0.2">
      <c r="A228">
        <v>1930</v>
      </c>
      <c r="B228">
        <v>4400000</v>
      </c>
      <c r="C228" t="s">
        <v>118</v>
      </c>
      <c r="D228" t="s">
        <v>117</v>
      </c>
      <c r="E228">
        <v>1920</v>
      </c>
      <c r="F228">
        <v>3664000</v>
      </c>
      <c r="G228">
        <f t="shared" si="10"/>
        <v>1915</v>
      </c>
      <c r="H228">
        <f t="shared" si="11"/>
        <v>1.2638295503574573</v>
      </c>
    </row>
    <row r="229" spans="1:8" x14ac:dyDescent="0.2">
      <c r="A229">
        <v>1940</v>
      </c>
      <c r="B229">
        <v>5100000</v>
      </c>
      <c r="C229" t="s">
        <v>118</v>
      </c>
      <c r="D229" t="s">
        <v>117</v>
      </c>
      <c r="E229">
        <v>1930</v>
      </c>
      <c r="F229">
        <v>4221000</v>
      </c>
      <c r="G229">
        <f t="shared" si="10"/>
        <v>1925</v>
      </c>
      <c r="H229">
        <f t="shared" si="11"/>
        <v>1.4151661998847782</v>
      </c>
    </row>
    <row r="230" spans="1:8" x14ac:dyDescent="0.2">
      <c r="A230">
        <v>1950</v>
      </c>
      <c r="B230">
        <v>6081931</v>
      </c>
      <c r="C230" t="s">
        <v>34</v>
      </c>
      <c r="D230" t="s">
        <v>1</v>
      </c>
      <c r="E230">
        <v>1940</v>
      </c>
      <c r="F230">
        <v>4912000</v>
      </c>
      <c r="G230">
        <f t="shared" si="10"/>
        <v>1935</v>
      </c>
      <c r="H230">
        <f t="shared" si="11"/>
        <v>1.5160912404447964</v>
      </c>
    </row>
    <row r="231" spans="1:8" x14ac:dyDescent="0.2">
      <c r="A231">
        <v>1955</v>
      </c>
      <c r="B231">
        <v>6763955</v>
      </c>
      <c r="C231" t="s">
        <v>34</v>
      </c>
      <c r="D231" t="s">
        <v>1</v>
      </c>
      <c r="E231">
        <v>1950</v>
      </c>
      <c r="F231">
        <v>6081931</v>
      </c>
      <c r="G231">
        <f t="shared" si="10"/>
        <v>1945</v>
      </c>
      <c r="H231">
        <f t="shared" si="11"/>
        <v>2.1364105339365889</v>
      </c>
    </row>
    <row r="232" spans="1:8" x14ac:dyDescent="0.2">
      <c r="A232">
        <v>1960</v>
      </c>
      <c r="B232">
        <v>7643345</v>
      </c>
      <c r="C232" t="s">
        <v>34</v>
      </c>
      <c r="D232" t="s">
        <v>1</v>
      </c>
      <c r="E232">
        <v>1955</v>
      </c>
      <c r="F232">
        <v>6763955</v>
      </c>
      <c r="G232">
        <f t="shared" si="10"/>
        <v>1952.5</v>
      </c>
      <c r="H232">
        <f t="shared" si="11"/>
        <v>2.1257106781515587</v>
      </c>
    </row>
    <row r="233" spans="1:8" x14ac:dyDescent="0.2">
      <c r="A233">
        <v>1965</v>
      </c>
      <c r="B233">
        <v>8646763</v>
      </c>
      <c r="C233" t="s">
        <v>34</v>
      </c>
      <c r="D233" t="s">
        <v>1</v>
      </c>
      <c r="E233">
        <v>1960</v>
      </c>
      <c r="F233">
        <v>7643345</v>
      </c>
      <c r="G233">
        <f t="shared" si="10"/>
        <v>1957.5</v>
      </c>
      <c r="H233">
        <f t="shared" si="11"/>
        <v>2.4445511287821846</v>
      </c>
    </row>
    <row r="234" spans="1:8" x14ac:dyDescent="0.2">
      <c r="A234">
        <v>1970</v>
      </c>
      <c r="B234">
        <v>9569771</v>
      </c>
      <c r="C234" t="s">
        <v>34</v>
      </c>
      <c r="D234" t="s">
        <v>1</v>
      </c>
      <c r="E234">
        <v>1965</v>
      </c>
      <c r="F234">
        <v>8646763</v>
      </c>
      <c r="G234">
        <f t="shared" si="10"/>
        <v>1962.5</v>
      </c>
      <c r="H234">
        <f t="shared" si="11"/>
        <v>2.466993933355468</v>
      </c>
    </row>
    <row r="235" spans="1:8" x14ac:dyDescent="0.2">
      <c r="A235">
        <v>1975</v>
      </c>
      <c r="B235">
        <v>10413364</v>
      </c>
      <c r="C235" t="s">
        <v>34</v>
      </c>
      <c r="D235" t="s">
        <v>1</v>
      </c>
      <c r="E235">
        <v>1970</v>
      </c>
      <c r="F235">
        <v>9569771</v>
      </c>
      <c r="G235">
        <f t="shared" si="10"/>
        <v>1967.5</v>
      </c>
      <c r="H235">
        <f t="shared" si="11"/>
        <v>2.0284848996196336</v>
      </c>
    </row>
    <row r="236" spans="1:8" x14ac:dyDescent="0.2">
      <c r="A236">
        <v>1980</v>
      </c>
      <c r="B236">
        <v>11174351</v>
      </c>
      <c r="C236" t="s">
        <v>34</v>
      </c>
      <c r="D236" t="s">
        <v>1</v>
      </c>
      <c r="E236">
        <v>1975</v>
      </c>
      <c r="F236">
        <v>10413364</v>
      </c>
      <c r="G236">
        <f t="shared" si="10"/>
        <v>1972.5</v>
      </c>
      <c r="H236">
        <f t="shared" si="11"/>
        <v>1.6896141001495626</v>
      </c>
    </row>
    <row r="237" spans="1:8" x14ac:dyDescent="0.2">
      <c r="A237">
        <v>1985</v>
      </c>
      <c r="B237">
        <v>12102402</v>
      </c>
      <c r="C237" t="s">
        <v>34</v>
      </c>
      <c r="D237" t="s">
        <v>1</v>
      </c>
      <c r="E237">
        <v>1980</v>
      </c>
      <c r="F237">
        <v>11174351</v>
      </c>
      <c r="G237">
        <f t="shared" si="10"/>
        <v>1977.5</v>
      </c>
      <c r="H237">
        <f t="shared" si="11"/>
        <v>1.4106216301818431</v>
      </c>
    </row>
    <row r="238" spans="1:8" x14ac:dyDescent="0.2">
      <c r="A238">
        <v>1990</v>
      </c>
      <c r="B238">
        <v>13179109</v>
      </c>
      <c r="C238" t="s">
        <v>34</v>
      </c>
      <c r="D238" t="s">
        <v>1</v>
      </c>
      <c r="E238">
        <v>1985</v>
      </c>
      <c r="F238">
        <v>12102402</v>
      </c>
      <c r="G238">
        <f t="shared" si="10"/>
        <v>1982.5</v>
      </c>
      <c r="H238">
        <f t="shared" si="11"/>
        <v>1.5956576509579643</v>
      </c>
    </row>
    <row r="239" spans="1:8" x14ac:dyDescent="0.2">
      <c r="A239">
        <v>1995</v>
      </c>
      <c r="B239">
        <v>14395404</v>
      </c>
      <c r="C239" t="s">
        <v>34</v>
      </c>
      <c r="D239" t="s">
        <v>1</v>
      </c>
      <c r="E239">
        <v>1990</v>
      </c>
      <c r="F239">
        <v>13179109</v>
      </c>
      <c r="G239">
        <f t="shared" si="10"/>
        <v>1987.5</v>
      </c>
      <c r="H239">
        <f t="shared" si="11"/>
        <v>1.7045795812576365</v>
      </c>
    </row>
    <row r="240" spans="1:8" x14ac:dyDescent="0.2">
      <c r="A240">
        <v>2000</v>
      </c>
      <c r="B240">
        <v>15411503</v>
      </c>
      <c r="C240" t="s">
        <v>34</v>
      </c>
      <c r="D240" t="s">
        <v>1</v>
      </c>
      <c r="E240">
        <v>1995</v>
      </c>
      <c r="F240">
        <v>14395404</v>
      </c>
      <c r="G240">
        <f t="shared" si="10"/>
        <v>1992.5</v>
      </c>
      <c r="H240">
        <f t="shared" si="11"/>
        <v>1.7655212921894938</v>
      </c>
    </row>
    <row r="241" spans="1:8" x14ac:dyDescent="0.2">
      <c r="A241">
        <v>2005</v>
      </c>
      <c r="B241">
        <v>16294249</v>
      </c>
      <c r="C241" t="s">
        <v>34</v>
      </c>
      <c r="D241" t="s">
        <v>1</v>
      </c>
      <c r="E241">
        <v>2000</v>
      </c>
      <c r="F241">
        <v>15411503</v>
      </c>
      <c r="G241">
        <f t="shared" si="10"/>
        <v>1997.5</v>
      </c>
      <c r="H241">
        <f t="shared" si="11"/>
        <v>1.3641037934781071</v>
      </c>
    </row>
    <row r="242" spans="1:8" x14ac:dyDescent="0.2">
      <c r="A242">
        <v>2010</v>
      </c>
      <c r="B242">
        <v>17133442</v>
      </c>
      <c r="C242" t="s">
        <v>34</v>
      </c>
      <c r="D242" t="s">
        <v>1</v>
      </c>
      <c r="E242">
        <v>2005</v>
      </c>
      <c r="F242">
        <v>16294249</v>
      </c>
      <c r="G242">
        <f t="shared" si="10"/>
        <v>2002.5</v>
      </c>
      <c r="H242">
        <f t="shared" si="11"/>
        <v>1.1139608965159591</v>
      </c>
    </row>
    <row r="243" spans="1:8" x14ac:dyDescent="0.2">
      <c r="A243">
        <v>2015</v>
      </c>
      <c r="B243">
        <v>17914485</v>
      </c>
      <c r="C243" t="s">
        <v>34</v>
      </c>
      <c r="D243" t="s">
        <v>1</v>
      </c>
      <c r="E243">
        <v>2010</v>
      </c>
      <c r="F243">
        <v>17133442</v>
      </c>
      <c r="G243">
        <f t="shared" si="10"/>
        <v>2007.5</v>
      </c>
      <c r="H243">
        <f t="shared" si="11"/>
        <v>1.0044000542975429</v>
      </c>
    </row>
    <row r="244" spans="1:8" x14ac:dyDescent="0.2">
      <c r="A244">
        <v>2020</v>
      </c>
      <c r="B244">
        <v>18606202</v>
      </c>
      <c r="C244" t="s">
        <v>34</v>
      </c>
      <c r="D244" t="s">
        <v>1</v>
      </c>
      <c r="E244">
        <v>2015</v>
      </c>
      <c r="F244">
        <v>17914485</v>
      </c>
      <c r="G244">
        <f t="shared" si="10"/>
        <v>2012.5</v>
      </c>
      <c r="H244">
        <f t="shared" si="11"/>
        <v>0.89154754596394259</v>
      </c>
    </row>
    <row r="245" spans="1:8" x14ac:dyDescent="0.2">
      <c r="A245">
        <v>2025</v>
      </c>
      <c r="B245">
        <v>19199350</v>
      </c>
      <c r="C245" t="s">
        <v>34</v>
      </c>
      <c r="D245" t="s">
        <v>1</v>
      </c>
      <c r="E245">
        <v>2020</v>
      </c>
      <c r="F245">
        <v>18606202</v>
      </c>
      <c r="G245">
        <f t="shared" si="10"/>
        <v>2017.5</v>
      </c>
      <c r="H245">
        <f t="shared" si="11"/>
        <v>0.75770725033552555</v>
      </c>
    </row>
    <row r="246" spans="1:8" x14ac:dyDescent="0.2">
      <c r="A246">
        <v>2030</v>
      </c>
      <c r="B246">
        <v>19675020</v>
      </c>
      <c r="C246" t="s">
        <v>34</v>
      </c>
      <c r="D246" t="s">
        <v>1</v>
      </c>
      <c r="E246">
        <v>2025</v>
      </c>
      <c r="F246">
        <v>19199350</v>
      </c>
      <c r="G246">
        <f t="shared" si="10"/>
        <v>2022.5</v>
      </c>
      <c r="H246">
        <f t="shared" si="11"/>
        <v>0.6276291658736477</v>
      </c>
    </row>
    <row r="247" spans="1:8" x14ac:dyDescent="0.2">
      <c r="A247">
        <v>2035</v>
      </c>
      <c r="B247">
        <v>20024118</v>
      </c>
      <c r="C247" t="s">
        <v>34</v>
      </c>
      <c r="D247" t="s">
        <v>1</v>
      </c>
      <c r="E247">
        <v>2030</v>
      </c>
      <c r="F247">
        <v>19675020</v>
      </c>
      <c r="G247">
        <f t="shared" si="10"/>
        <v>2027.5</v>
      </c>
      <c r="H247">
        <f t="shared" si="11"/>
        <v>0.48946773054741416</v>
      </c>
    </row>
    <row r="248" spans="1:8" x14ac:dyDescent="0.2">
      <c r="A248">
        <v>2040</v>
      </c>
      <c r="B248">
        <v>20252896</v>
      </c>
      <c r="C248" t="s">
        <v>34</v>
      </c>
      <c r="D248" t="s">
        <v>1</v>
      </c>
      <c r="E248">
        <v>2035</v>
      </c>
      <c r="F248">
        <v>20024118</v>
      </c>
      <c r="G248">
        <f t="shared" si="10"/>
        <v>2032.5</v>
      </c>
      <c r="H248">
        <f t="shared" si="11"/>
        <v>0.35175272438441824</v>
      </c>
    </row>
    <row r="249" spans="1:8" x14ac:dyDescent="0.2">
      <c r="A249">
        <v>2045</v>
      </c>
      <c r="B249">
        <v>20371427</v>
      </c>
      <c r="C249" t="s">
        <v>34</v>
      </c>
      <c r="D249" t="s">
        <v>1</v>
      </c>
      <c r="E249">
        <v>2040</v>
      </c>
      <c r="F249">
        <v>20252896</v>
      </c>
      <c r="G249">
        <f t="shared" si="10"/>
        <v>2037.5</v>
      </c>
      <c r="H249">
        <f t="shared" si="11"/>
        <v>0.22720697264681872</v>
      </c>
    </row>
    <row r="250" spans="1:8" x14ac:dyDescent="0.2">
      <c r="A250">
        <v>2050</v>
      </c>
      <c r="B250">
        <v>20388089</v>
      </c>
      <c r="C250" t="s">
        <v>34</v>
      </c>
      <c r="D250" t="s">
        <v>1</v>
      </c>
      <c r="E250">
        <v>2045</v>
      </c>
      <c r="F250">
        <v>20371427</v>
      </c>
      <c r="G250">
        <f t="shared" si="10"/>
        <v>2042.5</v>
      </c>
      <c r="H250">
        <f t="shared" si="11"/>
        <v>0.11670972226185809</v>
      </c>
    </row>
    <row r="251" spans="1:8" x14ac:dyDescent="0.2">
      <c r="E251">
        <v>2050</v>
      </c>
      <c r="F251">
        <v>20388089</v>
      </c>
      <c r="G251">
        <f t="shared" si="10"/>
        <v>2047.5</v>
      </c>
      <c r="H251">
        <f t="shared" si="11"/>
        <v>1.6351519903342108E-2</v>
      </c>
    </row>
  </sheetData>
  <pageMargins left="0.7" right="0.7" top="0.75" bottom="0.75" header="0.3" footer="0.3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179"/>
  <sheetViews>
    <sheetView topLeftCell="A138" workbookViewId="0">
      <selection activeCell="K158" sqref="K158"/>
    </sheetView>
  </sheetViews>
  <sheetFormatPr baseColWidth="10" defaultRowHeight="15" x14ac:dyDescent="0.2"/>
  <cols>
    <col min="4" max="4" width="12.1640625" customWidth="1"/>
  </cols>
  <sheetData>
    <row r="3" spans="1:8" x14ac:dyDescent="0.2">
      <c r="B3" s="7" t="s">
        <v>119</v>
      </c>
    </row>
    <row r="5" spans="1:8" x14ac:dyDescent="0.2">
      <c r="E5" t="s">
        <v>56</v>
      </c>
    </row>
    <row r="6" spans="1:8" x14ac:dyDescent="0.2">
      <c r="A6" t="s">
        <v>2</v>
      </c>
      <c r="E6" s="1"/>
      <c r="G6" t="s">
        <v>3</v>
      </c>
      <c r="H6" t="s">
        <v>9</v>
      </c>
    </row>
    <row r="7" spans="1:8" x14ac:dyDescent="0.2">
      <c r="A7">
        <v>1772</v>
      </c>
      <c r="B7">
        <v>2566000</v>
      </c>
      <c r="C7" t="s">
        <v>34</v>
      </c>
      <c r="D7" t="s">
        <v>120</v>
      </c>
      <c r="E7" s="1">
        <v>1790</v>
      </c>
      <c r="F7" s="1">
        <v>3226085.4299135017</v>
      </c>
    </row>
    <row r="8" spans="1:8" x14ac:dyDescent="0.2">
      <c r="A8">
        <v>1782</v>
      </c>
      <c r="B8">
        <v>2914000</v>
      </c>
      <c r="C8" t="s">
        <v>34</v>
      </c>
      <c r="D8" t="s">
        <v>120</v>
      </c>
      <c r="E8" s="1">
        <v>1800</v>
      </c>
      <c r="F8" s="1">
        <v>3659231.7279431964</v>
      </c>
      <c r="G8">
        <f>(E7+E8)/2</f>
        <v>1795</v>
      </c>
      <c r="H8">
        <f>(LN(F8/F7)/(E8-E7))*100</f>
        <v>1.2598375394430192</v>
      </c>
    </row>
    <row r="9" spans="1:8" x14ac:dyDescent="0.2">
      <c r="A9">
        <v>1792</v>
      </c>
      <c r="B9">
        <v>3307000</v>
      </c>
      <c r="C9" t="s">
        <v>34</v>
      </c>
      <c r="D9" t="s">
        <v>120</v>
      </c>
      <c r="E9" s="1">
        <v>1810</v>
      </c>
      <c r="F9" s="1">
        <v>4154725.4183719885</v>
      </c>
      <c r="G9">
        <f t="shared" ref="G9:G43" si="0">(E8+E9)/2</f>
        <v>1805</v>
      </c>
      <c r="H9">
        <f t="shared" ref="H9:H43" si="1">(LN(F9/F8)/(E9-E8))*100</f>
        <v>1.2699312651507597</v>
      </c>
    </row>
    <row r="10" spans="1:8" x14ac:dyDescent="0.2">
      <c r="A10">
        <v>1802</v>
      </c>
      <c r="B10">
        <v>3754000</v>
      </c>
      <c r="C10" t="s">
        <v>34</v>
      </c>
      <c r="D10" t="s">
        <v>120</v>
      </c>
      <c r="E10" s="1">
        <v>1820</v>
      </c>
      <c r="F10" s="1">
        <v>4717466.0899088793</v>
      </c>
      <c r="G10">
        <f t="shared" si="0"/>
        <v>1815</v>
      </c>
      <c r="H10">
        <f t="shared" si="1"/>
        <v>1.2702546859006603</v>
      </c>
    </row>
    <row r="11" spans="1:8" x14ac:dyDescent="0.2">
      <c r="A11">
        <v>1812</v>
      </c>
      <c r="B11">
        <v>4262000</v>
      </c>
      <c r="C11" t="s">
        <v>34</v>
      </c>
      <c r="D11" t="s">
        <v>120</v>
      </c>
      <c r="E11" s="1">
        <v>1830</v>
      </c>
      <c r="F11" s="1">
        <v>5354362.852333284</v>
      </c>
      <c r="G11">
        <f t="shared" si="0"/>
        <v>1825</v>
      </c>
      <c r="H11">
        <f t="shared" si="1"/>
        <v>1.2663990491085135</v>
      </c>
    </row>
    <row r="12" spans="1:8" x14ac:dyDescent="0.2">
      <c r="A12">
        <v>1822</v>
      </c>
      <c r="B12">
        <v>4838000</v>
      </c>
      <c r="C12" t="s">
        <v>34</v>
      </c>
      <c r="D12" t="s">
        <v>120</v>
      </c>
      <c r="E12" s="1">
        <v>1840</v>
      </c>
      <c r="F12" s="1">
        <v>6132195.8669553921</v>
      </c>
      <c r="G12">
        <f t="shared" si="0"/>
        <v>1835</v>
      </c>
      <c r="H12">
        <f t="shared" si="1"/>
        <v>1.3564118727602381</v>
      </c>
    </row>
    <row r="13" spans="1:8" x14ac:dyDescent="0.2">
      <c r="A13">
        <v>1832</v>
      </c>
      <c r="B13">
        <v>5519000</v>
      </c>
      <c r="C13" t="s">
        <v>34</v>
      </c>
      <c r="D13" t="s">
        <v>120</v>
      </c>
      <c r="E13" s="1">
        <v>1850</v>
      </c>
      <c r="F13" s="1">
        <v>7255766.9049442513</v>
      </c>
      <c r="G13">
        <f t="shared" si="0"/>
        <v>1845</v>
      </c>
      <c r="H13">
        <f t="shared" si="1"/>
        <v>1.6824368556743137</v>
      </c>
    </row>
    <row r="14" spans="1:8" x14ac:dyDescent="0.2">
      <c r="A14">
        <v>1842</v>
      </c>
      <c r="B14">
        <v>6425000</v>
      </c>
      <c r="C14" t="s">
        <v>34</v>
      </c>
      <c r="D14" t="s">
        <v>120</v>
      </c>
      <c r="E14" s="1">
        <v>1860</v>
      </c>
      <c r="F14" s="1">
        <v>8447425.5047332644</v>
      </c>
      <c r="G14">
        <f t="shared" si="0"/>
        <v>1855</v>
      </c>
      <c r="H14">
        <f t="shared" si="1"/>
        <v>1.5206513311004892</v>
      </c>
    </row>
    <row r="15" spans="1:8" x14ac:dyDescent="0.2">
      <c r="A15">
        <v>1852</v>
      </c>
      <c r="B15">
        <v>7480000</v>
      </c>
      <c r="C15" t="s">
        <v>34</v>
      </c>
      <c r="D15" t="s">
        <v>120</v>
      </c>
      <c r="E15" s="1">
        <v>1870</v>
      </c>
      <c r="F15" s="1">
        <v>9823876.4527714495</v>
      </c>
      <c r="G15">
        <f t="shared" si="0"/>
        <v>1865</v>
      </c>
      <c r="H15">
        <f t="shared" si="1"/>
        <v>1.5095407431370143</v>
      </c>
    </row>
    <row r="16" spans="1:8" x14ac:dyDescent="0.2">
      <c r="A16">
        <v>1862</v>
      </c>
      <c r="B16">
        <v>8703000</v>
      </c>
      <c r="C16" t="s">
        <v>34</v>
      </c>
      <c r="D16" t="s">
        <v>120</v>
      </c>
      <c r="E16" s="1">
        <v>1880</v>
      </c>
      <c r="F16" s="1">
        <v>11468813.899456972</v>
      </c>
      <c r="G16">
        <f t="shared" si="0"/>
        <v>1875</v>
      </c>
      <c r="H16">
        <f t="shared" si="1"/>
        <v>1.5481572158992998</v>
      </c>
    </row>
    <row r="17" spans="1:8" x14ac:dyDescent="0.2">
      <c r="A17">
        <v>1872</v>
      </c>
      <c r="B17">
        <v>10145000</v>
      </c>
      <c r="C17" t="s">
        <v>34</v>
      </c>
      <c r="D17" t="s">
        <v>120</v>
      </c>
      <c r="E17" s="1">
        <v>1890</v>
      </c>
      <c r="F17" s="1">
        <v>14433915</v>
      </c>
      <c r="G17">
        <f t="shared" si="0"/>
        <v>1885</v>
      </c>
      <c r="H17">
        <f t="shared" si="1"/>
        <v>2.2994912890514962</v>
      </c>
    </row>
    <row r="18" spans="1:8" x14ac:dyDescent="0.2">
      <c r="A18">
        <v>1890</v>
      </c>
      <c r="B18" s="1">
        <v>14433915</v>
      </c>
      <c r="C18" t="s">
        <v>34</v>
      </c>
      <c r="D18" t="s">
        <v>120</v>
      </c>
      <c r="E18" s="1">
        <v>1900</v>
      </c>
      <c r="F18" s="1">
        <v>18200000</v>
      </c>
      <c r="G18">
        <f t="shared" si="0"/>
        <v>1895</v>
      </c>
      <c r="H18">
        <f t="shared" si="1"/>
        <v>2.3184094832350084</v>
      </c>
    </row>
    <row r="19" spans="1:8" x14ac:dyDescent="0.2">
      <c r="A19">
        <v>1900</v>
      </c>
      <c r="B19" s="1">
        <v>18200000</v>
      </c>
      <c r="C19" t="s">
        <v>34</v>
      </c>
      <c r="D19" t="s">
        <v>120</v>
      </c>
      <c r="E19" s="1">
        <v>1910</v>
      </c>
      <c r="F19" s="1">
        <v>22371857.321197096</v>
      </c>
      <c r="G19">
        <f t="shared" si="0"/>
        <v>1905</v>
      </c>
      <c r="H19">
        <f t="shared" si="1"/>
        <v>2.0638220529488804</v>
      </c>
    </row>
    <row r="20" spans="1:8" x14ac:dyDescent="0.2">
      <c r="A20">
        <v>1920</v>
      </c>
      <c r="B20" s="1">
        <v>27500000</v>
      </c>
      <c r="C20" t="s">
        <v>34</v>
      </c>
      <c r="D20" t="s">
        <v>120</v>
      </c>
      <c r="E20" s="1">
        <v>1920</v>
      </c>
      <c r="F20" s="1">
        <v>27500000</v>
      </c>
      <c r="G20">
        <f t="shared" si="0"/>
        <v>1915</v>
      </c>
      <c r="H20">
        <f t="shared" si="1"/>
        <v>2.0638220529488787</v>
      </c>
    </row>
    <row r="21" spans="1:8" x14ac:dyDescent="0.2">
      <c r="A21">
        <v>1940</v>
      </c>
      <c r="B21">
        <v>41165289</v>
      </c>
      <c r="C21" t="s">
        <v>34</v>
      </c>
      <c r="D21" t="s">
        <v>120</v>
      </c>
      <c r="E21">
        <v>1930</v>
      </c>
      <c r="F21" s="1">
        <v>33645883.069106691</v>
      </c>
      <c r="G21">
        <f t="shared" si="0"/>
        <v>1925</v>
      </c>
      <c r="H21">
        <f t="shared" si="1"/>
        <v>2.0170469829018347</v>
      </c>
    </row>
    <row r="22" spans="1:8" x14ac:dyDescent="0.2">
      <c r="A22">
        <v>1950</v>
      </c>
      <c r="B22">
        <v>53974725</v>
      </c>
      <c r="C22" t="s">
        <v>34</v>
      </c>
      <c r="D22" t="s">
        <v>1</v>
      </c>
      <c r="E22">
        <v>1940</v>
      </c>
      <c r="F22">
        <v>41165289</v>
      </c>
      <c r="G22">
        <f t="shared" si="0"/>
        <v>1935</v>
      </c>
      <c r="H22">
        <f t="shared" si="1"/>
        <v>2.0170469829018329</v>
      </c>
    </row>
    <row r="23" spans="1:8" x14ac:dyDescent="0.2">
      <c r="A23">
        <v>1955</v>
      </c>
      <c r="B23">
        <v>62902109</v>
      </c>
      <c r="C23" t="s">
        <v>34</v>
      </c>
      <c r="D23" t="s">
        <v>1</v>
      </c>
      <c r="E23">
        <v>1950</v>
      </c>
      <c r="F23">
        <v>53974725</v>
      </c>
      <c r="G23">
        <f t="shared" si="0"/>
        <v>1945</v>
      </c>
      <c r="H23">
        <f t="shared" si="1"/>
        <v>2.7092048018363299</v>
      </c>
    </row>
    <row r="24" spans="1:8" x14ac:dyDescent="0.2">
      <c r="A24">
        <v>1960</v>
      </c>
      <c r="B24">
        <v>72773930</v>
      </c>
      <c r="C24" t="s">
        <v>34</v>
      </c>
      <c r="D24" t="s">
        <v>1</v>
      </c>
      <c r="E24">
        <v>1955</v>
      </c>
      <c r="F24">
        <v>62902109</v>
      </c>
      <c r="G24">
        <f t="shared" si="0"/>
        <v>1952.5</v>
      </c>
      <c r="H24">
        <f t="shared" si="1"/>
        <v>3.0612762223907186</v>
      </c>
    </row>
    <row r="25" spans="1:8" x14ac:dyDescent="0.2">
      <c r="A25">
        <v>1965</v>
      </c>
      <c r="B25">
        <v>84376309</v>
      </c>
      <c r="C25" t="s">
        <v>34</v>
      </c>
      <c r="D25" t="s">
        <v>1</v>
      </c>
      <c r="E25">
        <v>1960</v>
      </c>
      <c r="F25">
        <v>72773930</v>
      </c>
      <c r="G25">
        <f t="shared" si="0"/>
        <v>1957.5</v>
      </c>
      <c r="H25">
        <f t="shared" si="1"/>
        <v>2.9155618823256741</v>
      </c>
    </row>
    <row r="26" spans="1:8" x14ac:dyDescent="0.2">
      <c r="A26">
        <v>1970</v>
      </c>
      <c r="B26">
        <v>96057227</v>
      </c>
      <c r="C26" t="s">
        <v>34</v>
      </c>
      <c r="D26" t="s">
        <v>1</v>
      </c>
      <c r="E26">
        <v>1965</v>
      </c>
      <c r="F26">
        <v>84376309</v>
      </c>
      <c r="G26">
        <f t="shared" si="0"/>
        <v>1962.5</v>
      </c>
      <c r="H26">
        <f t="shared" si="1"/>
        <v>2.9585775294816186</v>
      </c>
    </row>
    <row r="27" spans="1:8" x14ac:dyDescent="0.2">
      <c r="A27">
        <v>1975</v>
      </c>
      <c r="B27">
        <v>108217709</v>
      </c>
      <c r="C27" t="s">
        <v>34</v>
      </c>
      <c r="D27" t="s">
        <v>1</v>
      </c>
      <c r="E27">
        <v>1970</v>
      </c>
      <c r="F27">
        <v>96057227</v>
      </c>
      <c r="G27">
        <f t="shared" si="0"/>
        <v>1967.5</v>
      </c>
      <c r="H27">
        <f t="shared" si="1"/>
        <v>2.593149305980484</v>
      </c>
    </row>
    <row r="28" spans="1:8" x14ac:dyDescent="0.2">
      <c r="A28">
        <v>1980</v>
      </c>
      <c r="B28">
        <v>121737617</v>
      </c>
      <c r="C28" t="s">
        <v>34</v>
      </c>
      <c r="D28" t="s">
        <v>1</v>
      </c>
      <c r="E28">
        <v>1975</v>
      </c>
      <c r="F28">
        <v>108217709</v>
      </c>
      <c r="G28">
        <f t="shared" si="0"/>
        <v>1972.5</v>
      </c>
      <c r="H28">
        <f t="shared" si="1"/>
        <v>2.3840178741167701</v>
      </c>
    </row>
    <row r="29" spans="1:8" x14ac:dyDescent="0.2">
      <c r="A29">
        <v>1985</v>
      </c>
      <c r="B29">
        <v>136219522</v>
      </c>
      <c r="C29" t="s">
        <v>34</v>
      </c>
      <c r="D29" t="s">
        <v>1</v>
      </c>
      <c r="E29">
        <v>1980</v>
      </c>
      <c r="F29">
        <v>121737617</v>
      </c>
      <c r="G29">
        <f t="shared" si="0"/>
        <v>1977.5</v>
      </c>
      <c r="H29">
        <f t="shared" si="1"/>
        <v>2.3544605243973495</v>
      </c>
    </row>
    <row r="30" spans="1:8" x14ac:dyDescent="0.2">
      <c r="A30">
        <v>1990</v>
      </c>
      <c r="B30">
        <v>149644561</v>
      </c>
      <c r="C30" t="s">
        <v>34</v>
      </c>
      <c r="D30" t="s">
        <v>1</v>
      </c>
      <c r="E30">
        <v>1985</v>
      </c>
      <c r="F30">
        <v>136219522</v>
      </c>
      <c r="G30">
        <f t="shared" si="0"/>
        <v>1982.5</v>
      </c>
      <c r="H30">
        <f t="shared" si="1"/>
        <v>2.2479933681269717</v>
      </c>
    </row>
    <row r="31" spans="1:8" x14ac:dyDescent="0.2">
      <c r="A31">
        <v>1995</v>
      </c>
      <c r="B31">
        <v>161888069</v>
      </c>
      <c r="C31" t="s">
        <v>34</v>
      </c>
      <c r="D31" t="s">
        <v>1</v>
      </c>
      <c r="E31">
        <v>1990</v>
      </c>
      <c r="F31">
        <v>149644561</v>
      </c>
      <c r="G31">
        <f t="shared" si="0"/>
        <v>1987.5</v>
      </c>
      <c r="H31">
        <f t="shared" si="1"/>
        <v>1.8799034411234217</v>
      </c>
    </row>
    <row r="32" spans="1:8" x14ac:dyDescent="0.2">
      <c r="A32">
        <v>2000</v>
      </c>
      <c r="B32">
        <v>174506057</v>
      </c>
      <c r="C32" t="s">
        <v>34</v>
      </c>
      <c r="D32" t="s">
        <v>1</v>
      </c>
      <c r="E32">
        <v>1995</v>
      </c>
      <c r="F32">
        <v>161888069</v>
      </c>
      <c r="G32">
        <f t="shared" si="0"/>
        <v>1992.5</v>
      </c>
      <c r="H32">
        <f t="shared" si="1"/>
        <v>1.5728455099271244</v>
      </c>
    </row>
    <row r="33" spans="1:8" x14ac:dyDescent="0.2">
      <c r="A33">
        <v>2005</v>
      </c>
      <c r="B33">
        <v>186146068</v>
      </c>
      <c r="C33" t="s">
        <v>34</v>
      </c>
      <c r="D33" t="s">
        <v>1</v>
      </c>
      <c r="E33">
        <v>2000</v>
      </c>
      <c r="F33">
        <v>174506057</v>
      </c>
      <c r="G33">
        <f t="shared" si="0"/>
        <v>1997.5</v>
      </c>
      <c r="H33">
        <f t="shared" si="1"/>
        <v>1.5010857462354084</v>
      </c>
    </row>
    <row r="34" spans="1:8" x14ac:dyDescent="0.2">
      <c r="A34">
        <v>2010</v>
      </c>
      <c r="B34">
        <v>195153373</v>
      </c>
      <c r="C34" t="s">
        <v>34</v>
      </c>
      <c r="D34" t="s">
        <v>1</v>
      </c>
      <c r="E34">
        <v>2005</v>
      </c>
      <c r="F34">
        <v>186146068</v>
      </c>
      <c r="G34">
        <f t="shared" si="0"/>
        <v>2002.5</v>
      </c>
      <c r="H34">
        <f t="shared" si="1"/>
        <v>1.2914445140673056</v>
      </c>
    </row>
    <row r="35" spans="1:8" x14ac:dyDescent="0.2">
      <c r="A35">
        <v>2015</v>
      </c>
      <c r="B35">
        <v>202955839</v>
      </c>
      <c r="C35" t="s">
        <v>34</v>
      </c>
      <c r="D35" t="s">
        <v>1</v>
      </c>
      <c r="E35">
        <v>2010</v>
      </c>
      <c r="F35">
        <v>195153373</v>
      </c>
      <c r="G35">
        <f t="shared" si="0"/>
        <v>2007.5</v>
      </c>
      <c r="H35">
        <f t="shared" si="1"/>
        <v>0.94508200544984633</v>
      </c>
    </row>
    <row r="36" spans="1:8" x14ac:dyDescent="0.2">
      <c r="A36">
        <v>2020</v>
      </c>
      <c r="B36">
        <v>209474415</v>
      </c>
      <c r="C36" t="s">
        <v>34</v>
      </c>
      <c r="D36" t="s">
        <v>1</v>
      </c>
      <c r="E36">
        <v>2015</v>
      </c>
      <c r="F36">
        <v>202955839</v>
      </c>
      <c r="G36">
        <f t="shared" si="0"/>
        <v>2012.5</v>
      </c>
      <c r="H36">
        <f t="shared" si="1"/>
        <v>0.78405271773082374</v>
      </c>
    </row>
    <row r="37" spans="1:8" x14ac:dyDescent="0.2">
      <c r="A37">
        <v>2025</v>
      </c>
      <c r="B37">
        <v>214708697</v>
      </c>
      <c r="C37" t="s">
        <v>34</v>
      </c>
      <c r="D37" t="s">
        <v>1</v>
      </c>
      <c r="E37">
        <v>2020</v>
      </c>
      <c r="F37">
        <v>209474415</v>
      </c>
      <c r="G37">
        <f t="shared" si="0"/>
        <v>2017.5</v>
      </c>
      <c r="H37">
        <f t="shared" si="1"/>
        <v>0.63226388590447613</v>
      </c>
    </row>
    <row r="38" spans="1:8" x14ac:dyDescent="0.2">
      <c r="A38">
        <v>2030</v>
      </c>
      <c r="B38">
        <v>218960853</v>
      </c>
      <c r="C38" t="s">
        <v>34</v>
      </c>
      <c r="D38" t="s">
        <v>1</v>
      </c>
      <c r="E38">
        <v>2025</v>
      </c>
      <c r="F38">
        <v>214708697</v>
      </c>
      <c r="G38">
        <f t="shared" si="0"/>
        <v>2022.5</v>
      </c>
      <c r="H38">
        <f t="shared" si="1"/>
        <v>0.49361207900076848</v>
      </c>
    </row>
    <row r="39" spans="1:8" x14ac:dyDescent="0.2">
      <c r="A39">
        <v>2035</v>
      </c>
      <c r="B39">
        <v>221997255</v>
      </c>
      <c r="C39" t="s">
        <v>34</v>
      </c>
      <c r="D39" t="s">
        <v>1</v>
      </c>
      <c r="E39">
        <v>2030</v>
      </c>
      <c r="F39">
        <v>218960853</v>
      </c>
      <c r="G39">
        <f t="shared" si="0"/>
        <v>2027.5</v>
      </c>
      <c r="H39">
        <f t="shared" si="1"/>
        <v>0.39221497328164845</v>
      </c>
    </row>
    <row r="40" spans="1:8" x14ac:dyDescent="0.2">
      <c r="A40">
        <v>2040</v>
      </c>
      <c r="B40">
        <v>223638576</v>
      </c>
      <c r="C40" t="s">
        <v>34</v>
      </c>
      <c r="D40" t="s">
        <v>1</v>
      </c>
      <c r="E40">
        <v>2035</v>
      </c>
      <c r="F40">
        <v>221997255</v>
      </c>
      <c r="G40">
        <f t="shared" si="0"/>
        <v>2032.5</v>
      </c>
      <c r="H40">
        <f t="shared" si="1"/>
        <v>0.27544113034846596</v>
      </c>
    </row>
    <row r="41" spans="1:8" x14ac:dyDescent="0.2">
      <c r="A41">
        <v>2045</v>
      </c>
      <c r="B41">
        <v>223956821</v>
      </c>
      <c r="C41" t="s">
        <v>34</v>
      </c>
      <c r="D41" t="s">
        <v>1</v>
      </c>
      <c r="E41">
        <v>2040</v>
      </c>
      <c r="F41">
        <v>223638576</v>
      </c>
      <c r="G41">
        <f t="shared" si="0"/>
        <v>2037.5</v>
      </c>
      <c r="H41">
        <f t="shared" si="1"/>
        <v>0.1473246366212721</v>
      </c>
    </row>
    <row r="42" spans="1:8" x14ac:dyDescent="0.2">
      <c r="A42">
        <v>2050</v>
      </c>
      <c r="B42">
        <v>223073824</v>
      </c>
      <c r="C42" t="s">
        <v>34</v>
      </c>
      <c r="D42" t="s">
        <v>1</v>
      </c>
      <c r="E42">
        <v>2045</v>
      </c>
      <c r="F42">
        <v>223956821</v>
      </c>
      <c r="G42">
        <f t="shared" si="0"/>
        <v>2042.5</v>
      </c>
      <c r="H42">
        <f t="shared" si="1"/>
        <v>2.8440422377987752E-2</v>
      </c>
    </row>
    <row r="43" spans="1:8" x14ac:dyDescent="0.2">
      <c r="E43">
        <v>2050</v>
      </c>
      <c r="F43">
        <v>223073824</v>
      </c>
      <c r="G43">
        <f t="shared" si="0"/>
        <v>2047.5</v>
      </c>
      <c r="H43">
        <f t="shared" si="1"/>
        <v>-7.901007756393795E-2</v>
      </c>
    </row>
    <row r="45" spans="1:8" x14ac:dyDescent="0.2">
      <c r="B45" s="7" t="s">
        <v>121</v>
      </c>
    </row>
    <row r="46" spans="1:8" x14ac:dyDescent="0.2">
      <c r="E46" t="s">
        <v>56</v>
      </c>
    </row>
    <row r="47" spans="1:8" x14ac:dyDescent="0.2">
      <c r="A47" t="s">
        <v>2</v>
      </c>
      <c r="E47" s="1"/>
      <c r="G47" t="s">
        <v>3</v>
      </c>
      <c r="H47" t="s">
        <v>9</v>
      </c>
    </row>
    <row r="48" spans="1:8" x14ac:dyDescent="0.2">
      <c r="A48">
        <v>1796</v>
      </c>
      <c r="B48">
        <v>97480</v>
      </c>
      <c r="C48" t="s">
        <v>34</v>
      </c>
      <c r="D48" t="s">
        <v>122</v>
      </c>
      <c r="E48" s="1">
        <v>1800</v>
      </c>
      <c r="F48" s="1">
        <v>105054.23557319281</v>
      </c>
    </row>
    <row r="49" spans="1:8" x14ac:dyDescent="0.2">
      <c r="A49">
        <v>1846</v>
      </c>
      <c r="B49">
        <v>248394</v>
      </c>
      <c r="C49" t="s">
        <v>34</v>
      </c>
      <c r="D49" t="s">
        <v>123</v>
      </c>
      <c r="E49" s="1">
        <v>1810</v>
      </c>
      <c r="F49" s="1">
        <v>126665.59954282762</v>
      </c>
      <c r="G49">
        <f t="shared" ref="G49:G83" si="2">(E48+E49)/2</f>
        <v>1805</v>
      </c>
      <c r="H49">
        <f t="shared" ref="H49:H83" si="3">(LN(F49/F48)/(E49-E48))*100</f>
        <v>1.8707379328424387</v>
      </c>
    </row>
    <row r="50" spans="1:8" x14ac:dyDescent="0.2">
      <c r="A50">
        <v>1846</v>
      </c>
      <c r="B50">
        <v>238862</v>
      </c>
      <c r="C50" t="s">
        <v>34</v>
      </c>
      <c r="D50" t="s">
        <v>124</v>
      </c>
      <c r="E50" s="1">
        <v>1820</v>
      </c>
      <c r="F50" s="1">
        <v>152722.7723851816</v>
      </c>
      <c r="G50">
        <f t="shared" si="2"/>
        <v>1815</v>
      </c>
      <c r="H50">
        <f t="shared" si="3"/>
        <v>1.8707379328424387</v>
      </c>
    </row>
    <row r="51" spans="1:8" x14ac:dyDescent="0.2">
      <c r="A51">
        <v>1865</v>
      </c>
      <c r="B51">
        <v>353069</v>
      </c>
      <c r="C51" t="s">
        <v>34</v>
      </c>
      <c r="D51" t="s">
        <v>125</v>
      </c>
      <c r="E51">
        <v>1830</v>
      </c>
      <c r="F51" s="1">
        <v>184140.32925435051</v>
      </c>
      <c r="G51">
        <f t="shared" si="2"/>
        <v>1825</v>
      </c>
      <c r="H51">
        <f t="shared" si="3"/>
        <v>1.8707379328424387</v>
      </c>
    </row>
    <row r="52" spans="1:8" x14ac:dyDescent="0.2">
      <c r="A52">
        <v>1865</v>
      </c>
      <c r="B52">
        <v>320000</v>
      </c>
      <c r="C52" t="s">
        <v>34</v>
      </c>
      <c r="D52" t="s">
        <v>126</v>
      </c>
      <c r="E52" s="1">
        <v>1840</v>
      </c>
      <c r="F52" s="1">
        <v>222020.98828053105</v>
      </c>
      <c r="G52">
        <f t="shared" si="2"/>
        <v>1835</v>
      </c>
      <c r="H52">
        <f t="shared" si="3"/>
        <v>1.8707379328424387</v>
      </c>
    </row>
    <row r="53" spans="1:8" x14ac:dyDescent="0.2">
      <c r="A53">
        <v>1872</v>
      </c>
      <c r="B53">
        <v>231000</v>
      </c>
      <c r="C53" t="s">
        <v>34</v>
      </c>
      <c r="D53" t="s">
        <v>126</v>
      </c>
      <c r="E53" s="1">
        <v>1850</v>
      </c>
      <c r="F53" s="1">
        <v>267480.64479876577</v>
      </c>
      <c r="G53">
        <f t="shared" si="2"/>
        <v>1845</v>
      </c>
      <c r="H53">
        <f t="shared" si="3"/>
        <v>1.8627528861810436</v>
      </c>
    </row>
    <row r="54" spans="1:8" x14ac:dyDescent="0.2">
      <c r="A54">
        <v>1872</v>
      </c>
      <c r="B54">
        <v>116351</v>
      </c>
      <c r="C54" t="s">
        <v>34</v>
      </c>
      <c r="D54" t="s">
        <v>127</v>
      </c>
      <c r="E54" s="1">
        <v>1860</v>
      </c>
      <c r="F54" s="1">
        <v>321862.59776002978</v>
      </c>
      <c r="G54">
        <f t="shared" si="2"/>
        <v>1855</v>
      </c>
      <c r="H54">
        <f t="shared" si="3"/>
        <v>1.8507753161889513</v>
      </c>
    </row>
    <row r="55" spans="1:8" x14ac:dyDescent="0.2">
      <c r="A55">
        <v>1873</v>
      </c>
      <c r="B55">
        <v>221079</v>
      </c>
      <c r="C55" t="s">
        <v>34</v>
      </c>
      <c r="D55" t="s">
        <v>128</v>
      </c>
      <c r="E55" s="1">
        <v>1870</v>
      </c>
      <c r="F55" s="1">
        <v>179279.40085011176</v>
      </c>
      <c r="G55">
        <f t="shared" si="2"/>
        <v>1865</v>
      </c>
      <c r="H55">
        <f t="shared" si="3"/>
        <v>-5.8517925193599485</v>
      </c>
    </row>
    <row r="56" spans="1:8" x14ac:dyDescent="0.2">
      <c r="A56">
        <v>1886</v>
      </c>
      <c r="B56">
        <v>329645</v>
      </c>
      <c r="C56" t="s">
        <v>7</v>
      </c>
      <c r="D56" t="s">
        <v>129</v>
      </c>
      <c r="E56" s="1">
        <v>1880</v>
      </c>
      <c r="F56" s="1">
        <v>243776.12109768117</v>
      </c>
      <c r="G56">
        <f t="shared" si="2"/>
        <v>1875</v>
      </c>
      <c r="H56">
        <f t="shared" si="3"/>
        <v>3.0730478010534421</v>
      </c>
    </row>
    <row r="57" spans="1:8" x14ac:dyDescent="0.2">
      <c r="A57">
        <v>1899</v>
      </c>
      <c r="B57">
        <v>490719</v>
      </c>
      <c r="C57" t="s">
        <v>34</v>
      </c>
      <c r="D57" t="s">
        <v>130</v>
      </c>
      <c r="E57" s="1">
        <v>1890</v>
      </c>
      <c r="F57" s="1">
        <v>331057.75298020616</v>
      </c>
      <c r="G57">
        <f t="shared" si="2"/>
        <v>1885</v>
      </c>
      <c r="H57">
        <f t="shared" si="3"/>
        <v>3.0604257284585525</v>
      </c>
    </row>
    <row r="58" spans="1:8" x14ac:dyDescent="0.2">
      <c r="A58">
        <v>1920</v>
      </c>
      <c r="B58">
        <v>699000</v>
      </c>
      <c r="C58" t="s">
        <v>34</v>
      </c>
      <c r="D58" t="s">
        <v>130</v>
      </c>
      <c r="E58" s="1">
        <v>1900</v>
      </c>
      <c r="F58" s="1">
        <v>499055.98576724122</v>
      </c>
      <c r="G58">
        <f t="shared" si="2"/>
        <v>1895</v>
      </c>
      <c r="H58">
        <f t="shared" si="3"/>
        <v>4.1042544492447872</v>
      </c>
    </row>
    <row r="59" spans="1:8" x14ac:dyDescent="0.2">
      <c r="A59">
        <v>1930</v>
      </c>
      <c r="B59">
        <v>880000</v>
      </c>
      <c r="C59" t="s">
        <v>34</v>
      </c>
      <c r="D59" t="s">
        <v>130</v>
      </c>
      <c r="E59" s="1">
        <v>1910</v>
      </c>
      <c r="F59" s="1">
        <v>590626.89919381565</v>
      </c>
      <c r="G59">
        <f t="shared" si="2"/>
        <v>1905</v>
      </c>
      <c r="H59">
        <f t="shared" si="3"/>
        <v>1.6846622842472438</v>
      </c>
    </row>
    <row r="60" spans="1:8" x14ac:dyDescent="0.2">
      <c r="A60">
        <v>1932</v>
      </c>
      <c r="B60">
        <v>922000</v>
      </c>
      <c r="C60" t="s">
        <v>34</v>
      </c>
      <c r="D60" t="s">
        <v>130</v>
      </c>
      <c r="E60" s="1">
        <v>1920</v>
      </c>
      <c r="F60">
        <v>699000</v>
      </c>
      <c r="G60">
        <f t="shared" si="2"/>
        <v>1915</v>
      </c>
      <c r="H60">
        <f t="shared" si="3"/>
        <v>1.6846622842472416</v>
      </c>
    </row>
    <row r="61" spans="1:8" x14ac:dyDescent="0.2">
      <c r="A61">
        <v>1935</v>
      </c>
      <c r="B61">
        <v>988000</v>
      </c>
      <c r="C61" t="s">
        <v>34</v>
      </c>
      <c r="D61" t="s">
        <v>130</v>
      </c>
      <c r="E61" s="1">
        <v>1930</v>
      </c>
      <c r="F61">
        <v>880000</v>
      </c>
      <c r="G61">
        <f t="shared" si="2"/>
        <v>1925</v>
      </c>
      <c r="H61">
        <f t="shared" si="3"/>
        <v>2.3027116523844193</v>
      </c>
    </row>
    <row r="62" spans="1:8" x14ac:dyDescent="0.2">
      <c r="A62">
        <v>1940</v>
      </c>
      <c r="B62">
        <v>1112000</v>
      </c>
      <c r="C62" t="s">
        <v>34</v>
      </c>
      <c r="D62" t="s">
        <v>130</v>
      </c>
      <c r="E62" s="1">
        <v>1940</v>
      </c>
      <c r="F62">
        <v>1112000</v>
      </c>
      <c r="G62">
        <f t="shared" si="2"/>
        <v>1935</v>
      </c>
      <c r="H62">
        <f t="shared" si="3"/>
        <v>2.3399356733827559</v>
      </c>
    </row>
    <row r="63" spans="1:8" x14ac:dyDescent="0.2">
      <c r="A63">
        <v>1950</v>
      </c>
      <c r="B63" s="1">
        <v>1473245</v>
      </c>
      <c r="C63" t="s">
        <v>34</v>
      </c>
      <c r="D63" t="s">
        <v>1</v>
      </c>
      <c r="E63" s="1">
        <v>1950</v>
      </c>
      <c r="F63">
        <v>1473245</v>
      </c>
      <c r="G63">
        <f t="shared" si="2"/>
        <v>1945</v>
      </c>
      <c r="H63">
        <f t="shared" si="3"/>
        <v>2.8130725504461718</v>
      </c>
    </row>
    <row r="64" spans="1:8" x14ac:dyDescent="0.2">
      <c r="A64">
        <v>1955</v>
      </c>
      <c r="B64" s="1">
        <v>1674562</v>
      </c>
      <c r="C64" t="s">
        <v>34</v>
      </c>
      <c r="D64" t="s">
        <v>1</v>
      </c>
      <c r="E64" s="1">
        <v>1955</v>
      </c>
      <c r="F64">
        <v>1674562</v>
      </c>
      <c r="G64">
        <f t="shared" si="2"/>
        <v>1952.5</v>
      </c>
      <c r="H64">
        <f t="shared" si="3"/>
        <v>2.5616837534314714</v>
      </c>
    </row>
    <row r="65" spans="1:8" x14ac:dyDescent="0.2">
      <c r="A65">
        <v>1960</v>
      </c>
      <c r="B65" s="1">
        <v>1906642</v>
      </c>
      <c r="C65" t="s">
        <v>34</v>
      </c>
      <c r="D65" t="s">
        <v>1</v>
      </c>
      <c r="E65" s="1">
        <v>1960</v>
      </c>
      <c r="F65">
        <v>1906642</v>
      </c>
      <c r="G65">
        <f t="shared" si="2"/>
        <v>1957.5</v>
      </c>
      <c r="H65">
        <f t="shared" si="3"/>
        <v>2.5958388206478769</v>
      </c>
    </row>
    <row r="66" spans="1:8" x14ac:dyDescent="0.2">
      <c r="A66">
        <v>1965</v>
      </c>
      <c r="B66" s="1">
        <v>2177486</v>
      </c>
      <c r="C66" t="s">
        <v>34</v>
      </c>
      <c r="D66" t="s">
        <v>1</v>
      </c>
      <c r="E66" s="1">
        <v>1965</v>
      </c>
      <c r="F66">
        <v>2177486</v>
      </c>
      <c r="G66">
        <f t="shared" si="2"/>
        <v>1962.5</v>
      </c>
      <c r="H66">
        <f t="shared" si="3"/>
        <v>2.6565484151074568</v>
      </c>
    </row>
    <row r="67" spans="1:8" x14ac:dyDescent="0.2">
      <c r="A67">
        <v>1970</v>
      </c>
      <c r="B67" s="1">
        <v>2484175</v>
      </c>
      <c r="C67" t="s">
        <v>34</v>
      </c>
      <c r="D67" t="s">
        <v>1</v>
      </c>
      <c r="E67" s="1">
        <v>1970</v>
      </c>
      <c r="F67">
        <v>2484175</v>
      </c>
      <c r="G67">
        <f t="shared" si="2"/>
        <v>1967.5</v>
      </c>
      <c r="H67">
        <f t="shared" si="3"/>
        <v>2.6353922428601084</v>
      </c>
    </row>
    <row r="68" spans="1:8" x14ac:dyDescent="0.2">
      <c r="A68">
        <v>1975</v>
      </c>
      <c r="B68" s="1">
        <v>2804519</v>
      </c>
      <c r="C68" t="s">
        <v>34</v>
      </c>
      <c r="D68" t="s">
        <v>1</v>
      </c>
      <c r="E68">
        <v>1975</v>
      </c>
      <c r="F68">
        <v>2804519</v>
      </c>
      <c r="G68">
        <f t="shared" si="2"/>
        <v>1972.5</v>
      </c>
      <c r="H68">
        <f t="shared" si="3"/>
        <v>2.4258286458824849</v>
      </c>
    </row>
    <row r="69" spans="1:8" x14ac:dyDescent="0.2">
      <c r="A69">
        <v>1980</v>
      </c>
      <c r="B69" s="1">
        <v>3197755</v>
      </c>
      <c r="C69" t="s">
        <v>34</v>
      </c>
      <c r="D69" t="s">
        <v>1</v>
      </c>
      <c r="E69">
        <v>1980</v>
      </c>
      <c r="F69">
        <v>3197755</v>
      </c>
      <c r="G69">
        <f t="shared" si="2"/>
        <v>1977.5</v>
      </c>
      <c r="H69">
        <f t="shared" si="3"/>
        <v>2.6243391265214235</v>
      </c>
    </row>
    <row r="70" spans="1:8" x14ac:dyDescent="0.2">
      <c r="A70">
        <v>1985</v>
      </c>
      <c r="B70" s="1">
        <v>3701942</v>
      </c>
      <c r="C70" t="s">
        <v>34</v>
      </c>
      <c r="D70" t="s">
        <v>1</v>
      </c>
      <c r="E70">
        <v>1985</v>
      </c>
      <c r="F70">
        <v>3701942</v>
      </c>
      <c r="G70">
        <f t="shared" si="2"/>
        <v>1982.5</v>
      </c>
      <c r="H70">
        <f t="shared" si="3"/>
        <v>2.9281709145221946</v>
      </c>
    </row>
    <row r="71" spans="1:8" x14ac:dyDescent="0.2">
      <c r="A71">
        <v>1990</v>
      </c>
      <c r="B71" s="1">
        <v>4247663</v>
      </c>
      <c r="C71" t="s">
        <v>34</v>
      </c>
      <c r="D71" t="s">
        <v>1</v>
      </c>
      <c r="E71">
        <v>1990</v>
      </c>
      <c r="F71">
        <v>4247663</v>
      </c>
      <c r="G71">
        <f t="shared" si="2"/>
        <v>1987.5</v>
      </c>
      <c r="H71">
        <f t="shared" si="3"/>
        <v>2.7502280504195786</v>
      </c>
    </row>
    <row r="72" spans="1:8" x14ac:dyDescent="0.2">
      <c r="A72">
        <v>1995</v>
      </c>
      <c r="B72" s="1">
        <v>4798977</v>
      </c>
      <c r="C72" t="s">
        <v>34</v>
      </c>
      <c r="D72" t="s">
        <v>1</v>
      </c>
      <c r="E72">
        <v>1995</v>
      </c>
      <c r="F72">
        <v>4798977</v>
      </c>
      <c r="G72">
        <f t="shared" si="2"/>
        <v>1992.5</v>
      </c>
      <c r="H72">
        <f t="shared" si="3"/>
        <v>2.4406764171369471</v>
      </c>
    </row>
    <row r="73" spans="1:8" x14ac:dyDescent="0.2">
      <c r="A73">
        <v>2000</v>
      </c>
      <c r="B73" s="1">
        <v>5349035</v>
      </c>
      <c r="C73" t="s">
        <v>34</v>
      </c>
      <c r="D73" t="s">
        <v>1</v>
      </c>
      <c r="E73">
        <v>2000</v>
      </c>
      <c r="F73">
        <v>5349035</v>
      </c>
      <c r="G73">
        <f t="shared" si="2"/>
        <v>1997.5</v>
      </c>
      <c r="H73">
        <f t="shared" si="3"/>
        <v>2.1702680121467703</v>
      </c>
    </row>
    <row r="74" spans="1:8" x14ac:dyDescent="0.2">
      <c r="A74">
        <v>2005</v>
      </c>
      <c r="B74" s="1">
        <v>5903747</v>
      </c>
      <c r="C74" t="s">
        <v>34</v>
      </c>
      <c r="D74" t="s">
        <v>1</v>
      </c>
      <c r="E74">
        <v>2005</v>
      </c>
      <c r="F74">
        <v>5903747</v>
      </c>
      <c r="G74">
        <f t="shared" si="2"/>
        <v>2002.5</v>
      </c>
      <c r="H74">
        <f t="shared" si="3"/>
        <v>1.9734212653927754</v>
      </c>
    </row>
    <row r="75" spans="1:8" x14ac:dyDescent="0.2">
      <c r="A75">
        <v>2010</v>
      </c>
      <c r="B75" s="1">
        <v>6459617</v>
      </c>
      <c r="C75" t="s">
        <v>34</v>
      </c>
      <c r="D75" t="s">
        <v>1</v>
      </c>
      <c r="E75">
        <v>2010</v>
      </c>
      <c r="F75">
        <v>6459617</v>
      </c>
      <c r="G75">
        <f t="shared" si="2"/>
        <v>2007.5</v>
      </c>
      <c r="H75">
        <f t="shared" si="3"/>
        <v>1.7996558806950633</v>
      </c>
    </row>
    <row r="76" spans="1:8" x14ac:dyDescent="0.2">
      <c r="A76">
        <v>2015</v>
      </c>
      <c r="B76" s="1">
        <v>7006800</v>
      </c>
      <c r="C76" t="s">
        <v>34</v>
      </c>
      <c r="D76" t="s">
        <v>1</v>
      </c>
      <c r="E76">
        <v>2015</v>
      </c>
      <c r="F76">
        <v>7006800</v>
      </c>
      <c r="G76">
        <f t="shared" si="2"/>
        <v>2012.5</v>
      </c>
      <c r="H76">
        <f t="shared" si="3"/>
        <v>1.6262215596827976</v>
      </c>
    </row>
    <row r="77" spans="1:8" x14ac:dyDescent="0.2">
      <c r="A77">
        <v>2020</v>
      </c>
      <c r="B77" s="1">
        <v>7532565</v>
      </c>
      <c r="C77" t="s">
        <v>34</v>
      </c>
      <c r="D77" t="s">
        <v>1</v>
      </c>
      <c r="E77">
        <v>2020</v>
      </c>
      <c r="F77">
        <v>7532565</v>
      </c>
      <c r="G77">
        <f t="shared" si="2"/>
        <v>2017.5</v>
      </c>
      <c r="H77">
        <f t="shared" si="3"/>
        <v>1.4470903032576341</v>
      </c>
    </row>
    <row r="78" spans="1:8" x14ac:dyDescent="0.2">
      <c r="A78">
        <v>2025</v>
      </c>
      <c r="B78" s="1">
        <v>8025815</v>
      </c>
      <c r="C78" t="s">
        <v>34</v>
      </c>
      <c r="D78" t="s">
        <v>1</v>
      </c>
      <c r="E78">
        <v>2025</v>
      </c>
      <c r="F78">
        <v>8025815</v>
      </c>
      <c r="G78">
        <f t="shared" si="2"/>
        <v>2022.5</v>
      </c>
      <c r="H78">
        <f t="shared" si="3"/>
        <v>1.2685520046722829</v>
      </c>
    </row>
    <row r="79" spans="1:8" x14ac:dyDescent="0.2">
      <c r="A79">
        <v>2030</v>
      </c>
      <c r="B79" s="1">
        <v>8482616</v>
      </c>
      <c r="C79" t="s">
        <v>34</v>
      </c>
      <c r="D79" t="s">
        <v>1</v>
      </c>
      <c r="E79">
        <v>2030</v>
      </c>
      <c r="F79">
        <v>8482616</v>
      </c>
      <c r="G79">
        <f t="shared" si="2"/>
        <v>2027.5</v>
      </c>
      <c r="H79">
        <f t="shared" si="3"/>
        <v>1.1071134260913476</v>
      </c>
    </row>
    <row r="80" spans="1:8" x14ac:dyDescent="0.2">
      <c r="A80">
        <v>2035</v>
      </c>
      <c r="B80" s="1">
        <v>8896389</v>
      </c>
      <c r="C80" t="s">
        <v>34</v>
      </c>
      <c r="D80" t="s">
        <v>1</v>
      </c>
      <c r="E80">
        <v>2035</v>
      </c>
      <c r="F80">
        <v>8896389</v>
      </c>
      <c r="G80">
        <f t="shared" si="2"/>
        <v>2032.5</v>
      </c>
      <c r="H80">
        <f t="shared" si="3"/>
        <v>0.95253142547547331</v>
      </c>
    </row>
    <row r="81" spans="1:8" x14ac:dyDescent="0.2">
      <c r="A81">
        <v>2040</v>
      </c>
      <c r="B81" s="1">
        <v>9266002</v>
      </c>
      <c r="C81" t="s">
        <v>34</v>
      </c>
      <c r="D81" t="s">
        <v>1</v>
      </c>
      <c r="E81">
        <v>2040</v>
      </c>
      <c r="F81">
        <v>9266002</v>
      </c>
      <c r="G81">
        <f t="shared" si="2"/>
        <v>2037.5</v>
      </c>
      <c r="H81">
        <f t="shared" si="3"/>
        <v>0.81413077534215161</v>
      </c>
    </row>
    <row r="82" spans="1:8" x14ac:dyDescent="0.2">
      <c r="A82">
        <v>2045</v>
      </c>
      <c r="B82" s="1">
        <v>9589821</v>
      </c>
      <c r="C82" t="s">
        <v>34</v>
      </c>
      <c r="D82" t="s">
        <v>1</v>
      </c>
      <c r="E82">
        <v>2045</v>
      </c>
      <c r="F82">
        <v>9589821</v>
      </c>
      <c r="G82">
        <f t="shared" si="2"/>
        <v>2042.5</v>
      </c>
      <c r="H82">
        <f t="shared" si="3"/>
        <v>0.68700441215038166</v>
      </c>
    </row>
    <row r="83" spans="1:8" x14ac:dyDescent="0.2">
      <c r="A83">
        <v>2050</v>
      </c>
      <c r="B83" s="1">
        <v>9867163</v>
      </c>
      <c r="C83" t="s">
        <v>34</v>
      </c>
      <c r="D83" t="s">
        <v>1</v>
      </c>
      <c r="E83">
        <v>2050</v>
      </c>
      <c r="F83">
        <v>9867163</v>
      </c>
      <c r="G83">
        <f t="shared" si="2"/>
        <v>2047.5</v>
      </c>
      <c r="H83">
        <f t="shared" si="3"/>
        <v>0.57020304011867418</v>
      </c>
    </row>
    <row r="87" spans="1:8" x14ac:dyDescent="0.2">
      <c r="B87" s="7" t="s">
        <v>131</v>
      </c>
    </row>
    <row r="88" spans="1:8" x14ac:dyDescent="0.2">
      <c r="E88" t="s">
        <v>56</v>
      </c>
    </row>
    <row r="89" spans="1:8" x14ac:dyDescent="0.2">
      <c r="A89" t="s">
        <v>2</v>
      </c>
      <c r="E89" s="1"/>
      <c r="G89" t="s">
        <v>3</v>
      </c>
      <c r="H89" t="s">
        <v>9</v>
      </c>
    </row>
    <row r="90" spans="1:8" x14ac:dyDescent="0.2">
      <c r="A90">
        <v>1800</v>
      </c>
      <c r="B90">
        <v>329347</v>
      </c>
      <c r="C90" t="s">
        <v>34</v>
      </c>
      <c r="D90" t="s">
        <v>132</v>
      </c>
      <c r="E90">
        <v>1800</v>
      </c>
      <c r="F90">
        <v>329347</v>
      </c>
    </row>
    <row r="91" spans="1:8" x14ac:dyDescent="0.2">
      <c r="A91">
        <v>1816</v>
      </c>
      <c r="B91">
        <v>507951</v>
      </c>
      <c r="C91" t="s">
        <v>34</v>
      </c>
      <c r="D91" t="s">
        <v>132</v>
      </c>
      <c r="E91">
        <v>1810</v>
      </c>
      <c r="F91" s="1">
        <v>431776.27891459182</v>
      </c>
      <c r="G91">
        <f t="shared" ref="G91:G125" si="4">(E90+E91)/2</f>
        <v>1805</v>
      </c>
      <c r="H91">
        <f t="shared" ref="H91:H125" si="5">(LN(F91/F90)/(E91-E90))*100</f>
        <v>2.7079567502429569</v>
      </c>
    </row>
    <row r="92" spans="1:8" x14ac:dyDescent="0.2">
      <c r="A92">
        <v>1825</v>
      </c>
      <c r="B92">
        <v>570000</v>
      </c>
      <c r="C92" t="s">
        <v>34</v>
      </c>
      <c r="D92" t="s">
        <v>132</v>
      </c>
      <c r="E92">
        <v>1820</v>
      </c>
      <c r="F92" s="1">
        <v>534647.58990166744</v>
      </c>
      <c r="G92">
        <f t="shared" si="4"/>
        <v>1815</v>
      </c>
      <c r="H92">
        <f t="shared" si="5"/>
        <v>2.1370023816803219</v>
      </c>
    </row>
    <row r="93" spans="1:8" x14ac:dyDescent="0.2">
      <c r="A93">
        <v>1839</v>
      </c>
      <c r="B93">
        <v>768000</v>
      </c>
      <c r="C93" t="s">
        <v>34</v>
      </c>
      <c r="D93" t="s">
        <v>132</v>
      </c>
      <c r="E93">
        <v>1830</v>
      </c>
      <c r="F93" s="1">
        <v>634044.85939991241</v>
      </c>
      <c r="G93">
        <f t="shared" si="4"/>
        <v>1825</v>
      </c>
      <c r="H93">
        <f t="shared" si="5"/>
        <v>1.7051188869863165</v>
      </c>
    </row>
    <row r="94" spans="1:8" x14ac:dyDescent="0.2">
      <c r="A94">
        <v>1857</v>
      </c>
      <c r="B94">
        <v>1180000</v>
      </c>
      <c r="C94" t="s">
        <v>34</v>
      </c>
      <c r="D94" t="s">
        <v>132</v>
      </c>
      <c r="E94">
        <v>1840</v>
      </c>
      <c r="F94" s="1">
        <v>786544.83946836076</v>
      </c>
      <c r="G94">
        <f t="shared" si="4"/>
        <v>1835</v>
      </c>
      <c r="H94">
        <f t="shared" si="5"/>
        <v>2.1553002419070966</v>
      </c>
    </row>
    <row r="95" spans="1:8" x14ac:dyDescent="0.2">
      <c r="A95">
        <v>1870</v>
      </c>
      <c r="B95">
        <v>1819048</v>
      </c>
      <c r="C95" t="s">
        <v>34</v>
      </c>
      <c r="D95" t="s">
        <v>133</v>
      </c>
      <c r="E95">
        <v>1850</v>
      </c>
      <c r="F95" s="1">
        <v>998495.57735845202</v>
      </c>
      <c r="G95">
        <f t="shared" si="4"/>
        <v>1845</v>
      </c>
      <c r="H95">
        <f t="shared" si="5"/>
        <v>2.3859999128446572</v>
      </c>
    </row>
    <row r="96" spans="1:8" x14ac:dyDescent="0.2">
      <c r="A96" s="8">
        <v>1880</v>
      </c>
      <c r="B96">
        <v>2345762</v>
      </c>
      <c r="C96" t="s">
        <v>34</v>
      </c>
      <c r="D96" t="s">
        <v>133</v>
      </c>
      <c r="E96">
        <v>1860</v>
      </c>
      <c r="F96" s="1">
        <v>1303940.8419872499</v>
      </c>
      <c r="G96">
        <f t="shared" si="4"/>
        <v>1855</v>
      </c>
      <c r="H96">
        <f t="shared" si="5"/>
        <v>2.6689665132272489</v>
      </c>
    </row>
    <row r="97" spans="1:8" x14ac:dyDescent="0.2">
      <c r="A97" s="8">
        <v>1890</v>
      </c>
      <c r="B97">
        <v>3595050</v>
      </c>
      <c r="C97" t="s">
        <v>34</v>
      </c>
      <c r="D97" t="s">
        <v>133</v>
      </c>
      <c r="E97">
        <v>1870</v>
      </c>
      <c r="F97">
        <v>1819047.9999999998</v>
      </c>
      <c r="G97">
        <f t="shared" si="4"/>
        <v>1865</v>
      </c>
      <c r="H97">
        <f t="shared" si="5"/>
        <v>3.3292219141199606</v>
      </c>
    </row>
    <row r="98" spans="1:8" x14ac:dyDescent="0.2">
      <c r="A98" s="8">
        <v>1900</v>
      </c>
      <c r="B98">
        <v>4692719</v>
      </c>
      <c r="C98" t="s">
        <v>34</v>
      </c>
      <c r="D98" t="s">
        <v>133</v>
      </c>
      <c r="E98">
        <v>1880</v>
      </c>
      <c r="F98">
        <v>2345762</v>
      </c>
      <c r="G98">
        <f t="shared" si="4"/>
        <v>1875</v>
      </c>
      <c r="H98">
        <f t="shared" si="5"/>
        <v>2.5429700849642738</v>
      </c>
    </row>
    <row r="99" spans="1:8" x14ac:dyDescent="0.2">
      <c r="A99" s="8">
        <v>1910</v>
      </c>
      <c r="B99">
        <v>6770080</v>
      </c>
      <c r="C99" t="s">
        <v>34</v>
      </c>
      <c r="D99" t="s">
        <v>133</v>
      </c>
      <c r="E99">
        <v>1890</v>
      </c>
      <c r="F99">
        <v>3595050</v>
      </c>
      <c r="G99">
        <f t="shared" si="4"/>
        <v>1885</v>
      </c>
      <c r="H99">
        <f t="shared" si="5"/>
        <v>4.2694760347253755</v>
      </c>
    </row>
    <row r="100" spans="1:8" x14ac:dyDescent="0.2">
      <c r="A100" s="8">
        <v>1920</v>
      </c>
      <c r="B100">
        <v>8972000</v>
      </c>
      <c r="C100" t="s">
        <v>34</v>
      </c>
      <c r="D100" t="s">
        <v>133</v>
      </c>
      <c r="E100">
        <v>1900</v>
      </c>
      <c r="F100">
        <v>4692719</v>
      </c>
      <c r="G100">
        <f t="shared" si="4"/>
        <v>1895</v>
      </c>
      <c r="H100">
        <f t="shared" si="5"/>
        <v>2.6645425932580653</v>
      </c>
    </row>
    <row r="101" spans="1:8" x14ac:dyDescent="0.2">
      <c r="A101" s="8">
        <v>1930</v>
      </c>
      <c r="B101">
        <v>11935738</v>
      </c>
      <c r="C101" t="s">
        <v>34</v>
      </c>
      <c r="D101" t="s">
        <v>133</v>
      </c>
      <c r="E101">
        <v>1910</v>
      </c>
      <c r="F101">
        <v>6770080</v>
      </c>
      <c r="G101">
        <f t="shared" si="4"/>
        <v>1905</v>
      </c>
      <c r="H101">
        <f t="shared" si="5"/>
        <v>3.6650074508542114</v>
      </c>
    </row>
    <row r="102" spans="1:8" x14ac:dyDescent="0.2">
      <c r="A102" s="8">
        <v>1940</v>
      </c>
      <c r="B102">
        <v>14152653</v>
      </c>
      <c r="C102" t="s">
        <v>34</v>
      </c>
      <c r="D102" t="s">
        <v>133</v>
      </c>
      <c r="E102">
        <v>1920</v>
      </c>
      <c r="F102">
        <v>8972000</v>
      </c>
      <c r="G102">
        <f t="shared" si="4"/>
        <v>1915</v>
      </c>
      <c r="H102">
        <f t="shared" si="5"/>
        <v>2.81595712964601</v>
      </c>
    </row>
    <row r="103" spans="1:8" x14ac:dyDescent="0.2">
      <c r="A103">
        <v>1950</v>
      </c>
      <c r="B103">
        <v>17150335</v>
      </c>
      <c r="C103" t="s">
        <v>34</v>
      </c>
      <c r="D103" t="s">
        <v>1</v>
      </c>
      <c r="E103" s="8">
        <v>1930</v>
      </c>
      <c r="F103">
        <v>11935738</v>
      </c>
      <c r="G103">
        <f t="shared" si="4"/>
        <v>1925</v>
      </c>
      <c r="H103">
        <f t="shared" si="5"/>
        <v>2.8542847616038469</v>
      </c>
    </row>
    <row r="104" spans="1:8" x14ac:dyDescent="0.2">
      <c r="A104">
        <v>1955</v>
      </c>
      <c r="B104">
        <v>18931081</v>
      </c>
      <c r="C104" t="s">
        <v>34</v>
      </c>
      <c r="D104" t="s">
        <v>1</v>
      </c>
      <c r="E104" s="1">
        <v>1940</v>
      </c>
      <c r="F104">
        <v>14152653</v>
      </c>
      <c r="G104">
        <f t="shared" si="4"/>
        <v>1935</v>
      </c>
      <c r="H104">
        <f t="shared" si="5"/>
        <v>1.7036500486270565</v>
      </c>
    </row>
    <row r="105" spans="1:8" x14ac:dyDescent="0.2">
      <c r="A105">
        <v>1960</v>
      </c>
      <c r="B105">
        <v>20624417</v>
      </c>
      <c r="C105" t="s">
        <v>34</v>
      </c>
      <c r="D105" t="s">
        <v>1</v>
      </c>
      <c r="E105" s="1">
        <v>1950</v>
      </c>
      <c r="F105">
        <v>17150335</v>
      </c>
      <c r="G105">
        <f t="shared" si="4"/>
        <v>1945</v>
      </c>
      <c r="H105">
        <f t="shared" si="5"/>
        <v>1.9211560926781657</v>
      </c>
    </row>
    <row r="106" spans="1:8" x14ac:dyDescent="0.2">
      <c r="A106">
        <v>1965</v>
      </c>
      <c r="B106">
        <v>22294570</v>
      </c>
      <c r="C106" t="s">
        <v>34</v>
      </c>
      <c r="D106" t="s">
        <v>1</v>
      </c>
      <c r="E106" s="1">
        <v>1955</v>
      </c>
      <c r="F106">
        <v>18931081</v>
      </c>
      <c r="G106">
        <f t="shared" si="4"/>
        <v>1952.5</v>
      </c>
      <c r="H106">
        <f t="shared" si="5"/>
        <v>1.9757472353213728</v>
      </c>
    </row>
    <row r="107" spans="1:8" x14ac:dyDescent="0.2">
      <c r="A107">
        <v>1970</v>
      </c>
      <c r="B107">
        <v>23979249</v>
      </c>
      <c r="C107" t="s">
        <v>34</v>
      </c>
      <c r="D107" t="s">
        <v>1</v>
      </c>
      <c r="E107" s="1">
        <v>1960</v>
      </c>
      <c r="F107">
        <v>20624417</v>
      </c>
      <c r="G107">
        <f t="shared" si="4"/>
        <v>1957.5</v>
      </c>
      <c r="H107">
        <f t="shared" si="5"/>
        <v>1.7134119287926135</v>
      </c>
    </row>
    <row r="108" spans="1:8" x14ac:dyDescent="0.2">
      <c r="A108">
        <v>1975</v>
      </c>
      <c r="B108">
        <v>26071619</v>
      </c>
      <c r="C108" t="s">
        <v>34</v>
      </c>
      <c r="D108" t="s">
        <v>1</v>
      </c>
      <c r="E108">
        <v>1965</v>
      </c>
      <c r="F108">
        <v>22294570</v>
      </c>
      <c r="G108">
        <f t="shared" si="4"/>
        <v>1962.5</v>
      </c>
      <c r="H108">
        <f t="shared" si="5"/>
        <v>1.5573497180652989</v>
      </c>
    </row>
    <row r="109" spans="1:8" x14ac:dyDescent="0.2">
      <c r="A109">
        <v>1980</v>
      </c>
      <c r="B109">
        <v>28121450</v>
      </c>
      <c r="C109" t="s">
        <v>34</v>
      </c>
      <c r="D109" t="s">
        <v>1</v>
      </c>
      <c r="E109">
        <v>1970</v>
      </c>
      <c r="F109">
        <v>23979249</v>
      </c>
      <c r="G109">
        <f t="shared" si="4"/>
        <v>1967.5</v>
      </c>
      <c r="H109">
        <f t="shared" si="5"/>
        <v>1.4569136057263898</v>
      </c>
    </row>
    <row r="110" spans="1:8" x14ac:dyDescent="0.2">
      <c r="A110">
        <v>1985</v>
      </c>
      <c r="B110">
        <v>30341987</v>
      </c>
      <c r="C110" t="s">
        <v>34</v>
      </c>
      <c r="D110" t="s">
        <v>1</v>
      </c>
      <c r="E110">
        <v>1975</v>
      </c>
      <c r="F110">
        <v>26071619</v>
      </c>
      <c r="G110">
        <f t="shared" si="4"/>
        <v>1972.5</v>
      </c>
      <c r="H110">
        <f t="shared" si="5"/>
        <v>1.6731699341198856</v>
      </c>
    </row>
    <row r="111" spans="1:8" x14ac:dyDescent="0.2">
      <c r="A111">
        <v>1990</v>
      </c>
      <c r="B111">
        <v>32626800</v>
      </c>
      <c r="C111" t="s">
        <v>34</v>
      </c>
      <c r="D111" t="s">
        <v>1</v>
      </c>
      <c r="E111">
        <v>1980</v>
      </c>
      <c r="F111">
        <v>28121450</v>
      </c>
      <c r="G111">
        <f t="shared" si="4"/>
        <v>1977.5</v>
      </c>
      <c r="H111">
        <f t="shared" si="5"/>
        <v>1.5137060457103977</v>
      </c>
    </row>
    <row r="112" spans="1:8" x14ac:dyDescent="0.2">
      <c r="A112">
        <v>1995</v>
      </c>
      <c r="B112">
        <v>34835518</v>
      </c>
      <c r="C112" t="s">
        <v>34</v>
      </c>
      <c r="D112" t="s">
        <v>1</v>
      </c>
      <c r="E112">
        <v>1985</v>
      </c>
      <c r="F112">
        <v>30341987</v>
      </c>
      <c r="G112">
        <f t="shared" si="4"/>
        <v>1982.5</v>
      </c>
      <c r="H112">
        <f t="shared" si="5"/>
        <v>1.519996650822554</v>
      </c>
    </row>
    <row r="113" spans="1:8" x14ac:dyDescent="0.2">
      <c r="A113">
        <v>2000</v>
      </c>
      <c r="B113">
        <v>36905946</v>
      </c>
      <c r="C113" t="s">
        <v>34</v>
      </c>
      <c r="D113" t="s">
        <v>1</v>
      </c>
      <c r="E113">
        <v>1990</v>
      </c>
      <c r="F113">
        <v>32626800</v>
      </c>
      <c r="G113">
        <f t="shared" si="4"/>
        <v>1987.5</v>
      </c>
      <c r="H113">
        <f t="shared" si="5"/>
        <v>1.452031473158288</v>
      </c>
    </row>
    <row r="114" spans="1:8" x14ac:dyDescent="0.2">
      <c r="A114">
        <v>2005</v>
      </c>
      <c r="B114">
        <v>38651591</v>
      </c>
      <c r="C114" t="s">
        <v>34</v>
      </c>
      <c r="D114" t="s">
        <v>1</v>
      </c>
      <c r="E114">
        <v>1995</v>
      </c>
      <c r="F114">
        <v>34835518</v>
      </c>
      <c r="G114">
        <f t="shared" si="4"/>
        <v>1992.5</v>
      </c>
      <c r="H114">
        <f t="shared" si="5"/>
        <v>1.3100692387744695</v>
      </c>
    </row>
    <row r="115" spans="1:8" x14ac:dyDescent="0.2">
      <c r="A115">
        <v>2010</v>
      </c>
      <c r="B115">
        <v>40369974</v>
      </c>
      <c r="C115" t="s">
        <v>34</v>
      </c>
      <c r="D115" t="s">
        <v>1</v>
      </c>
      <c r="E115">
        <v>2000</v>
      </c>
      <c r="F115">
        <v>36905946</v>
      </c>
      <c r="G115">
        <f t="shared" si="4"/>
        <v>1997.5</v>
      </c>
      <c r="H115">
        <f t="shared" si="5"/>
        <v>1.1547035560612824</v>
      </c>
    </row>
    <row r="116" spans="1:8" x14ac:dyDescent="0.2">
      <c r="A116">
        <v>2015</v>
      </c>
      <c r="B116">
        <v>42119169</v>
      </c>
      <c r="C116" t="s">
        <v>34</v>
      </c>
      <c r="D116" t="s">
        <v>1</v>
      </c>
      <c r="E116">
        <v>2005</v>
      </c>
      <c r="F116">
        <v>38651591</v>
      </c>
      <c r="G116">
        <f t="shared" si="4"/>
        <v>2002.5</v>
      </c>
      <c r="H116">
        <f t="shared" si="5"/>
        <v>0.92430524409325632</v>
      </c>
    </row>
    <row r="117" spans="1:8" x14ac:dyDescent="0.2">
      <c r="A117">
        <v>2020</v>
      </c>
      <c r="B117">
        <v>43773811</v>
      </c>
      <c r="C117" t="s">
        <v>34</v>
      </c>
      <c r="D117" t="s">
        <v>1</v>
      </c>
      <c r="E117">
        <v>2010</v>
      </c>
      <c r="F117">
        <v>40369974</v>
      </c>
      <c r="G117">
        <f t="shared" si="4"/>
        <v>2007.5</v>
      </c>
      <c r="H117">
        <f t="shared" si="5"/>
        <v>0.86996704681753556</v>
      </c>
    </row>
    <row r="118" spans="1:8" x14ac:dyDescent="0.2">
      <c r="A118">
        <v>2025</v>
      </c>
      <c r="B118">
        <v>45281947</v>
      </c>
      <c r="C118" t="s">
        <v>34</v>
      </c>
      <c r="D118" t="s">
        <v>1</v>
      </c>
      <c r="E118">
        <v>2015</v>
      </c>
      <c r="F118">
        <v>42119169</v>
      </c>
      <c r="G118">
        <f t="shared" si="4"/>
        <v>2012.5</v>
      </c>
      <c r="H118">
        <f t="shared" si="5"/>
        <v>0.84833333808766265</v>
      </c>
    </row>
    <row r="119" spans="1:8" x14ac:dyDescent="0.2">
      <c r="A119">
        <v>2030</v>
      </c>
      <c r="B119">
        <v>46629632</v>
      </c>
      <c r="C119" t="s">
        <v>34</v>
      </c>
      <c r="D119" t="s">
        <v>1</v>
      </c>
      <c r="E119">
        <v>2020</v>
      </c>
      <c r="F119">
        <v>43773811</v>
      </c>
      <c r="G119">
        <f t="shared" si="4"/>
        <v>2017.5</v>
      </c>
      <c r="H119">
        <f t="shared" si="5"/>
        <v>0.77065516909364684</v>
      </c>
    </row>
    <row r="120" spans="1:8" x14ac:dyDescent="0.2">
      <c r="A120">
        <v>2035</v>
      </c>
      <c r="B120">
        <v>47792511</v>
      </c>
      <c r="C120" t="s">
        <v>34</v>
      </c>
      <c r="D120" t="s">
        <v>1</v>
      </c>
      <c r="E120">
        <v>2025</v>
      </c>
      <c r="F120">
        <v>45281947</v>
      </c>
      <c r="G120">
        <f t="shared" si="4"/>
        <v>2022.5</v>
      </c>
      <c r="H120">
        <f t="shared" si="5"/>
        <v>0.67745431811996237</v>
      </c>
    </row>
    <row r="121" spans="1:8" x14ac:dyDescent="0.2">
      <c r="A121">
        <v>2040</v>
      </c>
      <c r="B121">
        <v>48756467</v>
      </c>
      <c r="C121" t="s">
        <v>34</v>
      </c>
      <c r="D121" t="s">
        <v>1</v>
      </c>
      <c r="E121">
        <v>2030</v>
      </c>
      <c r="F121">
        <v>46629632</v>
      </c>
      <c r="G121">
        <f t="shared" si="4"/>
        <v>2027.5</v>
      </c>
      <c r="H121">
        <f t="shared" si="5"/>
        <v>0.58655573573824482</v>
      </c>
    </row>
    <row r="122" spans="1:8" x14ac:dyDescent="0.2">
      <c r="A122">
        <v>2045</v>
      </c>
      <c r="B122">
        <v>49513153</v>
      </c>
      <c r="C122" t="s">
        <v>34</v>
      </c>
      <c r="D122" t="s">
        <v>1</v>
      </c>
      <c r="E122">
        <v>2035</v>
      </c>
      <c r="F122">
        <v>47792511</v>
      </c>
      <c r="G122">
        <f t="shared" si="4"/>
        <v>2032.5</v>
      </c>
      <c r="H122">
        <f t="shared" si="5"/>
        <v>0.49265469417268026</v>
      </c>
    </row>
    <row r="123" spans="1:8" x14ac:dyDescent="0.2">
      <c r="A123">
        <v>2050</v>
      </c>
      <c r="B123">
        <v>50033317</v>
      </c>
      <c r="C123" t="s">
        <v>34</v>
      </c>
      <c r="D123" t="s">
        <v>1</v>
      </c>
      <c r="E123">
        <v>2040</v>
      </c>
      <c r="F123">
        <v>48756467</v>
      </c>
      <c r="G123">
        <f t="shared" si="4"/>
        <v>2037.5</v>
      </c>
      <c r="H123">
        <f t="shared" si="5"/>
        <v>0.39937782946766109</v>
      </c>
    </row>
    <row r="124" spans="1:8" x14ac:dyDescent="0.2">
      <c r="E124">
        <v>2045</v>
      </c>
      <c r="F124">
        <v>49513153</v>
      </c>
      <c r="G124">
        <f t="shared" si="4"/>
        <v>2042.5</v>
      </c>
      <c r="H124">
        <f t="shared" si="5"/>
        <v>0.30801012787555049</v>
      </c>
    </row>
    <row r="125" spans="1:8" x14ac:dyDescent="0.2">
      <c r="E125">
        <v>2050</v>
      </c>
      <c r="F125">
        <v>50033317</v>
      </c>
      <c r="G125">
        <f t="shared" si="4"/>
        <v>2047.5</v>
      </c>
      <c r="H125">
        <f t="shared" si="5"/>
        <v>0.2090154414482554</v>
      </c>
    </row>
    <row r="126" spans="1:8" x14ac:dyDescent="0.2">
      <c r="B126" t="s">
        <v>134</v>
      </c>
    </row>
    <row r="127" spans="1:8" x14ac:dyDescent="0.2">
      <c r="A127">
        <v>1800</v>
      </c>
      <c r="B127">
        <v>551500</v>
      </c>
      <c r="C127" t="s">
        <v>34</v>
      </c>
      <c r="D127" t="s">
        <v>133</v>
      </c>
    </row>
    <row r="128" spans="1:8" x14ac:dyDescent="0.2">
      <c r="A128">
        <v>1809</v>
      </c>
      <c r="B128">
        <v>609200</v>
      </c>
      <c r="C128" t="s">
        <v>34</v>
      </c>
      <c r="D128" t="s">
        <v>133</v>
      </c>
    </row>
    <row r="129" spans="1:8" x14ac:dyDescent="0.2">
      <c r="A129">
        <v>1825</v>
      </c>
      <c r="B129">
        <v>766400</v>
      </c>
      <c r="C129" t="s">
        <v>34</v>
      </c>
      <c r="D129" t="s">
        <v>133</v>
      </c>
    </row>
    <row r="130" spans="1:8" x14ac:dyDescent="0.2">
      <c r="A130">
        <v>1839</v>
      </c>
      <c r="B130">
        <v>926300</v>
      </c>
      <c r="C130" t="s">
        <v>34</v>
      </c>
      <c r="D130" t="s">
        <v>133</v>
      </c>
    </row>
    <row r="131" spans="1:8" x14ac:dyDescent="0.2">
      <c r="A131">
        <v>1857</v>
      </c>
      <c r="B131">
        <v>1299600</v>
      </c>
      <c r="C131" t="s">
        <v>34</v>
      </c>
      <c r="D131" t="s">
        <v>133</v>
      </c>
      <c r="E131" s="1"/>
    </row>
    <row r="132" spans="1:8" x14ac:dyDescent="0.2">
      <c r="A132">
        <v>1869</v>
      </c>
      <c r="B132">
        <v>1897000</v>
      </c>
      <c r="C132" t="s">
        <v>34</v>
      </c>
      <c r="D132" t="s">
        <v>133</v>
      </c>
    </row>
    <row r="133" spans="1:8" x14ac:dyDescent="0.2">
      <c r="A133" s="8">
        <v>1880</v>
      </c>
      <c r="B133">
        <v>2345762</v>
      </c>
      <c r="C133" t="s">
        <v>34</v>
      </c>
      <c r="D133" t="s">
        <v>133</v>
      </c>
      <c r="E133" s="1"/>
    </row>
    <row r="134" spans="1:8" x14ac:dyDescent="0.2">
      <c r="E134" s="1"/>
    </row>
    <row r="135" spans="1:8" x14ac:dyDescent="0.2">
      <c r="E135" s="1"/>
    </row>
    <row r="136" spans="1:8" x14ac:dyDescent="0.2">
      <c r="B136" s="7" t="s">
        <v>135</v>
      </c>
      <c r="E136" s="1"/>
    </row>
    <row r="137" spans="1:8" x14ac:dyDescent="0.2">
      <c r="E137" s="1"/>
    </row>
    <row r="138" spans="1:8" x14ac:dyDescent="0.2">
      <c r="E138" t="s">
        <v>56</v>
      </c>
    </row>
    <row r="139" spans="1:8" x14ac:dyDescent="0.2">
      <c r="A139" t="s">
        <v>2</v>
      </c>
      <c r="B139" s="1"/>
      <c r="D139" t="s">
        <v>54</v>
      </c>
      <c r="E139" s="1"/>
      <c r="G139" t="s">
        <v>3</v>
      </c>
      <c r="H139" t="s">
        <v>9</v>
      </c>
    </row>
    <row r="140" spans="1:8" x14ac:dyDescent="0.2">
      <c r="A140">
        <v>1800</v>
      </c>
      <c r="B140" s="1">
        <v>30685</v>
      </c>
      <c r="C140" t="s">
        <v>34</v>
      </c>
      <c r="D140" t="s">
        <v>136</v>
      </c>
      <c r="E140" s="1">
        <v>1800</v>
      </c>
      <c r="F140">
        <v>30685</v>
      </c>
    </row>
    <row r="141" spans="1:8" x14ac:dyDescent="0.2">
      <c r="A141">
        <v>1830</v>
      </c>
      <c r="B141" s="1">
        <v>74000</v>
      </c>
      <c r="C141" t="s">
        <v>34</v>
      </c>
      <c r="D141" t="s">
        <v>137</v>
      </c>
      <c r="E141" s="1">
        <v>1810</v>
      </c>
      <c r="F141" s="1">
        <v>41149.193241817389</v>
      </c>
      <c r="G141">
        <f t="shared" ref="G141:G175" si="6">(E140+E141)/2</f>
        <v>1805</v>
      </c>
      <c r="H141">
        <f t="shared" ref="H141:H175" si="7">(LN(F141/F140)/(E141-E140))*100</f>
        <v>2.9343038578770306</v>
      </c>
    </row>
    <row r="142" spans="1:8" x14ac:dyDescent="0.2">
      <c r="A142">
        <v>1840</v>
      </c>
      <c r="B142" s="1">
        <v>140000</v>
      </c>
      <c r="C142" t="s">
        <v>34</v>
      </c>
      <c r="D142" t="s">
        <v>138</v>
      </c>
      <c r="E142" s="1">
        <v>1820</v>
      </c>
      <c r="F142" s="1">
        <v>55181.883801610886</v>
      </c>
      <c r="G142">
        <f t="shared" si="6"/>
        <v>1815</v>
      </c>
      <c r="H142">
        <f t="shared" si="7"/>
        <v>2.9343038578770306</v>
      </c>
    </row>
    <row r="143" spans="1:8" x14ac:dyDescent="0.2">
      <c r="A143">
        <v>1852</v>
      </c>
      <c r="B143">
        <v>131969</v>
      </c>
      <c r="C143" t="s">
        <v>7</v>
      </c>
      <c r="E143" s="1">
        <v>1830</v>
      </c>
      <c r="F143" s="1">
        <v>74000</v>
      </c>
      <c r="G143">
        <f t="shared" si="6"/>
        <v>1825</v>
      </c>
      <c r="H143">
        <f t="shared" si="7"/>
        <v>2.9343038578770342</v>
      </c>
    </row>
    <row r="144" spans="1:8" x14ac:dyDescent="0.2">
      <c r="A144">
        <v>1860</v>
      </c>
      <c r="B144">
        <v>223238</v>
      </c>
      <c r="C144" t="s">
        <v>7</v>
      </c>
      <c r="E144" s="1">
        <v>1840</v>
      </c>
      <c r="F144" s="1">
        <v>140000</v>
      </c>
      <c r="G144">
        <f t="shared" si="6"/>
        <v>1835</v>
      </c>
      <c r="H144">
        <f t="shared" si="7"/>
        <v>6.3757732940513456</v>
      </c>
    </row>
    <row r="145" spans="1:8" x14ac:dyDescent="0.2">
      <c r="A145">
        <v>1879</v>
      </c>
      <c r="B145">
        <v>438245</v>
      </c>
      <c r="C145" t="s">
        <v>34</v>
      </c>
      <c r="D145" t="s">
        <v>136</v>
      </c>
      <c r="E145" s="1">
        <v>1850</v>
      </c>
      <c r="F145" s="1">
        <v>133274.77074404838</v>
      </c>
      <c r="G145">
        <f t="shared" si="6"/>
        <v>1845</v>
      </c>
      <c r="H145">
        <f t="shared" si="7"/>
        <v>-0.49229480074171589</v>
      </c>
    </row>
    <row r="146" spans="1:8" x14ac:dyDescent="0.2">
      <c r="A146">
        <v>1882</v>
      </c>
      <c r="B146">
        <v>505207</v>
      </c>
      <c r="C146" t="s">
        <v>34</v>
      </c>
      <c r="D146" t="s">
        <v>136</v>
      </c>
      <c r="E146" s="1">
        <v>1860</v>
      </c>
      <c r="F146" s="1">
        <v>223238</v>
      </c>
      <c r="G146">
        <f t="shared" si="6"/>
        <v>1855</v>
      </c>
      <c r="H146">
        <f t="shared" si="7"/>
        <v>5.1582552437704141</v>
      </c>
    </row>
    <row r="147" spans="1:8" x14ac:dyDescent="0.2">
      <c r="A147">
        <v>1892</v>
      </c>
      <c r="B147">
        <v>728447</v>
      </c>
      <c r="C147" t="s">
        <v>34</v>
      </c>
      <c r="D147" t="s">
        <v>136</v>
      </c>
      <c r="E147" s="1">
        <v>1870</v>
      </c>
      <c r="F147" s="1">
        <v>318384.36064324691</v>
      </c>
      <c r="G147">
        <f t="shared" si="6"/>
        <v>1865</v>
      </c>
      <c r="H147">
        <f t="shared" si="7"/>
        <v>3.5502086726892945</v>
      </c>
    </row>
    <row r="148" spans="1:8" x14ac:dyDescent="0.2">
      <c r="A148">
        <v>1900</v>
      </c>
      <c r="B148">
        <v>915647</v>
      </c>
      <c r="C148" t="s">
        <v>34</v>
      </c>
      <c r="D148" t="s">
        <v>136</v>
      </c>
      <c r="E148">
        <v>1880</v>
      </c>
      <c r="F148" s="1">
        <v>459516.48873927974</v>
      </c>
      <c r="G148">
        <f t="shared" si="6"/>
        <v>1875</v>
      </c>
      <c r="H148">
        <f t="shared" si="7"/>
        <v>3.6691549106065575</v>
      </c>
    </row>
    <row r="149" spans="1:8" x14ac:dyDescent="0.2">
      <c r="A149">
        <v>1908</v>
      </c>
      <c r="B149">
        <v>1042686</v>
      </c>
      <c r="C149" t="s">
        <v>7</v>
      </c>
      <c r="E149">
        <v>1890</v>
      </c>
      <c r="F149" s="1">
        <v>677036.74378422834</v>
      </c>
      <c r="G149">
        <f t="shared" si="6"/>
        <v>1885</v>
      </c>
      <c r="H149">
        <f t="shared" si="7"/>
        <v>3.8755072062050173</v>
      </c>
    </row>
    <row r="150" spans="1:8" x14ac:dyDescent="0.2">
      <c r="A150">
        <v>1910</v>
      </c>
      <c r="B150" s="1">
        <v>1158771.5914148397</v>
      </c>
      <c r="C150" t="s">
        <v>34</v>
      </c>
      <c r="D150" t="s">
        <v>136</v>
      </c>
      <c r="E150">
        <v>1900</v>
      </c>
      <c r="F150" s="1">
        <v>915647</v>
      </c>
      <c r="G150">
        <f t="shared" si="6"/>
        <v>1895</v>
      </c>
      <c r="H150">
        <f t="shared" si="7"/>
        <v>3.019053733582743</v>
      </c>
    </row>
    <row r="151" spans="1:8" x14ac:dyDescent="0.2">
      <c r="A151">
        <v>1920</v>
      </c>
      <c r="B151" s="1">
        <v>1425307.3475115744</v>
      </c>
      <c r="C151" t="s">
        <v>34</v>
      </c>
      <c r="D151" t="s">
        <v>136</v>
      </c>
      <c r="E151">
        <v>1910</v>
      </c>
      <c r="F151" s="1">
        <v>1158771.5914148397</v>
      </c>
      <c r="G151">
        <f t="shared" si="6"/>
        <v>1905</v>
      </c>
      <c r="H151">
        <f t="shared" si="7"/>
        <v>2.3548483085364555</v>
      </c>
    </row>
    <row r="152" spans="1:8" x14ac:dyDescent="0.2">
      <c r="A152">
        <v>1930</v>
      </c>
      <c r="B152" s="1">
        <v>1717768.9891016781</v>
      </c>
      <c r="C152" t="s">
        <v>34</v>
      </c>
      <c r="D152" t="s">
        <v>136</v>
      </c>
      <c r="E152">
        <v>1920</v>
      </c>
      <c r="F152" s="1">
        <v>1425307.3475115744</v>
      </c>
      <c r="G152">
        <f t="shared" si="6"/>
        <v>1915</v>
      </c>
      <c r="H152">
        <f t="shared" si="7"/>
        <v>2.0702700183671396</v>
      </c>
    </row>
    <row r="153" spans="1:8" x14ac:dyDescent="0.2">
      <c r="A153">
        <v>1940</v>
      </c>
      <c r="B153" s="1">
        <v>1981951.4732881226</v>
      </c>
      <c r="C153" t="s">
        <v>34</v>
      </c>
      <c r="D153" t="s">
        <v>136</v>
      </c>
      <c r="E153">
        <v>1930</v>
      </c>
      <c r="F153" s="1">
        <v>1717768.9891016781</v>
      </c>
      <c r="G153">
        <f t="shared" si="6"/>
        <v>1925</v>
      </c>
      <c r="H153">
        <f t="shared" si="7"/>
        <v>1.8663887657558962</v>
      </c>
    </row>
    <row r="154" spans="1:8" x14ac:dyDescent="0.2">
      <c r="A154">
        <v>1950</v>
      </c>
      <c r="B154">
        <v>2238506</v>
      </c>
      <c r="C154" t="s">
        <v>34</v>
      </c>
      <c r="D154" t="s">
        <v>1</v>
      </c>
      <c r="E154">
        <v>1940</v>
      </c>
      <c r="F154" s="1">
        <v>1981951.4732881226</v>
      </c>
      <c r="G154">
        <f t="shared" si="6"/>
        <v>1935</v>
      </c>
      <c r="H154">
        <f t="shared" si="7"/>
        <v>1.4305560239439523</v>
      </c>
    </row>
    <row r="155" spans="1:8" x14ac:dyDescent="0.2">
      <c r="A155">
        <v>1955</v>
      </c>
      <c r="B155">
        <v>2372629</v>
      </c>
      <c r="C155" t="s">
        <v>34</v>
      </c>
      <c r="D155" t="s">
        <v>1</v>
      </c>
      <c r="E155">
        <v>1950</v>
      </c>
      <c r="F155">
        <v>2238506</v>
      </c>
      <c r="G155">
        <f t="shared" si="6"/>
        <v>1945</v>
      </c>
      <c r="H155">
        <f t="shared" si="7"/>
        <v>1.2172672716286508</v>
      </c>
    </row>
    <row r="156" spans="1:8" x14ac:dyDescent="0.2">
      <c r="A156">
        <v>1960</v>
      </c>
      <c r="B156">
        <v>2538810</v>
      </c>
      <c r="C156" t="s">
        <v>34</v>
      </c>
      <c r="D156" t="s">
        <v>1</v>
      </c>
      <c r="E156">
        <v>1955</v>
      </c>
      <c r="F156">
        <v>2372629</v>
      </c>
      <c r="G156">
        <f t="shared" si="6"/>
        <v>1952.5</v>
      </c>
      <c r="H156">
        <f t="shared" si="7"/>
        <v>1.1637988797282965</v>
      </c>
    </row>
    <row r="157" spans="1:8" x14ac:dyDescent="0.2">
      <c r="A157">
        <v>1965</v>
      </c>
      <c r="B157">
        <v>2694744</v>
      </c>
      <c r="C157" t="s">
        <v>34</v>
      </c>
      <c r="D157" t="s">
        <v>1</v>
      </c>
      <c r="E157">
        <v>1960</v>
      </c>
      <c r="F157">
        <v>2538810</v>
      </c>
      <c r="G157">
        <f t="shared" si="6"/>
        <v>1957.5</v>
      </c>
      <c r="H157">
        <f t="shared" si="7"/>
        <v>1.3539368852630986</v>
      </c>
    </row>
    <row r="158" spans="1:8" x14ac:dyDescent="0.2">
      <c r="A158">
        <v>1970</v>
      </c>
      <c r="B158">
        <v>2810016</v>
      </c>
      <c r="C158" t="s">
        <v>34</v>
      </c>
      <c r="D158" t="s">
        <v>1</v>
      </c>
      <c r="E158">
        <v>1965</v>
      </c>
      <c r="F158">
        <v>2694744</v>
      </c>
      <c r="G158">
        <f t="shared" si="6"/>
        <v>1962.5</v>
      </c>
      <c r="H158">
        <f t="shared" si="7"/>
        <v>1.1921548362863239</v>
      </c>
    </row>
    <row r="159" spans="1:8" x14ac:dyDescent="0.2">
      <c r="A159">
        <v>1975</v>
      </c>
      <c r="B159">
        <v>2830411</v>
      </c>
      <c r="C159" t="s">
        <v>34</v>
      </c>
      <c r="D159" t="s">
        <v>1</v>
      </c>
      <c r="E159">
        <v>1970</v>
      </c>
      <c r="F159">
        <v>2810016</v>
      </c>
      <c r="G159">
        <f t="shared" si="6"/>
        <v>1967.5</v>
      </c>
      <c r="H159">
        <f t="shared" si="7"/>
        <v>0.83773936308255903</v>
      </c>
    </row>
    <row r="160" spans="1:8" x14ac:dyDescent="0.2">
      <c r="A160">
        <v>1980</v>
      </c>
      <c r="B160">
        <v>2915758</v>
      </c>
      <c r="C160" t="s">
        <v>34</v>
      </c>
      <c r="D160" t="s">
        <v>1</v>
      </c>
      <c r="E160">
        <v>1975</v>
      </c>
      <c r="F160">
        <v>2830411</v>
      </c>
      <c r="G160">
        <f t="shared" si="6"/>
        <v>1972.5</v>
      </c>
      <c r="H160">
        <f t="shared" si="7"/>
        <v>0.14463507025387853</v>
      </c>
    </row>
    <row r="161" spans="1:8" x14ac:dyDescent="0.2">
      <c r="A161">
        <v>1985</v>
      </c>
      <c r="B161">
        <v>3011946</v>
      </c>
      <c r="C161" t="s">
        <v>34</v>
      </c>
      <c r="D161" t="s">
        <v>1</v>
      </c>
      <c r="E161">
        <v>1980</v>
      </c>
      <c r="F161">
        <v>2915758</v>
      </c>
      <c r="G161">
        <f t="shared" si="6"/>
        <v>1977.5</v>
      </c>
      <c r="H161">
        <f t="shared" si="7"/>
        <v>0.59415779024794257</v>
      </c>
    </row>
    <row r="162" spans="1:8" x14ac:dyDescent="0.2">
      <c r="A162">
        <v>1990</v>
      </c>
      <c r="B162">
        <v>3109996</v>
      </c>
      <c r="C162" t="s">
        <v>34</v>
      </c>
      <c r="D162" t="s">
        <v>1</v>
      </c>
      <c r="E162">
        <v>1985</v>
      </c>
      <c r="F162">
        <v>3011946</v>
      </c>
      <c r="G162">
        <f t="shared" si="6"/>
        <v>1982.5</v>
      </c>
      <c r="H162">
        <f t="shared" si="7"/>
        <v>0.64913122370735843</v>
      </c>
    </row>
    <row r="163" spans="1:8" x14ac:dyDescent="0.2">
      <c r="A163">
        <v>1995</v>
      </c>
      <c r="B163">
        <v>3224472</v>
      </c>
      <c r="C163" t="s">
        <v>34</v>
      </c>
      <c r="D163" t="s">
        <v>1</v>
      </c>
      <c r="E163">
        <v>1990</v>
      </c>
      <c r="F163">
        <v>3109996</v>
      </c>
      <c r="G163">
        <f t="shared" si="6"/>
        <v>1987.5</v>
      </c>
      <c r="H163">
        <f t="shared" si="7"/>
        <v>0.64070117053202491</v>
      </c>
    </row>
    <row r="164" spans="1:8" x14ac:dyDescent="0.2">
      <c r="A164">
        <v>2000</v>
      </c>
      <c r="B164">
        <v>3320982</v>
      </c>
      <c r="C164" t="s">
        <v>34</v>
      </c>
      <c r="D164" t="s">
        <v>1</v>
      </c>
      <c r="E164">
        <v>1995</v>
      </c>
      <c r="F164">
        <v>3224472</v>
      </c>
      <c r="G164">
        <f t="shared" si="6"/>
        <v>1992.5</v>
      </c>
      <c r="H164">
        <f t="shared" si="7"/>
        <v>0.72295551794173007</v>
      </c>
    </row>
    <row r="165" spans="1:8" x14ac:dyDescent="0.2">
      <c r="A165">
        <v>2005</v>
      </c>
      <c r="B165">
        <v>3325339</v>
      </c>
      <c r="C165" t="s">
        <v>34</v>
      </c>
      <c r="D165" t="s">
        <v>1</v>
      </c>
      <c r="E165">
        <v>2000</v>
      </c>
      <c r="F165">
        <v>3320982</v>
      </c>
      <c r="G165">
        <f t="shared" si="6"/>
        <v>1997.5</v>
      </c>
      <c r="H165">
        <f t="shared" si="7"/>
        <v>0.58982612823903258</v>
      </c>
    </row>
    <row r="166" spans="1:8" x14ac:dyDescent="0.2">
      <c r="A166">
        <v>2010</v>
      </c>
      <c r="B166">
        <v>3373243</v>
      </c>
      <c r="C166" t="s">
        <v>34</v>
      </c>
      <c r="D166" t="s">
        <v>1</v>
      </c>
      <c r="E166">
        <v>2005</v>
      </c>
      <c r="F166">
        <v>3325339</v>
      </c>
      <c r="G166">
        <f t="shared" si="6"/>
        <v>2002.5</v>
      </c>
      <c r="H166">
        <f t="shared" si="7"/>
        <v>2.622202944537794E-2</v>
      </c>
    </row>
    <row r="167" spans="1:8" x14ac:dyDescent="0.2">
      <c r="A167">
        <v>2015</v>
      </c>
      <c r="B167">
        <v>3430277</v>
      </c>
      <c r="C167" t="s">
        <v>34</v>
      </c>
      <c r="D167" t="s">
        <v>1</v>
      </c>
      <c r="E167">
        <v>2010</v>
      </c>
      <c r="F167">
        <v>3373243</v>
      </c>
      <c r="G167">
        <f t="shared" si="6"/>
        <v>2007.5</v>
      </c>
      <c r="H167">
        <f t="shared" si="7"/>
        <v>0.2860594475707896</v>
      </c>
    </row>
    <row r="168" spans="1:8" x14ac:dyDescent="0.2">
      <c r="A168">
        <v>2020</v>
      </c>
      <c r="B168">
        <v>3493987</v>
      </c>
      <c r="C168" t="s">
        <v>34</v>
      </c>
      <c r="D168" t="s">
        <v>1</v>
      </c>
      <c r="E168">
        <v>2015</v>
      </c>
      <c r="F168">
        <v>3430277</v>
      </c>
      <c r="G168">
        <f t="shared" si="6"/>
        <v>2012.5</v>
      </c>
      <c r="H168">
        <f t="shared" si="7"/>
        <v>0.33532839516119034</v>
      </c>
    </row>
    <row r="169" spans="1:8" x14ac:dyDescent="0.2">
      <c r="A169">
        <v>2025</v>
      </c>
      <c r="B169">
        <v>3548027</v>
      </c>
      <c r="C169" t="s">
        <v>34</v>
      </c>
      <c r="D169" t="s">
        <v>1</v>
      </c>
      <c r="E169">
        <v>2020</v>
      </c>
      <c r="F169">
        <v>3493987</v>
      </c>
      <c r="G169">
        <f t="shared" si="6"/>
        <v>2017.5</v>
      </c>
      <c r="H169">
        <f t="shared" si="7"/>
        <v>0.36804950212719112</v>
      </c>
    </row>
    <row r="170" spans="1:8" x14ac:dyDescent="0.2">
      <c r="A170">
        <v>2030</v>
      </c>
      <c r="B170">
        <v>3590450</v>
      </c>
      <c r="C170" t="s">
        <v>34</v>
      </c>
      <c r="D170" t="s">
        <v>1</v>
      </c>
      <c r="E170">
        <v>2025</v>
      </c>
      <c r="F170">
        <v>3548027</v>
      </c>
      <c r="G170">
        <f t="shared" si="6"/>
        <v>2022.5</v>
      </c>
      <c r="H170">
        <f t="shared" si="7"/>
        <v>0.30696366597024555</v>
      </c>
    </row>
    <row r="171" spans="1:8" x14ac:dyDescent="0.2">
      <c r="A171">
        <v>2035</v>
      </c>
      <c r="B171">
        <v>3618711</v>
      </c>
      <c r="C171" t="s">
        <v>34</v>
      </c>
      <c r="D171" t="s">
        <v>1</v>
      </c>
      <c r="E171">
        <v>2030</v>
      </c>
      <c r="F171">
        <v>3590450</v>
      </c>
      <c r="G171">
        <f t="shared" si="6"/>
        <v>2027.5</v>
      </c>
      <c r="H171">
        <f t="shared" si="7"/>
        <v>0.23771736989429407</v>
      </c>
    </row>
    <row r="172" spans="1:8" x14ac:dyDescent="0.2">
      <c r="A172">
        <v>2040</v>
      </c>
      <c r="B172">
        <v>3632782</v>
      </c>
      <c r="C172" t="s">
        <v>34</v>
      </c>
      <c r="D172" t="s">
        <v>1</v>
      </c>
      <c r="E172">
        <v>2035</v>
      </c>
      <c r="F172">
        <v>3618711</v>
      </c>
      <c r="G172">
        <f t="shared" si="6"/>
        <v>2032.5</v>
      </c>
      <c r="H172">
        <f t="shared" si="7"/>
        <v>0.15680684489693131</v>
      </c>
    </row>
    <row r="173" spans="1:8" x14ac:dyDescent="0.2">
      <c r="A173">
        <v>2045</v>
      </c>
      <c r="B173">
        <v>3632584</v>
      </c>
      <c r="C173" t="s">
        <v>34</v>
      </c>
      <c r="D173" t="s">
        <v>1</v>
      </c>
      <c r="E173">
        <v>2040</v>
      </c>
      <c r="F173">
        <v>3632782</v>
      </c>
      <c r="G173">
        <f t="shared" si="6"/>
        <v>2037.5</v>
      </c>
      <c r="H173">
        <f t="shared" si="7"/>
        <v>7.7617217090980045E-2</v>
      </c>
    </row>
    <row r="174" spans="1:8" x14ac:dyDescent="0.2">
      <c r="A174">
        <v>2050</v>
      </c>
      <c r="B174">
        <v>3617161</v>
      </c>
      <c r="C174" t="s">
        <v>34</v>
      </c>
      <c r="D174" t="s">
        <v>1</v>
      </c>
      <c r="E174" s="1">
        <v>2045</v>
      </c>
      <c r="F174">
        <v>3632584</v>
      </c>
      <c r="G174">
        <f t="shared" si="6"/>
        <v>2042.5</v>
      </c>
      <c r="H174">
        <f t="shared" si="7"/>
        <v>-1.0901033756541866E-3</v>
      </c>
    </row>
    <row r="175" spans="1:8" x14ac:dyDescent="0.2">
      <c r="C175" s="8"/>
      <c r="E175" s="1">
        <v>2050</v>
      </c>
      <c r="F175">
        <v>3617161</v>
      </c>
      <c r="G175">
        <f t="shared" si="6"/>
        <v>2047.5</v>
      </c>
      <c r="H175">
        <f t="shared" si="7"/>
        <v>-8.5095535178325452E-2</v>
      </c>
    </row>
    <row r="176" spans="1:8" x14ac:dyDescent="0.2">
      <c r="C176" s="8"/>
      <c r="D176" s="8"/>
      <c r="E176" s="1"/>
    </row>
    <row r="177" spans="2:5" x14ac:dyDescent="0.2">
      <c r="C177" s="8"/>
      <c r="D177" s="8"/>
      <c r="E177" s="1"/>
    </row>
    <row r="178" spans="2:5" x14ac:dyDescent="0.2">
      <c r="B178" s="1"/>
      <c r="C178" s="8"/>
      <c r="D178" s="8"/>
      <c r="E178" s="1"/>
    </row>
    <row r="179" spans="2:5" x14ac:dyDescent="0.2">
      <c r="B179" s="1"/>
      <c r="C179" s="8"/>
      <c r="D179" s="8"/>
      <c r="E179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7"/>
  <sheetViews>
    <sheetView topLeftCell="A36" workbookViewId="0">
      <selection activeCell="E53" sqref="E53"/>
    </sheetView>
  </sheetViews>
  <sheetFormatPr baseColWidth="10" defaultRowHeight="15" x14ac:dyDescent="0.2"/>
  <cols>
    <col min="7" max="7" width="11.83203125" customWidth="1"/>
    <col min="8" max="8" width="13.83203125" customWidth="1"/>
    <col min="9" max="9" width="12.83203125" customWidth="1"/>
    <col min="10" max="10" width="12" customWidth="1"/>
    <col min="11" max="11" width="14.6640625" customWidth="1"/>
    <col min="13" max="13" width="11" bestFit="1" customWidth="1"/>
  </cols>
  <sheetData>
    <row r="1" spans="1:13" x14ac:dyDescent="0.2">
      <c r="B1" t="s">
        <v>176</v>
      </c>
      <c r="C1" t="s">
        <v>177</v>
      </c>
    </row>
    <row r="2" spans="1:13" ht="16" thickBot="1" x14ac:dyDescent="0.25"/>
    <row r="3" spans="1:13" ht="16" thickTop="1" x14ac:dyDescent="0.2">
      <c r="B3" s="9" t="s">
        <v>139</v>
      </c>
      <c r="C3" s="9" t="s">
        <v>140</v>
      </c>
      <c r="D3" s="9" t="s">
        <v>141</v>
      </c>
      <c r="E3" s="9" t="s">
        <v>142</v>
      </c>
      <c r="F3" s="9" t="s">
        <v>143</v>
      </c>
      <c r="G3" s="9" t="s">
        <v>144</v>
      </c>
      <c r="H3" s="9" t="s">
        <v>148</v>
      </c>
      <c r="I3" t="s">
        <v>145</v>
      </c>
      <c r="J3" t="s">
        <v>149</v>
      </c>
      <c r="K3" t="s">
        <v>150</v>
      </c>
      <c r="L3" t="s">
        <v>146</v>
      </c>
      <c r="M3" t="s">
        <v>151</v>
      </c>
    </row>
    <row r="4" spans="1:13" x14ac:dyDescent="0.2">
      <c r="A4">
        <v>1800</v>
      </c>
      <c r="B4" s="26">
        <v>10500</v>
      </c>
      <c r="C4" s="26">
        <v>92000</v>
      </c>
      <c r="D4" s="26">
        <v>3500</v>
      </c>
      <c r="E4" s="26">
        <v>112000</v>
      </c>
      <c r="F4" s="26">
        <v>400000</v>
      </c>
      <c r="G4" s="26">
        <v>60000</v>
      </c>
      <c r="H4" s="26">
        <v>52000</v>
      </c>
      <c r="I4" s="26">
        <v>210000</v>
      </c>
      <c r="J4" s="26">
        <v>21000</v>
      </c>
      <c r="K4" s="26">
        <v>190000</v>
      </c>
      <c r="L4" s="26">
        <v>42000</v>
      </c>
      <c r="M4" s="1">
        <v>1193000</v>
      </c>
    </row>
    <row r="5" spans="1:13" x14ac:dyDescent="0.2">
      <c r="A5" s="22">
        <v>1810</v>
      </c>
      <c r="B5" s="12">
        <v>12782</v>
      </c>
      <c r="C5" s="12">
        <v>93040</v>
      </c>
      <c r="D5" s="13">
        <v>3642.3069139120917</v>
      </c>
      <c r="E5" s="12">
        <v>114100</v>
      </c>
      <c r="F5" s="12">
        <v>404200</v>
      </c>
      <c r="G5" s="10">
        <v>60185</v>
      </c>
      <c r="H5" s="11">
        <v>54870</v>
      </c>
      <c r="I5" s="14">
        <v>217598</v>
      </c>
      <c r="J5" s="24">
        <v>22312</v>
      </c>
      <c r="K5" s="10">
        <v>202328</v>
      </c>
      <c r="L5" s="15">
        <v>44197</v>
      </c>
      <c r="M5" s="1">
        <v>1229254.3069139121</v>
      </c>
    </row>
    <row r="6" spans="1:13" x14ac:dyDescent="0.2">
      <c r="A6" s="22">
        <v>1820</v>
      </c>
      <c r="B6" s="16">
        <v>14022</v>
      </c>
      <c r="C6" s="12">
        <v>97122</v>
      </c>
      <c r="D6" s="13">
        <v>3983.2362535695061</v>
      </c>
      <c r="E6" s="12">
        <v>113645</v>
      </c>
      <c r="F6" s="12">
        <v>399500</v>
      </c>
      <c r="G6" s="13">
        <v>58402</v>
      </c>
      <c r="H6" s="11">
        <v>57348</v>
      </c>
      <c r="I6" s="14">
        <v>227947.32161141853</v>
      </c>
      <c r="J6" s="13">
        <v>23721</v>
      </c>
      <c r="K6" s="10">
        <v>190817</v>
      </c>
      <c r="L6" s="15">
        <v>45412.708419171206</v>
      </c>
      <c r="M6" s="1">
        <v>1231920.2662841592</v>
      </c>
    </row>
    <row r="7" spans="1:13" x14ac:dyDescent="0.2">
      <c r="A7" s="22">
        <v>1830</v>
      </c>
      <c r="B7" s="12">
        <v>14986</v>
      </c>
      <c r="C7" s="16">
        <v>103479</v>
      </c>
      <c r="D7" s="13">
        <v>4870.0949326109239</v>
      </c>
      <c r="E7" s="16">
        <v>100132</v>
      </c>
      <c r="F7" s="12">
        <v>378050</v>
      </c>
      <c r="G7" s="13">
        <v>61222</v>
      </c>
      <c r="H7" s="11">
        <v>56804</v>
      </c>
      <c r="I7" s="14">
        <v>250366.77031707455</v>
      </c>
      <c r="J7" s="14">
        <v>25309</v>
      </c>
      <c r="K7" s="10">
        <v>186523</v>
      </c>
      <c r="L7" s="15">
        <v>46086.73425344842</v>
      </c>
      <c r="M7" s="1">
        <v>1227828.5995031339</v>
      </c>
    </row>
    <row r="8" spans="1:13" x14ac:dyDescent="0.2">
      <c r="A8" s="22">
        <v>1840</v>
      </c>
      <c r="B8" s="12">
        <v>21770</v>
      </c>
      <c r="C8" s="16">
        <v>122219</v>
      </c>
      <c r="D8" s="13">
        <v>7850.9978817808669</v>
      </c>
      <c r="E8" s="16">
        <v>101221</v>
      </c>
      <c r="F8" s="16">
        <v>377610</v>
      </c>
      <c r="G8" s="13">
        <v>56895</v>
      </c>
      <c r="H8" s="11">
        <v>66522</v>
      </c>
      <c r="I8" s="14">
        <v>268514.86703229684</v>
      </c>
      <c r="J8" s="14">
        <v>26728</v>
      </c>
      <c r="K8" s="10">
        <v>175792</v>
      </c>
      <c r="L8" s="15">
        <v>44110.263699296724</v>
      </c>
      <c r="M8" s="1">
        <v>1269233.1286133744</v>
      </c>
    </row>
    <row r="9" spans="1:13" x14ac:dyDescent="0.2">
      <c r="A9" s="22">
        <v>1850</v>
      </c>
      <c r="B9" s="12">
        <v>20314</v>
      </c>
      <c r="C9" s="16">
        <v>133976</v>
      </c>
      <c r="D9" s="13">
        <v>13672.739890680368</v>
      </c>
      <c r="E9" s="16">
        <v>124483</v>
      </c>
      <c r="F9" s="12">
        <v>397000</v>
      </c>
      <c r="G9" s="17">
        <v>52171</v>
      </c>
      <c r="H9" s="11">
        <v>81735</v>
      </c>
      <c r="I9" s="14">
        <v>277150.83875092037</v>
      </c>
      <c r="J9" s="14">
        <v>25613</v>
      </c>
      <c r="K9" s="10">
        <v>200129</v>
      </c>
      <c r="L9" s="15">
        <v>42324.004962345658</v>
      </c>
      <c r="M9" s="1">
        <v>1368568.5836039465</v>
      </c>
    </row>
    <row r="10" spans="1:13" x14ac:dyDescent="0.2">
      <c r="A10" s="22">
        <v>1860</v>
      </c>
      <c r="B10" s="16">
        <v>33669</v>
      </c>
      <c r="C10" s="16">
        <v>151050</v>
      </c>
      <c r="D10" s="13">
        <v>23785.560591325597</v>
      </c>
      <c r="E10" s="16">
        <v>152292</v>
      </c>
      <c r="F10" s="16">
        <v>437240</v>
      </c>
      <c r="G10" s="13">
        <v>52779</v>
      </c>
      <c r="H10" s="11">
        <v>98137</v>
      </c>
      <c r="I10" s="14">
        <v>313237.3144654209</v>
      </c>
      <c r="J10" s="14">
        <v>28423</v>
      </c>
      <c r="K10" s="10">
        <v>209183</v>
      </c>
      <c r="L10" s="15">
        <v>41033</v>
      </c>
      <c r="M10" s="1">
        <v>1540828.8750567464</v>
      </c>
    </row>
    <row r="11" spans="1:13" x14ac:dyDescent="0.2">
      <c r="A11" s="22">
        <v>1870</v>
      </c>
      <c r="B11" s="16">
        <v>38770</v>
      </c>
      <c r="C11" s="16">
        <v>161106</v>
      </c>
      <c r="D11" s="13">
        <v>24800.977768031105</v>
      </c>
      <c r="E11" s="18">
        <v>195944.5</v>
      </c>
      <c r="F11" s="16">
        <v>494265</v>
      </c>
      <c r="G11" s="13">
        <v>51003</v>
      </c>
      <c r="H11" s="11">
        <v>124004</v>
      </c>
      <c r="I11" s="14">
        <v>322892.4185093987</v>
      </c>
      <c r="J11" s="14">
        <v>31492</v>
      </c>
      <c r="K11" s="10">
        <v>230893.00000000012</v>
      </c>
      <c r="L11" s="15">
        <v>40275.198045749967</v>
      </c>
      <c r="M11" s="1">
        <v>1715446.0943231795</v>
      </c>
    </row>
    <row r="12" spans="1:13" x14ac:dyDescent="0.2">
      <c r="A12" s="22">
        <v>1880</v>
      </c>
      <c r="B12" s="16">
        <v>43086</v>
      </c>
      <c r="C12" s="16">
        <v>170880</v>
      </c>
      <c r="D12" s="13">
        <v>27164.634484842449</v>
      </c>
      <c r="E12" s="16">
        <v>247021</v>
      </c>
      <c r="F12" s="16">
        <v>572739</v>
      </c>
      <c r="G12" s="17">
        <v>48329</v>
      </c>
      <c r="H12" s="11">
        <v>86146</v>
      </c>
      <c r="I12" s="14">
        <v>341783.1674812868</v>
      </c>
      <c r="J12" s="14">
        <v>36116</v>
      </c>
      <c r="K12" s="10">
        <v>330786</v>
      </c>
      <c r="L12" s="15">
        <v>36549.636456616267</v>
      </c>
      <c r="M12" s="1">
        <v>1940600.4384227456</v>
      </c>
    </row>
    <row r="13" spans="1:13" x14ac:dyDescent="0.2">
      <c r="A13" s="22">
        <v>1890</v>
      </c>
      <c r="B13" s="16">
        <v>47157</v>
      </c>
      <c r="C13" s="16">
        <v>181769</v>
      </c>
      <c r="D13" s="13">
        <v>31043.943738775542</v>
      </c>
      <c r="E13" s="16">
        <v>275712</v>
      </c>
      <c r="F13" s="16">
        <v>633625</v>
      </c>
      <c r="G13" s="17">
        <v>56873</v>
      </c>
      <c r="H13" s="11">
        <v>166733</v>
      </c>
      <c r="I13" s="14">
        <v>369274.72754001268</v>
      </c>
      <c r="J13" s="14">
        <v>41538</v>
      </c>
      <c r="K13" s="10">
        <v>319620</v>
      </c>
      <c r="L13" s="15">
        <v>35435.044910789395</v>
      </c>
      <c r="M13" s="1">
        <v>2158780.7161895777</v>
      </c>
    </row>
    <row r="14" spans="1:13" x14ac:dyDescent="0.2">
      <c r="A14" s="11">
        <v>1900</v>
      </c>
      <c r="B14" s="20">
        <v>55512</v>
      </c>
      <c r="C14" s="20">
        <v>194500</v>
      </c>
      <c r="D14" s="20">
        <v>36998</v>
      </c>
      <c r="E14" s="20">
        <v>294943</v>
      </c>
      <c r="F14" s="20">
        <v>748530</v>
      </c>
      <c r="G14" s="25">
        <v>92968</v>
      </c>
      <c r="H14" s="25">
        <v>268449</v>
      </c>
      <c r="I14" s="11">
        <v>424942</v>
      </c>
      <c r="J14" s="14">
        <v>45600</v>
      </c>
      <c r="K14" s="10">
        <v>349207</v>
      </c>
      <c r="L14" s="11">
        <v>33326</v>
      </c>
      <c r="M14" s="1">
        <v>2544975</v>
      </c>
    </row>
    <row r="15" spans="1:13" x14ac:dyDescent="0.2">
      <c r="A15" s="23">
        <v>1910</v>
      </c>
      <c r="B15" s="18">
        <v>55719.073845409461</v>
      </c>
      <c r="C15" s="18">
        <v>174209.24110769722</v>
      </c>
      <c r="D15" s="18">
        <v>40149.742892326976</v>
      </c>
      <c r="E15" s="18">
        <v>307731.98997359612</v>
      </c>
      <c r="F15" s="20">
        <v>823489</v>
      </c>
      <c r="G15" s="25">
        <v>113501</v>
      </c>
      <c r="H15" s="25">
        <v>327044</v>
      </c>
      <c r="I15" s="19">
        <v>404112</v>
      </c>
      <c r="J15" s="25">
        <v>55392</v>
      </c>
      <c r="K15" s="10">
        <v>295940.95218097023</v>
      </c>
      <c r="L15" s="18">
        <v>27412</v>
      </c>
      <c r="M15" s="1">
        <v>2624701</v>
      </c>
    </row>
    <row r="16" spans="1:13" x14ac:dyDescent="0.2">
      <c r="A16" s="23">
        <v>1920</v>
      </c>
      <c r="B16" s="18">
        <v>53315.340415745406</v>
      </c>
      <c r="C16" s="18">
        <v>156619.9497839511</v>
      </c>
      <c r="D16" s="18">
        <v>44805.928090872905</v>
      </c>
      <c r="E16" s="18">
        <v>307555.60279376066</v>
      </c>
      <c r="F16" s="20">
        <v>855406</v>
      </c>
      <c r="G16" s="18">
        <v>118237</v>
      </c>
      <c r="H16" s="18">
        <v>362540.40049582848</v>
      </c>
      <c r="I16" s="19">
        <v>400997</v>
      </c>
      <c r="J16" s="16">
        <v>62947</v>
      </c>
      <c r="K16" s="10">
        <v>295027.77841984143</v>
      </c>
      <c r="L16" s="20">
        <v>25017</v>
      </c>
      <c r="M16" s="1">
        <v>2682469</v>
      </c>
    </row>
    <row r="17" spans="1:13" x14ac:dyDescent="0.2">
      <c r="A17" s="23">
        <v>1930</v>
      </c>
      <c r="B17" s="18">
        <v>59110.824643645064</v>
      </c>
      <c r="C17" s="20">
        <v>159000</v>
      </c>
      <c r="D17" s="18">
        <v>50709.541323329235</v>
      </c>
      <c r="E17" s="18">
        <v>310576.97109664197</v>
      </c>
      <c r="F17" s="20">
        <v>1029611</v>
      </c>
      <c r="G17" s="20">
        <v>147241</v>
      </c>
      <c r="H17" s="18">
        <v>407837.73544565763</v>
      </c>
      <c r="I17" s="19">
        <v>395539</v>
      </c>
      <c r="J17" s="16">
        <v>76332</v>
      </c>
      <c r="K17" s="10">
        <v>324022.92749072623</v>
      </c>
      <c r="L17" s="20">
        <v>22000</v>
      </c>
      <c r="M17" s="1">
        <v>2981981</v>
      </c>
    </row>
    <row r="18" spans="1:13" x14ac:dyDescent="0.2">
      <c r="A18" s="23">
        <v>1940</v>
      </c>
      <c r="B18" s="18">
        <v>66582.935643519551</v>
      </c>
      <c r="C18" s="20">
        <v>179000</v>
      </c>
      <c r="D18" s="18">
        <v>55935.441672128065</v>
      </c>
      <c r="E18" s="20">
        <v>346982</v>
      </c>
      <c r="F18" s="20">
        <v>1197079</v>
      </c>
      <c r="G18" s="20">
        <v>175561</v>
      </c>
      <c r="H18" s="25">
        <v>484900</v>
      </c>
      <c r="I18" s="19">
        <v>412088</v>
      </c>
      <c r="J18" s="16">
        <v>107891</v>
      </c>
      <c r="K18" s="10">
        <v>353643.6226843521</v>
      </c>
      <c r="L18" s="20">
        <v>25000</v>
      </c>
      <c r="M18" s="1">
        <v>3404663</v>
      </c>
    </row>
    <row r="19" spans="1:13" x14ac:dyDescent="0.2">
      <c r="A19" s="23">
        <v>1950</v>
      </c>
      <c r="B19" s="20">
        <v>79088</v>
      </c>
      <c r="C19" s="20">
        <v>210995</v>
      </c>
      <c r="D19" s="20">
        <v>68919</v>
      </c>
      <c r="E19" s="20">
        <v>422900</v>
      </c>
      <c r="F19" s="20">
        <v>1402896</v>
      </c>
      <c r="G19" s="20">
        <v>214999</v>
      </c>
      <c r="H19" s="20">
        <v>635999</v>
      </c>
      <c r="I19" s="19">
        <v>454765</v>
      </c>
      <c r="J19" s="20">
        <v>112000</v>
      </c>
      <c r="K19" s="10">
        <v>459439</v>
      </c>
      <c r="L19" s="20">
        <v>27000</v>
      </c>
      <c r="M19" s="1">
        <v>4089000</v>
      </c>
    </row>
    <row r="20" spans="1:13" x14ac:dyDescent="0.2">
      <c r="A20" s="23">
        <v>1955</v>
      </c>
      <c r="B20" s="20">
        <v>88610</v>
      </c>
      <c r="C20" s="20">
        <v>227298</v>
      </c>
      <c r="D20" s="20">
        <v>79998</v>
      </c>
      <c r="E20" s="20">
        <v>485998</v>
      </c>
      <c r="F20" s="20">
        <v>1541702</v>
      </c>
      <c r="G20" s="20">
        <v>250004</v>
      </c>
      <c r="H20" s="20">
        <v>721001</v>
      </c>
      <c r="I20" s="19">
        <v>512800</v>
      </c>
      <c r="J20" s="20">
        <v>123000</v>
      </c>
      <c r="K20" s="10">
        <v>493589</v>
      </c>
      <c r="L20" s="20">
        <v>29000</v>
      </c>
      <c r="M20" s="1">
        <v>4553000</v>
      </c>
    </row>
    <row r="21" spans="1:13" x14ac:dyDescent="0.2">
      <c r="A21" s="11">
        <v>1960</v>
      </c>
      <c r="B21" s="21">
        <v>109644</v>
      </c>
      <c r="C21" s="21">
        <v>230662</v>
      </c>
      <c r="D21" s="21">
        <v>92818</v>
      </c>
      <c r="E21" s="21">
        <v>568500</v>
      </c>
      <c r="F21" s="21">
        <v>1629003</v>
      </c>
      <c r="G21" s="21">
        <v>290000</v>
      </c>
      <c r="H21" s="21">
        <v>843005</v>
      </c>
      <c r="I21" s="11">
        <v>587800</v>
      </c>
      <c r="J21" s="11">
        <v>135000</v>
      </c>
      <c r="K21">
        <v>515568</v>
      </c>
      <c r="L21" s="11">
        <v>33000</v>
      </c>
      <c r="M21" s="1">
        <v>5035000</v>
      </c>
    </row>
    <row r="22" spans="1:13" x14ac:dyDescent="0.2">
      <c r="A22" s="23">
        <v>1965</v>
      </c>
      <c r="B22" s="21">
        <v>140500</v>
      </c>
      <c r="C22" s="21">
        <v>235200</v>
      </c>
      <c r="D22" s="21">
        <v>106900</v>
      </c>
      <c r="E22" s="21">
        <v>645000</v>
      </c>
      <c r="F22" s="21">
        <v>1760400</v>
      </c>
      <c r="G22" s="21">
        <v>332200</v>
      </c>
      <c r="H22" s="21">
        <v>896400</v>
      </c>
      <c r="I22" s="19">
        <v>652118</v>
      </c>
      <c r="J22" s="19">
        <v>146000</v>
      </c>
      <c r="K22">
        <v>536282</v>
      </c>
      <c r="L22" s="21">
        <v>50000</v>
      </c>
      <c r="M22" s="1">
        <v>5501000</v>
      </c>
    </row>
    <row r="23" spans="1:13" x14ac:dyDescent="0.2">
      <c r="A23" s="11">
        <v>1970</v>
      </c>
      <c r="B23" s="21">
        <v>169700</v>
      </c>
      <c r="C23" s="21">
        <v>238800</v>
      </c>
      <c r="D23" s="21">
        <v>122700</v>
      </c>
      <c r="E23" s="21">
        <v>709400</v>
      </c>
      <c r="F23" s="21">
        <v>1869000</v>
      </c>
      <c r="G23" s="21">
        <v>372300</v>
      </c>
      <c r="H23" s="21">
        <v>970900</v>
      </c>
      <c r="I23" s="19">
        <v>692947</v>
      </c>
      <c r="J23" s="19">
        <v>159000</v>
      </c>
      <c r="K23">
        <v>569253</v>
      </c>
      <c r="L23" s="21">
        <v>64000</v>
      </c>
      <c r="M23" s="1">
        <v>5938000</v>
      </c>
    </row>
    <row r="24" spans="1:13" x14ac:dyDescent="0.2">
      <c r="A24" s="11">
        <v>1975</v>
      </c>
      <c r="B24" s="21">
        <v>188900</v>
      </c>
      <c r="C24" s="21">
        <v>245600</v>
      </c>
      <c r="D24" s="21">
        <v>133700</v>
      </c>
      <c r="E24" s="21">
        <v>733900</v>
      </c>
      <c r="F24" s="21">
        <v>2012800</v>
      </c>
      <c r="G24" s="21">
        <v>364500</v>
      </c>
      <c r="H24" s="21">
        <v>1011900</v>
      </c>
      <c r="I24" s="19">
        <v>712125</v>
      </c>
      <c r="J24" s="19">
        <v>166000</v>
      </c>
      <c r="K24">
        <v>575575</v>
      </c>
      <c r="L24" s="21">
        <v>86000</v>
      </c>
      <c r="M24" s="1">
        <v>6231000</v>
      </c>
    </row>
    <row r="25" spans="1:13" x14ac:dyDescent="0.2">
      <c r="A25" s="11">
        <v>1980</v>
      </c>
      <c r="B25" s="21">
        <v>210100</v>
      </c>
      <c r="C25" s="21">
        <v>249000</v>
      </c>
      <c r="D25" s="21">
        <v>143800</v>
      </c>
      <c r="E25" s="21">
        <v>760900</v>
      </c>
      <c r="F25" s="21">
        <v>2133200</v>
      </c>
      <c r="G25" s="21">
        <v>355241</v>
      </c>
      <c r="H25" s="21">
        <v>1081800</v>
      </c>
      <c r="I25" s="19">
        <v>720386</v>
      </c>
      <c r="J25" s="19">
        <v>174000</v>
      </c>
      <c r="K25">
        <v>601573</v>
      </c>
      <c r="L25" s="21">
        <v>98000</v>
      </c>
      <c r="M25" s="1">
        <v>6528000</v>
      </c>
    </row>
    <row r="26" spans="1:13" x14ac:dyDescent="0.2">
      <c r="A26" s="11">
        <v>1985</v>
      </c>
      <c r="B26" s="21">
        <v>233400</v>
      </c>
      <c r="C26" s="21">
        <v>252742</v>
      </c>
      <c r="D26" s="21">
        <v>163100</v>
      </c>
      <c r="E26" s="21">
        <v>753800</v>
      </c>
      <c r="F26" s="21">
        <v>2296800</v>
      </c>
      <c r="G26" s="21">
        <v>383300</v>
      </c>
      <c r="H26" s="21">
        <v>1178900</v>
      </c>
      <c r="I26" s="19">
        <v>772490</v>
      </c>
      <c r="J26" s="19">
        <v>182000</v>
      </c>
      <c r="K26">
        <v>627468</v>
      </c>
      <c r="L26" s="21">
        <v>105000</v>
      </c>
      <c r="M26" s="1">
        <v>6949000</v>
      </c>
    </row>
    <row r="27" spans="1:13" x14ac:dyDescent="0.2">
      <c r="A27" s="11">
        <v>1990</v>
      </c>
      <c r="B27" s="21">
        <v>255200</v>
      </c>
      <c r="C27" s="21">
        <v>257170</v>
      </c>
      <c r="D27" s="21">
        <v>185700</v>
      </c>
      <c r="E27" s="21">
        <v>731197</v>
      </c>
      <c r="F27" s="21">
        <v>2368900</v>
      </c>
      <c r="G27" s="21">
        <v>401605</v>
      </c>
      <c r="H27" s="21">
        <v>1215188</v>
      </c>
      <c r="I27" s="19">
        <v>858084</v>
      </c>
      <c r="J27" s="19">
        <v>188000</v>
      </c>
      <c r="K27">
        <v>652956</v>
      </c>
      <c r="L27" s="21">
        <v>103000</v>
      </c>
      <c r="M27" s="1">
        <v>7217000</v>
      </c>
    </row>
    <row r="28" spans="1:13" x14ac:dyDescent="0.2">
      <c r="A28" s="11">
        <v>1995</v>
      </c>
      <c r="B28" s="21">
        <v>280400</v>
      </c>
      <c r="C28" s="21">
        <v>262599</v>
      </c>
      <c r="D28" s="21">
        <v>214100</v>
      </c>
      <c r="E28" s="21">
        <v>741384</v>
      </c>
      <c r="F28" s="21">
        <v>2471784</v>
      </c>
      <c r="G28" s="21">
        <v>409183</v>
      </c>
      <c r="H28" s="21">
        <v>1260663</v>
      </c>
      <c r="I28" s="19">
        <v>908968</v>
      </c>
      <c r="J28" s="19">
        <v>205000</v>
      </c>
      <c r="K28">
        <v>702919</v>
      </c>
      <c r="L28" s="21">
        <v>107000</v>
      </c>
      <c r="M28" s="1">
        <v>7564000</v>
      </c>
    </row>
    <row r="29" spans="1:13" x14ac:dyDescent="0.2">
      <c r="A29" s="11">
        <v>2000</v>
      </c>
      <c r="B29" s="21">
        <v>303200</v>
      </c>
      <c r="C29" s="21">
        <v>267497</v>
      </c>
      <c r="D29" s="21">
        <v>240187</v>
      </c>
      <c r="E29" s="21">
        <v>758840</v>
      </c>
      <c r="F29" s="21">
        <v>2579932</v>
      </c>
      <c r="G29" s="21">
        <v>425084</v>
      </c>
      <c r="H29" s="21">
        <v>1288992</v>
      </c>
      <c r="I29" s="19">
        <v>978000</v>
      </c>
      <c r="J29" s="19">
        <v>215000</v>
      </c>
      <c r="K29">
        <v>722268</v>
      </c>
      <c r="L29" s="21">
        <v>109000</v>
      </c>
      <c r="M29" s="1">
        <v>7888000</v>
      </c>
    </row>
    <row r="30" spans="1:13" x14ac:dyDescent="0.2">
      <c r="A30" s="11">
        <v>2005</v>
      </c>
      <c r="B30" s="21">
        <v>323300</v>
      </c>
      <c r="C30" s="21">
        <v>272214</v>
      </c>
      <c r="D30" s="21">
        <v>266260</v>
      </c>
      <c r="E30" s="21">
        <v>768003</v>
      </c>
      <c r="F30" s="21">
        <v>2700868</v>
      </c>
      <c r="G30" s="21">
        <v>442351</v>
      </c>
      <c r="H30" s="21">
        <v>1311259</v>
      </c>
      <c r="I30" s="19">
        <v>1036707</v>
      </c>
      <c r="J30" s="19">
        <v>224000</v>
      </c>
      <c r="K30">
        <v>752038</v>
      </c>
      <c r="L30" s="21">
        <v>108000</v>
      </c>
      <c r="M30" s="1">
        <v>8205000</v>
      </c>
    </row>
    <row r="31" spans="1:13" x14ac:dyDescent="0.2">
      <c r="A31" s="11">
        <v>2010</v>
      </c>
      <c r="B31" s="21">
        <v>336321</v>
      </c>
      <c r="C31" s="21">
        <v>276372</v>
      </c>
      <c r="D31" s="21">
        <v>291446</v>
      </c>
      <c r="E31" s="21">
        <v>768730</v>
      </c>
      <c r="F31" s="21">
        <v>2833932</v>
      </c>
      <c r="G31" s="21">
        <v>457978</v>
      </c>
      <c r="H31" s="21">
        <v>1330564</v>
      </c>
      <c r="I31">
        <v>1072000</v>
      </c>
      <c r="J31" s="19">
        <v>233000</v>
      </c>
      <c r="K31" s="1">
        <v>799657</v>
      </c>
      <c r="L31">
        <v>106000</v>
      </c>
      <c r="M31">
        <v>8506000</v>
      </c>
    </row>
    <row r="32" spans="1:13" x14ac:dyDescent="0.2">
      <c r="A32" s="11">
        <v>2015</v>
      </c>
      <c r="B32" s="21">
        <v>350702</v>
      </c>
      <c r="C32" s="21">
        <v>279787</v>
      </c>
      <c r="D32" s="21">
        <v>315224</v>
      </c>
      <c r="E32" s="21">
        <v>761160</v>
      </c>
      <c r="F32" s="21">
        <v>2977430</v>
      </c>
      <c r="G32" s="21">
        <v>470558</v>
      </c>
      <c r="H32" s="21">
        <v>1342368</v>
      </c>
      <c r="I32" s="19">
        <v>1113000</v>
      </c>
      <c r="J32" s="19">
        <v>240000</v>
      </c>
      <c r="K32" s="1">
        <v>831771</v>
      </c>
      <c r="L32">
        <v>107000</v>
      </c>
      <c r="M32">
        <v>8789000</v>
      </c>
    </row>
    <row r="33" spans="1:13" x14ac:dyDescent="0.2">
      <c r="A33" s="11">
        <v>2020</v>
      </c>
      <c r="B33" s="21">
        <v>363335</v>
      </c>
      <c r="C33" s="21">
        <v>282052</v>
      </c>
      <c r="D33" s="21">
        <v>337107</v>
      </c>
      <c r="E33" s="21">
        <v>746028</v>
      </c>
      <c r="F33" s="21">
        <v>3127557</v>
      </c>
      <c r="G33" s="21">
        <v>479672</v>
      </c>
      <c r="H33" s="21">
        <v>1346085</v>
      </c>
      <c r="I33" s="19">
        <v>1149000</v>
      </c>
      <c r="J33" s="19">
        <v>246000</v>
      </c>
      <c r="K33" s="1">
        <v>862164</v>
      </c>
      <c r="L33">
        <v>107000</v>
      </c>
      <c r="M33">
        <v>9046000</v>
      </c>
    </row>
    <row r="34" spans="1:13" x14ac:dyDescent="0.2">
      <c r="A34" s="11">
        <v>2025</v>
      </c>
      <c r="B34" s="21">
        <v>373782</v>
      </c>
      <c r="C34" s="21">
        <v>283043</v>
      </c>
      <c r="D34" s="21">
        <v>356460</v>
      </c>
      <c r="E34" s="21">
        <v>723825</v>
      </c>
      <c r="F34" s="21">
        <v>3262868</v>
      </c>
      <c r="G34" s="21">
        <v>485777</v>
      </c>
      <c r="H34" s="21">
        <v>1340365</v>
      </c>
      <c r="I34" s="19">
        <v>1182000</v>
      </c>
      <c r="J34" s="19">
        <v>250000</v>
      </c>
      <c r="K34" s="1">
        <v>887880</v>
      </c>
      <c r="L34">
        <v>106000</v>
      </c>
      <c r="M34">
        <v>9252000</v>
      </c>
    </row>
    <row r="35" spans="1:13" x14ac:dyDescent="0.2">
      <c r="A35" s="11">
        <v>2030</v>
      </c>
      <c r="B35" s="21">
        <v>381812</v>
      </c>
      <c r="C35" s="21">
        <v>282295</v>
      </c>
      <c r="D35" s="21">
        <v>373070</v>
      </c>
      <c r="E35" s="21">
        <v>694589</v>
      </c>
      <c r="F35" s="21">
        <v>3380038</v>
      </c>
      <c r="G35" s="21">
        <v>488762</v>
      </c>
      <c r="H35" s="21">
        <v>1326906</v>
      </c>
      <c r="I35" s="19">
        <v>1209000</v>
      </c>
      <c r="J35" s="19">
        <v>253000</v>
      </c>
      <c r="K35" s="1">
        <v>907528</v>
      </c>
      <c r="L35">
        <v>105000</v>
      </c>
      <c r="M35">
        <v>9402000</v>
      </c>
    </row>
    <row r="36" spans="1:13" x14ac:dyDescent="0.2">
      <c r="A36" s="11">
        <v>2035</v>
      </c>
      <c r="B36" s="21">
        <v>387976</v>
      </c>
      <c r="C36" s="21">
        <v>279435</v>
      </c>
      <c r="D36" s="21">
        <v>387946</v>
      </c>
      <c r="E36" s="21">
        <v>658632</v>
      </c>
      <c r="F36" s="21">
        <v>3479689</v>
      </c>
      <c r="G36" s="21">
        <v>487720</v>
      </c>
      <c r="H36" s="21">
        <v>1307499</v>
      </c>
      <c r="I36" s="19">
        <v>1226000</v>
      </c>
      <c r="J36" s="19">
        <v>253000</v>
      </c>
      <c r="K36" s="1">
        <v>925103</v>
      </c>
      <c r="L36">
        <v>104000</v>
      </c>
      <c r="M36">
        <v>9497000</v>
      </c>
    </row>
    <row r="37" spans="1:13" x14ac:dyDescent="0.2">
      <c r="A37" s="11">
        <v>2040</v>
      </c>
      <c r="B37" s="21">
        <v>392212</v>
      </c>
      <c r="C37" s="21">
        <v>274114</v>
      </c>
      <c r="D37" s="21">
        <v>401284</v>
      </c>
      <c r="E37" s="21">
        <v>615171</v>
      </c>
      <c r="F37" s="21">
        <v>3563192</v>
      </c>
      <c r="G37" s="21">
        <v>482559</v>
      </c>
      <c r="H37" s="21">
        <v>1283658</v>
      </c>
      <c r="I37" s="19">
        <v>1236000</v>
      </c>
      <c r="J37" s="19">
        <v>253000</v>
      </c>
      <c r="K37" s="1">
        <v>935810</v>
      </c>
      <c r="L37">
        <v>103000</v>
      </c>
      <c r="M37">
        <v>9540000</v>
      </c>
    </row>
    <row r="38" spans="1:13" x14ac:dyDescent="0.2">
      <c r="A38" s="11">
        <v>2045</v>
      </c>
      <c r="B38" s="21">
        <v>394385</v>
      </c>
      <c r="C38" s="21">
        <v>266713</v>
      </c>
      <c r="D38" s="21">
        <v>412513</v>
      </c>
      <c r="E38" s="21">
        <v>564211</v>
      </c>
      <c r="F38" s="21">
        <v>3627172</v>
      </c>
      <c r="G38" s="21">
        <v>473095</v>
      </c>
      <c r="H38" s="21">
        <v>1254832</v>
      </c>
      <c r="I38" s="19">
        <v>1237000</v>
      </c>
      <c r="J38" s="19">
        <v>251000</v>
      </c>
      <c r="K38" s="1">
        <v>942079</v>
      </c>
      <c r="L38">
        <v>103000</v>
      </c>
      <c r="M38">
        <v>9526000</v>
      </c>
    </row>
    <row r="39" spans="1:13" x14ac:dyDescent="0.2">
      <c r="A39" s="11">
        <v>2050</v>
      </c>
      <c r="B39" s="21">
        <v>394614</v>
      </c>
      <c r="C39" s="21">
        <v>257896</v>
      </c>
      <c r="D39" s="21">
        <v>421167</v>
      </c>
      <c r="E39" s="21">
        <v>506805</v>
      </c>
      <c r="F39" s="21">
        <v>3669318</v>
      </c>
      <c r="G39" s="21">
        <v>459072</v>
      </c>
      <c r="H39" s="21">
        <v>1220880</v>
      </c>
      <c r="I39" s="19">
        <v>1234000</v>
      </c>
      <c r="J39" s="19">
        <v>249000</v>
      </c>
      <c r="K39" s="1">
        <v>941248</v>
      </c>
      <c r="L39">
        <v>103000</v>
      </c>
      <c r="M39">
        <v>9457000</v>
      </c>
    </row>
    <row r="41" spans="1:13" x14ac:dyDescent="0.2">
      <c r="A41" t="s">
        <v>184</v>
      </c>
    </row>
    <row r="42" spans="1:13" x14ac:dyDescent="0.2">
      <c r="A42" t="s">
        <v>181</v>
      </c>
    </row>
    <row r="43" spans="1:13" x14ac:dyDescent="0.2">
      <c r="A43" t="s">
        <v>182</v>
      </c>
    </row>
    <row r="44" spans="1:13" x14ac:dyDescent="0.2">
      <c r="A44" t="s">
        <v>183</v>
      </c>
    </row>
    <row r="46" spans="1:13" x14ac:dyDescent="0.2">
      <c r="A46" t="s">
        <v>186</v>
      </c>
    </row>
    <row r="47" spans="1:13" x14ac:dyDescent="0.2">
      <c r="A47" t="s">
        <v>185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48"/>
  <sheetViews>
    <sheetView tabSelected="1" workbookViewId="0">
      <selection activeCell="Y12" sqref="Y12:Y27"/>
    </sheetView>
  </sheetViews>
  <sheetFormatPr baseColWidth="10" defaultRowHeight="15" x14ac:dyDescent="0.2"/>
  <cols>
    <col min="2" max="2" width="11.6640625" bestFit="1" customWidth="1"/>
    <col min="3" max="3" width="12.6640625" customWidth="1"/>
    <col min="4" max="4" width="13.1640625" customWidth="1"/>
    <col min="5" max="5" width="11.1640625" customWidth="1"/>
    <col min="6" max="18" width="11" bestFit="1" customWidth="1"/>
    <col min="19" max="19" width="11.6640625" bestFit="1" customWidth="1"/>
    <col min="20" max="22" width="11" bestFit="1" customWidth="1"/>
    <col min="23" max="23" width="13.83203125" customWidth="1"/>
    <col min="24" max="25" width="12.6640625" customWidth="1"/>
    <col min="33" max="33" width="13.83203125" customWidth="1"/>
    <col min="34" max="34" width="14" customWidth="1"/>
    <col min="35" max="35" width="17" customWidth="1"/>
  </cols>
  <sheetData>
    <row r="1" spans="1:36" x14ac:dyDescent="0.2">
      <c r="A1" s="36" t="s">
        <v>187</v>
      </c>
    </row>
    <row r="2" spans="1:36" x14ac:dyDescent="0.2">
      <c r="A2" t="s">
        <v>194</v>
      </c>
    </row>
    <row r="3" spans="1:36" x14ac:dyDescent="0.2">
      <c r="A3" t="s">
        <v>191</v>
      </c>
    </row>
    <row r="4" spans="1:36" ht="19" x14ac:dyDescent="0.2">
      <c r="A4" s="37"/>
      <c r="D4" s="38" t="s">
        <v>189</v>
      </c>
    </row>
    <row r="5" spans="1:36" x14ac:dyDescent="0.2">
      <c r="A5" t="s">
        <v>190</v>
      </c>
    </row>
    <row r="6" spans="1:36" x14ac:dyDescent="0.2">
      <c r="A6" t="s">
        <v>193</v>
      </c>
    </row>
    <row r="8" spans="1:36" x14ac:dyDescent="0.2">
      <c r="B8" t="s">
        <v>192</v>
      </c>
      <c r="X8" t="s">
        <v>180</v>
      </c>
    </row>
    <row r="9" spans="1:36" x14ac:dyDescent="0.2">
      <c r="K9" t="s">
        <v>160</v>
      </c>
      <c r="W9" t="s">
        <v>175</v>
      </c>
      <c r="X9" t="s">
        <v>174</v>
      </c>
    </row>
    <row r="10" spans="1:36" x14ac:dyDescent="0.2">
      <c r="B10" t="s">
        <v>152</v>
      </c>
      <c r="C10" t="s">
        <v>153</v>
      </c>
      <c r="D10" t="s">
        <v>154</v>
      </c>
      <c r="E10" t="s">
        <v>155</v>
      </c>
      <c r="F10" t="s">
        <v>156</v>
      </c>
      <c r="G10" t="s">
        <v>157</v>
      </c>
      <c r="H10" t="s">
        <v>158</v>
      </c>
      <c r="I10" t="s">
        <v>147</v>
      </c>
      <c r="J10" t="s">
        <v>159</v>
      </c>
      <c r="K10" t="s">
        <v>161</v>
      </c>
      <c r="L10" t="s">
        <v>162</v>
      </c>
      <c r="M10" t="s">
        <v>163</v>
      </c>
      <c r="N10" t="s">
        <v>164</v>
      </c>
      <c r="O10" t="s">
        <v>165</v>
      </c>
      <c r="P10" t="s">
        <v>172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V10" t="s">
        <v>171</v>
      </c>
      <c r="W10" t="s">
        <v>151</v>
      </c>
      <c r="X10" t="s">
        <v>173</v>
      </c>
      <c r="Z10" t="s">
        <v>139</v>
      </c>
      <c r="AA10" t="s">
        <v>140</v>
      </c>
      <c r="AB10" t="s">
        <v>141</v>
      </c>
      <c r="AC10" t="s">
        <v>142</v>
      </c>
      <c r="AD10" t="s">
        <v>143</v>
      </c>
      <c r="AE10" t="s">
        <v>144</v>
      </c>
      <c r="AF10" t="s">
        <v>148</v>
      </c>
      <c r="AG10" t="s">
        <v>145</v>
      </c>
      <c r="AH10" t="s">
        <v>149</v>
      </c>
      <c r="AI10" t="s">
        <v>150</v>
      </c>
      <c r="AJ10" t="s">
        <v>146</v>
      </c>
    </row>
    <row r="11" spans="1:36" x14ac:dyDescent="0.2">
      <c r="A11">
        <v>1790</v>
      </c>
      <c r="B11" s="27">
        <v>4795871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>
        <v>3226085.4299135017</v>
      </c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spans="1:36" x14ac:dyDescent="0.2">
      <c r="A12">
        <v>1800</v>
      </c>
      <c r="B12" s="27">
        <v>5100000</v>
      </c>
      <c r="C12" s="27">
        <v>465000</v>
      </c>
      <c r="D12" s="27">
        <v>124350.36005118379</v>
      </c>
      <c r="E12" s="27">
        <v>186000</v>
      </c>
      <c r="F12" s="27">
        <v>133000</v>
      </c>
      <c r="G12" s="27">
        <v>49177</v>
      </c>
      <c r="H12" s="27">
        <v>80977.848114417662</v>
      </c>
      <c r="I12" s="27">
        <v>351779.79171175451</v>
      </c>
      <c r="J12" s="27">
        <v>430795.83460641408</v>
      </c>
      <c r="K12" s="27">
        <v>104324.97938473088</v>
      </c>
      <c r="L12" s="27">
        <v>155426</v>
      </c>
      <c r="M12" s="27">
        <v>780000</v>
      </c>
      <c r="N12" s="27">
        <v>1005205.0412392132</v>
      </c>
      <c r="O12" s="27">
        <v>464959.32926129195</v>
      </c>
      <c r="P12" s="27">
        <v>1303405.9092117196</v>
      </c>
      <c r="Q12" s="27">
        <v>804480.59545018454</v>
      </c>
      <c r="R12" s="27">
        <v>673924.05837852426</v>
      </c>
      <c r="S12" s="27">
        <v>3659231.7279431964</v>
      </c>
      <c r="T12" s="27">
        <v>105054.23557319281</v>
      </c>
      <c r="U12" s="27">
        <v>30685</v>
      </c>
      <c r="V12" s="27">
        <v>329347</v>
      </c>
      <c r="W12" s="27">
        <v>16337124.710925825</v>
      </c>
      <c r="X12" s="27">
        <v>1193000</v>
      </c>
      <c r="Y12" s="27">
        <f>SUM(W12:X12)</f>
        <v>17530124.710925825</v>
      </c>
      <c r="Z12" s="28">
        <v>10500</v>
      </c>
      <c r="AA12" s="28">
        <v>92000</v>
      </c>
      <c r="AB12" s="28">
        <v>3500</v>
      </c>
      <c r="AC12" s="28">
        <v>112000</v>
      </c>
      <c r="AD12" s="28">
        <v>400000</v>
      </c>
      <c r="AE12" s="28">
        <v>60000</v>
      </c>
      <c r="AF12" s="28">
        <v>52000</v>
      </c>
      <c r="AG12" s="28">
        <v>210000</v>
      </c>
      <c r="AH12" s="28">
        <v>21000</v>
      </c>
      <c r="AI12" s="28">
        <v>190000</v>
      </c>
      <c r="AJ12" s="28">
        <v>42000</v>
      </c>
    </row>
    <row r="13" spans="1:36" x14ac:dyDescent="0.2">
      <c r="A13">
        <v>1810</v>
      </c>
      <c r="B13" s="27">
        <v>5600000</v>
      </c>
      <c r="C13" s="27">
        <v>527000</v>
      </c>
      <c r="D13" s="27">
        <v>141406.57182719206</v>
      </c>
      <c r="E13" s="27">
        <v>210000</v>
      </c>
      <c r="F13" s="27">
        <v>149000</v>
      </c>
      <c r="G13" s="27">
        <v>53371</v>
      </c>
      <c r="H13" s="27">
        <v>92259.790171043423</v>
      </c>
      <c r="I13" s="27">
        <v>480798.27567328373</v>
      </c>
      <c r="J13" s="27">
        <v>431522.96183137904</v>
      </c>
      <c r="K13" s="27">
        <v>85337.903275953446</v>
      </c>
      <c r="L13" s="27">
        <v>196469.23239243473</v>
      </c>
      <c r="M13" s="27">
        <v>800000</v>
      </c>
      <c r="N13" s="27">
        <v>1129048.2508487913</v>
      </c>
      <c r="O13" s="27">
        <v>474225.8296852099</v>
      </c>
      <c r="P13" s="27">
        <v>1378658.5592838668</v>
      </c>
      <c r="Q13" s="27">
        <v>894483.16296172957</v>
      </c>
      <c r="R13" s="27">
        <v>756956.06076896761</v>
      </c>
      <c r="S13" s="27">
        <v>4154725.4183719885</v>
      </c>
      <c r="T13" s="27">
        <v>126665.59954282762</v>
      </c>
      <c r="U13" s="27">
        <v>41149.193241817389</v>
      </c>
      <c r="V13" s="27">
        <v>431776.27891459182</v>
      </c>
      <c r="W13" s="27">
        <v>18154854.088791076</v>
      </c>
      <c r="X13" s="27">
        <v>1229254.3069139121</v>
      </c>
      <c r="Y13" s="27">
        <f>SUM(W13:X13)</f>
        <v>19384108.395704988</v>
      </c>
      <c r="Z13" s="29">
        <v>12782</v>
      </c>
      <c r="AA13" s="29">
        <v>93040</v>
      </c>
      <c r="AB13" s="30">
        <v>3642.3069139120917</v>
      </c>
      <c r="AC13" s="29">
        <v>114100</v>
      </c>
      <c r="AD13" s="29">
        <v>404200</v>
      </c>
      <c r="AE13" s="27">
        <v>60185</v>
      </c>
      <c r="AF13" s="27">
        <v>54870</v>
      </c>
      <c r="AG13" s="29">
        <v>217598</v>
      </c>
      <c r="AH13" s="30">
        <v>22312</v>
      </c>
      <c r="AI13" s="27">
        <v>202328</v>
      </c>
      <c r="AJ13" s="31">
        <v>44197</v>
      </c>
    </row>
    <row r="14" spans="1:36" x14ac:dyDescent="0.2">
      <c r="A14">
        <v>1820</v>
      </c>
      <c r="B14" s="27">
        <v>5900000</v>
      </c>
      <c r="C14" s="27">
        <v>595000</v>
      </c>
      <c r="D14" s="27">
        <v>157473.28719935985</v>
      </c>
      <c r="E14" s="27">
        <v>248000</v>
      </c>
      <c r="F14" s="27">
        <v>182000</v>
      </c>
      <c r="G14" s="27">
        <v>62472</v>
      </c>
      <c r="H14" s="27">
        <v>99818.343172240886</v>
      </c>
      <c r="I14" s="27">
        <v>628383.8473119816</v>
      </c>
      <c r="J14" s="27">
        <v>593000</v>
      </c>
      <c r="K14" s="27">
        <v>87307.585811422687</v>
      </c>
      <c r="L14" s="27">
        <v>248584.71342758206</v>
      </c>
      <c r="M14" s="27">
        <v>772487.83706558566</v>
      </c>
      <c r="N14" s="27">
        <v>1268149.1839448081</v>
      </c>
      <c r="O14" s="27">
        <v>483677.00869218347</v>
      </c>
      <c r="P14" s="27">
        <v>1458255.9505474253</v>
      </c>
      <c r="Q14" s="27">
        <v>994554.91325342271</v>
      </c>
      <c r="R14" s="27">
        <v>881846.02797345514</v>
      </c>
      <c r="S14" s="27">
        <v>4717466.0899088793</v>
      </c>
      <c r="T14" s="27">
        <v>152722.7723851816</v>
      </c>
      <c r="U14" s="27">
        <v>55181.883801610886</v>
      </c>
      <c r="V14" s="27">
        <v>534647.58990166744</v>
      </c>
      <c r="W14" s="27">
        <v>20121029.034396801</v>
      </c>
      <c r="X14" s="27">
        <v>1231920.2662841592</v>
      </c>
      <c r="Y14" s="27">
        <f>SUM(W14:X14)</f>
        <v>21352949.300680961</v>
      </c>
      <c r="Z14" s="32">
        <v>14022</v>
      </c>
      <c r="AA14" s="29">
        <v>97122</v>
      </c>
      <c r="AB14" s="30">
        <v>3983.2362535695061</v>
      </c>
      <c r="AC14" s="29">
        <v>113645</v>
      </c>
      <c r="AD14" s="29">
        <v>399500</v>
      </c>
      <c r="AE14" s="30">
        <v>58402</v>
      </c>
      <c r="AF14" s="27">
        <v>57348</v>
      </c>
      <c r="AG14" s="29">
        <v>227947.32161141853</v>
      </c>
      <c r="AH14" s="30">
        <v>23721</v>
      </c>
      <c r="AI14" s="27">
        <v>190817</v>
      </c>
      <c r="AJ14" s="31">
        <v>45412.708419171206</v>
      </c>
    </row>
    <row r="15" spans="1:36" x14ac:dyDescent="0.2">
      <c r="A15">
        <v>1830</v>
      </c>
      <c r="B15" s="27">
        <v>6400000</v>
      </c>
      <c r="C15" s="27">
        <v>670000</v>
      </c>
      <c r="D15" s="27">
        <v>181852.51984603266</v>
      </c>
      <c r="E15" s="27">
        <v>271000</v>
      </c>
      <c r="F15" s="27">
        <v>216000</v>
      </c>
      <c r="G15" s="27">
        <v>71688</v>
      </c>
      <c r="H15" s="27">
        <v>107996.14453034436</v>
      </c>
      <c r="I15" s="27">
        <v>760638.75978411478</v>
      </c>
      <c r="J15" s="27">
        <v>628000</v>
      </c>
      <c r="K15" s="27">
        <v>91544.105826916755</v>
      </c>
      <c r="L15" s="27">
        <v>330051</v>
      </c>
      <c r="M15" s="27">
        <v>780465.07266423933</v>
      </c>
      <c r="N15" s="27">
        <v>1453008.7735454319</v>
      </c>
      <c r="O15" s="27">
        <v>537276.89070799958</v>
      </c>
      <c r="P15" s="27">
        <v>1572529.904033774</v>
      </c>
      <c r="Q15" s="27">
        <v>1082095.3008681801</v>
      </c>
      <c r="R15" s="27">
        <v>1043549.4161312284</v>
      </c>
      <c r="S15" s="27">
        <v>5354362.852333284</v>
      </c>
      <c r="T15" s="27">
        <v>184140.32925435051</v>
      </c>
      <c r="U15" s="27">
        <v>74000</v>
      </c>
      <c r="V15" s="27">
        <v>634044.85939991241</v>
      </c>
      <c r="W15" s="27">
        <v>22444243.928925805</v>
      </c>
      <c r="X15" s="27">
        <v>1227828.5995031339</v>
      </c>
      <c r="Y15" s="27">
        <f>SUM(W15:X15)</f>
        <v>23672072.528428938</v>
      </c>
      <c r="Z15" s="29">
        <v>14986</v>
      </c>
      <c r="AA15" s="32">
        <v>103479</v>
      </c>
      <c r="AB15" s="30">
        <v>4870.0949326109239</v>
      </c>
      <c r="AC15" s="32">
        <v>100132</v>
      </c>
      <c r="AD15" s="29">
        <v>378050</v>
      </c>
      <c r="AE15" s="30">
        <v>61222</v>
      </c>
      <c r="AF15" s="27">
        <v>56804</v>
      </c>
      <c r="AG15" s="29">
        <v>250366.77031707455</v>
      </c>
      <c r="AH15" s="29">
        <v>25309</v>
      </c>
      <c r="AI15" s="27">
        <v>186523</v>
      </c>
      <c r="AJ15" s="31">
        <v>46086.73425344842</v>
      </c>
    </row>
    <row r="16" spans="1:36" x14ac:dyDescent="0.2">
      <c r="A16">
        <v>1840</v>
      </c>
      <c r="B16" s="27">
        <v>7200000</v>
      </c>
      <c r="C16" s="27">
        <v>719000</v>
      </c>
      <c r="D16" s="27">
        <v>214685.29166239518</v>
      </c>
      <c r="E16" s="27">
        <v>315000</v>
      </c>
      <c r="F16" s="27">
        <v>241000</v>
      </c>
      <c r="G16" s="27">
        <v>85894</v>
      </c>
      <c r="H16" s="27">
        <v>116843.92730596343</v>
      </c>
      <c r="I16" s="27">
        <v>982192.65100437356</v>
      </c>
      <c r="J16" s="27">
        <v>731000</v>
      </c>
      <c r="K16" s="27">
        <v>115008.64849421887</v>
      </c>
      <c r="L16" s="27">
        <v>392970.76635882002</v>
      </c>
      <c r="M16" s="27">
        <v>980662.26581833302</v>
      </c>
      <c r="N16" s="27">
        <v>1717858.9069913328</v>
      </c>
      <c r="O16" s="27">
        <v>650000</v>
      </c>
      <c r="P16" s="27">
        <v>1773929.4684822669</v>
      </c>
      <c r="Q16" s="27">
        <v>1254624.5665372685</v>
      </c>
      <c r="R16" s="27">
        <v>1226962.3465248216</v>
      </c>
      <c r="S16" s="27">
        <v>6132195.8669553921</v>
      </c>
      <c r="T16" s="27">
        <v>222020.98828053105</v>
      </c>
      <c r="U16" s="27">
        <v>140000</v>
      </c>
      <c r="V16" s="27">
        <v>786544.83946836076</v>
      </c>
      <c r="W16" s="27">
        <v>25998394.533884075</v>
      </c>
      <c r="X16" s="27">
        <v>1269233.1286133744</v>
      </c>
      <c r="Y16" s="27">
        <f>SUM(W16:X16)</f>
        <v>27267627.66249745</v>
      </c>
      <c r="Z16" s="29">
        <v>21770</v>
      </c>
      <c r="AA16" s="32">
        <v>122219</v>
      </c>
      <c r="AB16" s="30">
        <v>7850.9978817808669</v>
      </c>
      <c r="AC16" s="32">
        <v>101221</v>
      </c>
      <c r="AD16" s="32">
        <v>377610</v>
      </c>
      <c r="AE16" s="30">
        <v>56895</v>
      </c>
      <c r="AF16" s="27">
        <v>66522</v>
      </c>
      <c r="AG16" s="29">
        <v>268514.86703229684</v>
      </c>
      <c r="AH16" s="29">
        <v>26728</v>
      </c>
      <c r="AI16" s="27">
        <v>175792</v>
      </c>
      <c r="AJ16" s="31">
        <v>44110.263699296724</v>
      </c>
    </row>
    <row r="17" spans="1:37" x14ac:dyDescent="0.2">
      <c r="A17">
        <v>1850</v>
      </c>
      <c r="B17" s="27">
        <v>7600000</v>
      </c>
      <c r="C17" s="27">
        <v>847000</v>
      </c>
      <c r="D17" s="27">
        <v>251246.71881277903</v>
      </c>
      <c r="E17" s="27">
        <v>366000</v>
      </c>
      <c r="F17" s="27">
        <v>274000</v>
      </c>
      <c r="G17" s="27">
        <v>107254</v>
      </c>
      <c r="H17" s="27">
        <v>135651.52199819183</v>
      </c>
      <c r="I17" s="27">
        <v>1043628.0371655991</v>
      </c>
      <c r="J17" s="27">
        <v>842682.27997206198</v>
      </c>
      <c r="K17" s="27">
        <v>147385.47742924336</v>
      </c>
      <c r="L17" s="27">
        <v>483022.10606420657</v>
      </c>
      <c r="M17" s="27">
        <v>1375000</v>
      </c>
      <c r="N17" s="27">
        <v>2066545.9494749929</v>
      </c>
      <c r="O17" s="27">
        <v>702896.68340362259</v>
      </c>
      <c r="P17" s="27">
        <v>2001123</v>
      </c>
      <c r="Q17" s="27">
        <v>1404428.6037302059</v>
      </c>
      <c r="R17" s="27">
        <v>1500000</v>
      </c>
      <c r="S17" s="27">
        <v>7255766.9049442513</v>
      </c>
      <c r="T17" s="27">
        <v>267480.64479876577</v>
      </c>
      <c r="U17" s="27">
        <v>133274.77074404838</v>
      </c>
      <c r="V17" s="27">
        <v>998495.57735845202</v>
      </c>
      <c r="W17" s="27">
        <v>29802882.275896415</v>
      </c>
      <c r="X17" s="27">
        <v>1368568.5836039465</v>
      </c>
      <c r="Y17" s="27">
        <f>SUM(W17:X17)</f>
        <v>31171450.859500363</v>
      </c>
      <c r="Z17" s="29">
        <v>20314</v>
      </c>
      <c r="AA17" s="32">
        <v>133976</v>
      </c>
      <c r="AB17" s="30">
        <v>13672.739890680368</v>
      </c>
      <c r="AC17" s="32">
        <v>124483</v>
      </c>
      <c r="AD17" s="29">
        <v>397000</v>
      </c>
      <c r="AE17" s="33">
        <v>52171</v>
      </c>
      <c r="AF17" s="27">
        <v>81735</v>
      </c>
      <c r="AG17" s="29">
        <v>277150.83875092037</v>
      </c>
      <c r="AH17" s="29">
        <v>25613</v>
      </c>
      <c r="AI17" s="27">
        <v>200129</v>
      </c>
      <c r="AJ17" s="31">
        <v>42324.004962345658</v>
      </c>
    </row>
    <row r="18" spans="1:37" x14ac:dyDescent="0.2">
      <c r="A18">
        <v>1860</v>
      </c>
      <c r="B18" s="27">
        <v>8300000</v>
      </c>
      <c r="C18" s="27">
        <v>951000</v>
      </c>
      <c r="D18" s="27">
        <v>294824.22782274825</v>
      </c>
      <c r="E18" s="27">
        <v>424000</v>
      </c>
      <c r="F18" s="27">
        <v>277000</v>
      </c>
      <c r="G18" s="27">
        <v>119953</v>
      </c>
      <c r="H18" s="27">
        <v>168858.47193081546</v>
      </c>
      <c r="I18" s="27">
        <v>1359981.1680200177</v>
      </c>
      <c r="J18" s="27">
        <v>935000</v>
      </c>
      <c r="K18" s="27">
        <v>191393.97917193366</v>
      </c>
      <c r="L18" s="27">
        <v>583308</v>
      </c>
      <c r="M18" s="27">
        <v>1499604.6051857742</v>
      </c>
      <c r="N18" s="27">
        <v>2372113.1882186588</v>
      </c>
      <c r="O18" s="27">
        <v>756676.07294670003</v>
      </c>
      <c r="P18" s="27">
        <v>2378352.7211520439</v>
      </c>
      <c r="Q18" s="27">
        <v>1470347.7179717771</v>
      </c>
      <c r="R18" s="27">
        <v>1695000</v>
      </c>
      <c r="S18" s="27">
        <v>8447425.5047332644</v>
      </c>
      <c r="T18" s="27">
        <v>321862.59776002978</v>
      </c>
      <c r="U18" s="27">
        <v>223238</v>
      </c>
      <c r="V18" s="27">
        <v>1303940.8419872499</v>
      </c>
      <c r="W18" s="27">
        <v>34073880.096901014</v>
      </c>
      <c r="X18" s="27">
        <v>1540828.8750567464</v>
      </c>
      <c r="Y18" s="27">
        <f>SUM(W18:X18)</f>
        <v>35614708.971957758</v>
      </c>
      <c r="Z18" s="32">
        <v>33669</v>
      </c>
      <c r="AA18" s="32">
        <v>151050</v>
      </c>
      <c r="AB18" s="30">
        <v>23785.560591325597</v>
      </c>
      <c r="AC18" s="32">
        <v>152292</v>
      </c>
      <c r="AD18" s="32">
        <v>437240</v>
      </c>
      <c r="AE18" s="30">
        <v>52779</v>
      </c>
      <c r="AF18" s="27">
        <v>98137</v>
      </c>
      <c r="AG18" s="29">
        <v>313237.3144654209</v>
      </c>
      <c r="AH18" s="29">
        <v>28423</v>
      </c>
      <c r="AI18" s="27">
        <v>209183</v>
      </c>
      <c r="AJ18" s="31">
        <v>41033</v>
      </c>
    </row>
    <row r="19" spans="1:37" x14ac:dyDescent="0.2">
      <c r="A19">
        <v>1870</v>
      </c>
      <c r="B19" s="27">
        <v>8700000</v>
      </c>
      <c r="C19" s="27">
        <v>1080000</v>
      </c>
      <c r="D19" s="27">
        <v>346889.06074928417</v>
      </c>
      <c r="E19" s="27">
        <v>517000</v>
      </c>
      <c r="F19" s="27">
        <v>336000</v>
      </c>
      <c r="G19" s="27">
        <v>146277</v>
      </c>
      <c r="H19" s="27">
        <v>211119</v>
      </c>
      <c r="I19" s="27">
        <v>1932661.935104277</v>
      </c>
      <c r="J19" s="27">
        <v>1090988.0842612351</v>
      </c>
      <c r="K19" s="27">
        <v>156162.28133118371</v>
      </c>
      <c r="L19" s="27">
        <v>666473.35258844984</v>
      </c>
      <c r="M19" s="27">
        <v>1635501.0704686409</v>
      </c>
      <c r="N19" s="27">
        <v>2707952</v>
      </c>
      <c r="O19" s="27">
        <v>800000</v>
      </c>
      <c r="P19" s="27">
        <v>2594785.3315174049</v>
      </c>
      <c r="Q19" s="27">
        <v>1539360.8518102518</v>
      </c>
      <c r="R19" s="27">
        <v>1914000</v>
      </c>
      <c r="S19" s="27">
        <v>9823876.4527714495</v>
      </c>
      <c r="T19" s="27">
        <v>179279.40085011176</v>
      </c>
      <c r="U19" s="27">
        <v>318384.36064324691</v>
      </c>
      <c r="V19" s="27">
        <v>1819047.9999999998</v>
      </c>
      <c r="W19" s="27">
        <v>38515758.182095535</v>
      </c>
      <c r="X19" s="27">
        <v>1715446.0943231795</v>
      </c>
      <c r="Y19" s="27">
        <f>SUM(W19:X19)</f>
        <v>40231204.276418716</v>
      </c>
      <c r="Z19" s="32">
        <v>38770</v>
      </c>
      <c r="AA19" s="32">
        <v>161106</v>
      </c>
      <c r="AB19" s="30">
        <v>24800.977768031105</v>
      </c>
      <c r="AC19" s="32">
        <v>195944.5</v>
      </c>
      <c r="AD19" s="32">
        <v>494265</v>
      </c>
      <c r="AE19" s="30">
        <v>51003</v>
      </c>
      <c r="AF19" s="27">
        <v>124004</v>
      </c>
      <c r="AG19" s="29">
        <v>322892.4185093987</v>
      </c>
      <c r="AH19" s="29">
        <v>31492</v>
      </c>
      <c r="AI19" s="27">
        <v>230893.00000000012</v>
      </c>
      <c r="AJ19" s="31">
        <v>40275.198045749967</v>
      </c>
    </row>
    <row r="20" spans="1:37" x14ac:dyDescent="0.2">
      <c r="A20">
        <v>1880</v>
      </c>
      <c r="B20" s="27">
        <v>9900000</v>
      </c>
      <c r="C20" s="27">
        <v>1224602</v>
      </c>
      <c r="D20" s="27">
        <v>408148.34437509527</v>
      </c>
      <c r="E20" s="27">
        <v>631000</v>
      </c>
      <c r="F20" s="27">
        <v>413000</v>
      </c>
      <c r="G20" s="27">
        <v>181566</v>
      </c>
      <c r="H20" s="27">
        <v>245053.74683264998</v>
      </c>
      <c r="I20" s="27">
        <v>1553882.5440546349</v>
      </c>
      <c r="J20" s="27">
        <v>1273000</v>
      </c>
      <c r="K20" s="27">
        <v>253892.58149703738</v>
      </c>
      <c r="L20" s="27">
        <v>751111.85109252564</v>
      </c>
      <c r="M20" s="27">
        <v>1796696.9694414246</v>
      </c>
      <c r="N20" s="27">
        <v>3120864.9516822672</v>
      </c>
      <c r="O20" s="27">
        <v>938083.151964686</v>
      </c>
      <c r="P20" s="27">
        <v>2753631.5580742569</v>
      </c>
      <c r="Q20" s="27">
        <v>1611613.2280292823</v>
      </c>
      <c r="R20" s="27">
        <v>2165000</v>
      </c>
      <c r="S20" s="27">
        <v>11468813.899456972</v>
      </c>
      <c r="T20" s="27">
        <v>243776.12109768117</v>
      </c>
      <c r="U20" s="27">
        <v>459516.48873927974</v>
      </c>
      <c r="V20" s="27">
        <v>2345762</v>
      </c>
      <c r="W20" s="27">
        <v>43739015.436337799</v>
      </c>
      <c r="X20" s="27">
        <v>1940600.4384227456</v>
      </c>
      <c r="Y20" s="27">
        <f>SUM(W20:X20)</f>
        <v>45679615.874760546</v>
      </c>
      <c r="Z20" s="32">
        <v>43086</v>
      </c>
      <c r="AA20" s="32">
        <v>170880</v>
      </c>
      <c r="AB20" s="30">
        <v>27164.634484842449</v>
      </c>
      <c r="AC20" s="32">
        <v>247021</v>
      </c>
      <c r="AD20" s="32">
        <v>572739</v>
      </c>
      <c r="AE20" s="33">
        <v>48329</v>
      </c>
      <c r="AF20" s="27">
        <v>86146</v>
      </c>
      <c r="AG20" s="29">
        <v>341783.1674812868</v>
      </c>
      <c r="AH20" s="29">
        <v>36116</v>
      </c>
      <c r="AI20" s="27">
        <v>330786</v>
      </c>
      <c r="AJ20" s="31">
        <v>36549.636456616267</v>
      </c>
    </row>
    <row r="21" spans="1:37" x14ac:dyDescent="0.2">
      <c r="A21">
        <v>1890</v>
      </c>
      <c r="B21" s="27">
        <v>11500000</v>
      </c>
      <c r="C21" s="27">
        <v>1388180.2999999996</v>
      </c>
      <c r="D21" s="27">
        <v>491004.33685685141</v>
      </c>
      <c r="E21" s="27">
        <v>770000</v>
      </c>
      <c r="F21" s="27">
        <v>431000</v>
      </c>
      <c r="G21" s="27">
        <v>221452</v>
      </c>
      <c r="H21" s="27">
        <v>284443.08109038265</v>
      </c>
      <c r="I21" s="27">
        <v>1616760.9391297549</v>
      </c>
      <c r="J21" s="27">
        <v>1355000</v>
      </c>
      <c r="K21" s="27">
        <v>408170.02997781168</v>
      </c>
      <c r="L21" s="27">
        <v>834706.14360255422</v>
      </c>
      <c r="M21" s="27">
        <v>1942800</v>
      </c>
      <c r="N21" s="27">
        <v>3596739.5458408268</v>
      </c>
      <c r="O21" s="27">
        <v>1100000</v>
      </c>
      <c r="P21" s="27">
        <v>2894813.2670723433</v>
      </c>
      <c r="Q21" s="27">
        <v>1687256.8856773272</v>
      </c>
      <c r="R21" s="27">
        <v>2484000</v>
      </c>
      <c r="S21" s="27">
        <v>14433915</v>
      </c>
      <c r="T21" s="27">
        <v>331057.75298020616</v>
      </c>
      <c r="U21" s="27">
        <v>677036.74378422834</v>
      </c>
      <c r="V21" s="27">
        <v>3595050</v>
      </c>
      <c r="W21" s="27">
        <v>52043386.026012279</v>
      </c>
      <c r="X21" s="27">
        <v>2158780.7161895777</v>
      </c>
      <c r="Y21" s="27">
        <f>SUM(W21:X21)</f>
        <v>54202166.742201857</v>
      </c>
      <c r="Z21" s="32">
        <v>47157</v>
      </c>
      <c r="AA21" s="32">
        <v>181769</v>
      </c>
      <c r="AB21" s="30">
        <v>31043.943738775542</v>
      </c>
      <c r="AC21" s="32">
        <v>275712</v>
      </c>
      <c r="AD21" s="32">
        <v>633625</v>
      </c>
      <c r="AE21" s="33">
        <v>56873</v>
      </c>
      <c r="AF21" s="27">
        <v>166733</v>
      </c>
      <c r="AG21" s="29">
        <v>369274.72754001268</v>
      </c>
      <c r="AH21" s="29">
        <v>41538</v>
      </c>
      <c r="AI21" s="27">
        <v>319620</v>
      </c>
      <c r="AJ21" s="31">
        <v>35435.044910789395</v>
      </c>
    </row>
    <row r="22" spans="1:37" x14ac:dyDescent="0.2">
      <c r="A22">
        <v>1900</v>
      </c>
      <c r="B22" s="27">
        <v>13600000</v>
      </c>
      <c r="C22" s="27">
        <v>1583967.0999999996</v>
      </c>
      <c r="D22" s="27">
        <v>589989.99612897215</v>
      </c>
      <c r="E22" s="27">
        <v>950000</v>
      </c>
      <c r="F22" s="27">
        <v>475000</v>
      </c>
      <c r="G22" s="27">
        <v>259875</v>
      </c>
      <c r="H22" s="27">
        <v>329497.70561368787</v>
      </c>
      <c r="I22" s="27">
        <v>1625666.037870548</v>
      </c>
      <c r="J22" s="27">
        <v>1525797.6058416476</v>
      </c>
      <c r="K22" s="27">
        <v>513184.05155598349</v>
      </c>
      <c r="L22" s="27">
        <v>967411.8530371628</v>
      </c>
      <c r="M22" s="27">
        <v>2183600</v>
      </c>
      <c r="N22" s="27">
        <v>4145176.276737635</v>
      </c>
      <c r="O22" s="27">
        <v>1238960.996088407</v>
      </c>
      <c r="P22" s="27">
        <v>3396456.4709744495</v>
      </c>
      <c r="Q22" s="27">
        <v>1766451</v>
      </c>
      <c r="R22" s="27">
        <v>2856000</v>
      </c>
      <c r="S22" s="27">
        <v>18200000</v>
      </c>
      <c r="T22" s="27">
        <v>499055.98576724122</v>
      </c>
      <c r="U22" s="27">
        <v>915647</v>
      </c>
      <c r="V22" s="27">
        <v>4692719</v>
      </c>
      <c r="W22" s="27">
        <v>62314456.079615735</v>
      </c>
      <c r="X22" s="27">
        <v>2544975</v>
      </c>
      <c r="Y22" s="27">
        <f>SUM(W22:X22)</f>
        <v>64859431.079615735</v>
      </c>
      <c r="Z22" s="34">
        <v>55512</v>
      </c>
      <c r="AA22" s="34">
        <v>194500</v>
      </c>
      <c r="AB22" s="34">
        <v>36998</v>
      </c>
      <c r="AC22" s="34">
        <v>294943</v>
      </c>
      <c r="AD22" s="34">
        <v>748530</v>
      </c>
      <c r="AE22" s="34">
        <v>92968</v>
      </c>
      <c r="AF22" s="34">
        <v>268449</v>
      </c>
      <c r="AG22" s="27">
        <v>424942</v>
      </c>
      <c r="AH22" s="29">
        <v>45600</v>
      </c>
      <c r="AI22" s="27">
        <v>349207</v>
      </c>
      <c r="AJ22" s="27">
        <v>33326</v>
      </c>
    </row>
    <row r="23" spans="1:37" s="40" customFormat="1" x14ac:dyDescent="0.2">
      <c r="A23" s="40">
        <v>1910</v>
      </c>
      <c r="B23" s="41">
        <v>15200000</v>
      </c>
      <c r="C23" s="41">
        <v>1778292.8999999997</v>
      </c>
      <c r="D23" s="41">
        <v>709000</v>
      </c>
      <c r="E23" s="41">
        <v>1088277.3999999999</v>
      </c>
      <c r="F23" s="41">
        <v>526000</v>
      </c>
      <c r="G23" s="41">
        <v>339589</v>
      </c>
      <c r="H23" s="41">
        <v>380534.38494818396</v>
      </c>
      <c r="I23" s="41">
        <v>2232766.7406232967</v>
      </c>
      <c r="J23" s="41">
        <v>1730294.3682905731</v>
      </c>
      <c r="K23" s="41">
        <v>612868</v>
      </c>
      <c r="L23" s="41">
        <v>1118012</v>
      </c>
      <c r="M23" s="41">
        <v>2473600</v>
      </c>
      <c r="N23" s="41">
        <v>4886322.3879376752</v>
      </c>
      <c r="O23" s="41">
        <v>1395476.6816621614</v>
      </c>
      <c r="P23" s="41">
        <v>3985029.60119808</v>
      </c>
      <c r="Q23" s="41">
        <v>1886900.8200975722</v>
      </c>
      <c r="R23" s="41">
        <v>3229000</v>
      </c>
      <c r="S23" s="41">
        <v>22371857.321197096</v>
      </c>
      <c r="T23" s="41">
        <v>590626.89919381565</v>
      </c>
      <c r="U23" s="41">
        <v>1158771.5914148397</v>
      </c>
      <c r="V23" s="41">
        <v>6770080</v>
      </c>
      <c r="W23" s="41">
        <v>74463300.096563295</v>
      </c>
      <c r="X23" s="41">
        <v>2624701</v>
      </c>
      <c r="Y23" s="41">
        <f>SUM(W23:X23)</f>
        <v>77088001.096563295</v>
      </c>
      <c r="Z23" s="42">
        <v>55719.073845409461</v>
      </c>
      <c r="AA23" s="42">
        <v>174209.24110769722</v>
      </c>
      <c r="AB23" s="42">
        <v>40149.742892326976</v>
      </c>
      <c r="AC23" s="42">
        <v>307731.98997359612</v>
      </c>
      <c r="AD23" s="43">
        <v>823489</v>
      </c>
      <c r="AE23" s="43">
        <v>113501</v>
      </c>
      <c r="AF23" s="43">
        <v>327044</v>
      </c>
      <c r="AG23" s="44">
        <v>404112</v>
      </c>
      <c r="AH23" s="43">
        <v>55392</v>
      </c>
      <c r="AI23" s="41">
        <v>295940.95218097023</v>
      </c>
      <c r="AJ23" s="42">
        <v>27412</v>
      </c>
    </row>
    <row r="24" spans="1:37" x14ac:dyDescent="0.2">
      <c r="A24">
        <v>1920</v>
      </c>
      <c r="B24" s="27">
        <v>15291000</v>
      </c>
      <c r="C24" s="27">
        <v>1960053.4999999998</v>
      </c>
      <c r="D24" s="27">
        <v>791342.8</v>
      </c>
      <c r="E24" s="27">
        <v>1184014.7999999998</v>
      </c>
      <c r="F24" s="27">
        <v>638000</v>
      </c>
      <c r="G24" s="27">
        <v>419634</v>
      </c>
      <c r="H24" s="27">
        <v>439221.97168841766</v>
      </c>
      <c r="I24" s="27">
        <v>2966047.6195153678</v>
      </c>
      <c r="J24" s="27">
        <v>2120000</v>
      </c>
      <c r="K24" s="27">
        <v>894665</v>
      </c>
      <c r="L24" s="27">
        <v>1299809</v>
      </c>
      <c r="M24" s="27">
        <v>2826600</v>
      </c>
      <c r="N24" s="27">
        <v>6091725.6969556985</v>
      </c>
      <c r="O24" s="27">
        <v>1625729.1180431941</v>
      </c>
      <c r="P24" s="27">
        <v>4675596.7750909505</v>
      </c>
      <c r="Q24" s="27">
        <v>2015563.8083846599</v>
      </c>
      <c r="R24" s="27">
        <v>3664000</v>
      </c>
      <c r="S24" s="27">
        <v>27500000</v>
      </c>
      <c r="T24" s="27">
        <v>699000</v>
      </c>
      <c r="U24" s="27">
        <v>1425307.3475115744</v>
      </c>
      <c r="V24" s="27">
        <v>8972000</v>
      </c>
      <c r="W24" s="27">
        <v>87499311.437189862</v>
      </c>
      <c r="X24" s="27">
        <v>2682469</v>
      </c>
      <c r="Y24" s="27">
        <f>SUM(W24:X24)</f>
        <v>90181780.437189862</v>
      </c>
      <c r="Z24" s="32">
        <v>53315.340415745406</v>
      </c>
      <c r="AA24" s="32">
        <v>156619.9497839511</v>
      </c>
      <c r="AB24" s="32">
        <v>44805.928090872905</v>
      </c>
      <c r="AC24" s="32">
        <v>307555.60279376066</v>
      </c>
      <c r="AD24" s="34">
        <v>855406</v>
      </c>
      <c r="AE24" s="32">
        <v>118237</v>
      </c>
      <c r="AF24" s="32">
        <v>362540.40049582848</v>
      </c>
      <c r="AG24" s="31">
        <v>400997</v>
      </c>
      <c r="AH24" s="32">
        <v>62947</v>
      </c>
      <c r="AI24" s="27">
        <v>295027.77841984143</v>
      </c>
      <c r="AJ24" s="34">
        <v>25017</v>
      </c>
    </row>
    <row r="25" spans="1:37" x14ac:dyDescent="0.2">
      <c r="A25">
        <v>1930</v>
      </c>
      <c r="B25" s="27">
        <v>16552722</v>
      </c>
      <c r="C25" s="27">
        <v>2316675.8999999994</v>
      </c>
      <c r="D25" s="27">
        <v>932556</v>
      </c>
      <c r="E25" s="27">
        <v>1358573.0999999999</v>
      </c>
      <c r="F25" s="27">
        <v>765000</v>
      </c>
      <c r="G25" s="27">
        <v>532205</v>
      </c>
      <c r="H25" s="27">
        <v>506928</v>
      </c>
      <c r="I25" s="27">
        <v>3859080.9954259046</v>
      </c>
      <c r="J25" s="27">
        <v>2420000</v>
      </c>
      <c r="K25" s="27">
        <v>1251066.953474889</v>
      </c>
      <c r="L25" s="27">
        <v>1543913</v>
      </c>
      <c r="M25" s="27">
        <v>3325600</v>
      </c>
      <c r="N25" s="27">
        <v>7426411.0196653036</v>
      </c>
      <c r="O25" s="27">
        <v>1959000</v>
      </c>
      <c r="P25" s="27">
        <v>5487241.4000000004</v>
      </c>
      <c r="Q25" s="27">
        <v>2153000</v>
      </c>
      <c r="R25" s="27">
        <v>4221000</v>
      </c>
      <c r="S25" s="27">
        <v>33645883.069106691</v>
      </c>
      <c r="T25" s="27">
        <v>880000</v>
      </c>
      <c r="U25" s="27">
        <v>1717768.9891016781</v>
      </c>
      <c r="V25" s="27">
        <v>11935738</v>
      </c>
      <c r="W25" s="27">
        <v>104790363.42677447</v>
      </c>
      <c r="X25" s="27">
        <v>2981981</v>
      </c>
      <c r="Y25" s="27">
        <f>SUM(W25:X25)</f>
        <v>107772344.42677447</v>
      </c>
      <c r="Z25" s="32">
        <v>59110.824643645064</v>
      </c>
      <c r="AA25" s="34">
        <v>159000</v>
      </c>
      <c r="AB25" s="32">
        <v>50709.541323329235</v>
      </c>
      <c r="AC25" s="32">
        <v>310576.97109664197</v>
      </c>
      <c r="AD25" s="34">
        <v>1029611</v>
      </c>
      <c r="AE25" s="34">
        <v>147241</v>
      </c>
      <c r="AF25" s="32">
        <v>407837.73544565763</v>
      </c>
      <c r="AG25" s="31">
        <v>395539</v>
      </c>
      <c r="AH25" s="32">
        <v>76332</v>
      </c>
      <c r="AI25" s="27">
        <v>324022.92749072623</v>
      </c>
      <c r="AJ25" s="34">
        <v>22000</v>
      </c>
    </row>
    <row r="26" spans="1:37" x14ac:dyDescent="0.2">
      <c r="A26">
        <v>1940</v>
      </c>
      <c r="B26" s="27">
        <v>19653552</v>
      </c>
      <c r="C26" s="27">
        <v>2610027.2999999989</v>
      </c>
      <c r="D26" s="27">
        <v>1136138.6000000001</v>
      </c>
      <c r="E26" s="27">
        <v>1567693.3</v>
      </c>
      <c r="F26" s="27">
        <v>931698</v>
      </c>
      <c r="G26" s="27">
        <v>672903</v>
      </c>
      <c r="H26" s="27">
        <v>659343.49839821737</v>
      </c>
      <c r="I26" s="27">
        <v>4560173.7540838132</v>
      </c>
      <c r="J26" s="27">
        <v>2830000</v>
      </c>
      <c r="K26" s="27">
        <v>1729747.4248422028</v>
      </c>
      <c r="L26" s="27">
        <v>1869255</v>
      </c>
      <c r="M26" s="27">
        <v>3974600</v>
      </c>
      <c r="N26" s="27">
        <v>9180564.2593960203</v>
      </c>
      <c r="O26" s="27">
        <v>2576010.9400000614</v>
      </c>
      <c r="P26" s="27">
        <v>6325662</v>
      </c>
      <c r="Q26" s="27">
        <v>2417115.096556223</v>
      </c>
      <c r="R26" s="27">
        <v>4912000</v>
      </c>
      <c r="S26" s="27">
        <v>41165289</v>
      </c>
      <c r="T26" s="27">
        <v>1112000</v>
      </c>
      <c r="U26" s="27">
        <v>1981951.4732881226</v>
      </c>
      <c r="V26" s="27">
        <v>14152653</v>
      </c>
      <c r="W26" s="27">
        <v>126018377.64656466</v>
      </c>
      <c r="X26" s="27">
        <v>3404663</v>
      </c>
      <c r="Y26" s="27">
        <f>SUM(W26:X26)</f>
        <v>129423040.64656466</v>
      </c>
      <c r="Z26" s="32">
        <v>66582.935643519551</v>
      </c>
      <c r="AA26" s="34">
        <v>179000</v>
      </c>
      <c r="AB26" s="32">
        <v>55935.441672128065</v>
      </c>
      <c r="AC26" s="34">
        <v>346982</v>
      </c>
      <c r="AD26" s="34">
        <v>1197079</v>
      </c>
      <c r="AE26" s="34">
        <v>175561</v>
      </c>
      <c r="AF26" s="34">
        <v>484900</v>
      </c>
      <c r="AG26" s="31">
        <v>412088</v>
      </c>
      <c r="AH26" s="32">
        <v>107891</v>
      </c>
      <c r="AI26" s="27">
        <v>353643.6226843521</v>
      </c>
      <c r="AJ26" s="34">
        <v>25000</v>
      </c>
    </row>
    <row r="27" spans="1:37" s="40" customFormat="1" x14ac:dyDescent="0.2">
      <c r="A27" s="40">
        <v>1950</v>
      </c>
      <c r="B27" s="41">
        <v>27740700</v>
      </c>
      <c r="C27" s="41">
        <v>2989499.0999999992</v>
      </c>
      <c r="D27" s="41">
        <v>1370110.9400000002</v>
      </c>
      <c r="E27" s="41">
        <v>1885031.9</v>
      </c>
      <c r="F27" s="41">
        <v>1294993</v>
      </c>
      <c r="G27" s="41">
        <v>887850</v>
      </c>
      <c r="H27" s="41">
        <v>860092</v>
      </c>
      <c r="I27" s="41">
        <v>5919997</v>
      </c>
      <c r="J27" s="41">
        <v>3221277</v>
      </c>
      <c r="K27" s="41">
        <v>2364650</v>
      </c>
      <c r="L27" s="41">
        <v>2218000</v>
      </c>
      <c r="M27" s="41">
        <v>5093708</v>
      </c>
      <c r="N27" s="41">
        <v>11999600</v>
      </c>
      <c r="O27" s="41">
        <v>3387357</v>
      </c>
      <c r="P27" s="41">
        <v>7632000</v>
      </c>
      <c r="Q27" s="41">
        <v>2713630</v>
      </c>
      <c r="R27" s="41">
        <v>6081931</v>
      </c>
      <c r="S27" s="41">
        <v>53974725</v>
      </c>
      <c r="T27" s="41">
        <v>1473245</v>
      </c>
      <c r="U27" s="41">
        <v>2238506</v>
      </c>
      <c r="V27" s="41">
        <v>17150335</v>
      </c>
      <c r="W27" s="41">
        <v>162497237.94</v>
      </c>
      <c r="X27" s="41">
        <v>4089000</v>
      </c>
      <c r="Y27" s="41">
        <f>SUM(W27:X27)</f>
        <v>166586237.94</v>
      </c>
      <c r="Z27" s="43">
        <v>79088</v>
      </c>
      <c r="AA27" s="43">
        <v>210995</v>
      </c>
      <c r="AB27" s="43">
        <v>68919</v>
      </c>
      <c r="AC27" s="43">
        <v>422900</v>
      </c>
      <c r="AD27" s="43">
        <v>1402896</v>
      </c>
      <c r="AE27" s="43">
        <v>214999</v>
      </c>
      <c r="AF27" s="43">
        <v>635999</v>
      </c>
      <c r="AG27" s="44">
        <v>454765</v>
      </c>
      <c r="AH27" s="43">
        <v>112000</v>
      </c>
      <c r="AI27" s="41">
        <v>459439</v>
      </c>
      <c r="AJ27" s="43">
        <v>27000</v>
      </c>
      <c r="AK27" s="45"/>
    </row>
    <row r="28" spans="1:37" x14ac:dyDescent="0.2">
      <c r="A28">
        <v>1955</v>
      </c>
      <c r="B28" s="27">
        <v>32256487</v>
      </c>
      <c r="C28" s="27">
        <v>3404680</v>
      </c>
      <c r="D28" s="27">
        <v>1594039.58</v>
      </c>
      <c r="E28" s="27">
        <v>2150211.7999999998</v>
      </c>
      <c r="F28" s="27">
        <v>1507936</v>
      </c>
      <c r="G28" s="27">
        <v>1058330</v>
      </c>
      <c r="H28" s="27">
        <v>980817</v>
      </c>
      <c r="I28" s="27">
        <v>6540031</v>
      </c>
      <c r="J28" s="27">
        <v>3516283</v>
      </c>
      <c r="K28" s="27">
        <v>2780598</v>
      </c>
      <c r="L28" s="27">
        <v>2249995</v>
      </c>
      <c r="M28" s="27">
        <v>6229557</v>
      </c>
      <c r="N28" s="27">
        <v>13827285</v>
      </c>
      <c r="O28" s="27">
        <v>3862243</v>
      </c>
      <c r="P28" s="27">
        <v>8671543</v>
      </c>
      <c r="Q28" s="27">
        <v>3005846</v>
      </c>
      <c r="R28" s="27">
        <v>6763955</v>
      </c>
      <c r="S28" s="27">
        <v>62902109</v>
      </c>
      <c r="T28" s="27">
        <v>1674562</v>
      </c>
      <c r="U28" s="27">
        <v>2372629</v>
      </c>
      <c r="V28" s="27">
        <v>18931081</v>
      </c>
      <c r="W28" s="27">
        <v>186280218.38</v>
      </c>
      <c r="X28" s="27">
        <v>4553000</v>
      </c>
      <c r="Y28" s="27"/>
      <c r="Z28" s="34">
        <v>88610</v>
      </c>
      <c r="AA28" s="34">
        <v>227298</v>
      </c>
      <c r="AB28" s="34">
        <v>79998</v>
      </c>
      <c r="AC28" s="34">
        <v>485998</v>
      </c>
      <c r="AD28" s="34">
        <v>1541702</v>
      </c>
      <c r="AE28" s="34">
        <v>250004</v>
      </c>
      <c r="AF28" s="34">
        <v>721001</v>
      </c>
      <c r="AG28" s="31">
        <v>512800</v>
      </c>
      <c r="AH28" s="34">
        <v>123000</v>
      </c>
      <c r="AI28" s="27">
        <v>493589</v>
      </c>
      <c r="AJ28" s="34">
        <v>29000</v>
      </c>
    </row>
    <row r="29" spans="1:37" x14ac:dyDescent="0.2">
      <c r="A29">
        <v>1960</v>
      </c>
      <c r="B29" s="27">
        <v>37910204</v>
      </c>
      <c r="C29" s="27">
        <v>3942430</v>
      </c>
      <c r="D29" s="27">
        <v>1873223.56</v>
      </c>
      <c r="E29" s="27">
        <v>2772974</v>
      </c>
      <c r="F29" s="27">
        <v>1774577</v>
      </c>
      <c r="G29" s="27">
        <v>1276640</v>
      </c>
      <c r="H29" s="27">
        <v>1130675</v>
      </c>
      <c r="I29" s="27">
        <v>7141027</v>
      </c>
      <c r="J29" s="27">
        <v>3869396</v>
      </c>
      <c r="K29" s="27">
        <v>3293807</v>
      </c>
      <c r="L29" s="27">
        <v>2359797</v>
      </c>
      <c r="M29" s="27">
        <v>7578987</v>
      </c>
      <c r="N29" s="27">
        <v>16004531</v>
      </c>
      <c r="O29" s="27">
        <v>4438763</v>
      </c>
      <c r="P29" s="27">
        <v>9930967</v>
      </c>
      <c r="Q29" s="27">
        <v>3351438</v>
      </c>
      <c r="R29" s="27">
        <v>7643345</v>
      </c>
      <c r="S29" s="27">
        <v>72773930</v>
      </c>
      <c r="T29" s="27">
        <v>1906642</v>
      </c>
      <c r="U29" s="27">
        <v>2538810</v>
      </c>
      <c r="V29" s="27">
        <v>20624417</v>
      </c>
      <c r="W29" s="27">
        <v>214136580.56</v>
      </c>
      <c r="X29" s="27">
        <v>5035000</v>
      </c>
      <c r="Y29" s="27"/>
      <c r="Z29" s="35">
        <v>109644</v>
      </c>
      <c r="AA29" s="35">
        <v>230662</v>
      </c>
      <c r="AB29" s="35">
        <v>92818</v>
      </c>
      <c r="AC29" s="35">
        <v>568500</v>
      </c>
      <c r="AD29" s="35">
        <v>1629003</v>
      </c>
      <c r="AE29" s="35">
        <v>290000</v>
      </c>
      <c r="AF29" s="35">
        <v>843005</v>
      </c>
      <c r="AG29" s="27">
        <v>587800</v>
      </c>
      <c r="AH29" s="27">
        <v>135000</v>
      </c>
      <c r="AI29" s="27">
        <v>515568</v>
      </c>
      <c r="AJ29" s="27">
        <v>33000</v>
      </c>
    </row>
    <row r="30" spans="1:37" x14ac:dyDescent="0.2">
      <c r="A30">
        <v>1965</v>
      </c>
      <c r="B30" s="27">
        <v>44429281</v>
      </c>
      <c r="C30" s="27">
        <v>4735966</v>
      </c>
      <c r="D30" s="27">
        <v>2213801.1800000002</v>
      </c>
      <c r="E30" s="27">
        <v>3243527</v>
      </c>
      <c r="F30" s="27">
        <v>2062938</v>
      </c>
      <c r="G30" s="27">
        <v>1530713</v>
      </c>
      <c r="H30" s="27">
        <v>1299842</v>
      </c>
      <c r="I30" s="27">
        <v>7950041</v>
      </c>
      <c r="J30" s="27">
        <v>4275271</v>
      </c>
      <c r="K30" s="27">
        <v>3878488</v>
      </c>
      <c r="L30" s="27">
        <v>2583003</v>
      </c>
      <c r="M30" s="27">
        <v>9093699</v>
      </c>
      <c r="N30" s="27">
        <v>18555659</v>
      </c>
      <c r="O30" s="27">
        <v>5144214</v>
      </c>
      <c r="P30" s="27">
        <v>11467227</v>
      </c>
      <c r="Q30" s="27">
        <v>3747904</v>
      </c>
      <c r="R30" s="27">
        <v>8646763</v>
      </c>
      <c r="S30" s="27">
        <v>84376309</v>
      </c>
      <c r="T30" s="27">
        <v>2177486</v>
      </c>
      <c r="U30" s="27">
        <v>2694744</v>
      </c>
      <c r="V30" s="27">
        <v>22294570</v>
      </c>
      <c r="W30" s="27">
        <v>246401446.18000001</v>
      </c>
      <c r="X30" s="27">
        <v>5501000</v>
      </c>
      <c r="Y30" s="27"/>
      <c r="Z30" s="35">
        <v>140500</v>
      </c>
      <c r="AA30" s="35">
        <v>235200</v>
      </c>
      <c r="AB30" s="35">
        <v>106900</v>
      </c>
      <c r="AC30" s="35">
        <v>645000</v>
      </c>
      <c r="AD30" s="35">
        <v>1760400</v>
      </c>
      <c r="AE30" s="35">
        <v>332200</v>
      </c>
      <c r="AF30" s="35">
        <v>896400</v>
      </c>
      <c r="AG30" s="31">
        <v>652118</v>
      </c>
      <c r="AH30" s="31">
        <v>146000</v>
      </c>
      <c r="AI30" s="27">
        <v>536282</v>
      </c>
      <c r="AJ30" s="35">
        <v>50000</v>
      </c>
    </row>
    <row r="31" spans="1:37" x14ac:dyDescent="0.2">
      <c r="A31">
        <v>1970</v>
      </c>
      <c r="B31" s="27">
        <v>51910150</v>
      </c>
      <c r="C31" s="27">
        <v>5415626</v>
      </c>
      <c r="D31" s="27">
        <v>2624799.1900000004</v>
      </c>
      <c r="E31" s="27">
        <v>3735613</v>
      </c>
      <c r="F31" s="27">
        <v>2399688</v>
      </c>
      <c r="G31" s="27">
        <v>1779655</v>
      </c>
      <c r="H31" s="27">
        <v>1491838</v>
      </c>
      <c r="I31" s="27">
        <v>8710456</v>
      </c>
      <c r="J31" s="27">
        <v>4712998</v>
      </c>
      <c r="K31" s="27">
        <v>4502381</v>
      </c>
      <c r="L31" s="27">
        <v>2716299</v>
      </c>
      <c r="M31" s="27">
        <v>10721268</v>
      </c>
      <c r="N31" s="27">
        <v>21327219</v>
      </c>
      <c r="O31" s="27">
        <v>5969928</v>
      </c>
      <c r="P31" s="27">
        <v>13192692</v>
      </c>
      <c r="Q31" s="27">
        <v>4211618</v>
      </c>
      <c r="R31" s="27">
        <v>9569771</v>
      </c>
      <c r="S31" s="27">
        <v>96057227</v>
      </c>
      <c r="T31" s="27">
        <v>2484175</v>
      </c>
      <c r="U31" s="27">
        <v>2810016</v>
      </c>
      <c r="V31" s="27">
        <v>23979249</v>
      </c>
      <c r="W31" s="27">
        <v>280322666.19</v>
      </c>
      <c r="X31" s="27">
        <v>5938000</v>
      </c>
      <c r="Y31" s="27"/>
      <c r="Z31" s="35">
        <v>169700</v>
      </c>
      <c r="AA31" s="35">
        <v>238800</v>
      </c>
      <c r="AB31" s="35">
        <v>122700</v>
      </c>
      <c r="AC31" s="35">
        <v>709400</v>
      </c>
      <c r="AD31" s="35">
        <v>1869000</v>
      </c>
      <c r="AE31" s="35">
        <v>372300</v>
      </c>
      <c r="AF31" s="35">
        <v>970900</v>
      </c>
      <c r="AG31" s="31">
        <v>692947</v>
      </c>
      <c r="AH31" s="31">
        <v>159000</v>
      </c>
      <c r="AI31" s="27">
        <v>569253</v>
      </c>
      <c r="AJ31" s="35">
        <v>64000</v>
      </c>
    </row>
    <row r="32" spans="1:37" x14ac:dyDescent="0.2">
      <c r="A32">
        <v>1975</v>
      </c>
      <c r="B32" s="27">
        <v>60430176</v>
      </c>
      <c r="C32" s="27">
        <v>6194250</v>
      </c>
      <c r="D32" s="27">
        <v>3107730</v>
      </c>
      <c r="E32" s="27">
        <v>4232351</v>
      </c>
      <c r="F32" s="27">
        <v>2798056</v>
      </c>
      <c r="G32" s="27">
        <v>2013066</v>
      </c>
      <c r="H32" s="27">
        <v>1701184</v>
      </c>
      <c r="I32" s="27">
        <v>9431942</v>
      </c>
      <c r="J32" s="27">
        <v>5143813</v>
      </c>
      <c r="K32" s="27">
        <v>5148908</v>
      </c>
      <c r="L32" s="27">
        <v>2938800</v>
      </c>
      <c r="M32" s="27">
        <v>12734554</v>
      </c>
      <c r="N32" s="27">
        <v>23961538</v>
      </c>
      <c r="O32" s="27">
        <v>6907207</v>
      </c>
      <c r="P32" s="27">
        <v>15161160</v>
      </c>
      <c r="Q32" s="27">
        <v>4758871</v>
      </c>
      <c r="R32" s="27">
        <v>10413364</v>
      </c>
      <c r="S32" s="27">
        <v>108217709</v>
      </c>
      <c r="T32" s="27">
        <v>2804519</v>
      </c>
      <c r="U32" s="27">
        <v>2830411</v>
      </c>
      <c r="V32" s="27">
        <v>26071619</v>
      </c>
      <c r="W32" s="27">
        <v>317001228</v>
      </c>
      <c r="X32" s="27">
        <v>6231000</v>
      </c>
      <c r="Y32" s="27"/>
      <c r="Z32" s="35">
        <v>188900</v>
      </c>
      <c r="AA32" s="35">
        <v>245600</v>
      </c>
      <c r="AB32" s="35">
        <v>133700</v>
      </c>
      <c r="AC32" s="35">
        <v>733900</v>
      </c>
      <c r="AD32" s="35">
        <v>2012800</v>
      </c>
      <c r="AE32" s="35">
        <v>364500</v>
      </c>
      <c r="AF32" s="35">
        <v>1011900</v>
      </c>
      <c r="AG32" s="31">
        <v>712125</v>
      </c>
      <c r="AH32" s="31">
        <v>166000</v>
      </c>
      <c r="AI32" s="27">
        <v>575575</v>
      </c>
      <c r="AJ32" s="35">
        <v>86000</v>
      </c>
    </row>
    <row r="33" spans="1:36" x14ac:dyDescent="0.2">
      <c r="A33">
        <v>1980</v>
      </c>
      <c r="B33" s="27">
        <v>68872104</v>
      </c>
      <c r="C33" s="27">
        <v>7001071</v>
      </c>
      <c r="D33" s="27">
        <v>3635862</v>
      </c>
      <c r="E33" s="27">
        <v>4660544</v>
      </c>
      <c r="F33" s="27">
        <v>3250481</v>
      </c>
      <c r="G33" s="27">
        <v>2315705</v>
      </c>
      <c r="H33" s="27">
        <v>1929126</v>
      </c>
      <c r="I33" s="27">
        <v>9823414</v>
      </c>
      <c r="J33" s="27">
        <v>5691275</v>
      </c>
      <c r="K33" s="27">
        <v>5807918</v>
      </c>
      <c r="L33" s="27">
        <v>3196520</v>
      </c>
      <c r="M33" s="27">
        <v>15091346</v>
      </c>
      <c r="N33" s="27">
        <v>26881396</v>
      </c>
      <c r="O33" s="27">
        <v>7961432</v>
      </c>
      <c r="P33" s="27">
        <v>17324203</v>
      </c>
      <c r="Q33" s="27">
        <v>5355126</v>
      </c>
      <c r="R33" s="27">
        <v>11174351</v>
      </c>
      <c r="S33" s="27">
        <v>121737617</v>
      </c>
      <c r="T33" s="27">
        <v>3197755</v>
      </c>
      <c r="U33" s="27">
        <v>2915758</v>
      </c>
      <c r="V33" s="27">
        <v>28121450</v>
      </c>
      <c r="W33" s="27">
        <v>355944454</v>
      </c>
      <c r="X33" s="27">
        <v>6528000</v>
      </c>
      <c r="Y33" s="27"/>
      <c r="Z33" s="35">
        <v>210100</v>
      </c>
      <c r="AA33" s="35">
        <v>249000</v>
      </c>
      <c r="AB33" s="35">
        <v>143800</v>
      </c>
      <c r="AC33" s="35">
        <v>760900</v>
      </c>
      <c r="AD33" s="35">
        <v>2133200</v>
      </c>
      <c r="AE33" s="35">
        <v>355241</v>
      </c>
      <c r="AF33" s="35">
        <v>1081800</v>
      </c>
      <c r="AG33" s="31">
        <v>720386</v>
      </c>
      <c r="AH33" s="31">
        <v>174000</v>
      </c>
      <c r="AI33" s="27">
        <v>601573</v>
      </c>
      <c r="AJ33" s="35">
        <v>98000</v>
      </c>
    </row>
    <row r="34" spans="1:36" x14ac:dyDescent="0.2">
      <c r="A34">
        <v>1985</v>
      </c>
      <c r="B34" s="27">
        <v>75764847</v>
      </c>
      <c r="C34" s="27">
        <v>7919892</v>
      </c>
      <c r="D34" s="27">
        <v>4237519</v>
      </c>
      <c r="E34" s="27">
        <v>5003884</v>
      </c>
      <c r="F34" s="27">
        <v>3709723</v>
      </c>
      <c r="G34" s="27">
        <v>2671525</v>
      </c>
      <c r="H34" s="27">
        <v>2154856</v>
      </c>
      <c r="I34" s="27">
        <v>10064492</v>
      </c>
      <c r="J34" s="27">
        <v>6388180</v>
      </c>
      <c r="K34" s="27">
        <v>6486524</v>
      </c>
      <c r="L34" s="27">
        <v>3378125</v>
      </c>
      <c r="M34" s="27">
        <v>17317174</v>
      </c>
      <c r="N34" s="27">
        <v>29983778</v>
      </c>
      <c r="O34" s="27">
        <v>9098844</v>
      </c>
      <c r="P34" s="27">
        <v>19518599</v>
      </c>
      <c r="Q34" s="27">
        <v>5964211</v>
      </c>
      <c r="R34" s="27">
        <v>12102402</v>
      </c>
      <c r="S34" s="27">
        <v>136219522</v>
      </c>
      <c r="T34" s="27">
        <v>3701942</v>
      </c>
      <c r="U34" s="27">
        <v>3011946</v>
      </c>
      <c r="V34" s="27">
        <v>30341987</v>
      </c>
      <c r="W34" s="27">
        <v>395039972</v>
      </c>
      <c r="X34" s="27">
        <v>6949000</v>
      </c>
      <c r="Y34" s="27"/>
      <c r="Z34" s="35">
        <v>233400</v>
      </c>
      <c r="AA34" s="35">
        <v>252742</v>
      </c>
      <c r="AB34" s="35">
        <v>163100</v>
      </c>
      <c r="AC34" s="35">
        <v>753800</v>
      </c>
      <c r="AD34" s="35">
        <v>2296800</v>
      </c>
      <c r="AE34" s="35">
        <v>383300</v>
      </c>
      <c r="AF34" s="35">
        <v>1178900</v>
      </c>
      <c r="AG34" s="31">
        <v>772490</v>
      </c>
      <c r="AH34" s="31">
        <v>182000</v>
      </c>
      <c r="AI34" s="27">
        <v>627468</v>
      </c>
      <c r="AJ34" s="35">
        <v>105000</v>
      </c>
    </row>
    <row r="35" spans="1:36" x14ac:dyDescent="0.2">
      <c r="A35">
        <v>1990</v>
      </c>
      <c r="B35" s="27">
        <v>83403829</v>
      </c>
      <c r="C35" s="27">
        <v>8890216</v>
      </c>
      <c r="D35" s="27">
        <v>4903704</v>
      </c>
      <c r="E35" s="27">
        <v>5344338</v>
      </c>
      <c r="F35" s="27">
        <v>4137815</v>
      </c>
      <c r="G35" s="27">
        <v>3057164</v>
      </c>
      <c r="H35" s="27">
        <v>2380926</v>
      </c>
      <c r="I35" s="27">
        <v>10563843</v>
      </c>
      <c r="J35" s="27">
        <v>7108570</v>
      </c>
      <c r="K35" s="27">
        <v>7179459</v>
      </c>
      <c r="L35" s="27">
        <v>3527796</v>
      </c>
      <c r="M35" s="27">
        <v>19730827</v>
      </c>
      <c r="N35" s="27">
        <v>33186211</v>
      </c>
      <c r="O35" s="27">
        <v>10272023</v>
      </c>
      <c r="P35" s="27">
        <v>21764614</v>
      </c>
      <c r="Q35" s="27">
        <v>6668714</v>
      </c>
      <c r="R35" s="27">
        <v>13179109</v>
      </c>
      <c r="S35" s="27">
        <v>149644561</v>
      </c>
      <c r="T35" s="27">
        <v>4247663</v>
      </c>
      <c r="U35" s="27">
        <v>3109996</v>
      </c>
      <c r="V35" s="27">
        <v>32626800</v>
      </c>
      <c r="W35" s="27">
        <v>434928178</v>
      </c>
      <c r="X35" s="27">
        <v>7217000</v>
      </c>
      <c r="Y35" s="27"/>
      <c r="Z35" s="35">
        <v>255200</v>
      </c>
      <c r="AA35" s="35">
        <v>257170</v>
      </c>
      <c r="AB35" s="35">
        <v>185700</v>
      </c>
      <c r="AC35" s="35">
        <v>731197</v>
      </c>
      <c r="AD35" s="35">
        <v>2368900</v>
      </c>
      <c r="AE35" s="35">
        <v>401605</v>
      </c>
      <c r="AF35" s="35">
        <v>1215188</v>
      </c>
      <c r="AG35" s="31">
        <v>858084</v>
      </c>
      <c r="AH35" s="31">
        <v>188000</v>
      </c>
      <c r="AI35" s="27">
        <v>652956</v>
      </c>
      <c r="AJ35" s="35">
        <v>103000</v>
      </c>
    </row>
    <row r="36" spans="1:36" x14ac:dyDescent="0.2">
      <c r="A36">
        <v>1995</v>
      </c>
      <c r="B36" s="27">
        <v>91649761</v>
      </c>
      <c r="C36" s="27">
        <v>9983714</v>
      </c>
      <c r="D36" s="27">
        <v>5591950</v>
      </c>
      <c r="E36" s="27">
        <v>5748152</v>
      </c>
      <c r="F36" s="27">
        <v>4659487</v>
      </c>
      <c r="G36" s="27">
        <v>3484445</v>
      </c>
      <c r="H36" s="27">
        <v>2638269</v>
      </c>
      <c r="I36" s="27">
        <v>10884587</v>
      </c>
      <c r="J36" s="27">
        <v>7836659</v>
      </c>
      <c r="K36" s="27">
        <v>7887651</v>
      </c>
      <c r="L36" s="27">
        <v>3683462</v>
      </c>
      <c r="M36" s="27">
        <v>22078264</v>
      </c>
      <c r="N36" s="27">
        <v>36436400</v>
      </c>
      <c r="O36" s="27">
        <v>11396655</v>
      </c>
      <c r="P36" s="27">
        <v>23926524</v>
      </c>
      <c r="Q36" s="27">
        <v>7481694</v>
      </c>
      <c r="R36" s="27">
        <v>14395404</v>
      </c>
      <c r="S36" s="27">
        <v>161888069</v>
      </c>
      <c r="T36" s="27">
        <v>4798977</v>
      </c>
      <c r="U36" s="27">
        <v>3224472</v>
      </c>
      <c r="V36" s="27">
        <v>34835518</v>
      </c>
      <c r="W36" s="27">
        <v>474510114</v>
      </c>
      <c r="X36" s="27">
        <v>7564000</v>
      </c>
      <c r="Y36" s="27"/>
      <c r="Z36" s="35">
        <v>280400</v>
      </c>
      <c r="AA36" s="35">
        <v>262599</v>
      </c>
      <c r="AB36" s="35">
        <v>214100</v>
      </c>
      <c r="AC36" s="35">
        <v>741384</v>
      </c>
      <c r="AD36" s="35">
        <v>2471784</v>
      </c>
      <c r="AE36" s="35">
        <v>409183</v>
      </c>
      <c r="AF36" s="35">
        <v>1260663</v>
      </c>
      <c r="AG36" s="31">
        <v>908968</v>
      </c>
      <c r="AH36" s="31">
        <v>205000</v>
      </c>
      <c r="AI36" s="27">
        <v>702919</v>
      </c>
      <c r="AJ36" s="35">
        <v>107000</v>
      </c>
    </row>
    <row r="37" spans="1:36" x14ac:dyDescent="0.2">
      <c r="A37">
        <v>2000</v>
      </c>
      <c r="B37" s="27">
        <v>99530440</v>
      </c>
      <c r="C37" s="27">
        <v>11203791</v>
      </c>
      <c r="D37" s="27">
        <v>6235595</v>
      </c>
      <c r="E37" s="27">
        <v>5959069</v>
      </c>
      <c r="F37" s="27">
        <v>5100958</v>
      </c>
      <c r="G37" s="27">
        <v>3929248</v>
      </c>
      <c r="H37" s="27">
        <v>2916541</v>
      </c>
      <c r="I37" s="27">
        <v>11075234</v>
      </c>
      <c r="J37" s="27">
        <v>8578185</v>
      </c>
      <c r="K37" s="27">
        <v>8560253</v>
      </c>
      <c r="L37" s="27">
        <v>3815739</v>
      </c>
      <c r="M37" s="27">
        <v>24401504</v>
      </c>
      <c r="N37" s="27">
        <v>39762942</v>
      </c>
      <c r="O37" s="27">
        <v>12305018</v>
      </c>
      <c r="P37" s="27">
        <v>25996576</v>
      </c>
      <c r="Q37" s="27">
        <v>8316648</v>
      </c>
      <c r="R37" s="27">
        <v>15411503</v>
      </c>
      <c r="S37" s="27">
        <v>174506057</v>
      </c>
      <c r="T37" s="27">
        <v>5349035</v>
      </c>
      <c r="U37" s="27">
        <v>3320982</v>
      </c>
      <c r="V37" s="27">
        <v>36905946</v>
      </c>
      <c r="W37" s="27">
        <v>513181264</v>
      </c>
      <c r="X37" s="27">
        <v>7888000</v>
      </c>
      <c r="Y37" s="27"/>
      <c r="Z37" s="35">
        <v>303200</v>
      </c>
      <c r="AA37" s="35">
        <v>267497</v>
      </c>
      <c r="AB37" s="35">
        <v>240187</v>
      </c>
      <c r="AC37" s="35">
        <v>758840</v>
      </c>
      <c r="AD37" s="35">
        <v>2579932</v>
      </c>
      <c r="AE37" s="35">
        <v>425084</v>
      </c>
      <c r="AF37" s="35">
        <v>1288992</v>
      </c>
      <c r="AG37" s="31">
        <v>978000</v>
      </c>
      <c r="AH37" s="31">
        <v>215000</v>
      </c>
      <c r="AI37" s="27">
        <v>722268</v>
      </c>
      <c r="AJ37" s="35">
        <v>109000</v>
      </c>
    </row>
    <row r="38" spans="1:36" x14ac:dyDescent="0.2">
      <c r="A38">
        <v>2005</v>
      </c>
      <c r="B38" s="27">
        <v>105934141</v>
      </c>
      <c r="C38" s="27">
        <v>12678471</v>
      </c>
      <c r="D38" s="27">
        <v>6898882</v>
      </c>
      <c r="E38" s="27">
        <v>6072779</v>
      </c>
      <c r="F38" s="27">
        <v>5455309</v>
      </c>
      <c r="G38" s="27">
        <v>4263479</v>
      </c>
      <c r="H38" s="27">
        <v>3196662</v>
      </c>
      <c r="I38" s="27">
        <v>11188802</v>
      </c>
      <c r="J38" s="27">
        <v>9294750</v>
      </c>
      <c r="K38" s="27">
        <v>9237045</v>
      </c>
      <c r="L38" s="27">
        <v>3915379</v>
      </c>
      <c r="M38" s="27">
        <v>26723879</v>
      </c>
      <c r="N38" s="27">
        <v>43045561</v>
      </c>
      <c r="O38" s="27">
        <v>13059635</v>
      </c>
      <c r="P38" s="27">
        <v>27833144</v>
      </c>
      <c r="Q38" s="27">
        <v>9182015</v>
      </c>
      <c r="R38" s="27">
        <v>16294249</v>
      </c>
      <c r="S38" s="27">
        <v>186146068</v>
      </c>
      <c r="T38" s="27">
        <v>5903747</v>
      </c>
      <c r="U38" s="27">
        <v>3325339</v>
      </c>
      <c r="V38" s="27">
        <v>38651591</v>
      </c>
      <c r="W38" s="27">
        <v>548300927</v>
      </c>
      <c r="X38" s="27">
        <v>8205000</v>
      </c>
      <c r="Y38" s="27"/>
      <c r="Z38" s="35">
        <v>323300</v>
      </c>
      <c r="AA38" s="35">
        <v>272214</v>
      </c>
      <c r="AB38" s="35">
        <v>266260</v>
      </c>
      <c r="AC38" s="35">
        <v>768003</v>
      </c>
      <c r="AD38" s="35">
        <v>2700868</v>
      </c>
      <c r="AE38" s="35">
        <v>442351</v>
      </c>
      <c r="AF38" s="35">
        <v>1311259</v>
      </c>
      <c r="AG38" s="31">
        <v>1036707</v>
      </c>
      <c r="AH38" s="31">
        <v>224000</v>
      </c>
      <c r="AI38" s="27">
        <v>752038</v>
      </c>
      <c r="AJ38" s="35">
        <v>108000</v>
      </c>
    </row>
    <row r="39" spans="1:36" x14ac:dyDescent="0.2">
      <c r="A39">
        <v>2010</v>
      </c>
      <c r="B39" s="27">
        <v>112363683</v>
      </c>
      <c r="C39" s="27">
        <v>14333748</v>
      </c>
      <c r="D39" s="27">
        <v>7619253</v>
      </c>
      <c r="E39" s="27">
        <v>6217893</v>
      </c>
      <c r="F39" s="27">
        <v>5812931</v>
      </c>
      <c r="G39" s="27">
        <v>4563539</v>
      </c>
      <c r="H39" s="27">
        <v>3473848</v>
      </c>
      <c r="I39" s="27">
        <v>11202755</v>
      </c>
      <c r="J39" s="27">
        <v>10089158</v>
      </c>
      <c r="K39" s="27">
        <v>9898898</v>
      </c>
      <c r="L39" s="27">
        <v>3990199</v>
      </c>
      <c r="M39" s="27">
        <v>29042930</v>
      </c>
      <c r="N39" s="27">
        <v>46299052</v>
      </c>
      <c r="O39" s="27">
        <v>13773140</v>
      </c>
      <c r="P39" s="27">
        <v>29495252</v>
      </c>
      <c r="Q39" s="27">
        <v>10031005</v>
      </c>
      <c r="R39" s="27">
        <v>17133442</v>
      </c>
      <c r="S39" s="27">
        <v>195153373</v>
      </c>
      <c r="T39" s="27">
        <v>6459617</v>
      </c>
      <c r="U39" s="27">
        <v>3373243</v>
      </c>
      <c r="V39" s="27">
        <v>40369974</v>
      </c>
      <c r="W39" s="27">
        <v>580696933</v>
      </c>
      <c r="X39" s="27">
        <v>8506000</v>
      </c>
      <c r="Y39" s="27"/>
      <c r="Z39" s="35">
        <v>336321</v>
      </c>
      <c r="AA39" s="35">
        <v>276372</v>
      </c>
      <c r="AB39" s="35">
        <v>291446</v>
      </c>
      <c r="AC39" s="35">
        <v>768730</v>
      </c>
      <c r="AD39" s="35">
        <v>2833932</v>
      </c>
      <c r="AE39" s="35">
        <v>457978</v>
      </c>
      <c r="AF39" s="35">
        <v>1330564</v>
      </c>
      <c r="AG39" s="27">
        <v>1072000</v>
      </c>
      <c r="AH39" s="31">
        <v>233000</v>
      </c>
      <c r="AI39" s="27">
        <v>799657</v>
      </c>
      <c r="AJ39" s="27">
        <v>106000</v>
      </c>
    </row>
    <row r="40" spans="1:36" x14ac:dyDescent="0.2">
      <c r="A40">
        <v>2015</v>
      </c>
      <c r="B40" s="27">
        <v>118282791</v>
      </c>
      <c r="C40" s="27">
        <v>16157970</v>
      </c>
      <c r="D40" s="27">
        <v>8378067</v>
      </c>
      <c r="E40" s="27">
        <v>6404773</v>
      </c>
      <c r="F40" s="27">
        <v>6235757</v>
      </c>
      <c r="G40" s="27">
        <v>4821471</v>
      </c>
      <c r="H40" s="27">
        <v>3740892</v>
      </c>
      <c r="I40" s="27">
        <v>11212861</v>
      </c>
      <c r="J40" s="27">
        <v>10917909</v>
      </c>
      <c r="K40" s="27">
        <v>10515076</v>
      </c>
      <c r="L40" s="27">
        <v>4044135</v>
      </c>
      <c r="M40" s="27">
        <v>31291416</v>
      </c>
      <c r="N40" s="27">
        <v>49384901</v>
      </c>
      <c r="O40" s="27">
        <v>14550411</v>
      </c>
      <c r="P40" s="27">
        <v>31196670</v>
      </c>
      <c r="Q40" s="27">
        <v>10854338</v>
      </c>
      <c r="R40" s="27">
        <v>17914485</v>
      </c>
      <c r="S40" s="27">
        <v>202955839</v>
      </c>
      <c r="T40" s="27">
        <v>7006800</v>
      </c>
      <c r="U40" s="27">
        <v>3430277</v>
      </c>
      <c r="V40" s="27">
        <v>42119169</v>
      </c>
      <c r="W40" s="27">
        <v>611416008</v>
      </c>
      <c r="X40" s="27">
        <v>8789000</v>
      </c>
      <c r="Y40" s="27"/>
      <c r="Z40" s="35">
        <v>350702</v>
      </c>
      <c r="AA40" s="35">
        <v>279787</v>
      </c>
      <c r="AB40" s="35">
        <v>315224</v>
      </c>
      <c r="AC40" s="35">
        <v>761160</v>
      </c>
      <c r="AD40" s="35">
        <v>2977430</v>
      </c>
      <c r="AE40" s="35">
        <v>470558</v>
      </c>
      <c r="AF40" s="35">
        <v>1342368</v>
      </c>
      <c r="AG40" s="31">
        <v>1113000</v>
      </c>
      <c r="AH40" s="31">
        <v>240000</v>
      </c>
      <c r="AI40" s="27">
        <v>831771</v>
      </c>
      <c r="AJ40" s="27">
        <v>107000</v>
      </c>
    </row>
    <row r="41" spans="1:36" x14ac:dyDescent="0.2">
      <c r="A41">
        <v>2020</v>
      </c>
      <c r="B41" s="27">
        <v>123527415</v>
      </c>
      <c r="C41" s="27">
        <v>17992361</v>
      </c>
      <c r="D41" s="27">
        <v>9103492</v>
      </c>
      <c r="E41" s="27">
        <v>6619359</v>
      </c>
      <c r="F41" s="27">
        <v>6626908</v>
      </c>
      <c r="G41" s="27">
        <v>5084215</v>
      </c>
      <c r="H41" s="27">
        <v>3997573</v>
      </c>
      <c r="I41" s="27">
        <v>11193277</v>
      </c>
      <c r="J41" s="27">
        <v>11751612</v>
      </c>
      <c r="K41" s="27">
        <v>11077298</v>
      </c>
      <c r="L41" s="27">
        <v>4072803</v>
      </c>
      <c r="M41" s="27">
        <v>33412112</v>
      </c>
      <c r="N41" s="27">
        <v>52278246</v>
      </c>
      <c r="O41" s="27">
        <v>15349178</v>
      </c>
      <c r="P41" s="27">
        <v>32880561</v>
      </c>
      <c r="Q41" s="27">
        <v>11638075</v>
      </c>
      <c r="R41" s="27">
        <v>18606202</v>
      </c>
      <c r="S41" s="27">
        <v>209474415</v>
      </c>
      <c r="T41" s="27">
        <v>7532565</v>
      </c>
      <c r="U41" s="27">
        <v>3493987</v>
      </c>
      <c r="V41" s="27">
        <v>43773811</v>
      </c>
      <c r="W41" s="27">
        <v>639485465</v>
      </c>
      <c r="X41" s="27">
        <v>9046000</v>
      </c>
      <c r="Y41" s="27"/>
      <c r="Z41" s="35">
        <v>363335</v>
      </c>
      <c r="AA41" s="35">
        <v>282052</v>
      </c>
      <c r="AB41" s="35">
        <v>337107</v>
      </c>
      <c r="AC41" s="35">
        <v>746028</v>
      </c>
      <c r="AD41" s="35">
        <v>3127557</v>
      </c>
      <c r="AE41" s="35">
        <v>479672</v>
      </c>
      <c r="AF41" s="35">
        <v>1346085</v>
      </c>
      <c r="AG41" s="31">
        <v>1149000</v>
      </c>
      <c r="AH41" s="31">
        <v>246000</v>
      </c>
      <c r="AI41" s="27">
        <v>862164</v>
      </c>
      <c r="AJ41" s="27">
        <v>107000</v>
      </c>
    </row>
    <row r="42" spans="1:36" x14ac:dyDescent="0.2">
      <c r="A42">
        <v>2025</v>
      </c>
      <c r="B42" s="27">
        <v>128002864</v>
      </c>
      <c r="C42" s="27">
        <v>19796419</v>
      </c>
      <c r="D42" s="27">
        <v>9774154</v>
      </c>
      <c r="E42" s="27">
        <v>6843711</v>
      </c>
      <c r="F42" s="27">
        <v>6970565</v>
      </c>
      <c r="G42" s="27">
        <v>5339344</v>
      </c>
      <c r="H42" s="27">
        <v>4242707</v>
      </c>
      <c r="I42" s="27">
        <v>11142717</v>
      </c>
      <c r="J42" s="27">
        <v>12568310</v>
      </c>
      <c r="K42" s="27">
        <v>11584822</v>
      </c>
      <c r="L42" s="27">
        <v>4072835</v>
      </c>
      <c r="M42" s="27">
        <v>35370002</v>
      </c>
      <c r="N42" s="27">
        <v>54917520</v>
      </c>
      <c r="O42" s="27">
        <v>16127519</v>
      </c>
      <c r="P42" s="27">
        <v>34478467</v>
      </c>
      <c r="Q42" s="27">
        <v>12368497</v>
      </c>
      <c r="R42" s="27">
        <v>19199350</v>
      </c>
      <c r="S42" s="27">
        <v>214708697</v>
      </c>
      <c r="T42" s="27">
        <v>8025815</v>
      </c>
      <c r="U42" s="27">
        <v>3548027</v>
      </c>
      <c r="V42" s="27">
        <v>45281947</v>
      </c>
      <c r="W42" s="27">
        <v>664364289</v>
      </c>
      <c r="X42" s="27">
        <v>9252000</v>
      </c>
      <c r="Y42" s="27"/>
      <c r="Z42" s="35">
        <v>373782</v>
      </c>
      <c r="AA42" s="35">
        <v>283043</v>
      </c>
      <c r="AB42" s="35">
        <v>356460</v>
      </c>
      <c r="AC42" s="35">
        <v>723825</v>
      </c>
      <c r="AD42" s="35">
        <v>3262868</v>
      </c>
      <c r="AE42" s="35">
        <v>485777</v>
      </c>
      <c r="AF42" s="35">
        <v>1340365</v>
      </c>
      <c r="AG42" s="31">
        <v>1182000</v>
      </c>
      <c r="AH42" s="31">
        <v>250000</v>
      </c>
      <c r="AI42" s="27">
        <v>887880</v>
      </c>
      <c r="AJ42" s="27">
        <v>106000</v>
      </c>
    </row>
    <row r="43" spans="1:36" x14ac:dyDescent="0.2">
      <c r="A43">
        <v>2030</v>
      </c>
      <c r="B43" s="27">
        <v>131587046</v>
      </c>
      <c r="C43" s="27">
        <v>21536554</v>
      </c>
      <c r="D43" s="27">
        <v>10378613</v>
      </c>
      <c r="E43" s="27">
        <v>7073901</v>
      </c>
      <c r="F43" s="27">
        <v>7261745</v>
      </c>
      <c r="G43" s="27">
        <v>5563132</v>
      </c>
      <c r="H43" s="27">
        <v>4470627</v>
      </c>
      <c r="I43" s="27">
        <v>11050718</v>
      </c>
      <c r="J43" s="27">
        <v>13362593</v>
      </c>
      <c r="K43" s="27">
        <v>12038753</v>
      </c>
      <c r="L43" s="27">
        <v>4046390</v>
      </c>
      <c r="M43" s="27">
        <v>37144698</v>
      </c>
      <c r="N43" s="27">
        <v>57262165</v>
      </c>
      <c r="O43" s="27">
        <v>16855905</v>
      </c>
      <c r="P43" s="27">
        <v>35978031</v>
      </c>
      <c r="Q43" s="27">
        <v>13034186</v>
      </c>
      <c r="R43" s="27">
        <v>19675020</v>
      </c>
      <c r="S43" s="27">
        <v>218960853</v>
      </c>
      <c r="T43" s="27">
        <v>8482616</v>
      </c>
      <c r="U43" s="27">
        <v>3590450</v>
      </c>
      <c r="V43" s="27">
        <v>46629632</v>
      </c>
      <c r="W43" s="27">
        <v>685983628</v>
      </c>
      <c r="X43" s="27">
        <v>9402000</v>
      </c>
      <c r="Y43" s="27"/>
      <c r="Z43" s="35">
        <v>381812</v>
      </c>
      <c r="AA43" s="35">
        <v>282295</v>
      </c>
      <c r="AB43" s="35">
        <v>373070</v>
      </c>
      <c r="AC43" s="35">
        <v>694589</v>
      </c>
      <c r="AD43" s="35">
        <v>3380038</v>
      </c>
      <c r="AE43" s="35">
        <v>488762</v>
      </c>
      <c r="AF43" s="35">
        <v>1326906</v>
      </c>
      <c r="AG43" s="31">
        <v>1209000</v>
      </c>
      <c r="AH43" s="31">
        <v>253000</v>
      </c>
      <c r="AI43" s="27">
        <v>907528</v>
      </c>
      <c r="AJ43" s="27">
        <v>105000</v>
      </c>
    </row>
    <row r="44" spans="1:36" x14ac:dyDescent="0.2">
      <c r="A44">
        <v>2035</v>
      </c>
      <c r="B44" s="27">
        <v>134178191</v>
      </c>
      <c r="C44" s="27">
        <v>23181909</v>
      </c>
      <c r="D44" s="27">
        <v>10913764</v>
      </c>
      <c r="E44" s="27">
        <v>7252256</v>
      </c>
      <c r="F44" s="27">
        <v>7499807</v>
      </c>
      <c r="G44" s="27">
        <v>5744396</v>
      </c>
      <c r="H44" s="27">
        <v>4676197</v>
      </c>
      <c r="I44" s="27">
        <v>10894939</v>
      </c>
      <c r="J44" s="27">
        <v>14135437</v>
      </c>
      <c r="K44" s="27">
        <v>12435917</v>
      </c>
      <c r="L44" s="27">
        <v>3995491</v>
      </c>
      <c r="M44" s="27">
        <v>38713013</v>
      </c>
      <c r="N44" s="27">
        <v>59234255</v>
      </c>
      <c r="O44" s="27">
        <v>17506579</v>
      </c>
      <c r="P44" s="27">
        <v>37344846</v>
      </c>
      <c r="Q44" s="27">
        <v>13625982</v>
      </c>
      <c r="R44" s="27">
        <v>20024118</v>
      </c>
      <c r="S44" s="27">
        <v>221997255</v>
      </c>
      <c r="T44" s="27">
        <v>8896389</v>
      </c>
      <c r="U44" s="27">
        <v>3618711</v>
      </c>
      <c r="V44" s="27">
        <v>47792511</v>
      </c>
      <c r="W44" s="27">
        <v>703661963</v>
      </c>
      <c r="X44" s="27">
        <v>9497000</v>
      </c>
      <c r="Y44" s="27"/>
      <c r="Z44" s="35">
        <v>387976</v>
      </c>
      <c r="AA44" s="35">
        <v>279435</v>
      </c>
      <c r="AB44" s="35">
        <v>387946</v>
      </c>
      <c r="AC44" s="35">
        <v>658632</v>
      </c>
      <c r="AD44" s="35">
        <v>3479689</v>
      </c>
      <c r="AE44" s="35">
        <v>487720</v>
      </c>
      <c r="AF44" s="35">
        <v>1307499</v>
      </c>
      <c r="AG44" s="31">
        <v>1226000</v>
      </c>
      <c r="AH44" s="31">
        <v>253000</v>
      </c>
      <c r="AI44" s="27">
        <v>925103</v>
      </c>
      <c r="AJ44" s="27">
        <v>104000</v>
      </c>
    </row>
    <row r="45" spans="1:36" x14ac:dyDescent="0.2">
      <c r="A45">
        <v>2040</v>
      </c>
      <c r="B45" s="27">
        <v>136047193</v>
      </c>
      <c r="C45" s="27">
        <v>24710615</v>
      </c>
      <c r="D45" s="27">
        <v>11374886</v>
      </c>
      <c r="E45" s="27">
        <v>7404547</v>
      </c>
      <c r="F45" s="27">
        <v>7681647</v>
      </c>
      <c r="G45" s="27">
        <v>5885556</v>
      </c>
      <c r="H45" s="27">
        <v>4854954</v>
      </c>
      <c r="I45" s="27">
        <v>10670343</v>
      </c>
      <c r="J45" s="27">
        <v>14873220</v>
      </c>
      <c r="K45" s="27">
        <v>12769486</v>
      </c>
      <c r="L45" s="27">
        <v>3922268</v>
      </c>
      <c r="M45" s="27">
        <v>40050929</v>
      </c>
      <c r="N45" s="27">
        <v>60806443</v>
      </c>
      <c r="O45" s="27">
        <v>18062838</v>
      </c>
      <c r="P45" s="27">
        <v>38533858</v>
      </c>
      <c r="Q45" s="27">
        <v>14135899</v>
      </c>
      <c r="R45" s="27">
        <v>20252896</v>
      </c>
      <c r="S45" s="27">
        <v>223638576</v>
      </c>
      <c r="T45" s="27">
        <v>9266002</v>
      </c>
      <c r="U45" s="27">
        <v>3632782</v>
      </c>
      <c r="V45" s="27">
        <v>48756467</v>
      </c>
      <c r="W45" s="27">
        <v>717331405</v>
      </c>
      <c r="X45" s="27">
        <v>9540000</v>
      </c>
      <c r="Y45" s="27"/>
      <c r="Z45" s="35">
        <v>392212</v>
      </c>
      <c r="AA45" s="35">
        <v>274114</v>
      </c>
      <c r="AB45" s="35">
        <v>401284</v>
      </c>
      <c r="AC45" s="35">
        <v>615171</v>
      </c>
      <c r="AD45" s="35">
        <v>3563192</v>
      </c>
      <c r="AE45" s="35">
        <v>482559</v>
      </c>
      <c r="AF45" s="35">
        <v>1283658</v>
      </c>
      <c r="AG45" s="31">
        <v>1236000</v>
      </c>
      <c r="AH45" s="31">
        <v>253000</v>
      </c>
      <c r="AI45" s="27">
        <v>935810</v>
      </c>
      <c r="AJ45" s="27">
        <v>103000</v>
      </c>
    </row>
    <row r="46" spans="1:36" x14ac:dyDescent="0.2">
      <c r="A46">
        <v>2045</v>
      </c>
      <c r="B46" s="27">
        <v>137040128</v>
      </c>
      <c r="C46" s="27">
        <v>26103909</v>
      </c>
      <c r="D46" s="27">
        <v>11755574</v>
      </c>
      <c r="E46" s="27">
        <v>7526886</v>
      </c>
      <c r="F46" s="27">
        <v>7805414</v>
      </c>
      <c r="G46" s="27">
        <v>5991750</v>
      </c>
      <c r="H46" s="27">
        <v>5005442</v>
      </c>
      <c r="I46" s="27">
        <v>10380492</v>
      </c>
      <c r="J46" s="27">
        <v>15563615</v>
      </c>
      <c r="K46" s="27">
        <v>13039024</v>
      </c>
      <c r="L46" s="27">
        <v>3830839</v>
      </c>
      <c r="M46" s="27">
        <v>41143537</v>
      </c>
      <c r="N46" s="27">
        <v>61997878</v>
      </c>
      <c r="O46" s="27">
        <v>18518057</v>
      </c>
      <c r="P46" s="27">
        <v>39525630</v>
      </c>
      <c r="Q46" s="27">
        <v>14563681</v>
      </c>
      <c r="R46" s="27">
        <v>20371427</v>
      </c>
      <c r="S46" s="27">
        <v>223956821</v>
      </c>
      <c r="T46" s="27">
        <v>9589821</v>
      </c>
      <c r="U46" s="27">
        <v>3632584</v>
      </c>
      <c r="V46" s="27">
        <v>49513153</v>
      </c>
      <c r="W46" s="27">
        <v>726855662</v>
      </c>
      <c r="X46" s="27">
        <v>9526000</v>
      </c>
      <c r="Y46" s="27"/>
      <c r="Z46" s="35">
        <v>394385</v>
      </c>
      <c r="AA46" s="35">
        <v>266713</v>
      </c>
      <c r="AB46" s="35">
        <v>412513</v>
      </c>
      <c r="AC46" s="35">
        <v>564211</v>
      </c>
      <c r="AD46" s="35">
        <v>3627172</v>
      </c>
      <c r="AE46" s="35">
        <v>473095</v>
      </c>
      <c r="AF46" s="35">
        <v>1254832</v>
      </c>
      <c r="AG46" s="31">
        <v>1237000</v>
      </c>
      <c r="AH46" s="31">
        <v>251000</v>
      </c>
      <c r="AI46" s="27">
        <v>942079</v>
      </c>
      <c r="AJ46" s="27">
        <v>103000</v>
      </c>
    </row>
    <row r="47" spans="1:36" x14ac:dyDescent="0.2">
      <c r="A47">
        <v>2050</v>
      </c>
      <c r="B47" s="27">
        <v>137108343</v>
      </c>
      <c r="C47" s="27">
        <v>27347207</v>
      </c>
      <c r="D47" s="27">
        <v>12053731</v>
      </c>
      <c r="E47" s="27">
        <v>7613063</v>
      </c>
      <c r="F47" s="27">
        <v>7865909</v>
      </c>
      <c r="G47" s="27">
        <v>6069474</v>
      </c>
      <c r="H47" s="27">
        <v>5127530</v>
      </c>
      <c r="I47" s="27">
        <v>10029570</v>
      </c>
      <c r="J47" s="27">
        <v>16191656</v>
      </c>
      <c r="K47" s="27">
        <v>13243669</v>
      </c>
      <c r="L47" s="27">
        <v>3723098</v>
      </c>
      <c r="M47" s="27">
        <v>42041652</v>
      </c>
      <c r="N47" s="27">
        <v>62873891</v>
      </c>
      <c r="O47" s="27">
        <v>18891441</v>
      </c>
      <c r="P47" s="27">
        <v>40304954</v>
      </c>
      <c r="Q47" s="27">
        <v>14908126</v>
      </c>
      <c r="R47" s="27">
        <v>20388089</v>
      </c>
      <c r="S47" s="27">
        <v>223073824</v>
      </c>
      <c r="T47" s="27">
        <v>9867163</v>
      </c>
      <c r="U47" s="27">
        <v>3617161</v>
      </c>
      <c r="V47" s="27">
        <v>50033317</v>
      </c>
      <c r="W47" s="27">
        <v>732372868</v>
      </c>
      <c r="X47" s="27">
        <v>9457000</v>
      </c>
      <c r="Y47" s="27"/>
      <c r="Z47" s="35">
        <v>394614</v>
      </c>
      <c r="AA47" s="35">
        <v>257896</v>
      </c>
      <c r="AB47" s="35">
        <v>421167</v>
      </c>
      <c r="AC47" s="35">
        <v>506805</v>
      </c>
      <c r="AD47" s="35">
        <v>3669318</v>
      </c>
      <c r="AE47" s="35">
        <v>459072</v>
      </c>
      <c r="AF47" s="35">
        <v>1220880</v>
      </c>
      <c r="AG47" s="31">
        <v>1234000</v>
      </c>
      <c r="AH47" s="31">
        <v>249000</v>
      </c>
      <c r="AI47" s="27">
        <v>941248</v>
      </c>
      <c r="AJ47" s="27">
        <v>103000</v>
      </c>
    </row>
    <row r="48" spans="1:36" x14ac:dyDescent="0.2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J33"/>
  <sheetViews>
    <sheetView topLeftCell="A7" workbookViewId="0">
      <selection activeCell="Y34" sqref="Y34"/>
    </sheetView>
  </sheetViews>
  <sheetFormatPr baseColWidth="10" defaultRowHeight="15" x14ac:dyDescent="0.2"/>
  <sheetData>
    <row r="2" spans="1:36" x14ac:dyDescent="0.2">
      <c r="A2" s="36" t="s">
        <v>187</v>
      </c>
    </row>
    <row r="3" spans="1:36" x14ac:dyDescent="0.2">
      <c r="A3" t="s">
        <v>188</v>
      </c>
    </row>
    <row r="4" spans="1:36" x14ac:dyDescent="0.2">
      <c r="A4" t="s">
        <v>191</v>
      </c>
    </row>
    <row r="5" spans="1:36" ht="19" x14ac:dyDescent="0.2">
      <c r="A5" s="37"/>
      <c r="D5" s="38" t="s">
        <v>189</v>
      </c>
    </row>
    <row r="6" spans="1:36" x14ac:dyDescent="0.2">
      <c r="A6" t="s">
        <v>190</v>
      </c>
    </row>
    <row r="7" spans="1:36" x14ac:dyDescent="0.2">
      <c r="A7" t="s">
        <v>193</v>
      </c>
    </row>
    <row r="9" spans="1:36" x14ac:dyDescent="0.2">
      <c r="A9" s="39"/>
    </row>
    <row r="15" spans="1:36" s="40" customFormat="1" x14ac:dyDescent="0.2">
      <c r="A15" s="40">
        <v>1910</v>
      </c>
      <c r="B15" s="41">
        <v>15200000</v>
      </c>
      <c r="C15" s="41">
        <v>1778292.8999999997</v>
      </c>
      <c r="D15" s="41">
        <v>709000</v>
      </c>
      <c r="E15" s="41">
        <v>1088277.3999999999</v>
      </c>
      <c r="F15" s="41">
        <v>526000</v>
      </c>
      <c r="G15" s="41">
        <v>339589</v>
      </c>
      <c r="H15" s="41">
        <v>380534.38494818396</v>
      </c>
      <c r="I15" s="41">
        <v>2232766.7406232967</v>
      </c>
      <c r="J15" s="41">
        <v>1730294.3682905731</v>
      </c>
      <c r="K15" s="41">
        <v>612868</v>
      </c>
      <c r="L15" s="41">
        <v>1118012</v>
      </c>
      <c r="M15" s="41">
        <v>2473600</v>
      </c>
      <c r="N15" s="41">
        <v>4886322.3879376752</v>
      </c>
      <c r="O15" s="41">
        <v>1395476.6816621614</v>
      </c>
      <c r="P15" s="41">
        <v>3985029.60119808</v>
      </c>
      <c r="Q15" s="41">
        <v>1886900.8200975722</v>
      </c>
      <c r="R15" s="41">
        <v>3229000</v>
      </c>
      <c r="S15" s="41">
        <v>22371857.321197096</v>
      </c>
      <c r="T15" s="41">
        <v>590626.89919381565</v>
      </c>
      <c r="U15" s="41">
        <v>1158771.5914148397</v>
      </c>
      <c r="V15" s="41">
        <v>6770080</v>
      </c>
      <c r="W15" s="41">
        <v>74463300.096563295</v>
      </c>
      <c r="X15" s="41">
        <v>2624701</v>
      </c>
      <c r="Y15" s="41">
        <f>SUM(B15:X15)</f>
        <v>151551301.19312659</v>
      </c>
      <c r="Z15" s="42">
        <v>55719.073845409461</v>
      </c>
      <c r="AA15" s="42">
        <v>174209.24110769722</v>
      </c>
      <c r="AB15" s="42">
        <v>40149.742892326976</v>
      </c>
      <c r="AC15" s="42">
        <v>307731.98997359612</v>
      </c>
      <c r="AD15" s="43">
        <v>823489</v>
      </c>
      <c r="AE15" s="43">
        <v>113501</v>
      </c>
      <c r="AF15" s="43">
        <v>327044</v>
      </c>
      <c r="AG15" s="44">
        <v>404112</v>
      </c>
      <c r="AH15" s="43">
        <v>55392</v>
      </c>
      <c r="AI15" s="41">
        <v>295940.95218097023</v>
      </c>
      <c r="AJ15" s="42">
        <v>27412</v>
      </c>
    </row>
    <row r="18" spans="2:27" x14ac:dyDescent="0.2"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 t="s">
        <v>158</v>
      </c>
      <c r="J18" t="s">
        <v>147</v>
      </c>
      <c r="K18" t="s">
        <v>159</v>
      </c>
      <c r="L18" t="s">
        <v>161</v>
      </c>
      <c r="M18" t="s">
        <v>162</v>
      </c>
      <c r="N18" t="s">
        <v>163</v>
      </c>
      <c r="O18" t="s">
        <v>164</v>
      </c>
      <c r="P18" t="s">
        <v>165</v>
      </c>
      <c r="Q18" t="s">
        <v>172</v>
      </c>
      <c r="R18" t="s">
        <v>166</v>
      </c>
      <c r="S18" t="s">
        <v>167</v>
      </c>
      <c r="T18" t="s">
        <v>168</v>
      </c>
      <c r="U18" t="s">
        <v>169</v>
      </c>
      <c r="V18" t="s">
        <v>170</v>
      </c>
      <c r="W18" t="s">
        <v>171</v>
      </c>
      <c r="Z18" t="s">
        <v>173</v>
      </c>
      <c r="AA18" t="s">
        <v>151</v>
      </c>
    </row>
    <row r="19" spans="2:27" x14ac:dyDescent="0.2">
      <c r="B19">
        <v>1790</v>
      </c>
      <c r="C19" s="27">
        <v>4795871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>
        <v>3226085.4299135017</v>
      </c>
      <c r="U19" s="27"/>
      <c r="V19" s="27"/>
      <c r="W19" s="27"/>
      <c r="Z19" s="27"/>
      <c r="AA19" s="27"/>
    </row>
    <row r="20" spans="2:27" x14ac:dyDescent="0.2">
      <c r="B20">
        <v>1800</v>
      </c>
      <c r="C20" s="27">
        <v>5100000</v>
      </c>
      <c r="D20" s="27">
        <v>465000</v>
      </c>
      <c r="E20" s="27">
        <v>124350.36005118379</v>
      </c>
      <c r="F20" s="27">
        <v>186000</v>
      </c>
      <c r="G20" s="27">
        <v>133000</v>
      </c>
      <c r="H20" s="27">
        <v>49177</v>
      </c>
      <c r="I20" s="27">
        <v>80977.848114417662</v>
      </c>
      <c r="J20" s="27">
        <v>351779.79171175451</v>
      </c>
      <c r="K20" s="27">
        <v>430795.83460641408</v>
      </c>
      <c r="L20" s="27">
        <v>104324.97938473088</v>
      </c>
      <c r="M20" s="27">
        <v>155426</v>
      </c>
      <c r="N20" s="27">
        <v>780000</v>
      </c>
      <c r="O20" s="27">
        <v>1005205.0412392132</v>
      </c>
      <c r="P20" s="27">
        <v>464959.32926129195</v>
      </c>
      <c r="Q20" s="27">
        <v>1303405.9092117196</v>
      </c>
      <c r="R20" s="27">
        <v>804480.59545018454</v>
      </c>
      <c r="S20" s="27">
        <v>673924.05837852426</v>
      </c>
      <c r="T20" s="27">
        <v>3659231.7279431964</v>
      </c>
      <c r="U20" s="27">
        <v>105054.23557319281</v>
      </c>
      <c r="V20" s="27">
        <v>30685</v>
      </c>
      <c r="W20" s="27">
        <v>329347</v>
      </c>
      <c r="X20" s="1">
        <f t="shared" ref="X20:X31" si="0">SUM(C20:W20)</f>
        <v>16337124.710925825</v>
      </c>
      <c r="Z20" s="27">
        <v>1193000</v>
      </c>
      <c r="AA20" s="27">
        <v>16337124.710925825</v>
      </c>
    </row>
    <row r="21" spans="2:27" x14ac:dyDescent="0.2">
      <c r="B21">
        <v>1810</v>
      </c>
      <c r="C21" s="27">
        <v>5600000</v>
      </c>
      <c r="D21" s="27">
        <v>527000</v>
      </c>
      <c r="E21" s="27">
        <v>141406.57182719206</v>
      </c>
      <c r="F21" s="27">
        <v>210000</v>
      </c>
      <c r="G21" s="27">
        <v>149000</v>
      </c>
      <c r="H21" s="27">
        <v>53371</v>
      </c>
      <c r="I21" s="27">
        <v>92259.790171043423</v>
      </c>
      <c r="J21" s="27">
        <v>480798.27567328373</v>
      </c>
      <c r="K21" s="27">
        <v>431522.96183137904</v>
      </c>
      <c r="L21" s="27">
        <v>85337.903275953446</v>
      </c>
      <c r="M21" s="27">
        <v>196469.23239243473</v>
      </c>
      <c r="N21" s="27">
        <v>800000</v>
      </c>
      <c r="O21" s="27">
        <v>1129048.2508487913</v>
      </c>
      <c r="P21" s="27">
        <v>474225.8296852099</v>
      </c>
      <c r="Q21" s="27">
        <v>1378658.5592838668</v>
      </c>
      <c r="R21" s="27">
        <v>894483.16296172957</v>
      </c>
      <c r="S21" s="27">
        <v>756956.06076896761</v>
      </c>
      <c r="T21" s="27">
        <v>4154725.4183719885</v>
      </c>
      <c r="U21" s="27">
        <v>126665.59954282762</v>
      </c>
      <c r="V21" s="27">
        <v>41149.193241817389</v>
      </c>
      <c r="W21" s="27">
        <v>431776.27891459182</v>
      </c>
      <c r="X21" s="1">
        <f t="shared" si="0"/>
        <v>18154854.088791076</v>
      </c>
      <c r="Z21" s="27">
        <v>1229254.3069139121</v>
      </c>
      <c r="AA21" s="27">
        <v>18154854.088791076</v>
      </c>
    </row>
    <row r="22" spans="2:27" x14ac:dyDescent="0.2">
      <c r="B22">
        <v>1820</v>
      </c>
      <c r="C22" s="27">
        <v>5900000</v>
      </c>
      <c r="D22" s="27">
        <v>595000</v>
      </c>
      <c r="E22" s="27">
        <v>157473.28719935985</v>
      </c>
      <c r="F22" s="27">
        <v>248000</v>
      </c>
      <c r="G22" s="27">
        <v>182000</v>
      </c>
      <c r="H22" s="27">
        <v>62472</v>
      </c>
      <c r="I22" s="27">
        <v>99818.343172240886</v>
      </c>
      <c r="J22" s="27">
        <v>628383.8473119816</v>
      </c>
      <c r="K22" s="27">
        <v>593000</v>
      </c>
      <c r="L22" s="27">
        <v>87307.585811422687</v>
      </c>
      <c r="M22" s="27">
        <v>248584.71342758206</v>
      </c>
      <c r="N22" s="27">
        <v>772487.83706558566</v>
      </c>
      <c r="O22" s="27">
        <v>1268149.1839448081</v>
      </c>
      <c r="P22" s="27">
        <v>483677.00869218347</v>
      </c>
      <c r="Q22" s="27">
        <v>1458255.9505474253</v>
      </c>
      <c r="R22" s="27">
        <v>994554.91325342271</v>
      </c>
      <c r="S22" s="27">
        <v>881846.02797345514</v>
      </c>
      <c r="T22" s="27">
        <v>4717466.0899088793</v>
      </c>
      <c r="U22" s="27">
        <v>152722.7723851816</v>
      </c>
      <c r="V22" s="27">
        <v>55181.883801610886</v>
      </c>
      <c r="W22" s="27">
        <v>534647.58990166744</v>
      </c>
      <c r="X22" s="1">
        <f t="shared" si="0"/>
        <v>20121029.034396801</v>
      </c>
      <c r="Z22" s="27">
        <v>1231920.2662841592</v>
      </c>
      <c r="AA22" s="27">
        <v>20121029.034396801</v>
      </c>
    </row>
    <row r="23" spans="2:27" x14ac:dyDescent="0.2">
      <c r="B23">
        <v>1830</v>
      </c>
      <c r="C23" s="27">
        <v>6400000</v>
      </c>
      <c r="D23" s="27">
        <v>670000</v>
      </c>
      <c r="E23" s="27">
        <v>181852.51984603266</v>
      </c>
      <c r="F23" s="27">
        <v>271000</v>
      </c>
      <c r="G23" s="27">
        <v>216000</v>
      </c>
      <c r="H23" s="27">
        <v>71688</v>
      </c>
      <c r="I23" s="27">
        <v>107996.14453034436</v>
      </c>
      <c r="J23" s="27">
        <v>760638.75978411478</v>
      </c>
      <c r="K23" s="27">
        <v>628000</v>
      </c>
      <c r="L23" s="27">
        <v>91544.105826916755</v>
      </c>
      <c r="M23" s="27">
        <v>330051</v>
      </c>
      <c r="N23" s="27">
        <v>780465.07266423933</v>
      </c>
      <c r="O23" s="27">
        <v>1453008.7735454319</v>
      </c>
      <c r="P23" s="27">
        <v>537276.89070799958</v>
      </c>
      <c r="Q23" s="27">
        <v>1572529.904033774</v>
      </c>
      <c r="R23" s="27">
        <v>1082095.3008681801</v>
      </c>
      <c r="S23" s="27">
        <v>1043549.4161312284</v>
      </c>
      <c r="T23" s="27">
        <v>5354362.852333284</v>
      </c>
      <c r="U23" s="27">
        <v>184140.32925435051</v>
      </c>
      <c r="V23" s="27">
        <v>74000</v>
      </c>
      <c r="W23" s="27">
        <v>634044.85939991241</v>
      </c>
      <c r="X23" s="1">
        <f t="shared" si="0"/>
        <v>22444243.928925805</v>
      </c>
      <c r="Z23" s="27">
        <v>1227828.5995031339</v>
      </c>
      <c r="AA23" s="27">
        <v>22444243.928925805</v>
      </c>
    </row>
    <row r="24" spans="2:27" x14ac:dyDescent="0.2">
      <c r="B24">
        <v>1840</v>
      </c>
      <c r="C24" s="27">
        <v>7200000</v>
      </c>
      <c r="D24" s="27">
        <v>719000</v>
      </c>
      <c r="E24" s="27">
        <v>214685.29166239518</v>
      </c>
      <c r="F24" s="27">
        <v>315000</v>
      </c>
      <c r="G24" s="27">
        <v>241000</v>
      </c>
      <c r="H24" s="27">
        <v>85894</v>
      </c>
      <c r="I24" s="27">
        <v>116843.92730596343</v>
      </c>
      <c r="J24" s="27">
        <v>982192.65100437356</v>
      </c>
      <c r="K24" s="27">
        <v>731000</v>
      </c>
      <c r="L24" s="27">
        <v>115008.64849421887</v>
      </c>
      <c r="M24" s="27">
        <v>392970.76635882002</v>
      </c>
      <c r="N24" s="27">
        <v>980662.26581833302</v>
      </c>
      <c r="O24" s="27">
        <v>1717858.9069913328</v>
      </c>
      <c r="P24" s="27">
        <v>650000</v>
      </c>
      <c r="Q24" s="27">
        <v>1773929.4684822669</v>
      </c>
      <c r="R24" s="27">
        <v>1254624.5665372685</v>
      </c>
      <c r="S24" s="27">
        <v>1226962.3465248216</v>
      </c>
      <c r="T24" s="27">
        <v>6132195.8669553921</v>
      </c>
      <c r="U24" s="27">
        <v>222020.98828053105</v>
      </c>
      <c r="V24" s="27">
        <v>140000</v>
      </c>
      <c r="W24" s="27">
        <v>786544.83946836076</v>
      </c>
      <c r="X24" s="1">
        <f t="shared" si="0"/>
        <v>25998394.533884075</v>
      </c>
      <c r="Z24" s="27">
        <v>1269233.1286133744</v>
      </c>
      <c r="AA24" s="27">
        <v>25998394.533884075</v>
      </c>
    </row>
    <row r="25" spans="2:27" x14ac:dyDescent="0.2">
      <c r="B25">
        <v>1850</v>
      </c>
      <c r="C25" s="27">
        <v>7600000</v>
      </c>
      <c r="D25" s="27">
        <v>847000</v>
      </c>
      <c r="E25" s="27">
        <v>251246.71881277903</v>
      </c>
      <c r="F25" s="27">
        <v>366000</v>
      </c>
      <c r="G25" s="27">
        <v>274000</v>
      </c>
      <c r="H25" s="27">
        <v>107254</v>
      </c>
      <c r="I25" s="27">
        <v>135651.52199819183</v>
      </c>
      <c r="J25" s="27">
        <v>1043628.0371655991</v>
      </c>
      <c r="K25" s="27">
        <v>842682.27997206198</v>
      </c>
      <c r="L25" s="27">
        <v>147385.47742924336</v>
      </c>
      <c r="M25" s="27">
        <v>483022.10606420657</v>
      </c>
      <c r="N25" s="27">
        <v>1375000</v>
      </c>
      <c r="O25" s="27">
        <v>2066545.9494749929</v>
      </c>
      <c r="P25" s="27">
        <v>702896.68340362259</v>
      </c>
      <c r="Q25" s="27">
        <v>2001123</v>
      </c>
      <c r="R25" s="27">
        <v>1404428.6037302059</v>
      </c>
      <c r="S25" s="27">
        <v>1500000</v>
      </c>
      <c r="T25" s="27">
        <v>7255766.9049442513</v>
      </c>
      <c r="U25" s="27">
        <v>267480.64479876577</v>
      </c>
      <c r="V25" s="27">
        <v>133274.77074404838</v>
      </c>
      <c r="W25" s="27">
        <v>998495.57735845202</v>
      </c>
      <c r="X25" s="1">
        <f t="shared" si="0"/>
        <v>29802882.275896415</v>
      </c>
      <c r="Z25" s="27">
        <v>1368568.5836039465</v>
      </c>
      <c r="AA25" s="27">
        <v>29802882.275896415</v>
      </c>
    </row>
    <row r="26" spans="2:27" x14ac:dyDescent="0.2">
      <c r="B26">
        <v>1860</v>
      </c>
      <c r="C26" s="27">
        <v>8300000</v>
      </c>
      <c r="D26" s="27">
        <v>951000</v>
      </c>
      <c r="E26" s="27">
        <v>294824.22782274825</v>
      </c>
      <c r="F26" s="27">
        <v>424000</v>
      </c>
      <c r="G26" s="27">
        <v>277000</v>
      </c>
      <c r="H26" s="27">
        <v>119953</v>
      </c>
      <c r="I26" s="27">
        <v>168858.47193081546</v>
      </c>
      <c r="J26" s="27">
        <v>1359981.1680200177</v>
      </c>
      <c r="K26" s="27">
        <v>935000</v>
      </c>
      <c r="L26" s="27">
        <v>191393.97917193366</v>
      </c>
      <c r="M26" s="27">
        <v>583308</v>
      </c>
      <c r="N26" s="27">
        <v>1499604.6051857742</v>
      </c>
      <c r="O26" s="27">
        <v>2372113.1882186588</v>
      </c>
      <c r="P26" s="27">
        <v>756676.07294670003</v>
      </c>
      <c r="Q26" s="27">
        <v>2378352.7211520439</v>
      </c>
      <c r="R26" s="27">
        <v>1470347.7179717771</v>
      </c>
      <c r="S26" s="27">
        <v>1695000</v>
      </c>
      <c r="T26" s="27">
        <v>8447425.5047332644</v>
      </c>
      <c r="U26" s="27">
        <v>321862.59776002978</v>
      </c>
      <c r="V26" s="27">
        <v>223238</v>
      </c>
      <c r="W26" s="27">
        <v>1303940.8419872499</v>
      </c>
      <c r="X26" s="1">
        <f t="shared" si="0"/>
        <v>34073880.096901014</v>
      </c>
      <c r="Z26" s="27">
        <v>1540828.8750567464</v>
      </c>
      <c r="AA26" s="27">
        <v>34073880.096901014</v>
      </c>
    </row>
    <row r="27" spans="2:27" x14ac:dyDescent="0.2">
      <c r="B27">
        <v>1870</v>
      </c>
      <c r="C27" s="27">
        <v>8700000</v>
      </c>
      <c r="D27" s="27">
        <v>1080000</v>
      </c>
      <c r="E27" s="27">
        <v>346889.06074928417</v>
      </c>
      <c r="F27" s="27">
        <v>517000</v>
      </c>
      <c r="G27" s="27">
        <v>336000</v>
      </c>
      <c r="H27" s="27">
        <v>146277</v>
      </c>
      <c r="I27" s="27">
        <v>211119</v>
      </c>
      <c r="J27" s="27">
        <v>1932661.935104277</v>
      </c>
      <c r="K27" s="27">
        <v>1090988.0842612351</v>
      </c>
      <c r="L27" s="27">
        <v>156162.28133118371</v>
      </c>
      <c r="M27" s="27">
        <v>666473.35258844984</v>
      </c>
      <c r="N27" s="27">
        <v>1635501.0704686409</v>
      </c>
      <c r="O27" s="27">
        <v>2707952</v>
      </c>
      <c r="P27" s="27">
        <v>800000</v>
      </c>
      <c r="Q27" s="27">
        <v>2594785.3315174049</v>
      </c>
      <c r="R27" s="27">
        <v>1539360.8518102518</v>
      </c>
      <c r="S27" s="27">
        <v>1914000</v>
      </c>
      <c r="T27" s="27">
        <v>9823876.4527714495</v>
      </c>
      <c r="U27" s="27">
        <v>179279.40085011176</v>
      </c>
      <c r="V27" s="27">
        <v>318384.36064324691</v>
      </c>
      <c r="W27" s="27">
        <v>1819047.9999999998</v>
      </c>
      <c r="X27" s="1">
        <f t="shared" si="0"/>
        <v>38515758.182095535</v>
      </c>
      <c r="Z27" s="27">
        <v>1715446.0943231795</v>
      </c>
      <c r="AA27" s="27">
        <v>38515758.182095535</v>
      </c>
    </row>
    <row r="28" spans="2:27" x14ac:dyDescent="0.2">
      <c r="B28">
        <v>1880</v>
      </c>
      <c r="C28" s="27">
        <v>9900000</v>
      </c>
      <c r="D28" s="27">
        <v>1224602</v>
      </c>
      <c r="E28" s="27">
        <v>408148.34437509527</v>
      </c>
      <c r="F28" s="27">
        <v>631000</v>
      </c>
      <c r="G28" s="27">
        <v>413000</v>
      </c>
      <c r="H28" s="27">
        <v>181566</v>
      </c>
      <c r="I28" s="27">
        <v>245053.74683264998</v>
      </c>
      <c r="J28" s="27">
        <v>1553882.5440546349</v>
      </c>
      <c r="K28" s="27">
        <v>1273000</v>
      </c>
      <c r="L28" s="27">
        <v>253892.58149703738</v>
      </c>
      <c r="M28" s="27">
        <v>751111.85109252564</v>
      </c>
      <c r="N28" s="27">
        <v>1796696.9694414246</v>
      </c>
      <c r="O28" s="27">
        <v>3120864.9516822672</v>
      </c>
      <c r="P28" s="27">
        <v>938083.151964686</v>
      </c>
      <c r="Q28" s="27">
        <v>2753631.5580742569</v>
      </c>
      <c r="R28" s="27">
        <v>1611613.2280292823</v>
      </c>
      <c r="S28" s="27">
        <v>2165000</v>
      </c>
      <c r="T28" s="27">
        <v>11468813.899456972</v>
      </c>
      <c r="U28" s="27">
        <v>243776.12109768117</v>
      </c>
      <c r="V28" s="27">
        <v>459516.48873927974</v>
      </c>
      <c r="W28" s="27">
        <v>2345762</v>
      </c>
      <c r="X28" s="1">
        <f t="shared" si="0"/>
        <v>43739015.436337799</v>
      </c>
      <c r="Z28" s="27">
        <v>1940600.4384227456</v>
      </c>
      <c r="AA28" s="27">
        <v>43739015.436337799</v>
      </c>
    </row>
    <row r="29" spans="2:27" x14ac:dyDescent="0.2">
      <c r="B29">
        <v>1890</v>
      </c>
      <c r="C29" s="27">
        <v>11500000</v>
      </c>
      <c r="D29" s="27">
        <v>1388180.2999999996</v>
      </c>
      <c r="E29" s="27">
        <v>491004.33685685141</v>
      </c>
      <c r="F29" s="27">
        <v>770000</v>
      </c>
      <c r="G29" s="27">
        <v>431000</v>
      </c>
      <c r="H29" s="27">
        <v>221452</v>
      </c>
      <c r="I29" s="27">
        <v>284443.08109038265</v>
      </c>
      <c r="J29" s="27">
        <v>1616760.9391297549</v>
      </c>
      <c r="K29" s="27">
        <v>1355000</v>
      </c>
      <c r="L29" s="27">
        <v>408170.02997781168</v>
      </c>
      <c r="M29" s="27">
        <v>834706.14360255422</v>
      </c>
      <c r="N29" s="27">
        <v>1942800</v>
      </c>
      <c r="O29" s="27">
        <v>3596739.5458408268</v>
      </c>
      <c r="P29" s="27">
        <v>1100000</v>
      </c>
      <c r="Q29" s="27">
        <v>2894813.2670723433</v>
      </c>
      <c r="R29" s="27">
        <v>1687256.8856773272</v>
      </c>
      <c r="S29" s="27">
        <v>2484000</v>
      </c>
      <c r="T29" s="27">
        <v>14433915</v>
      </c>
      <c r="U29" s="27">
        <v>331057.75298020616</v>
      </c>
      <c r="V29" s="27">
        <v>677036.74378422834</v>
      </c>
      <c r="W29" s="27">
        <v>3595050</v>
      </c>
      <c r="X29" s="1">
        <f t="shared" si="0"/>
        <v>52043386.026012279</v>
      </c>
      <c r="Z29" s="27">
        <v>2158780.7161895777</v>
      </c>
      <c r="AA29" s="27">
        <v>52043386.026012279</v>
      </c>
    </row>
    <row r="30" spans="2:27" x14ac:dyDescent="0.2">
      <c r="B30">
        <v>1900</v>
      </c>
      <c r="C30" s="27">
        <v>13600000</v>
      </c>
      <c r="D30" s="27">
        <v>1583967.0999999996</v>
      </c>
      <c r="E30" s="27">
        <v>589989.99612897215</v>
      </c>
      <c r="F30" s="27">
        <v>950000</v>
      </c>
      <c r="G30" s="27">
        <v>475000</v>
      </c>
      <c r="H30" s="27">
        <v>259875</v>
      </c>
      <c r="I30" s="27">
        <v>329497.70561368787</v>
      </c>
      <c r="J30" s="27">
        <v>1625666.037870548</v>
      </c>
      <c r="K30" s="27">
        <v>1525797.6058416476</v>
      </c>
      <c r="L30" s="27">
        <v>513184.05155598349</v>
      </c>
      <c r="M30" s="27">
        <v>967411.8530371628</v>
      </c>
      <c r="N30" s="27">
        <v>2183600</v>
      </c>
      <c r="O30" s="27">
        <v>4145176.276737635</v>
      </c>
      <c r="P30" s="27">
        <v>1238960.996088407</v>
      </c>
      <c r="Q30" s="27">
        <v>3396456.4709744495</v>
      </c>
      <c r="R30" s="27">
        <v>1766451</v>
      </c>
      <c r="S30" s="27">
        <v>2856000</v>
      </c>
      <c r="T30" s="27">
        <v>18200000</v>
      </c>
      <c r="U30" s="27">
        <v>499055.98576724122</v>
      </c>
      <c r="V30" s="27">
        <v>915647</v>
      </c>
      <c r="W30" s="27">
        <v>4692719</v>
      </c>
      <c r="X30" s="1">
        <f t="shared" si="0"/>
        <v>62314456.079615735</v>
      </c>
      <c r="Z30" s="27">
        <v>2544975</v>
      </c>
      <c r="AA30" s="27">
        <v>62314456.079615735</v>
      </c>
    </row>
    <row r="31" spans="2:27" x14ac:dyDescent="0.2">
      <c r="B31" s="40">
        <v>1910</v>
      </c>
      <c r="C31" s="41">
        <v>15200000</v>
      </c>
      <c r="D31" s="41">
        <v>1778292.8999999997</v>
      </c>
      <c r="E31" s="41">
        <v>709000</v>
      </c>
      <c r="F31" s="41">
        <v>1088277.3999999999</v>
      </c>
      <c r="G31" s="41">
        <v>526000</v>
      </c>
      <c r="H31" s="41">
        <v>339589</v>
      </c>
      <c r="I31" s="41">
        <v>380534.38494818396</v>
      </c>
      <c r="J31" s="41">
        <v>2232766.7406232967</v>
      </c>
      <c r="K31" s="41">
        <v>1730294.3682905731</v>
      </c>
      <c r="L31" s="41">
        <v>612868</v>
      </c>
      <c r="M31" s="41">
        <v>1118012</v>
      </c>
      <c r="N31" s="41">
        <v>2473600</v>
      </c>
      <c r="O31" s="41">
        <v>4886322.3879376752</v>
      </c>
      <c r="P31" s="41">
        <v>1395476.6816621614</v>
      </c>
      <c r="Q31" s="41">
        <v>3985029.60119808</v>
      </c>
      <c r="R31" s="41">
        <v>1886900.8200975722</v>
      </c>
      <c r="S31" s="41">
        <v>3229000</v>
      </c>
      <c r="T31" s="41">
        <v>22371857.321197096</v>
      </c>
      <c r="U31" s="41">
        <v>590626.89919381565</v>
      </c>
      <c r="V31" s="41">
        <v>1158771.5914148397</v>
      </c>
      <c r="W31" s="41">
        <v>6770080</v>
      </c>
      <c r="X31" s="1">
        <f t="shared" si="0"/>
        <v>74463300.096563295</v>
      </c>
      <c r="Z31" s="41">
        <v>2624701</v>
      </c>
      <c r="AA31" s="41">
        <v>74463300.096563295</v>
      </c>
    </row>
    <row r="32" spans="2:27" x14ac:dyDescent="0.2">
      <c r="AA32" s="41">
        <v>2624701</v>
      </c>
    </row>
    <row r="33" spans="27:27" x14ac:dyDescent="0.2">
      <c r="AA33" s="1">
        <f>SUM(AA31:AA32)</f>
        <v>77088001.096563295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Mexico - Central America</vt:lpstr>
      <vt:lpstr>Caribbean</vt:lpstr>
      <vt:lpstr>Andean Countries</vt:lpstr>
      <vt:lpstr>Brazil - Argentina - Paraguay</vt:lpstr>
      <vt:lpstr>Non-Spanish caribb</vt:lpstr>
      <vt:lpstr>general</vt:lpstr>
      <vt:lpstr>Sheet1</vt:lpstr>
    </vt:vector>
  </TitlesOfParts>
  <Manager/>
  <Company>Universidad de Costa Rica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Latin American Populations, 1800-2015</dc:title>
  <dc:subject/>
  <dc:creator>Hector Perez-Brignoli</dc:creator>
  <cp:keywords/>
  <dc:description/>
  <cp:lastModifiedBy>Microsoft Office User</cp:lastModifiedBy>
  <dcterms:created xsi:type="dcterms:W3CDTF">2012-05-09T00:00:23Z</dcterms:created>
  <dcterms:modified xsi:type="dcterms:W3CDTF">2021-03-04T01:39:50Z</dcterms:modified>
  <cp:category/>
</cp:coreProperties>
</file>