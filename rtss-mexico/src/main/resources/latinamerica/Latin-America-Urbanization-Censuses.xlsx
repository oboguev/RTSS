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github\RTSS\rtss-mexico\src\main\resources\latinamerica\"/>
    </mc:Choice>
  </mc:AlternateContent>
  <xr:revisionPtr revIDLastSave="0" documentId="13_ncr:1_{7E463DF8-F473-442A-9C3A-C03DC20FDB2C}" xr6:coauthVersionLast="47" xr6:coauthVersionMax="47" xr10:uidLastSave="{00000000-0000-0000-0000-000000000000}"/>
  <bookViews>
    <workbookView xWindow="58905" yWindow="1470" windowWidth="25215" windowHeight="16920" activeTab="8" xr2:uid="{00000000-000D-0000-FFFF-FFFF00000000}"/>
  </bookViews>
  <sheets>
    <sheet name="Аргентина" sheetId="1" r:id="rId1"/>
    <sheet name="Бразилия" sheetId="6" r:id="rId2"/>
    <sheet name="Венесуэла" sheetId="7" r:id="rId3"/>
    <sheet name="Колумбия" sheetId="8" r:id="rId4"/>
    <sheet name="Коста-Рика" sheetId="4" r:id="rId5"/>
    <sheet name="Панама" sheetId="5" r:id="rId6"/>
    <sheet name="Перу" sheetId="3" r:id="rId7"/>
    <sheet name="Чили" sheetId="2" r:id="rId8"/>
    <sheet name="сводка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3" i="1" l="1"/>
  <c r="C39" i="5"/>
  <c r="C40" i="5"/>
  <c r="C19" i="5"/>
  <c r="C18" i="5"/>
  <c r="C78" i="2"/>
  <c r="C75" i="2"/>
  <c r="C81" i="2"/>
  <c r="C82" i="2" s="1"/>
  <c r="C79" i="2"/>
  <c r="C76" i="2"/>
  <c r="C53" i="2"/>
  <c r="C54" i="2" s="1"/>
  <c r="C50" i="2"/>
  <c r="C51" i="2" s="1"/>
  <c r="C47" i="2"/>
  <c r="C48" i="2" s="1"/>
  <c r="C27" i="2"/>
  <c r="C24" i="2"/>
  <c r="C21" i="2"/>
  <c r="C26" i="2"/>
  <c r="C23" i="2"/>
  <c r="C20" i="2"/>
  <c r="B61" i="5"/>
  <c r="B62" i="5" s="1"/>
  <c r="B58" i="5"/>
  <c r="B59" i="5" s="1"/>
  <c r="D9" i="6"/>
  <c r="D8" i="6"/>
  <c r="D7" i="6"/>
  <c r="C10" i="6"/>
  <c r="D10" i="6" s="1"/>
  <c r="B10" i="6"/>
  <c r="B8" i="4"/>
  <c r="E7" i="6" l="1"/>
  <c r="E8" i="6"/>
  <c r="F97" i="2"/>
  <c r="F96" i="2"/>
  <c r="F95" i="2"/>
  <c r="F94" i="2"/>
  <c r="F93" i="2"/>
  <c r="F92" i="2"/>
  <c r="F91" i="2"/>
  <c r="F90" i="2"/>
  <c r="F89" i="2"/>
  <c r="C98" i="1"/>
  <c r="C97" i="1"/>
  <c r="C49" i="1"/>
  <c r="C50" i="1" s="1"/>
  <c r="C69" i="2"/>
  <c r="C73" i="2" s="1"/>
  <c r="C14" i="2"/>
  <c r="C18" i="2" s="1"/>
  <c r="C41" i="2"/>
  <c r="C45" i="2" s="1"/>
  <c r="C120" i="1"/>
  <c r="C121" i="1" s="1"/>
  <c r="C117" i="1"/>
  <c r="C118" i="1" s="1"/>
  <c r="C115" i="1"/>
  <c r="C94" i="1"/>
  <c r="C95" i="1" s="1"/>
  <c r="C91" i="1"/>
  <c r="C92" i="1" s="1"/>
  <c r="C46" i="1"/>
  <c r="C47" i="1" s="1"/>
  <c r="C43" i="1"/>
  <c r="C44" i="1" s="1"/>
  <c r="C89" i="1"/>
  <c r="C41" i="1"/>
  <c r="E11" i="6" l="1"/>
</calcChain>
</file>

<file path=xl/sharedStrings.xml><?xml version="1.0" encoding="utf-8"?>
<sst xmlns="http://schemas.openxmlformats.org/spreadsheetml/2006/main" count="396" uniqueCount="152">
  <si>
    <t>500,000 ó más habitantes</t>
  </si>
  <si>
    <t>100,001 á 200,000 habitantes</t>
  </si>
  <si>
    <t>50,001 á 100,000 habitantes</t>
  </si>
  <si>
    <t>45,001 á 50,000 habitantes</t>
  </si>
  <si>
    <t>40,001 á 45,000 habitantes</t>
  </si>
  <si>
    <t>35,001 á 40,000 habitantes</t>
  </si>
  <si>
    <t>30,001 á 35,000 habitantes</t>
  </si>
  <si>
    <t>25,001 á 30,000 habitantes</t>
  </si>
  <si>
    <t>20,001 á 25,000 habitantes</t>
  </si>
  <si>
    <t>15,001 á 20,000 habitantes</t>
  </si>
  <si>
    <t>10,001 á 15,000 habitantes</t>
  </si>
  <si>
    <t>9,001 á 10,000 habitantes</t>
  </si>
  <si>
    <t>8,001 á 9,000 habitantes</t>
  </si>
  <si>
    <t>7,001 á 8,000 habitantes</t>
  </si>
  <si>
    <t>6,001 á 7,000 habitantes</t>
  </si>
  <si>
    <t>5,001 á 6,000 habitantes</t>
  </si>
  <si>
    <t>4,001 á 5,000 habitantes</t>
  </si>
  <si>
    <t>3,001 á 4,000 habitantes</t>
  </si>
  <si>
    <t>2,001 á 3,000 habitantes</t>
  </si>
  <si>
    <t>1,001 á 2,000 habitantes</t>
  </si>
  <si>
    <t>901 á 1,000 habitantes</t>
  </si>
  <si>
    <t>801 á 900 habitantes</t>
  </si>
  <si>
    <t>701 á 800 habitantes</t>
  </si>
  <si>
    <t>601 á 700 habitantes</t>
  </si>
  <si>
    <t>501 á 600 habitantes</t>
  </si>
  <si>
    <t>401 á 500 habitantes</t>
  </si>
  <si>
    <t>301 á 400 habitantes</t>
  </si>
  <si>
    <t>201 á 300 habitantes</t>
  </si>
  <si>
    <t>101 á 200 habitantes</t>
  </si>
  <si>
    <t>100 ó menos</t>
  </si>
  <si>
    <t>—</t>
  </si>
  <si>
    <t>мест</t>
  </si>
  <si>
    <t>жителей</t>
  </si>
  <si>
    <t>Аргентина</t>
  </si>
  <si>
    <t>Аргентина 1869</t>
  </si>
  <si>
    <t>Аргентина 1895</t>
  </si>
  <si>
    <t>населённость пунктов</t>
  </si>
  <si>
    <t>всего в стране</t>
  </si>
  <si>
    <t>"Secundo censo de la republica Argentina Mayo 10 de 1895", tomo II, Población, Buenos Aires, 1898, стр. xix, xxiv, xxx</t>
  </si>
  <si>
    <t>городское по адм. статусу</t>
  </si>
  <si>
    <t>процент</t>
  </si>
  <si>
    <t>в пунктах 2,000 и больше</t>
  </si>
  <si>
    <t>в пунктах 20,000 и больше</t>
  </si>
  <si>
    <t>Аргентина 1914</t>
  </si>
  <si>
    <t>Tomo 1 "Antecendes y Conentarios" стр. 123-124</t>
  </si>
  <si>
    <t>Tomo 2 "Poblacion" стр. 400</t>
  </si>
  <si>
    <t>"Tercer Censo Nacional Levantado en 1 de Junio de 1914", Buenos Aires, 1916</t>
  </si>
  <si>
    <t>100,000  и выше</t>
  </si>
  <si>
    <t>от 20 до 100 тыс.</t>
  </si>
  <si>
    <t>от 5 до 20 тыс</t>
  </si>
  <si>
    <t>от 2 до 5 тыс</t>
  </si>
  <si>
    <t>Tomo 4 "Poblacion" стр. 468-475</t>
  </si>
  <si>
    <t>Чили</t>
  </si>
  <si>
    <t>Чили 1920</t>
  </si>
  <si>
    <t>сельское по адм. статусу</t>
  </si>
  <si>
    <t>процент городского</t>
  </si>
  <si>
    <t>Чили 1930</t>
  </si>
  <si>
    <t>"Resultados del X Censo de la Población efectuado el 27 de noviembre de 1930 y estadísticas comparativas con Censos anteriores", 1931</t>
  </si>
  <si>
    <t>Чили 1907</t>
  </si>
  <si>
    <t>от 20 до 100 тыс</t>
  </si>
  <si>
    <t>от 1 до 5 тыс</t>
  </si>
  <si>
    <t>"Censo de población de la República de Chile levantado el 15 de diciembre de 1920", Santiago de Chile, 1925, стр. 5, 104</t>
  </si>
  <si>
    <t>свыше 100 тыс</t>
  </si>
  <si>
    <t>По переписи</t>
  </si>
  <si>
    <t>Распковка</t>
  </si>
  <si>
    <t>от 1 до 2 тыс</t>
  </si>
  <si>
    <t>населённость</t>
  </si>
  <si>
    <t>"Censo de población de la República de Chile levantado el 15 de diciembre de 1920", Santiago de Chile, 1925, стр. xxvii, 104</t>
  </si>
  <si>
    <t>Volumen 1, стр. 13, 50</t>
  </si>
  <si>
    <t>свыше 50 тыс</t>
  </si>
  <si>
    <t>от 20 до 50 тыс</t>
  </si>
  <si>
    <t>от 10 до 20 тыс</t>
  </si>
  <si>
    <t>от 5 до 10 тыс</t>
  </si>
  <si>
    <t>Чили 1940</t>
  </si>
  <si>
    <t>"Chile XI Censo de Población (1940) : Recopilación de Cifras Publicadas Por La Dirección de Estadística y Censos", CELADE, 1972</t>
  </si>
  <si>
    <t>в пунктах 100,000 и больше</t>
  </si>
  <si>
    <t>"XII Censo General de Poblacion y i de Vivienda" (1952), Tomo 1 [1956], стр. 44</t>
  </si>
  <si>
    <t>год</t>
  </si>
  <si>
    <t>городск.</t>
  </si>
  <si>
    <t>сельск.</t>
  </si>
  <si>
    <t>всего</t>
  </si>
  <si>
    <t>% гор</t>
  </si>
  <si>
    <t>Перу</t>
  </si>
  <si>
    <t>Перу 1940</t>
  </si>
  <si>
    <t>"Censo nacional de población y ocupación de 1940",  Tomo I, Resúmenes generales, Lima, 1944, стр. CLXVI, 47</t>
  </si>
  <si>
    <t>(два варианта)</t>
  </si>
  <si>
    <t>Коста-Рика</t>
  </si>
  <si>
    <t>Коста-Рика 1927</t>
  </si>
  <si>
    <t>"Censo de población de Costa Rica 11 de mayo de 1927", San Jose, Costa Rica 1960, стр. 40</t>
  </si>
  <si>
    <t>всё население</t>
  </si>
  <si>
    <t>Панама 1930</t>
  </si>
  <si>
    <t>Панама 1940</t>
  </si>
  <si>
    <t>Панама</t>
  </si>
  <si>
    <t>меньше 100</t>
  </si>
  <si>
    <t>от 100 до 499</t>
  </si>
  <si>
    <t>от 500 до 999</t>
  </si>
  <si>
    <t>от 1000 до 2499</t>
  </si>
  <si>
    <t>от 2500 до 4999</t>
  </si>
  <si>
    <t>5000 и выше</t>
  </si>
  <si>
    <t>Republica de Panama, "Censo de población 1940", 1945, volumen X, стр. 76, 79</t>
  </si>
  <si>
    <t>от 1000 до 1999</t>
  </si>
  <si>
    <t>от 2000 до 2499</t>
  </si>
  <si>
    <t>Бразилия</t>
  </si>
  <si>
    <t>Бразилия 1940</t>
  </si>
  <si>
    <t>Recenseamento Geral do Brasil (1.0 de Setembro de 1940), Série Nacional, Volume II, Censo demográfico : População e Habitação, Rio de Janeiro, 1950, стр. 157</t>
  </si>
  <si>
    <t>городское</t>
  </si>
  <si>
    <t>пригородное</t>
  </si>
  <si>
    <t>всё</t>
  </si>
  <si>
    <t>м</t>
  </si>
  <si>
    <t>ж</t>
  </si>
  <si>
    <t>сельское</t>
  </si>
  <si>
    <t>м + ж</t>
  </si>
  <si>
    <t>%</t>
  </si>
  <si>
    <t>городское + пригородное</t>
  </si>
  <si>
    <t>Republica de Panama, "Censo de población 1940", 1945, volumen X, стр. 74-75, 79, 278 сл.</t>
  </si>
  <si>
    <t>Список пунктов &gt; 2000 жителей</t>
  </si>
  <si>
    <t>Agua Fria</t>
  </si>
  <si>
    <t>Bocas del Toro</t>
  </si>
  <si>
    <t>Colon</t>
  </si>
  <si>
    <t>Concepcion</t>
  </si>
  <si>
    <t>Chitrita</t>
  </si>
  <si>
    <t>Chorrera</t>
  </si>
  <si>
    <t>David</t>
  </si>
  <si>
    <t>Panama</t>
  </si>
  <si>
    <t>Penonome</t>
  </si>
  <si>
    <t>Puerto Armuelles</t>
  </si>
  <si>
    <t>Rio Abajo</t>
  </si>
  <si>
    <t>Risacua</t>
  </si>
  <si>
    <t>Santo (El)</t>
  </si>
  <si>
    <t>Tablas (Las)</t>
  </si>
  <si>
    <t>по списку</t>
  </si>
  <si>
    <t>по распаковке</t>
  </si>
  <si>
    <t>Венесуэла</t>
  </si>
  <si>
    <t>Венесуэла 1926</t>
  </si>
  <si>
    <t>Для 20+ тыс нижний предел по неполному списку 8.9%</t>
  </si>
  <si>
    <t>по таблице Resumen general de los habitantes de las ciudades capitales de las distintas regiones (стр. 5)</t>
  </si>
  <si>
    <t>"Quinto Censo Nacional de los Estados Unidos de Venezuela decretado el 15 de agosto de 1925", tomo Cuarto, Caracaas, 1926</t>
  </si>
  <si>
    <t>Оценки распределения по размерам населённых пунктов получить невозможно,</t>
  </si>
  <si>
    <t xml:space="preserve">т.к. запись велась не по пунктам, а по municipios и districtos/parochias, </t>
  </si>
  <si>
    <t>т.е. административным территориям, составляющим аналог русской волости.</t>
  </si>
  <si>
    <t>Колумбия</t>
  </si>
  <si>
    <t>Пролные оценки распределения по размерам населённых пунктов получить невозможно,</t>
  </si>
  <si>
    <t>SplitTownPopulation</t>
  </si>
  <si>
    <t>в пунктах 50,000 и больше</t>
  </si>
  <si>
    <t>степенным распределением</t>
  </si>
  <si>
    <t>По админ. статусу</t>
  </si>
  <si>
    <t>2 тыс +</t>
  </si>
  <si>
    <t>20 тыс +</t>
  </si>
  <si>
    <t xml:space="preserve">Венесуэла </t>
  </si>
  <si>
    <t>более 8.9</t>
  </si>
  <si>
    <t>100 тыс+</t>
  </si>
  <si>
    <t>или 22.3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</si>
</sst>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rgb="FF0070C0"/>
      <name val="Calibri"/>
      <family val="2"/>
      <scheme val="minor"/>
    </font>
    <font>
      <b/>
      <sz val="14"/>
      <color rgb="FF0070C0"/>
      <name val="Calibri"/>
      <family val="2"/>
      <scheme val="minor"/>
    </font>
    <font>
      <b/>
      <sz val="11"/>
      <color rgb="FF0070C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2" fillId="0" borderId="0" xfId="0" applyFont="1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wrapText="1"/>
    </xf>
    <xf numFmtId="164" fontId="0" fillId="0" borderId="0" xfId="0" applyNumberFormat="1"/>
    <xf numFmtId="3" fontId="0" fillId="0" borderId="0" xfId="0" applyNumberFormat="1"/>
    <xf numFmtId="0" fontId="3" fillId="2" borderId="0" xfId="0" applyFont="1" applyFill="1"/>
    <xf numFmtId="0" fontId="0" fillId="2" borderId="0" xfId="0" applyFill="1"/>
    <xf numFmtId="3" fontId="0" fillId="0" borderId="0" xfId="0" applyNumberFormat="1" applyAlignment="1">
      <alignment horizontal="right" vertical="center"/>
    </xf>
    <xf numFmtId="1" fontId="0" fillId="0" borderId="0" xfId="0" applyNumberFormat="1" applyAlignment="1">
      <alignment horizontal="center"/>
    </xf>
    <xf numFmtId="3" fontId="1" fillId="0" borderId="0" xfId="0" applyNumberFormat="1" applyFont="1" applyAlignment="1">
      <alignment horizontal="center"/>
    </xf>
    <xf numFmtId="165" fontId="0" fillId="0" borderId="0" xfId="0" applyNumberFormat="1"/>
    <xf numFmtId="0" fontId="0" fillId="0" borderId="0" xfId="0" applyAlignment="1">
      <alignment horizontal="center"/>
    </xf>
    <xf numFmtId="0" fontId="4" fillId="2" borderId="0" xfId="0" applyFont="1" applyFill="1"/>
    <xf numFmtId="0" fontId="0" fillId="2" borderId="0" xfId="0" applyFill="1" applyAlignment="1">
      <alignment horizontal="center"/>
    </xf>
    <xf numFmtId="164" fontId="0" fillId="2" borderId="0" xfId="0" applyNumberFormat="1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4"/>
  <sheetViews>
    <sheetView topLeftCell="A89" workbookViewId="0">
      <selection activeCell="C123" sqref="C123"/>
    </sheetView>
  </sheetViews>
  <sheetFormatPr defaultRowHeight="14.4" x14ac:dyDescent="0.55000000000000004"/>
  <cols>
    <col min="1" max="1" width="34.62890625" customWidth="1"/>
  </cols>
  <sheetData>
    <row r="1" spans="1:8" ht="25.8" x14ac:dyDescent="0.95">
      <c r="A1" s="4" t="s">
        <v>33</v>
      </c>
    </row>
    <row r="3" spans="1:8" ht="18.3" x14ac:dyDescent="0.7">
      <c r="A3" s="10" t="s">
        <v>34</v>
      </c>
      <c r="B3" s="11"/>
      <c r="C3" s="11"/>
      <c r="D3" s="11"/>
      <c r="E3" s="11"/>
      <c r="F3" s="11"/>
      <c r="G3" s="11"/>
      <c r="H3" s="11"/>
    </row>
    <row r="4" spans="1:8" x14ac:dyDescent="0.55000000000000004">
      <c r="A4" t="s">
        <v>38</v>
      </c>
    </row>
    <row r="7" spans="1:8" x14ac:dyDescent="0.55000000000000004">
      <c r="A7" s="6" t="s">
        <v>36</v>
      </c>
      <c r="B7" s="6" t="s">
        <v>31</v>
      </c>
      <c r="C7" s="6" t="s">
        <v>32</v>
      </c>
    </row>
    <row r="8" spans="1:8" x14ac:dyDescent="0.55000000000000004">
      <c r="A8" s="1" t="s">
        <v>0</v>
      </c>
      <c r="B8" s="2" t="s">
        <v>30</v>
      </c>
      <c r="C8" s="3" t="s">
        <v>30</v>
      </c>
      <c r="E8" s="2"/>
      <c r="F8" s="3"/>
    </row>
    <row r="9" spans="1:8" x14ac:dyDescent="0.55000000000000004">
      <c r="A9" s="1" t="s">
        <v>1</v>
      </c>
      <c r="B9" s="2">
        <v>1</v>
      </c>
      <c r="C9" s="3">
        <v>181838</v>
      </c>
      <c r="E9" s="2"/>
      <c r="F9" s="3"/>
    </row>
    <row r="10" spans="1:8" x14ac:dyDescent="0.55000000000000004">
      <c r="A10" s="1" t="s">
        <v>2</v>
      </c>
      <c r="B10" s="2" t="s">
        <v>30</v>
      </c>
      <c r="C10" s="3" t="s">
        <v>30</v>
      </c>
      <c r="E10" s="2"/>
      <c r="F10" s="3"/>
    </row>
    <row r="11" spans="1:8" x14ac:dyDescent="0.55000000000000004">
      <c r="A11" s="1" t="s">
        <v>3</v>
      </c>
      <c r="B11" s="2" t="s">
        <v>30</v>
      </c>
      <c r="C11" s="3" t="s">
        <v>30</v>
      </c>
      <c r="E11" s="2"/>
      <c r="F11" s="3"/>
    </row>
    <row r="12" spans="1:8" x14ac:dyDescent="0.55000000000000004">
      <c r="A12" s="1" t="s">
        <v>4</v>
      </c>
      <c r="B12" s="2" t="s">
        <v>30</v>
      </c>
      <c r="C12" s="3" t="s">
        <v>30</v>
      </c>
      <c r="E12" s="2"/>
      <c r="F12" s="3"/>
    </row>
    <row r="13" spans="1:8" x14ac:dyDescent="0.55000000000000004">
      <c r="A13" s="1" t="s">
        <v>5</v>
      </c>
      <c r="B13" s="2" t="s">
        <v>30</v>
      </c>
      <c r="C13" s="3" t="s">
        <v>30</v>
      </c>
      <c r="E13" s="2"/>
      <c r="F13" s="3"/>
    </row>
    <row r="14" spans="1:8" x14ac:dyDescent="0.55000000000000004">
      <c r="A14" s="1" t="s">
        <v>6</v>
      </c>
      <c r="B14" s="2" t="s">
        <v>30</v>
      </c>
      <c r="C14" s="3" t="s">
        <v>30</v>
      </c>
      <c r="E14" s="2"/>
      <c r="F14" s="3"/>
    </row>
    <row r="15" spans="1:8" x14ac:dyDescent="0.55000000000000004">
      <c r="A15" s="1" t="s">
        <v>7</v>
      </c>
      <c r="B15" s="2">
        <v>1</v>
      </c>
      <c r="C15" s="3">
        <v>28523</v>
      </c>
      <c r="E15" s="2"/>
      <c r="F15" s="3"/>
    </row>
    <row r="16" spans="1:8" x14ac:dyDescent="0.55000000000000004">
      <c r="A16" s="1" t="s">
        <v>8</v>
      </c>
      <c r="B16" s="2">
        <v>1</v>
      </c>
      <c r="C16" s="3">
        <v>23169</v>
      </c>
      <c r="E16" s="2"/>
      <c r="F16" s="3"/>
    </row>
    <row r="17" spans="1:6" x14ac:dyDescent="0.55000000000000004">
      <c r="A17" s="1" t="s">
        <v>9</v>
      </c>
      <c r="B17" s="2">
        <v>1</v>
      </c>
      <c r="C17" s="3">
        <v>17438</v>
      </c>
      <c r="E17" s="2"/>
      <c r="F17" s="3"/>
    </row>
    <row r="18" spans="1:6" x14ac:dyDescent="0.55000000000000004">
      <c r="A18" s="1" t="s">
        <v>10</v>
      </c>
      <c r="B18" s="2">
        <v>4</v>
      </c>
      <c r="C18" s="3">
        <v>43702</v>
      </c>
      <c r="E18" s="2"/>
      <c r="F18" s="3"/>
    </row>
    <row r="19" spans="1:6" x14ac:dyDescent="0.55000000000000004">
      <c r="A19" s="1" t="s">
        <v>11</v>
      </c>
      <c r="B19" s="2">
        <v>1</v>
      </c>
      <c r="C19" s="3">
        <v>9776</v>
      </c>
      <c r="E19" s="2"/>
      <c r="F19" s="3"/>
    </row>
    <row r="20" spans="1:6" x14ac:dyDescent="0.55000000000000004">
      <c r="A20" s="1" t="s">
        <v>12</v>
      </c>
      <c r="B20" s="2">
        <v>3</v>
      </c>
      <c r="C20" s="3">
        <v>24829</v>
      </c>
      <c r="E20" s="2"/>
      <c r="F20" s="3"/>
    </row>
    <row r="21" spans="1:6" x14ac:dyDescent="0.55000000000000004">
      <c r="A21" s="1" t="s">
        <v>13</v>
      </c>
      <c r="B21" s="2">
        <v>2</v>
      </c>
      <c r="C21" s="3">
        <v>15010</v>
      </c>
      <c r="E21" s="2"/>
      <c r="F21" s="3"/>
    </row>
    <row r="22" spans="1:6" x14ac:dyDescent="0.55000000000000004">
      <c r="A22" s="1" t="s">
        <v>14</v>
      </c>
      <c r="B22" s="2">
        <v>2</v>
      </c>
      <c r="C22" s="3">
        <v>12851</v>
      </c>
      <c r="E22" s="2"/>
      <c r="F22" s="3"/>
    </row>
    <row r="23" spans="1:6" x14ac:dyDescent="0.55000000000000004">
      <c r="A23" s="1" t="s">
        <v>15</v>
      </c>
      <c r="B23" s="2">
        <v>5</v>
      </c>
      <c r="C23" s="3">
        <v>28260</v>
      </c>
      <c r="E23" s="2"/>
      <c r="F23" s="3"/>
    </row>
    <row r="24" spans="1:6" x14ac:dyDescent="0.55000000000000004">
      <c r="A24" s="1" t="s">
        <v>16</v>
      </c>
      <c r="B24" s="2">
        <v>5</v>
      </c>
      <c r="C24" s="3">
        <v>22020</v>
      </c>
      <c r="E24" s="2"/>
      <c r="F24" s="3"/>
    </row>
    <row r="25" spans="1:6" x14ac:dyDescent="0.55000000000000004">
      <c r="A25" s="1" t="s">
        <v>17</v>
      </c>
      <c r="B25" s="2">
        <v>14</v>
      </c>
      <c r="C25" s="3">
        <v>46600</v>
      </c>
      <c r="E25" s="2"/>
      <c r="F25" s="3"/>
    </row>
    <row r="26" spans="1:6" x14ac:dyDescent="0.55000000000000004">
      <c r="A26" s="1" t="s">
        <v>18</v>
      </c>
      <c r="B26" s="2">
        <v>16</v>
      </c>
      <c r="C26" s="3">
        <v>37376</v>
      </c>
      <c r="E26" s="2"/>
      <c r="F26" s="3"/>
    </row>
    <row r="27" spans="1:6" x14ac:dyDescent="0.55000000000000004">
      <c r="A27" s="1" t="s">
        <v>19</v>
      </c>
      <c r="B27" s="2">
        <v>49</v>
      </c>
      <c r="C27" s="3">
        <v>68102</v>
      </c>
      <c r="E27" s="2"/>
      <c r="F27" s="3"/>
    </row>
    <row r="28" spans="1:6" x14ac:dyDescent="0.55000000000000004">
      <c r="A28" s="1" t="s">
        <v>20</v>
      </c>
      <c r="B28" s="2">
        <v>10</v>
      </c>
      <c r="C28" s="3">
        <v>9360</v>
      </c>
      <c r="E28" s="2"/>
      <c r="F28" s="3"/>
    </row>
    <row r="29" spans="1:6" x14ac:dyDescent="0.55000000000000004">
      <c r="A29" s="1" t="s">
        <v>21</v>
      </c>
      <c r="B29" s="2">
        <v>7</v>
      </c>
      <c r="C29" s="3">
        <v>6011</v>
      </c>
      <c r="E29" s="2"/>
      <c r="F29" s="3"/>
    </row>
    <row r="30" spans="1:6" x14ac:dyDescent="0.55000000000000004">
      <c r="A30" s="1" t="s">
        <v>22</v>
      </c>
      <c r="B30" s="2">
        <v>6</v>
      </c>
      <c r="C30" s="3">
        <v>4497</v>
      </c>
      <c r="E30" s="2"/>
      <c r="F30" s="3"/>
    </row>
    <row r="31" spans="1:6" x14ac:dyDescent="0.55000000000000004">
      <c r="A31" s="1" t="s">
        <v>23</v>
      </c>
      <c r="B31" s="2">
        <v>7</v>
      </c>
      <c r="C31" s="3">
        <v>4655</v>
      </c>
      <c r="E31" s="2"/>
      <c r="F31" s="3"/>
    </row>
    <row r="32" spans="1:6" x14ac:dyDescent="0.55000000000000004">
      <c r="A32" s="1" t="s">
        <v>24</v>
      </c>
      <c r="B32" s="2">
        <v>8</v>
      </c>
      <c r="C32" s="3">
        <v>4466</v>
      </c>
      <c r="E32" s="2"/>
      <c r="F32" s="3"/>
    </row>
    <row r="33" spans="1:6" x14ac:dyDescent="0.55000000000000004">
      <c r="A33" s="1" t="s">
        <v>25</v>
      </c>
      <c r="B33" s="2">
        <v>18</v>
      </c>
      <c r="C33" s="3">
        <v>8239</v>
      </c>
      <c r="E33" s="2"/>
      <c r="F33" s="3"/>
    </row>
    <row r="34" spans="1:6" x14ac:dyDescent="0.55000000000000004">
      <c r="A34" s="1" t="s">
        <v>26</v>
      </c>
      <c r="B34" s="2">
        <v>3</v>
      </c>
      <c r="C34" s="3">
        <v>1089</v>
      </c>
      <c r="E34" s="2"/>
      <c r="F34" s="3"/>
    </row>
    <row r="35" spans="1:6" x14ac:dyDescent="0.55000000000000004">
      <c r="A35" s="1" t="s">
        <v>27</v>
      </c>
      <c r="B35" s="2">
        <v>8</v>
      </c>
      <c r="C35" s="3">
        <v>1932</v>
      </c>
      <c r="E35" s="2"/>
      <c r="F35" s="3"/>
    </row>
    <row r="36" spans="1:6" x14ac:dyDescent="0.55000000000000004">
      <c r="A36" s="1" t="s">
        <v>28</v>
      </c>
      <c r="B36" s="2">
        <v>5</v>
      </c>
      <c r="C36" s="3">
        <v>831</v>
      </c>
      <c r="E36" s="2"/>
      <c r="F36" s="3"/>
    </row>
    <row r="37" spans="1:6" x14ac:dyDescent="0.55000000000000004">
      <c r="A37" s="1" t="s">
        <v>29</v>
      </c>
      <c r="B37" s="2">
        <v>1</v>
      </c>
      <c r="C37" s="3">
        <v>96</v>
      </c>
      <c r="E37" s="2"/>
      <c r="F37" s="3"/>
    </row>
    <row r="38" spans="1:6" x14ac:dyDescent="0.55000000000000004">
      <c r="A38" s="7" t="s">
        <v>37</v>
      </c>
      <c r="C38" s="3">
        <v>1830214</v>
      </c>
    </row>
    <row r="40" spans="1:6" x14ac:dyDescent="0.55000000000000004">
      <c r="A40" s="7" t="s">
        <v>39</v>
      </c>
      <c r="C40" s="12">
        <v>600670</v>
      </c>
    </row>
    <row r="41" spans="1:6" x14ac:dyDescent="0.55000000000000004">
      <c r="A41" s="5" t="s">
        <v>40</v>
      </c>
      <c r="C41" s="8">
        <f>C40/C38*100</f>
        <v>32.819659340383147</v>
      </c>
    </row>
    <row r="43" spans="1:6" x14ac:dyDescent="0.55000000000000004">
      <c r="A43" s="5" t="s">
        <v>41</v>
      </c>
      <c r="C43" s="9">
        <f>SUM(C8:C26)</f>
        <v>491392</v>
      </c>
    </row>
    <row r="44" spans="1:6" x14ac:dyDescent="0.55000000000000004">
      <c r="A44" s="5" t="s">
        <v>40</v>
      </c>
      <c r="C44" s="8">
        <f>C43/C38*100</f>
        <v>26.848882152578881</v>
      </c>
    </row>
    <row r="45" spans="1:6" x14ac:dyDescent="0.55000000000000004">
      <c r="A45" s="5"/>
    </row>
    <row r="46" spans="1:6" x14ac:dyDescent="0.55000000000000004">
      <c r="A46" s="5" t="s">
        <v>42</v>
      </c>
      <c r="C46" s="9">
        <f>SUM(C8:C16)</f>
        <v>233530</v>
      </c>
    </row>
    <row r="47" spans="1:6" x14ac:dyDescent="0.55000000000000004">
      <c r="A47" s="5" t="s">
        <v>40</v>
      </c>
      <c r="C47" s="8">
        <f>C46/C38*100</f>
        <v>12.759710066691653</v>
      </c>
    </row>
    <row r="48" spans="1:6" x14ac:dyDescent="0.55000000000000004">
      <c r="A48" s="5"/>
      <c r="C48" s="8"/>
    </row>
    <row r="49" spans="1:9" x14ac:dyDescent="0.55000000000000004">
      <c r="A49" s="5" t="s">
        <v>75</v>
      </c>
      <c r="C49" s="9">
        <f>SUM(C8:C9)</f>
        <v>181838</v>
      </c>
    </row>
    <row r="50" spans="1:9" x14ac:dyDescent="0.55000000000000004">
      <c r="A50" s="5" t="s">
        <v>40</v>
      </c>
      <c r="C50" s="8">
        <f>C49/C38*100</f>
        <v>9.9353408945620565</v>
      </c>
    </row>
    <row r="52" spans="1:9" ht="18.3" x14ac:dyDescent="0.7">
      <c r="A52" s="10" t="s">
        <v>35</v>
      </c>
      <c r="B52" s="11"/>
      <c r="C52" s="11"/>
      <c r="D52" s="11"/>
      <c r="E52" s="11"/>
      <c r="F52" s="11"/>
      <c r="G52" s="11"/>
      <c r="H52" s="11"/>
      <c r="I52" s="11"/>
    </row>
    <row r="53" spans="1:9" x14ac:dyDescent="0.55000000000000004">
      <c r="A53" t="s">
        <v>38</v>
      </c>
    </row>
    <row r="55" spans="1:9" x14ac:dyDescent="0.55000000000000004">
      <c r="A55" s="6" t="s">
        <v>36</v>
      </c>
      <c r="B55" s="6" t="s">
        <v>31</v>
      </c>
      <c r="C55" s="6" t="s">
        <v>32</v>
      </c>
    </row>
    <row r="56" spans="1:9" x14ac:dyDescent="0.55000000000000004">
      <c r="A56" s="1" t="s">
        <v>0</v>
      </c>
      <c r="B56" s="2">
        <v>1</v>
      </c>
      <c r="C56" s="3">
        <v>663854</v>
      </c>
    </row>
    <row r="57" spans="1:9" x14ac:dyDescent="0.55000000000000004">
      <c r="A57" s="1" t="s">
        <v>1</v>
      </c>
      <c r="B57" s="2" t="s">
        <v>30</v>
      </c>
      <c r="C57" s="3" t="s">
        <v>30</v>
      </c>
    </row>
    <row r="58" spans="1:9" x14ac:dyDescent="0.55000000000000004">
      <c r="A58" s="1" t="s">
        <v>2</v>
      </c>
      <c r="B58" s="2">
        <v>1</v>
      </c>
      <c r="C58" s="3">
        <v>91669</v>
      </c>
    </row>
    <row r="59" spans="1:9" x14ac:dyDescent="0.55000000000000004">
      <c r="A59" s="1" t="s">
        <v>3</v>
      </c>
      <c r="B59" s="2">
        <v>2</v>
      </c>
      <c r="C59" s="3">
        <v>93019</v>
      </c>
    </row>
    <row r="60" spans="1:9" x14ac:dyDescent="0.55000000000000004">
      <c r="A60" s="1" t="s">
        <v>4</v>
      </c>
      <c r="B60" s="2" t="s">
        <v>30</v>
      </c>
      <c r="C60" s="3" t="s">
        <v>30</v>
      </c>
    </row>
    <row r="61" spans="1:9" x14ac:dyDescent="0.55000000000000004">
      <c r="A61" s="1" t="s">
        <v>5</v>
      </c>
      <c r="B61" s="2" t="s">
        <v>30</v>
      </c>
      <c r="C61" s="3" t="s">
        <v>30</v>
      </c>
    </row>
    <row r="62" spans="1:9" x14ac:dyDescent="0.55000000000000004">
      <c r="A62" s="1" t="s">
        <v>6</v>
      </c>
      <c r="B62" s="2">
        <v>1</v>
      </c>
      <c r="C62" s="3">
        <v>34305</v>
      </c>
    </row>
    <row r="63" spans="1:9" x14ac:dyDescent="0.55000000000000004">
      <c r="A63" s="1" t="s">
        <v>7</v>
      </c>
      <c r="B63" s="2">
        <v>1</v>
      </c>
      <c r="C63" s="3">
        <v>28302</v>
      </c>
    </row>
    <row r="64" spans="1:9" x14ac:dyDescent="0.55000000000000004">
      <c r="A64" s="1" t="s">
        <v>8</v>
      </c>
      <c r="B64" s="2">
        <v>2</v>
      </c>
      <c r="C64" s="3">
        <v>46342</v>
      </c>
    </row>
    <row r="65" spans="1:3" x14ac:dyDescent="0.55000000000000004">
      <c r="A65" s="1" t="s">
        <v>9</v>
      </c>
      <c r="B65" s="2">
        <v>2</v>
      </c>
      <c r="C65" s="3">
        <v>32801</v>
      </c>
    </row>
    <row r="66" spans="1:3" x14ac:dyDescent="0.55000000000000004">
      <c r="A66" s="1" t="s">
        <v>10</v>
      </c>
      <c r="B66" s="2">
        <v>7</v>
      </c>
      <c r="C66" s="3">
        <v>83579</v>
      </c>
    </row>
    <row r="67" spans="1:3" x14ac:dyDescent="0.55000000000000004">
      <c r="A67" s="1" t="s">
        <v>11</v>
      </c>
      <c r="B67" s="2">
        <v>6</v>
      </c>
      <c r="C67" s="3">
        <v>56671</v>
      </c>
    </row>
    <row r="68" spans="1:3" x14ac:dyDescent="0.55000000000000004">
      <c r="A68" s="1" t="s">
        <v>12</v>
      </c>
      <c r="B68" s="2">
        <v>2</v>
      </c>
      <c r="C68" s="3">
        <v>17039</v>
      </c>
    </row>
    <row r="69" spans="1:3" x14ac:dyDescent="0.55000000000000004">
      <c r="A69" s="1" t="s">
        <v>13</v>
      </c>
      <c r="B69" s="2">
        <v>3</v>
      </c>
      <c r="C69" s="3">
        <v>22162</v>
      </c>
    </row>
    <row r="70" spans="1:3" x14ac:dyDescent="0.55000000000000004">
      <c r="A70" s="1" t="s">
        <v>14</v>
      </c>
      <c r="B70" s="2">
        <v>3</v>
      </c>
      <c r="C70" s="3">
        <v>18990</v>
      </c>
    </row>
    <row r="71" spans="1:3" x14ac:dyDescent="0.55000000000000004">
      <c r="A71" s="1" t="s">
        <v>15</v>
      </c>
      <c r="B71" s="2">
        <v>15</v>
      </c>
      <c r="C71" s="3">
        <v>81666</v>
      </c>
    </row>
    <row r="72" spans="1:3" x14ac:dyDescent="0.55000000000000004">
      <c r="A72" s="1" t="s">
        <v>16</v>
      </c>
      <c r="B72" s="2">
        <v>14</v>
      </c>
      <c r="C72" s="3">
        <v>62718</v>
      </c>
    </row>
    <row r="73" spans="1:3" x14ac:dyDescent="0.55000000000000004">
      <c r="A73" s="1" t="s">
        <v>17</v>
      </c>
      <c r="B73" s="2">
        <v>15</v>
      </c>
      <c r="C73" s="3">
        <v>54486</v>
      </c>
    </row>
    <row r="74" spans="1:3" x14ac:dyDescent="0.55000000000000004">
      <c r="A74" s="1" t="s">
        <v>18</v>
      </c>
      <c r="B74" s="2">
        <v>38</v>
      </c>
      <c r="C74" s="3">
        <v>91796</v>
      </c>
    </row>
    <row r="75" spans="1:3" x14ac:dyDescent="0.55000000000000004">
      <c r="A75" s="1" t="s">
        <v>19</v>
      </c>
      <c r="B75" s="2">
        <v>60</v>
      </c>
      <c r="C75" s="3">
        <v>82433</v>
      </c>
    </row>
    <row r="76" spans="1:3" x14ac:dyDescent="0.55000000000000004">
      <c r="A76" s="1" t="s">
        <v>20</v>
      </c>
      <c r="B76" s="2">
        <v>17</v>
      </c>
      <c r="C76" s="3">
        <v>16328</v>
      </c>
    </row>
    <row r="77" spans="1:3" x14ac:dyDescent="0.55000000000000004">
      <c r="A77" s="1" t="s">
        <v>21</v>
      </c>
      <c r="B77" s="2">
        <v>18</v>
      </c>
      <c r="C77" s="3">
        <v>15321</v>
      </c>
    </row>
    <row r="78" spans="1:3" x14ac:dyDescent="0.55000000000000004">
      <c r="A78" s="1" t="s">
        <v>22</v>
      </c>
      <c r="B78" s="2">
        <v>16</v>
      </c>
      <c r="C78" s="3">
        <v>11944</v>
      </c>
    </row>
    <row r="79" spans="1:3" x14ac:dyDescent="0.55000000000000004">
      <c r="A79" s="1" t="s">
        <v>23</v>
      </c>
      <c r="B79" s="2">
        <v>21</v>
      </c>
      <c r="C79" s="3">
        <v>13407</v>
      </c>
    </row>
    <row r="80" spans="1:3" x14ac:dyDescent="0.55000000000000004">
      <c r="A80" s="1" t="s">
        <v>24</v>
      </c>
      <c r="B80" s="2">
        <v>38</v>
      </c>
      <c r="C80" s="3">
        <v>21087</v>
      </c>
    </row>
    <row r="81" spans="1:3" x14ac:dyDescent="0.55000000000000004">
      <c r="A81" s="1" t="s">
        <v>25</v>
      </c>
      <c r="B81" s="2">
        <v>31</v>
      </c>
      <c r="C81" s="3">
        <v>14082</v>
      </c>
    </row>
    <row r="82" spans="1:3" x14ac:dyDescent="0.55000000000000004">
      <c r="A82" s="1" t="s">
        <v>26</v>
      </c>
      <c r="B82" s="2">
        <v>36</v>
      </c>
      <c r="C82" s="3">
        <v>12769</v>
      </c>
    </row>
    <row r="83" spans="1:3" x14ac:dyDescent="0.55000000000000004">
      <c r="A83" s="1" t="s">
        <v>27</v>
      </c>
      <c r="B83" s="2">
        <v>50</v>
      </c>
      <c r="C83" s="3">
        <v>12953</v>
      </c>
    </row>
    <row r="84" spans="1:3" x14ac:dyDescent="0.55000000000000004">
      <c r="A84" s="1" t="s">
        <v>28</v>
      </c>
      <c r="B84" s="2">
        <v>66</v>
      </c>
      <c r="C84" s="3">
        <v>9768</v>
      </c>
    </row>
    <row r="85" spans="1:3" x14ac:dyDescent="0.55000000000000004">
      <c r="A85" s="1" t="s">
        <v>29</v>
      </c>
      <c r="B85" s="2">
        <v>21</v>
      </c>
      <c r="C85" s="3">
        <v>1475</v>
      </c>
    </row>
    <row r="86" spans="1:3" x14ac:dyDescent="0.55000000000000004">
      <c r="A86" s="7" t="s">
        <v>37</v>
      </c>
      <c r="C86" s="3">
        <v>4044911</v>
      </c>
    </row>
    <row r="87" spans="1:3" x14ac:dyDescent="0.55000000000000004">
      <c r="A87" s="7"/>
      <c r="C87" s="3"/>
    </row>
    <row r="88" spans="1:3" x14ac:dyDescent="0.55000000000000004">
      <c r="A88" s="7" t="s">
        <v>39</v>
      </c>
      <c r="C88" s="3">
        <v>1690966</v>
      </c>
    </row>
    <row r="89" spans="1:3" x14ac:dyDescent="0.55000000000000004">
      <c r="A89" s="5" t="s">
        <v>40</v>
      </c>
      <c r="C89" s="8">
        <f>C88/C86*100</f>
        <v>41.804776421533127</v>
      </c>
    </row>
    <row r="91" spans="1:3" x14ac:dyDescent="0.55000000000000004">
      <c r="A91" s="5" t="s">
        <v>41</v>
      </c>
      <c r="C91" s="9">
        <f>SUM(C56:C74)</f>
        <v>1479399</v>
      </c>
    </row>
    <row r="92" spans="1:3" x14ac:dyDescent="0.55000000000000004">
      <c r="A92" s="5" t="s">
        <v>40</v>
      </c>
      <c r="C92" s="8">
        <f>C91/C86*100</f>
        <v>36.574327593363606</v>
      </c>
    </row>
    <row r="93" spans="1:3" x14ac:dyDescent="0.55000000000000004">
      <c r="A93" s="5"/>
    </row>
    <row r="94" spans="1:3" x14ac:dyDescent="0.55000000000000004">
      <c r="A94" s="5" t="s">
        <v>42</v>
      </c>
      <c r="C94" s="9">
        <f>SUM(C56:C64)</f>
        <v>957491</v>
      </c>
    </row>
    <row r="95" spans="1:3" x14ac:dyDescent="0.55000000000000004">
      <c r="A95" s="5" t="s">
        <v>40</v>
      </c>
      <c r="C95" s="8">
        <f>C94/C86*100</f>
        <v>23.671497345677075</v>
      </c>
    </row>
    <row r="96" spans="1:3" x14ac:dyDescent="0.55000000000000004">
      <c r="A96" s="5"/>
      <c r="C96" s="8"/>
    </row>
    <row r="97" spans="1:9" x14ac:dyDescent="0.55000000000000004">
      <c r="A97" s="5" t="s">
        <v>75</v>
      </c>
      <c r="C97" s="8">
        <f>SUM(C56:C57)</f>
        <v>663854</v>
      </c>
    </row>
    <row r="98" spans="1:9" x14ac:dyDescent="0.55000000000000004">
      <c r="A98" s="5" t="s">
        <v>40</v>
      </c>
      <c r="C98" s="8">
        <f>C97/C86*100</f>
        <v>16.412079276898801</v>
      </c>
    </row>
    <row r="100" spans="1:9" ht="18.3" x14ac:dyDescent="0.7">
      <c r="A100" s="10" t="s">
        <v>43</v>
      </c>
      <c r="B100" s="11"/>
      <c r="C100" s="11"/>
      <c r="D100" s="11"/>
      <c r="E100" s="11"/>
      <c r="F100" s="11"/>
      <c r="G100" s="11"/>
      <c r="H100" s="11"/>
      <c r="I100" s="11"/>
    </row>
    <row r="101" spans="1:9" x14ac:dyDescent="0.55000000000000004">
      <c r="A101" t="s">
        <v>46</v>
      </c>
    </row>
    <row r="102" spans="1:9" x14ac:dyDescent="0.55000000000000004">
      <c r="A102" t="s">
        <v>44</v>
      </c>
    </row>
    <row r="103" spans="1:9" x14ac:dyDescent="0.55000000000000004">
      <c r="A103" t="s">
        <v>45</v>
      </c>
    </row>
    <row r="104" spans="1:9" x14ac:dyDescent="0.55000000000000004">
      <c r="A104" t="s">
        <v>51</v>
      </c>
    </row>
    <row r="106" spans="1:9" x14ac:dyDescent="0.55000000000000004">
      <c r="A106" s="6" t="s">
        <v>36</v>
      </c>
      <c r="B106" s="6" t="s">
        <v>31</v>
      </c>
      <c r="C106" s="6" t="s">
        <v>32</v>
      </c>
    </row>
    <row r="107" spans="1:9" x14ac:dyDescent="0.55000000000000004">
      <c r="A107" t="s">
        <v>47</v>
      </c>
      <c r="B107">
        <v>3</v>
      </c>
      <c r="C107" s="9">
        <v>1903300</v>
      </c>
    </row>
    <row r="108" spans="1:9" x14ac:dyDescent="0.55000000000000004">
      <c r="A108" t="s">
        <v>48</v>
      </c>
      <c r="B108">
        <v>18</v>
      </c>
      <c r="C108" s="9">
        <v>697123</v>
      </c>
    </row>
    <row r="109" spans="1:9" x14ac:dyDescent="0.55000000000000004">
      <c r="A109" t="s">
        <v>49</v>
      </c>
      <c r="B109">
        <v>111</v>
      </c>
      <c r="C109" s="9">
        <v>977847</v>
      </c>
    </row>
    <row r="110" spans="1:9" x14ac:dyDescent="0.55000000000000004">
      <c r="A110" t="s">
        <v>50</v>
      </c>
      <c r="B110">
        <v>200</v>
      </c>
      <c r="C110" s="9">
        <v>579100</v>
      </c>
    </row>
    <row r="112" spans="1:9" x14ac:dyDescent="0.55000000000000004">
      <c r="A112" s="5" t="s">
        <v>37</v>
      </c>
      <c r="C112" s="9">
        <v>7885237</v>
      </c>
    </row>
    <row r="113" spans="1:3" x14ac:dyDescent="0.55000000000000004">
      <c r="C113" s="9"/>
    </row>
    <row r="114" spans="1:3" x14ac:dyDescent="0.55000000000000004">
      <c r="A114" s="7" t="s">
        <v>39</v>
      </c>
      <c r="C114" s="9">
        <v>4525500</v>
      </c>
    </row>
    <row r="115" spans="1:3" x14ac:dyDescent="0.55000000000000004">
      <c r="A115" s="5" t="s">
        <v>40</v>
      </c>
      <c r="C115" s="8">
        <f>C114/C112*100</f>
        <v>57.392060631785704</v>
      </c>
    </row>
    <row r="117" spans="1:3" x14ac:dyDescent="0.55000000000000004">
      <c r="A117" s="5" t="s">
        <v>41</v>
      </c>
      <c r="C117" s="9">
        <f>SUM(C107:C110)</f>
        <v>4157370</v>
      </c>
    </row>
    <row r="118" spans="1:3" x14ac:dyDescent="0.55000000000000004">
      <c r="A118" s="5" t="s">
        <v>40</v>
      </c>
      <c r="C118" s="8">
        <f>C117/C112*100</f>
        <v>52.723462845821878</v>
      </c>
    </row>
    <row r="119" spans="1:3" x14ac:dyDescent="0.55000000000000004">
      <c r="A119" s="5"/>
    </row>
    <row r="120" spans="1:3" x14ac:dyDescent="0.55000000000000004">
      <c r="A120" s="5" t="s">
        <v>42</v>
      </c>
      <c r="C120" s="9">
        <f>SUM(C107:C108)</f>
        <v>2600423</v>
      </c>
    </row>
    <row r="121" spans="1:3" x14ac:dyDescent="0.55000000000000004">
      <c r="A121" s="5" t="s">
        <v>40</v>
      </c>
      <c r="C121" s="8">
        <f>C120/C112*100</f>
        <v>32.978374651262861</v>
      </c>
    </row>
    <row r="123" spans="1:3" x14ac:dyDescent="0.55000000000000004">
      <c r="A123" s="5" t="s">
        <v>75</v>
      </c>
      <c r="C123" s="8">
        <f>C107/C112*100</f>
        <v>24.137511656276153</v>
      </c>
    </row>
    <row r="124" spans="1:3" x14ac:dyDescent="0.55000000000000004">
      <c r="A124" s="5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26D90-A7FB-4E0B-A959-AEC37C611484}">
  <dimension ref="A1:I16"/>
  <sheetViews>
    <sheetView workbookViewId="0">
      <selection activeCell="E40" sqref="E40"/>
    </sheetView>
  </sheetViews>
  <sheetFormatPr defaultRowHeight="14.4" x14ac:dyDescent="0.55000000000000004"/>
  <cols>
    <col min="1" max="1" width="12.15625" customWidth="1"/>
    <col min="2" max="3" width="9.62890625" bestFit="1" customWidth="1"/>
    <col min="4" max="4" width="10.3125" customWidth="1"/>
  </cols>
  <sheetData>
    <row r="1" spans="1:9" ht="25.8" x14ac:dyDescent="0.95">
      <c r="A1" s="4" t="s">
        <v>102</v>
      </c>
    </row>
    <row r="3" spans="1:9" ht="18.3" x14ac:dyDescent="0.7">
      <c r="A3" s="10" t="s">
        <v>103</v>
      </c>
      <c r="B3" s="11"/>
      <c r="C3" s="11"/>
      <c r="D3" s="11"/>
      <c r="E3" s="11"/>
      <c r="F3" s="11"/>
      <c r="G3" s="11"/>
      <c r="H3" s="11"/>
      <c r="I3" s="11"/>
    </row>
    <row r="4" spans="1:9" x14ac:dyDescent="0.55000000000000004">
      <c r="A4" t="s">
        <v>104</v>
      </c>
    </row>
    <row r="6" spans="1:9" x14ac:dyDescent="0.55000000000000004">
      <c r="B6" s="6" t="s">
        <v>108</v>
      </c>
      <c r="C6" s="6" t="s">
        <v>109</v>
      </c>
      <c r="D6" s="6" t="s">
        <v>111</v>
      </c>
      <c r="E6" s="6" t="s">
        <v>112</v>
      </c>
    </row>
    <row r="7" spans="1:9" x14ac:dyDescent="0.55000000000000004">
      <c r="A7" s="5" t="s">
        <v>105</v>
      </c>
      <c r="B7" s="9">
        <v>4372570</v>
      </c>
      <c r="C7" s="9">
        <v>4817165</v>
      </c>
      <c r="D7" s="9">
        <f>B7+C7</f>
        <v>9189735</v>
      </c>
      <c r="E7" s="8">
        <f>D7/D10*100</f>
        <v>22.285538850889079</v>
      </c>
    </row>
    <row r="8" spans="1:9" x14ac:dyDescent="0.55000000000000004">
      <c r="A8" t="s">
        <v>106</v>
      </c>
      <c r="B8" s="9">
        <v>1791903</v>
      </c>
      <c r="C8" s="9">
        <v>1898544</v>
      </c>
      <c r="D8" s="9">
        <f t="shared" ref="D8:D10" si="0">B8+C8</f>
        <v>3690447</v>
      </c>
      <c r="E8" s="8">
        <f>D8/D10*100</f>
        <v>8.9495072486472171</v>
      </c>
    </row>
    <row r="9" spans="1:9" x14ac:dyDescent="0.55000000000000004">
      <c r="A9" t="s">
        <v>110</v>
      </c>
      <c r="B9" s="9">
        <v>14449615</v>
      </c>
      <c r="C9" s="9">
        <v>13906518</v>
      </c>
      <c r="D9" s="9">
        <f t="shared" si="0"/>
        <v>28356133</v>
      </c>
    </row>
    <row r="10" spans="1:9" x14ac:dyDescent="0.55000000000000004">
      <c r="A10" t="s">
        <v>107</v>
      </c>
      <c r="B10" s="9">
        <f>SUM(B7:B9)</f>
        <v>20614088</v>
      </c>
      <c r="C10" s="9">
        <f>SUM(C7:C9)</f>
        <v>20622227</v>
      </c>
      <c r="D10" s="9">
        <f t="shared" si="0"/>
        <v>41236315</v>
      </c>
    </row>
    <row r="11" spans="1:9" x14ac:dyDescent="0.55000000000000004">
      <c r="A11" t="s">
        <v>113</v>
      </c>
      <c r="E11" s="8">
        <f>E7+E8</f>
        <v>31.235046099536298</v>
      </c>
    </row>
    <row r="14" spans="1:9" x14ac:dyDescent="0.55000000000000004">
      <c r="A14" t="s">
        <v>137</v>
      </c>
    </row>
    <row r="15" spans="1:9" x14ac:dyDescent="0.55000000000000004">
      <c r="A15" t="s">
        <v>138</v>
      </c>
    </row>
    <row r="16" spans="1:9" x14ac:dyDescent="0.55000000000000004">
      <c r="A16" t="s">
        <v>139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14034-F189-41C0-8C86-58FC0CE3DEFC}">
  <dimension ref="A1:I11"/>
  <sheetViews>
    <sheetView workbookViewId="0">
      <selection activeCell="A10" sqref="A10"/>
    </sheetView>
  </sheetViews>
  <sheetFormatPr defaultRowHeight="14.4" x14ac:dyDescent="0.55000000000000004"/>
  <sheetData>
    <row r="1" spans="1:9" ht="25.8" x14ac:dyDescent="0.95">
      <c r="A1" s="4" t="s">
        <v>132</v>
      </c>
    </row>
    <row r="3" spans="1:9" ht="18.3" x14ac:dyDescent="0.7">
      <c r="A3" s="10" t="s">
        <v>133</v>
      </c>
      <c r="B3" s="11"/>
      <c r="C3" s="11"/>
      <c r="D3" s="11"/>
      <c r="E3" s="11"/>
      <c r="F3" s="11"/>
      <c r="G3" s="11"/>
      <c r="H3" s="11"/>
      <c r="I3" s="11"/>
    </row>
    <row r="4" spans="1:9" x14ac:dyDescent="0.55000000000000004">
      <c r="A4" t="s">
        <v>136</v>
      </c>
    </row>
    <row r="6" spans="1:9" x14ac:dyDescent="0.55000000000000004">
      <c r="A6" t="s">
        <v>134</v>
      </c>
    </row>
    <row r="7" spans="1:9" x14ac:dyDescent="0.55000000000000004">
      <c r="A7" t="s">
        <v>135</v>
      </c>
    </row>
    <row r="9" spans="1:9" x14ac:dyDescent="0.55000000000000004">
      <c r="A9" t="s">
        <v>141</v>
      </c>
    </row>
    <row r="10" spans="1:9" x14ac:dyDescent="0.55000000000000004">
      <c r="A10" t="s">
        <v>138</v>
      </c>
    </row>
    <row r="11" spans="1:9" x14ac:dyDescent="0.55000000000000004">
      <c r="A11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BAE16-4339-4E7E-B86F-5E2D0E816859}">
  <dimension ref="A1:A5"/>
  <sheetViews>
    <sheetView workbookViewId="0">
      <selection activeCell="H40" sqref="H40"/>
    </sheetView>
  </sheetViews>
  <sheetFormatPr defaultRowHeight="14.4" x14ac:dyDescent="0.55000000000000004"/>
  <sheetData>
    <row r="1" spans="1:1" ht="25.8" x14ac:dyDescent="0.95">
      <c r="A1" s="4" t="s">
        <v>140</v>
      </c>
    </row>
    <row r="3" spans="1:1" x14ac:dyDescent="0.55000000000000004">
      <c r="A3" t="s">
        <v>137</v>
      </c>
    </row>
    <row r="4" spans="1:1" x14ac:dyDescent="0.55000000000000004">
      <c r="A4" t="s">
        <v>138</v>
      </c>
    </row>
    <row r="5" spans="1:1" x14ac:dyDescent="0.55000000000000004">
      <c r="A5" t="s">
        <v>139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CA0FB-80CF-4D2D-9C36-BC686B872411}">
  <dimension ref="A1:I8"/>
  <sheetViews>
    <sheetView workbookViewId="0">
      <selection activeCell="A7" sqref="A7"/>
    </sheetView>
  </sheetViews>
  <sheetFormatPr defaultRowHeight="14.4" x14ac:dyDescent="0.55000000000000004"/>
  <cols>
    <col min="1" max="1" width="26.734375" customWidth="1"/>
  </cols>
  <sheetData>
    <row r="1" spans="1:9" ht="25.8" x14ac:dyDescent="0.95">
      <c r="A1" s="4" t="s">
        <v>86</v>
      </c>
    </row>
    <row r="3" spans="1:9" ht="18.3" x14ac:dyDescent="0.7">
      <c r="A3" s="10" t="s">
        <v>87</v>
      </c>
      <c r="B3" s="11"/>
      <c r="C3" s="11"/>
      <c r="D3" s="11"/>
      <c r="E3" s="11"/>
      <c r="F3" s="11"/>
      <c r="G3" s="11"/>
      <c r="H3" s="11"/>
      <c r="I3" s="11"/>
    </row>
    <row r="4" spans="1:9" x14ac:dyDescent="0.55000000000000004">
      <c r="A4" t="s">
        <v>88</v>
      </c>
    </row>
    <row r="6" spans="1:9" x14ac:dyDescent="0.55000000000000004">
      <c r="A6" s="5" t="s">
        <v>89</v>
      </c>
      <c r="B6" s="9">
        <v>471254</v>
      </c>
    </row>
    <row r="7" spans="1:9" x14ac:dyDescent="0.55000000000000004">
      <c r="A7" s="7" t="s">
        <v>39</v>
      </c>
      <c r="B7" s="9">
        <v>88608</v>
      </c>
    </row>
    <row r="8" spans="1:9" x14ac:dyDescent="0.55000000000000004">
      <c r="A8" s="5" t="s">
        <v>55</v>
      </c>
      <c r="B8" s="8">
        <f>B7/B6*100</f>
        <v>18.802599023032165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620CE-1A3C-479F-8A18-8628A94C5B78}">
  <dimension ref="A1:I62"/>
  <sheetViews>
    <sheetView workbookViewId="0">
      <selection activeCell="M28" sqref="M28"/>
    </sheetView>
  </sheetViews>
  <sheetFormatPr defaultRowHeight="14.4" x14ac:dyDescent="0.55000000000000004"/>
  <cols>
    <col min="1" max="1" width="25.734375" customWidth="1"/>
    <col min="5" max="5" width="19.62890625" customWidth="1"/>
  </cols>
  <sheetData>
    <row r="1" spans="1:9" ht="25.8" x14ac:dyDescent="0.95">
      <c r="A1" s="4" t="s">
        <v>92</v>
      </c>
    </row>
    <row r="3" spans="1:9" ht="18.3" x14ac:dyDescent="0.7">
      <c r="A3" s="10" t="s">
        <v>90</v>
      </c>
      <c r="B3" s="11"/>
      <c r="C3" s="11"/>
      <c r="D3" s="11"/>
      <c r="E3" s="11"/>
      <c r="F3" s="11"/>
      <c r="G3" s="11"/>
      <c r="H3" s="11"/>
      <c r="I3" s="11"/>
    </row>
    <row r="4" spans="1:9" x14ac:dyDescent="0.55000000000000004">
      <c r="A4" t="s">
        <v>99</v>
      </c>
    </row>
    <row r="6" spans="1:9" x14ac:dyDescent="0.55000000000000004">
      <c r="A6" s="5" t="s">
        <v>63</v>
      </c>
      <c r="E6" s="5" t="s">
        <v>64</v>
      </c>
      <c r="F6" t="s">
        <v>144</v>
      </c>
    </row>
    <row r="7" spans="1:9" x14ac:dyDescent="0.55000000000000004">
      <c r="A7" s="6" t="s">
        <v>36</v>
      </c>
      <c r="B7" s="6" t="s">
        <v>31</v>
      </c>
      <c r="C7" s="6" t="s">
        <v>32</v>
      </c>
      <c r="E7" s="6" t="s">
        <v>36</v>
      </c>
      <c r="F7" s="6" t="s">
        <v>31</v>
      </c>
      <c r="G7" s="6" t="s">
        <v>32</v>
      </c>
    </row>
    <row r="8" spans="1:9" x14ac:dyDescent="0.55000000000000004">
      <c r="A8" t="s">
        <v>80</v>
      </c>
      <c r="B8" s="9">
        <v>3438</v>
      </c>
      <c r="C8" s="9">
        <v>467459</v>
      </c>
      <c r="E8" t="s">
        <v>80</v>
      </c>
      <c r="F8" s="9">
        <v>3438</v>
      </c>
      <c r="G8" s="9">
        <v>467459</v>
      </c>
    </row>
    <row r="9" spans="1:9" x14ac:dyDescent="0.55000000000000004">
      <c r="A9" t="s">
        <v>93</v>
      </c>
      <c r="B9" s="9">
        <v>2463</v>
      </c>
      <c r="C9" s="9">
        <v>99912</v>
      </c>
      <c r="E9" t="s">
        <v>93</v>
      </c>
      <c r="F9" s="9">
        <v>2463</v>
      </c>
      <c r="G9" s="9">
        <v>99912</v>
      </c>
    </row>
    <row r="10" spans="1:9" x14ac:dyDescent="0.55000000000000004">
      <c r="A10" t="s">
        <v>94</v>
      </c>
      <c r="B10" s="9">
        <v>881</v>
      </c>
      <c r="C10" s="9">
        <v>170018</v>
      </c>
      <c r="E10" t="s">
        <v>94</v>
      </c>
      <c r="F10" s="9">
        <v>881</v>
      </c>
      <c r="G10" s="9">
        <v>170018</v>
      </c>
    </row>
    <row r="11" spans="1:9" x14ac:dyDescent="0.55000000000000004">
      <c r="A11" t="s">
        <v>95</v>
      </c>
      <c r="B11">
        <v>65</v>
      </c>
      <c r="C11" s="9">
        <v>43806</v>
      </c>
      <c r="E11" t="s">
        <v>95</v>
      </c>
      <c r="F11">
        <v>65</v>
      </c>
      <c r="G11" s="9">
        <v>43806</v>
      </c>
    </row>
    <row r="12" spans="1:9" x14ac:dyDescent="0.55000000000000004">
      <c r="A12" t="s">
        <v>96</v>
      </c>
      <c r="B12">
        <v>24</v>
      </c>
      <c r="C12" s="9">
        <v>34707</v>
      </c>
      <c r="E12" t="s">
        <v>100</v>
      </c>
      <c r="F12" s="9">
        <v>21</v>
      </c>
      <c r="G12" s="9">
        <v>28460</v>
      </c>
    </row>
    <row r="13" spans="1:9" x14ac:dyDescent="0.55000000000000004">
      <c r="A13" t="s">
        <v>97</v>
      </c>
      <c r="B13">
        <v>2</v>
      </c>
      <c r="C13" s="9">
        <v>9801</v>
      </c>
      <c r="E13" t="s">
        <v>101</v>
      </c>
      <c r="F13" s="9">
        <v>3</v>
      </c>
      <c r="G13" s="9">
        <v>6247</v>
      </c>
    </row>
    <row r="14" spans="1:9" x14ac:dyDescent="0.55000000000000004">
      <c r="A14" t="s">
        <v>98</v>
      </c>
      <c r="B14">
        <v>3</v>
      </c>
      <c r="C14" s="9">
        <v>109215</v>
      </c>
      <c r="E14" t="s">
        <v>97</v>
      </c>
      <c r="F14">
        <v>2</v>
      </c>
      <c r="G14" s="9">
        <v>9801</v>
      </c>
    </row>
    <row r="15" spans="1:9" x14ac:dyDescent="0.55000000000000004">
      <c r="E15" t="s">
        <v>98</v>
      </c>
      <c r="F15">
        <v>3</v>
      </c>
      <c r="G15" s="9">
        <v>109215</v>
      </c>
    </row>
    <row r="16" spans="1:9" x14ac:dyDescent="0.55000000000000004">
      <c r="A16" s="7" t="s">
        <v>39</v>
      </c>
      <c r="B16" s="9"/>
      <c r="C16" s="15">
        <v>34.6</v>
      </c>
    </row>
    <row r="18" spans="1:8" x14ac:dyDescent="0.55000000000000004">
      <c r="A18" s="5" t="s">
        <v>41</v>
      </c>
      <c r="C18" s="9">
        <f>SUM(G13:G15)</f>
        <v>125263</v>
      </c>
      <c r="E18" s="5" t="s">
        <v>131</v>
      </c>
    </row>
    <row r="19" spans="1:8" x14ac:dyDescent="0.55000000000000004">
      <c r="A19" s="5" t="s">
        <v>40</v>
      </c>
      <c r="C19" s="8">
        <f>C18/C8*100</f>
        <v>26.796574672859009</v>
      </c>
    </row>
    <row r="22" spans="1:8" ht="18.3" x14ac:dyDescent="0.7">
      <c r="A22" s="10" t="s">
        <v>91</v>
      </c>
      <c r="B22" s="11"/>
      <c r="C22" s="11"/>
      <c r="D22" s="11"/>
      <c r="E22" s="11"/>
      <c r="F22" s="11"/>
      <c r="G22" s="11"/>
      <c r="H22" s="11"/>
    </row>
    <row r="23" spans="1:8" x14ac:dyDescent="0.55000000000000004">
      <c r="A23" t="s">
        <v>114</v>
      </c>
    </row>
    <row r="25" spans="1:8" x14ac:dyDescent="0.55000000000000004">
      <c r="A25" s="5" t="s">
        <v>63</v>
      </c>
      <c r="E25" s="5" t="s">
        <v>64</v>
      </c>
      <c r="F25" t="s">
        <v>144</v>
      </c>
    </row>
    <row r="26" spans="1:8" x14ac:dyDescent="0.55000000000000004">
      <c r="A26" s="6" t="s">
        <v>36</v>
      </c>
      <c r="B26" s="6" t="s">
        <v>31</v>
      </c>
      <c r="C26" s="6" t="s">
        <v>32</v>
      </c>
      <c r="E26" s="6" t="s">
        <v>36</v>
      </c>
      <c r="F26" s="6" t="s">
        <v>31</v>
      </c>
      <c r="G26" s="6" t="s">
        <v>32</v>
      </c>
    </row>
    <row r="27" spans="1:8" x14ac:dyDescent="0.55000000000000004">
      <c r="A27" t="s">
        <v>80</v>
      </c>
      <c r="B27" s="9">
        <v>4687</v>
      </c>
      <c r="C27" s="9">
        <v>622576</v>
      </c>
      <c r="E27" t="s">
        <v>80</v>
      </c>
      <c r="F27" s="9">
        <v>4687</v>
      </c>
      <c r="G27" s="9">
        <v>622576</v>
      </c>
    </row>
    <row r="28" spans="1:8" x14ac:dyDescent="0.55000000000000004">
      <c r="A28" t="s">
        <v>93</v>
      </c>
      <c r="B28" s="9">
        <v>3522</v>
      </c>
      <c r="C28" s="9">
        <v>130054</v>
      </c>
      <c r="E28" t="s">
        <v>93</v>
      </c>
      <c r="F28" s="9">
        <v>3522</v>
      </c>
      <c r="G28" s="9">
        <v>130054</v>
      </c>
    </row>
    <row r="29" spans="1:8" x14ac:dyDescent="0.55000000000000004">
      <c r="A29" t="s">
        <v>94</v>
      </c>
      <c r="B29" s="9">
        <v>1044</v>
      </c>
      <c r="C29" s="9">
        <v>203000</v>
      </c>
      <c r="E29" t="s">
        <v>94</v>
      </c>
      <c r="F29" s="9">
        <v>1044</v>
      </c>
      <c r="G29" s="9">
        <v>203000</v>
      </c>
    </row>
    <row r="30" spans="1:8" x14ac:dyDescent="0.55000000000000004">
      <c r="A30" t="s">
        <v>95</v>
      </c>
      <c r="B30">
        <v>83</v>
      </c>
      <c r="C30" s="9">
        <v>56005</v>
      </c>
      <c r="E30" t="s">
        <v>95</v>
      </c>
      <c r="F30">
        <v>83</v>
      </c>
      <c r="G30" s="9">
        <v>56005</v>
      </c>
    </row>
    <row r="31" spans="1:8" x14ac:dyDescent="0.55000000000000004">
      <c r="A31" t="s">
        <v>96</v>
      </c>
      <c r="B31">
        <v>29</v>
      </c>
      <c r="C31">
        <v>42819</v>
      </c>
      <c r="E31" t="s">
        <v>100</v>
      </c>
      <c r="F31" s="9">
        <v>25</v>
      </c>
      <c r="G31" s="9">
        <v>34106</v>
      </c>
    </row>
    <row r="32" spans="1:8" x14ac:dyDescent="0.55000000000000004">
      <c r="A32" t="s">
        <v>97</v>
      </c>
      <c r="B32">
        <v>6</v>
      </c>
      <c r="C32" s="9">
        <v>19545</v>
      </c>
      <c r="E32" t="s">
        <v>101</v>
      </c>
      <c r="F32" s="9">
        <v>4</v>
      </c>
      <c r="G32" s="9">
        <v>8713</v>
      </c>
    </row>
    <row r="33" spans="1:7" x14ac:dyDescent="0.55000000000000004">
      <c r="A33" t="s">
        <v>98</v>
      </c>
      <c r="B33">
        <v>3</v>
      </c>
      <c r="C33" s="9">
        <v>171153</v>
      </c>
      <c r="E33" t="s">
        <v>97</v>
      </c>
      <c r="F33">
        <v>6</v>
      </c>
      <c r="G33" s="9">
        <v>19545</v>
      </c>
    </row>
    <row r="34" spans="1:7" x14ac:dyDescent="0.55000000000000004">
      <c r="E34" t="s">
        <v>98</v>
      </c>
      <c r="F34">
        <v>3</v>
      </c>
      <c r="G34" s="9">
        <v>171153</v>
      </c>
    </row>
    <row r="36" spans="1:7" x14ac:dyDescent="0.55000000000000004">
      <c r="A36" s="7" t="s">
        <v>39</v>
      </c>
      <c r="C36">
        <v>36.9</v>
      </c>
    </row>
    <row r="37" spans="1:7" x14ac:dyDescent="0.55000000000000004">
      <c r="A37" s="5" t="s">
        <v>85</v>
      </c>
      <c r="C37">
        <v>33.799999999999997</v>
      </c>
    </row>
    <row r="39" spans="1:7" x14ac:dyDescent="0.55000000000000004">
      <c r="A39" s="5" t="s">
        <v>41</v>
      </c>
      <c r="C39" s="9">
        <f>SUM(G32:G34)</f>
        <v>199411</v>
      </c>
      <c r="E39" s="5" t="s">
        <v>131</v>
      </c>
    </row>
    <row r="40" spans="1:7" x14ac:dyDescent="0.55000000000000004">
      <c r="A40" s="5" t="s">
        <v>40</v>
      </c>
      <c r="C40" s="8">
        <f>C39/C27*100</f>
        <v>32.029985094189307</v>
      </c>
    </row>
    <row r="42" spans="1:7" x14ac:dyDescent="0.55000000000000004">
      <c r="A42" s="5" t="s">
        <v>115</v>
      </c>
    </row>
    <row r="43" spans="1:7" x14ac:dyDescent="0.55000000000000004">
      <c r="A43" t="s">
        <v>116</v>
      </c>
      <c r="B43" s="9">
        <v>2829</v>
      </c>
    </row>
    <row r="44" spans="1:7" x14ac:dyDescent="0.55000000000000004">
      <c r="A44" t="s">
        <v>117</v>
      </c>
      <c r="B44" s="9">
        <v>2101</v>
      </c>
    </row>
    <row r="45" spans="1:7" x14ac:dyDescent="0.55000000000000004">
      <c r="A45" t="s">
        <v>118</v>
      </c>
      <c r="B45" s="9">
        <v>44393</v>
      </c>
    </row>
    <row r="46" spans="1:7" x14ac:dyDescent="0.55000000000000004">
      <c r="A46" t="s">
        <v>119</v>
      </c>
      <c r="B46" s="9">
        <v>2162</v>
      </c>
    </row>
    <row r="47" spans="1:7" x14ac:dyDescent="0.55000000000000004">
      <c r="A47" t="s">
        <v>120</v>
      </c>
      <c r="B47" s="9">
        <v>4790</v>
      </c>
    </row>
    <row r="48" spans="1:7" x14ac:dyDescent="0.55000000000000004">
      <c r="A48" t="s">
        <v>121</v>
      </c>
      <c r="B48" s="9">
        <v>4845</v>
      </c>
    </row>
    <row r="49" spans="1:5" x14ac:dyDescent="0.55000000000000004">
      <c r="A49" t="s">
        <v>122</v>
      </c>
      <c r="B49" s="9">
        <v>9222</v>
      </c>
    </row>
    <row r="50" spans="1:5" x14ac:dyDescent="0.55000000000000004">
      <c r="A50" t="s">
        <v>123</v>
      </c>
      <c r="B50" s="9">
        <v>111898</v>
      </c>
    </row>
    <row r="51" spans="1:5" x14ac:dyDescent="0.55000000000000004">
      <c r="A51" t="s">
        <v>124</v>
      </c>
      <c r="B51" s="9">
        <v>2418</v>
      </c>
    </row>
    <row r="52" spans="1:5" x14ac:dyDescent="0.55000000000000004">
      <c r="A52" t="s">
        <v>125</v>
      </c>
      <c r="B52" s="9">
        <v>3328</v>
      </c>
    </row>
    <row r="53" spans="1:5" x14ac:dyDescent="0.55000000000000004">
      <c r="A53" t="s">
        <v>126</v>
      </c>
      <c r="B53" s="9">
        <v>5645</v>
      </c>
    </row>
    <row r="54" spans="1:5" x14ac:dyDescent="0.55000000000000004">
      <c r="A54" t="s">
        <v>127</v>
      </c>
      <c r="B54" s="9">
        <v>3000</v>
      </c>
    </row>
    <row r="55" spans="1:5" x14ac:dyDescent="0.55000000000000004">
      <c r="A55" t="s">
        <v>128</v>
      </c>
      <c r="B55" s="9">
        <v>4258</v>
      </c>
    </row>
    <row r="56" spans="1:5" x14ac:dyDescent="0.55000000000000004">
      <c r="A56" t="s">
        <v>129</v>
      </c>
      <c r="B56" s="9">
        <v>2127</v>
      </c>
    </row>
    <row r="58" spans="1:5" x14ac:dyDescent="0.55000000000000004">
      <c r="A58" s="5" t="s">
        <v>41</v>
      </c>
      <c r="B58" s="9">
        <f>SUM(B43:B56)</f>
        <v>203016</v>
      </c>
      <c r="E58" s="5" t="s">
        <v>130</v>
      </c>
    </row>
    <row r="59" spans="1:5" x14ac:dyDescent="0.55000000000000004">
      <c r="A59" s="5" t="s">
        <v>40</v>
      </c>
      <c r="B59" s="8">
        <f>B58/C27*100</f>
        <v>32.609030865308007</v>
      </c>
    </row>
    <row r="61" spans="1:5" x14ac:dyDescent="0.55000000000000004">
      <c r="A61" s="5" t="s">
        <v>42</v>
      </c>
      <c r="B61" s="9">
        <f>B45+B50</f>
        <v>156291</v>
      </c>
      <c r="E61" s="5" t="s">
        <v>130</v>
      </c>
    </row>
    <row r="62" spans="1:5" x14ac:dyDescent="0.55000000000000004">
      <c r="A62" s="5" t="s">
        <v>40</v>
      </c>
      <c r="B62" s="8">
        <f>B61/C27*100</f>
        <v>25.103923055177201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1E2DE-F2C6-4723-AA54-1B9AE28D4EC9}">
  <dimension ref="A1:I7"/>
  <sheetViews>
    <sheetView workbookViewId="0">
      <selection activeCell="A7" sqref="A7"/>
    </sheetView>
  </sheetViews>
  <sheetFormatPr defaultRowHeight="14.4" x14ac:dyDescent="0.55000000000000004"/>
  <cols>
    <col min="1" max="1" width="23.578125" customWidth="1"/>
  </cols>
  <sheetData>
    <row r="1" spans="1:9" ht="25.8" x14ac:dyDescent="0.95">
      <c r="A1" s="4" t="s">
        <v>82</v>
      </c>
    </row>
    <row r="3" spans="1:9" ht="18.3" x14ac:dyDescent="0.7">
      <c r="A3" s="10" t="s">
        <v>83</v>
      </c>
      <c r="B3" s="11"/>
      <c r="C3" s="11"/>
      <c r="D3" s="11"/>
      <c r="E3" s="11"/>
      <c r="F3" s="11"/>
      <c r="G3" s="11"/>
      <c r="H3" s="11"/>
      <c r="I3" s="11"/>
    </row>
    <row r="4" spans="1:9" x14ac:dyDescent="0.55000000000000004">
      <c r="A4" t="s">
        <v>84</v>
      </c>
    </row>
    <row r="6" spans="1:9" x14ac:dyDescent="0.55000000000000004">
      <c r="A6" s="7" t="s">
        <v>39</v>
      </c>
      <c r="C6">
        <v>35.39</v>
      </c>
      <c r="D6">
        <v>36.090000000000003</v>
      </c>
    </row>
    <row r="7" spans="1:9" x14ac:dyDescent="0.55000000000000004">
      <c r="A7" s="5" t="s">
        <v>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6FAD3-6193-48EB-9338-3BF3C8CEDC78}">
  <dimension ref="A1:I97"/>
  <sheetViews>
    <sheetView topLeftCell="A50" workbookViewId="0">
      <selection activeCell="C73" sqref="C73"/>
    </sheetView>
  </sheetViews>
  <sheetFormatPr defaultRowHeight="14.4" x14ac:dyDescent="0.55000000000000004"/>
  <cols>
    <col min="1" max="1" width="25.05078125" customWidth="1"/>
    <col min="3" max="3" width="9.15625" bestFit="1" customWidth="1"/>
    <col min="5" max="5" width="14.26171875" customWidth="1"/>
  </cols>
  <sheetData>
    <row r="1" spans="1:9" ht="25.8" x14ac:dyDescent="0.95">
      <c r="A1" s="4" t="s">
        <v>52</v>
      </c>
    </row>
    <row r="3" spans="1:9" ht="18.3" x14ac:dyDescent="0.7">
      <c r="A3" s="10" t="s">
        <v>58</v>
      </c>
      <c r="B3" s="11"/>
      <c r="C3" s="11"/>
      <c r="D3" s="11"/>
      <c r="E3" s="11"/>
      <c r="F3" s="11"/>
      <c r="G3" s="11"/>
      <c r="H3" s="11"/>
      <c r="I3" s="11"/>
    </row>
    <row r="4" spans="1:9" x14ac:dyDescent="0.55000000000000004">
      <c r="A4" t="s">
        <v>67</v>
      </c>
    </row>
    <row r="6" spans="1:9" x14ac:dyDescent="0.55000000000000004">
      <c r="A6" s="5" t="s">
        <v>63</v>
      </c>
      <c r="E6" s="5" t="s">
        <v>64</v>
      </c>
      <c r="F6" t="s">
        <v>142</v>
      </c>
    </row>
    <row r="7" spans="1:9" x14ac:dyDescent="0.55000000000000004">
      <c r="A7" s="6" t="s">
        <v>36</v>
      </c>
      <c r="B7" s="6" t="s">
        <v>31</v>
      </c>
      <c r="C7" s="6" t="s">
        <v>32</v>
      </c>
      <c r="E7" s="6" t="s">
        <v>66</v>
      </c>
      <c r="F7" s="6" t="s">
        <v>31</v>
      </c>
      <c r="G7" s="6" t="s">
        <v>32</v>
      </c>
    </row>
    <row r="8" spans="1:9" x14ac:dyDescent="0.55000000000000004">
      <c r="A8" t="s">
        <v>62</v>
      </c>
      <c r="B8">
        <v>2</v>
      </c>
      <c r="C8" s="9">
        <v>495171</v>
      </c>
      <c r="E8" t="s">
        <v>62</v>
      </c>
      <c r="F8">
        <v>2</v>
      </c>
      <c r="G8" s="9">
        <v>495171</v>
      </c>
    </row>
    <row r="9" spans="1:9" x14ac:dyDescent="0.55000000000000004">
      <c r="A9" t="s">
        <v>59</v>
      </c>
      <c r="B9">
        <v>6</v>
      </c>
      <c r="C9" s="9">
        <v>221416</v>
      </c>
      <c r="E9" t="s">
        <v>59</v>
      </c>
      <c r="F9">
        <v>6</v>
      </c>
      <c r="G9" s="9">
        <v>221416</v>
      </c>
    </row>
    <row r="10" spans="1:9" x14ac:dyDescent="0.55000000000000004">
      <c r="A10" t="s">
        <v>49</v>
      </c>
      <c r="B10">
        <v>41</v>
      </c>
      <c r="C10" s="9">
        <v>375644</v>
      </c>
      <c r="E10" t="s">
        <v>49</v>
      </c>
      <c r="F10">
        <v>41</v>
      </c>
      <c r="G10" s="9">
        <v>375644</v>
      </c>
    </row>
    <row r="11" spans="1:9" x14ac:dyDescent="0.55000000000000004">
      <c r="A11" t="s">
        <v>60</v>
      </c>
      <c r="B11">
        <v>170</v>
      </c>
      <c r="C11" s="9">
        <v>315677</v>
      </c>
      <c r="E11" t="s">
        <v>50</v>
      </c>
      <c r="F11">
        <v>52</v>
      </c>
      <c r="G11" s="9">
        <v>154832</v>
      </c>
    </row>
    <row r="12" spans="1:9" x14ac:dyDescent="0.55000000000000004">
      <c r="E12" t="s">
        <v>65</v>
      </c>
      <c r="F12">
        <v>118</v>
      </c>
      <c r="G12" s="9">
        <v>160845</v>
      </c>
    </row>
    <row r="14" spans="1:9" x14ac:dyDescent="0.55000000000000004">
      <c r="A14" s="7" t="s">
        <v>37</v>
      </c>
      <c r="C14" s="9">
        <f>SUM(C16:C17)</f>
        <v>3249279</v>
      </c>
    </row>
    <row r="15" spans="1:9" x14ac:dyDescent="0.55000000000000004">
      <c r="C15" s="9"/>
    </row>
    <row r="16" spans="1:9" x14ac:dyDescent="0.55000000000000004">
      <c r="A16" s="7" t="s">
        <v>54</v>
      </c>
      <c r="C16" s="9">
        <v>1841371</v>
      </c>
    </row>
    <row r="17" spans="1:9" x14ac:dyDescent="0.55000000000000004">
      <c r="A17" s="7" t="s">
        <v>39</v>
      </c>
      <c r="C17" s="9">
        <v>1407908</v>
      </c>
    </row>
    <row r="18" spans="1:9" x14ac:dyDescent="0.55000000000000004">
      <c r="A18" s="5" t="s">
        <v>55</v>
      </c>
      <c r="C18" s="8">
        <f>C17/C14*100</f>
        <v>43.329858716349072</v>
      </c>
    </row>
    <row r="19" spans="1:9" x14ac:dyDescent="0.55000000000000004">
      <c r="A19" s="5"/>
      <c r="C19" s="8"/>
    </row>
    <row r="20" spans="1:9" x14ac:dyDescent="0.55000000000000004">
      <c r="A20" s="5" t="s">
        <v>41</v>
      </c>
      <c r="C20" s="9">
        <f>SUM(G8:G11)</f>
        <v>1247063</v>
      </c>
    </row>
    <row r="21" spans="1:9" x14ac:dyDescent="0.55000000000000004">
      <c r="A21" s="5" t="s">
        <v>40</v>
      </c>
      <c r="C21" s="8">
        <f>C20/C14*100</f>
        <v>38.379683615965263</v>
      </c>
    </row>
    <row r="22" spans="1:9" x14ac:dyDescent="0.55000000000000004">
      <c r="A22" s="5"/>
      <c r="C22" s="8"/>
    </row>
    <row r="23" spans="1:9" x14ac:dyDescent="0.55000000000000004">
      <c r="A23" s="5" t="s">
        <v>42</v>
      </c>
      <c r="C23" s="9">
        <f>SUM(C8:C9)</f>
        <v>716587</v>
      </c>
    </row>
    <row r="24" spans="1:9" x14ac:dyDescent="0.55000000000000004">
      <c r="A24" s="5" t="s">
        <v>40</v>
      </c>
      <c r="C24" s="8">
        <f>C23/C14*100</f>
        <v>22.053723302923512</v>
      </c>
    </row>
    <row r="25" spans="1:9" x14ac:dyDescent="0.55000000000000004">
      <c r="A25" s="5"/>
      <c r="C25" s="8"/>
    </row>
    <row r="26" spans="1:9" x14ac:dyDescent="0.55000000000000004">
      <c r="A26" s="5" t="s">
        <v>75</v>
      </c>
      <c r="C26" s="9">
        <f>C8</f>
        <v>495171</v>
      </c>
    </row>
    <row r="27" spans="1:9" x14ac:dyDescent="0.55000000000000004">
      <c r="A27" s="5" t="s">
        <v>40</v>
      </c>
      <c r="C27" s="8">
        <f>C26/C14*100</f>
        <v>15.239411574075357</v>
      </c>
    </row>
    <row r="30" spans="1:9" ht="18.3" x14ac:dyDescent="0.7">
      <c r="A30" s="10" t="s">
        <v>53</v>
      </c>
      <c r="B30" s="11"/>
      <c r="C30" s="11"/>
      <c r="D30" s="11"/>
      <c r="E30" s="11"/>
      <c r="F30" s="11"/>
      <c r="G30" s="11"/>
      <c r="H30" s="11"/>
      <c r="I30" s="11"/>
    </row>
    <row r="31" spans="1:9" x14ac:dyDescent="0.55000000000000004">
      <c r="A31" t="s">
        <v>61</v>
      </c>
    </row>
    <row r="33" spans="1:7" x14ac:dyDescent="0.55000000000000004">
      <c r="A33" s="5" t="s">
        <v>63</v>
      </c>
      <c r="E33" s="5" t="s">
        <v>64</v>
      </c>
      <c r="F33" t="s">
        <v>142</v>
      </c>
    </row>
    <row r="34" spans="1:7" x14ac:dyDescent="0.55000000000000004">
      <c r="A34" s="6" t="s">
        <v>36</v>
      </c>
      <c r="B34" s="6" t="s">
        <v>31</v>
      </c>
      <c r="C34" s="6" t="s">
        <v>32</v>
      </c>
      <c r="E34" s="6" t="s">
        <v>66</v>
      </c>
      <c r="F34" s="6" t="s">
        <v>31</v>
      </c>
      <c r="G34" s="6" t="s">
        <v>32</v>
      </c>
    </row>
    <row r="35" spans="1:7" x14ac:dyDescent="0.55000000000000004">
      <c r="A35" t="s">
        <v>62</v>
      </c>
      <c r="B35">
        <v>2</v>
      </c>
      <c r="C35" s="9">
        <v>689718</v>
      </c>
      <c r="E35" t="s">
        <v>62</v>
      </c>
      <c r="F35">
        <v>2</v>
      </c>
      <c r="G35" s="9">
        <v>689718</v>
      </c>
    </row>
    <row r="36" spans="1:7" x14ac:dyDescent="0.55000000000000004">
      <c r="A36" t="s">
        <v>59</v>
      </c>
      <c r="B36">
        <v>10</v>
      </c>
      <c r="C36" s="9">
        <v>353348</v>
      </c>
      <c r="E36" t="s">
        <v>59</v>
      </c>
      <c r="F36">
        <v>10</v>
      </c>
      <c r="G36" s="9">
        <v>353348</v>
      </c>
    </row>
    <row r="37" spans="1:7" x14ac:dyDescent="0.55000000000000004">
      <c r="A37" t="s">
        <v>49</v>
      </c>
      <c r="B37">
        <v>34</v>
      </c>
      <c r="C37" s="9">
        <v>343008</v>
      </c>
      <c r="E37" t="s">
        <v>49</v>
      </c>
      <c r="F37">
        <v>34</v>
      </c>
      <c r="G37" s="9">
        <v>343008</v>
      </c>
    </row>
    <row r="38" spans="1:7" x14ac:dyDescent="0.55000000000000004">
      <c r="A38" t="s">
        <v>60</v>
      </c>
      <c r="B38">
        <v>186</v>
      </c>
      <c r="C38" s="9">
        <v>363488</v>
      </c>
      <c r="E38" t="s">
        <v>50</v>
      </c>
      <c r="F38">
        <v>65</v>
      </c>
      <c r="G38" s="9">
        <v>196860</v>
      </c>
    </row>
    <row r="39" spans="1:7" x14ac:dyDescent="0.55000000000000004">
      <c r="E39" t="s">
        <v>65</v>
      </c>
      <c r="F39">
        <v>121</v>
      </c>
      <c r="G39" s="9">
        <v>166628</v>
      </c>
    </row>
    <row r="41" spans="1:7" x14ac:dyDescent="0.55000000000000004">
      <c r="A41" s="7" t="s">
        <v>37</v>
      </c>
      <c r="C41">
        <f>SUM(C43:C44)</f>
        <v>3754723</v>
      </c>
    </row>
    <row r="43" spans="1:7" x14ac:dyDescent="0.55000000000000004">
      <c r="A43" s="7" t="s">
        <v>54</v>
      </c>
      <c r="C43">
        <v>2005161</v>
      </c>
    </row>
    <row r="44" spans="1:7" x14ac:dyDescent="0.55000000000000004">
      <c r="A44" s="7" t="s">
        <v>39</v>
      </c>
      <c r="C44">
        <v>1749562</v>
      </c>
    </row>
    <row r="45" spans="1:7" x14ac:dyDescent="0.55000000000000004">
      <c r="A45" s="5" t="s">
        <v>55</v>
      </c>
      <c r="C45" s="8">
        <f>C44/C41*100</f>
        <v>46.596300179800217</v>
      </c>
    </row>
    <row r="46" spans="1:7" x14ac:dyDescent="0.55000000000000004">
      <c r="A46" s="5"/>
      <c r="B46" s="8"/>
    </row>
    <row r="47" spans="1:7" x14ac:dyDescent="0.55000000000000004">
      <c r="A47" s="5" t="s">
        <v>41</v>
      </c>
      <c r="B47" s="8"/>
      <c r="C47" s="9">
        <f>SUM(G35:G38)</f>
        <v>1582934</v>
      </c>
    </row>
    <row r="48" spans="1:7" x14ac:dyDescent="0.55000000000000004">
      <c r="A48" s="5" t="s">
        <v>40</v>
      </c>
      <c r="B48" s="8"/>
      <c r="C48" s="8">
        <f>C47/C41*100</f>
        <v>42.158476137920161</v>
      </c>
    </row>
    <row r="49" spans="1:9" x14ac:dyDescent="0.55000000000000004">
      <c r="A49" s="5"/>
      <c r="B49" s="8"/>
      <c r="C49" s="8"/>
    </row>
    <row r="50" spans="1:9" x14ac:dyDescent="0.55000000000000004">
      <c r="A50" s="5" t="s">
        <v>42</v>
      </c>
      <c r="B50" s="8"/>
      <c r="C50" s="9">
        <f>SUM(C35:C36)</f>
        <v>1043066</v>
      </c>
    </row>
    <row r="51" spans="1:9" x14ac:dyDescent="0.55000000000000004">
      <c r="A51" s="5" t="s">
        <v>40</v>
      </c>
      <c r="B51" s="8"/>
      <c r="C51" s="8">
        <f>C50/C41*100</f>
        <v>27.78010521681626</v>
      </c>
    </row>
    <row r="52" spans="1:9" x14ac:dyDescent="0.55000000000000004">
      <c r="A52" s="5"/>
      <c r="B52" s="8"/>
      <c r="C52" s="8"/>
    </row>
    <row r="53" spans="1:9" x14ac:dyDescent="0.55000000000000004">
      <c r="A53" s="5" t="s">
        <v>75</v>
      </c>
      <c r="B53" s="8"/>
      <c r="C53" s="9">
        <f>C35</f>
        <v>689718</v>
      </c>
    </row>
    <row r="54" spans="1:9" x14ac:dyDescent="0.55000000000000004">
      <c r="A54" s="5" t="s">
        <v>40</v>
      </c>
      <c r="B54" s="8"/>
      <c r="C54" s="8">
        <f>C53/C41*100</f>
        <v>18.369344423010698</v>
      </c>
    </row>
    <row r="56" spans="1:9" ht="18.3" x14ac:dyDescent="0.7">
      <c r="A56" s="10" t="s">
        <v>56</v>
      </c>
      <c r="B56" s="11"/>
      <c r="C56" s="11"/>
      <c r="D56" s="11"/>
      <c r="E56" s="11"/>
      <c r="F56" s="11"/>
      <c r="G56" s="11"/>
      <c r="H56" s="11"/>
      <c r="I56" s="11"/>
    </row>
    <row r="57" spans="1:9" x14ac:dyDescent="0.55000000000000004">
      <c r="A57" t="s">
        <v>57</v>
      </c>
    </row>
    <row r="58" spans="1:9" x14ac:dyDescent="0.55000000000000004">
      <c r="A58" t="s">
        <v>68</v>
      </c>
    </row>
    <row r="60" spans="1:9" x14ac:dyDescent="0.55000000000000004">
      <c r="A60" s="5" t="s">
        <v>63</v>
      </c>
      <c r="E60" s="5" t="s">
        <v>64</v>
      </c>
      <c r="F60" t="s">
        <v>142</v>
      </c>
    </row>
    <row r="61" spans="1:9" x14ac:dyDescent="0.55000000000000004">
      <c r="A61" s="6" t="s">
        <v>36</v>
      </c>
      <c r="B61" s="6" t="s">
        <v>31</v>
      </c>
      <c r="C61" s="6" t="s">
        <v>32</v>
      </c>
      <c r="E61" s="6" t="s">
        <v>66</v>
      </c>
      <c r="F61" s="6" t="s">
        <v>31</v>
      </c>
      <c r="G61" s="6" t="s">
        <v>32</v>
      </c>
    </row>
    <row r="62" spans="1:9" x14ac:dyDescent="0.55000000000000004">
      <c r="A62" t="s">
        <v>69</v>
      </c>
      <c r="B62">
        <v>4</v>
      </c>
      <c r="C62" s="9">
        <v>1020616</v>
      </c>
      <c r="E62" t="s">
        <v>69</v>
      </c>
      <c r="F62">
        <v>4</v>
      </c>
      <c r="G62" s="9">
        <v>1020616</v>
      </c>
    </row>
    <row r="63" spans="1:9" x14ac:dyDescent="0.55000000000000004">
      <c r="A63" t="s">
        <v>70</v>
      </c>
      <c r="B63">
        <v>10</v>
      </c>
      <c r="C63" s="9">
        <v>350793</v>
      </c>
      <c r="E63" t="s">
        <v>70</v>
      </c>
      <c r="F63">
        <v>10</v>
      </c>
      <c r="G63" s="9">
        <v>350793</v>
      </c>
    </row>
    <row r="64" spans="1:9" x14ac:dyDescent="0.55000000000000004">
      <c r="A64" t="s">
        <v>71</v>
      </c>
      <c r="B64">
        <v>18</v>
      </c>
      <c r="C64" s="9">
        <v>261502</v>
      </c>
      <c r="E64" t="s">
        <v>71</v>
      </c>
      <c r="F64">
        <v>18</v>
      </c>
      <c r="G64" s="9">
        <v>261502</v>
      </c>
    </row>
    <row r="65" spans="1:7" x14ac:dyDescent="0.55000000000000004">
      <c r="A65" t="s">
        <v>72</v>
      </c>
      <c r="B65">
        <v>21</v>
      </c>
      <c r="C65" s="9">
        <v>152046</v>
      </c>
      <c r="E65" t="s">
        <v>72</v>
      </c>
      <c r="F65">
        <v>21</v>
      </c>
      <c r="G65" s="9">
        <v>152046</v>
      </c>
    </row>
    <row r="66" spans="1:7" x14ac:dyDescent="0.55000000000000004">
      <c r="A66" t="s">
        <v>60</v>
      </c>
      <c r="B66">
        <v>162</v>
      </c>
      <c r="C66" s="9">
        <v>334264</v>
      </c>
      <c r="E66" t="s">
        <v>50</v>
      </c>
      <c r="F66">
        <v>64</v>
      </c>
      <c r="G66" s="9">
        <v>198359</v>
      </c>
    </row>
    <row r="67" spans="1:7" x14ac:dyDescent="0.55000000000000004">
      <c r="C67" s="9"/>
      <c r="E67" t="s">
        <v>65</v>
      </c>
      <c r="F67">
        <v>98</v>
      </c>
      <c r="G67" s="9">
        <v>135905</v>
      </c>
    </row>
    <row r="69" spans="1:7" x14ac:dyDescent="0.55000000000000004">
      <c r="A69" s="7" t="s">
        <v>37</v>
      </c>
      <c r="C69" s="9">
        <f>SUM(C71:C72)</f>
        <v>4287445</v>
      </c>
    </row>
    <row r="70" spans="1:7" x14ac:dyDescent="0.55000000000000004">
      <c r="C70" s="9"/>
    </row>
    <row r="71" spans="1:7" x14ac:dyDescent="0.55000000000000004">
      <c r="A71" s="7" t="s">
        <v>54</v>
      </c>
      <c r="C71" s="9">
        <v>2168224</v>
      </c>
    </row>
    <row r="72" spans="1:7" x14ac:dyDescent="0.55000000000000004">
      <c r="A72" s="7" t="s">
        <v>39</v>
      </c>
      <c r="C72" s="9">
        <v>2119221</v>
      </c>
    </row>
    <row r="73" spans="1:7" x14ac:dyDescent="0.55000000000000004">
      <c r="A73" s="5" t="s">
        <v>55</v>
      </c>
      <c r="C73" s="8">
        <f>C72/C69*100</f>
        <v>49.428529112326807</v>
      </c>
    </row>
    <row r="74" spans="1:7" x14ac:dyDescent="0.55000000000000004">
      <c r="A74" s="5"/>
      <c r="B74" s="8"/>
    </row>
    <row r="75" spans="1:7" x14ac:dyDescent="0.55000000000000004">
      <c r="A75" s="5" t="s">
        <v>41</v>
      </c>
      <c r="B75" s="8"/>
      <c r="C75" s="9">
        <f>SUM(G62:G66)</f>
        <v>1983316</v>
      </c>
    </row>
    <row r="76" spans="1:7" x14ac:dyDescent="0.55000000000000004">
      <c r="A76" s="5" t="s">
        <v>40</v>
      </c>
      <c r="B76" s="8"/>
      <c r="C76" s="8">
        <f>C75/C69*100</f>
        <v>46.258692531332763</v>
      </c>
    </row>
    <row r="77" spans="1:7" x14ac:dyDescent="0.55000000000000004">
      <c r="A77" s="5"/>
      <c r="B77" s="8"/>
      <c r="C77" s="8"/>
    </row>
    <row r="78" spans="1:7" x14ac:dyDescent="0.55000000000000004">
      <c r="A78" s="5" t="s">
        <v>42</v>
      </c>
      <c r="B78" s="8"/>
      <c r="C78" s="9">
        <f>SUM(C62:C63)</f>
        <v>1371409</v>
      </c>
    </row>
    <row r="79" spans="1:7" x14ac:dyDescent="0.55000000000000004">
      <c r="A79" s="5" t="s">
        <v>40</v>
      </c>
      <c r="B79" s="8"/>
      <c r="C79" s="8">
        <f>C78/C69*100</f>
        <v>31.986626067506407</v>
      </c>
    </row>
    <row r="80" spans="1:7" x14ac:dyDescent="0.55000000000000004">
      <c r="A80" s="5"/>
      <c r="B80" s="8"/>
      <c r="C80" s="8"/>
    </row>
    <row r="81" spans="1:9" x14ac:dyDescent="0.55000000000000004">
      <c r="A81" s="5" t="s">
        <v>143</v>
      </c>
      <c r="B81" s="8"/>
      <c r="C81" s="9">
        <f>C63</f>
        <v>350793</v>
      </c>
    </row>
    <row r="82" spans="1:9" x14ac:dyDescent="0.55000000000000004">
      <c r="A82" s="5" t="s">
        <v>40</v>
      </c>
      <c r="C82" s="8">
        <f>C81/C69*100</f>
        <v>8.1818658898248255</v>
      </c>
    </row>
    <row r="84" spans="1:9" ht="18.3" x14ac:dyDescent="0.7">
      <c r="A84" s="10" t="s">
        <v>73</v>
      </c>
      <c r="B84" s="11"/>
      <c r="C84" s="11"/>
      <c r="D84" s="11"/>
      <c r="E84" s="11"/>
      <c r="F84" s="11"/>
      <c r="G84" s="11"/>
      <c r="H84" s="11"/>
      <c r="I84" s="11"/>
    </row>
    <row r="85" spans="1:9" x14ac:dyDescent="0.55000000000000004">
      <c r="A85" t="s">
        <v>74</v>
      </c>
    </row>
    <row r="86" spans="1:9" x14ac:dyDescent="0.55000000000000004">
      <c r="A86" t="s">
        <v>76</v>
      </c>
    </row>
    <row r="88" spans="1:9" x14ac:dyDescent="0.55000000000000004">
      <c r="A88" s="7" t="s">
        <v>39</v>
      </c>
      <c r="B88" s="14" t="s">
        <v>77</v>
      </c>
      <c r="C88" s="6" t="s">
        <v>78</v>
      </c>
      <c r="D88" s="6" t="s">
        <v>79</v>
      </c>
      <c r="E88" s="6" t="s">
        <v>80</v>
      </c>
      <c r="F88" s="6" t="s">
        <v>81</v>
      </c>
    </row>
    <row r="89" spans="1:9" x14ac:dyDescent="0.55000000000000004">
      <c r="A89" s="7"/>
      <c r="B89" s="13">
        <v>1865</v>
      </c>
      <c r="C89" s="9">
        <v>520663</v>
      </c>
      <c r="D89" s="9">
        <v>1298560</v>
      </c>
      <c r="E89" s="9">
        <v>1819223</v>
      </c>
      <c r="F89" s="8">
        <f>C89/E89*100</f>
        <v>28.620075713642585</v>
      </c>
      <c r="H89" s="9"/>
    </row>
    <row r="90" spans="1:9" x14ac:dyDescent="0.55000000000000004">
      <c r="A90" s="7"/>
      <c r="B90" s="13">
        <v>1875</v>
      </c>
      <c r="C90" s="9">
        <v>725545</v>
      </c>
      <c r="D90" s="9">
        <v>1350426</v>
      </c>
      <c r="E90" s="9">
        <v>2075971</v>
      </c>
      <c r="F90" s="8">
        <f t="shared" ref="F90:F97" si="0">C90/E90*100</f>
        <v>34.949669335457962</v>
      </c>
      <c r="H90" s="9"/>
    </row>
    <row r="91" spans="1:9" x14ac:dyDescent="0.55000000000000004">
      <c r="A91" s="5"/>
      <c r="B91" s="13">
        <v>1885</v>
      </c>
      <c r="C91" s="9">
        <v>1041765</v>
      </c>
      <c r="D91" s="9">
        <v>1456032</v>
      </c>
      <c r="E91" s="9">
        <v>2497797</v>
      </c>
      <c r="F91" s="8">
        <f t="shared" si="0"/>
        <v>41.707352519039773</v>
      </c>
      <c r="H91" s="9"/>
    </row>
    <row r="92" spans="1:9" x14ac:dyDescent="0.55000000000000004">
      <c r="B92" s="13">
        <v>1895</v>
      </c>
      <c r="C92" s="9">
        <v>1223407</v>
      </c>
      <c r="D92" s="9">
        <v>1464577</v>
      </c>
      <c r="E92" s="9">
        <v>2687984</v>
      </c>
      <c r="F92" s="8">
        <f t="shared" si="0"/>
        <v>45.513924190024937</v>
      </c>
      <c r="H92" s="9"/>
    </row>
    <row r="93" spans="1:9" x14ac:dyDescent="0.55000000000000004">
      <c r="B93" s="13">
        <v>1907</v>
      </c>
      <c r="C93" s="9">
        <v>1392026</v>
      </c>
      <c r="D93" s="9">
        <v>1828505</v>
      </c>
      <c r="E93" s="9">
        <v>3220531</v>
      </c>
      <c r="F93" s="8">
        <f t="shared" si="0"/>
        <v>43.223493268656625</v>
      </c>
      <c r="H93" s="9"/>
    </row>
    <row r="94" spans="1:9" x14ac:dyDescent="0.55000000000000004">
      <c r="B94" s="13">
        <v>1920</v>
      </c>
      <c r="C94" s="9">
        <v>1723552</v>
      </c>
      <c r="D94" s="9">
        <v>1991335</v>
      </c>
      <c r="E94" s="9">
        <v>3714887</v>
      </c>
      <c r="F94" s="8">
        <f t="shared" si="0"/>
        <v>46.395812308692022</v>
      </c>
      <c r="H94" s="9"/>
    </row>
    <row r="95" spans="1:9" x14ac:dyDescent="0.55000000000000004">
      <c r="B95" s="13">
        <v>1930</v>
      </c>
      <c r="C95" s="9">
        <v>2119221</v>
      </c>
      <c r="D95" s="9">
        <v>2168224</v>
      </c>
      <c r="E95" s="9">
        <v>4287445</v>
      </c>
      <c r="F95" s="8">
        <f t="shared" si="0"/>
        <v>49.428529112326807</v>
      </c>
      <c r="H95" s="9"/>
    </row>
    <row r="96" spans="1:9" x14ac:dyDescent="0.55000000000000004">
      <c r="B96" s="13">
        <v>1940</v>
      </c>
      <c r="C96" s="9">
        <v>2639311</v>
      </c>
      <c r="D96" s="9">
        <v>2384228</v>
      </c>
      <c r="E96" s="9">
        <v>5023539</v>
      </c>
      <c r="F96" s="8">
        <f t="shared" si="0"/>
        <v>52.538877472634326</v>
      </c>
      <c r="H96" s="9"/>
    </row>
    <row r="97" spans="2:8" x14ac:dyDescent="0.55000000000000004">
      <c r="B97" s="13">
        <v>1952</v>
      </c>
      <c r="C97" s="9">
        <v>3573122</v>
      </c>
      <c r="D97" s="9">
        <v>2359873</v>
      </c>
      <c r="E97" s="9">
        <v>5932995</v>
      </c>
      <c r="F97" s="8">
        <f t="shared" si="0"/>
        <v>60.224591458445516</v>
      </c>
      <c r="H97" s="9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713E7-C1AC-4A92-946A-0C90AC7905F8}">
  <dimension ref="A1:E62"/>
  <sheetViews>
    <sheetView tabSelected="1" workbookViewId="0">
      <selection activeCell="G8" sqref="G8"/>
    </sheetView>
  </sheetViews>
  <sheetFormatPr defaultRowHeight="14.4" x14ac:dyDescent="0.55000000000000004"/>
  <cols>
    <col min="1" max="1" width="14.5234375" customWidth="1"/>
  </cols>
  <sheetData>
    <row r="1" spans="1:5" x14ac:dyDescent="0.55000000000000004">
      <c r="A1" s="17" t="s">
        <v>145</v>
      </c>
      <c r="B1" s="11"/>
      <c r="C1" s="11"/>
      <c r="D1" s="11"/>
    </row>
    <row r="3" spans="1:5" x14ac:dyDescent="0.55000000000000004">
      <c r="A3" t="s">
        <v>33</v>
      </c>
      <c r="B3" s="16">
        <v>1869</v>
      </c>
      <c r="D3" s="8">
        <v>32.799999999999997</v>
      </c>
    </row>
    <row r="4" spans="1:5" x14ac:dyDescent="0.55000000000000004">
      <c r="A4" t="s">
        <v>33</v>
      </c>
      <c r="B4" s="16">
        <v>1895</v>
      </c>
      <c r="D4" s="8">
        <v>41.8</v>
      </c>
    </row>
    <row r="5" spans="1:5" x14ac:dyDescent="0.55000000000000004">
      <c r="A5" t="s">
        <v>33</v>
      </c>
      <c r="B5" s="16">
        <v>1914</v>
      </c>
      <c r="D5" s="8">
        <v>57.4</v>
      </c>
    </row>
    <row r="6" spans="1:5" x14ac:dyDescent="0.55000000000000004">
      <c r="B6" s="16"/>
      <c r="D6" s="8"/>
    </row>
    <row r="7" spans="1:5" x14ac:dyDescent="0.55000000000000004">
      <c r="A7" t="s">
        <v>102</v>
      </c>
      <c r="B7" s="16">
        <v>1940</v>
      </c>
      <c r="D7" s="8">
        <v>31.2</v>
      </c>
      <c r="E7" t="s">
        <v>151</v>
      </c>
    </row>
    <row r="8" spans="1:5" x14ac:dyDescent="0.55000000000000004">
      <c r="B8" s="16"/>
      <c r="D8" s="8"/>
    </row>
    <row r="9" spans="1:5" x14ac:dyDescent="0.55000000000000004">
      <c r="A9" t="s">
        <v>86</v>
      </c>
      <c r="B9" s="16">
        <v>1927</v>
      </c>
      <c r="D9" s="8">
        <v>18.8</v>
      </c>
    </row>
    <row r="10" spans="1:5" x14ac:dyDescent="0.55000000000000004">
      <c r="B10" s="16"/>
      <c r="D10" s="8"/>
    </row>
    <row r="11" spans="1:5" x14ac:dyDescent="0.55000000000000004">
      <c r="A11" t="s">
        <v>92</v>
      </c>
      <c r="B11" s="16">
        <v>1930</v>
      </c>
      <c r="D11" s="8">
        <v>34.6</v>
      </c>
    </row>
    <row r="12" spans="1:5" x14ac:dyDescent="0.55000000000000004">
      <c r="A12" t="s">
        <v>92</v>
      </c>
      <c r="B12" s="16">
        <v>1940</v>
      </c>
      <c r="D12" s="8">
        <v>36.9</v>
      </c>
    </row>
    <row r="13" spans="1:5" x14ac:dyDescent="0.55000000000000004">
      <c r="B13" s="16"/>
      <c r="D13" s="8"/>
    </row>
    <row r="14" spans="1:5" x14ac:dyDescent="0.55000000000000004">
      <c r="A14" t="s">
        <v>82</v>
      </c>
      <c r="B14" s="16">
        <v>1940</v>
      </c>
      <c r="D14" s="8">
        <v>36.1</v>
      </c>
    </row>
    <row r="15" spans="1:5" x14ac:dyDescent="0.55000000000000004">
      <c r="B15" s="16"/>
      <c r="D15" s="8"/>
    </row>
    <row r="16" spans="1:5" x14ac:dyDescent="0.55000000000000004">
      <c r="A16" t="s">
        <v>52</v>
      </c>
      <c r="B16" s="13">
        <v>1865</v>
      </c>
      <c r="D16" s="8">
        <v>28.620075713642585</v>
      </c>
    </row>
    <row r="17" spans="1:4" x14ac:dyDescent="0.55000000000000004">
      <c r="A17" t="s">
        <v>52</v>
      </c>
      <c r="B17" s="13">
        <v>1875</v>
      </c>
      <c r="D17" s="8">
        <v>34.949669335457962</v>
      </c>
    </row>
    <row r="18" spans="1:4" x14ac:dyDescent="0.55000000000000004">
      <c r="A18" t="s">
        <v>52</v>
      </c>
      <c r="B18" s="13">
        <v>1885</v>
      </c>
      <c r="D18" s="8">
        <v>41.707352519039773</v>
      </c>
    </row>
    <row r="19" spans="1:4" x14ac:dyDescent="0.55000000000000004">
      <c r="A19" t="s">
        <v>52</v>
      </c>
      <c r="B19" s="13">
        <v>1895</v>
      </c>
      <c r="D19" s="8">
        <v>45.513924190024937</v>
      </c>
    </row>
    <row r="20" spans="1:4" x14ac:dyDescent="0.55000000000000004">
      <c r="A20" t="s">
        <v>52</v>
      </c>
      <c r="B20" s="13">
        <v>1907</v>
      </c>
      <c r="D20" s="8">
        <v>43.223493268656625</v>
      </c>
    </row>
    <row r="21" spans="1:4" x14ac:dyDescent="0.55000000000000004">
      <c r="A21" t="s">
        <v>52</v>
      </c>
      <c r="B21" s="13">
        <v>1920</v>
      </c>
      <c r="D21" s="8">
        <v>46.395812308692022</v>
      </c>
    </row>
    <row r="22" spans="1:4" x14ac:dyDescent="0.55000000000000004">
      <c r="A22" t="s">
        <v>52</v>
      </c>
      <c r="B22" s="13">
        <v>1930</v>
      </c>
      <c r="D22" s="8">
        <v>49.428529112326807</v>
      </c>
    </row>
    <row r="23" spans="1:4" x14ac:dyDescent="0.55000000000000004">
      <c r="A23" t="s">
        <v>52</v>
      </c>
      <c r="B23" s="13">
        <v>1940</v>
      </c>
      <c r="D23" s="8">
        <v>52.538877472634326</v>
      </c>
    </row>
    <row r="24" spans="1:4" x14ac:dyDescent="0.55000000000000004">
      <c r="A24" t="s">
        <v>52</v>
      </c>
      <c r="B24" s="13">
        <v>1952</v>
      </c>
      <c r="D24" s="8">
        <v>60.224591458445516</v>
      </c>
    </row>
    <row r="25" spans="1:4" x14ac:dyDescent="0.55000000000000004">
      <c r="B25" s="16"/>
      <c r="D25" s="8"/>
    </row>
    <row r="26" spans="1:4" x14ac:dyDescent="0.55000000000000004">
      <c r="A26" s="20" t="s">
        <v>146</v>
      </c>
      <c r="B26" s="18"/>
      <c r="C26" s="11"/>
      <c r="D26" s="19"/>
    </row>
    <row r="27" spans="1:4" x14ac:dyDescent="0.55000000000000004">
      <c r="B27" s="16"/>
      <c r="D27" s="8"/>
    </row>
    <row r="28" spans="1:4" x14ac:dyDescent="0.55000000000000004">
      <c r="A28" t="s">
        <v>33</v>
      </c>
      <c r="B28" s="16">
        <v>1869</v>
      </c>
      <c r="D28" s="8">
        <v>26.8</v>
      </c>
    </row>
    <row r="29" spans="1:4" x14ac:dyDescent="0.55000000000000004">
      <c r="A29" t="s">
        <v>33</v>
      </c>
      <c r="B29" s="16">
        <v>1895</v>
      </c>
      <c r="D29" s="8">
        <v>36.6</v>
      </c>
    </row>
    <row r="30" spans="1:4" x14ac:dyDescent="0.55000000000000004">
      <c r="A30" t="s">
        <v>33</v>
      </c>
      <c r="B30" s="16">
        <v>1914</v>
      </c>
      <c r="D30" s="8">
        <v>52.7</v>
      </c>
    </row>
    <row r="31" spans="1:4" x14ac:dyDescent="0.55000000000000004">
      <c r="B31" s="16"/>
      <c r="D31" s="8"/>
    </row>
    <row r="32" spans="1:4" x14ac:dyDescent="0.55000000000000004">
      <c r="A32" t="s">
        <v>92</v>
      </c>
      <c r="B32" s="16">
        <v>1930</v>
      </c>
      <c r="D32" s="8">
        <v>26.8</v>
      </c>
    </row>
    <row r="33" spans="1:4" x14ac:dyDescent="0.55000000000000004">
      <c r="A33" t="s">
        <v>92</v>
      </c>
      <c r="B33" s="16">
        <v>1940</v>
      </c>
      <c r="D33" s="8">
        <v>32.6</v>
      </c>
    </row>
    <row r="34" spans="1:4" x14ac:dyDescent="0.55000000000000004">
      <c r="B34" s="16"/>
      <c r="D34" s="8"/>
    </row>
    <row r="35" spans="1:4" x14ac:dyDescent="0.55000000000000004">
      <c r="A35" t="s">
        <v>52</v>
      </c>
      <c r="B35" s="16">
        <v>1907</v>
      </c>
      <c r="D35" s="8">
        <v>38.4</v>
      </c>
    </row>
    <row r="36" spans="1:4" x14ac:dyDescent="0.55000000000000004">
      <c r="A36" t="s">
        <v>52</v>
      </c>
      <c r="B36" s="16">
        <v>1920</v>
      </c>
      <c r="D36" s="8">
        <v>42.2</v>
      </c>
    </row>
    <row r="37" spans="1:4" x14ac:dyDescent="0.55000000000000004">
      <c r="A37" t="s">
        <v>52</v>
      </c>
      <c r="B37" s="16">
        <v>1930</v>
      </c>
      <c r="D37" s="8">
        <v>46.3</v>
      </c>
    </row>
    <row r="38" spans="1:4" x14ac:dyDescent="0.55000000000000004">
      <c r="B38" s="16"/>
      <c r="D38" s="8"/>
    </row>
    <row r="39" spans="1:4" x14ac:dyDescent="0.55000000000000004">
      <c r="B39" s="16"/>
      <c r="D39" s="8"/>
    </row>
    <row r="40" spans="1:4" x14ac:dyDescent="0.55000000000000004">
      <c r="A40" s="17" t="s">
        <v>147</v>
      </c>
      <c r="B40" s="18"/>
      <c r="C40" s="11"/>
      <c r="D40" s="19"/>
    </row>
    <row r="41" spans="1:4" x14ac:dyDescent="0.55000000000000004">
      <c r="B41" s="16"/>
      <c r="D41" s="8"/>
    </row>
    <row r="42" spans="1:4" x14ac:dyDescent="0.55000000000000004">
      <c r="A42" t="s">
        <v>33</v>
      </c>
      <c r="B42" s="16">
        <v>1869</v>
      </c>
      <c r="D42" s="8">
        <v>12.8</v>
      </c>
    </row>
    <row r="43" spans="1:4" x14ac:dyDescent="0.55000000000000004">
      <c r="A43" t="s">
        <v>33</v>
      </c>
      <c r="B43" s="16">
        <v>1895</v>
      </c>
      <c r="D43" s="8">
        <v>23.7</v>
      </c>
    </row>
    <row r="44" spans="1:4" x14ac:dyDescent="0.55000000000000004">
      <c r="A44" t="s">
        <v>33</v>
      </c>
      <c r="B44" s="16">
        <v>1914</v>
      </c>
      <c r="D44" s="8">
        <v>33</v>
      </c>
    </row>
    <row r="45" spans="1:4" x14ac:dyDescent="0.55000000000000004">
      <c r="B45" s="16"/>
      <c r="D45" s="8"/>
    </row>
    <row r="46" spans="1:4" x14ac:dyDescent="0.55000000000000004">
      <c r="A46" t="s">
        <v>148</v>
      </c>
      <c r="B46" s="16">
        <v>1926</v>
      </c>
      <c r="D46" s="8" t="s">
        <v>149</v>
      </c>
    </row>
    <row r="47" spans="1:4" x14ac:dyDescent="0.55000000000000004">
      <c r="B47" s="16"/>
      <c r="D47" s="8"/>
    </row>
    <row r="48" spans="1:4" x14ac:dyDescent="0.55000000000000004">
      <c r="A48" t="s">
        <v>92</v>
      </c>
      <c r="B48" s="16">
        <v>1940</v>
      </c>
      <c r="D48" s="8">
        <v>25.1</v>
      </c>
    </row>
    <row r="49" spans="1:4" x14ac:dyDescent="0.55000000000000004">
      <c r="B49" s="16"/>
      <c r="D49" s="8"/>
    </row>
    <row r="50" spans="1:4" x14ac:dyDescent="0.55000000000000004">
      <c r="A50" t="s">
        <v>52</v>
      </c>
      <c r="B50" s="16">
        <v>1907</v>
      </c>
      <c r="D50" s="8">
        <v>22.1</v>
      </c>
    </row>
    <row r="51" spans="1:4" x14ac:dyDescent="0.55000000000000004">
      <c r="A51" t="s">
        <v>52</v>
      </c>
      <c r="B51" s="16">
        <v>1920</v>
      </c>
      <c r="D51" s="8">
        <v>27.8</v>
      </c>
    </row>
    <row r="52" spans="1:4" x14ac:dyDescent="0.55000000000000004">
      <c r="A52" t="s">
        <v>52</v>
      </c>
      <c r="B52" s="16">
        <v>1930</v>
      </c>
      <c r="D52" s="8">
        <v>32</v>
      </c>
    </row>
    <row r="53" spans="1:4" x14ac:dyDescent="0.55000000000000004">
      <c r="B53" s="16"/>
      <c r="D53" s="8"/>
    </row>
    <row r="54" spans="1:4" x14ac:dyDescent="0.55000000000000004">
      <c r="B54" s="16"/>
      <c r="D54" s="8"/>
    </row>
    <row r="55" spans="1:4" x14ac:dyDescent="0.55000000000000004">
      <c r="A55" s="17" t="s">
        <v>150</v>
      </c>
      <c r="B55" s="18"/>
      <c r="C55" s="11"/>
      <c r="D55" s="19"/>
    </row>
    <row r="56" spans="1:4" x14ac:dyDescent="0.55000000000000004">
      <c r="B56" s="16"/>
      <c r="D56" s="8"/>
    </row>
    <row r="57" spans="1:4" x14ac:dyDescent="0.55000000000000004">
      <c r="A57" t="s">
        <v>33</v>
      </c>
      <c r="B57" s="16">
        <v>1869</v>
      </c>
      <c r="D57" s="8">
        <v>9.9</v>
      </c>
    </row>
    <row r="58" spans="1:4" x14ac:dyDescent="0.55000000000000004">
      <c r="A58" t="s">
        <v>33</v>
      </c>
      <c r="B58" s="16">
        <v>1895</v>
      </c>
      <c r="D58" s="8">
        <v>16.399999999999999</v>
      </c>
    </row>
    <row r="59" spans="1:4" x14ac:dyDescent="0.55000000000000004">
      <c r="A59" t="s">
        <v>33</v>
      </c>
      <c r="B59" s="16">
        <v>1914</v>
      </c>
      <c r="D59" s="8">
        <v>24.1</v>
      </c>
    </row>
    <row r="60" spans="1:4" x14ac:dyDescent="0.55000000000000004">
      <c r="B60" s="16"/>
      <c r="D60" s="8"/>
    </row>
    <row r="61" spans="1:4" x14ac:dyDescent="0.55000000000000004">
      <c r="A61" t="s">
        <v>52</v>
      </c>
      <c r="B61" s="16">
        <v>1907</v>
      </c>
      <c r="D61" s="8">
        <v>15.2</v>
      </c>
    </row>
    <row r="62" spans="1:4" x14ac:dyDescent="0.55000000000000004">
      <c r="A62" t="s">
        <v>52</v>
      </c>
      <c r="B62" s="16">
        <v>1920</v>
      </c>
      <c r="D62" s="8">
        <v>18.399999999999999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Аргентина</vt:lpstr>
      <vt:lpstr>Бразилия</vt:lpstr>
      <vt:lpstr>Венесуэла</vt:lpstr>
      <vt:lpstr>Колумбия</vt:lpstr>
      <vt:lpstr>Коста-Рика</vt:lpstr>
      <vt:lpstr>Панама</vt:lpstr>
      <vt:lpstr>Перу</vt:lpstr>
      <vt:lpstr>Чили</vt:lpstr>
      <vt:lpstr>сводка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Oboguev, Sergey</dc:creator>
  <cp:lastModifiedBy>Oboguev, Sergey</cp:lastModifiedBy>
  <dcterms:created xsi:type="dcterms:W3CDTF">2015-06-05T18:17:20Z</dcterms:created>
  <dcterms:modified xsi:type="dcterms:W3CDTF">2026-06-26T22:00:01Z</dcterms:modified>
</cp:coreProperties>
</file>