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"/>
    </mc:Choice>
  </mc:AlternateContent>
  <xr:revisionPtr revIDLastSave="0" documentId="13_ncr:1_{7ECDA339-06A1-40AB-922D-BAEC50811444}" xr6:coauthVersionLast="45" xr6:coauthVersionMax="45" xr10:uidLastSave="{00000000-0000-0000-0000-000000000000}"/>
  <bookViews>
    <workbookView xWindow="-60" yWindow="-60" windowWidth="38520" windowHeight="23700" activeTab="4" xr2:uid="{0C6DB7CF-7936-4F84-A18A-9F2841EE8776}"/>
  </bookViews>
  <sheets>
    <sheet name="Notes" sheetId="2" r:id="rId1"/>
    <sheet name="LA" sheetId="1" r:id="rId2"/>
    <sheet name="RSFSR" sheetId="3" r:id="rId3"/>
    <sheet name="вместе-абс" sheetId="4" r:id="rId4"/>
    <sheet name="вместе-отн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85" i="5" l="1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29" i="3"/>
  <c r="A30" i="3" s="1"/>
  <c r="A31" i="3" s="1"/>
  <c r="A32" i="3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13" i="3" l="1"/>
  <c r="A12" i="3" s="1"/>
  <c r="A11" i="3" s="1"/>
  <c r="A10" i="3" s="1"/>
  <c r="A9" i="3" s="1"/>
  <c r="A8" i="3" s="1"/>
  <c r="A7" i="3" s="1"/>
  <c r="A6" i="3" s="1"/>
  <c r="A5" i="3" s="1"/>
  <c r="A4" i="3" s="1"/>
  <c r="A47" i="3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<sst xmlns="http://schemas.openxmlformats.org/spreadsheetml/2006/main" count="89" uniqueCount="45">
  <si>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</si>
  <si>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</si>
  <si>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</si>
  <si>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</si>
  <si>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</si>
  <si>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</si>
  <si>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</si>
  <si>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</si>
  <si>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</si>
  <si>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</si>
  <si>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</si>
  <si>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</si>
  <si>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</si>
  <si>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</si>
  <si>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</si>
  <si>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</si>
  <si>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</si>
  <si>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</si>
  <si>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</si>
  <si>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</si>
  <si>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</si>
  <si>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</si>
  <si>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</si>
  <si>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Колумбии на 24 октября календарного года.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</si>
  <si>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</si>
  <si>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</si>
  <si>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Значения для большинства стран даны на середину календарного года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</si>
  <si>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</si>
  <si>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</si>
  <si>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</si>
  <si>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</si>
  <si>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Источник для стран Латинской Америки:</t>
  </si>
  <si>
    <t xml:space="preserve">1927-1959 </t>
  </si>
  <si>
    <t>реконструкция АДХ</t>
  </si>
  <si>
    <t>Е.М.Андреев, Л.Е.Дарский, Т.Л. Харькова, "Демографическая история России : 1927-1959", НИИ статистики Госкомстата России, Отделение демографии, М. 1998, 157-160</t>
  </si>
  <si>
    <t>Госкомстат России, "Население России за 100 лет (1897-1997)", М. 1998, стр. 32-34</t>
  </si>
  <si>
    <t>Госкомстат России, "Население России за 100 лет (1897-1997)", М. 1998, стр. 32</t>
  </si>
  <si>
    <t>Заполнены интерполяцией</t>
  </si>
  <si>
    <t>Источники для РСФСР/РФ:</t>
  </si>
  <si>
    <t>1960-1988</t>
  </si>
  <si>
    <t>1989-2000</t>
  </si>
  <si>
    <t>Росстат, "Демографический ежегодник России 2010", стр. 25</t>
  </si>
  <si>
    <t>РСФСР</t>
  </si>
  <si>
    <t>кроме 1942-1945</t>
  </si>
  <si>
    <t>1942-1945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</si>
</sst>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3" fontId="0" fillId="0" borderId="0" xfId="0" applyNumberFormat="1"/>
    <xf numFmtId="3" fontId="0" fillId="3" borderId="0" xfId="0" applyNumberFormat="1" applyFill="1"/>
    <xf numFmtId="3" fontId="0" fillId="0" borderId="0" xfId="0" applyNumberFormat="1" applyAlignment="1">
      <alignment horizontal="right"/>
    </xf>
    <xf numFmtId="3" fontId="0" fillId="3" borderId="0" xfId="0" applyNumberFormat="1" applyFill="1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'вместе-отн'!$B$1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'вместе-отн'!$B$2:$B$85</c:f>
              <c:numCache>
                <c:formatCode>0.00</c:formatCode>
                <c:ptCount val="84"/>
                <c:pt idx="0">
                  <c:v>0</c:v>
                </c:pt>
                <c:pt idx="1">
                  <c:v>1.775147928994087E-2</c:v>
                </c:pt>
                <c:pt idx="2">
                  <c:v>3.5502958579881741E-2</c:v>
                </c:pt>
                <c:pt idx="3">
                  <c:v>6.1538461538461701E-2</c:v>
                </c:pt>
                <c:pt idx="4">
                  <c:v>9.1124260355029754E-2</c:v>
                </c:pt>
                <c:pt idx="5">
                  <c:v>0.12662721893491127</c:v>
                </c:pt>
                <c:pt idx="6">
                  <c:v>0.17041420118343212</c:v>
                </c:pt>
                <c:pt idx="7">
                  <c:v>0.20946745562130195</c:v>
                </c:pt>
                <c:pt idx="8">
                  <c:v>0.24260355029585809</c:v>
                </c:pt>
                <c:pt idx="9">
                  <c:v>0.27810650887573984</c:v>
                </c:pt>
                <c:pt idx="10">
                  <c:v>0.31715976331360968</c:v>
                </c:pt>
                <c:pt idx="11">
                  <c:v>0.35384615384615392</c:v>
                </c:pt>
                <c:pt idx="12">
                  <c:v>0.39053254437869833</c:v>
                </c:pt>
                <c:pt idx="13">
                  <c:v>0.42603550295858006</c:v>
                </c:pt>
                <c:pt idx="14">
                  <c:v>0.45443786982248524</c:v>
                </c:pt>
                <c:pt idx="15">
                  <c:v>0.48165680473372791</c:v>
                </c:pt>
                <c:pt idx="16">
                  <c:v>0.50650887573964509</c:v>
                </c:pt>
                <c:pt idx="17">
                  <c:v>0.53136094674556222</c:v>
                </c:pt>
                <c:pt idx="18">
                  <c:v>0.55621301775147947</c:v>
                </c:pt>
                <c:pt idx="19">
                  <c:v>0.58224852071005917</c:v>
                </c:pt>
                <c:pt idx="20">
                  <c:v>0.61065088757396457</c:v>
                </c:pt>
                <c:pt idx="21">
                  <c:v>0.63786982248520718</c:v>
                </c:pt>
                <c:pt idx="22">
                  <c:v>0.66390532544378722</c:v>
                </c:pt>
                <c:pt idx="23">
                  <c:v>0.67692307692307707</c:v>
                </c:pt>
                <c:pt idx="24">
                  <c:v>0.70414201183431968</c:v>
                </c:pt>
                <c:pt idx="25">
                  <c:v>0.73254437869822508</c:v>
                </c:pt>
                <c:pt idx="26">
                  <c:v>0.76094674556213038</c:v>
                </c:pt>
                <c:pt idx="27">
                  <c:v>0.79053254437869847</c:v>
                </c:pt>
                <c:pt idx="28">
                  <c:v>0.82248520710059192</c:v>
                </c:pt>
                <c:pt idx="29">
                  <c:v>0.85207100591716001</c:v>
                </c:pt>
                <c:pt idx="30">
                  <c:v>0.88520710059171615</c:v>
                </c:pt>
                <c:pt idx="31">
                  <c:v>0.92544378698224861</c:v>
                </c:pt>
                <c:pt idx="32">
                  <c:v>0.97159763313609482</c:v>
                </c:pt>
                <c:pt idx="33">
                  <c:v>1.0201183431952665</c:v>
                </c:pt>
                <c:pt idx="34">
                  <c:v>1.0686390532544381</c:v>
                </c:pt>
                <c:pt idx="35">
                  <c:v>1.0946745562130178</c:v>
                </c:pt>
                <c:pt idx="36">
                  <c:v>1.1254437869822489</c:v>
                </c:pt>
                <c:pt idx="37">
                  <c:v>1.1585798816568047</c:v>
                </c:pt>
                <c:pt idx="38">
                  <c:v>1.1928994082840241</c:v>
                </c:pt>
                <c:pt idx="39">
                  <c:v>1.2248520710059174</c:v>
                </c:pt>
                <c:pt idx="40">
                  <c:v>1.2603550295857993</c:v>
                </c:pt>
                <c:pt idx="41">
                  <c:v>1.2934911242603551</c:v>
                </c:pt>
                <c:pt idx="42">
                  <c:v>1.3266272189349115</c:v>
                </c:pt>
                <c:pt idx="43">
                  <c:v>1.3573964497041424</c:v>
                </c:pt>
                <c:pt idx="44">
                  <c:v>1.3952662721893492</c:v>
                </c:pt>
                <c:pt idx="45">
                  <c:v>1.4307692307692308</c:v>
                </c:pt>
                <c:pt idx="46">
                  <c:v>1.4674556213017755</c:v>
                </c:pt>
                <c:pt idx="47">
                  <c:v>1.5053254437869827</c:v>
                </c:pt>
                <c:pt idx="48">
                  <c:v>1.6248520710059173</c:v>
                </c:pt>
                <c:pt idx="49">
                  <c:v>1.6615384615384616</c:v>
                </c:pt>
                <c:pt idx="50">
                  <c:v>1.6982248520710062</c:v>
                </c:pt>
                <c:pt idx="51">
                  <c:v>1.7349112426035505</c:v>
                </c:pt>
                <c:pt idx="52">
                  <c:v>1.7727810650887577</c:v>
                </c:pt>
                <c:pt idx="53">
                  <c:v>1.8106508875739646</c:v>
                </c:pt>
                <c:pt idx="54">
                  <c:v>1.8485207100591718</c:v>
                </c:pt>
                <c:pt idx="55">
                  <c:v>1.8863905325443791</c:v>
                </c:pt>
                <c:pt idx="56">
                  <c:v>1.937278106508876</c:v>
                </c:pt>
                <c:pt idx="57">
                  <c:v>1.9846153846153847</c:v>
                </c:pt>
                <c:pt idx="58">
                  <c:v>2.082840236686391</c:v>
                </c:pt>
                <c:pt idx="59">
                  <c:v>2.1337278106508877</c:v>
                </c:pt>
                <c:pt idx="60">
                  <c:v>2.1846153846153848</c:v>
                </c:pt>
                <c:pt idx="61">
                  <c:v>2.2366863905325447</c:v>
                </c:pt>
                <c:pt idx="62">
                  <c:v>2.2887573964497041</c:v>
                </c:pt>
                <c:pt idx="63">
                  <c:v>2.3420118343195266</c:v>
                </c:pt>
                <c:pt idx="64">
                  <c:v>2.3917159763313611</c:v>
                </c:pt>
                <c:pt idx="65">
                  <c:v>2.4426035502958583</c:v>
                </c:pt>
                <c:pt idx="66">
                  <c:v>2.4923076923076928</c:v>
                </c:pt>
                <c:pt idx="67">
                  <c:v>2.5360946745562134</c:v>
                </c:pt>
                <c:pt idx="68">
                  <c:v>2.5881656804733733</c:v>
                </c:pt>
                <c:pt idx="69">
                  <c:v>2.6414201183431953</c:v>
                </c:pt>
                <c:pt idx="70">
                  <c:v>2.6946745562130179</c:v>
                </c:pt>
                <c:pt idx="71">
                  <c:v>2.7443786982248524</c:v>
                </c:pt>
                <c:pt idx="72">
                  <c:v>2.7964497041420118</c:v>
                </c:pt>
                <c:pt idx="73">
                  <c:v>2.8497041420118348</c:v>
                </c:pt>
                <c:pt idx="74">
                  <c:v>2.9017751479289942</c:v>
                </c:pt>
                <c:pt idx="75">
                  <c:v>2.9550295857988171</c:v>
                </c:pt>
                <c:pt idx="76">
                  <c:v>3.0082840236686392</c:v>
                </c:pt>
                <c:pt idx="77">
                  <c:v>3.0615384615384618</c:v>
                </c:pt>
                <c:pt idx="78">
                  <c:v>3.1147928994082847</c:v>
                </c:pt>
                <c:pt idx="79">
                  <c:v>3.1680473372781068</c:v>
                </c:pt>
                <c:pt idx="80">
                  <c:v>3.2213017751479294</c:v>
                </c:pt>
                <c:pt idx="81">
                  <c:v>3.2745562130177515</c:v>
                </c:pt>
                <c:pt idx="82">
                  <c:v>3.3289940828402367</c:v>
                </c:pt>
                <c:pt idx="83">
                  <c:v>3.3822485207100597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F9-4868-9F54-2D1095A4FC5F}"/>
            </c:ext>
          </c:extLst>
        </c:ser>
        <c:ser>
          <c:idx val="1"/>
          <c:order val="1"/>
          <c:tx>
            <c:strRef>
              <c:f>'вместе-отн'!$C$1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'вместе-отн'!$C$2:$C$85</c:f>
              <c:numCache>
                <c:formatCode>0.00</c:formatCode>
                <c:ptCount val="84"/>
                <c:pt idx="0">
                  <c:v>0</c:v>
                </c:pt>
                <c:pt idx="1">
                  <c:v>9.6153846153846229E-3</c:v>
                </c:pt>
                <c:pt idx="2">
                  <c:v>1.9230769230769246E-2</c:v>
                </c:pt>
                <c:pt idx="3">
                  <c:v>2.8846153846153872E-2</c:v>
                </c:pt>
                <c:pt idx="4">
                  <c:v>3.8461538461538491E-2</c:v>
                </c:pt>
                <c:pt idx="5">
                  <c:v>5.2884615384615322E-2</c:v>
                </c:pt>
                <c:pt idx="6">
                  <c:v>6.2499999999999944E-2</c:v>
                </c:pt>
                <c:pt idx="7">
                  <c:v>7.6923076923076983E-2</c:v>
                </c:pt>
                <c:pt idx="8">
                  <c:v>8.6538461538461398E-2</c:v>
                </c:pt>
                <c:pt idx="9">
                  <c:v>0.10096153846153844</c:v>
                </c:pt>
                <c:pt idx="10">
                  <c:v>0.11538461538461527</c:v>
                </c:pt>
                <c:pt idx="11">
                  <c:v>0.12499999999999989</c:v>
                </c:pt>
                <c:pt idx="12">
                  <c:v>0.13942307692307693</c:v>
                </c:pt>
                <c:pt idx="13">
                  <c:v>0.15384615384615377</c:v>
                </c:pt>
                <c:pt idx="14">
                  <c:v>0.16826923076923081</c:v>
                </c:pt>
                <c:pt idx="15">
                  <c:v>0.17788461538461542</c:v>
                </c:pt>
                <c:pt idx="16">
                  <c:v>0.19230769230769226</c:v>
                </c:pt>
                <c:pt idx="17">
                  <c:v>0.20673076923076908</c:v>
                </c:pt>
                <c:pt idx="18">
                  <c:v>0.22115384615384612</c:v>
                </c:pt>
                <c:pt idx="19">
                  <c:v>0.23557692307692296</c:v>
                </c:pt>
                <c:pt idx="20">
                  <c:v>0.25</c:v>
                </c:pt>
                <c:pt idx="21">
                  <c:v>0.26442307692307682</c:v>
                </c:pt>
                <c:pt idx="22">
                  <c:v>0.27884615384615385</c:v>
                </c:pt>
                <c:pt idx="23">
                  <c:v>0.29807692307692313</c:v>
                </c:pt>
                <c:pt idx="24">
                  <c:v>0.30769230769230776</c:v>
                </c:pt>
                <c:pt idx="25">
                  <c:v>0.32211538461538458</c:v>
                </c:pt>
                <c:pt idx="26">
                  <c:v>0.3413461538461538</c:v>
                </c:pt>
                <c:pt idx="27">
                  <c:v>0.35576923076923067</c:v>
                </c:pt>
                <c:pt idx="28">
                  <c:v>0.37019230769230771</c:v>
                </c:pt>
                <c:pt idx="29">
                  <c:v>0.38461538461538453</c:v>
                </c:pt>
                <c:pt idx="30">
                  <c:v>0.40384615384615374</c:v>
                </c:pt>
                <c:pt idx="31">
                  <c:v>0.41826923076923078</c:v>
                </c:pt>
                <c:pt idx="32">
                  <c:v>0.42307692307692302</c:v>
                </c:pt>
                <c:pt idx="33">
                  <c:v>0.44711538461538447</c:v>
                </c:pt>
                <c:pt idx="34">
                  <c:v>0.47596153846153832</c:v>
                </c:pt>
                <c:pt idx="35">
                  <c:v>0.50480769230769218</c:v>
                </c:pt>
                <c:pt idx="36">
                  <c:v>0.53365384615384603</c:v>
                </c:pt>
                <c:pt idx="37">
                  <c:v>0.56730769230769218</c:v>
                </c:pt>
                <c:pt idx="38">
                  <c:v>0.60576923076923062</c:v>
                </c:pt>
                <c:pt idx="39">
                  <c:v>0.64423076923076916</c:v>
                </c:pt>
                <c:pt idx="40">
                  <c:v>0.6826923076923076</c:v>
                </c:pt>
                <c:pt idx="41">
                  <c:v>0.72596153846153832</c:v>
                </c:pt>
                <c:pt idx="42">
                  <c:v>0.77884615384615385</c:v>
                </c:pt>
                <c:pt idx="43">
                  <c:v>0.83653846153846145</c:v>
                </c:pt>
                <c:pt idx="44">
                  <c:v>0.88461538461538447</c:v>
                </c:pt>
                <c:pt idx="45">
                  <c:v>0.93269230769230738</c:v>
                </c:pt>
                <c:pt idx="46">
                  <c:v>0.98076923076923073</c:v>
                </c:pt>
                <c:pt idx="47">
                  <c:v>1.0336538461538463</c:v>
                </c:pt>
                <c:pt idx="48">
                  <c:v>1.0817307692307692</c:v>
                </c:pt>
                <c:pt idx="49">
                  <c:v>1.1394230769230769</c:v>
                </c:pt>
                <c:pt idx="50">
                  <c:v>1.153846153846154</c:v>
                </c:pt>
                <c:pt idx="51">
                  <c:v>1.1682692307692306</c:v>
                </c:pt>
                <c:pt idx="52">
                  <c:v>1.1874999999999998</c:v>
                </c:pt>
                <c:pt idx="53">
                  <c:v>1.2019230769230769</c:v>
                </c:pt>
                <c:pt idx="54">
                  <c:v>1.221153846153846</c:v>
                </c:pt>
                <c:pt idx="55">
                  <c:v>1.2307692307692306</c:v>
                </c:pt>
                <c:pt idx="56">
                  <c:v>1.2451923076923075</c:v>
                </c:pt>
                <c:pt idx="57">
                  <c:v>1.283653846153846</c:v>
                </c:pt>
                <c:pt idx="58">
                  <c:v>1.3509615384615383</c:v>
                </c:pt>
                <c:pt idx="59">
                  <c:v>1.4182692307692308</c:v>
                </c:pt>
                <c:pt idx="60">
                  <c:v>1.4807692307692308</c:v>
                </c:pt>
                <c:pt idx="61">
                  <c:v>1.5480769230769229</c:v>
                </c:pt>
                <c:pt idx="62">
                  <c:v>1.6201923076923077</c:v>
                </c:pt>
                <c:pt idx="63">
                  <c:v>1.6923076923076921</c:v>
                </c:pt>
                <c:pt idx="64">
                  <c:v>1.7692307692307689</c:v>
                </c:pt>
                <c:pt idx="65">
                  <c:v>1.846153846153846</c:v>
                </c:pt>
                <c:pt idx="66">
                  <c:v>1.9230769230769229</c:v>
                </c:pt>
                <c:pt idx="67">
                  <c:v>1.778846153846154</c:v>
                </c:pt>
                <c:pt idx="68">
                  <c:v>1.8365384615384617</c:v>
                </c:pt>
                <c:pt idx="69">
                  <c:v>1.8942307692307689</c:v>
                </c:pt>
                <c:pt idx="70">
                  <c:v>1.9615384615384615</c:v>
                </c:pt>
                <c:pt idx="71">
                  <c:v>2.0240384615384612</c:v>
                </c:pt>
                <c:pt idx="72">
                  <c:v>2.0913461538461537</c:v>
                </c:pt>
                <c:pt idx="73">
                  <c:v>2.1586538461538463</c:v>
                </c:pt>
                <c:pt idx="74">
                  <c:v>2.2355769230769234</c:v>
                </c:pt>
                <c:pt idx="75">
                  <c:v>2.3173076923076925</c:v>
                </c:pt>
                <c:pt idx="76">
                  <c:v>2.3990384615384617</c:v>
                </c:pt>
                <c:pt idx="77">
                  <c:v>2.4807692307692308</c:v>
                </c:pt>
                <c:pt idx="78">
                  <c:v>2.5625</c:v>
                </c:pt>
                <c:pt idx="79">
                  <c:v>2.6490384615384612</c:v>
                </c:pt>
                <c:pt idx="80">
                  <c:v>2.7355769230769229</c:v>
                </c:pt>
                <c:pt idx="81">
                  <c:v>2.8221153846153846</c:v>
                </c:pt>
                <c:pt idx="82">
                  <c:v>2.9134615384615388</c:v>
                </c:pt>
                <c:pt idx="83">
                  <c:v>3.0048076923076921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F9-4868-9F54-2D1095A4FC5F}"/>
            </c:ext>
          </c:extLst>
        </c:ser>
        <c:ser>
          <c:idx val="2"/>
          <c:order val="2"/>
          <c:tx>
            <c:strRef>
              <c:f>'вместе-отн'!$D$1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'вместе-отн'!$D$2:$D$85</c:f>
              <c:numCache>
                <c:formatCode>0.00</c:formatCode>
                <c:ptCount val="84"/>
                <c:pt idx="0">
                  <c:v>0</c:v>
                </c:pt>
                <c:pt idx="1">
                  <c:v>2.1375825884181916E-2</c:v>
                </c:pt>
                <c:pt idx="2">
                  <c:v>4.3140303148076153E-2</c:v>
                </c:pt>
                <c:pt idx="3">
                  <c:v>6.4904780411970384E-2</c:v>
                </c:pt>
                <c:pt idx="4">
                  <c:v>8.7057909055577087E-2</c:v>
                </c:pt>
                <c:pt idx="5">
                  <c:v>0.10921103769918378</c:v>
                </c:pt>
                <c:pt idx="6">
                  <c:v>0.13214146910221525</c:v>
                </c:pt>
                <c:pt idx="7">
                  <c:v>0.15507190050524672</c:v>
                </c:pt>
                <c:pt idx="8">
                  <c:v>0.178779634667703</c:v>
                </c:pt>
                <c:pt idx="9">
                  <c:v>0.20287602020987169</c:v>
                </c:pt>
                <c:pt idx="10">
                  <c:v>0.2277497085114652</c:v>
                </c:pt>
                <c:pt idx="11">
                  <c:v>0.25262339681305856</c:v>
                </c:pt>
                <c:pt idx="12">
                  <c:v>0.27866303925378927</c:v>
                </c:pt>
                <c:pt idx="13">
                  <c:v>0.30470268169452003</c:v>
                </c:pt>
                <c:pt idx="14">
                  <c:v>0.3315196268946754</c:v>
                </c:pt>
                <c:pt idx="15">
                  <c:v>0.35872522347454333</c:v>
                </c:pt>
                <c:pt idx="16">
                  <c:v>0.38631947143412365</c:v>
                </c:pt>
                <c:pt idx="17">
                  <c:v>0.41469102215312859</c:v>
                </c:pt>
                <c:pt idx="18">
                  <c:v>0.44383987563155841</c:v>
                </c:pt>
                <c:pt idx="19">
                  <c:v>0.47337738048970057</c:v>
                </c:pt>
                <c:pt idx="20">
                  <c:v>0.50369218810726768</c:v>
                </c:pt>
                <c:pt idx="21">
                  <c:v>0.53439564710454712</c:v>
                </c:pt>
                <c:pt idx="22">
                  <c:v>0.56587640886125135</c:v>
                </c:pt>
                <c:pt idx="23">
                  <c:v>0.59774582199766801</c:v>
                </c:pt>
                <c:pt idx="24">
                  <c:v>0.63505635445005826</c:v>
                </c:pt>
                <c:pt idx="25">
                  <c:v>0.67353284104158573</c:v>
                </c:pt>
                <c:pt idx="26">
                  <c:v>0.70967741935483875</c:v>
                </c:pt>
                <c:pt idx="27">
                  <c:v>0.74271278663039264</c:v>
                </c:pt>
                <c:pt idx="28">
                  <c:v>0.78235522736105712</c:v>
                </c:pt>
                <c:pt idx="29">
                  <c:v>0.82549553050913327</c:v>
                </c:pt>
                <c:pt idx="30">
                  <c:v>0.87174504469490854</c:v>
                </c:pt>
                <c:pt idx="31">
                  <c:v>0.92071511853867083</c:v>
                </c:pt>
                <c:pt idx="32">
                  <c:v>0.97279440342013201</c:v>
                </c:pt>
                <c:pt idx="33">
                  <c:v>1.0279828993392925</c:v>
                </c:pt>
                <c:pt idx="34">
                  <c:v>1.0862806062961523</c:v>
                </c:pt>
                <c:pt idx="35">
                  <c:v>1.1414691022153129</c:v>
                </c:pt>
                <c:pt idx="36">
                  <c:v>1.2052079284881461</c:v>
                </c:pt>
                <c:pt idx="37">
                  <c:v>1.2712786630392536</c:v>
                </c:pt>
                <c:pt idx="38">
                  <c:v>1.3389040031092112</c:v>
                </c:pt>
                <c:pt idx="39">
                  <c:v>1.4088612514574426</c:v>
                </c:pt>
                <c:pt idx="40">
                  <c:v>1.4807617567042362</c:v>
                </c:pt>
                <c:pt idx="41">
                  <c:v>1.554994170229304</c:v>
                </c:pt>
                <c:pt idx="42">
                  <c:v>1.6311698406529342</c:v>
                </c:pt>
                <c:pt idx="43">
                  <c:v>1.7096774193548385</c:v>
                </c:pt>
                <c:pt idx="44">
                  <c:v>1.7959580256509908</c:v>
                </c:pt>
                <c:pt idx="45">
                  <c:v>1.8826272833268556</c:v>
                </c:pt>
                <c:pt idx="46">
                  <c:v>1.9743490089389817</c:v>
                </c:pt>
                <c:pt idx="47">
                  <c:v>2.0598523124757091</c:v>
                </c:pt>
                <c:pt idx="48">
                  <c:v>2.1484648270501361</c:v>
                </c:pt>
                <c:pt idx="49">
                  <c:v>2.2230858919549163</c:v>
                </c:pt>
                <c:pt idx="50">
                  <c:v>2.3128643606684798</c:v>
                </c:pt>
                <c:pt idx="51">
                  <c:v>2.4053633890400312</c:v>
                </c:pt>
                <c:pt idx="52">
                  <c:v>2.500582977069568</c:v>
                </c:pt>
                <c:pt idx="53">
                  <c:v>2.5958025650991057</c:v>
                </c:pt>
                <c:pt idx="54">
                  <c:v>2.6987951807228914</c:v>
                </c:pt>
                <c:pt idx="55">
                  <c:v>2.802953750485814</c:v>
                </c:pt>
                <c:pt idx="56">
                  <c:v>2.8834045860862805</c:v>
                </c:pt>
                <c:pt idx="57">
                  <c:v>2.9797901282549555</c:v>
                </c:pt>
                <c:pt idx="58">
                  <c:v>3.0785075787019043</c:v>
                </c:pt>
                <c:pt idx="59">
                  <c:v>3.1795569374271277</c:v>
                </c:pt>
                <c:pt idx="60">
                  <c:v>3.2833268558103379</c:v>
                </c:pt>
                <c:pt idx="61">
                  <c:v>3.3894286824718223</c:v>
                </c:pt>
                <c:pt idx="62">
                  <c:v>3.4982510687912938</c:v>
                </c:pt>
                <c:pt idx="63">
                  <c:v>3.713952584531675</c:v>
                </c:pt>
                <c:pt idx="64">
                  <c:v>3.8219976680917211</c:v>
                </c:pt>
                <c:pt idx="65">
                  <c:v>3.9319860085503304</c:v>
                </c:pt>
                <c:pt idx="66">
                  <c:v>4.0435289545277886</c:v>
                </c:pt>
                <c:pt idx="67">
                  <c:v>4.0260396424407299</c:v>
                </c:pt>
                <c:pt idx="68">
                  <c:v>4.129420909444228</c:v>
                </c:pt>
                <c:pt idx="69">
                  <c:v>4.2316362223085893</c:v>
                </c:pt>
                <c:pt idx="70">
                  <c:v>4.3315196268946758</c:v>
                </c:pt>
                <c:pt idx="71">
                  <c:v>4.4341235911387482</c:v>
                </c:pt>
                <c:pt idx="72">
                  <c:v>4.5308977846871352</c:v>
                </c:pt>
                <c:pt idx="73">
                  <c:v>4.6245627671978236</c:v>
                </c:pt>
                <c:pt idx="74">
                  <c:v>4.7158958414302363</c:v>
                </c:pt>
                <c:pt idx="75">
                  <c:v>4.8048970073843762</c:v>
                </c:pt>
                <c:pt idx="76">
                  <c:v>4.8907889623008156</c:v>
                </c:pt>
                <c:pt idx="77">
                  <c:v>4.9747376603186932</c:v>
                </c:pt>
                <c:pt idx="78">
                  <c:v>5.0559657986785851</c:v>
                </c:pt>
                <c:pt idx="79">
                  <c:v>5.1356393315196271</c:v>
                </c:pt>
                <c:pt idx="80">
                  <c:v>5.2005441119315972</c:v>
                </c:pt>
                <c:pt idx="81">
                  <c:v>5.2879906723668872</c:v>
                </c:pt>
                <c:pt idx="82">
                  <c:v>5.5289545277885743</c:v>
                </c:pt>
                <c:pt idx="83">
                  <c:v>5.6117372716673151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F9-4868-9F54-2D1095A4FC5F}"/>
            </c:ext>
          </c:extLst>
        </c:ser>
        <c:ser>
          <c:idx val="3"/>
          <c:order val="3"/>
          <c:tx>
            <c:strRef>
              <c:f>'вместе-отн'!$E$1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'вместе-отн'!$E$2:$E$85</c:f>
              <c:numCache>
                <c:formatCode>0.00</c:formatCode>
                <c:ptCount val="84"/>
                <c:pt idx="0">
                  <c:v>0</c:v>
                </c:pt>
                <c:pt idx="1">
                  <c:v>1.3736263736263687E-2</c:v>
                </c:pt>
                <c:pt idx="2">
                  <c:v>2.7472527472527496E-2</c:v>
                </c:pt>
                <c:pt idx="3">
                  <c:v>4.120879120879118E-2</c:v>
                </c:pt>
                <c:pt idx="4">
                  <c:v>5.7692307692307682E-2</c:v>
                </c:pt>
                <c:pt idx="5">
                  <c:v>7.4175824175824176E-2</c:v>
                </c:pt>
                <c:pt idx="6">
                  <c:v>8.7912087912087863E-2</c:v>
                </c:pt>
                <c:pt idx="7">
                  <c:v>0.10439560439560425</c:v>
                </c:pt>
                <c:pt idx="8">
                  <c:v>0.11813186813186817</c:v>
                </c:pt>
                <c:pt idx="9">
                  <c:v>0.13461538461538455</c:v>
                </c:pt>
                <c:pt idx="10">
                  <c:v>0.15109890109890117</c:v>
                </c:pt>
                <c:pt idx="11">
                  <c:v>0.16758241758241754</c:v>
                </c:pt>
                <c:pt idx="12">
                  <c:v>0.18406593406593391</c:v>
                </c:pt>
                <c:pt idx="13">
                  <c:v>0.20054945054945053</c:v>
                </c:pt>
                <c:pt idx="14">
                  <c:v>0.2170329670329669</c:v>
                </c:pt>
                <c:pt idx="15">
                  <c:v>0.23626373626373623</c:v>
                </c:pt>
                <c:pt idx="16">
                  <c:v>0.25274725274725257</c:v>
                </c:pt>
                <c:pt idx="17">
                  <c:v>0.2719780219780219</c:v>
                </c:pt>
                <c:pt idx="18">
                  <c:v>0.29120879120879123</c:v>
                </c:pt>
                <c:pt idx="19">
                  <c:v>0.31043956043956028</c:v>
                </c:pt>
                <c:pt idx="20">
                  <c:v>0.32967032967032961</c:v>
                </c:pt>
                <c:pt idx="21">
                  <c:v>0.34890109890109888</c:v>
                </c:pt>
                <c:pt idx="22">
                  <c:v>0.37087912087912089</c:v>
                </c:pt>
                <c:pt idx="23">
                  <c:v>0.39010989010988995</c:v>
                </c:pt>
                <c:pt idx="24">
                  <c:v>0.41483516483516486</c:v>
                </c:pt>
                <c:pt idx="25">
                  <c:v>0.43956043956043955</c:v>
                </c:pt>
                <c:pt idx="26">
                  <c:v>0.46703296703296693</c:v>
                </c:pt>
                <c:pt idx="27">
                  <c:v>0.49450549450549458</c:v>
                </c:pt>
                <c:pt idx="28">
                  <c:v>0.5219780219780219</c:v>
                </c:pt>
                <c:pt idx="29">
                  <c:v>0.54945054945054927</c:v>
                </c:pt>
                <c:pt idx="30">
                  <c:v>0.57967032967032961</c:v>
                </c:pt>
                <c:pt idx="31">
                  <c:v>0.60714285714285698</c:v>
                </c:pt>
                <c:pt idx="32">
                  <c:v>0.63736263736263732</c:v>
                </c:pt>
                <c:pt idx="33">
                  <c:v>0.66758241758241765</c:v>
                </c:pt>
                <c:pt idx="34">
                  <c:v>0.70604395604395598</c:v>
                </c:pt>
                <c:pt idx="35">
                  <c:v>0.73076923076923062</c:v>
                </c:pt>
                <c:pt idx="36">
                  <c:v>0.77472527472527464</c:v>
                </c:pt>
                <c:pt idx="37">
                  <c:v>0.81868131868131866</c:v>
                </c:pt>
                <c:pt idx="38">
                  <c:v>0.86538461538461531</c:v>
                </c:pt>
                <c:pt idx="39">
                  <c:v>0.91208791208791207</c:v>
                </c:pt>
                <c:pt idx="40">
                  <c:v>0.96153846153846134</c:v>
                </c:pt>
                <c:pt idx="41">
                  <c:v>1.0109890109890109</c:v>
                </c:pt>
                <c:pt idx="42">
                  <c:v>1.0576923076923077</c:v>
                </c:pt>
                <c:pt idx="43">
                  <c:v>1.0824175824175823</c:v>
                </c:pt>
                <c:pt idx="44">
                  <c:v>1.1318681318681316</c:v>
                </c:pt>
                <c:pt idx="45">
                  <c:v>1.1840659340659341</c:v>
                </c:pt>
                <c:pt idx="46">
                  <c:v>1.2362637362637363</c:v>
                </c:pt>
                <c:pt idx="47">
                  <c:v>1.2884615384615383</c:v>
                </c:pt>
                <c:pt idx="48">
                  <c:v>1.3379120879120876</c:v>
                </c:pt>
                <c:pt idx="49">
                  <c:v>1.3846153846153844</c:v>
                </c:pt>
                <c:pt idx="50">
                  <c:v>1.4313186813186811</c:v>
                </c:pt>
                <c:pt idx="51">
                  <c:v>1.4807692307692304</c:v>
                </c:pt>
                <c:pt idx="52">
                  <c:v>1.5274725274725272</c:v>
                </c:pt>
                <c:pt idx="53">
                  <c:v>1.5741758241758237</c:v>
                </c:pt>
                <c:pt idx="54">
                  <c:v>1.6181318681318677</c:v>
                </c:pt>
                <c:pt idx="55">
                  <c:v>1.6648351648351645</c:v>
                </c:pt>
                <c:pt idx="56">
                  <c:v>1.7087912087912085</c:v>
                </c:pt>
                <c:pt idx="57">
                  <c:v>1.755494505494505</c:v>
                </c:pt>
                <c:pt idx="58">
                  <c:v>1.8021978021978018</c:v>
                </c:pt>
                <c:pt idx="59">
                  <c:v>1.8489010989010985</c:v>
                </c:pt>
                <c:pt idx="60">
                  <c:v>1.9285714285714284</c:v>
                </c:pt>
                <c:pt idx="61">
                  <c:v>1.9725274725274724</c:v>
                </c:pt>
                <c:pt idx="62">
                  <c:v>2.0164835164835164</c:v>
                </c:pt>
                <c:pt idx="63">
                  <c:v>2.063186813186813</c:v>
                </c:pt>
                <c:pt idx="64">
                  <c:v>2.1126373626373622</c:v>
                </c:pt>
                <c:pt idx="65">
                  <c:v>2.1648351648351647</c:v>
                </c:pt>
                <c:pt idx="66">
                  <c:v>2.2197802197802199</c:v>
                </c:pt>
                <c:pt idx="67">
                  <c:v>2.2747252747252746</c:v>
                </c:pt>
                <c:pt idx="68">
                  <c:v>2.3296703296703294</c:v>
                </c:pt>
                <c:pt idx="69">
                  <c:v>2.3873626373626373</c:v>
                </c:pt>
                <c:pt idx="70">
                  <c:v>2.4450549450549444</c:v>
                </c:pt>
                <c:pt idx="71">
                  <c:v>2.5027472527472523</c:v>
                </c:pt>
                <c:pt idx="72">
                  <c:v>2.5604395604395602</c:v>
                </c:pt>
                <c:pt idx="73">
                  <c:v>2.5989010989010985</c:v>
                </c:pt>
                <c:pt idx="74">
                  <c:v>2.6593406593406592</c:v>
                </c:pt>
                <c:pt idx="75">
                  <c:v>2.7225274725274726</c:v>
                </c:pt>
                <c:pt idx="76">
                  <c:v>2.7829670329670324</c:v>
                </c:pt>
                <c:pt idx="77">
                  <c:v>2.8434065934065931</c:v>
                </c:pt>
                <c:pt idx="78">
                  <c:v>2.9038461538461537</c:v>
                </c:pt>
                <c:pt idx="79">
                  <c:v>2.9615384615384612</c:v>
                </c:pt>
                <c:pt idx="80">
                  <c:v>3.016483516483516</c:v>
                </c:pt>
                <c:pt idx="81">
                  <c:v>3.0714285714285712</c:v>
                </c:pt>
                <c:pt idx="82">
                  <c:v>3.1263736263736259</c:v>
                </c:pt>
                <c:pt idx="83">
                  <c:v>3.1785714285714284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4F9-4868-9F54-2D1095A4FC5F}"/>
            </c:ext>
          </c:extLst>
        </c:ser>
        <c:ser>
          <c:idx val="4"/>
          <c:order val="4"/>
          <c:tx>
            <c:strRef>
              <c:f>'вместе-отн'!$F$1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'вместе-отн'!$F$2:$F$85</c:f>
              <c:numCache>
                <c:formatCode>0.00</c:formatCode>
                <c:ptCount val="84"/>
                <c:pt idx="0">
                  <c:v>0</c:v>
                </c:pt>
                <c:pt idx="1">
                  <c:v>2.4475524475524577E-2</c:v>
                </c:pt>
                <c:pt idx="2">
                  <c:v>5.4195804195804283E-2</c:v>
                </c:pt>
                <c:pt idx="3">
                  <c:v>6.4685314685314702E-2</c:v>
                </c:pt>
                <c:pt idx="4">
                  <c:v>8.5664335664335706E-2</c:v>
                </c:pt>
                <c:pt idx="5">
                  <c:v>0.1136363636363637</c:v>
                </c:pt>
                <c:pt idx="6">
                  <c:v>0.1293706293706294</c:v>
                </c:pt>
                <c:pt idx="7">
                  <c:v>0.15209790209790211</c:v>
                </c:pt>
                <c:pt idx="8">
                  <c:v>0.17482517482517484</c:v>
                </c:pt>
                <c:pt idx="9">
                  <c:v>0.19930069930069941</c:v>
                </c:pt>
                <c:pt idx="10">
                  <c:v>0.22377622377622383</c:v>
                </c:pt>
                <c:pt idx="11">
                  <c:v>0.24825174825174826</c:v>
                </c:pt>
                <c:pt idx="12">
                  <c:v>0.27272727272727282</c:v>
                </c:pt>
                <c:pt idx="13">
                  <c:v>0.29895104895104896</c:v>
                </c:pt>
                <c:pt idx="14">
                  <c:v>0.32342657342657355</c:v>
                </c:pt>
                <c:pt idx="15">
                  <c:v>0.35139860139860152</c:v>
                </c:pt>
                <c:pt idx="16">
                  <c:v>0.37762237762237766</c:v>
                </c:pt>
                <c:pt idx="17">
                  <c:v>0.4038461538461538</c:v>
                </c:pt>
                <c:pt idx="18">
                  <c:v>0.43356643356643348</c:v>
                </c:pt>
                <c:pt idx="19">
                  <c:v>0.46153846153846151</c:v>
                </c:pt>
                <c:pt idx="20">
                  <c:v>0.49125874125874119</c:v>
                </c:pt>
                <c:pt idx="21">
                  <c:v>0.52097902097902093</c:v>
                </c:pt>
                <c:pt idx="22">
                  <c:v>0.55594405594405605</c:v>
                </c:pt>
                <c:pt idx="23">
                  <c:v>0.59090909090909094</c:v>
                </c:pt>
                <c:pt idx="24">
                  <c:v>0.62937062937062949</c:v>
                </c:pt>
                <c:pt idx="25">
                  <c:v>0.6678321678321677</c:v>
                </c:pt>
                <c:pt idx="26">
                  <c:v>0.70804195804195802</c:v>
                </c:pt>
                <c:pt idx="27">
                  <c:v>0.75174825174825177</c:v>
                </c:pt>
                <c:pt idx="28">
                  <c:v>0.79545454545454541</c:v>
                </c:pt>
                <c:pt idx="29">
                  <c:v>0.84090909090909083</c:v>
                </c:pt>
                <c:pt idx="30">
                  <c:v>0.88811188811188835</c:v>
                </c:pt>
                <c:pt idx="31">
                  <c:v>0.89685314685314688</c:v>
                </c:pt>
                <c:pt idx="32">
                  <c:v>0.93881118881118886</c:v>
                </c:pt>
                <c:pt idx="33">
                  <c:v>0.98076923076923084</c:v>
                </c:pt>
                <c:pt idx="34">
                  <c:v>1.0314685314685315</c:v>
                </c:pt>
                <c:pt idx="35">
                  <c:v>1.0646853146853148</c:v>
                </c:pt>
                <c:pt idx="36">
                  <c:v>1.1101398601398602</c:v>
                </c:pt>
                <c:pt idx="37">
                  <c:v>1.1573426573426575</c:v>
                </c:pt>
                <c:pt idx="38">
                  <c:v>1.2674825174825177</c:v>
                </c:pt>
                <c:pt idx="39">
                  <c:v>1.3758741258741261</c:v>
                </c:pt>
                <c:pt idx="40">
                  <c:v>1.4527972027972027</c:v>
                </c:pt>
                <c:pt idx="41">
                  <c:v>1.5314685314685319</c:v>
                </c:pt>
                <c:pt idx="42">
                  <c:v>1.6118881118881117</c:v>
                </c:pt>
                <c:pt idx="43">
                  <c:v>1.6958041958041958</c:v>
                </c:pt>
                <c:pt idx="44">
                  <c:v>1.7814685314685317</c:v>
                </c:pt>
                <c:pt idx="45">
                  <c:v>1.8706293706293713</c:v>
                </c:pt>
                <c:pt idx="46">
                  <c:v>1.9615384615384621</c:v>
                </c:pt>
                <c:pt idx="47">
                  <c:v>2.0559440559440563</c:v>
                </c:pt>
                <c:pt idx="48">
                  <c:v>2.1538461538461542</c:v>
                </c:pt>
                <c:pt idx="49">
                  <c:v>2.2290209790209792</c:v>
                </c:pt>
                <c:pt idx="50">
                  <c:v>2.314685314685315</c:v>
                </c:pt>
                <c:pt idx="51">
                  <c:v>2.4020979020979025</c:v>
                </c:pt>
                <c:pt idx="52">
                  <c:v>2.4930069930069934</c:v>
                </c:pt>
                <c:pt idx="53">
                  <c:v>2.5891608391608396</c:v>
                </c:pt>
                <c:pt idx="54">
                  <c:v>2.6870629370629375</c:v>
                </c:pt>
                <c:pt idx="55">
                  <c:v>2.7884615384615392</c:v>
                </c:pt>
                <c:pt idx="56">
                  <c:v>2.9055944055944058</c:v>
                </c:pt>
                <c:pt idx="57">
                  <c:v>3.0174825174825179</c:v>
                </c:pt>
                <c:pt idx="58">
                  <c:v>3.1328671328671334</c:v>
                </c:pt>
                <c:pt idx="59">
                  <c:v>3.2534965034965033</c:v>
                </c:pt>
                <c:pt idx="60">
                  <c:v>3.2709790209790213</c:v>
                </c:pt>
                <c:pt idx="61">
                  <c:v>3.3548951048951055</c:v>
                </c:pt>
                <c:pt idx="62">
                  <c:v>3.4370629370629371</c:v>
                </c:pt>
                <c:pt idx="63">
                  <c:v>3.5262237762237767</c:v>
                </c:pt>
                <c:pt idx="64">
                  <c:v>3.6206293706293708</c:v>
                </c:pt>
                <c:pt idx="65">
                  <c:v>3.715034965034965</c:v>
                </c:pt>
                <c:pt idx="66">
                  <c:v>3.8076923076923079</c:v>
                </c:pt>
                <c:pt idx="67">
                  <c:v>3.9055944055944058</c:v>
                </c:pt>
                <c:pt idx="68">
                  <c:v>4.1538461538461542</c:v>
                </c:pt>
                <c:pt idx="69">
                  <c:v>4.2482517482517483</c:v>
                </c:pt>
                <c:pt idx="70">
                  <c:v>4.3461538461538458</c:v>
                </c:pt>
                <c:pt idx="71">
                  <c:v>4.4440559440559442</c:v>
                </c:pt>
                <c:pt idx="72">
                  <c:v>4.5454545454545459</c:v>
                </c:pt>
                <c:pt idx="73">
                  <c:v>4.6468531468531467</c:v>
                </c:pt>
                <c:pt idx="74">
                  <c:v>4.7412587412587426</c:v>
                </c:pt>
                <c:pt idx="75">
                  <c:v>4.8374125874125875</c:v>
                </c:pt>
                <c:pt idx="76">
                  <c:v>4.9353146853146859</c:v>
                </c:pt>
                <c:pt idx="77">
                  <c:v>5.0349650349650359</c:v>
                </c:pt>
                <c:pt idx="78">
                  <c:v>5.1363636363636367</c:v>
                </c:pt>
                <c:pt idx="79">
                  <c:v>5.2290209790209801</c:v>
                </c:pt>
                <c:pt idx="80">
                  <c:v>5.3216783216783217</c:v>
                </c:pt>
                <c:pt idx="81">
                  <c:v>5.4160839160839167</c:v>
                </c:pt>
                <c:pt idx="82">
                  <c:v>6.2657342657342667</c:v>
                </c:pt>
                <c:pt idx="83">
                  <c:v>6.3986013986013992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F9-4868-9F54-2D1095A4FC5F}"/>
            </c:ext>
          </c:extLst>
        </c:ser>
        <c:ser>
          <c:idx val="5"/>
          <c:order val="5"/>
          <c:tx>
            <c:strRef>
              <c:f>'вместе-отн'!$G$1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'вместе-отн'!$G$2:$G$85</c:f>
              <c:numCache>
                <c:formatCode>0.00</c:formatCode>
                <c:ptCount val="84"/>
                <c:pt idx="0">
                  <c:v>0</c:v>
                </c:pt>
                <c:pt idx="1">
                  <c:v>2.4999999999999883E-2</c:v>
                </c:pt>
                <c:pt idx="2">
                  <c:v>4.9999999999999906E-2</c:v>
                </c:pt>
                <c:pt idx="3">
                  <c:v>4.9999999999999906E-2</c:v>
                </c:pt>
                <c:pt idx="4">
                  <c:v>7.4999999999999928E-2</c:v>
                </c:pt>
                <c:pt idx="5">
                  <c:v>7.4999999999999928E-2</c:v>
                </c:pt>
                <c:pt idx="6">
                  <c:v>9.999999999999995E-2</c:v>
                </c:pt>
                <c:pt idx="7">
                  <c:v>0.12499999999999997</c:v>
                </c:pt>
                <c:pt idx="8">
                  <c:v>0.15</c:v>
                </c:pt>
                <c:pt idx="9">
                  <c:v>0.17499999999999988</c:v>
                </c:pt>
                <c:pt idx="10">
                  <c:v>0.17499999999999988</c:v>
                </c:pt>
                <c:pt idx="11">
                  <c:v>0.1999999999999999</c:v>
                </c:pt>
                <c:pt idx="12">
                  <c:v>0.22499999999999992</c:v>
                </c:pt>
                <c:pt idx="13">
                  <c:v>0.24999999999999994</c:v>
                </c:pt>
                <c:pt idx="14">
                  <c:v>0.27499999999999997</c:v>
                </c:pt>
                <c:pt idx="15">
                  <c:v>0.3</c:v>
                </c:pt>
                <c:pt idx="16">
                  <c:v>0.32500000000000001</c:v>
                </c:pt>
                <c:pt idx="17">
                  <c:v>0.35000000000000003</c:v>
                </c:pt>
                <c:pt idx="18">
                  <c:v>0.37500000000000006</c:v>
                </c:pt>
                <c:pt idx="19">
                  <c:v>0.40000000000000008</c:v>
                </c:pt>
                <c:pt idx="20">
                  <c:v>0.44999999999999984</c:v>
                </c:pt>
                <c:pt idx="21">
                  <c:v>0.47499999999999987</c:v>
                </c:pt>
                <c:pt idx="22">
                  <c:v>0.52499999999999991</c:v>
                </c:pt>
                <c:pt idx="23">
                  <c:v>0.54999999999999993</c:v>
                </c:pt>
                <c:pt idx="24">
                  <c:v>0.57499999999999996</c:v>
                </c:pt>
                <c:pt idx="25">
                  <c:v>0.625</c:v>
                </c:pt>
                <c:pt idx="26">
                  <c:v>0.65</c:v>
                </c:pt>
                <c:pt idx="27">
                  <c:v>0.70000000000000007</c:v>
                </c:pt>
                <c:pt idx="28">
                  <c:v>0.74999999999999978</c:v>
                </c:pt>
                <c:pt idx="29">
                  <c:v>0.7749999999999998</c:v>
                </c:pt>
                <c:pt idx="30">
                  <c:v>0.82499999999999984</c:v>
                </c:pt>
                <c:pt idx="31">
                  <c:v>0.87499999999999989</c:v>
                </c:pt>
                <c:pt idx="32">
                  <c:v>0.92499999999999993</c:v>
                </c:pt>
                <c:pt idx="33">
                  <c:v>1</c:v>
                </c:pt>
                <c:pt idx="34">
                  <c:v>1.0749999999999997</c:v>
                </c:pt>
                <c:pt idx="35">
                  <c:v>1.3</c:v>
                </c:pt>
                <c:pt idx="36">
                  <c:v>1.3749999999999998</c:v>
                </c:pt>
                <c:pt idx="37">
                  <c:v>1.4749999999999999</c:v>
                </c:pt>
                <c:pt idx="38">
                  <c:v>1.575</c:v>
                </c:pt>
                <c:pt idx="39">
                  <c:v>1.675</c:v>
                </c:pt>
                <c:pt idx="40">
                  <c:v>1.7750000000000001</c:v>
                </c:pt>
                <c:pt idx="41">
                  <c:v>1.8749999999999996</c:v>
                </c:pt>
                <c:pt idx="42">
                  <c:v>1.9749999999999996</c:v>
                </c:pt>
                <c:pt idx="43">
                  <c:v>2.125</c:v>
                </c:pt>
                <c:pt idx="44">
                  <c:v>2.25</c:v>
                </c:pt>
                <c:pt idx="45">
                  <c:v>2.375</c:v>
                </c:pt>
                <c:pt idx="46">
                  <c:v>2.4749999999999996</c:v>
                </c:pt>
                <c:pt idx="47">
                  <c:v>2.6</c:v>
                </c:pt>
                <c:pt idx="48">
                  <c:v>2.7249999999999996</c:v>
                </c:pt>
                <c:pt idx="49">
                  <c:v>2.85</c:v>
                </c:pt>
                <c:pt idx="50">
                  <c:v>2.9749999999999996</c:v>
                </c:pt>
                <c:pt idx="51">
                  <c:v>3.0749999999999997</c:v>
                </c:pt>
                <c:pt idx="52">
                  <c:v>3.2250000000000001</c:v>
                </c:pt>
                <c:pt idx="53">
                  <c:v>3.3250000000000002</c:v>
                </c:pt>
                <c:pt idx="54">
                  <c:v>3.4999999999999996</c:v>
                </c:pt>
                <c:pt idx="55">
                  <c:v>3.5999999999999996</c:v>
                </c:pt>
                <c:pt idx="56">
                  <c:v>3.6750000000000003</c:v>
                </c:pt>
                <c:pt idx="57">
                  <c:v>3.8</c:v>
                </c:pt>
                <c:pt idx="58">
                  <c:v>3.9</c:v>
                </c:pt>
                <c:pt idx="59">
                  <c:v>4.0249999999999995</c:v>
                </c:pt>
                <c:pt idx="60">
                  <c:v>4.1749999999999998</c:v>
                </c:pt>
                <c:pt idx="61">
                  <c:v>4.3</c:v>
                </c:pt>
                <c:pt idx="62">
                  <c:v>4.4249999999999998</c:v>
                </c:pt>
                <c:pt idx="63">
                  <c:v>4.625</c:v>
                </c:pt>
                <c:pt idx="64">
                  <c:v>4.6749999999999998</c:v>
                </c:pt>
                <c:pt idx="65">
                  <c:v>5.05</c:v>
                </c:pt>
                <c:pt idx="66">
                  <c:v>5.25</c:v>
                </c:pt>
                <c:pt idx="67">
                  <c:v>5.4249999999999998</c:v>
                </c:pt>
                <c:pt idx="68">
                  <c:v>5.6000000000000005</c:v>
                </c:pt>
                <c:pt idx="69">
                  <c:v>5.8000000000000007</c:v>
                </c:pt>
                <c:pt idx="70">
                  <c:v>5.9499999999999993</c:v>
                </c:pt>
                <c:pt idx="71">
                  <c:v>6.125</c:v>
                </c:pt>
                <c:pt idx="72">
                  <c:v>6.3</c:v>
                </c:pt>
                <c:pt idx="73">
                  <c:v>6.0250000000000004</c:v>
                </c:pt>
                <c:pt idx="74">
                  <c:v>6.1749999999999998</c:v>
                </c:pt>
                <c:pt idx="75">
                  <c:v>6.35</c:v>
                </c:pt>
                <c:pt idx="76">
                  <c:v>6.5249999999999995</c:v>
                </c:pt>
                <c:pt idx="77">
                  <c:v>7.1749999999999998</c:v>
                </c:pt>
                <c:pt idx="78">
                  <c:v>7.3250000000000002</c:v>
                </c:pt>
                <c:pt idx="79">
                  <c:v>7</c:v>
                </c:pt>
                <c:pt idx="80">
                  <c:v>7.1749999999999998</c:v>
                </c:pt>
                <c:pt idx="81">
                  <c:v>7.35</c:v>
                </c:pt>
                <c:pt idx="82">
                  <c:v>8.8249999999999993</c:v>
                </c:pt>
                <c:pt idx="83">
                  <c:v>9.0499999999999989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4F9-4868-9F54-2D1095A4FC5F}"/>
            </c:ext>
          </c:extLst>
        </c:ser>
        <c:ser>
          <c:idx val="6"/>
          <c:order val="6"/>
          <c:tx>
            <c:strRef>
              <c:f>'вместе-отн'!$H$1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'вместе-отн'!$H$2:$H$85</c:f>
              <c:numCache>
                <c:formatCode>0.00</c:formatCode>
                <c:ptCount val="84"/>
                <c:pt idx="0">
                  <c:v>0</c:v>
                </c:pt>
                <c:pt idx="1">
                  <c:v>2.9090909090909115E-2</c:v>
                </c:pt>
                <c:pt idx="2">
                  <c:v>5.818181818181823E-2</c:v>
                </c:pt>
                <c:pt idx="3">
                  <c:v>9.0909090909090912E-2</c:v>
                </c:pt>
                <c:pt idx="4">
                  <c:v>0.12000000000000002</c:v>
                </c:pt>
                <c:pt idx="5">
                  <c:v>0.15272727272727271</c:v>
                </c:pt>
                <c:pt idx="6">
                  <c:v>0.18545454545454537</c:v>
                </c:pt>
                <c:pt idx="7">
                  <c:v>0.21818181818181823</c:v>
                </c:pt>
                <c:pt idx="8">
                  <c:v>0.24727272727272734</c:v>
                </c:pt>
                <c:pt idx="9">
                  <c:v>0.28000000000000003</c:v>
                </c:pt>
                <c:pt idx="10">
                  <c:v>0.31272727272727269</c:v>
                </c:pt>
                <c:pt idx="11">
                  <c:v>0.27636363636363631</c:v>
                </c:pt>
                <c:pt idx="12">
                  <c:v>0.30181818181818182</c:v>
                </c:pt>
                <c:pt idx="13">
                  <c:v>0.32727272727272722</c:v>
                </c:pt>
                <c:pt idx="14">
                  <c:v>0.44</c:v>
                </c:pt>
                <c:pt idx="15">
                  <c:v>0.44</c:v>
                </c:pt>
                <c:pt idx="16">
                  <c:v>0.44</c:v>
                </c:pt>
                <c:pt idx="17">
                  <c:v>0.46909090909090911</c:v>
                </c:pt>
                <c:pt idx="18">
                  <c:v>0.48000000000000009</c:v>
                </c:pt>
                <c:pt idx="19">
                  <c:v>0.49454545454545468</c:v>
                </c:pt>
                <c:pt idx="20">
                  <c:v>0.51636363636363636</c:v>
                </c:pt>
                <c:pt idx="21">
                  <c:v>0.53818181818181832</c:v>
                </c:pt>
                <c:pt idx="22">
                  <c:v>0.54545454545454541</c:v>
                </c:pt>
                <c:pt idx="23">
                  <c:v>0.56000000000000005</c:v>
                </c:pt>
                <c:pt idx="24">
                  <c:v>0.57454545454545458</c:v>
                </c:pt>
                <c:pt idx="25">
                  <c:v>0.58909090909090911</c:v>
                </c:pt>
                <c:pt idx="26">
                  <c:v>0.73818181818181827</c:v>
                </c:pt>
                <c:pt idx="27">
                  <c:v>0.76363636363636356</c:v>
                </c:pt>
                <c:pt idx="28">
                  <c:v>0.79272727272727261</c:v>
                </c:pt>
                <c:pt idx="29">
                  <c:v>0.83272727272727276</c:v>
                </c:pt>
                <c:pt idx="30">
                  <c:v>0.87272727272727291</c:v>
                </c:pt>
                <c:pt idx="31">
                  <c:v>0.91636363636363616</c:v>
                </c:pt>
                <c:pt idx="32">
                  <c:v>0.95999999999999985</c:v>
                </c:pt>
                <c:pt idx="33">
                  <c:v>1.0036363636363637</c:v>
                </c:pt>
                <c:pt idx="34">
                  <c:v>1.0436363636363637</c:v>
                </c:pt>
                <c:pt idx="35">
                  <c:v>1.0836363636363637</c:v>
                </c:pt>
                <c:pt idx="36">
                  <c:v>1.1963636363636363</c:v>
                </c:pt>
                <c:pt idx="37">
                  <c:v>1.24</c:v>
                </c:pt>
                <c:pt idx="38">
                  <c:v>1.2836363636363637</c:v>
                </c:pt>
                <c:pt idx="39">
                  <c:v>1.330909090909091</c:v>
                </c:pt>
                <c:pt idx="40">
                  <c:v>1.3781818181818182</c:v>
                </c:pt>
                <c:pt idx="41">
                  <c:v>1.458181818181818</c:v>
                </c:pt>
                <c:pt idx="42">
                  <c:v>1.5090909090909093</c:v>
                </c:pt>
                <c:pt idx="43">
                  <c:v>1.5563636363636364</c:v>
                </c:pt>
                <c:pt idx="44">
                  <c:v>1.5927272727272728</c:v>
                </c:pt>
                <c:pt idx="45">
                  <c:v>1.6363636363636365</c:v>
                </c:pt>
                <c:pt idx="46">
                  <c:v>1.6945454545454546</c:v>
                </c:pt>
                <c:pt idx="47">
                  <c:v>1.7672727272727273</c:v>
                </c:pt>
                <c:pt idx="48">
                  <c:v>1.8399999999999999</c:v>
                </c:pt>
                <c:pt idx="49">
                  <c:v>1.9054545454545455</c:v>
                </c:pt>
                <c:pt idx="50">
                  <c:v>1.9600000000000002</c:v>
                </c:pt>
                <c:pt idx="51">
                  <c:v>2.0109090909090908</c:v>
                </c:pt>
                <c:pt idx="52">
                  <c:v>2.061818181818182</c:v>
                </c:pt>
                <c:pt idx="53">
                  <c:v>2.1090909090909093</c:v>
                </c:pt>
                <c:pt idx="54">
                  <c:v>2.1599999999999997</c:v>
                </c:pt>
                <c:pt idx="55">
                  <c:v>2.2218181818181817</c:v>
                </c:pt>
                <c:pt idx="56">
                  <c:v>2.2872727272727271</c:v>
                </c:pt>
                <c:pt idx="57">
                  <c:v>2.3418181818181818</c:v>
                </c:pt>
                <c:pt idx="58">
                  <c:v>2.1090909090909093</c:v>
                </c:pt>
                <c:pt idx="59">
                  <c:v>2.4290909090909092</c:v>
                </c:pt>
                <c:pt idx="60">
                  <c:v>2.4727272727272731</c:v>
                </c:pt>
                <c:pt idx="61">
                  <c:v>2.5054545454545458</c:v>
                </c:pt>
                <c:pt idx="62">
                  <c:v>2.5345454545454547</c:v>
                </c:pt>
                <c:pt idx="63">
                  <c:v>2.5345454545454547</c:v>
                </c:pt>
                <c:pt idx="64">
                  <c:v>2.5345454545454547</c:v>
                </c:pt>
                <c:pt idx="65">
                  <c:v>2.5636363636363639</c:v>
                </c:pt>
                <c:pt idx="66">
                  <c:v>2.6</c:v>
                </c:pt>
                <c:pt idx="67">
                  <c:v>2.6327272727272728</c:v>
                </c:pt>
                <c:pt idx="68">
                  <c:v>2.6727272727272724</c:v>
                </c:pt>
                <c:pt idx="69">
                  <c:v>2.709090909090909</c:v>
                </c:pt>
                <c:pt idx="70">
                  <c:v>2.7454545454545456</c:v>
                </c:pt>
                <c:pt idx="71">
                  <c:v>2.7854545454545456</c:v>
                </c:pt>
                <c:pt idx="72">
                  <c:v>2.8254545454545452</c:v>
                </c:pt>
                <c:pt idx="73">
                  <c:v>2.8654545454545457</c:v>
                </c:pt>
                <c:pt idx="74">
                  <c:v>2.9054545454545457</c:v>
                </c:pt>
                <c:pt idx="75">
                  <c:v>2.938181818181818</c:v>
                </c:pt>
                <c:pt idx="76">
                  <c:v>2.9636363636363638</c:v>
                </c:pt>
                <c:pt idx="77">
                  <c:v>2.9818181818181815</c:v>
                </c:pt>
                <c:pt idx="78">
                  <c:v>2.9927272727272727</c:v>
                </c:pt>
                <c:pt idx="79">
                  <c:v>3.0072727272727273</c:v>
                </c:pt>
                <c:pt idx="80">
                  <c:v>3.021818181818182</c:v>
                </c:pt>
                <c:pt idx="81">
                  <c:v>3.0436363636363635</c:v>
                </c:pt>
                <c:pt idx="82">
                  <c:v>3.0581818181818181</c:v>
                </c:pt>
                <c:pt idx="83">
                  <c:v>3.0727272727272723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4F9-4868-9F54-2D1095A4FC5F}"/>
            </c:ext>
          </c:extLst>
        </c:ser>
        <c:ser>
          <c:idx val="7"/>
          <c:order val="7"/>
          <c:tx>
            <c:strRef>
              <c:f>'вместе-отн'!$I$1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'вместе-отн'!$I$2:$I$85</c:f>
              <c:numCache>
                <c:formatCode>0.00</c:formatCode>
                <c:ptCount val="84"/>
                <c:pt idx="0">
                  <c:v>0</c:v>
                </c:pt>
                <c:pt idx="1">
                  <c:v>1.1904761904761916E-2</c:v>
                </c:pt>
                <c:pt idx="2">
                  <c:v>3.5714285714285747E-2</c:v>
                </c:pt>
                <c:pt idx="3">
                  <c:v>4.7619047619047665E-2</c:v>
                </c:pt>
                <c:pt idx="4">
                  <c:v>8.3333333333333412E-2</c:v>
                </c:pt>
                <c:pt idx="5">
                  <c:v>0.13095238095238093</c:v>
                </c:pt>
                <c:pt idx="6">
                  <c:v>0.16666666666666669</c:v>
                </c:pt>
                <c:pt idx="7">
                  <c:v>0.21428571428571436</c:v>
                </c:pt>
                <c:pt idx="8">
                  <c:v>0.25000000000000011</c:v>
                </c:pt>
                <c:pt idx="9">
                  <c:v>0.29761904761904778</c:v>
                </c:pt>
                <c:pt idx="10">
                  <c:v>0.34523809523809518</c:v>
                </c:pt>
                <c:pt idx="11">
                  <c:v>0.39285714285714285</c:v>
                </c:pt>
                <c:pt idx="12">
                  <c:v>0.44047619047619047</c:v>
                </c:pt>
                <c:pt idx="13">
                  <c:v>0.50000000000000011</c:v>
                </c:pt>
                <c:pt idx="14">
                  <c:v>0.54761904761904778</c:v>
                </c:pt>
                <c:pt idx="15">
                  <c:v>0.60714285714285732</c:v>
                </c:pt>
                <c:pt idx="16">
                  <c:v>0.65476190476190466</c:v>
                </c:pt>
                <c:pt idx="17">
                  <c:v>0.7142857142857143</c:v>
                </c:pt>
                <c:pt idx="18">
                  <c:v>0.76190476190476197</c:v>
                </c:pt>
                <c:pt idx="19">
                  <c:v>0.80952380952380965</c:v>
                </c:pt>
                <c:pt idx="20">
                  <c:v>0.85714285714285732</c:v>
                </c:pt>
                <c:pt idx="21">
                  <c:v>0.90476190476190499</c:v>
                </c:pt>
                <c:pt idx="22">
                  <c:v>0.94047619047619047</c:v>
                </c:pt>
                <c:pt idx="23">
                  <c:v>1.0952380952380953</c:v>
                </c:pt>
                <c:pt idx="24">
                  <c:v>1.142857142857143</c:v>
                </c:pt>
                <c:pt idx="25">
                  <c:v>1.1904761904761905</c:v>
                </c:pt>
                <c:pt idx="26">
                  <c:v>1.2499999999999998</c:v>
                </c:pt>
                <c:pt idx="27">
                  <c:v>1.2976190476190474</c:v>
                </c:pt>
                <c:pt idx="28">
                  <c:v>1.3571428571428574</c:v>
                </c:pt>
                <c:pt idx="29">
                  <c:v>1.4166666666666667</c:v>
                </c:pt>
                <c:pt idx="30">
                  <c:v>1.4761904761904765</c:v>
                </c:pt>
                <c:pt idx="31">
                  <c:v>1.5357142857142858</c:v>
                </c:pt>
                <c:pt idx="32">
                  <c:v>1.6071428571428572</c:v>
                </c:pt>
                <c:pt idx="33">
                  <c:v>1.6666666666666672</c:v>
                </c:pt>
                <c:pt idx="34">
                  <c:v>1.7500000000000002</c:v>
                </c:pt>
                <c:pt idx="35">
                  <c:v>1.7261904761904765</c:v>
                </c:pt>
                <c:pt idx="36">
                  <c:v>1.8214285714285718</c:v>
                </c:pt>
                <c:pt idx="37">
                  <c:v>1.9166666666666672</c:v>
                </c:pt>
                <c:pt idx="38">
                  <c:v>2.0238095238095242</c:v>
                </c:pt>
                <c:pt idx="39">
                  <c:v>2.1309523809523809</c:v>
                </c:pt>
                <c:pt idx="40">
                  <c:v>2.2500000000000004</c:v>
                </c:pt>
                <c:pt idx="41">
                  <c:v>2.3690476190476195</c:v>
                </c:pt>
                <c:pt idx="42">
                  <c:v>2.4880952380952386</c:v>
                </c:pt>
                <c:pt idx="43">
                  <c:v>2.6190476190476195</c:v>
                </c:pt>
                <c:pt idx="44">
                  <c:v>2.7142857142857149</c:v>
                </c:pt>
                <c:pt idx="45">
                  <c:v>2.8214285714285716</c:v>
                </c:pt>
                <c:pt idx="46">
                  <c:v>2.9404761904761907</c:v>
                </c:pt>
                <c:pt idx="47">
                  <c:v>3.0595238095238098</c:v>
                </c:pt>
                <c:pt idx="48">
                  <c:v>3.1785714285714288</c:v>
                </c:pt>
                <c:pt idx="49">
                  <c:v>3.3095238095238098</c:v>
                </c:pt>
                <c:pt idx="50">
                  <c:v>3.4285714285714293</c:v>
                </c:pt>
                <c:pt idx="51">
                  <c:v>3.5595238095238098</c:v>
                </c:pt>
                <c:pt idx="52">
                  <c:v>3.702380952380953</c:v>
                </c:pt>
                <c:pt idx="53">
                  <c:v>3.833333333333333</c:v>
                </c:pt>
                <c:pt idx="54">
                  <c:v>3.9761904761904763</c:v>
                </c:pt>
                <c:pt idx="55">
                  <c:v>4.1190476190476195</c:v>
                </c:pt>
                <c:pt idx="56">
                  <c:v>4.2738095238095237</c:v>
                </c:pt>
                <c:pt idx="57">
                  <c:v>4.4285714285714288</c:v>
                </c:pt>
                <c:pt idx="58">
                  <c:v>4.5952380952380958</c:v>
                </c:pt>
                <c:pt idx="59">
                  <c:v>4.8214285714285712</c:v>
                </c:pt>
                <c:pt idx="60">
                  <c:v>4.988095238095239</c:v>
                </c:pt>
                <c:pt idx="61">
                  <c:v>5.1547619047619051</c:v>
                </c:pt>
                <c:pt idx="62">
                  <c:v>5.3095238095238093</c:v>
                </c:pt>
                <c:pt idx="63">
                  <c:v>5.4761904761904772</c:v>
                </c:pt>
                <c:pt idx="64">
                  <c:v>5.6428571428571432</c:v>
                </c:pt>
                <c:pt idx="65">
                  <c:v>6.1190476190476195</c:v>
                </c:pt>
                <c:pt idx="66">
                  <c:v>6.2857142857142865</c:v>
                </c:pt>
                <c:pt idx="67">
                  <c:v>6.4642857142857144</c:v>
                </c:pt>
                <c:pt idx="68">
                  <c:v>6.6428571428571432</c:v>
                </c:pt>
                <c:pt idx="69">
                  <c:v>6.8214285714285721</c:v>
                </c:pt>
                <c:pt idx="70">
                  <c:v>7</c:v>
                </c:pt>
                <c:pt idx="71">
                  <c:v>7.1785714285714288</c:v>
                </c:pt>
                <c:pt idx="72">
                  <c:v>7.3571428571428568</c:v>
                </c:pt>
                <c:pt idx="73">
                  <c:v>7.5357142857142865</c:v>
                </c:pt>
                <c:pt idx="74">
                  <c:v>7.7142857142857153</c:v>
                </c:pt>
                <c:pt idx="75">
                  <c:v>7.8928571428571432</c:v>
                </c:pt>
                <c:pt idx="76">
                  <c:v>8.0714285714285712</c:v>
                </c:pt>
                <c:pt idx="77">
                  <c:v>8.25</c:v>
                </c:pt>
                <c:pt idx="78">
                  <c:v>8.4285714285714288</c:v>
                </c:pt>
                <c:pt idx="79">
                  <c:v>8.5833333333333339</c:v>
                </c:pt>
                <c:pt idx="80">
                  <c:v>8.6428571428571423</c:v>
                </c:pt>
                <c:pt idx="81">
                  <c:v>8.6428571428571423</c:v>
                </c:pt>
                <c:pt idx="82">
                  <c:v>8.9523809523809526</c:v>
                </c:pt>
                <c:pt idx="83">
                  <c:v>9.1190476190476204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F9-4868-9F54-2D1095A4FC5F}"/>
            </c:ext>
          </c:extLst>
        </c:ser>
        <c:ser>
          <c:idx val="8"/>
          <c:order val="8"/>
          <c:tx>
            <c:strRef>
              <c:f>'вместе-отн'!$J$1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'вместе-отн'!$J$2:$J$85</c:f>
              <c:numCache>
                <c:formatCode>0.00</c:formatCode>
                <c:ptCount val="84"/>
                <c:pt idx="0">
                  <c:v>0</c:v>
                </c:pt>
                <c:pt idx="1">
                  <c:v>6.6225165562913968E-3</c:v>
                </c:pt>
                <c:pt idx="2">
                  <c:v>1.3245033112582794E-2</c:v>
                </c:pt>
                <c:pt idx="3">
                  <c:v>1.986754966887419E-2</c:v>
                </c:pt>
                <c:pt idx="4">
                  <c:v>3.9735099337748381E-2</c:v>
                </c:pt>
                <c:pt idx="5">
                  <c:v>6.6225165562913968E-2</c:v>
                </c:pt>
                <c:pt idx="6">
                  <c:v>9.2715231788079402E-2</c:v>
                </c:pt>
                <c:pt idx="7">
                  <c:v>0.11920529801324499</c:v>
                </c:pt>
                <c:pt idx="8">
                  <c:v>0.13907284768211919</c:v>
                </c:pt>
                <c:pt idx="9">
                  <c:v>0.16556291390728478</c:v>
                </c:pt>
                <c:pt idx="10">
                  <c:v>0.19205298013245034</c:v>
                </c:pt>
                <c:pt idx="11">
                  <c:v>0.21854304635761593</c:v>
                </c:pt>
                <c:pt idx="12">
                  <c:v>0.25827814569536417</c:v>
                </c:pt>
                <c:pt idx="13">
                  <c:v>0.28476821192052976</c:v>
                </c:pt>
                <c:pt idx="14">
                  <c:v>0.32450331125827814</c:v>
                </c:pt>
                <c:pt idx="15">
                  <c:v>0.35761589403973498</c:v>
                </c:pt>
                <c:pt idx="16">
                  <c:v>0.39072847682119211</c:v>
                </c:pt>
                <c:pt idx="17">
                  <c:v>0.41721854304635769</c:v>
                </c:pt>
                <c:pt idx="18">
                  <c:v>0.45695364238410607</c:v>
                </c:pt>
                <c:pt idx="19">
                  <c:v>0.49006622516556292</c:v>
                </c:pt>
                <c:pt idx="20">
                  <c:v>0.52317880794701976</c:v>
                </c:pt>
                <c:pt idx="21">
                  <c:v>0.56291390728476809</c:v>
                </c:pt>
                <c:pt idx="22">
                  <c:v>0.59602649006622521</c:v>
                </c:pt>
                <c:pt idx="23">
                  <c:v>0.63576158940397365</c:v>
                </c:pt>
                <c:pt idx="24">
                  <c:v>0.66887417218543044</c:v>
                </c:pt>
                <c:pt idx="25">
                  <c:v>0.70860927152317887</c:v>
                </c:pt>
                <c:pt idx="26">
                  <c:v>0.7483443708609272</c:v>
                </c:pt>
                <c:pt idx="27">
                  <c:v>0.79470198675496684</c:v>
                </c:pt>
                <c:pt idx="28">
                  <c:v>0.84105960264900648</c:v>
                </c:pt>
                <c:pt idx="29">
                  <c:v>0.88741721854304645</c:v>
                </c:pt>
                <c:pt idx="30">
                  <c:v>0.94701986754966883</c:v>
                </c:pt>
                <c:pt idx="31">
                  <c:v>1</c:v>
                </c:pt>
                <c:pt idx="32">
                  <c:v>1.0529801324503312</c:v>
                </c:pt>
                <c:pt idx="33">
                  <c:v>1.1192052980132452</c:v>
                </c:pt>
                <c:pt idx="34">
                  <c:v>1.1523178807947019</c:v>
                </c:pt>
                <c:pt idx="35">
                  <c:v>1.2715231788079471</c:v>
                </c:pt>
                <c:pt idx="36">
                  <c:v>1.3377483443708607</c:v>
                </c:pt>
                <c:pt idx="37">
                  <c:v>1.4105960264900661</c:v>
                </c:pt>
                <c:pt idx="38">
                  <c:v>1.4834437086092715</c:v>
                </c:pt>
                <c:pt idx="39">
                  <c:v>1.5629139072847684</c:v>
                </c:pt>
                <c:pt idx="40">
                  <c:v>1.6357615894039734</c:v>
                </c:pt>
                <c:pt idx="41">
                  <c:v>1.7218543046357619</c:v>
                </c:pt>
                <c:pt idx="42">
                  <c:v>1.8013245033112586</c:v>
                </c:pt>
                <c:pt idx="43">
                  <c:v>1.8874172185430467</c:v>
                </c:pt>
                <c:pt idx="44">
                  <c:v>1.9801324503311259</c:v>
                </c:pt>
                <c:pt idx="45">
                  <c:v>2.0794701986754971</c:v>
                </c:pt>
                <c:pt idx="46">
                  <c:v>2.1655629139072849</c:v>
                </c:pt>
                <c:pt idx="47">
                  <c:v>2.2649006622516556</c:v>
                </c:pt>
                <c:pt idx="48">
                  <c:v>2.3576158940397356</c:v>
                </c:pt>
                <c:pt idx="49">
                  <c:v>2.4569536423841059</c:v>
                </c:pt>
                <c:pt idx="50">
                  <c:v>2.5761589403973515</c:v>
                </c:pt>
                <c:pt idx="51">
                  <c:v>2.6953642384105962</c:v>
                </c:pt>
                <c:pt idx="52">
                  <c:v>2.8211920529801322</c:v>
                </c:pt>
                <c:pt idx="53">
                  <c:v>2.947019867549669</c:v>
                </c:pt>
                <c:pt idx="54">
                  <c:v>3.0860927152317883</c:v>
                </c:pt>
                <c:pt idx="55">
                  <c:v>3.2251655629139075</c:v>
                </c:pt>
                <c:pt idx="56">
                  <c:v>3.3708609271523176</c:v>
                </c:pt>
                <c:pt idx="57">
                  <c:v>3.5231788079470201</c:v>
                </c:pt>
                <c:pt idx="58">
                  <c:v>3.6556291390728481</c:v>
                </c:pt>
                <c:pt idx="59">
                  <c:v>3.7947019867549669</c:v>
                </c:pt>
                <c:pt idx="60">
                  <c:v>3.9337748344370862</c:v>
                </c:pt>
                <c:pt idx="61">
                  <c:v>4.0794701986754971</c:v>
                </c:pt>
                <c:pt idx="62">
                  <c:v>4.2251655629139071</c:v>
                </c:pt>
                <c:pt idx="63">
                  <c:v>4.3774834437086092</c:v>
                </c:pt>
                <c:pt idx="64">
                  <c:v>4.5364238410596025</c:v>
                </c:pt>
                <c:pt idx="65">
                  <c:v>4.701986754966887</c:v>
                </c:pt>
                <c:pt idx="66">
                  <c:v>4.8675496688741715</c:v>
                </c:pt>
                <c:pt idx="67">
                  <c:v>4.8741721854304636</c:v>
                </c:pt>
                <c:pt idx="68">
                  <c:v>5.0264900662251657</c:v>
                </c:pt>
                <c:pt idx="69">
                  <c:v>5.1788079470198678</c:v>
                </c:pt>
                <c:pt idx="70">
                  <c:v>5.3311258278145699</c:v>
                </c:pt>
                <c:pt idx="71">
                  <c:v>5.4834437086092711</c:v>
                </c:pt>
                <c:pt idx="72">
                  <c:v>5.6423841059602644</c:v>
                </c:pt>
                <c:pt idx="73">
                  <c:v>5.7947019867549665</c:v>
                </c:pt>
                <c:pt idx="74">
                  <c:v>5.9536423841059607</c:v>
                </c:pt>
                <c:pt idx="75">
                  <c:v>6.112582781456954</c:v>
                </c:pt>
                <c:pt idx="76">
                  <c:v>6.2715231788079473</c:v>
                </c:pt>
                <c:pt idx="77">
                  <c:v>6.4304635761589406</c:v>
                </c:pt>
                <c:pt idx="78">
                  <c:v>6.5894039735099348</c:v>
                </c:pt>
                <c:pt idx="79">
                  <c:v>6.7483443708609272</c:v>
                </c:pt>
                <c:pt idx="80">
                  <c:v>6.9072847682119205</c:v>
                </c:pt>
                <c:pt idx="81">
                  <c:v>7.0596026490066226</c:v>
                </c:pt>
                <c:pt idx="82">
                  <c:v>7.2185430463576159</c:v>
                </c:pt>
                <c:pt idx="83">
                  <c:v>7.3774834437086092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4F9-4868-9F54-2D1095A4FC5F}"/>
            </c:ext>
          </c:extLst>
        </c:ser>
        <c:ser>
          <c:idx val="9"/>
          <c:order val="9"/>
          <c:tx>
            <c:strRef>
              <c:f>'вместе-отн'!$K$1</c:f>
              <c:strCache>
                <c:ptCount val="1"/>
                <c:pt idx="0">
                  <c:v>Эль-Сальвадор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'вместе-отн'!$K$2:$K$85</c:f>
              <c:numCache>
                <c:formatCode>0.00</c:formatCode>
                <c:ptCount val="84"/>
                <c:pt idx="0">
                  <c:v>0</c:v>
                </c:pt>
                <c:pt idx="1">
                  <c:v>1.8018018018017834E-2</c:v>
                </c:pt>
                <c:pt idx="2">
                  <c:v>3.6036036036035862E-2</c:v>
                </c:pt>
                <c:pt idx="3">
                  <c:v>5.4054054054053897E-2</c:v>
                </c:pt>
                <c:pt idx="4">
                  <c:v>7.2072072072071933E-2</c:v>
                </c:pt>
                <c:pt idx="5">
                  <c:v>9.9099099099098975E-2</c:v>
                </c:pt>
                <c:pt idx="6">
                  <c:v>0.11711711711711702</c:v>
                </c:pt>
                <c:pt idx="7">
                  <c:v>0.14414414414414406</c:v>
                </c:pt>
                <c:pt idx="8">
                  <c:v>0.17117117117117112</c:v>
                </c:pt>
                <c:pt idx="9">
                  <c:v>0.19819819819819814</c:v>
                </c:pt>
                <c:pt idx="10">
                  <c:v>0.2162162162162162</c:v>
                </c:pt>
                <c:pt idx="11">
                  <c:v>0.25225225225225206</c:v>
                </c:pt>
                <c:pt idx="12">
                  <c:v>0.27027027027027006</c:v>
                </c:pt>
                <c:pt idx="13">
                  <c:v>0.29729729729729715</c:v>
                </c:pt>
                <c:pt idx="14">
                  <c:v>0.31531531531531515</c:v>
                </c:pt>
                <c:pt idx="15">
                  <c:v>0.32432432432432418</c:v>
                </c:pt>
                <c:pt idx="16">
                  <c:v>0.34234234234234223</c:v>
                </c:pt>
                <c:pt idx="17">
                  <c:v>0.36036036036036023</c:v>
                </c:pt>
                <c:pt idx="18">
                  <c:v>0.37837837837837829</c:v>
                </c:pt>
                <c:pt idx="19">
                  <c:v>0.39639639639639629</c:v>
                </c:pt>
                <c:pt idx="20">
                  <c:v>0.41441441441441434</c:v>
                </c:pt>
                <c:pt idx="21">
                  <c:v>0.4324324324324324</c:v>
                </c:pt>
                <c:pt idx="22">
                  <c:v>0.4504504504504504</c:v>
                </c:pt>
                <c:pt idx="23">
                  <c:v>0.46846846846846824</c:v>
                </c:pt>
                <c:pt idx="24">
                  <c:v>0.48648648648648629</c:v>
                </c:pt>
                <c:pt idx="25">
                  <c:v>0.51351351351351338</c:v>
                </c:pt>
                <c:pt idx="26">
                  <c:v>0.52252252252252229</c:v>
                </c:pt>
                <c:pt idx="27">
                  <c:v>0.54954954954954938</c:v>
                </c:pt>
                <c:pt idx="28">
                  <c:v>0.56756756756756743</c:v>
                </c:pt>
                <c:pt idx="29">
                  <c:v>0.58558558558558549</c:v>
                </c:pt>
                <c:pt idx="30">
                  <c:v>0.60360360360360343</c:v>
                </c:pt>
                <c:pt idx="31">
                  <c:v>0.63063063063063052</c:v>
                </c:pt>
                <c:pt idx="32">
                  <c:v>0.6576576576576576</c:v>
                </c:pt>
                <c:pt idx="33">
                  <c:v>0.67567567567567566</c:v>
                </c:pt>
                <c:pt idx="34">
                  <c:v>0.71171171171171144</c:v>
                </c:pt>
                <c:pt idx="35">
                  <c:v>0.77477477477477463</c:v>
                </c:pt>
                <c:pt idx="36">
                  <c:v>0.81981981981981966</c:v>
                </c:pt>
                <c:pt idx="37">
                  <c:v>0.87387387387387372</c:v>
                </c:pt>
                <c:pt idx="38">
                  <c:v>0.92792792792792789</c:v>
                </c:pt>
                <c:pt idx="39">
                  <c:v>0.98198198198198194</c:v>
                </c:pt>
                <c:pt idx="40">
                  <c:v>1.0360360360360357</c:v>
                </c:pt>
                <c:pt idx="41">
                  <c:v>1.0900900900900898</c:v>
                </c:pt>
                <c:pt idx="42">
                  <c:v>1.1531531531531531</c:v>
                </c:pt>
                <c:pt idx="43">
                  <c:v>1.2072072072072071</c:v>
                </c:pt>
                <c:pt idx="44">
                  <c:v>1.2612612612612608</c:v>
                </c:pt>
                <c:pt idx="45">
                  <c:v>1.3693693693693691</c:v>
                </c:pt>
                <c:pt idx="46">
                  <c:v>1.4504504504504505</c:v>
                </c:pt>
                <c:pt idx="47">
                  <c:v>1.5405405405405401</c:v>
                </c:pt>
                <c:pt idx="48">
                  <c:v>1.6396396396396395</c:v>
                </c:pt>
                <c:pt idx="49">
                  <c:v>1.7387387387387385</c:v>
                </c:pt>
                <c:pt idx="50">
                  <c:v>1.8378378378378377</c:v>
                </c:pt>
                <c:pt idx="51">
                  <c:v>1.9459459459459458</c:v>
                </c:pt>
                <c:pt idx="52">
                  <c:v>2.0270270270270268</c:v>
                </c:pt>
                <c:pt idx="53">
                  <c:v>2.099099099099099</c:v>
                </c:pt>
                <c:pt idx="54">
                  <c:v>2.1981981981981975</c:v>
                </c:pt>
                <c:pt idx="55">
                  <c:v>2.3063063063063058</c:v>
                </c:pt>
                <c:pt idx="56">
                  <c:v>2.3963963963963963</c:v>
                </c:pt>
                <c:pt idx="57">
                  <c:v>2.5045045045045047</c:v>
                </c:pt>
                <c:pt idx="58">
                  <c:v>2.6126126126126117</c:v>
                </c:pt>
                <c:pt idx="59">
                  <c:v>2.7117117117117111</c:v>
                </c:pt>
                <c:pt idx="60">
                  <c:v>2.8378378378378373</c:v>
                </c:pt>
                <c:pt idx="61">
                  <c:v>2.918918918918918</c:v>
                </c:pt>
                <c:pt idx="62">
                  <c:v>3</c:v>
                </c:pt>
                <c:pt idx="63">
                  <c:v>3.0630630630630624</c:v>
                </c:pt>
                <c:pt idx="64">
                  <c:v>3.1351351351351346</c:v>
                </c:pt>
                <c:pt idx="65">
                  <c:v>3.198198198198198</c:v>
                </c:pt>
                <c:pt idx="66">
                  <c:v>3.2522522522522515</c:v>
                </c:pt>
                <c:pt idx="67">
                  <c:v>3.3063063063063058</c:v>
                </c:pt>
                <c:pt idx="68">
                  <c:v>3.3783783783783781</c:v>
                </c:pt>
                <c:pt idx="69">
                  <c:v>3.4594594594594592</c:v>
                </c:pt>
                <c:pt idx="70">
                  <c:v>3.5495495495495488</c:v>
                </c:pt>
                <c:pt idx="71">
                  <c:v>3.5855855855855849</c:v>
                </c:pt>
                <c:pt idx="72">
                  <c:v>3.6756756756756754</c:v>
                </c:pt>
                <c:pt idx="73">
                  <c:v>3.6036036036036032</c:v>
                </c:pt>
                <c:pt idx="74">
                  <c:v>3.819819819819819</c:v>
                </c:pt>
                <c:pt idx="75">
                  <c:v>3.9369369369369367</c:v>
                </c:pt>
                <c:pt idx="76">
                  <c:v>3.8918918918918912</c:v>
                </c:pt>
                <c:pt idx="77">
                  <c:v>3.9999999999999991</c:v>
                </c:pt>
                <c:pt idx="78">
                  <c:v>4.108108108108107</c:v>
                </c:pt>
                <c:pt idx="79">
                  <c:v>4.2162162162162158</c:v>
                </c:pt>
                <c:pt idx="80">
                  <c:v>4.3243243243243237</c:v>
                </c:pt>
                <c:pt idx="81">
                  <c:v>4.4324324324324316</c:v>
                </c:pt>
                <c:pt idx="82">
                  <c:v>4.5405405405405403</c:v>
                </c:pt>
                <c:pt idx="83">
                  <c:v>4.6576576576576576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4F9-4868-9F54-2D1095A4FC5F}"/>
            </c:ext>
          </c:extLst>
        </c:ser>
        <c:ser>
          <c:idx val="10"/>
          <c:order val="10"/>
          <c:tx>
            <c:strRef>
              <c:f>'вместе-отн'!$L$1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'вместе-отн'!$L$2:$L$85</c:f>
              <c:numCache>
                <c:formatCode>0.00</c:formatCode>
                <c:ptCount val="84"/>
                <c:pt idx="0">
                  <c:v>0</c:v>
                </c:pt>
                <c:pt idx="1">
                  <c:v>8.1300813008130159E-3</c:v>
                </c:pt>
                <c:pt idx="2">
                  <c:v>2.4390243902439046E-2</c:v>
                </c:pt>
                <c:pt idx="3">
                  <c:v>3.2520325203252064E-2</c:v>
                </c:pt>
                <c:pt idx="4">
                  <c:v>7.3170731707317138E-2</c:v>
                </c:pt>
                <c:pt idx="5">
                  <c:v>0.11382113821138222</c:v>
                </c:pt>
                <c:pt idx="6">
                  <c:v>0.15447154471544711</c:v>
                </c:pt>
                <c:pt idx="7">
                  <c:v>0.1951219512195122</c:v>
                </c:pt>
                <c:pt idx="8">
                  <c:v>0.22764227642276424</c:v>
                </c:pt>
                <c:pt idx="9">
                  <c:v>0.26829268292682934</c:v>
                </c:pt>
                <c:pt idx="10">
                  <c:v>0.30081300813008138</c:v>
                </c:pt>
                <c:pt idx="11">
                  <c:v>0.34959349593495931</c:v>
                </c:pt>
                <c:pt idx="12">
                  <c:v>0.3902439024390244</c:v>
                </c:pt>
                <c:pt idx="13">
                  <c:v>0.43089430894308944</c:v>
                </c:pt>
                <c:pt idx="14">
                  <c:v>0.47154471544715454</c:v>
                </c:pt>
                <c:pt idx="15">
                  <c:v>0.51219512195121963</c:v>
                </c:pt>
                <c:pt idx="16">
                  <c:v>0.55284552845528456</c:v>
                </c:pt>
                <c:pt idx="17">
                  <c:v>0.57723577235772361</c:v>
                </c:pt>
                <c:pt idx="18">
                  <c:v>0.6097560975609756</c:v>
                </c:pt>
                <c:pt idx="19">
                  <c:v>0.64227642276422769</c:v>
                </c:pt>
                <c:pt idx="20">
                  <c:v>0.68292682926829262</c:v>
                </c:pt>
                <c:pt idx="21">
                  <c:v>0.71544715447154461</c:v>
                </c:pt>
                <c:pt idx="22">
                  <c:v>0.74796747967479671</c:v>
                </c:pt>
                <c:pt idx="23">
                  <c:v>0.78861788617886197</c:v>
                </c:pt>
                <c:pt idx="24">
                  <c:v>0.8292682926829269</c:v>
                </c:pt>
                <c:pt idx="25">
                  <c:v>0.86991869918699172</c:v>
                </c:pt>
                <c:pt idx="26">
                  <c:v>0.90243902439024382</c:v>
                </c:pt>
                <c:pt idx="27">
                  <c:v>0.94308943089430908</c:v>
                </c:pt>
                <c:pt idx="28">
                  <c:v>0.98373983739837401</c:v>
                </c:pt>
                <c:pt idx="29">
                  <c:v>1.032520325203252</c:v>
                </c:pt>
                <c:pt idx="30">
                  <c:v>1.089430894308943</c:v>
                </c:pt>
                <c:pt idx="31">
                  <c:v>1.1463414634146343</c:v>
                </c:pt>
                <c:pt idx="32">
                  <c:v>1.2113821138211385</c:v>
                </c:pt>
                <c:pt idx="33">
                  <c:v>1.2845528455284554</c:v>
                </c:pt>
                <c:pt idx="34">
                  <c:v>1.3495934959349596</c:v>
                </c:pt>
                <c:pt idx="35">
                  <c:v>1.4227642276422765</c:v>
                </c:pt>
                <c:pt idx="36">
                  <c:v>1.4959349593495934</c:v>
                </c:pt>
                <c:pt idx="37">
                  <c:v>1.5853658536585367</c:v>
                </c:pt>
                <c:pt idx="38">
                  <c:v>1.6747967479674797</c:v>
                </c:pt>
                <c:pt idx="39">
                  <c:v>1.75609756097561</c:v>
                </c:pt>
                <c:pt idx="40">
                  <c:v>1.8373983739837401</c:v>
                </c:pt>
                <c:pt idx="41">
                  <c:v>1.9349593495934958</c:v>
                </c:pt>
                <c:pt idx="42">
                  <c:v>2.024390243902439</c:v>
                </c:pt>
                <c:pt idx="43">
                  <c:v>2.1138211382113821</c:v>
                </c:pt>
                <c:pt idx="44">
                  <c:v>2.2113821138211383</c:v>
                </c:pt>
                <c:pt idx="45">
                  <c:v>2.3008130081300808</c:v>
                </c:pt>
                <c:pt idx="46">
                  <c:v>2.4065040650406506</c:v>
                </c:pt>
                <c:pt idx="47">
                  <c:v>2.5040650406504064</c:v>
                </c:pt>
                <c:pt idx="48">
                  <c:v>2.5853658536585367</c:v>
                </c:pt>
                <c:pt idx="49">
                  <c:v>2.6585365853658538</c:v>
                </c:pt>
                <c:pt idx="50">
                  <c:v>2.821138211382114</c:v>
                </c:pt>
                <c:pt idx="51">
                  <c:v>2.934959349593496</c:v>
                </c:pt>
                <c:pt idx="52">
                  <c:v>3.0813008130081299</c:v>
                </c:pt>
                <c:pt idx="53">
                  <c:v>3.2845528455284545</c:v>
                </c:pt>
                <c:pt idx="54">
                  <c:v>3.4065040650406502</c:v>
                </c:pt>
                <c:pt idx="55">
                  <c:v>3.5365853658536581</c:v>
                </c:pt>
                <c:pt idx="56">
                  <c:v>3.6666666666666665</c:v>
                </c:pt>
                <c:pt idx="57">
                  <c:v>3.9186991869918701</c:v>
                </c:pt>
                <c:pt idx="58">
                  <c:v>4.0731707317073171</c:v>
                </c:pt>
                <c:pt idx="59">
                  <c:v>4.2276422764227641</c:v>
                </c:pt>
                <c:pt idx="60">
                  <c:v>4.1707317073170742</c:v>
                </c:pt>
                <c:pt idx="61">
                  <c:v>4.3170731707317076</c:v>
                </c:pt>
                <c:pt idx="62">
                  <c:v>4.4715447154471546</c:v>
                </c:pt>
                <c:pt idx="63">
                  <c:v>4.6260162601626016</c:v>
                </c:pt>
                <c:pt idx="64">
                  <c:v>4.7804878048780495</c:v>
                </c:pt>
                <c:pt idx="65">
                  <c:v>4.9512195121951219</c:v>
                </c:pt>
                <c:pt idx="66">
                  <c:v>5.1138211382113816</c:v>
                </c:pt>
                <c:pt idx="67">
                  <c:v>5.2926829268292686</c:v>
                </c:pt>
                <c:pt idx="68">
                  <c:v>5.4715447154471546</c:v>
                </c:pt>
                <c:pt idx="69">
                  <c:v>5.6666666666666661</c:v>
                </c:pt>
                <c:pt idx="70">
                  <c:v>5.8536585365853657</c:v>
                </c:pt>
                <c:pt idx="71">
                  <c:v>6.0569105691056908</c:v>
                </c:pt>
                <c:pt idx="72">
                  <c:v>6.2682926829268286</c:v>
                </c:pt>
                <c:pt idx="73">
                  <c:v>6.4796747967479664</c:v>
                </c:pt>
                <c:pt idx="74">
                  <c:v>6.6991869918699187</c:v>
                </c:pt>
                <c:pt idx="75">
                  <c:v>6.9268292682926829</c:v>
                </c:pt>
                <c:pt idx="76">
                  <c:v>7.1544715447154461</c:v>
                </c:pt>
                <c:pt idx="77">
                  <c:v>7.3902439024390247</c:v>
                </c:pt>
                <c:pt idx="78">
                  <c:v>7.1138211382113825</c:v>
                </c:pt>
                <c:pt idx="79">
                  <c:v>7.3252032520325203</c:v>
                </c:pt>
                <c:pt idx="80">
                  <c:v>7.5528455284552836</c:v>
                </c:pt>
                <c:pt idx="81">
                  <c:v>7.7804878048780495</c:v>
                </c:pt>
                <c:pt idx="82">
                  <c:v>8.0162601626016254</c:v>
                </c:pt>
                <c:pt idx="83">
                  <c:v>8.2520325203252032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F9-4868-9F54-2D1095A4FC5F}"/>
            </c:ext>
          </c:extLst>
        </c:ser>
        <c:ser>
          <c:idx val="11"/>
          <c:order val="11"/>
          <c:tx>
            <c:strRef>
              <c:f>'вместе-отн'!$M$1</c:f>
              <c:strCache>
                <c:ptCount val="1"/>
                <c:pt idx="0">
                  <c:v>Гаити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'вместе-отн'!$M$2:$M$85</c:f>
              <c:numCache>
                <c:formatCode>0.00</c:formatCode>
                <c:ptCount val="84"/>
                <c:pt idx="0">
                  <c:v>0</c:v>
                </c:pt>
                <c:pt idx="1">
                  <c:v>2.512562814070354E-2</c:v>
                </c:pt>
                <c:pt idx="2">
                  <c:v>4.5226130653266375E-2</c:v>
                </c:pt>
                <c:pt idx="3">
                  <c:v>6.5326633165829207E-2</c:v>
                </c:pt>
                <c:pt idx="4">
                  <c:v>8.0402010050251216E-2</c:v>
                </c:pt>
                <c:pt idx="5">
                  <c:v>9.5477386934673447E-2</c:v>
                </c:pt>
                <c:pt idx="6">
                  <c:v>0.11055276381909547</c:v>
                </c:pt>
                <c:pt idx="7">
                  <c:v>0.12060301507537688</c:v>
                </c:pt>
                <c:pt idx="8">
                  <c:v>0.13567839195979889</c:v>
                </c:pt>
                <c:pt idx="9">
                  <c:v>0.15075376884422112</c:v>
                </c:pt>
                <c:pt idx="10">
                  <c:v>0.17085427135678397</c:v>
                </c:pt>
                <c:pt idx="11">
                  <c:v>0.18592964824120597</c:v>
                </c:pt>
                <c:pt idx="12">
                  <c:v>0.20100502512562821</c:v>
                </c:pt>
                <c:pt idx="13">
                  <c:v>0.21608040201005022</c:v>
                </c:pt>
                <c:pt idx="14">
                  <c:v>0.23618090452261306</c:v>
                </c:pt>
                <c:pt idx="15">
                  <c:v>0.25628140703517588</c:v>
                </c:pt>
                <c:pt idx="16">
                  <c:v>0.27638190954773872</c:v>
                </c:pt>
                <c:pt idx="17">
                  <c:v>0.29145728643216073</c:v>
                </c:pt>
                <c:pt idx="18">
                  <c:v>0.31155778894472358</c:v>
                </c:pt>
                <c:pt idx="19">
                  <c:v>0.33165829145728637</c:v>
                </c:pt>
                <c:pt idx="20">
                  <c:v>0.35678391959799005</c:v>
                </c:pt>
                <c:pt idx="21">
                  <c:v>0.3768844221105529</c:v>
                </c:pt>
                <c:pt idx="22">
                  <c:v>0.4020100502512563</c:v>
                </c:pt>
                <c:pt idx="23">
                  <c:v>0.42211055276381915</c:v>
                </c:pt>
                <c:pt idx="24">
                  <c:v>0.44723618090452255</c:v>
                </c:pt>
                <c:pt idx="25">
                  <c:v>0.47738693467336679</c:v>
                </c:pt>
                <c:pt idx="26">
                  <c:v>0.49748743718592964</c:v>
                </c:pt>
                <c:pt idx="27">
                  <c:v>0.5226130653266331</c:v>
                </c:pt>
                <c:pt idx="28">
                  <c:v>0.55276381909547734</c:v>
                </c:pt>
                <c:pt idx="29">
                  <c:v>0.57788944723618096</c:v>
                </c:pt>
                <c:pt idx="30">
                  <c:v>0.6080402010050252</c:v>
                </c:pt>
                <c:pt idx="31">
                  <c:v>0.63819095477386922</c:v>
                </c:pt>
                <c:pt idx="32">
                  <c:v>0.66834170854271346</c:v>
                </c:pt>
                <c:pt idx="33">
                  <c:v>0.70351758793969854</c:v>
                </c:pt>
                <c:pt idx="34">
                  <c:v>0.72864321608040195</c:v>
                </c:pt>
                <c:pt idx="35">
                  <c:v>0.7638190954773868</c:v>
                </c:pt>
                <c:pt idx="36">
                  <c:v>0.79899497487437188</c:v>
                </c:pt>
                <c:pt idx="37">
                  <c:v>0.83417085427135673</c:v>
                </c:pt>
                <c:pt idx="38">
                  <c:v>0.86934673366834181</c:v>
                </c:pt>
                <c:pt idx="39">
                  <c:v>0.90954773869346728</c:v>
                </c:pt>
                <c:pt idx="40">
                  <c:v>0.88442211055276387</c:v>
                </c:pt>
                <c:pt idx="41">
                  <c:v>0.85929648241206036</c:v>
                </c:pt>
                <c:pt idx="42">
                  <c:v>0.84422110552763818</c:v>
                </c:pt>
                <c:pt idx="43">
                  <c:v>0.81909547738693478</c:v>
                </c:pt>
                <c:pt idx="44">
                  <c:v>0.84924623115577902</c:v>
                </c:pt>
                <c:pt idx="45">
                  <c:v>0.87939698492462326</c:v>
                </c:pt>
                <c:pt idx="46">
                  <c:v>0.90452261306532666</c:v>
                </c:pt>
                <c:pt idx="47">
                  <c:v>0.9346733668341709</c:v>
                </c:pt>
                <c:pt idx="48">
                  <c:v>0.96482412060301515</c:v>
                </c:pt>
                <c:pt idx="49">
                  <c:v>0.99497487437185939</c:v>
                </c:pt>
                <c:pt idx="50">
                  <c:v>1.0251256281407035</c:v>
                </c:pt>
                <c:pt idx="51">
                  <c:v>1.0603015075376883</c:v>
                </c:pt>
                <c:pt idx="52">
                  <c:v>1.0904522613065326</c:v>
                </c:pt>
                <c:pt idx="53">
                  <c:v>1.1306532663316582</c:v>
                </c:pt>
                <c:pt idx="54">
                  <c:v>1.1658291457286429</c:v>
                </c:pt>
                <c:pt idx="55">
                  <c:v>1.1959798994974873</c:v>
                </c:pt>
                <c:pt idx="56">
                  <c:v>1.2311557788944725</c:v>
                </c:pt>
                <c:pt idx="57">
                  <c:v>1.266331658291457</c:v>
                </c:pt>
                <c:pt idx="58">
                  <c:v>1.3015075376884422</c:v>
                </c:pt>
                <c:pt idx="59">
                  <c:v>1.3467336683417084</c:v>
                </c:pt>
                <c:pt idx="60">
                  <c:v>1.3869346733668342</c:v>
                </c:pt>
                <c:pt idx="61">
                  <c:v>1.4271356783919598</c:v>
                </c:pt>
                <c:pt idx="62">
                  <c:v>1.472361809045226</c:v>
                </c:pt>
                <c:pt idx="63">
                  <c:v>1.5175879396984921</c:v>
                </c:pt>
                <c:pt idx="64">
                  <c:v>1.5628140703517586</c:v>
                </c:pt>
                <c:pt idx="65">
                  <c:v>1.7939698492462308</c:v>
                </c:pt>
                <c:pt idx="66">
                  <c:v>1.8442211055276381</c:v>
                </c:pt>
                <c:pt idx="67">
                  <c:v>1.8944723618090451</c:v>
                </c:pt>
                <c:pt idx="68">
                  <c:v>1.949748743718593</c:v>
                </c:pt>
                <c:pt idx="69">
                  <c:v>2.0100502512562812</c:v>
                </c:pt>
                <c:pt idx="70">
                  <c:v>2.0703517587939699</c:v>
                </c:pt>
                <c:pt idx="71">
                  <c:v>2.1356783919597988</c:v>
                </c:pt>
                <c:pt idx="72">
                  <c:v>2.1959798994974875</c:v>
                </c:pt>
                <c:pt idx="73">
                  <c:v>2.2613065326633164</c:v>
                </c:pt>
                <c:pt idx="74">
                  <c:v>2.3316582914572863</c:v>
                </c:pt>
                <c:pt idx="75">
                  <c:v>2.3969849246231152</c:v>
                </c:pt>
                <c:pt idx="76">
                  <c:v>2.4673366834170856</c:v>
                </c:pt>
                <c:pt idx="77">
                  <c:v>2.5376884422110551</c:v>
                </c:pt>
                <c:pt idx="78">
                  <c:v>2.608040201005025</c:v>
                </c:pt>
                <c:pt idx="79">
                  <c:v>2.6884422110552761</c:v>
                </c:pt>
                <c:pt idx="80">
                  <c:v>2.7638190954773871</c:v>
                </c:pt>
                <c:pt idx="81">
                  <c:v>2.8442211055276383</c:v>
                </c:pt>
                <c:pt idx="82">
                  <c:v>3.0653266331658289</c:v>
                </c:pt>
                <c:pt idx="83">
                  <c:v>3.1306532663316586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4F9-4868-9F54-2D1095A4FC5F}"/>
            </c:ext>
          </c:extLst>
        </c:ser>
        <c:ser>
          <c:idx val="12"/>
          <c:order val="12"/>
          <c:tx>
            <c:strRef>
              <c:f>'вместе-отн'!$N$1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'вместе-отн'!$N$2:$N$85</c:f>
              <c:numCache>
                <c:formatCode>0.00</c:formatCode>
                <c:ptCount val="84"/>
                <c:pt idx="0">
                  <c:v>0</c:v>
                </c:pt>
                <c:pt idx="1">
                  <c:v>4.7619047619047658E-2</c:v>
                </c:pt>
                <c:pt idx="2">
                  <c:v>9.523809523809515E-2</c:v>
                </c:pt>
                <c:pt idx="3">
                  <c:v>0.14285714285714279</c:v>
                </c:pt>
                <c:pt idx="4">
                  <c:v>0.17460317460317459</c:v>
                </c:pt>
                <c:pt idx="5">
                  <c:v>0.22222222222222224</c:v>
                </c:pt>
                <c:pt idx="6">
                  <c:v>0.26984126984126988</c:v>
                </c:pt>
                <c:pt idx="7">
                  <c:v>0.30158730158730152</c:v>
                </c:pt>
                <c:pt idx="8">
                  <c:v>0.34920634920634919</c:v>
                </c:pt>
                <c:pt idx="9">
                  <c:v>0.3968253968253968</c:v>
                </c:pt>
                <c:pt idx="10">
                  <c:v>0.41269841269841273</c:v>
                </c:pt>
                <c:pt idx="11">
                  <c:v>0.44444444444444448</c:v>
                </c:pt>
                <c:pt idx="12">
                  <c:v>0.47619047619047628</c:v>
                </c:pt>
                <c:pt idx="13">
                  <c:v>0.50793650793650791</c:v>
                </c:pt>
                <c:pt idx="14">
                  <c:v>0.53968253968253965</c:v>
                </c:pt>
                <c:pt idx="15">
                  <c:v>0.5714285714285714</c:v>
                </c:pt>
                <c:pt idx="16">
                  <c:v>0.60317460317460314</c:v>
                </c:pt>
                <c:pt idx="17">
                  <c:v>0.61904761904761907</c:v>
                </c:pt>
                <c:pt idx="18">
                  <c:v>0.65079365079365081</c:v>
                </c:pt>
                <c:pt idx="19">
                  <c:v>0.68253968253968256</c:v>
                </c:pt>
                <c:pt idx="20">
                  <c:v>0.71428571428571441</c:v>
                </c:pt>
                <c:pt idx="21">
                  <c:v>0.74603174603174616</c:v>
                </c:pt>
                <c:pt idx="22">
                  <c:v>0.7777777777777779</c:v>
                </c:pt>
                <c:pt idx="23">
                  <c:v>0.82539682539682524</c:v>
                </c:pt>
                <c:pt idx="24">
                  <c:v>0.85714285714285698</c:v>
                </c:pt>
                <c:pt idx="25">
                  <c:v>0.90476190476190466</c:v>
                </c:pt>
                <c:pt idx="26">
                  <c:v>0.92063492063492058</c:v>
                </c:pt>
                <c:pt idx="27">
                  <c:v>0.96825396825396826</c:v>
                </c:pt>
                <c:pt idx="28">
                  <c:v>1</c:v>
                </c:pt>
                <c:pt idx="29">
                  <c:v>1.0476190476190477</c:v>
                </c:pt>
                <c:pt idx="30">
                  <c:v>1.0952380952380953</c:v>
                </c:pt>
                <c:pt idx="31">
                  <c:v>1.142857142857143</c:v>
                </c:pt>
                <c:pt idx="32">
                  <c:v>1.2063492063492063</c:v>
                </c:pt>
                <c:pt idx="33">
                  <c:v>1.2698412698412698</c:v>
                </c:pt>
                <c:pt idx="34">
                  <c:v>1.3333333333333333</c:v>
                </c:pt>
                <c:pt idx="35">
                  <c:v>1.4285714285714286</c:v>
                </c:pt>
                <c:pt idx="36">
                  <c:v>1.4920634920634921</c:v>
                </c:pt>
                <c:pt idx="37">
                  <c:v>1.5714285714285716</c:v>
                </c:pt>
                <c:pt idx="38">
                  <c:v>1.6190476190476191</c:v>
                </c:pt>
                <c:pt idx="39">
                  <c:v>1.6666666666666663</c:v>
                </c:pt>
                <c:pt idx="40">
                  <c:v>1.7142857142857144</c:v>
                </c:pt>
                <c:pt idx="41">
                  <c:v>1.7777777777777779</c:v>
                </c:pt>
                <c:pt idx="42">
                  <c:v>1.857142857142857</c:v>
                </c:pt>
                <c:pt idx="43">
                  <c:v>1.9365079365079367</c:v>
                </c:pt>
                <c:pt idx="44">
                  <c:v>2.0317460317460316</c:v>
                </c:pt>
                <c:pt idx="45">
                  <c:v>2.1269841269841265</c:v>
                </c:pt>
                <c:pt idx="46">
                  <c:v>2.2380952380952381</c:v>
                </c:pt>
                <c:pt idx="47">
                  <c:v>2.3492063492063493</c:v>
                </c:pt>
                <c:pt idx="48">
                  <c:v>2.4603174603174609</c:v>
                </c:pt>
                <c:pt idx="49">
                  <c:v>2.587301587301587</c:v>
                </c:pt>
                <c:pt idx="50">
                  <c:v>2.6190476190476191</c:v>
                </c:pt>
                <c:pt idx="51">
                  <c:v>2.666666666666667</c:v>
                </c:pt>
                <c:pt idx="52">
                  <c:v>2.8888888888888893</c:v>
                </c:pt>
                <c:pt idx="53">
                  <c:v>3.1904761904761907</c:v>
                </c:pt>
                <c:pt idx="54">
                  <c:v>3.3174603174603181</c:v>
                </c:pt>
                <c:pt idx="55">
                  <c:v>3.4603174603174605</c:v>
                </c:pt>
                <c:pt idx="56">
                  <c:v>3.6031746031746033</c:v>
                </c:pt>
                <c:pt idx="57">
                  <c:v>3.7460317460317465</c:v>
                </c:pt>
                <c:pt idx="58">
                  <c:v>3.9047619047619047</c:v>
                </c:pt>
                <c:pt idx="59">
                  <c:v>4.07936507936508</c:v>
                </c:pt>
                <c:pt idx="60">
                  <c:v>4.2698412698412698</c:v>
                </c:pt>
                <c:pt idx="61">
                  <c:v>4.4603174603174605</c:v>
                </c:pt>
                <c:pt idx="62">
                  <c:v>4.6507936507936511</c:v>
                </c:pt>
                <c:pt idx="63">
                  <c:v>4.8571428571428568</c:v>
                </c:pt>
                <c:pt idx="64">
                  <c:v>5.0634920634920633</c:v>
                </c:pt>
                <c:pt idx="65">
                  <c:v>5.2857142857142856</c:v>
                </c:pt>
                <c:pt idx="66">
                  <c:v>5.4920634920634921</c:v>
                </c:pt>
                <c:pt idx="67">
                  <c:v>5.7142857142857153</c:v>
                </c:pt>
                <c:pt idx="68">
                  <c:v>5.9365079365079367</c:v>
                </c:pt>
                <c:pt idx="69">
                  <c:v>6.1587301587301582</c:v>
                </c:pt>
                <c:pt idx="70">
                  <c:v>6.3968253968253972</c:v>
                </c:pt>
                <c:pt idx="71">
                  <c:v>6.6190476190476186</c:v>
                </c:pt>
                <c:pt idx="72">
                  <c:v>6.3015873015873014</c:v>
                </c:pt>
                <c:pt idx="73">
                  <c:v>6.5555555555555554</c:v>
                </c:pt>
                <c:pt idx="74">
                  <c:v>6.8095238095238093</c:v>
                </c:pt>
                <c:pt idx="75">
                  <c:v>7.0634920634920642</c:v>
                </c:pt>
                <c:pt idx="76">
                  <c:v>7.333333333333333</c:v>
                </c:pt>
                <c:pt idx="77">
                  <c:v>7.6031746031746028</c:v>
                </c:pt>
                <c:pt idx="78">
                  <c:v>7.8888888888888884</c:v>
                </c:pt>
                <c:pt idx="79">
                  <c:v>8.2063492063492056</c:v>
                </c:pt>
                <c:pt idx="80">
                  <c:v>8.4920634920634921</c:v>
                </c:pt>
                <c:pt idx="81">
                  <c:v>8.8095238095238084</c:v>
                </c:pt>
                <c:pt idx="82">
                  <c:v>9.0317460317460316</c:v>
                </c:pt>
                <c:pt idx="83">
                  <c:v>9.2857142857142865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4F9-4868-9F54-2D1095A4FC5F}"/>
            </c:ext>
          </c:extLst>
        </c:ser>
        <c:ser>
          <c:idx val="13"/>
          <c:order val="13"/>
          <c:tx>
            <c:strRef>
              <c:f>'вместе-отн'!$O$1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'вместе-отн'!$O$2:$O$85</c:f>
              <c:numCache>
                <c:formatCode>0.00</c:formatCode>
                <c:ptCount val="84"/>
                <c:pt idx="0">
                  <c:v>0</c:v>
                </c:pt>
                <c:pt idx="1">
                  <c:v>7.1942446043165211E-3</c:v>
                </c:pt>
                <c:pt idx="2">
                  <c:v>1.7985611510791366E-2</c:v>
                </c:pt>
                <c:pt idx="3">
                  <c:v>1.7985611510791366E-2</c:v>
                </c:pt>
                <c:pt idx="4">
                  <c:v>3.1654676258992771E-2</c:v>
                </c:pt>
                <c:pt idx="5">
                  <c:v>3.8848920863309287E-2</c:v>
                </c:pt>
                <c:pt idx="6">
                  <c:v>5.6834532374100653E-2</c:v>
                </c:pt>
                <c:pt idx="7">
                  <c:v>7.553956834532366E-2</c:v>
                </c:pt>
                <c:pt idx="8">
                  <c:v>9.3525179856115026E-2</c:v>
                </c:pt>
                <c:pt idx="9">
                  <c:v>0.1129496402877698</c:v>
                </c:pt>
                <c:pt idx="10">
                  <c:v>0.13237410071942446</c:v>
                </c:pt>
                <c:pt idx="11">
                  <c:v>0.15179856115107923</c:v>
                </c:pt>
                <c:pt idx="12">
                  <c:v>0.21798561151079132</c:v>
                </c:pt>
                <c:pt idx="13">
                  <c:v>0.1906474820143885</c:v>
                </c:pt>
                <c:pt idx="14">
                  <c:v>0.21438848920863299</c:v>
                </c:pt>
                <c:pt idx="15">
                  <c:v>0.23525179856115117</c:v>
                </c:pt>
                <c:pt idx="16">
                  <c:v>0.25683453237410059</c:v>
                </c:pt>
                <c:pt idx="17">
                  <c:v>0.27913669064748209</c:v>
                </c:pt>
                <c:pt idx="18">
                  <c:v>0.30143884892086326</c:v>
                </c:pt>
                <c:pt idx="19">
                  <c:v>0.32446043165467625</c:v>
                </c:pt>
                <c:pt idx="20">
                  <c:v>0.34964028776978423</c:v>
                </c:pt>
                <c:pt idx="21">
                  <c:v>0.37194244604316545</c:v>
                </c:pt>
                <c:pt idx="22">
                  <c:v>0.39640287769784172</c:v>
                </c:pt>
                <c:pt idx="23">
                  <c:v>0.41366906474820131</c:v>
                </c:pt>
                <c:pt idx="24">
                  <c:v>0.45395683453237412</c:v>
                </c:pt>
                <c:pt idx="25">
                  <c:v>0.48633093525179855</c:v>
                </c:pt>
                <c:pt idx="26">
                  <c:v>0.52302158273381305</c:v>
                </c:pt>
                <c:pt idx="27">
                  <c:v>0.55899280575539578</c:v>
                </c:pt>
                <c:pt idx="28">
                  <c:v>0.59928057553956837</c:v>
                </c:pt>
                <c:pt idx="29">
                  <c:v>0.63884892086330936</c:v>
                </c:pt>
                <c:pt idx="30">
                  <c:v>0.68633093525179856</c:v>
                </c:pt>
                <c:pt idx="31">
                  <c:v>0.73597122302158258</c:v>
                </c:pt>
                <c:pt idx="32">
                  <c:v>0.78633093525179842</c:v>
                </c:pt>
                <c:pt idx="33">
                  <c:v>0.85539568345323735</c:v>
                </c:pt>
                <c:pt idx="34">
                  <c:v>0.84100719424460424</c:v>
                </c:pt>
                <c:pt idx="35">
                  <c:v>1.0035971223021583</c:v>
                </c:pt>
                <c:pt idx="36">
                  <c:v>1.0647482014388487</c:v>
                </c:pt>
                <c:pt idx="37">
                  <c:v>1.1302158273381293</c:v>
                </c:pt>
                <c:pt idx="38">
                  <c:v>1.1985611510791365</c:v>
                </c:pt>
                <c:pt idx="39">
                  <c:v>1.270503597122302</c:v>
                </c:pt>
                <c:pt idx="40">
                  <c:v>1.3460431654676259</c:v>
                </c:pt>
                <c:pt idx="41">
                  <c:v>1.4244604316546765</c:v>
                </c:pt>
                <c:pt idx="42">
                  <c:v>1.5079136690647483</c:v>
                </c:pt>
                <c:pt idx="43">
                  <c:v>1.593525179856115</c:v>
                </c:pt>
                <c:pt idx="44">
                  <c:v>1.6812949640287773</c:v>
                </c:pt>
                <c:pt idx="45">
                  <c:v>1.772661870503597</c:v>
                </c:pt>
                <c:pt idx="46">
                  <c:v>1.868345323741007</c:v>
                </c:pt>
                <c:pt idx="47">
                  <c:v>1.9676258992805755</c:v>
                </c:pt>
                <c:pt idx="48">
                  <c:v>2.0712230215827336</c:v>
                </c:pt>
                <c:pt idx="49">
                  <c:v>2.1755395683453238</c:v>
                </c:pt>
                <c:pt idx="50">
                  <c:v>2.2856115107913673</c:v>
                </c:pt>
                <c:pt idx="51">
                  <c:v>2.4007194244604317</c:v>
                </c:pt>
                <c:pt idx="52">
                  <c:v>2.5201438848920863</c:v>
                </c:pt>
                <c:pt idx="53">
                  <c:v>2.6467625899280574</c:v>
                </c:pt>
                <c:pt idx="54">
                  <c:v>2.7733812949640289</c:v>
                </c:pt>
                <c:pt idx="55">
                  <c:v>2.90431654676259</c:v>
                </c:pt>
                <c:pt idx="56">
                  <c:v>3.0402877697841726</c:v>
                </c:pt>
                <c:pt idx="57">
                  <c:v>3.1812949640287767</c:v>
                </c:pt>
                <c:pt idx="58">
                  <c:v>3.3273381294964026</c:v>
                </c:pt>
                <c:pt idx="59">
                  <c:v>3.4589928057553956</c:v>
                </c:pt>
                <c:pt idx="60">
                  <c:v>3.5906474820143885</c:v>
                </c:pt>
                <c:pt idx="61">
                  <c:v>3.7237410071942443</c:v>
                </c:pt>
                <c:pt idx="62">
                  <c:v>3.8575539568345323</c:v>
                </c:pt>
                <c:pt idx="63">
                  <c:v>4.0115107913669066</c:v>
                </c:pt>
                <c:pt idx="64">
                  <c:v>4.1330935251798557</c:v>
                </c:pt>
                <c:pt idx="65">
                  <c:v>4.2532374100719421</c:v>
                </c:pt>
                <c:pt idx="66">
                  <c:v>4.3719424460431657</c:v>
                </c:pt>
                <c:pt idx="67">
                  <c:v>4.4899280575539571</c:v>
                </c:pt>
                <c:pt idx="68">
                  <c:v>4.6071942446043161</c:v>
                </c:pt>
                <c:pt idx="69">
                  <c:v>4.7244604316546752</c:v>
                </c:pt>
                <c:pt idx="70">
                  <c:v>4.8417266187050361</c:v>
                </c:pt>
                <c:pt idx="71">
                  <c:v>4.9510791366906473</c:v>
                </c:pt>
                <c:pt idx="72">
                  <c:v>4.8748201438848913</c:v>
                </c:pt>
                <c:pt idx="73">
                  <c:v>4.987769784172662</c:v>
                </c:pt>
                <c:pt idx="74">
                  <c:v>5.100719424460431</c:v>
                </c:pt>
                <c:pt idx="75">
                  <c:v>5.2151079136690646</c:v>
                </c:pt>
                <c:pt idx="76">
                  <c:v>5.3294964028776972</c:v>
                </c:pt>
                <c:pt idx="77">
                  <c:v>5.4431654676258985</c:v>
                </c:pt>
                <c:pt idx="78">
                  <c:v>5.510071942446042</c:v>
                </c:pt>
                <c:pt idx="79">
                  <c:v>5.6705035971223019</c:v>
                </c:pt>
                <c:pt idx="80">
                  <c:v>5.7827338129496395</c:v>
                </c:pt>
                <c:pt idx="81">
                  <c:v>5.8942446043165457</c:v>
                </c:pt>
                <c:pt idx="82">
                  <c:v>6.0043165467625892</c:v>
                </c:pt>
                <c:pt idx="83">
                  <c:v>6.1136690647482004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F9-4868-9F54-2D1095A4FC5F}"/>
            </c:ext>
          </c:extLst>
        </c:ser>
        <c:ser>
          <c:idx val="14"/>
          <c:order val="14"/>
          <c:tx>
            <c:strRef>
              <c:f>'вместе-отн'!$P$1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'вместе-отн'!$P$2:$P$85</c:f>
              <c:numCache>
                <c:formatCode>0.00</c:formatCode>
                <c:ptCount val="84"/>
                <c:pt idx="0">
                  <c:v>0</c:v>
                </c:pt>
                <c:pt idx="1">
                  <c:v>1.6393442622950834E-2</c:v>
                </c:pt>
                <c:pt idx="2">
                  <c:v>3.2786885245901669E-2</c:v>
                </c:pt>
                <c:pt idx="3">
                  <c:v>4.9180327868852507E-2</c:v>
                </c:pt>
                <c:pt idx="4">
                  <c:v>4.9180327868852507E-2</c:v>
                </c:pt>
                <c:pt idx="5">
                  <c:v>6.5573770491803338E-2</c:v>
                </c:pt>
                <c:pt idx="6">
                  <c:v>6.5573770491803338E-2</c:v>
                </c:pt>
                <c:pt idx="7">
                  <c:v>8.1967213114754175E-2</c:v>
                </c:pt>
                <c:pt idx="8">
                  <c:v>8.1967213114754175E-2</c:v>
                </c:pt>
                <c:pt idx="9">
                  <c:v>9.8360655737705013E-2</c:v>
                </c:pt>
                <c:pt idx="10">
                  <c:v>9.8360655737705013E-2</c:v>
                </c:pt>
                <c:pt idx="11">
                  <c:v>9.8360655737705013E-2</c:v>
                </c:pt>
                <c:pt idx="12">
                  <c:v>0.11475409836065584</c:v>
                </c:pt>
                <c:pt idx="13">
                  <c:v>0.11475409836065584</c:v>
                </c:pt>
                <c:pt idx="14">
                  <c:v>0.13114754098360648</c:v>
                </c:pt>
                <c:pt idx="15">
                  <c:v>0.13114754098360648</c:v>
                </c:pt>
                <c:pt idx="16">
                  <c:v>0.14754098360655732</c:v>
                </c:pt>
                <c:pt idx="17">
                  <c:v>0.16393442622950816</c:v>
                </c:pt>
                <c:pt idx="18">
                  <c:v>0.19672131147540983</c:v>
                </c:pt>
                <c:pt idx="19">
                  <c:v>0.22950819672131151</c:v>
                </c:pt>
                <c:pt idx="20">
                  <c:v>0.26229508196721318</c:v>
                </c:pt>
                <c:pt idx="21">
                  <c:v>0.27868852459016402</c:v>
                </c:pt>
                <c:pt idx="22">
                  <c:v>0.32786885245901654</c:v>
                </c:pt>
                <c:pt idx="23">
                  <c:v>0.36065573770491799</c:v>
                </c:pt>
                <c:pt idx="24">
                  <c:v>0.37704918032786883</c:v>
                </c:pt>
                <c:pt idx="25">
                  <c:v>0.4098360655737705</c:v>
                </c:pt>
                <c:pt idx="26">
                  <c:v>0.44262295081967218</c:v>
                </c:pt>
                <c:pt idx="27">
                  <c:v>0.47540983606557385</c:v>
                </c:pt>
                <c:pt idx="28">
                  <c:v>0.50819672131147553</c:v>
                </c:pt>
                <c:pt idx="29">
                  <c:v>0.55737704918032782</c:v>
                </c:pt>
                <c:pt idx="30">
                  <c:v>0.60655737704918034</c:v>
                </c:pt>
                <c:pt idx="31">
                  <c:v>0.63934426229508201</c:v>
                </c:pt>
                <c:pt idx="32">
                  <c:v>0.68852459016393452</c:v>
                </c:pt>
                <c:pt idx="33">
                  <c:v>0.73770491803278704</c:v>
                </c:pt>
                <c:pt idx="34">
                  <c:v>0.78688524590163955</c:v>
                </c:pt>
                <c:pt idx="35">
                  <c:v>0.83606557377049207</c:v>
                </c:pt>
                <c:pt idx="36">
                  <c:v>0.88524590163934413</c:v>
                </c:pt>
                <c:pt idx="37">
                  <c:v>0.93442622950819665</c:v>
                </c:pt>
                <c:pt idx="38">
                  <c:v>1</c:v>
                </c:pt>
                <c:pt idx="39">
                  <c:v>1.0655737704918034</c:v>
                </c:pt>
                <c:pt idx="40">
                  <c:v>1.1147540983606559</c:v>
                </c:pt>
                <c:pt idx="41">
                  <c:v>1.1803278688524592</c:v>
                </c:pt>
                <c:pt idx="42">
                  <c:v>1.2459016393442626</c:v>
                </c:pt>
                <c:pt idx="43">
                  <c:v>1.3114754098360655</c:v>
                </c:pt>
                <c:pt idx="44">
                  <c:v>1.3770491803278688</c:v>
                </c:pt>
                <c:pt idx="45">
                  <c:v>1.459016393442623</c:v>
                </c:pt>
                <c:pt idx="46">
                  <c:v>1.5245901639344264</c:v>
                </c:pt>
                <c:pt idx="47">
                  <c:v>1.5901639344262297</c:v>
                </c:pt>
                <c:pt idx="48">
                  <c:v>1.6557377049180333</c:v>
                </c:pt>
                <c:pt idx="49">
                  <c:v>1.7213114754098358</c:v>
                </c:pt>
                <c:pt idx="50">
                  <c:v>1.7868852459016391</c:v>
                </c:pt>
                <c:pt idx="51">
                  <c:v>1.8524590163934425</c:v>
                </c:pt>
                <c:pt idx="52">
                  <c:v>1.9344262295081971</c:v>
                </c:pt>
                <c:pt idx="53">
                  <c:v>2.0000000000000004</c:v>
                </c:pt>
                <c:pt idx="54">
                  <c:v>2.0983606557377046</c:v>
                </c:pt>
                <c:pt idx="55">
                  <c:v>2.1967213114754096</c:v>
                </c:pt>
                <c:pt idx="56">
                  <c:v>2.2950819672131146</c:v>
                </c:pt>
                <c:pt idx="57">
                  <c:v>2.4098360655737707</c:v>
                </c:pt>
                <c:pt idx="58">
                  <c:v>2.5409836065573774</c:v>
                </c:pt>
                <c:pt idx="59">
                  <c:v>2.6721311475409841</c:v>
                </c:pt>
                <c:pt idx="60">
                  <c:v>2.8032786885245899</c:v>
                </c:pt>
                <c:pt idx="61">
                  <c:v>2.9508196721311482</c:v>
                </c:pt>
                <c:pt idx="62">
                  <c:v>3.3278688524590168</c:v>
                </c:pt>
                <c:pt idx="63">
                  <c:v>3.4754098360655741</c:v>
                </c:pt>
                <c:pt idx="64">
                  <c:v>3.6885245901639343</c:v>
                </c:pt>
                <c:pt idx="65">
                  <c:v>3.8524590163934427</c:v>
                </c:pt>
                <c:pt idx="66">
                  <c:v>4.0163934426229515</c:v>
                </c:pt>
                <c:pt idx="67">
                  <c:v>4.1803278688524594</c:v>
                </c:pt>
                <c:pt idx="68">
                  <c:v>4.360655737704918</c:v>
                </c:pt>
                <c:pt idx="69">
                  <c:v>4.5409836065573774</c:v>
                </c:pt>
                <c:pt idx="70">
                  <c:v>4.7377049180327875</c:v>
                </c:pt>
                <c:pt idx="71">
                  <c:v>4.9344262295081975</c:v>
                </c:pt>
                <c:pt idx="72">
                  <c:v>5.1475409836065573</c:v>
                </c:pt>
                <c:pt idx="73">
                  <c:v>5.3442622950819674</c:v>
                </c:pt>
                <c:pt idx="74">
                  <c:v>5.557377049180328</c:v>
                </c:pt>
                <c:pt idx="75">
                  <c:v>5.7704918032786887</c:v>
                </c:pt>
                <c:pt idx="76">
                  <c:v>6</c:v>
                </c:pt>
                <c:pt idx="77">
                  <c:v>6.2131147540983616</c:v>
                </c:pt>
                <c:pt idx="78">
                  <c:v>6.4426229508196728</c:v>
                </c:pt>
                <c:pt idx="79">
                  <c:v>6.4590163934426226</c:v>
                </c:pt>
                <c:pt idx="80">
                  <c:v>6.7049180327868854</c:v>
                </c:pt>
                <c:pt idx="81">
                  <c:v>6.885245901639343</c:v>
                </c:pt>
                <c:pt idx="82">
                  <c:v>7.0983606557377055</c:v>
                </c:pt>
                <c:pt idx="83">
                  <c:v>7.3114754098360653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4F9-4868-9F54-2D1095A4FC5F}"/>
            </c:ext>
          </c:extLst>
        </c:ser>
        <c:ser>
          <c:idx val="15"/>
          <c:order val="15"/>
          <c:tx>
            <c:strRef>
              <c:f>'вместе-отн'!$Q$1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'вместе-отн'!$Q$2:$Q$85</c:f>
              <c:numCache>
                <c:formatCode>0.00</c:formatCode>
                <c:ptCount val="84"/>
                <c:pt idx="0">
                  <c:v>0</c:v>
                </c:pt>
                <c:pt idx="1">
                  <c:v>4.8780487804878092E-2</c:v>
                </c:pt>
                <c:pt idx="2">
                  <c:v>7.3170731707317138E-2</c:v>
                </c:pt>
                <c:pt idx="3">
                  <c:v>9.7560975609756184E-2</c:v>
                </c:pt>
                <c:pt idx="4">
                  <c:v>9.7560975609756184E-2</c:v>
                </c:pt>
                <c:pt idx="5">
                  <c:v>9.7560975609756184E-2</c:v>
                </c:pt>
                <c:pt idx="6">
                  <c:v>9.7560975609756184E-2</c:v>
                </c:pt>
                <c:pt idx="7">
                  <c:v>0.12195121951219524</c:v>
                </c:pt>
                <c:pt idx="8">
                  <c:v>0.12195121951219524</c:v>
                </c:pt>
                <c:pt idx="9">
                  <c:v>0.12195121951219524</c:v>
                </c:pt>
                <c:pt idx="10">
                  <c:v>0.12195121951219524</c:v>
                </c:pt>
                <c:pt idx="11">
                  <c:v>0.12195121951219524</c:v>
                </c:pt>
                <c:pt idx="12">
                  <c:v>0.14634146341463414</c:v>
                </c:pt>
                <c:pt idx="13">
                  <c:v>0.14634146341463414</c:v>
                </c:pt>
                <c:pt idx="14">
                  <c:v>0.19512195121951226</c:v>
                </c:pt>
                <c:pt idx="15">
                  <c:v>0.2195121951219513</c:v>
                </c:pt>
                <c:pt idx="16">
                  <c:v>0.2682926829268294</c:v>
                </c:pt>
                <c:pt idx="17">
                  <c:v>0.29268292682926844</c:v>
                </c:pt>
                <c:pt idx="18">
                  <c:v>0.34146341463414653</c:v>
                </c:pt>
                <c:pt idx="19">
                  <c:v>0.36585365853658558</c:v>
                </c:pt>
                <c:pt idx="20">
                  <c:v>0.41463414634146339</c:v>
                </c:pt>
                <c:pt idx="21">
                  <c:v>0.43902439024390244</c:v>
                </c:pt>
                <c:pt idx="22">
                  <c:v>0.48780487804878053</c:v>
                </c:pt>
                <c:pt idx="23">
                  <c:v>0.51219512195121963</c:v>
                </c:pt>
                <c:pt idx="24">
                  <c:v>0.56097560975609773</c:v>
                </c:pt>
                <c:pt idx="25">
                  <c:v>0.58536585365853677</c:v>
                </c:pt>
                <c:pt idx="26">
                  <c:v>0.63414634146341486</c:v>
                </c:pt>
                <c:pt idx="27">
                  <c:v>0.68292682926829262</c:v>
                </c:pt>
                <c:pt idx="28">
                  <c:v>0.70731707317073167</c:v>
                </c:pt>
                <c:pt idx="29">
                  <c:v>0.75609756097560976</c:v>
                </c:pt>
                <c:pt idx="30">
                  <c:v>0.80487804878048785</c:v>
                </c:pt>
                <c:pt idx="31">
                  <c:v>0.85365853658536595</c:v>
                </c:pt>
                <c:pt idx="32">
                  <c:v>0.90243902439024404</c:v>
                </c:pt>
                <c:pt idx="33">
                  <c:v>0.95121951219512213</c:v>
                </c:pt>
                <c:pt idx="34">
                  <c:v>1</c:v>
                </c:pt>
                <c:pt idx="35">
                  <c:v>1.0487804878048781</c:v>
                </c:pt>
                <c:pt idx="36">
                  <c:v>1.1219512195121952</c:v>
                </c:pt>
                <c:pt idx="37">
                  <c:v>1.1707317073170733</c:v>
                </c:pt>
                <c:pt idx="38">
                  <c:v>1.2439024390243902</c:v>
                </c:pt>
                <c:pt idx="39">
                  <c:v>1.3170731707317074</c:v>
                </c:pt>
                <c:pt idx="40">
                  <c:v>1.3658536585365855</c:v>
                </c:pt>
                <c:pt idx="41">
                  <c:v>1.4390243902439028</c:v>
                </c:pt>
                <c:pt idx="42">
                  <c:v>1.51219512195122</c:v>
                </c:pt>
                <c:pt idx="43">
                  <c:v>1.5853658536585371</c:v>
                </c:pt>
                <c:pt idx="44">
                  <c:v>1.6585365853658542</c:v>
                </c:pt>
                <c:pt idx="45">
                  <c:v>1.7560975609756098</c:v>
                </c:pt>
                <c:pt idx="46">
                  <c:v>1.8536585365853659</c:v>
                </c:pt>
                <c:pt idx="47">
                  <c:v>1.9268292682926831</c:v>
                </c:pt>
                <c:pt idx="48">
                  <c:v>2.0243902439024395</c:v>
                </c:pt>
                <c:pt idx="49">
                  <c:v>2.0975609756097566</c:v>
                </c:pt>
                <c:pt idx="50">
                  <c:v>2.1951219512195128</c:v>
                </c:pt>
                <c:pt idx="51">
                  <c:v>2.292682926829269</c:v>
                </c:pt>
                <c:pt idx="52">
                  <c:v>2.3902439024390243</c:v>
                </c:pt>
                <c:pt idx="53">
                  <c:v>2.4878048780487805</c:v>
                </c:pt>
                <c:pt idx="54">
                  <c:v>2.6097560975609757</c:v>
                </c:pt>
                <c:pt idx="55">
                  <c:v>2.7073170731707319</c:v>
                </c:pt>
                <c:pt idx="56">
                  <c:v>2.8292682926829276</c:v>
                </c:pt>
                <c:pt idx="57">
                  <c:v>2.9512195121951228</c:v>
                </c:pt>
                <c:pt idx="58">
                  <c:v>3.0975609756097562</c:v>
                </c:pt>
                <c:pt idx="59">
                  <c:v>3.1951219512195124</c:v>
                </c:pt>
                <c:pt idx="60">
                  <c:v>3.3658536585365857</c:v>
                </c:pt>
                <c:pt idx="61">
                  <c:v>3.4878048780487809</c:v>
                </c:pt>
                <c:pt idx="62">
                  <c:v>3.5853658536585367</c:v>
                </c:pt>
                <c:pt idx="63">
                  <c:v>3.780487804878049</c:v>
                </c:pt>
                <c:pt idx="64">
                  <c:v>3.8780487804878052</c:v>
                </c:pt>
                <c:pt idx="65">
                  <c:v>3.9756097560975614</c:v>
                </c:pt>
                <c:pt idx="66">
                  <c:v>4.0975609756097562</c:v>
                </c:pt>
                <c:pt idx="67">
                  <c:v>4.1951219512195124</c:v>
                </c:pt>
                <c:pt idx="68">
                  <c:v>4.3170731707317085</c:v>
                </c:pt>
                <c:pt idx="69">
                  <c:v>4.4390243902439028</c:v>
                </c:pt>
                <c:pt idx="70">
                  <c:v>4.536585365853659</c:v>
                </c:pt>
                <c:pt idx="71">
                  <c:v>4.6097560975609753</c:v>
                </c:pt>
                <c:pt idx="72">
                  <c:v>4.7317073170731714</c:v>
                </c:pt>
                <c:pt idx="73">
                  <c:v>4.8536585365853657</c:v>
                </c:pt>
                <c:pt idx="74">
                  <c:v>4.9512195121951219</c:v>
                </c:pt>
                <c:pt idx="75">
                  <c:v>5.0731707317073171</c:v>
                </c:pt>
                <c:pt idx="76">
                  <c:v>5.1951219512195124</c:v>
                </c:pt>
                <c:pt idx="77">
                  <c:v>5.2926829268292686</c:v>
                </c:pt>
                <c:pt idx="78">
                  <c:v>5.4146341463414629</c:v>
                </c:pt>
                <c:pt idx="79">
                  <c:v>5.5121951219512191</c:v>
                </c:pt>
                <c:pt idx="80">
                  <c:v>5.6341463414634152</c:v>
                </c:pt>
                <c:pt idx="81">
                  <c:v>5.7317073170731705</c:v>
                </c:pt>
                <c:pt idx="82">
                  <c:v>5.8536585365853657</c:v>
                </c:pt>
                <c:pt idx="83">
                  <c:v>5.975609756097561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4F9-4868-9F54-2D1095A4FC5F}"/>
            </c:ext>
          </c:extLst>
        </c:ser>
        <c:ser>
          <c:idx val="16"/>
          <c:order val="16"/>
          <c:tx>
            <c:strRef>
              <c:f>'вместе-отн'!$R$1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'вместе-отн'!$R$2:$R$85</c:f>
              <c:numCache>
                <c:formatCode>0.00</c:formatCode>
                <c:ptCount val="84"/>
                <c:pt idx="0">
                  <c:v>0</c:v>
                </c:pt>
                <c:pt idx="1">
                  <c:v>1.4705882352941025E-2</c:v>
                </c:pt>
                <c:pt idx="2">
                  <c:v>1.4705882352941025E-2</c:v>
                </c:pt>
                <c:pt idx="3">
                  <c:v>2.9411764705882214E-2</c:v>
                </c:pt>
                <c:pt idx="4">
                  <c:v>5.8823529411764594E-2</c:v>
                </c:pt>
                <c:pt idx="5">
                  <c:v>7.3529411764705774E-2</c:v>
                </c:pt>
                <c:pt idx="6">
                  <c:v>0.10294117647058816</c:v>
                </c:pt>
                <c:pt idx="7">
                  <c:v>0.13235294117647053</c:v>
                </c:pt>
                <c:pt idx="8">
                  <c:v>0.16176470588235292</c:v>
                </c:pt>
                <c:pt idx="9">
                  <c:v>0.1764705882352941</c:v>
                </c:pt>
                <c:pt idx="10">
                  <c:v>0.20588235294117632</c:v>
                </c:pt>
                <c:pt idx="11">
                  <c:v>0.23529411764705868</c:v>
                </c:pt>
                <c:pt idx="12">
                  <c:v>0.26470588235294107</c:v>
                </c:pt>
                <c:pt idx="13">
                  <c:v>0.29411764705882343</c:v>
                </c:pt>
                <c:pt idx="14">
                  <c:v>0.32352941176470584</c:v>
                </c:pt>
                <c:pt idx="15">
                  <c:v>0.3529411764705882</c:v>
                </c:pt>
                <c:pt idx="16">
                  <c:v>0.3823529411764704</c:v>
                </c:pt>
                <c:pt idx="17">
                  <c:v>0.42647058823529399</c:v>
                </c:pt>
                <c:pt idx="18">
                  <c:v>0.45588235294117635</c:v>
                </c:pt>
                <c:pt idx="19">
                  <c:v>0.48529411764705871</c:v>
                </c:pt>
                <c:pt idx="20">
                  <c:v>0.52941176470588225</c:v>
                </c:pt>
                <c:pt idx="21">
                  <c:v>0.55882352941176472</c:v>
                </c:pt>
                <c:pt idx="22">
                  <c:v>0.6029411764705882</c:v>
                </c:pt>
                <c:pt idx="23">
                  <c:v>0.63235294117647056</c:v>
                </c:pt>
                <c:pt idx="24">
                  <c:v>0.67647058823529382</c:v>
                </c:pt>
                <c:pt idx="25">
                  <c:v>0.70588235294117618</c:v>
                </c:pt>
                <c:pt idx="26">
                  <c:v>0.74999999999999978</c:v>
                </c:pt>
                <c:pt idx="27">
                  <c:v>0.79411764705882337</c:v>
                </c:pt>
                <c:pt idx="28">
                  <c:v>0.83823529411764697</c:v>
                </c:pt>
                <c:pt idx="29">
                  <c:v>0.88235294117647045</c:v>
                </c:pt>
                <c:pt idx="30">
                  <c:v>0.92647058823529405</c:v>
                </c:pt>
                <c:pt idx="31">
                  <c:v>0.97058823529411764</c:v>
                </c:pt>
                <c:pt idx="32">
                  <c:v>1.0147058823529411</c:v>
                </c:pt>
                <c:pt idx="33">
                  <c:v>1.0588235294117645</c:v>
                </c:pt>
                <c:pt idx="34">
                  <c:v>1.1029411764705881</c:v>
                </c:pt>
                <c:pt idx="35">
                  <c:v>1.1470588235294115</c:v>
                </c:pt>
                <c:pt idx="36">
                  <c:v>1.2058823529411764</c:v>
                </c:pt>
                <c:pt idx="37">
                  <c:v>1.2499999999999998</c:v>
                </c:pt>
                <c:pt idx="38">
                  <c:v>1.3088235294117647</c:v>
                </c:pt>
                <c:pt idx="39">
                  <c:v>1.3676470588235294</c:v>
                </c:pt>
                <c:pt idx="40">
                  <c:v>1.4705882352941173</c:v>
                </c:pt>
                <c:pt idx="41">
                  <c:v>1.4705882352941173</c:v>
                </c:pt>
                <c:pt idx="42">
                  <c:v>1.5147058823529407</c:v>
                </c:pt>
                <c:pt idx="43">
                  <c:v>1.5735294117647056</c:v>
                </c:pt>
                <c:pt idx="44">
                  <c:v>1.6470588235294119</c:v>
                </c:pt>
                <c:pt idx="45">
                  <c:v>1.7205882352941175</c:v>
                </c:pt>
                <c:pt idx="46">
                  <c:v>1.8088235294117645</c:v>
                </c:pt>
                <c:pt idx="47">
                  <c:v>1.8970588235294117</c:v>
                </c:pt>
                <c:pt idx="48">
                  <c:v>1.9852941176470582</c:v>
                </c:pt>
                <c:pt idx="49">
                  <c:v>2.0441176470588229</c:v>
                </c:pt>
                <c:pt idx="50">
                  <c:v>2.1323529411764701</c:v>
                </c:pt>
                <c:pt idx="51">
                  <c:v>2.2058823529411762</c:v>
                </c:pt>
                <c:pt idx="52">
                  <c:v>2.2941176470588234</c:v>
                </c:pt>
                <c:pt idx="53">
                  <c:v>2.3823529411764701</c:v>
                </c:pt>
                <c:pt idx="54">
                  <c:v>2.4705882352941169</c:v>
                </c:pt>
                <c:pt idx="55">
                  <c:v>2.5735294117647056</c:v>
                </c:pt>
                <c:pt idx="56">
                  <c:v>2.6764705882352935</c:v>
                </c:pt>
                <c:pt idx="57">
                  <c:v>2.7794117647058818</c:v>
                </c:pt>
                <c:pt idx="58">
                  <c:v>2.9558823529411757</c:v>
                </c:pt>
                <c:pt idx="59">
                  <c:v>3.0882352941176463</c:v>
                </c:pt>
                <c:pt idx="60">
                  <c:v>3.1911764705882351</c:v>
                </c:pt>
                <c:pt idx="61">
                  <c:v>3.3382352941176467</c:v>
                </c:pt>
                <c:pt idx="62">
                  <c:v>3.485294117647058</c:v>
                </c:pt>
                <c:pt idx="63">
                  <c:v>3.6323529411764701</c:v>
                </c:pt>
                <c:pt idx="64">
                  <c:v>3.7794117647058818</c:v>
                </c:pt>
                <c:pt idx="65">
                  <c:v>3.9411764705882346</c:v>
                </c:pt>
                <c:pt idx="66">
                  <c:v>4.1029411764705879</c:v>
                </c:pt>
                <c:pt idx="67">
                  <c:v>4.2647058823529411</c:v>
                </c:pt>
                <c:pt idx="68">
                  <c:v>4.3088235294117636</c:v>
                </c:pt>
                <c:pt idx="69">
                  <c:v>4.4705882352941178</c:v>
                </c:pt>
                <c:pt idx="70">
                  <c:v>4.6470588235294112</c:v>
                </c:pt>
                <c:pt idx="71">
                  <c:v>4.8235294117647056</c:v>
                </c:pt>
                <c:pt idx="72">
                  <c:v>5.0147058823529402</c:v>
                </c:pt>
                <c:pt idx="73">
                  <c:v>5.2058823529411757</c:v>
                </c:pt>
                <c:pt idx="74">
                  <c:v>5.367647058823529</c:v>
                </c:pt>
                <c:pt idx="75">
                  <c:v>5.5441176470588234</c:v>
                </c:pt>
                <c:pt idx="76">
                  <c:v>5.735294117647058</c:v>
                </c:pt>
                <c:pt idx="77">
                  <c:v>5.9117647058823533</c:v>
                </c:pt>
                <c:pt idx="78">
                  <c:v>6.1029411764705888</c:v>
                </c:pt>
                <c:pt idx="79">
                  <c:v>6.2941176470588234</c:v>
                </c:pt>
                <c:pt idx="80">
                  <c:v>6.4852941176470589</c:v>
                </c:pt>
                <c:pt idx="81">
                  <c:v>6.6764705882352935</c:v>
                </c:pt>
                <c:pt idx="82">
                  <c:v>6.882352941176471</c:v>
                </c:pt>
                <c:pt idx="83">
                  <c:v>7.0882352941176467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F9-4868-9F54-2D1095A4FC5F}"/>
            </c:ext>
          </c:extLst>
        </c:ser>
        <c:ser>
          <c:idx val="17"/>
          <c:order val="17"/>
          <c:tx>
            <c:strRef>
              <c:f>'вместе-отн'!$S$1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'вместе-отн'!$S$2:$S$85</c:f>
              <c:numCache>
                <c:formatCode>0.00</c:formatCode>
                <c:ptCount val="84"/>
                <c:pt idx="0">
                  <c:v>0</c:v>
                </c:pt>
                <c:pt idx="1">
                  <c:v>1.7429193899782151E-2</c:v>
                </c:pt>
                <c:pt idx="2">
                  <c:v>3.4858387799564301E-2</c:v>
                </c:pt>
                <c:pt idx="3">
                  <c:v>5.2287581699346455E-2</c:v>
                </c:pt>
                <c:pt idx="4">
                  <c:v>6.9716775599128603E-2</c:v>
                </c:pt>
                <c:pt idx="5">
                  <c:v>8.714596949891075E-2</c:v>
                </c:pt>
                <c:pt idx="6">
                  <c:v>0.10457516339869291</c:v>
                </c:pt>
                <c:pt idx="7">
                  <c:v>0.12200435729847506</c:v>
                </c:pt>
                <c:pt idx="8">
                  <c:v>0.13943355119825721</c:v>
                </c:pt>
                <c:pt idx="9">
                  <c:v>0.15686274509803916</c:v>
                </c:pt>
                <c:pt idx="10">
                  <c:v>0.17647058823529424</c:v>
                </c:pt>
                <c:pt idx="11">
                  <c:v>0.19389978213507639</c:v>
                </c:pt>
                <c:pt idx="12">
                  <c:v>0.21350762527233125</c:v>
                </c:pt>
                <c:pt idx="13">
                  <c:v>0.23093681917211339</c:v>
                </c:pt>
                <c:pt idx="14">
                  <c:v>0.25054466230936828</c:v>
                </c:pt>
                <c:pt idx="15">
                  <c:v>0.27233115468409586</c:v>
                </c:pt>
                <c:pt idx="16">
                  <c:v>0.29411764705882365</c:v>
                </c:pt>
                <c:pt idx="17">
                  <c:v>0.31590413943355122</c:v>
                </c:pt>
                <c:pt idx="18">
                  <c:v>0.33551198257080611</c:v>
                </c:pt>
                <c:pt idx="19">
                  <c:v>0.35947712418300665</c:v>
                </c:pt>
                <c:pt idx="20">
                  <c:v>0.38344226579520696</c:v>
                </c:pt>
                <c:pt idx="21">
                  <c:v>0.40740740740740744</c:v>
                </c:pt>
                <c:pt idx="22">
                  <c:v>0.43137254901960798</c:v>
                </c:pt>
                <c:pt idx="23">
                  <c:v>0.45533769063180829</c:v>
                </c:pt>
                <c:pt idx="24">
                  <c:v>0.48148148148148151</c:v>
                </c:pt>
                <c:pt idx="25">
                  <c:v>0.50762527233115473</c:v>
                </c:pt>
                <c:pt idx="26">
                  <c:v>0.53376906318082795</c:v>
                </c:pt>
                <c:pt idx="27">
                  <c:v>0.55991285403050117</c:v>
                </c:pt>
                <c:pt idx="28">
                  <c:v>0.58823529411764708</c:v>
                </c:pt>
                <c:pt idx="29">
                  <c:v>0.6165577342047931</c:v>
                </c:pt>
                <c:pt idx="30">
                  <c:v>0.644880174291939</c:v>
                </c:pt>
                <c:pt idx="31">
                  <c:v>0.67320261437908491</c:v>
                </c:pt>
                <c:pt idx="32">
                  <c:v>0.70370370370370383</c:v>
                </c:pt>
                <c:pt idx="33">
                  <c:v>0.73638344226579522</c:v>
                </c:pt>
                <c:pt idx="34">
                  <c:v>0.76906318082788661</c:v>
                </c:pt>
                <c:pt idx="35">
                  <c:v>0.80174291938997821</c:v>
                </c:pt>
                <c:pt idx="36">
                  <c:v>0.83660130718954251</c:v>
                </c:pt>
                <c:pt idx="37">
                  <c:v>0.87363834422657949</c:v>
                </c:pt>
                <c:pt idx="38">
                  <c:v>0.91503267973856195</c:v>
                </c:pt>
                <c:pt idx="39">
                  <c:v>0.96078431372549022</c:v>
                </c:pt>
                <c:pt idx="40">
                  <c:v>1.0108932461873641</c:v>
                </c:pt>
                <c:pt idx="41">
                  <c:v>1.0653594771241832</c:v>
                </c:pt>
                <c:pt idx="42">
                  <c:v>1.1241830065359477</c:v>
                </c:pt>
                <c:pt idx="43">
                  <c:v>1.1830065359477124</c:v>
                </c:pt>
                <c:pt idx="44">
                  <c:v>1.2483660130718957</c:v>
                </c:pt>
                <c:pt idx="45">
                  <c:v>1.3159041394335513</c:v>
                </c:pt>
                <c:pt idx="46">
                  <c:v>1.3877995642701528</c:v>
                </c:pt>
                <c:pt idx="47">
                  <c:v>1.4618736383442268</c:v>
                </c:pt>
                <c:pt idx="48">
                  <c:v>1.5381263616557737</c:v>
                </c:pt>
                <c:pt idx="49">
                  <c:v>1.616557734204793</c:v>
                </c:pt>
                <c:pt idx="50">
                  <c:v>1.6819172113289762</c:v>
                </c:pt>
                <c:pt idx="51">
                  <c:v>1.7603485838779958</c:v>
                </c:pt>
                <c:pt idx="52">
                  <c:v>1.8431372549019611</c:v>
                </c:pt>
                <c:pt idx="53">
                  <c:v>1.9302832244008714</c:v>
                </c:pt>
                <c:pt idx="54">
                  <c:v>1.9607843137254903</c:v>
                </c:pt>
                <c:pt idx="55">
                  <c:v>2.0392156862745097</c:v>
                </c:pt>
                <c:pt idx="56">
                  <c:v>2.1263616557734206</c:v>
                </c:pt>
                <c:pt idx="57">
                  <c:v>2.3028322440087146</c:v>
                </c:pt>
                <c:pt idx="58">
                  <c:v>2.3703703703703707</c:v>
                </c:pt>
                <c:pt idx="59">
                  <c:v>2.3921568627450984</c:v>
                </c:pt>
                <c:pt idx="60">
                  <c:v>2.4836601307189543</c:v>
                </c:pt>
                <c:pt idx="61">
                  <c:v>2.5751633986928106</c:v>
                </c:pt>
                <c:pt idx="62">
                  <c:v>2.6710239651416128</c:v>
                </c:pt>
                <c:pt idx="63">
                  <c:v>2.7690631808278869</c:v>
                </c:pt>
                <c:pt idx="64">
                  <c:v>2.8692810457516345</c:v>
                </c:pt>
                <c:pt idx="65">
                  <c:v>2.9520697167755996</c:v>
                </c:pt>
                <c:pt idx="66">
                  <c:v>3.0457516339869284</c:v>
                </c:pt>
                <c:pt idx="67">
                  <c:v>3.1372549019607843</c:v>
                </c:pt>
                <c:pt idx="68">
                  <c:v>3.2309368191721139</c:v>
                </c:pt>
                <c:pt idx="69">
                  <c:v>3.3224400871459694</c:v>
                </c:pt>
                <c:pt idx="70">
                  <c:v>3.4139433551198262</c:v>
                </c:pt>
                <c:pt idx="71">
                  <c:v>3.505446623093682</c:v>
                </c:pt>
                <c:pt idx="72">
                  <c:v>3.5991285403050108</c:v>
                </c:pt>
                <c:pt idx="73">
                  <c:v>3.6993464052287583</c:v>
                </c:pt>
                <c:pt idx="74">
                  <c:v>3.7930283224400871</c:v>
                </c:pt>
                <c:pt idx="75">
                  <c:v>3.8910675381263617</c:v>
                </c:pt>
                <c:pt idx="76">
                  <c:v>3.9542483660130716</c:v>
                </c:pt>
                <c:pt idx="77">
                  <c:v>4.0392156862745097</c:v>
                </c:pt>
                <c:pt idx="78">
                  <c:v>4.1263616557734206</c:v>
                </c:pt>
                <c:pt idx="79">
                  <c:v>4.2178649237472765</c:v>
                </c:pt>
                <c:pt idx="80">
                  <c:v>4.3093681917211333</c:v>
                </c:pt>
                <c:pt idx="81">
                  <c:v>4.4030501089324625</c:v>
                </c:pt>
                <c:pt idx="82">
                  <c:v>4.4967320261437909</c:v>
                </c:pt>
                <c:pt idx="83">
                  <c:v>4.5904139433551201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64F9-4868-9F54-2D1095A4FC5F}"/>
            </c:ext>
          </c:extLst>
        </c:ser>
        <c:ser>
          <c:idx val="18"/>
          <c:order val="18"/>
          <c:tx>
            <c:strRef>
              <c:f>'вместе-отн'!$T$1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'вместе-отн'!$T$2:$T$85</c:f>
              <c:numCache>
                <c:formatCode>0.00</c:formatCode>
                <c:ptCount val="84"/>
                <c:pt idx="0">
                  <c:v>0</c:v>
                </c:pt>
                <c:pt idx="1">
                  <c:v>1.4184397163120581E-2</c:v>
                </c:pt>
                <c:pt idx="2">
                  <c:v>3.5460992907801449E-2</c:v>
                </c:pt>
                <c:pt idx="3">
                  <c:v>4.964539007092203E-2</c:v>
                </c:pt>
                <c:pt idx="4">
                  <c:v>6.3829787234042618E-2</c:v>
                </c:pt>
                <c:pt idx="5">
                  <c:v>7.8014184397163192E-2</c:v>
                </c:pt>
                <c:pt idx="6">
                  <c:v>9.2198581560283779E-2</c:v>
                </c:pt>
                <c:pt idx="7">
                  <c:v>9.9290780141844059E-2</c:v>
                </c:pt>
                <c:pt idx="8">
                  <c:v>0.11347517730496465</c:v>
                </c:pt>
                <c:pt idx="9">
                  <c:v>0.13475177304964553</c:v>
                </c:pt>
                <c:pt idx="10">
                  <c:v>0.15602836879432624</c:v>
                </c:pt>
                <c:pt idx="11">
                  <c:v>0.18439716312056739</c:v>
                </c:pt>
                <c:pt idx="12">
                  <c:v>0.20567375886524827</c:v>
                </c:pt>
                <c:pt idx="13">
                  <c:v>0.22695035460992913</c:v>
                </c:pt>
                <c:pt idx="14">
                  <c:v>0.24822695035461001</c:v>
                </c:pt>
                <c:pt idx="15">
                  <c:v>0.26950354609929089</c:v>
                </c:pt>
                <c:pt idx="16">
                  <c:v>0.29078014184397177</c:v>
                </c:pt>
                <c:pt idx="17">
                  <c:v>0.30496453900709231</c:v>
                </c:pt>
                <c:pt idx="18">
                  <c:v>0.32624113475177319</c:v>
                </c:pt>
                <c:pt idx="19">
                  <c:v>0.34042553191489361</c:v>
                </c:pt>
                <c:pt idx="20">
                  <c:v>0.3546099290780142</c:v>
                </c:pt>
                <c:pt idx="21">
                  <c:v>0.36879432624113478</c:v>
                </c:pt>
                <c:pt idx="22">
                  <c:v>0.38297872340425537</c:v>
                </c:pt>
                <c:pt idx="23">
                  <c:v>0.39716312056737596</c:v>
                </c:pt>
                <c:pt idx="24">
                  <c:v>0.41134751773049655</c:v>
                </c:pt>
                <c:pt idx="25">
                  <c:v>0.42553191489361697</c:v>
                </c:pt>
                <c:pt idx="26">
                  <c:v>0.43971631205673756</c:v>
                </c:pt>
                <c:pt idx="27">
                  <c:v>0.46099290780141855</c:v>
                </c:pt>
                <c:pt idx="28">
                  <c:v>0.47517730496453914</c:v>
                </c:pt>
                <c:pt idx="29">
                  <c:v>0.48936170212765973</c:v>
                </c:pt>
                <c:pt idx="30">
                  <c:v>0.50354609929078031</c:v>
                </c:pt>
                <c:pt idx="31">
                  <c:v>0.5177304964539009</c:v>
                </c:pt>
                <c:pt idx="32">
                  <c:v>0.53900709219858156</c:v>
                </c:pt>
                <c:pt idx="33">
                  <c:v>0.56028368794326266</c:v>
                </c:pt>
                <c:pt idx="34">
                  <c:v>0.57446808510638325</c:v>
                </c:pt>
                <c:pt idx="35">
                  <c:v>0.6028368794326241</c:v>
                </c:pt>
                <c:pt idx="36">
                  <c:v>0.63120567375886516</c:v>
                </c:pt>
                <c:pt idx="37">
                  <c:v>0.65248226950354626</c:v>
                </c:pt>
                <c:pt idx="38">
                  <c:v>0.67375886524822692</c:v>
                </c:pt>
                <c:pt idx="39">
                  <c:v>0.7021276595744681</c:v>
                </c:pt>
                <c:pt idx="40">
                  <c:v>0.72340425531914909</c:v>
                </c:pt>
                <c:pt idx="41">
                  <c:v>0.74468085106382986</c:v>
                </c:pt>
                <c:pt idx="42">
                  <c:v>0.77304964539007104</c:v>
                </c:pt>
                <c:pt idx="43">
                  <c:v>0.80141843971631221</c:v>
                </c:pt>
                <c:pt idx="44">
                  <c:v>0.82978723404255339</c:v>
                </c:pt>
                <c:pt idx="45">
                  <c:v>0.85106382978723405</c:v>
                </c:pt>
                <c:pt idx="46">
                  <c:v>0.87943262411347523</c:v>
                </c:pt>
                <c:pt idx="47">
                  <c:v>0.90070921985815622</c:v>
                </c:pt>
                <c:pt idx="48">
                  <c:v>0.92198581560283699</c:v>
                </c:pt>
                <c:pt idx="49">
                  <c:v>0.95035460992907816</c:v>
                </c:pt>
                <c:pt idx="50">
                  <c:v>0.9078014184397164</c:v>
                </c:pt>
                <c:pt idx="51">
                  <c:v>0.91489361702127681</c:v>
                </c:pt>
                <c:pt idx="52">
                  <c:v>0.92198581560283699</c:v>
                </c:pt>
                <c:pt idx="53">
                  <c:v>0.93617021276595758</c:v>
                </c:pt>
                <c:pt idx="54">
                  <c:v>0.94326241134751798</c:v>
                </c:pt>
                <c:pt idx="55">
                  <c:v>0.95035460992907816</c:v>
                </c:pt>
                <c:pt idx="56">
                  <c:v>0.95744680851063824</c:v>
                </c:pt>
                <c:pt idx="57">
                  <c:v>0.96453900709219875</c:v>
                </c:pt>
                <c:pt idx="58">
                  <c:v>1.0070921985815604</c:v>
                </c:pt>
                <c:pt idx="59">
                  <c:v>1.021276595744681</c:v>
                </c:pt>
                <c:pt idx="60">
                  <c:v>1.0283687943262412</c:v>
                </c:pt>
                <c:pt idx="61">
                  <c:v>1.0425531914893618</c:v>
                </c:pt>
                <c:pt idx="62">
                  <c:v>1.0496453900709222</c:v>
                </c:pt>
                <c:pt idx="63">
                  <c:v>1.0638297872340428</c:v>
                </c:pt>
                <c:pt idx="64">
                  <c:v>1.0780141843971633</c:v>
                </c:pt>
                <c:pt idx="65">
                  <c:v>1.0921985815602839</c:v>
                </c:pt>
                <c:pt idx="66">
                  <c:v>1.1063829787234045</c:v>
                </c:pt>
                <c:pt idx="67">
                  <c:v>1.1205673758865251</c:v>
                </c:pt>
                <c:pt idx="68">
                  <c:v>1.1347517730496453</c:v>
                </c:pt>
                <c:pt idx="69">
                  <c:v>1.1489361702127658</c:v>
                </c:pt>
                <c:pt idx="70">
                  <c:v>1.1560283687943265</c:v>
                </c:pt>
                <c:pt idx="71">
                  <c:v>1.1702127659574471</c:v>
                </c:pt>
                <c:pt idx="72">
                  <c:v>1.1914893617021276</c:v>
                </c:pt>
                <c:pt idx="73">
                  <c:v>1.2056737588652482</c:v>
                </c:pt>
                <c:pt idx="74">
                  <c:v>1.2198581560283688</c:v>
                </c:pt>
                <c:pt idx="75">
                  <c:v>1.2340425531914894</c:v>
                </c:pt>
                <c:pt idx="76">
                  <c:v>1.24822695035461</c:v>
                </c:pt>
                <c:pt idx="77">
                  <c:v>1.2695035460992909</c:v>
                </c:pt>
                <c:pt idx="78">
                  <c:v>1.2836879432624115</c:v>
                </c:pt>
                <c:pt idx="79">
                  <c:v>1.2978723404255321</c:v>
                </c:pt>
                <c:pt idx="80">
                  <c:v>1.3191489361702129</c:v>
                </c:pt>
                <c:pt idx="81">
                  <c:v>1.3333333333333335</c:v>
                </c:pt>
                <c:pt idx="82">
                  <c:v>1.3475177304964541</c:v>
                </c:pt>
                <c:pt idx="83">
                  <c:v>1.3687943262411348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64F9-4868-9F54-2D1095A4FC5F}"/>
            </c:ext>
          </c:extLst>
        </c:ser>
        <c:ser>
          <c:idx val="19"/>
          <c:order val="19"/>
          <c:tx>
            <c:strRef>
              <c:f>'вместе-отн'!$U$1</c:f>
              <c:strCache>
                <c:ptCount val="1"/>
                <c:pt idx="0">
                  <c:v>Венецуэлла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'вместе-отн'!$U$2:$U$85</c:f>
              <c:numCache>
                <c:formatCode>0.00</c:formatCode>
                <c:ptCount val="84"/>
                <c:pt idx="0">
                  <c:v>0</c:v>
                </c:pt>
                <c:pt idx="1">
                  <c:v>7.2727272727272788E-3</c:v>
                </c:pt>
                <c:pt idx="2">
                  <c:v>1.4545454545454558E-2</c:v>
                </c:pt>
                <c:pt idx="3">
                  <c:v>2.5454545454545396E-2</c:v>
                </c:pt>
                <c:pt idx="4">
                  <c:v>3.2727272727272674E-2</c:v>
                </c:pt>
                <c:pt idx="5">
                  <c:v>4.3636363636363674E-2</c:v>
                </c:pt>
                <c:pt idx="6">
                  <c:v>5.4545454545454515E-2</c:v>
                </c:pt>
                <c:pt idx="7">
                  <c:v>6.5454545454545515E-2</c:v>
                </c:pt>
                <c:pt idx="8">
                  <c:v>7.2727272727272793E-2</c:v>
                </c:pt>
                <c:pt idx="9">
                  <c:v>8.3636363636363634E-2</c:v>
                </c:pt>
                <c:pt idx="10">
                  <c:v>9.4545454545454474E-2</c:v>
                </c:pt>
                <c:pt idx="11">
                  <c:v>0.10545454545454547</c:v>
                </c:pt>
                <c:pt idx="12">
                  <c:v>0.12000000000000002</c:v>
                </c:pt>
                <c:pt idx="13">
                  <c:v>0.13454545454545458</c:v>
                </c:pt>
                <c:pt idx="14">
                  <c:v>0.14545454545454542</c:v>
                </c:pt>
                <c:pt idx="15">
                  <c:v>0.15999999999999998</c:v>
                </c:pt>
                <c:pt idx="16">
                  <c:v>0.17454545454545453</c:v>
                </c:pt>
                <c:pt idx="17">
                  <c:v>0.18545454545454537</c:v>
                </c:pt>
                <c:pt idx="18">
                  <c:v>0.19999999999999993</c:v>
                </c:pt>
                <c:pt idx="19">
                  <c:v>0.22909090909090904</c:v>
                </c:pt>
                <c:pt idx="20">
                  <c:v>0.25818181818181818</c:v>
                </c:pt>
                <c:pt idx="21">
                  <c:v>0.29090909090909084</c:v>
                </c:pt>
                <c:pt idx="22">
                  <c:v>0.31999999999999995</c:v>
                </c:pt>
                <c:pt idx="23">
                  <c:v>0.34909090909090906</c:v>
                </c:pt>
                <c:pt idx="24">
                  <c:v>0.38181818181818178</c:v>
                </c:pt>
                <c:pt idx="25">
                  <c:v>0.42181818181818187</c:v>
                </c:pt>
                <c:pt idx="26">
                  <c:v>0.46545454545454557</c:v>
                </c:pt>
                <c:pt idx="27">
                  <c:v>0.50909090909090926</c:v>
                </c:pt>
                <c:pt idx="28">
                  <c:v>0.55272727272727262</c:v>
                </c:pt>
                <c:pt idx="29">
                  <c:v>0.59636363636363621</c:v>
                </c:pt>
                <c:pt idx="30">
                  <c:v>0.65454545454545443</c:v>
                </c:pt>
                <c:pt idx="31">
                  <c:v>0.70545454545454556</c:v>
                </c:pt>
                <c:pt idx="32">
                  <c:v>0.75636363636363635</c:v>
                </c:pt>
                <c:pt idx="33">
                  <c:v>0.80727272727272714</c:v>
                </c:pt>
                <c:pt idx="34">
                  <c:v>0.86909090909090903</c:v>
                </c:pt>
                <c:pt idx="35">
                  <c:v>0.95999999999999985</c:v>
                </c:pt>
                <c:pt idx="36">
                  <c:v>1.0436363636363637</c:v>
                </c:pt>
                <c:pt idx="37">
                  <c:v>1.1272727272727272</c:v>
                </c:pt>
                <c:pt idx="38">
                  <c:v>1.2145454545454546</c:v>
                </c:pt>
                <c:pt idx="39">
                  <c:v>1.3018181818181818</c:v>
                </c:pt>
                <c:pt idx="40">
                  <c:v>1.3890909090909092</c:v>
                </c:pt>
                <c:pt idx="41">
                  <c:v>1.4836363636363636</c:v>
                </c:pt>
                <c:pt idx="42">
                  <c:v>1.5781818181818181</c:v>
                </c:pt>
                <c:pt idx="43">
                  <c:v>1.6727272727272726</c:v>
                </c:pt>
                <c:pt idx="44">
                  <c:v>1.7672727272727273</c:v>
                </c:pt>
                <c:pt idx="45">
                  <c:v>1.8581818181818184</c:v>
                </c:pt>
                <c:pt idx="46">
                  <c:v>1.9527272727272724</c:v>
                </c:pt>
                <c:pt idx="47">
                  <c:v>2.0545454545454547</c:v>
                </c:pt>
                <c:pt idx="48">
                  <c:v>2.1672727272727275</c:v>
                </c:pt>
                <c:pt idx="49">
                  <c:v>2.2836363636363632</c:v>
                </c:pt>
                <c:pt idx="50">
                  <c:v>2.3854545454545457</c:v>
                </c:pt>
                <c:pt idx="51">
                  <c:v>2.4981818181818181</c:v>
                </c:pt>
                <c:pt idx="52">
                  <c:v>2.6145454545454543</c:v>
                </c:pt>
                <c:pt idx="53">
                  <c:v>2.7381818181818178</c:v>
                </c:pt>
                <c:pt idx="54">
                  <c:v>2.8581818181818179</c:v>
                </c:pt>
                <c:pt idx="55">
                  <c:v>2.978181818181818</c:v>
                </c:pt>
                <c:pt idx="56">
                  <c:v>3.1018181818181816</c:v>
                </c:pt>
                <c:pt idx="57">
                  <c:v>3.2290909090909095</c:v>
                </c:pt>
                <c:pt idx="58">
                  <c:v>3.6072727272727274</c:v>
                </c:pt>
                <c:pt idx="59">
                  <c:v>3.7709090909090905</c:v>
                </c:pt>
                <c:pt idx="60">
                  <c:v>3.9418181818181819</c:v>
                </c:pt>
                <c:pt idx="61">
                  <c:v>4.1163636363636362</c:v>
                </c:pt>
                <c:pt idx="62">
                  <c:v>4.290909090909091</c:v>
                </c:pt>
                <c:pt idx="63">
                  <c:v>4.4618181818181819</c:v>
                </c:pt>
                <c:pt idx="64">
                  <c:v>4.6290909090909089</c:v>
                </c:pt>
                <c:pt idx="65">
                  <c:v>4.7963636363636359</c:v>
                </c:pt>
                <c:pt idx="66">
                  <c:v>4.96</c:v>
                </c:pt>
                <c:pt idx="67">
                  <c:v>5.1272727272727279</c:v>
                </c:pt>
                <c:pt idx="68">
                  <c:v>5.2981818181818179</c:v>
                </c:pt>
                <c:pt idx="69">
                  <c:v>5.374545454545455</c:v>
                </c:pt>
                <c:pt idx="70">
                  <c:v>5.5345454545454542</c:v>
                </c:pt>
                <c:pt idx="71">
                  <c:v>5.6036363636363635</c:v>
                </c:pt>
                <c:pt idx="72">
                  <c:v>5.8618181818181823</c:v>
                </c:pt>
                <c:pt idx="73">
                  <c:v>6.0909090909090908</c:v>
                </c:pt>
                <c:pt idx="74">
                  <c:v>6.2618181818181817</c:v>
                </c:pt>
                <c:pt idx="75">
                  <c:v>6.4327272727272735</c:v>
                </c:pt>
                <c:pt idx="76">
                  <c:v>6.6036363636363635</c:v>
                </c:pt>
                <c:pt idx="77">
                  <c:v>6.7745454545454544</c:v>
                </c:pt>
                <c:pt idx="78">
                  <c:v>6.9418181818181814</c:v>
                </c:pt>
                <c:pt idx="79">
                  <c:v>7.1127272727272723</c:v>
                </c:pt>
                <c:pt idx="80">
                  <c:v>7.2836363636363641</c:v>
                </c:pt>
                <c:pt idx="81">
                  <c:v>7.4509090909090903</c:v>
                </c:pt>
                <c:pt idx="82">
                  <c:v>7.621818181818182</c:v>
                </c:pt>
                <c:pt idx="83">
                  <c:v>7.78909090909091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F9-4868-9F54-2D1095A4FC5F}"/>
            </c:ext>
          </c:extLst>
        </c:ser>
        <c:ser>
          <c:idx val="20"/>
          <c:order val="20"/>
          <c:tx>
            <c:strRef>
              <c:f>'вместе-отн'!$V$1</c:f>
              <c:strCache>
                <c:ptCount val="1"/>
                <c:pt idx="0">
                  <c:v>РСФСР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'вместе-отн'!$V$2:$V$85</c:f>
              <c:numCache>
                <c:formatCode>0.00</c:formatCode>
                <c:ptCount val="84"/>
                <c:pt idx="0">
                  <c:v>0</c:v>
                </c:pt>
                <c:pt idx="1">
                  <c:v>-1.0186813186813188E-2</c:v>
                </c:pt>
                <c:pt idx="2">
                  <c:v>-2.0274725274725274E-2</c:v>
                </c:pt>
                <c:pt idx="3">
                  <c:v>-3.0252747252747254E-2</c:v>
                </c:pt>
                <c:pt idx="4">
                  <c:v>-3.2054945054945057E-2</c:v>
                </c:pt>
                <c:pt idx="5">
                  <c:v>-3.3857142857142856E-2</c:v>
                </c:pt>
                <c:pt idx="6">
                  <c:v>-3.5659340659340656E-2</c:v>
                </c:pt>
                <c:pt idx="7">
                  <c:v>-1.7747252747252747E-2</c:v>
                </c:pt>
                <c:pt idx="8">
                  <c:v>4.8351648351648349E-4</c:v>
                </c:pt>
                <c:pt idx="9">
                  <c:v>1.9065934065934067E-2</c:v>
                </c:pt>
                <c:pt idx="10">
                  <c:v>2.8615384615384615E-2</c:v>
                </c:pt>
                <c:pt idx="11">
                  <c:v>5.0406593406593404E-2</c:v>
                </c:pt>
                <c:pt idx="12">
                  <c:v>7.3857142857142857E-2</c:v>
                </c:pt>
                <c:pt idx="13">
                  <c:v>9.4131868131868135E-2</c:v>
                </c:pt>
                <c:pt idx="14">
                  <c:v>0.11287912087912087</c:v>
                </c:pt>
                <c:pt idx="15">
                  <c:v>0.12774725274725274</c:v>
                </c:pt>
                <c:pt idx="16">
                  <c:v>0.13898901098901098</c:v>
                </c:pt>
                <c:pt idx="17">
                  <c:v>0.11827472527472528</c:v>
                </c:pt>
                <c:pt idx="18">
                  <c:v>0.12175824175824176</c:v>
                </c:pt>
                <c:pt idx="19">
                  <c:v>0.13503296703296702</c:v>
                </c:pt>
                <c:pt idx="20">
                  <c:v>0.14857142857142858</c:v>
                </c:pt>
                <c:pt idx="21">
                  <c:v>0.16697802197802197</c:v>
                </c:pt>
                <c:pt idx="22">
                  <c:v>0.18563736263736264</c:v>
                </c:pt>
                <c:pt idx="23">
                  <c:v>0.20525274725274725</c:v>
                </c:pt>
                <c:pt idx="24">
                  <c:v>0.21964835164835164</c:v>
                </c:pt>
                <c:pt idx="25">
                  <c:v>0.18856043956043955</c:v>
                </c:pt>
                <c:pt idx="26">
                  <c:v>0.15827472527472528</c:v>
                </c:pt>
                <c:pt idx="27">
                  <c:v>0.12875824175824177</c:v>
                </c:pt>
                <c:pt idx="28">
                  <c:v>9.9989010989010987E-2</c:v>
                </c:pt>
                <c:pt idx="29">
                  <c:v>7.195604395604395E-2</c:v>
                </c:pt>
                <c:pt idx="30">
                  <c:v>8.251648351648351E-2</c:v>
                </c:pt>
                <c:pt idx="31">
                  <c:v>8.9659340659340656E-2</c:v>
                </c:pt>
                <c:pt idx="32">
                  <c:v>0.10167032967032967</c:v>
                </c:pt>
                <c:pt idx="33">
                  <c:v>0.12161538461538461</c:v>
                </c:pt>
                <c:pt idx="34">
                  <c:v>0.13845054945054944</c:v>
                </c:pt>
                <c:pt idx="35">
                  <c:v>0.15690109890109891</c:v>
                </c:pt>
                <c:pt idx="36">
                  <c:v>0.17636263736263735</c:v>
                </c:pt>
                <c:pt idx="37">
                  <c:v>0.19348351648351647</c:v>
                </c:pt>
                <c:pt idx="38">
                  <c:v>0.21624175824175823</c:v>
                </c:pt>
                <c:pt idx="39">
                  <c:v>0.23587912087912088</c:v>
                </c:pt>
                <c:pt idx="40">
                  <c:v>0.25482417582417582</c:v>
                </c:pt>
                <c:pt idx="41">
                  <c:v>0.27341758241758241</c:v>
                </c:pt>
                <c:pt idx="42">
                  <c:v>0.2924835164835165</c:v>
                </c:pt>
                <c:pt idx="43">
                  <c:v>0.30819780219780218</c:v>
                </c:pt>
                <c:pt idx="44">
                  <c:v>0.32709890109890111</c:v>
                </c:pt>
                <c:pt idx="45">
                  <c:v>0.34513186813186814</c:v>
                </c:pt>
                <c:pt idx="46">
                  <c:v>0.36096703296703297</c:v>
                </c:pt>
                <c:pt idx="47">
                  <c:v>0.37559340659340662</c:v>
                </c:pt>
                <c:pt idx="48">
                  <c:v>0.38801098901098902</c:v>
                </c:pt>
                <c:pt idx="49">
                  <c:v>0.39768131868131867</c:v>
                </c:pt>
                <c:pt idx="50">
                  <c:v>0.40687912087912087</c:v>
                </c:pt>
                <c:pt idx="51">
                  <c:v>0.41424175824175824</c:v>
                </c:pt>
                <c:pt idx="52">
                  <c:v>0.42174725274725272</c:v>
                </c:pt>
                <c:pt idx="53">
                  <c:v>0.42943956043956044</c:v>
                </c:pt>
                <c:pt idx="54">
                  <c:v>0.43630769230769229</c:v>
                </c:pt>
                <c:pt idx="55">
                  <c:v>0.44445054945054946</c:v>
                </c:pt>
                <c:pt idx="56">
                  <c:v>0.45285714285714285</c:v>
                </c:pt>
                <c:pt idx="57">
                  <c:v>0.46089010989010987</c:v>
                </c:pt>
                <c:pt idx="58">
                  <c:v>0.47005494505494505</c:v>
                </c:pt>
                <c:pt idx="59">
                  <c:v>0.48010989010989014</c:v>
                </c:pt>
                <c:pt idx="60">
                  <c:v>0.49060439560439562</c:v>
                </c:pt>
                <c:pt idx="61">
                  <c:v>0.50105494505494508</c:v>
                </c:pt>
                <c:pt idx="62">
                  <c:v>0.51154945054945056</c:v>
                </c:pt>
                <c:pt idx="63">
                  <c:v>0.51968131868131873</c:v>
                </c:pt>
                <c:pt idx="64">
                  <c:v>0.52778021978021983</c:v>
                </c:pt>
                <c:pt idx="65">
                  <c:v>0.53643956043956043</c:v>
                </c:pt>
                <c:pt idx="66">
                  <c:v>0.54687912087912083</c:v>
                </c:pt>
                <c:pt idx="67">
                  <c:v>0.55870329670329666</c:v>
                </c:pt>
                <c:pt idx="68">
                  <c:v>0.56948351648351647</c:v>
                </c:pt>
                <c:pt idx="69">
                  <c:v>0.58060439560439558</c:v>
                </c:pt>
                <c:pt idx="70">
                  <c:v>0.59467032967032962</c:v>
                </c:pt>
                <c:pt idx="71">
                  <c:v>0.60816483516483522</c:v>
                </c:pt>
                <c:pt idx="72">
                  <c:v>0.61562527472527462</c:v>
                </c:pt>
                <c:pt idx="73">
                  <c:v>0.62269340659340666</c:v>
                </c:pt>
                <c:pt idx="74">
                  <c:v>0.62938131868131886</c:v>
                </c:pt>
                <c:pt idx="75">
                  <c:v>0.6320296703296705</c:v>
                </c:pt>
                <c:pt idx="76">
                  <c:v>0.63254615384615398</c:v>
                </c:pt>
                <c:pt idx="77">
                  <c:v>0.63028461538461533</c:v>
                </c:pt>
                <c:pt idx="78">
                  <c:v>0.63142747252747244</c:v>
                </c:pt>
                <c:pt idx="79">
                  <c:v>0.62957802197802204</c:v>
                </c:pt>
                <c:pt idx="80">
                  <c:v>0.62668791208791219</c:v>
                </c:pt>
                <c:pt idx="81">
                  <c:v>0.62419890109890119</c:v>
                </c:pt>
                <c:pt idx="82">
                  <c:v>0.62131208791208781</c:v>
                </c:pt>
                <c:pt idx="83">
                  <c:v>0.61417692307692318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64F9-4868-9F54-2D1095A4F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718072"/>
        <c:axId val="942718400"/>
      </c:scatterChart>
      <c:valAx>
        <c:axId val="9427180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718400"/>
        <c:crosses val="autoZero"/>
        <c:crossBetween val="midCat"/>
      </c:valAx>
      <c:valAx>
        <c:axId val="942718400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71807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85</xdr:row>
      <xdr:rowOff>171449</xdr:rowOff>
    </xdr:from>
    <xdr:to>
      <xdr:col>30</xdr:col>
      <xdr:colOff>0</xdr:colOff>
      <xdr:row>145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94A377-01EA-44DB-923B-2D72107F3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0.11063</cdr:x>
      <cdr:y>0.07179</cdr:y>
    </cdr:from>
    <cdr:to>
      <cdr:x>0.56503</cdr:x>
      <cdr:y>0.18614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57B6B43-2DB4-41F1-8B6E-1858F8AC778D}"/>
            </a:ext>
          </a:extLst>
        </cdr:cNvPr>
        <cdr:cNvSpPr txBox="1"/>
      </cdr:nvSpPr>
      <cdr:spPr>
        <a:xfrm xmlns:a="http://schemas.openxmlformats.org/drawingml/2006/main">
          <a:off x="1952623" y="819150"/>
          <a:ext cx="8020051" cy="13049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3600" b="1"/>
            <a:t>Прирост численности населения стран</a:t>
          </a:r>
        </a:p>
        <a:p xmlns:a="http://schemas.openxmlformats.org/drawingml/2006/main">
          <a:r>
            <a:rPr lang="ru-RU" sz="3600" b="1"/>
            <a:t>сравнительно с 1917 годом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C42"/>
  <sheetViews>
    <sheetView workbookViewId="0">
      <selection activeCell="C37" sqref="C37"/>
    </sheetView>
  </sheetViews>
  <sheetFormatPr defaultRowHeight="15" x14ac:dyDescent="0.25"/>
  <sheetData>
    <row r="1" spans="1:1" x14ac:dyDescent="0.25">
      <c r="A1" t="s">
        <v>31</v>
      </c>
    </row>
    <row r="2" spans="1:1" x14ac:dyDescent="0.25">
      <c r="A2" s="1" t="s">
        <v>0</v>
      </c>
    </row>
    <row r="4" spans="1:1" x14ac:dyDescent="0.25">
      <c r="A4" t="s">
        <v>26</v>
      </c>
    </row>
    <row r="5" spans="1:1" x14ac:dyDescent="0.25">
      <c r="A5" t="s">
        <v>23</v>
      </c>
    </row>
    <row r="7" spans="1:1" x14ac:dyDescent="0.25">
      <c r="A7" t="s">
        <v>24</v>
      </c>
    </row>
    <row r="9" spans="1:1" x14ac:dyDescent="0.25">
      <c r="A9" t="s">
        <v>25</v>
      </c>
    </row>
    <row r="11" spans="1:1" x14ac:dyDescent="0.25">
      <c r="A11" t="s">
        <v>22</v>
      </c>
    </row>
    <row r="13" spans="1:1" x14ac:dyDescent="0.25">
      <c r="A13" t="s">
        <v>27</v>
      </c>
    </row>
    <row r="14" spans="1:1" x14ac:dyDescent="0.25">
      <c r="A14" t="s">
        <v>28</v>
      </c>
    </row>
    <row r="15" spans="1:1" x14ac:dyDescent="0.25">
      <c r="A15" t="s">
        <v>30</v>
      </c>
    </row>
    <row r="16" spans="1:1" x14ac:dyDescent="0.25">
      <c r="A16" t="s">
        <v>29</v>
      </c>
    </row>
    <row r="19" spans="1:3" x14ac:dyDescent="0.25">
      <c r="A19" t="s">
        <v>38</v>
      </c>
    </row>
    <row r="21" spans="1:3" x14ac:dyDescent="0.25">
      <c r="A21">
        <v>1917</v>
      </c>
      <c r="C21" t="s">
        <v>36</v>
      </c>
    </row>
    <row r="22" spans="1:3" x14ac:dyDescent="0.25">
      <c r="A22">
        <v>1920</v>
      </c>
    </row>
    <row r="23" spans="1:3" x14ac:dyDescent="0.25">
      <c r="A23">
        <v>1923</v>
      </c>
    </row>
    <row r="24" spans="1:3" x14ac:dyDescent="0.25">
      <c r="A24">
        <v>1926</v>
      </c>
    </row>
    <row r="26" spans="1:3" x14ac:dyDescent="0.25">
      <c r="A26">
        <v>1918</v>
      </c>
      <c r="C26" t="s">
        <v>37</v>
      </c>
    </row>
    <row r="27" spans="1:3" x14ac:dyDescent="0.25">
      <c r="A27">
        <v>1919</v>
      </c>
    </row>
    <row r="28" spans="1:3" x14ac:dyDescent="0.25">
      <c r="A28">
        <v>1921</v>
      </c>
    </row>
    <row r="29" spans="1:3" x14ac:dyDescent="0.25">
      <c r="A29">
        <v>1922</v>
      </c>
    </row>
    <row r="30" spans="1:3" x14ac:dyDescent="0.25">
      <c r="A30">
        <v>1924</v>
      </c>
    </row>
    <row r="31" spans="1:3" x14ac:dyDescent="0.25">
      <c r="A31">
        <v>1925</v>
      </c>
    </row>
    <row r="33" spans="1:3" x14ac:dyDescent="0.25">
      <c r="A33" t="s">
        <v>32</v>
      </c>
      <c r="C33" t="s">
        <v>33</v>
      </c>
    </row>
    <row r="34" spans="1:3" x14ac:dyDescent="0.25">
      <c r="C34" t="s">
        <v>34</v>
      </c>
    </row>
    <row r="35" spans="1:3" x14ac:dyDescent="0.25">
      <c r="C35" t="s">
        <v>43</v>
      </c>
    </row>
    <row r="37" spans="1:3" x14ac:dyDescent="0.25">
      <c r="A37" t="s">
        <v>44</v>
      </c>
      <c r="C37" t="s">
        <v>37</v>
      </c>
    </row>
    <row r="40" spans="1:3" x14ac:dyDescent="0.25">
      <c r="A40" t="s">
        <v>39</v>
      </c>
      <c r="C40" t="s">
        <v>35</v>
      </c>
    </row>
    <row r="42" spans="1:3" x14ac:dyDescent="0.25">
      <c r="A42" t="s">
        <v>40</v>
      </c>
      <c r="C42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topLeftCell="G1" workbookViewId="0">
      <pane ySplit="1" topLeftCell="A45" activePane="bottomLeft" state="frozen"/>
      <selection pane="bottomLeft" sqref="A1:U102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">
        <v>0.9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">
        <v>6.37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3635-0CEC-4DC1-A61E-A6907BF5D4F1}">
  <dimension ref="A4:E87"/>
  <sheetViews>
    <sheetView topLeftCell="A60" workbookViewId="0">
      <selection activeCell="B4" sqref="B4:B87"/>
    </sheetView>
  </sheetViews>
  <sheetFormatPr defaultRowHeight="15" x14ac:dyDescent="0.25"/>
  <cols>
    <col min="1" max="1" width="9.140625" style="9"/>
    <col min="2" max="2" width="9.140625" style="7"/>
  </cols>
  <sheetData>
    <row r="4" spans="1:2" x14ac:dyDescent="0.25">
      <c r="A4" s="9">
        <f t="shared" ref="A4:A12" si="0">A5-1</f>
        <v>1917</v>
      </c>
      <c r="B4" s="7">
        <v>91000</v>
      </c>
    </row>
    <row r="5" spans="1:2" x14ac:dyDescent="0.25">
      <c r="A5" s="9">
        <f t="shared" si="0"/>
        <v>1918</v>
      </c>
      <c r="B5" s="8">
        <v>90073</v>
      </c>
    </row>
    <row r="6" spans="1:2" x14ac:dyDescent="0.25">
      <c r="A6" s="9">
        <f t="shared" si="0"/>
        <v>1919</v>
      </c>
      <c r="B6" s="8">
        <v>89155</v>
      </c>
    </row>
    <row r="7" spans="1:2" x14ac:dyDescent="0.25">
      <c r="A7" s="9">
        <f t="shared" si="0"/>
        <v>1920</v>
      </c>
      <c r="B7" s="7">
        <v>88247</v>
      </c>
    </row>
    <row r="8" spans="1:2" x14ac:dyDescent="0.25">
      <c r="A8" s="9">
        <f t="shared" si="0"/>
        <v>1921</v>
      </c>
      <c r="B8" s="8">
        <v>88083</v>
      </c>
    </row>
    <row r="9" spans="1:2" x14ac:dyDescent="0.25">
      <c r="A9" s="9">
        <f t="shared" si="0"/>
        <v>1922</v>
      </c>
      <c r="B9" s="8">
        <v>87919</v>
      </c>
    </row>
    <row r="10" spans="1:2" x14ac:dyDescent="0.25">
      <c r="A10" s="9">
        <f t="shared" si="0"/>
        <v>1923</v>
      </c>
      <c r="B10" s="7">
        <v>87755</v>
      </c>
    </row>
    <row r="11" spans="1:2" x14ac:dyDescent="0.25">
      <c r="A11" s="9">
        <f t="shared" si="0"/>
        <v>1924</v>
      </c>
      <c r="B11" s="8">
        <v>89385</v>
      </c>
    </row>
    <row r="12" spans="1:2" x14ac:dyDescent="0.25">
      <c r="A12" s="9">
        <f t="shared" si="0"/>
        <v>1925</v>
      </c>
      <c r="B12" s="8">
        <v>91044</v>
      </c>
    </row>
    <row r="13" spans="1:2" x14ac:dyDescent="0.25">
      <c r="A13" s="9">
        <f>A14-1</f>
        <v>1926</v>
      </c>
      <c r="B13" s="7">
        <v>92735</v>
      </c>
    </row>
    <row r="14" spans="1:2" x14ac:dyDescent="0.25">
      <c r="A14" s="9">
        <v>1927</v>
      </c>
      <c r="B14" s="7">
        <v>93604</v>
      </c>
    </row>
    <row r="15" spans="1:2" x14ac:dyDescent="0.25">
      <c r="A15" s="9">
        <v>1928</v>
      </c>
      <c r="B15" s="7">
        <v>95587</v>
      </c>
    </row>
    <row r="16" spans="1:2" x14ac:dyDescent="0.25">
      <c r="A16" s="9">
        <v>1929</v>
      </c>
      <c r="B16" s="7">
        <v>97721</v>
      </c>
    </row>
    <row r="17" spans="1:5" x14ac:dyDescent="0.25">
      <c r="A17" s="9">
        <v>1930</v>
      </c>
      <c r="B17" s="7">
        <v>99566</v>
      </c>
    </row>
    <row r="18" spans="1:5" x14ac:dyDescent="0.25">
      <c r="A18" s="9">
        <v>1931</v>
      </c>
      <c r="B18" s="7">
        <v>101272</v>
      </c>
    </row>
    <row r="19" spans="1:5" x14ac:dyDescent="0.25">
      <c r="A19" s="9">
        <v>1932</v>
      </c>
      <c r="B19" s="7">
        <v>102625</v>
      </c>
    </row>
    <row r="20" spans="1:5" x14ac:dyDescent="0.25">
      <c r="A20" s="9">
        <v>1933</v>
      </c>
      <c r="B20" s="7">
        <v>103648</v>
      </c>
    </row>
    <row r="21" spans="1:5" x14ac:dyDescent="0.25">
      <c r="A21" s="9">
        <v>1934</v>
      </c>
      <c r="B21" s="7">
        <v>101763</v>
      </c>
    </row>
    <row r="22" spans="1:5" x14ac:dyDescent="0.25">
      <c r="A22" s="9">
        <v>1935</v>
      </c>
      <c r="B22" s="7">
        <v>102080</v>
      </c>
    </row>
    <row r="23" spans="1:5" x14ac:dyDescent="0.25">
      <c r="A23" s="9">
        <v>1936</v>
      </c>
      <c r="B23" s="7">
        <v>103288</v>
      </c>
    </row>
    <row r="24" spans="1:5" x14ac:dyDescent="0.25">
      <c r="A24" s="9">
        <v>1937</v>
      </c>
      <c r="B24" s="7">
        <v>104520</v>
      </c>
    </row>
    <row r="25" spans="1:5" x14ac:dyDescent="0.25">
      <c r="A25" s="9">
        <v>1938</v>
      </c>
      <c r="B25" s="7">
        <v>106195</v>
      </c>
    </row>
    <row r="26" spans="1:5" x14ac:dyDescent="0.25">
      <c r="A26" s="9">
        <v>1939</v>
      </c>
      <c r="B26" s="7">
        <v>107893</v>
      </c>
    </row>
    <row r="27" spans="1:5" x14ac:dyDescent="0.25">
      <c r="A27" s="9">
        <v>1940</v>
      </c>
      <c r="B27" s="7">
        <v>109678</v>
      </c>
    </row>
    <row r="28" spans="1:5" x14ac:dyDescent="0.25">
      <c r="A28" s="9">
        <v>1941</v>
      </c>
      <c r="B28" s="7">
        <v>110988</v>
      </c>
      <c r="E28" s="5"/>
    </row>
    <row r="29" spans="1:5" x14ac:dyDescent="0.25">
      <c r="A29" s="9">
        <f>A28+1</f>
        <v>1942</v>
      </c>
      <c r="B29" s="6">
        <v>108159</v>
      </c>
    </row>
    <row r="30" spans="1:5" x14ac:dyDescent="0.25">
      <c r="A30" s="9">
        <f t="shared" ref="A30:A32" si="1">A29+1</f>
        <v>1943</v>
      </c>
      <c r="B30" s="6">
        <v>105403</v>
      </c>
    </row>
    <row r="31" spans="1:5" x14ac:dyDescent="0.25">
      <c r="A31" s="9">
        <f t="shared" si="1"/>
        <v>1944</v>
      </c>
      <c r="B31" s="6">
        <v>102717</v>
      </c>
    </row>
    <row r="32" spans="1:5" x14ac:dyDescent="0.25">
      <c r="A32" s="9">
        <f t="shared" si="1"/>
        <v>1945</v>
      </c>
      <c r="B32" s="6">
        <v>100099</v>
      </c>
    </row>
    <row r="33" spans="1:5" x14ac:dyDescent="0.25">
      <c r="A33" s="9">
        <v>1946</v>
      </c>
      <c r="B33" s="7">
        <v>97548</v>
      </c>
      <c r="E33" s="5"/>
    </row>
    <row r="34" spans="1:5" x14ac:dyDescent="0.25">
      <c r="A34" s="9">
        <v>1947</v>
      </c>
      <c r="B34" s="7">
        <v>98509</v>
      </c>
    </row>
    <row r="35" spans="1:5" x14ac:dyDescent="0.25">
      <c r="A35" s="9">
        <v>1948</v>
      </c>
      <c r="B35" s="7">
        <v>99159</v>
      </c>
    </row>
    <row r="36" spans="1:5" x14ac:dyDescent="0.25">
      <c r="A36" s="9">
        <v>1949</v>
      </c>
      <c r="B36" s="7">
        <v>100252</v>
      </c>
    </row>
    <row r="37" spans="1:5" x14ac:dyDescent="0.25">
      <c r="A37" s="9">
        <v>1950</v>
      </c>
      <c r="B37" s="7">
        <v>102067</v>
      </c>
    </row>
    <row r="38" spans="1:5" x14ac:dyDescent="0.25">
      <c r="A38" s="9">
        <v>1951</v>
      </c>
      <c r="B38" s="7">
        <v>103599</v>
      </c>
    </row>
    <row r="39" spans="1:5" x14ac:dyDescent="0.25">
      <c r="A39" s="9">
        <v>1952</v>
      </c>
      <c r="B39" s="7">
        <v>105278</v>
      </c>
    </row>
    <row r="40" spans="1:5" x14ac:dyDescent="0.25">
      <c r="A40" s="9">
        <v>1953</v>
      </c>
      <c r="B40" s="7">
        <v>107049</v>
      </c>
    </row>
    <row r="41" spans="1:5" x14ac:dyDescent="0.25">
      <c r="A41" s="9">
        <v>1954</v>
      </c>
      <c r="B41" s="7">
        <v>108607</v>
      </c>
    </row>
    <row r="42" spans="1:5" x14ac:dyDescent="0.25">
      <c r="A42" s="9">
        <v>1955</v>
      </c>
      <c r="B42" s="7">
        <v>110678</v>
      </c>
    </row>
    <row r="43" spans="1:5" x14ac:dyDescent="0.25">
      <c r="A43" s="9">
        <v>1956</v>
      </c>
      <c r="B43" s="7">
        <v>112465</v>
      </c>
    </row>
    <row r="44" spans="1:5" x14ac:dyDescent="0.25">
      <c r="A44" s="9">
        <v>1957</v>
      </c>
      <c r="B44" s="7">
        <v>114189</v>
      </c>
    </row>
    <row r="45" spans="1:5" x14ac:dyDescent="0.25">
      <c r="A45" s="9">
        <v>1958</v>
      </c>
      <c r="B45" s="7">
        <v>115881</v>
      </c>
    </row>
    <row r="46" spans="1:5" x14ac:dyDescent="0.25">
      <c r="A46" s="9">
        <v>1959</v>
      </c>
      <c r="B46" s="7">
        <v>117616</v>
      </c>
    </row>
    <row r="47" spans="1:5" x14ac:dyDescent="0.25">
      <c r="A47" s="9">
        <f>A46+1</f>
        <v>1960</v>
      </c>
      <c r="B47" s="7">
        <v>119046</v>
      </c>
    </row>
    <row r="48" spans="1:5" x14ac:dyDescent="0.25">
      <c r="A48" s="9">
        <f t="shared" ref="A48:A87" si="2">A47+1</f>
        <v>1961</v>
      </c>
      <c r="B48" s="7">
        <v>120766</v>
      </c>
    </row>
    <row r="49" spans="1:2" x14ac:dyDescent="0.25">
      <c r="A49" s="9">
        <f t="shared" si="2"/>
        <v>1962</v>
      </c>
      <c r="B49" s="7">
        <v>122407</v>
      </c>
    </row>
    <row r="50" spans="1:2" x14ac:dyDescent="0.25">
      <c r="A50" s="9">
        <f t="shared" si="2"/>
        <v>1963</v>
      </c>
      <c r="B50" s="7">
        <v>123848</v>
      </c>
    </row>
    <row r="51" spans="1:2" x14ac:dyDescent="0.25">
      <c r="A51" s="9">
        <f t="shared" si="2"/>
        <v>1964</v>
      </c>
      <c r="B51" s="7">
        <v>125179</v>
      </c>
    </row>
    <row r="52" spans="1:2" x14ac:dyDescent="0.25">
      <c r="A52" s="9">
        <f t="shared" si="2"/>
        <v>1965</v>
      </c>
      <c r="B52" s="7">
        <v>126309</v>
      </c>
    </row>
    <row r="53" spans="1:2" x14ac:dyDescent="0.25">
      <c r="A53" s="9">
        <f t="shared" si="2"/>
        <v>1966</v>
      </c>
      <c r="B53" s="7">
        <v>127189</v>
      </c>
    </row>
    <row r="54" spans="1:2" x14ac:dyDescent="0.25">
      <c r="A54" s="9">
        <f t="shared" si="2"/>
        <v>1967</v>
      </c>
      <c r="B54" s="7">
        <v>128026</v>
      </c>
    </row>
    <row r="55" spans="1:2" x14ac:dyDescent="0.25">
      <c r="A55" s="9">
        <f t="shared" si="2"/>
        <v>1968</v>
      </c>
      <c r="B55" s="7">
        <v>128696</v>
      </c>
    </row>
    <row r="56" spans="1:2" x14ac:dyDescent="0.25">
      <c r="A56" s="9">
        <f t="shared" si="2"/>
        <v>1969</v>
      </c>
      <c r="B56" s="7">
        <v>129379</v>
      </c>
    </row>
    <row r="57" spans="1:2" x14ac:dyDescent="0.25">
      <c r="A57" s="9">
        <f t="shared" si="2"/>
        <v>1970</v>
      </c>
      <c r="B57" s="7">
        <v>130079</v>
      </c>
    </row>
    <row r="58" spans="1:2" x14ac:dyDescent="0.25">
      <c r="A58" s="9">
        <f t="shared" si="2"/>
        <v>1971</v>
      </c>
      <c r="B58" s="7">
        <v>130704</v>
      </c>
    </row>
    <row r="59" spans="1:2" x14ac:dyDescent="0.25">
      <c r="A59" s="9">
        <f t="shared" si="2"/>
        <v>1972</v>
      </c>
      <c r="B59" s="7">
        <v>131445</v>
      </c>
    </row>
    <row r="60" spans="1:2" x14ac:dyDescent="0.25">
      <c r="A60" s="9">
        <f t="shared" si="2"/>
        <v>1973</v>
      </c>
      <c r="B60" s="7">
        <v>132210</v>
      </c>
    </row>
    <row r="61" spans="1:2" x14ac:dyDescent="0.25">
      <c r="A61" s="9">
        <f t="shared" si="2"/>
        <v>1974</v>
      </c>
      <c r="B61" s="7">
        <v>132941</v>
      </c>
    </row>
    <row r="62" spans="1:2" x14ac:dyDescent="0.25">
      <c r="A62" s="9">
        <f t="shared" si="2"/>
        <v>1975</v>
      </c>
      <c r="B62" s="7">
        <v>133775</v>
      </c>
    </row>
    <row r="63" spans="1:2" x14ac:dyDescent="0.25">
      <c r="A63" s="9">
        <f t="shared" si="2"/>
        <v>1976</v>
      </c>
      <c r="B63" s="7">
        <v>134690</v>
      </c>
    </row>
    <row r="64" spans="1:2" x14ac:dyDescent="0.25">
      <c r="A64" s="9">
        <f t="shared" si="2"/>
        <v>1977</v>
      </c>
      <c r="B64" s="7">
        <v>135645</v>
      </c>
    </row>
    <row r="65" spans="1:2" x14ac:dyDescent="0.25">
      <c r="A65" s="9">
        <f t="shared" si="2"/>
        <v>1978</v>
      </c>
      <c r="B65" s="7">
        <v>136596</v>
      </c>
    </row>
    <row r="66" spans="1:2" x14ac:dyDescent="0.25">
      <c r="A66" s="9">
        <f t="shared" si="2"/>
        <v>1979</v>
      </c>
      <c r="B66" s="7">
        <v>137551</v>
      </c>
    </row>
    <row r="67" spans="1:2" x14ac:dyDescent="0.25">
      <c r="A67" s="9">
        <f t="shared" si="2"/>
        <v>1980</v>
      </c>
      <c r="B67" s="7">
        <v>138291</v>
      </c>
    </row>
    <row r="68" spans="1:2" x14ac:dyDescent="0.25">
      <c r="A68" s="9">
        <f t="shared" si="2"/>
        <v>1981</v>
      </c>
      <c r="B68" s="7">
        <v>139028</v>
      </c>
    </row>
    <row r="69" spans="1:2" x14ac:dyDescent="0.25">
      <c r="A69" s="9">
        <f t="shared" si="2"/>
        <v>1982</v>
      </c>
      <c r="B69" s="7">
        <v>139816</v>
      </c>
    </row>
    <row r="70" spans="1:2" x14ac:dyDescent="0.25">
      <c r="A70" s="9">
        <f t="shared" si="2"/>
        <v>1983</v>
      </c>
      <c r="B70" s="7">
        <v>140766</v>
      </c>
    </row>
    <row r="71" spans="1:2" x14ac:dyDescent="0.25">
      <c r="A71" s="9">
        <f t="shared" si="2"/>
        <v>1984</v>
      </c>
      <c r="B71" s="7">
        <v>141842</v>
      </c>
    </row>
    <row r="72" spans="1:2" x14ac:dyDescent="0.25">
      <c r="A72" s="9">
        <f t="shared" si="2"/>
        <v>1985</v>
      </c>
      <c r="B72" s="7">
        <v>142823</v>
      </c>
    </row>
    <row r="73" spans="1:2" x14ac:dyDescent="0.25">
      <c r="A73" s="9">
        <f t="shared" si="2"/>
        <v>1986</v>
      </c>
      <c r="B73" s="7">
        <v>143835</v>
      </c>
    </row>
    <row r="74" spans="1:2" x14ac:dyDescent="0.25">
      <c r="A74" s="9">
        <f t="shared" si="2"/>
        <v>1987</v>
      </c>
      <c r="B74" s="7">
        <v>145115</v>
      </c>
    </row>
    <row r="75" spans="1:2" x14ac:dyDescent="0.25">
      <c r="A75" s="9">
        <f t="shared" si="2"/>
        <v>1988</v>
      </c>
      <c r="B75" s="7">
        <v>146343</v>
      </c>
    </row>
    <row r="76" spans="1:2" x14ac:dyDescent="0.25">
      <c r="A76" s="9">
        <f t="shared" si="2"/>
        <v>1989</v>
      </c>
      <c r="B76" s="7">
        <v>147021.9</v>
      </c>
    </row>
    <row r="77" spans="1:2" x14ac:dyDescent="0.25">
      <c r="A77" s="9">
        <f t="shared" si="2"/>
        <v>1990</v>
      </c>
      <c r="B77" s="7">
        <v>147665.1</v>
      </c>
    </row>
    <row r="78" spans="1:2" x14ac:dyDescent="0.25">
      <c r="A78" s="9">
        <f t="shared" si="2"/>
        <v>1991</v>
      </c>
      <c r="B78" s="7">
        <v>148273.70000000001</v>
      </c>
    </row>
    <row r="79" spans="1:2" x14ac:dyDescent="0.25">
      <c r="A79" s="9">
        <f t="shared" si="2"/>
        <v>1992</v>
      </c>
      <c r="B79" s="7">
        <v>148514.70000000001</v>
      </c>
    </row>
    <row r="80" spans="1:2" x14ac:dyDescent="0.25">
      <c r="A80" s="9">
        <f t="shared" si="2"/>
        <v>1993</v>
      </c>
      <c r="B80" s="7">
        <v>148561.70000000001</v>
      </c>
    </row>
    <row r="81" spans="1:2" x14ac:dyDescent="0.25">
      <c r="A81" s="9">
        <f t="shared" si="2"/>
        <v>1994</v>
      </c>
      <c r="B81" s="7">
        <v>148355.9</v>
      </c>
    </row>
    <row r="82" spans="1:2" x14ac:dyDescent="0.25">
      <c r="A82" s="9">
        <f t="shared" si="2"/>
        <v>1995</v>
      </c>
      <c r="B82" s="7">
        <v>148459.9</v>
      </c>
    </row>
    <row r="83" spans="1:2" x14ac:dyDescent="0.25">
      <c r="A83" s="9">
        <f t="shared" si="2"/>
        <v>1996</v>
      </c>
      <c r="B83" s="7">
        <v>148291.6</v>
      </c>
    </row>
    <row r="84" spans="1:2" x14ac:dyDescent="0.25">
      <c r="A84" s="9">
        <f t="shared" si="2"/>
        <v>1997</v>
      </c>
      <c r="B84" s="7">
        <v>148028.6</v>
      </c>
    </row>
    <row r="85" spans="1:2" x14ac:dyDescent="0.25">
      <c r="A85" s="9">
        <f t="shared" si="2"/>
        <v>1998</v>
      </c>
      <c r="B85" s="7">
        <v>147802.1</v>
      </c>
    </row>
    <row r="86" spans="1:2" x14ac:dyDescent="0.25">
      <c r="A86" s="9">
        <f t="shared" si="2"/>
        <v>1999</v>
      </c>
      <c r="B86" s="7">
        <v>147539.4</v>
      </c>
    </row>
    <row r="87" spans="1:2" x14ac:dyDescent="0.25">
      <c r="A87" s="9">
        <f t="shared" si="2"/>
        <v>2000</v>
      </c>
      <c r="B87" s="7">
        <v>146890.1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AE3E-62EC-4D9E-B2C5-BC59172276FB}">
  <dimension ref="A1:V85"/>
  <sheetViews>
    <sheetView workbookViewId="0">
      <selection sqref="A1:A1048576"/>
    </sheetView>
  </sheetViews>
  <sheetFormatPr defaultRowHeight="15" x14ac:dyDescent="0.25"/>
  <sheetData>
    <row r="1" spans="1:22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42</v>
      </c>
    </row>
    <row r="2" spans="1:22" x14ac:dyDescent="0.25">
      <c r="A2">
        <v>1917</v>
      </c>
      <c r="B2" s="2">
        <v>8.4499999999999993</v>
      </c>
      <c r="C2" s="2">
        <v>2.08</v>
      </c>
      <c r="D2" s="2">
        <v>25.73</v>
      </c>
      <c r="E2" s="2">
        <v>3.64</v>
      </c>
      <c r="F2" s="2">
        <v>5.72</v>
      </c>
      <c r="G2" s="2">
        <v>0.4</v>
      </c>
      <c r="H2" s="2">
        <v>2.75</v>
      </c>
      <c r="I2" s="2">
        <v>0.84</v>
      </c>
      <c r="J2" s="2">
        <v>1.51</v>
      </c>
      <c r="K2" s="2">
        <v>1.1100000000000001</v>
      </c>
      <c r="L2" s="2">
        <v>1.23</v>
      </c>
      <c r="M2" s="2">
        <v>1.99</v>
      </c>
      <c r="N2" s="2">
        <v>0.63</v>
      </c>
      <c r="O2" s="2">
        <v>13.9</v>
      </c>
      <c r="P2" s="2">
        <v>0.61</v>
      </c>
      <c r="Q2" s="2">
        <v>0.41</v>
      </c>
      <c r="R2" s="2">
        <v>0.68</v>
      </c>
      <c r="S2" s="2">
        <v>4.59</v>
      </c>
      <c r="T2" s="2">
        <v>1.41</v>
      </c>
      <c r="U2" s="2">
        <v>2.75</v>
      </c>
      <c r="V2" s="7">
        <v>91000</v>
      </c>
    </row>
    <row r="3" spans="1:22" x14ac:dyDescent="0.25">
      <c r="A3">
        <f t="shared" ref="A3:A35" si="0">A2+1</f>
        <v>1918</v>
      </c>
      <c r="B3" s="2">
        <v>8.6</v>
      </c>
      <c r="C3" s="2">
        <v>2.1</v>
      </c>
      <c r="D3" s="2">
        <v>26.28</v>
      </c>
      <c r="E3" s="2">
        <v>3.69</v>
      </c>
      <c r="F3" s="2">
        <v>5.86</v>
      </c>
      <c r="G3" s="2">
        <v>0.41</v>
      </c>
      <c r="H3" s="2">
        <v>2.83</v>
      </c>
      <c r="I3" s="2">
        <v>0.85</v>
      </c>
      <c r="J3" s="2">
        <v>1.52</v>
      </c>
      <c r="K3" s="2">
        <v>1.1299999999999999</v>
      </c>
      <c r="L3" s="2">
        <v>1.24</v>
      </c>
      <c r="M3" s="2">
        <v>2.04</v>
      </c>
      <c r="N3" s="2">
        <v>0.66</v>
      </c>
      <c r="O3" s="2">
        <v>14</v>
      </c>
      <c r="P3" s="2">
        <v>0.62</v>
      </c>
      <c r="Q3" s="2">
        <v>0.43</v>
      </c>
      <c r="R3" s="2">
        <v>0.69</v>
      </c>
      <c r="S3" s="2">
        <v>4.67</v>
      </c>
      <c r="T3" s="2">
        <v>1.43</v>
      </c>
      <c r="U3" s="2">
        <v>2.77</v>
      </c>
      <c r="V3" s="8">
        <v>90073</v>
      </c>
    </row>
    <row r="4" spans="1:22" x14ac:dyDescent="0.25">
      <c r="A4">
        <f t="shared" si="0"/>
        <v>1919</v>
      </c>
      <c r="B4" s="2">
        <v>8.75</v>
      </c>
      <c r="C4" s="2">
        <v>2.12</v>
      </c>
      <c r="D4" s="2">
        <v>26.84</v>
      </c>
      <c r="E4" s="2">
        <v>3.74</v>
      </c>
      <c r="F4" s="2">
        <v>6.03</v>
      </c>
      <c r="G4" s="2">
        <v>0.42</v>
      </c>
      <c r="H4" s="2">
        <v>2.91</v>
      </c>
      <c r="I4" s="2">
        <v>0.87</v>
      </c>
      <c r="J4" s="2">
        <v>1.53</v>
      </c>
      <c r="K4" s="2">
        <v>1.1499999999999999</v>
      </c>
      <c r="L4" s="2">
        <v>1.26</v>
      </c>
      <c r="M4" s="2">
        <v>2.08</v>
      </c>
      <c r="N4" s="2">
        <v>0.69</v>
      </c>
      <c r="O4" s="2">
        <v>14.15</v>
      </c>
      <c r="P4" s="2">
        <v>0.63</v>
      </c>
      <c r="Q4" s="2">
        <v>0.44</v>
      </c>
      <c r="R4" s="2">
        <v>0.69</v>
      </c>
      <c r="S4" s="2">
        <v>4.75</v>
      </c>
      <c r="T4" s="2">
        <v>1.46</v>
      </c>
      <c r="U4" s="2">
        <v>2.79</v>
      </c>
      <c r="V4" s="8">
        <v>89155</v>
      </c>
    </row>
    <row r="5" spans="1:22" x14ac:dyDescent="0.25">
      <c r="A5">
        <f t="shared" si="0"/>
        <v>1920</v>
      </c>
      <c r="B5" s="2">
        <v>8.9700000000000006</v>
      </c>
      <c r="C5" s="2">
        <v>2.14</v>
      </c>
      <c r="D5" s="2">
        <v>27.4</v>
      </c>
      <c r="E5" s="2">
        <v>3.79</v>
      </c>
      <c r="F5" s="2">
        <v>6.09</v>
      </c>
      <c r="G5" s="2">
        <v>0.42</v>
      </c>
      <c r="H5" s="2">
        <v>3</v>
      </c>
      <c r="I5" s="2">
        <v>0.88</v>
      </c>
      <c r="J5" s="2">
        <v>1.54</v>
      </c>
      <c r="K5" s="2">
        <v>1.17</v>
      </c>
      <c r="L5" s="2">
        <v>1.27</v>
      </c>
      <c r="M5" s="2">
        <v>2.12</v>
      </c>
      <c r="N5" s="2">
        <v>0.72</v>
      </c>
      <c r="O5" s="2">
        <v>14.15</v>
      </c>
      <c r="P5" s="2">
        <v>0.64</v>
      </c>
      <c r="Q5" s="2">
        <v>0.45</v>
      </c>
      <c r="R5" s="2">
        <v>0.7</v>
      </c>
      <c r="S5" s="2">
        <v>4.83</v>
      </c>
      <c r="T5" s="2">
        <v>1.48</v>
      </c>
      <c r="U5" s="2">
        <v>2.82</v>
      </c>
      <c r="V5" s="7">
        <v>88247</v>
      </c>
    </row>
    <row r="6" spans="1:22" x14ac:dyDescent="0.25">
      <c r="A6">
        <f t="shared" si="0"/>
        <v>1921</v>
      </c>
      <c r="B6" s="2">
        <v>9.2200000000000006</v>
      </c>
      <c r="C6" s="2">
        <v>2.16</v>
      </c>
      <c r="D6" s="2">
        <v>27.97</v>
      </c>
      <c r="E6" s="2">
        <v>3.85</v>
      </c>
      <c r="F6" s="2">
        <v>6.21</v>
      </c>
      <c r="G6" s="2">
        <v>0.43</v>
      </c>
      <c r="H6" s="2">
        <v>3.08</v>
      </c>
      <c r="I6" s="2">
        <v>0.91</v>
      </c>
      <c r="J6" s="2">
        <v>1.57</v>
      </c>
      <c r="K6" s="2">
        <v>1.19</v>
      </c>
      <c r="L6" s="2">
        <v>1.32</v>
      </c>
      <c r="M6" s="2">
        <v>2.15</v>
      </c>
      <c r="N6" s="2">
        <v>0.74</v>
      </c>
      <c r="O6" s="2">
        <v>14.34</v>
      </c>
      <c r="P6" s="2">
        <v>0.64</v>
      </c>
      <c r="Q6" s="2">
        <v>0.45</v>
      </c>
      <c r="R6" s="2">
        <v>0.72</v>
      </c>
      <c r="S6" s="2">
        <v>4.91</v>
      </c>
      <c r="T6" s="2">
        <v>1.5</v>
      </c>
      <c r="U6" s="2">
        <v>2.84</v>
      </c>
      <c r="V6" s="8">
        <v>88083</v>
      </c>
    </row>
    <row r="7" spans="1:22" x14ac:dyDescent="0.25">
      <c r="A7">
        <f t="shared" si="0"/>
        <v>1922</v>
      </c>
      <c r="B7" s="2">
        <v>9.52</v>
      </c>
      <c r="C7" s="2">
        <v>2.19</v>
      </c>
      <c r="D7" s="2">
        <v>28.54</v>
      </c>
      <c r="E7" s="2">
        <v>3.91</v>
      </c>
      <c r="F7" s="2">
        <v>6.37</v>
      </c>
      <c r="G7" s="2">
        <v>0.43</v>
      </c>
      <c r="H7" s="2">
        <v>3.17</v>
      </c>
      <c r="I7" s="2">
        <v>0.95</v>
      </c>
      <c r="J7" s="2">
        <v>1.61</v>
      </c>
      <c r="K7" s="2">
        <v>1.22</v>
      </c>
      <c r="L7" s="2">
        <v>1.37</v>
      </c>
      <c r="M7" s="2">
        <v>2.1800000000000002</v>
      </c>
      <c r="N7" s="2">
        <v>0.77</v>
      </c>
      <c r="O7" s="2">
        <v>14.44</v>
      </c>
      <c r="P7" s="2">
        <v>0.65</v>
      </c>
      <c r="Q7" s="2">
        <v>0.45</v>
      </c>
      <c r="R7" s="2">
        <v>0.73</v>
      </c>
      <c r="S7" s="2">
        <v>4.99</v>
      </c>
      <c r="T7" s="2">
        <v>1.52</v>
      </c>
      <c r="U7" s="2">
        <v>2.87</v>
      </c>
      <c r="V7" s="8">
        <v>87919</v>
      </c>
    </row>
    <row r="8" spans="1:22" x14ac:dyDescent="0.25">
      <c r="A8">
        <f t="shared" si="0"/>
        <v>1923</v>
      </c>
      <c r="B8" s="2">
        <v>9.89</v>
      </c>
      <c r="C8" s="2">
        <v>2.21</v>
      </c>
      <c r="D8" s="2">
        <v>29.13</v>
      </c>
      <c r="E8" s="2">
        <v>3.96</v>
      </c>
      <c r="F8" s="2">
        <v>6.46</v>
      </c>
      <c r="G8" s="2">
        <v>0.44</v>
      </c>
      <c r="H8" s="2">
        <v>3.26</v>
      </c>
      <c r="I8" s="2">
        <v>0.98</v>
      </c>
      <c r="J8" s="2">
        <v>1.65</v>
      </c>
      <c r="K8" s="2">
        <v>1.24</v>
      </c>
      <c r="L8" s="2">
        <v>1.42</v>
      </c>
      <c r="M8" s="2">
        <v>2.21</v>
      </c>
      <c r="N8" s="2">
        <v>0.8</v>
      </c>
      <c r="O8" s="2">
        <v>14.69</v>
      </c>
      <c r="P8" s="2">
        <v>0.65</v>
      </c>
      <c r="Q8" s="2">
        <v>0.45</v>
      </c>
      <c r="R8" s="2">
        <v>0.75</v>
      </c>
      <c r="S8" s="2">
        <v>5.07</v>
      </c>
      <c r="T8" s="2">
        <v>1.54</v>
      </c>
      <c r="U8" s="2">
        <v>2.9</v>
      </c>
      <c r="V8" s="7">
        <v>87755</v>
      </c>
    </row>
    <row r="9" spans="1:22" x14ac:dyDescent="0.25">
      <c r="A9">
        <f t="shared" si="0"/>
        <v>1924</v>
      </c>
      <c r="B9" s="2">
        <v>10.220000000000001</v>
      </c>
      <c r="C9" s="2">
        <v>2.2400000000000002</v>
      </c>
      <c r="D9" s="2">
        <v>29.72</v>
      </c>
      <c r="E9" s="2">
        <v>4.0199999999999996</v>
      </c>
      <c r="F9" s="2">
        <v>6.59</v>
      </c>
      <c r="G9" s="2">
        <v>0.45</v>
      </c>
      <c r="H9" s="2">
        <v>3.35</v>
      </c>
      <c r="I9" s="2">
        <v>1.02</v>
      </c>
      <c r="J9" s="2">
        <v>1.69</v>
      </c>
      <c r="K9" s="2">
        <v>1.27</v>
      </c>
      <c r="L9" s="2">
        <v>1.47</v>
      </c>
      <c r="M9" s="2">
        <v>2.23</v>
      </c>
      <c r="N9" s="2">
        <v>0.82</v>
      </c>
      <c r="O9" s="2">
        <v>14.95</v>
      </c>
      <c r="P9" s="2">
        <v>0.66</v>
      </c>
      <c r="Q9" s="2">
        <v>0.46</v>
      </c>
      <c r="R9" s="2">
        <v>0.77</v>
      </c>
      <c r="S9" s="2">
        <v>5.15</v>
      </c>
      <c r="T9" s="2">
        <v>1.55</v>
      </c>
      <c r="U9" s="2">
        <v>2.93</v>
      </c>
      <c r="V9" s="8">
        <v>89385</v>
      </c>
    </row>
    <row r="10" spans="1:22" x14ac:dyDescent="0.25">
      <c r="A10">
        <f t="shared" si="0"/>
        <v>1925</v>
      </c>
      <c r="B10" s="2">
        <v>10.5</v>
      </c>
      <c r="C10" s="2">
        <v>2.2599999999999998</v>
      </c>
      <c r="D10" s="2">
        <v>30.33</v>
      </c>
      <c r="E10" s="2">
        <v>4.07</v>
      </c>
      <c r="F10" s="2">
        <v>6.72</v>
      </c>
      <c r="G10" s="2">
        <v>0.46</v>
      </c>
      <c r="H10" s="2">
        <v>3.43</v>
      </c>
      <c r="I10" s="2">
        <v>1.05</v>
      </c>
      <c r="J10" s="2">
        <v>1.72</v>
      </c>
      <c r="K10" s="2">
        <v>1.3</v>
      </c>
      <c r="L10" s="2">
        <v>1.51</v>
      </c>
      <c r="M10" s="2">
        <v>2.2599999999999998</v>
      </c>
      <c r="N10" s="2">
        <v>0.85</v>
      </c>
      <c r="O10" s="2">
        <v>15.2</v>
      </c>
      <c r="P10" s="2">
        <v>0.66</v>
      </c>
      <c r="Q10" s="2">
        <v>0.46</v>
      </c>
      <c r="R10" s="2">
        <v>0.79</v>
      </c>
      <c r="S10" s="2">
        <v>5.23</v>
      </c>
      <c r="T10" s="2">
        <v>1.57</v>
      </c>
      <c r="U10" s="2">
        <v>2.95</v>
      </c>
      <c r="V10" s="8">
        <v>91044</v>
      </c>
    </row>
    <row r="11" spans="1:22" x14ac:dyDescent="0.25">
      <c r="A11">
        <f t="shared" si="0"/>
        <v>1926</v>
      </c>
      <c r="B11" s="2">
        <v>10.8</v>
      </c>
      <c r="C11" s="2">
        <v>2.29</v>
      </c>
      <c r="D11" s="2">
        <v>30.95</v>
      </c>
      <c r="E11" s="2">
        <v>4.13</v>
      </c>
      <c r="F11" s="2">
        <v>6.86</v>
      </c>
      <c r="G11" s="2">
        <v>0.47</v>
      </c>
      <c r="H11" s="2">
        <v>3.52</v>
      </c>
      <c r="I11" s="2">
        <v>1.0900000000000001</v>
      </c>
      <c r="J11" s="2">
        <v>1.76</v>
      </c>
      <c r="K11" s="2">
        <v>1.33</v>
      </c>
      <c r="L11" s="2">
        <v>1.56</v>
      </c>
      <c r="M11" s="2">
        <v>2.29</v>
      </c>
      <c r="N11" s="2">
        <v>0.88</v>
      </c>
      <c r="O11" s="2">
        <v>15.47</v>
      </c>
      <c r="P11" s="2">
        <v>0.67</v>
      </c>
      <c r="Q11" s="2">
        <v>0.46</v>
      </c>
      <c r="R11" s="2">
        <v>0.8</v>
      </c>
      <c r="S11" s="2">
        <v>5.31</v>
      </c>
      <c r="T11" s="2">
        <v>1.6</v>
      </c>
      <c r="U11" s="2">
        <v>2.98</v>
      </c>
      <c r="V11" s="7">
        <v>92735</v>
      </c>
    </row>
    <row r="12" spans="1:22" x14ac:dyDescent="0.25">
      <c r="A12">
        <f t="shared" si="0"/>
        <v>1927</v>
      </c>
      <c r="B12" s="2">
        <v>11.13</v>
      </c>
      <c r="C12" s="2">
        <v>2.3199999999999998</v>
      </c>
      <c r="D12" s="2">
        <v>31.59</v>
      </c>
      <c r="E12" s="2">
        <v>4.1900000000000004</v>
      </c>
      <c r="F12" s="2">
        <v>7</v>
      </c>
      <c r="G12" s="2">
        <v>0.47</v>
      </c>
      <c r="H12" s="2">
        <v>3.61</v>
      </c>
      <c r="I12" s="2">
        <v>1.1299999999999999</v>
      </c>
      <c r="J12" s="2">
        <v>1.8</v>
      </c>
      <c r="K12" s="2">
        <v>1.35</v>
      </c>
      <c r="L12" s="2">
        <v>1.6</v>
      </c>
      <c r="M12" s="2">
        <v>2.33</v>
      </c>
      <c r="N12" s="2">
        <v>0.89</v>
      </c>
      <c r="O12" s="2">
        <v>15.74</v>
      </c>
      <c r="P12" s="2">
        <v>0.67</v>
      </c>
      <c r="Q12" s="2">
        <v>0.46</v>
      </c>
      <c r="R12" s="2">
        <v>0.82</v>
      </c>
      <c r="S12" s="2">
        <v>5.4</v>
      </c>
      <c r="T12" s="2">
        <v>1.63</v>
      </c>
      <c r="U12" s="2">
        <v>3.01</v>
      </c>
      <c r="V12" s="7">
        <v>93604</v>
      </c>
    </row>
    <row r="13" spans="1:22" x14ac:dyDescent="0.25">
      <c r="A13">
        <f t="shared" si="0"/>
        <v>1928</v>
      </c>
      <c r="B13" s="2">
        <v>11.44</v>
      </c>
      <c r="C13" s="2">
        <v>2.34</v>
      </c>
      <c r="D13" s="2">
        <v>32.229999999999997</v>
      </c>
      <c r="E13" s="2">
        <v>4.25</v>
      </c>
      <c r="F13" s="2">
        <v>7.14</v>
      </c>
      <c r="G13" s="2">
        <v>0.48</v>
      </c>
      <c r="H13" s="2">
        <v>3.51</v>
      </c>
      <c r="I13" s="2">
        <v>1.17</v>
      </c>
      <c r="J13" s="2">
        <v>1.84</v>
      </c>
      <c r="K13" s="2">
        <v>1.39</v>
      </c>
      <c r="L13" s="2">
        <v>1.66</v>
      </c>
      <c r="M13" s="2">
        <v>2.36</v>
      </c>
      <c r="N13" s="2">
        <v>0.91</v>
      </c>
      <c r="O13" s="2">
        <v>16.010000000000002</v>
      </c>
      <c r="P13" s="2">
        <v>0.67</v>
      </c>
      <c r="Q13" s="2">
        <v>0.46</v>
      </c>
      <c r="R13" s="2">
        <v>0.84</v>
      </c>
      <c r="S13" s="2">
        <v>5.48</v>
      </c>
      <c r="T13" s="2">
        <v>1.67</v>
      </c>
      <c r="U13" s="2">
        <v>3.04</v>
      </c>
      <c r="V13" s="7">
        <v>95587</v>
      </c>
    </row>
    <row r="14" spans="1:22" x14ac:dyDescent="0.25">
      <c r="A14">
        <f t="shared" si="0"/>
        <v>1929</v>
      </c>
      <c r="B14" s="2">
        <v>11.75</v>
      </c>
      <c r="C14" s="2">
        <v>2.37</v>
      </c>
      <c r="D14" s="2">
        <v>32.9</v>
      </c>
      <c r="E14" s="2">
        <v>4.3099999999999996</v>
      </c>
      <c r="F14" s="2">
        <v>7.28</v>
      </c>
      <c r="G14" s="2">
        <v>0.49</v>
      </c>
      <c r="H14" s="2">
        <v>3.58</v>
      </c>
      <c r="I14" s="2">
        <v>1.21</v>
      </c>
      <c r="J14" s="2">
        <v>1.9</v>
      </c>
      <c r="K14" s="2">
        <v>1.41</v>
      </c>
      <c r="L14" s="2">
        <v>1.71</v>
      </c>
      <c r="M14" s="2">
        <v>2.39</v>
      </c>
      <c r="N14" s="2">
        <v>0.93</v>
      </c>
      <c r="O14" s="2">
        <v>16.93</v>
      </c>
      <c r="P14" s="2">
        <v>0.68</v>
      </c>
      <c r="Q14" s="2">
        <v>0.47</v>
      </c>
      <c r="R14" s="2">
        <v>0.86</v>
      </c>
      <c r="S14" s="2">
        <v>5.57</v>
      </c>
      <c r="T14" s="2">
        <v>1.7</v>
      </c>
      <c r="U14" s="2">
        <v>3.08</v>
      </c>
      <c r="V14" s="7">
        <v>97721</v>
      </c>
    </row>
    <row r="15" spans="1:22" x14ac:dyDescent="0.25">
      <c r="A15">
        <f t="shared" si="0"/>
        <v>1930</v>
      </c>
      <c r="B15" s="2">
        <v>12.05</v>
      </c>
      <c r="C15" s="2">
        <v>2.4</v>
      </c>
      <c r="D15" s="2">
        <v>33.57</v>
      </c>
      <c r="E15" s="2">
        <v>4.37</v>
      </c>
      <c r="F15" s="2">
        <v>7.43</v>
      </c>
      <c r="G15" s="2">
        <v>0.5</v>
      </c>
      <c r="H15" s="2">
        <v>3.65</v>
      </c>
      <c r="I15" s="2">
        <v>1.26</v>
      </c>
      <c r="J15" s="2">
        <v>1.94</v>
      </c>
      <c r="K15" s="2">
        <v>1.44</v>
      </c>
      <c r="L15" s="2">
        <v>1.76</v>
      </c>
      <c r="M15" s="2">
        <v>2.42</v>
      </c>
      <c r="N15" s="2">
        <v>0.95</v>
      </c>
      <c r="O15" s="2">
        <v>16.55</v>
      </c>
      <c r="P15" s="2">
        <v>0.68</v>
      </c>
      <c r="Q15" s="2">
        <v>0.47</v>
      </c>
      <c r="R15" s="2">
        <v>0.88</v>
      </c>
      <c r="S15" s="2">
        <v>5.65</v>
      </c>
      <c r="T15" s="2">
        <v>1.73</v>
      </c>
      <c r="U15" s="2">
        <v>3.12</v>
      </c>
      <c r="V15" s="7">
        <v>99566</v>
      </c>
    </row>
    <row r="16" spans="1:22" x14ac:dyDescent="0.25">
      <c r="A16">
        <f t="shared" si="0"/>
        <v>1931</v>
      </c>
      <c r="B16" s="2">
        <v>12.29</v>
      </c>
      <c r="C16" s="2">
        <v>2.4300000000000002</v>
      </c>
      <c r="D16" s="2">
        <v>34.26</v>
      </c>
      <c r="E16" s="2">
        <v>4.43</v>
      </c>
      <c r="F16" s="2">
        <v>7.57</v>
      </c>
      <c r="G16" s="2">
        <v>0.51</v>
      </c>
      <c r="H16" s="2">
        <v>3.96</v>
      </c>
      <c r="I16" s="2">
        <v>1.3</v>
      </c>
      <c r="J16" s="2">
        <v>2</v>
      </c>
      <c r="K16" s="2">
        <v>1.46</v>
      </c>
      <c r="L16" s="2">
        <v>1.81</v>
      </c>
      <c r="M16" s="2">
        <v>2.46</v>
      </c>
      <c r="N16" s="2">
        <v>0.97</v>
      </c>
      <c r="O16" s="2">
        <v>16.88</v>
      </c>
      <c r="P16" s="2">
        <v>0.69</v>
      </c>
      <c r="Q16" s="2">
        <v>0.49</v>
      </c>
      <c r="R16" s="2">
        <v>0.9</v>
      </c>
      <c r="S16" s="2">
        <v>5.74</v>
      </c>
      <c r="T16" s="2">
        <v>1.76</v>
      </c>
      <c r="U16" s="2">
        <v>3.15</v>
      </c>
      <c r="V16" s="7">
        <v>101272</v>
      </c>
    </row>
    <row r="17" spans="1:22" x14ac:dyDescent="0.25">
      <c r="A17">
        <f t="shared" si="0"/>
        <v>1932</v>
      </c>
      <c r="B17" s="2">
        <v>12.52</v>
      </c>
      <c r="C17" s="2">
        <v>2.4500000000000002</v>
      </c>
      <c r="D17" s="2">
        <v>34.96</v>
      </c>
      <c r="E17" s="2">
        <v>4.5</v>
      </c>
      <c r="F17" s="2">
        <v>7.73</v>
      </c>
      <c r="G17" s="2">
        <v>0.52</v>
      </c>
      <c r="H17" s="2">
        <v>3.96</v>
      </c>
      <c r="I17" s="2">
        <v>1.35</v>
      </c>
      <c r="J17" s="2">
        <v>2.0499999999999998</v>
      </c>
      <c r="K17" s="2">
        <v>1.47</v>
      </c>
      <c r="L17" s="2">
        <v>1.86</v>
      </c>
      <c r="M17" s="2">
        <v>2.5</v>
      </c>
      <c r="N17" s="2">
        <v>0.99</v>
      </c>
      <c r="O17" s="2">
        <v>17.170000000000002</v>
      </c>
      <c r="P17" s="2">
        <v>0.69</v>
      </c>
      <c r="Q17" s="2">
        <v>0.5</v>
      </c>
      <c r="R17" s="2">
        <v>0.92</v>
      </c>
      <c r="S17" s="2">
        <v>5.84</v>
      </c>
      <c r="T17" s="2">
        <v>1.79</v>
      </c>
      <c r="U17" s="2">
        <v>3.19</v>
      </c>
      <c r="V17" s="7">
        <v>102625</v>
      </c>
    </row>
    <row r="18" spans="1:22" x14ac:dyDescent="0.25">
      <c r="A18">
        <f t="shared" si="0"/>
        <v>1933</v>
      </c>
      <c r="B18" s="2">
        <v>12.73</v>
      </c>
      <c r="C18" s="2">
        <v>2.48</v>
      </c>
      <c r="D18" s="2">
        <v>35.67</v>
      </c>
      <c r="E18" s="2">
        <v>4.5599999999999996</v>
      </c>
      <c r="F18" s="2">
        <v>7.88</v>
      </c>
      <c r="G18" s="2">
        <v>0.53</v>
      </c>
      <c r="H18" s="2">
        <v>3.96</v>
      </c>
      <c r="I18" s="2">
        <v>1.39</v>
      </c>
      <c r="J18" s="2">
        <v>2.1</v>
      </c>
      <c r="K18" s="2">
        <v>1.49</v>
      </c>
      <c r="L18" s="2">
        <v>1.91</v>
      </c>
      <c r="M18" s="2">
        <v>2.54</v>
      </c>
      <c r="N18" s="2">
        <v>1.01</v>
      </c>
      <c r="O18" s="2">
        <v>17.47</v>
      </c>
      <c r="P18" s="2">
        <v>0.7</v>
      </c>
      <c r="Q18" s="2">
        <v>0.52</v>
      </c>
      <c r="R18" s="2">
        <v>0.94</v>
      </c>
      <c r="S18" s="2">
        <v>5.94</v>
      </c>
      <c r="T18" s="2">
        <v>1.82</v>
      </c>
      <c r="U18" s="2">
        <v>3.23</v>
      </c>
      <c r="V18" s="7">
        <v>103648</v>
      </c>
    </row>
    <row r="19" spans="1:22" x14ac:dyDescent="0.25">
      <c r="A19">
        <f t="shared" si="0"/>
        <v>1934</v>
      </c>
      <c r="B19" s="2">
        <v>12.94</v>
      </c>
      <c r="C19" s="2">
        <v>2.5099999999999998</v>
      </c>
      <c r="D19" s="2">
        <v>36.4</v>
      </c>
      <c r="E19" s="2">
        <v>4.63</v>
      </c>
      <c r="F19" s="2">
        <v>8.0299999999999994</v>
      </c>
      <c r="G19" s="2">
        <v>0.54</v>
      </c>
      <c r="H19" s="2">
        <v>4.04</v>
      </c>
      <c r="I19" s="2">
        <v>1.44</v>
      </c>
      <c r="J19" s="2">
        <v>2.14</v>
      </c>
      <c r="K19" s="2">
        <v>1.51</v>
      </c>
      <c r="L19" s="2">
        <v>1.94</v>
      </c>
      <c r="M19" s="2">
        <v>2.57</v>
      </c>
      <c r="N19" s="2">
        <v>1.02</v>
      </c>
      <c r="O19" s="2">
        <v>17.78</v>
      </c>
      <c r="P19" s="2">
        <v>0.71</v>
      </c>
      <c r="Q19" s="2">
        <v>0.53</v>
      </c>
      <c r="R19" s="2">
        <v>0.97</v>
      </c>
      <c r="S19" s="2">
        <v>6.04</v>
      </c>
      <c r="T19" s="2">
        <v>1.84</v>
      </c>
      <c r="U19" s="2">
        <v>3.26</v>
      </c>
      <c r="V19" s="7">
        <v>101763</v>
      </c>
    </row>
    <row r="20" spans="1:22" x14ac:dyDescent="0.25">
      <c r="A20">
        <f t="shared" si="0"/>
        <v>1935</v>
      </c>
      <c r="B20" s="2">
        <v>13.15</v>
      </c>
      <c r="C20" s="2">
        <v>2.54</v>
      </c>
      <c r="D20" s="2">
        <v>37.15</v>
      </c>
      <c r="E20" s="2">
        <v>4.7</v>
      </c>
      <c r="F20" s="2">
        <v>8.1999999999999993</v>
      </c>
      <c r="G20" s="2">
        <v>0.55000000000000004</v>
      </c>
      <c r="H20" s="2">
        <v>4.07</v>
      </c>
      <c r="I20" s="2">
        <v>1.48</v>
      </c>
      <c r="J20" s="2">
        <v>2.2000000000000002</v>
      </c>
      <c r="K20" s="2">
        <v>1.53</v>
      </c>
      <c r="L20" s="2">
        <v>1.98</v>
      </c>
      <c r="M20" s="2">
        <v>2.61</v>
      </c>
      <c r="N20" s="2">
        <v>1.04</v>
      </c>
      <c r="O20" s="2">
        <v>18.09</v>
      </c>
      <c r="P20" s="2">
        <v>0.73</v>
      </c>
      <c r="Q20" s="2">
        <v>0.55000000000000004</v>
      </c>
      <c r="R20" s="2">
        <v>0.99</v>
      </c>
      <c r="S20" s="2">
        <v>6.13</v>
      </c>
      <c r="T20" s="2">
        <v>1.87</v>
      </c>
      <c r="U20" s="2">
        <v>3.3</v>
      </c>
      <c r="V20" s="7">
        <v>102080</v>
      </c>
    </row>
    <row r="21" spans="1:22" x14ac:dyDescent="0.25">
      <c r="A21">
        <f t="shared" si="0"/>
        <v>1936</v>
      </c>
      <c r="B21" s="2">
        <v>13.37</v>
      </c>
      <c r="C21" s="2">
        <v>2.57</v>
      </c>
      <c r="D21" s="2">
        <v>37.909999999999997</v>
      </c>
      <c r="E21" s="2">
        <v>4.7699999999999996</v>
      </c>
      <c r="F21" s="2">
        <v>8.36</v>
      </c>
      <c r="G21" s="2">
        <v>0.56000000000000005</v>
      </c>
      <c r="H21" s="2">
        <v>4.1100000000000003</v>
      </c>
      <c r="I21" s="2">
        <v>1.52</v>
      </c>
      <c r="J21" s="2">
        <v>2.25</v>
      </c>
      <c r="K21" s="2">
        <v>1.55</v>
      </c>
      <c r="L21" s="2">
        <v>2.02</v>
      </c>
      <c r="M21" s="2">
        <v>2.65</v>
      </c>
      <c r="N21" s="2">
        <v>1.06</v>
      </c>
      <c r="O21" s="2">
        <v>18.41</v>
      </c>
      <c r="P21" s="2">
        <v>0.75</v>
      </c>
      <c r="Q21" s="2">
        <v>0.56000000000000005</v>
      </c>
      <c r="R21" s="2">
        <v>1.01</v>
      </c>
      <c r="S21" s="2">
        <v>6.24</v>
      </c>
      <c r="T21" s="2">
        <v>1.89</v>
      </c>
      <c r="U21" s="2">
        <v>3.38</v>
      </c>
      <c r="V21" s="7">
        <v>103288</v>
      </c>
    </row>
    <row r="22" spans="1:22" x14ac:dyDescent="0.25">
      <c r="A22">
        <f t="shared" si="0"/>
        <v>1937</v>
      </c>
      <c r="B22" s="2">
        <v>13.61</v>
      </c>
      <c r="C22" s="2">
        <v>2.6</v>
      </c>
      <c r="D22" s="2">
        <v>38.69</v>
      </c>
      <c r="E22" s="2">
        <v>4.84</v>
      </c>
      <c r="F22" s="2">
        <v>8.5299999999999994</v>
      </c>
      <c r="G22" s="2">
        <v>0.57999999999999996</v>
      </c>
      <c r="H22" s="2">
        <v>4.17</v>
      </c>
      <c r="I22" s="2">
        <v>1.56</v>
      </c>
      <c r="J22" s="2">
        <v>2.2999999999999998</v>
      </c>
      <c r="K22" s="2">
        <v>1.57</v>
      </c>
      <c r="L22" s="2">
        <v>2.0699999999999998</v>
      </c>
      <c r="M22" s="2">
        <v>2.7</v>
      </c>
      <c r="N22" s="2">
        <v>1.08</v>
      </c>
      <c r="O22" s="2">
        <v>18.760000000000002</v>
      </c>
      <c r="P22" s="2">
        <v>0.77</v>
      </c>
      <c r="Q22" s="2">
        <v>0.57999999999999996</v>
      </c>
      <c r="R22" s="2">
        <v>1.04</v>
      </c>
      <c r="S22" s="2">
        <v>6.35</v>
      </c>
      <c r="T22" s="2">
        <v>1.91</v>
      </c>
      <c r="U22" s="2">
        <v>3.46</v>
      </c>
      <c r="V22" s="7">
        <v>104520</v>
      </c>
    </row>
    <row r="23" spans="1:22" x14ac:dyDescent="0.25">
      <c r="A23">
        <f t="shared" si="0"/>
        <v>1938</v>
      </c>
      <c r="B23" s="2">
        <v>13.84</v>
      </c>
      <c r="C23" s="2">
        <v>2.63</v>
      </c>
      <c r="D23" s="2">
        <v>39.479999999999997</v>
      </c>
      <c r="E23" s="2">
        <v>4.91</v>
      </c>
      <c r="F23" s="2">
        <v>8.6999999999999993</v>
      </c>
      <c r="G23" s="2">
        <v>0.59</v>
      </c>
      <c r="H23" s="2">
        <v>4.2300000000000004</v>
      </c>
      <c r="I23" s="2">
        <v>1.6</v>
      </c>
      <c r="J23" s="2">
        <v>2.36</v>
      </c>
      <c r="K23" s="2">
        <v>1.59</v>
      </c>
      <c r="L23" s="2">
        <v>2.11</v>
      </c>
      <c r="M23" s="2">
        <v>2.74</v>
      </c>
      <c r="N23" s="2">
        <v>1.1000000000000001</v>
      </c>
      <c r="O23" s="2">
        <v>19.07</v>
      </c>
      <c r="P23" s="2">
        <v>0.78</v>
      </c>
      <c r="Q23" s="2">
        <v>0.59</v>
      </c>
      <c r="R23" s="2">
        <v>1.06</v>
      </c>
      <c r="S23" s="2">
        <v>6.46</v>
      </c>
      <c r="T23" s="2">
        <v>1.93</v>
      </c>
      <c r="U23" s="2">
        <v>3.55</v>
      </c>
      <c r="V23" s="7">
        <v>106195</v>
      </c>
    </row>
    <row r="24" spans="1:22" x14ac:dyDescent="0.25">
      <c r="A24">
        <f t="shared" si="0"/>
        <v>1939</v>
      </c>
      <c r="B24" s="2">
        <v>14.06</v>
      </c>
      <c r="C24" s="2">
        <v>2.66</v>
      </c>
      <c r="D24" s="2">
        <v>40.29</v>
      </c>
      <c r="E24" s="2">
        <v>4.99</v>
      </c>
      <c r="F24" s="2">
        <v>8.9</v>
      </c>
      <c r="G24" s="2">
        <v>0.61</v>
      </c>
      <c r="H24" s="2">
        <v>4.25</v>
      </c>
      <c r="I24" s="2">
        <v>1.63</v>
      </c>
      <c r="J24" s="2">
        <v>2.41</v>
      </c>
      <c r="K24" s="2">
        <v>1.61</v>
      </c>
      <c r="L24" s="2">
        <v>2.15</v>
      </c>
      <c r="M24" s="2">
        <v>2.79</v>
      </c>
      <c r="N24" s="2">
        <v>1.1200000000000001</v>
      </c>
      <c r="O24" s="2">
        <v>19.41</v>
      </c>
      <c r="P24" s="2">
        <v>0.81</v>
      </c>
      <c r="Q24" s="2">
        <v>0.61</v>
      </c>
      <c r="R24" s="2">
        <v>1.0900000000000001</v>
      </c>
      <c r="S24" s="2">
        <v>6.57</v>
      </c>
      <c r="T24" s="2">
        <v>1.95</v>
      </c>
      <c r="U24" s="2">
        <v>3.63</v>
      </c>
      <c r="V24" s="7">
        <v>107893</v>
      </c>
    </row>
    <row r="25" spans="1:22" x14ac:dyDescent="0.25">
      <c r="A25">
        <f t="shared" si="0"/>
        <v>1940</v>
      </c>
      <c r="B25" s="2">
        <v>14.17</v>
      </c>
      <c r="C25" s="2">
        <v>2.7</v>
      </c>
      <c r="D25" s="2">
        <v>41.11</v>
      </c>
      <c r="E25" s="2">
        <v>5.0599999999999996</v>
      </c>
      <c r="F25" s="2">
        <v>9.1</v>
      </c>
      <c r="G25" s="2">
        <v>0.62</v>
      </c>
      <c r="H25" s="2">
        <v>4.29</v>
      </c>
      <c r="I25" s="2">
        <v>1.76</v>
      </c>
      <c r="J25" s="2">
        <v>2.4700000000000002</v>
      </c>
      <c r="K25" s="2">
        <v>1.63</v>
      </c>
      <c r="L25" s="2">
        <v>2.2000000000000002</v>
      </c>
      <c r="M25" s="2">
        <v>2.83</v>
      </c>
      <c r="N25" s="2">
        <v>1.1499999999999999</v>
      </c>
      <c r="O25" s="2">
        <v>19.649999999999999</v>
      </c>
      <c r="P25" s="2">
        <v>0.83</v>
      </c>
      <c r="Q25" s="2">
        <v>0.62</v>
      </c>
      <c r="R25" s="2">
        <v>1.1100000000000001</v>
      </c>
      <c r="S25" s="2">
        <v>6.68</v>
      </c>
      <c r="T25" s="2">
        <v>1.97</v>
      </c>
      <c r="U25" s="2">
        <v>3.71</v>
      </c>
      <c r="V25" s="7">
        <v>109678</v>
      </c>
    </row>
    <row r="26" spans="1:22" x14ac:dyDescent="0.25">
      <c r="A26">
        <f t="shared" si="0"/>
        <v>1941</v>
      </c>
      <c r="B26" s="2">
        <v>14.4</v>
      </c>
      <c r="C26" s="2">
        <v>2.72</v>
      </c>
      <c r="D26" s="2">
        <v>42.07</v>
      </c>
      <c r="E26" s="2">
        <v>5.15</v>
      </c>
      <c r="F26" s="2">
        <v>9.32</v>
      </c>
      <c r="G26" s="2">
        <v>0.63</v>
      </c>
      <c r="H26" s="2">
        <v>4.33</v>
      </c>
      <c r="I26" s="2">
        <v>1.8</v>
      </c>
      <c r="J26" s="2">
        <v>2.52</v>
      </c>
      <c r="K26" s="2">
        <v>1.65</v>
      </c>
      <c r="L26" s="2">
        <v>2.25</v>
      </c>
      <c r="M26" s="2">
        <v>2.88</v>
      </c>
      <c r="N26" s="2">
        <v>1.17</v>
      </c>
      <c r="O26" s="2">
        <v>20.21</v>
      </c>
      <c r="P26" s="2">
        <v>0.84</v>
      </c>
      <c r="Q26" s="2">
        <v>0.64</v>
      </c>
      <c r="R26" s="2">
        <v>1.1399999999999999</v>
      </c>
      <c r="S26" s="2">
        <v>6.8</v>
      </c>
      <c r="T26" s="2">
        <v>1.99</v>
      </c>
      <c r="U26" s="2">
        <v>3.8</v>
      </c>
      <c r="V26" s="7">
        <v>110988</v>
      </c>
    </row>
    <row r="27" spans="1:22" x14ac:dyDescent="0.25">
      <c r="A27">
        <f t="shared" si="0"/>
        <v>1942</v>
      </c>
      <c r="B27" s="2">
        <v>14.64</v>
      </c>
      <c r="C27" s="2">
        <v>2.75</v>
      </c>
      <c r="D27" s="2">
        <v>43.06</v>
      </c>
      <c r="E27" s="2">
        <v>5.24</v>
      </c>
      <c r="F27" s="2">
        <v>9.5399999999999991</v>
      </c>
      <c r="G27" s="2">
        <v>0.65</v>
      </c>
      <c r="H27" s="2">
        <v>4.37</v>
      </c>
      <c r="I27" s="2">
        <v>1.84</v>
      </c>
      <c r="J27" s="2">
        <v>2.58</v>
      </c>
      <c r="K27" s="2">
        <v>1.68</v>
      </c>
      <c r="L27" s="2">
        <v>2.2999999999999998</v>
      </c>
      <c r="M27" s="2">
        <v>2.94</v>
      </c>
      <c r="N27" s="2">
        <v>1.2</v>
      </c>
      <c r="O27" s="2">
        <v>20.66</v>
      </c>
      <c r="P27" s="2">
        <v>0.86</v>
      </c>
      <c r="Q27" s="2">
        <v>0.65</v>
      </c>
      <c r="R27" s="2">
        <v>1.1599999999999999</v>
      </c>
      <c r="S27" s="2">
        <v>6.92</v>
      </c>
      <c r="T27" s="2">
        <v>2.0099999999999998</v>
      </c>
      <c r="U27" s="2">
        <v>3.91</v>
      </c>
      <c r="V27" s="6">
        <v>108159</v>
      </c>
    </row>
    <row r="28" spans="1:22" x14ac:dyDescent="0.25">
      <c r="A28">
        <f t="shared" si="0"/>
        <v>1943</v>
      </c>
      <c r="B28" s="2">
        <v>14.88</v>
      </c>
      <c r="C28" s="2">
        <v>2.79</v>
      </c>
      <c r="D28" s="2">
        <v>43.99</v>
      </c>
      <c r="E28" s="2">
        <v>5.34</v>
      </c>
      <c r="F28" s="2">
        <v>9.77</v>
      </c>
      <c r="G28" s="2">
        <v>0.66</v>
      </c>
      <c r="H28" s="2">
        <v>4.78</v>
      </c>
      <c r="I28" s="2">
        <v>1.89</v>
      </c>
      <c r="J28" s="2">
        <v>2.64</v>
      </c>
      <c r="K28" s="2">
        <v>1.69</v>
      </c>
      <c r="L28" s="2">
        <v>2.34</v>
      </c>
      <c r="M28" s="2">
        <v>2.98</v>
      </c>
      <c r="N28" s="2">
        <v>1.21</v>
      </c>
      <c r="O28" s="2">
        <v>21.17</v>
      </c>
      <c r="P28" s="2">
        <v>0.88</v>
      </c>
      <c r="Q28" s="2">
        <v>0.67</v>
      </c>
      <c r="R28" s="2">
        <v>1.19</v>
      </c>
      <c r="S28" s="2">
        <v>7.04</v>
      </c>
      <c r="T28" s="2">
        <v>2.0299999999999998</v>
      </c>
      <c r="U28" s="2">
        <v>4.03</v>
      </c>
      <c r="V28" s="6">
        <v>105403</v>
      </c>
    </row>
    <row r="29" spans="1:22" x14ac:dyDescent="0.25">
      <c r="A29">
        <f t="shared" si="0"/>
        <v>1944</v>
      </c>
      <c r="B29" s="2">
        <v>15.13</v>
      </c>
      <c r="C29" s="2">
        <v>2.82</v>
      </c>
      <c r="D29" s="2">
        <v>44.84</v>
      </c>
      <c r="E29" s="2">
        <v>5.44</v>
      </c>
      <c r="F29" s="2">
        <v>10.02</v>
      </c>
      <c r="G29" s="2">
        <v>0.68</v>
      </c>
      <c r="H29" s="2">
        <v>4.8499999999999996</v>
      </c>
      <c r="I29" s="2">
        <v>1.93</v>
      </c>
      <c r="J29" s="2">
        <v>2.71</v>
      </c>
      <c r="K29" s="2">
        <v>1.72</v>
      </c>
      <c r="L29" s="2">
        <v>2.39</v>
      </c>
      <c r="M29" s="2">
        <v>3.03</v>
      </c>
      <c r="N29" s="2">
        <v>1.24</v>
      </c>
      <c r="O29" s="2">
        <v>21.67</v>
      </c>
      <c r="P29" s="2">
        <v>0.9</v>
      </c>
      <c r="Q29" s="2">
        <v>0.69</v>
      </c>
      <c r="R29" s="2">
        <v>1.22</v>
      </c>
      <c r="S29" s="2">
        <v>7.16</v>
      </c>
      <c r="T29" s="2">
        <v>2.06</v>
      </c>
      <c r="U29" s="2">
        <v>4.1500000000000004</v>
      </c>
      <c r="V29" s="6">
        <v>102717</v>
      </c>
    </row>
    <row r="30" spans="1:22" x14ac:dyDescent="0.25">
      <c r="A30">
        <f t="shared" si="0"/>
        <v>1945</v>
      </c>
      <c r="B30" s="2">
        <v>15.4</v>
      </c>
      <c r="C30" s="2">
        <v>2.85</v>
      </c>
      <c r="D30" s="2">
        <v>45.86</v>
      </c>
      <c r="E30" s="2">
        <v>5.54</v>
      </c>
      <c r="F30" s="2">
        <v>10.27</v>
      </c>
      <c r="G30" s="2">
        <v>0.7</v>
      </c>
      <c r="H30" s="2">
        <v>4.93</v>
      </c>
      <c r="I30" s="2">
        <v>1.98</v>
      </c>
      <c r="J30" s="2">
        <v>2.78</v>
      </c>
      <c r="K30" s="2">
        <v>1.74</v>
      </c>
      <c r="L30" s="2">
        <v>2.44</v>
      </c>
      <c r="M30" s="2">
        <v>3.09</v>
      </c>
      <c r="N30" s="2">
        <v>1.26</v>
      </c>
      <c r="O30" s="2">
        <v>22.23</v>
      </c>
      <c r="P30" s="2">
        <v>0.92</v>
      </c>
      <c r="Q30" s="2">
        <v>0.7</v>
      </c>
      <c r="R30" s="2">
        <v>1.25</v>
      </c>
      <c r="S30" s="2">
        <v>7.29</v>
      </c>
      <c r="T30" s="2">
        <v>2.08</v>
      </c>
      <c r="U30" s="2">
        <v>4.2699999999999996</v>
      </c>
      <c r="V30" s="6">
        <v>100099</v>
      </c>
    </row>
    <row r="31" spans="1:22" x14ac:dyDescent="0.25">
      <c r="A31">
        <f t="shared" si="0"/>
        <v>1946</v>
      </c>
      <c r="B31" s="2">
        <v>15.65</v>
      </c>
      <c r="C31" s="2">
        <v>2.88</v>
      </c>
      <c r="D31" s="2">
        <v>46.97</v>
      </c>
      <c r="E31" s="2">
        <v>5.64</v>
      </c>
      <c r="F31" s="2">
        <v>10.53</v>
      </c>
      <c r="G31" s="2">
        <v>0.71</v>
      </c>
      <c r="H31" s="2">
        <v>5.04</v>
      </c>
      <c r="I31" s="2">
        <v>2.0299999999999998</v>
      </c>
      <c r="J31" s="2">
        <v>2.85</v>
      </c>
      <c r="K31" s="2">
        <v>1.76</v>
      </c>
      <c r="L31" s="2">
        <v>2.5</v>
      </c>
      <c r="M31" s="2">
        <v>3.14</v>
      </c>
      <c r="N31" s="2">
        <v>1.29</v>
      </c>
      <c r="O31" s="2">
        <v>22.78</v>
      </c>
      <c r="P31" s="2">
        <v>0.95</v>
      </c>
      <c r="Q31" s="2">
        <v>0.72</v>
      </c>
      <c r="R31" s="2">
        <v>1.28</v>
      </c>
      <c r="S31" s="2">
        <v>7.42</v>
      </c>
      <c r="T31" s="2">
        <v>2.1</v>
      </c>
      <c r="U31" s="2">
        <v>4.3899999999999997</v>
      </c>
      <c r="V31" s="7">
        <v>97548</v>
      </c>
    </row>
    <row r="32" spans="1:22" x14ac:dyDescent="0.25">
      <c r="A32">
        <f t="shared" si="0"/>
        <v>1947</v>
      </c>
      <c r="B32" s="2">
        <v>15.93</v>
      </c>
      <c r="C32" s="2">
        <v>2.92</v>
      </c>
      <c r="D32" s="2">
        <v>48.16</v>
      </c>
      <c r="E32" s="2">
        <v>5.75</v>
      </c>
      <c r="F32" s="2">
        <v>10.8</v>
      </c>
      <c r="G32" s="2">
        <v>0.73</v>
      </c>
      <c r="H32" s="2">
        <v>5.15</v>
      </c>
      <c r="I32" s="2">
        <v>2.08</v>
      </c>
      <c r="J32" s="2">
        <v>2.94</v>
      </c>
      <c r="K32" s="2">
        <v>1.78</v>
      </c>
      <c r="L32" s="2">
        <v>2.57</v>
      </c>
      <c r="M32" s="2">
        <v>3.2</v>
      </c>
      <c r="N32" s="2">
        <v>1.32</v>
      </c>
      <c r="O32" s="2">
        <v>23.44</v>
      </c>
      <c r="P32" s="2">
        <v>0.98</v>
      </c>
      <c r="Q32" s="2">
        <v>0.74</v>
      </c>
      <c r="R32" s="2">
        <v>1.31</v>
      </c>
      <c r="S32" s="2">
        <v>7.55</v>
      </c>
      <c r="T32" s="2">
        <v>2.12</v>
      </c>
      <c r="U32" s="2">
        <v>4.55</v>
      </c>
      <c r="V32" s="7">
        <v>98509</v>
      </c>
    </row>
    <row r="33" spans="1:22" x14ac:dyDescent="0.25">
      <c r="A33">
        <f t="shared" si="0"/>
        <v>1948</v>
      </c>
      <c r="B33" s="2">
        <v>16.27</v>
      </c>
      <c r="C33" s="2">
        <v>2.95</v>
      </c>
      <c r="D33" s="2">
        <v>49.42</v>
      </c>
      <c r="E33" s="2">
        <v>5.85</v>
      </c>
      <c r="F33" s="2">
        <v>10.85</v>
      </c>
      <c r="G33" s="2">
        <v>0.75</v>
      </c>
      <c r="H33" s="2">
        <v>5.27</v>
      </c>
      <c r="I33" s="2">
        <v>2.13</v>
      </c>
      <c r="J33" s="2">
        <v>3.02</v>
      </c>
      <c r="K33" s="2">
        <v>1.81</v>
      </c>
      <c r="L33" s="2">
        <v>2.64</v>
      </c>
      <c r="M33" s="2">
        <v>3.26</v>
      </c>
      <c r="N33" s="2">
        <v>1.35</v>
      </c>
      <c r="O33" s="2">
        <v>24.13</v>
      </c>
      <c r="P33" s="2">
        <v>1</v>
      </c>
      <c r="Q33" s="2">
        <v>0.76</v>
      </c>
      <c r="R33" s="2">
        <v>1.34</v>
      </c>
      <c r="S33" s="2">
        <v>7.68</v>
      </c>
      <c r="T33" s="2">
        <v>2.14</v>
      </c>
      <c r="U33" s="2">
        <v>4.6900000000000004</v>
      </c>
      <c r="V33" s="7">
        <v>99159</v>
      </c>
    </row>
    <row r="34" spans="1:22" x14ac:dyDescent="0.25">
      <c r="A34">
        <f t="shared" si="0"/>
        <v>1949</v>
      </c>
      <c r="B34" s="2">
        <v>16.66</v>
      </c>
      <c r="C34" s="2">
        <v>2.96</v>
      </c>
      <c r="D34" s="2">
        <v>50.76</v>
      </c>
      <c r="E34" s="2">
        <v>5.96</v>
      </c>
      <c r="F34" s="2">
        <v>11.09</v>
      </c>
      <c r="G34" s="2">
        <v>0.77</v>
      </c>
      <c r="H34" s="2">
        <v>5.39</v>
      </c>
      <c r="I34" s="2">
        <v>2.19</v>
      </c>
      <c r="J34" s="2">
        <v>3.1</v>
      </c>
      <c r="K34" s="2">
        <v>1.84</v>
      </c>
      <c r="L34" s="2">
        <v>2.72</v>
      </c>
      <c r="M34" s="2">
        <v>3.32</v>
      </c>
      <c r="N34" s="2">
        <v>1.39</v>
      </c>
      <c r="O34" s="2">
        <v>24.83</v>
      </c>
      <c r="P34" s="2">
        <v>1.03</v>
      </c>
      <c r="Q34" s="2">
        <v>0.78</v>
      </c>
      <c r="R34" s="2">
        <v>1.37</v>
      </c>
      <c r="S34" s="2">
        <v>7.82</v>
      </c>
      <c r="T34" s="2">
        <v>2.17</v>
      </c>
      <c r="U34" s="2">
        <v>4.83</v>
      </c>
      <c r="V34" s="7">
        <v>100252</v>
      </c>
    </row>
    <row r="35" spans="1:22" x14ac:dyDescent="0.25">
      <c r="A35">
        <f t="shared" si="0"/>
        <v>1950</v>
      </c>
      <c r="B35" s="2">
        <v>17.07</v>
      </c>
      <c r="C35" s="2">
        <v>3.01</v>
      </c>
      <c r="D35" s="2">
        <v>52.18</v>
      </c>
      <c r="E35" s="2">
        <v>6.07</v>
      </c>
      <c r="F35" s="2">
        <v>11.33</v>
      </c>
      <c r="G35" s="2">
        <v>0.8</v>
      </c>
      <c r="H35" s="2">
        <v>5.51</v>
      </c>
      <c r="I35" s="2">
        <v>2.2400000000000002</v>
      </c>
      <c r="J35" s="2">
        <v>3.2</v>
      </c>
      <c r="K35" s="2">
        <v>1.86</v>
      </c>
      <c r="L35" s="2">
        <v>2.81</v>
      </c>
      <c r="M35" s="2">
        <v>3.39</v>
      </c>
      <c r="N35" s="2">
        <v>1.43</v>
      </c>
      <c r="O35" s="2">
        <v>25.79</v>
      </c>
      <c r="P35" s="2">
        <v>1.06</v>
      </c>
      <c r="Q35" s="2">
        <v>0.8</v>
      </c>
      <c r="R35" s="2">
        <v>1.4</v>
      </c>
      <c r="S35" s="2">
        <v>7.97</v>
      </c>
      <c r="T35" s="2">
        <v>2.2000000000000002</v>
      </c>
      <c r="U35" s="2">
        <v>4.97</v>
      </c>
      <c r="V35" s="7">
        <v>102067</v>
      </c>
    </row>
    <row r="36" spans="1:22" x14ac:dyDescent="0.25">
      <c r="A36">
        <f>A35+1</f>
        <v>1951</v>
      </c>
      <c r="B36" s="2">
        <v>17.48</v>
      </c>
      <c r="C36" s="2">
        <v>3.07</v>
      </c>
      <c r="D36" s="2">
        <v>53.68</v>
      </c>
      <c r="E36" s="2">
        <v>6.21</v>
      </c>
      <c r="F36" s="2">
        <v>11.62</v>
      </c>
      <c r="G36" s="2">
        <v>0.83</v>
      </c>
      <c r="H36" s="2">
        <v>5.62</v>
      </c>
      <c r="I36" s="2">
        <v>2.31</v>
      </c>
      <c r="J36" s="2">
        <v>3.25</v>
      </c>
      <c r="K36" s="2">
        <v>1.9</v>
      </c>
      <c r="L36" s="2">
        <v>2.89</v>
      </c>
      <c r="M36" s="2">
        <v>3.44</v>
      </c>
      <c r="N36" s="2">
        <v>1.47</v>
      </c>
      <c r="O36" s="2">
        <v>25.59</v>
      </c>
      <c r="P36" s="2">
        <v>1.0900000000000001</v>
      </c>
      <c r="Q36" s="2">
        <v>0.82</v>
      </c>
      <c r="R36" s="2">
        <v>1.43</v>
      </c>
      <c r="S36" s="2">
        <v>8.1199999999999992</v>
      </c>
      <c r="T36" s="2">
        <v>2.2200000000000002</v>
      </c>
      <c r="U36" s="2">
        <v>5.14</v>
      </c>
      <c r="V36" s="7">
        <v>103599</v>
      </c>
    </row>
    <row r="37" spans="1:22" x14ac:dyDescent="0.25">
      <c r="A37">
        <f t="shared" ref="A37:A85" si="1">A36+1</f>
        <v>1952</v>
      </c>
      <c r="B37" s="2">
        <v>17.7</v>
      </c>
      <c r="C37" s="2">
        <v>3.13</v>
      </c>
      <c r="D37" s="2">
        <v>55.1</v>
      </c>
      <c r="E37" s="2">
        <v>6.3</v>
      </c>
      <c r="F37" s="2">
        <v>11.81</v>
      </c>
      <c r="G37" s="2">
        <v>0.92</v>
      </c>
      <c r="H37" s="2">
        <v>5.73</v>
      </c>
      <c r="I37" s="2">
        <v>2.29</v>
      </c>
      <c r="J37" s="2">
        <v>3.43</v>
      </c>
      <c r="K37" s="2">
        <v>1.97</v>
      </c>
      <c r="L37" s="2">
        <v>2.98</v>
      </c>
      <c r="M37" s="2">
        <v>3.51</v>
      </c>
      <c r="N37" s="2">
        <v>1.53</v>
      </c>
      <c r="O37" s="2">
        <v>27.85</v>
      </c>
      <c r="P37" s="2">
        <v>1.1200000000000001</v>
      </c>
      <c r="Q37" s="2">
        <v>0.84</v>
      </c>
      <c r="R37" s="2">
        <v>1.46</v>
      </c>
      <c r="S37" s="2">
        <v>8.27</v>
      </c>
      <c r="T37" s="2">
        <v>2.2599999999999998</v>
      </c>
      <c r="U37" s="2">
        <v>5.39</v>
      </c>
      <c r="V37" s="7">
        <v>105278</v>
      </c>
    </row>
    <row r="38" spans="1:22" x14ac:dyDescent="0.25">
      <c r="A38">
        <f t="shared" si="1"/>
        <v>1953</v>
      </c>
      <c r="B38" s="2">
        <v>17.96</v>
      </c>
      <c r="C38" s="2">
        <v>3.19</v>
      </c>
      <c r="D38" s="2">
        <v>56.74</v>
      </c>
      <c r="E38" s="2">
        <v>6.46</v>
      </c>
      <c r="F38" s="2">
        <v>12.07</v>
      </c>
      <c r="G38" s="2">
        <v>0.95</v>
      </c>
      <c r="H38" s="2">
        <v>6.04</v>
      </c>
      <c r="I38" s="2">
        <v>2.37</v>
      </c>
      <c r="J38" s="2">
        <v>3.53</v>
      </c>
      <c r="K38" s="2">
        <v>2.02</v>
      </c>
      <c r="L38" s="2">
        <v>3.07</v>
      </c>
      <c r="M38" s="2">
        <v>3.58</v>
      </c>
      <c r="N38" s="2">
        <v>1.57</v>
      </c>
      <c r="O38" s="2">
        <v>28.7</v>
      </c>
      <c r="P38" s="2">
        <v>1.1499999999999999</v>
      </c>
      <c r="Q38" s="2">
        <v>0.87</v>
      </c>
      <c r="R38" s="2">
        <v>1.5</v>
      </c>
      <c r="S38" s="2">
        <v>8.43</v>
      </c>
      <c r="T38" s="2">
        <v>2.2999999999999998</v>
      </c>
      <c r="U38" s="2">
        <v>5.62</v>
      </c>
      <c r="V38" s="7">
        <v>107049</v>
      </c>
    </row>
    <row r="39" spans="1:22" x14ac:dyDescent="0.25">
      <c r="A39">
        <f t="shared" si="1"/>
        <v>1954</v>
      </c>
      <c r="B39" s="2">
        <v>18.239999999999998</v>
      </c>
      <c r="C39" s="2">
        <v>3.26</v>
      </c>
      <c r="D39" s="2">
        <v>58.44</v>
      </c>
      <c r="E39" s="2">
        <v>6.62</v>
      </c>
      <c r="F39" s="2">
        <v>12.34</v>
      </c>
      <c r="G39" s="2">
        <v>0.99</v>
      </c>
      <c r="H39" s="2">
        <v>6.16</v>
      </c>
      <c r="I39" s="2">
        <v>2.4500000000000002</v>
      </c>
      <c r="J39" s="2">
        <v>3.64</v>
      </c>
      <c r="K39" s="2">
        <v>2.08</v>
      </c>
      <c r="L39" s="2">
        <v>3.18</v>
      </c>
      <c r="M39" s="2">
        <v>3.65</v>
      </c>
      <c r="N39" s="2">
        <v>1.62</v>
      </c>
      <c r="O39" s="2">
        <v>29.61</v>
      </c>
      <c r="P39" s="2">
        <v>1.18</v>
      </c>
      <c r="Q39" s="2">
        <v>0.89</v>
      </c>
      <c r="R39" s="2">
        <v>1.53</v>
      </c>
      <c r="S39" s="2">
        <v>8.6</v>
      </c>
      <c r="T39" s="2">
        <v>2.33</v>
      </c>
      <c r="U39" s="2">
        <v>5.85</v>
      </c>
      <c r="V39" s="7">
        <v>108607</v>
      </c>
    </row>
    <row r="40" spans="1:22" x14ac:dyDescent="0.25">
      <c r="A40">
        <f t="shared" si="1"/>
        <v>1955</v>
      </c>
      <c r="B40" s="2">
        <v>18.53</v>
      </c>
      <c r="C40" s="2">
        <v>3.34</v>
      </c>
      <c r="D40" s="2">
        <v>60.18</v>
      </c>
      <c r="E40" s="2">
        <v>6.79</v>
      </c>
      <c r="F40" s="2">
        <v>12.97</v>
      </c>
      <c r="G40" s="2">
        <v>1.03</v>
      </c>
      <c r="H40" s="2">
        <v>6.28</v>
      </c>
      <c r="I40" s="2">
        <v>2.54</v>
      </c>
      <c r="J40" s="2">
        <v>3.75</v>
      </c>
      <c r="K40" s="2">
        <v>2.14</v>
      </c>
      <c r="L40" s="2">
        <v>3.29</v>
      </c>
      <c r="M40" s="2">
        <v>3.72</v>
      </c>
      <c r="N40" s="2">
        <v>1.65</v>
      </c>
      <c r="O40" s="2">
        <v>30.56</v>
      </c>
      <c r="P40" s="2">
        <v>1.22</v>
      </c>
      <c r="Q40" s="2">
        <v>0.92</v>
      </c>
      <c r="R40" s="2">
        <v>1.57</v>
      </c>
      <c r="S40" s="2">
        <v>8.7899999999999991</v>
      </c>
      <c r="T40" s="2">
        <v>2.36</v>
      </c>
      <c r="U40" s="2">
        <v>6.09</v>
      </c>
      <c r="V40" s="7">
        <v>110678</v>
      </c>
    </row>
    <row r="41" spans="1:22" x14ac:dyDescent="0.25">
      <c r="A41">
        <f t="shared" si="1"/>
        <v>1956</v>
      </c>
      <c r="B41" s="2">
        <v>18.8</v>
      </c>
      <c r="C41" s="2">
        <v>3.42</v>
      </c>
      <c r="D41" s="2">
        <v>61.98</v>
      </c>
      <c r="E41" s="2">
        <v>6.96</v>
      </c>
      <c r="F41" s="2">
        <v>13.59</v>
      </c>
      <c r="G41" s="2">
        <v>1.07</v>
      </c>
      <c r="H41" s="2">
        <v>6.41</v>
      </c>
      <c r="I41" s="2">
        <v>2.63</v>
      </c>
      <c r="J41" s="2">
        <v>3.87</v>
      </c>
      <c r="K41" s="2">
        <v>2.2000000000000002</v>
      </c>
      <c r="L41" s="2">
        <v>3.39</v>
      </c>
      <c r="M41" s="2">
        <v>3.8</v>
      </c>
      <c r="N41" s="2">
        <v>1.68</v>
      </c>
      <c r="O41" s="2">
        <v>31.56</v>
      </c>
      <c r="P41" s="2">
        <v>1.26</v>
      </c>
      <c r="Q41" s="2">
        <v>0.95</v>
      </c>
      <c r="R41" s="2">
        <v>1.61</v>
      </c>
      <c r="S41" s="2">
        <v>9</v>
      </c>
      <c r="T41" s="2">
        <v>2.4</v>
      </c>
      <c r="U41" s="2">
        <v>6.33</v>
      </c>
      <c r="V41" s="7">
        <v>112465</v>
      </c>
    </row>
    <row r="42" spans="1:22" x14ac:dyDescent="0.25">
      <c r="A42">
        <f t="shared" si="1"/>
        <v>1957</v>
      </c>
      <c r="B42" s="2">
        <v>19.100000000000001</v>
      </c>
      <c r="C42" s="2">
        <v>3.5</v>
      </c>
      <c r="D42" s="2">
        <v>63.83</v>
      </c>
      <c r="E42" s="2">
        <v>7.14</v>
      </c>
      <c r="F42" s="2">
        <v>14.03</v>
      </c>
      <c r="G42" s="2">
        <v>1.1100000000000001</v>
      </c>
      <c r="H42" s="2">
        <v>6.54</v>
      </c>
      <c r="I42" s="2">
        <v>2.73</v>
      </c>
      <c r="J42" s="2">
        <v>3.98</v>
      </c>
      <c r="K42" s="2">
        <v>2.2599999999999998</v>
      </c>
      <c r="L42" s="2">
        <v>3.49</v>
      </c>
      <c r="M42" s="2">
        <v>3.75</v>
      </c>
      <c r="N42" s="2">
        <v>1.71</v>
      </c>
      <c r="O42" s="2">
        <v>32.61</v>
      </c>
      <c r="P42" s="2">
        <v>1.29</v>
      </c>
      <c r="Q42" s="2">
        <v>0.97</v>
      </c>
      <c r="R42" s="2">
        <v>1.68</v>
      </c>
      <c r="S42" s="2">
        <v>9.23</v>
      </c>
      <c r="T42" s="2">
        <v>2.4300000000000002</v>
      </c>
      <c r="U42" s="2">
        <v>6.57</v>
      </c>
      <c r="V42" s="7">
        <v>114189</v>
      </c>
    </row>
    <row r="43" spans="1:22" x14ac:dyDescent="0.25">
      <c r="A43">
        <f t="shared" si="1"/>
        <v>1958</v>
      </c>
      <c r="B43" s="2">
        <v>19.38</v>
      </c>
      <c r="C43" s="2">
        <v>3.59</v>
      </c>
      <c r="D43" s="2">
        <v>65.739999999999995</v>
      </c>
      <c r="E43" s="2">
        <v>7.32</v>
      </c>
      <c r="F43" s="2">
        <v>14.48</v>
      </c>
      <c r="G43" s="2">
        <v>1.1499999999999999</v>
      </c>
      <c r="H43" s="2">
        <v>6.76</v>
      </c>
      <c r="I43" s="2">
        <v>2.83</v>
      </c>
      <c r="J43" s="2">
        <v>4.1100000000000003</v>
      </c>
      <c r="K43" s="2">
        <v>2.3199999999999998</v>
      </c>
      <c r="L43" s="2">
        <v>3.61</v>
      </c>
      <c r="M43" s="2">
        <v>3.7</v>
      </c>
      <c r="N43" s="2">
        <v>1.75</v>
      </c>
      <c r="O43" s="2">
        <v>33.700000000000003</v>
      </c>
      <c r="P43" s="2">
        <v>1.33</v>
      </c>
      <c r="Q43" s="2">
        <v>1</v>
      </c>
      <c r="R43" s="2">
        <v>1.68</v>
      </c>
      <c r="S43" s="2">
        <v>9.48</v>
      </c>
      <c r="T43" s="2">
        <v>2.46</v>
      </c>
      <c r="U43" s="2">
        <v>6.83</v>
      </c>
      <c r="V43" s="7">
        <v>115881</v>
      </c>
    </row>
    <row r="44" spans="1:22" x14ac:dyDescent="0.25">
      <c r="A44">
        <f t="shared" si="1"/>
        <v>1959</v>
      </c>
      <c r="B44" s="2">
        <v>19.66</v>
      </c>
      <c r="C44" s="2">
        <v>3.7</v>
      </c>
      <c r="D44" s="2">
        <v>67.7</v>
      </c>
      <c r="E44" s="2">
        <v>7.49</v>
      </c>
      <c r="F44" s="2">
        <v>14.94</v>
      </c>
      <c r="G44" s="2">
        <v>1.19</v>
      </c>
      <c r="H44" s="2">
        <v>6.9</v>
      </c>
      <c r="I44" s="2">
        <v>2.93</v>
      </c>
      <c r="J44" s="2">
        <v>4.2300000000000004</v>
      </c>
      <c r="K44" s="2">
        <v>2.39</v>
      </c>
      <c r="L44" s="2">
        <v>3.72</v>
      </c>
      <c r="M44" s="2">
        <v>3.67</v>
      </c>
      <c r="N44" s="2">
        <v>1.8</v>
      </c>
      <c r="O44" s="2">
        <v>34.86</v>
      </c>
      <c r="P44" s="2">
        <v>1.37</v>
      </c>
      <c r="Q44" s="2">
        <v>1.03</v>
      </c>
      <c r="R44" s="2">
        <v>1.71</v>
      </c>
      <c r="S44" s="2">
        <v>9.75</v>
      </c>
      <c r="T44" s="2">
        <v>2.5</v>
      </c>
      <c r="U44" s="2">
        <v>7.09</v>
      </c>
      <c r="V44" s="7">
        <v>117616</v>
      </c>
    </row>
    <row r="45" spans="1:22" x14ac:dyDescent="0.25">
      <c r="A45">
        <f t="shared" si="1"/>
        <v>1960</v>
      </c>
      <c r="B45" s="2">
        <v>19.920000000000002</v>
      </c>
      <c r="C45" s="2">
        <v>3.82</v>
      </c>
      <c r="D45" s="2">
        <v>69.72</v>
      </c>
      <c r="E45" s="2">
        <v>7.58</v>
      </c>
      <c r="F45" s="2">
        <v>15.42</v>
      </c>
      <c r="G45" s="2">
        <v>1.25</v>
      </c>
      <c r="H45" s="2">
        <v>7.03</v>
      </c>
      <c r="I45" s="2">
        <v>3.04</v>
      </c>
      <c r="J45" s="2">
        <v>4.3600000000000003</v>
      </c>
      <c r="K45" s="2">
        <v>2.4500000000000002</v>
      </c>
      <c r="L45" s="2">
        <v>3.83</v>
      </c>
      <c r="M45" s="2">
        <v>3.62</v>
      </c>
      <c r="N45" s="2">
        <v>1.85</v>
      </c>
      <c r="O45" s="2">
        <v>36.049999999999997</v>
      </c>
      <c r="P45" s="2">
        <v>1.41</v>
      </c>
      <c r="Q45" s="2">
        <v>1.06</v>
      </c>
      <c r="R45" s="2">
        <v>1.75</v>
      </c>
      <c r="S45" s="2">
        <v>10.02</v>
      </c>
      <c r="T45" s="2">
        <v>2.54</v>
      </c>
      <c r="U45" s="2">
        <v>7.35</v>
      </c>
      <c r="V45" s="7">
        <v>119046</v>
      </c>
    </row>
    <row r="46" spans="1:22" x14ac:dyDescent="0.25">
      <c r="A46">
        <f t="shared" si="1"/>
        <v>1961</v>
      </c>
      <c r="B46" s="2">
        <v>20.239999999999998</v>
      </c>
      <c r="C46" s="2">
        <v>3.92</v>
      </c>
      <c r="D46" s="2">
        <v>71.94</v>
      </c>
      <c r="E46" s="2">
        <v>7.76</v>
      </c>
      <c r="F46" s="2">
        <v>15.91</v>
      </c>
      <c r="G46" s="2">
        <v>1.3</v>
      </c>
      <c r="H46" s="2">
        <v>7.13</v>
      </c>
      <c r="I46" s="2">
        <v>3.12</v>
      </c>
      <c r="J46" s="2">
        <v>4.5</v>
      </c>
      <c r="K46" s="2">
        <v>2.5099999999999998</v>
      </c>
      <c r="L46" s="2">
        <v>3.95</v>
      </c>
      <c r="M46" s="2">
        <v>3.68</v>
      </c>
      <c r="N46" s="2">
        <v>1.91</v>
      </c>
      <c r="O46" s="2">
        <v>37.270000000000003</v>
      </c>
      <c r="P46" s="2">
        <v>1.45</v>
      </c>
      <c r="Q46" s="2">
        <v>1.0900000000000001</v>
      </c>
      <c r="R46" s="2">
        <v>1.8</v>
      </c>
      <c r="S46" s="2">
        <v>10.32</v>
      </c>
      <c r="T46" s="2">
        <v>2.58</v>
      </c>
      <c r="U46" s="2">
        <v>7.61</v>
      </c>
      <c r="V46" s="7">
        <v>120766</v>
      </c>
    </row>
    <row r="47" spans="1:22" x14ac:dyDescent="0.25">
      <c r="A47">
        <f t="shared" si="1"/>
        <v>1962</v>
      </c>
      <c r="B47" s="2">
        <v>20.54</v>
      </c>
      <c r="C47" s="2">
        <v>4.0199999999999996</v>
      </c>
      <c r="D47" s="2">
        <v>74.17</v>
      </c>
      <c r="E47" s="2">
        <v>7.95</v>
      </c>
      <c r="F47" s="2">
        <v>16.420000000000002</v>
      </c>
      <c r="G47" s="2">
        <v>1.35</v>
      </c>
      <c r="H47" s="2">
        <v>7.25</v>
      </c>
      <c r="I47" s="2">
        <v>3.21</v>
      </c>
      <c r="J47" s="2">
        <v>4.6500000000000004</v>
      </c>
      <c r="K47" s="2">
        <v>2.63</v>
      </c>
      <c r="L47" s="2">
        <v>4.0599999999999996</v>
      </c>
      <c r="M47" s="2">
        <v>3.74</v>
      </c>
      <c r="N47" s="2">
        <v>1.97</v>
      </c>
      <c r="O47" s="2">
        <v>38.54</v>
      </c>
      <c r="P47" s="2">
        <v>1.5</v>
      </c>
      <c r="Q47" s="2">
        <v>1.1299999999999999</v>
      </c>
      <c r="R47" s="2">
        <v>1.85</v>
      </c>
      <c r="S47" s="2">
        <v>10.63</v>
      </c>
      <c r="T47" s="2">
        <v>2.61</v>
      </c>
      <c r="U47" s="2">
        <v>7.86</v>
      </c>
      <c r="V47" s="7">
        <v>122407</v>
      </c>
    </row>
    <row r="48" spans="1:22" x14ac:dyDescent="0.25">
      <c r="A48">
        <f t="shared" si="1"/>
        <v>1963</v>
      </c>
      <c r="B48" s="2">
        <v>20.85</v>
      </c>
      <c r="C48" s="2">
        <v>4.12</v>
      </c>
      <c r="D48" s="2">
        <v>76.53</v>
      </c>
      <c r="E48" s="2">
        <v>8.14</v>
      </c>
      <c r="F48" s="2">
        <v>16.940000000000001</v>
      </c>
      <c r="G48" s="2">
        <v>1.39</v>
      </c>
      <c r="H48" s="2">
        <v>7.41</v>
      </c>
      <c r="I48" s="2">
        <v>3.31</v>
      </c>
      <c r="J48" s="2">
        <v>4.78</v>
      </c>
      <c r="K48" s="2">
        <v>2.72</v>
      </c>
      <c r="L48" s="2">
        <v>4.1900000000000004</v>
      </c>
      <c r="M48" s="2">
        <v>3.79</v>
      </c>
      <c r="N48" s="2">
        <v>2.04</v>
      </c>
      <c r="O48" s="2">
        <v>39.869999999999997</v>
      </c>
      <c r="P48" s="2">
        <v>1.54</v>
      </c>
      <c r="Q48" s="2">
        <v>1.17</v>
      </c>
      <c r="R48" s="2">
        <v>1.91</v>
      </c>
      <c r="S48" s="2">
        <v>10.96</v>
      </c>
      <c r="T48" s="2">
        <v>2.65</v>
      </c>
      <c r="U48" s="2">
        <v>8.1199999999999992</v>
      </c>
      <c r="V48" s="7">
        <v>123848</v>
      </c>
    </row>
    <row r="49" spans="1:22" x14ac:dyDescent="0.25">
      <c r="A49">
        <f t="shared" si="1"/>
        <v>1964</v>
      </c>
      <c r="B49" s="2">
        <v>21.17</v>
      </c>
      <c r="C49" s="2">
        <v>4.2300000000000004</v>
      </c>
      <c r="D49" s="2">
        <v>78.73</v>
      </c>
      <c r="E49" s="2">
        <v>8.33</v>
      </c>
      <c r="F49" s="2">
        <v>17.48</v>
      </c>
      <c r="G49" s="2">
        <v>1.44</v>
      </c>
      <c r="H49" s="2">
        <v>7.61</v>
      </c>
      <c r="I49" s="2">
        <v>3.41</v>
      </c>
      <c r="J49" s="2">
        <v>4.93</v>
      </c>
      <c r="K49" s="2">
        <v>2.82</v>
      </c>
      <c r="L49" s="2">
        <v>4.3099999999999996</v>
      </c>
      <c r="M49" s="2">
        <v>3.85</v>
      </c>
      <c r="N49" s="2">
        <v>2.11</v>
      </c>
      <c r="O49" s="2">
        <v>41.25</v>
      </c>
      <c r="P49" s="2">
        <v>1.58</v>
      </c>
      <c r="Q49" s="2">
        <v>1.2</v>
      </c>
      <c r="R49" s="2">
        <v>1.97</v>
      </c>
      <c r="S49" s="2">
        <v>11.3</v>
      </c>
      <c r="T49" s="2">
        <v>2.68</v>
      </c>
      <c r="U49" s="2">
        <v>8.4</v>
      </c>
      <c r="V49" s="7">
        <v>125179</v>
      </c>
    </row>
    <row r="50" spans="1:22" x14ac:dyDescent="0.25">
      <c r="A50">
        <f t="shared" si="1"/>
        <v>1965</v>
      </c>
      <c r="B50" s="2">
        <v>22.18</v>
      </c>
      <c r="C50" s="2">
        <v>4.33</v>
      </c>
      <c r="D50" s="2">
        <v>81.010000000000005</v>
      </c>
      <c r="E50" s="2">
        <v>8.51</v>
      </c>
      <c r="F50" s="2">
        <v>18.04</v>
      </c>
      <c r="G50" s="2">
        <v>1.49</v>
      </c>
      <c r="H50" s="2">
        <v>7.81</v>
      </c>
      <c r="I50" s="2">
        <v>3.51</v>
      </c>
      <c r="J50" s="2">
        <v>5.07</v>
      </c>
      <c r="K50" s="2">
        <v>2.93</v>
      </c>
      <c r="L50" s="2">
        <v>4.41</v>
      </c>
      <c r="M50" s="2">
        <v>3.91</v>
      </c>
      <c r="N50" s="2">
        <v>2.1800000000000002</v>
      </c>
      <c r="O50" s="2">
        <v>42.69</v>
      </c>
      <c r="P50" s="2">
        <v>1.62</v>
      </c>
      <c r="Q50" s="2">
        <v>1.24</v>
      </c>
      <c r="R50" s="2">
        <v>2.0299999999999998</v>
      </c>
      <c r="S50" s="2">
        <v>11.65</v>
      </c>
      <c r="T50" s="2">
        <v>2.71</v>
      </c>
      <c r="U50" s="2">
        <v>8.7100000000000009</v>
      </c>
      <c r="V50" s="7">
        <v>126309</v>
      </c>
    </row>
    <row r="51" spans="1:22" x14ac:dyDescent="0.25">
      <c r="A51">
        <f t="shared" si="1"/>
        <v>1966</v>
      </c>
      <c r="B51" s="2">
        <v>22.49</v>
      </c>
      <c r="C51" s="2">
        <v>4.45</v>
      </c>
      <c r="D51" s="2">
        <v>82.93</v>
      </c>
      <c r="E51" s="2">
        <v>8.68</v>
      </c>
      <c r="F51" s="2">
        <v>18.47</v>
      </c>
      <c r="G51" s="2">
        <v>1.54</v>
      </c>
      <c r="H51" s="2">
        <v>7.99</v>
      </c>
      <c r="I51" s="2">
        <v>3.62</v>
      </c>
      <c r="J51" s="2">
        <v>5.22</v>
      </c>
      <c r="K51" s="2">
        <v>3.04</v>
      </c>
      <c r="L51" s="2">
        <v>4.5</v>
      </c>
      <c r="M51" s="2">
        <v>3.97</v>
      </c>
      <c r="N51" s="2">
        <v>2.2599999999999998</v>
      </c>
      <c r="O51" s="2">
        <v>44.14</v>
      </c>
      <c r="P51" s="2">
        <v>1.66</v>
      </c>
      <c r="Q51" s="2">
        <v>1.27</v>
      </c>
      <c r="R51" s="2">
        <v>2.0699999999999998</v>
      </c>
      <c r="S51" s="2">
        <v>12.01</v>
      </c>
      <c r="T51" s="2">
        <v>2.75</v>
      </c>
      <c r="U51" s="2">
        <v>9.0299999999999994</v>
      </c>
      <c r="V51" s="7">
        <v>127189</v>
      </c>
    </row>
    <row r="52" spans="1:22" x14ac:dyDescent="0.25">
      <c r="A52">
        <f t="shared" si="1"/>
        <v>1967</v>
      </c>
      <c r="B52" s="2">
        <v>22.8</v>
      </c>
      <c r="C52" s="2">
        <v>4.4800000000000004</v>
      </c>
      <c r="D52" s="2">
        <v>85.24</v>
      </c>
      <c r="E52" s="2">
        <v>8.85</v>
      </c>
      <c r="F52" s="2">
        <v>18.96</v>
      </c>
      <c r="G52" s="2">
        <v>1.59</v>
      </c>
      <c r="H52" s="2">
        <v>8.14</v>
      </c>
      <c r="I52" s="2">
        <v>3.72</v>
      </c>
      <c r="J52" s="2">
        <v>5.4</v>
      </c>
      <c r="K52" s="2">
        <v>3.15</v>
      </c>
      <c r="L52" s="2">
        <v>4.7</v>
      </c>
      <c r="M52" s="2">
        <v>4.03</v>
      </c>
      <c r="N52" s="2">
        <v>2.2799999999999998</v>
      </c>
      <c r="O52" s="2">
        <v>45.67</v>
      </c>
      <c r="P52" s="2">
        <v>1.7</v>
      </c>
      <c r="Q52" s="2">
        <v>1.31</v>
      </c>
      <c r="R52" s="2">
        <v>2.13</v>
      </c>
      <c r="S52" s="2">
        <v>12.31</v>
      </c>
      <c r="T52" s="2">
        <v>2.69</v>
      </c>
      <c r="U52" s="2">
        <v>9.31</v>
      </c>
      <c r="V52" s="7">
        <v>128026</v>
      </c>
    </row>
    <row r="53" spans="1:22" x14ac:dyDescent="0.25">
      <c r="A53">
        <f t="shared" si="1"/>
        <v>1968</v>
      </c>
      <c r="B53" s="2">
        <v>23.11</v>
      </c>
      <c r="C53" s="2">
        <v>4.51</v>
      </c>
      <c r="D53" s="2">
        <v>87.62</v>
      </c>
      <c r="E53" s="2">
        <v>9.0299999999999994</v>
      </c>
      <c r="F53" s="2">
        <v>19.46</v>
      </c>
      <c r="G53" s="2">
        <v>1.63</v>
      </c>
      <c r="H53" s="2">
        <v>8.2799999999999994</v>
      </c>
      <c r="I53" s="2">
        <v>3.83</v>
      </c>
      <c r="J53" s="2">
        <v>5.58</v>
      </c>
      <c r="K53" s="2">
        <v>3.27</v>
      </c>
      <c r="L53" s="2">
        <v>4.84</v>
      </c>
      <c r="M53" s="2">
        <v>4.0999999999999996</v>
      </c>
      <c r="N53" s="2">
        <v>2.31</v>
      </c>
      <c r="O53" s="2">
        <v>47.27</v>
      </c>
      <c r="P53" s="2">
        <v>1.74</v>
      </c>
      <c r="Q53" s="2">
        <v>1.35</v>
      </c>
      <c r="R53" s="2">
        <v>2.1800000000000002</v>
      </c>
      <c r="S53" s="2">
        <v>12.67</v>
      </c>
      <c r="T53" s="2">
        <v>2.7</v>
      </c>
      <c r="U53" s="2">
        <v>9.6199999999999992</v>
      </c>
      <c r="V53" s="7">
        <v>128696</v>
      </c>
    </row>
    <row r="54" spans="1:22" x14ac:dyDescent="0.25">
      <c r="A54">
        <f t="shared" si="1"/>
        <v>1969</v>
      </c>
      <c r="B54" s="2">
        <v>23.43</v>
      </c>
      <c r="C54" s="2">
        <v>4.55</v>
      </c>
      <c r="D54" s="2">
        <v>90.07</v>
      </c>
      <c r="E54" s="2">
        <v>9.1999999999999993</v>
      </c>
      <c r="F54" s="2">
        <v>19.98</v>
      </c>
      <c r="G54" s="2">
        <v>1.69</v>
      </c>
      <c r="H54" s="2">
        <v>8.42</v>
      </c>
      <c r="I54" s="2">
        <v>3.95</v>
      </c>
      <c r="J54" s="2">
        <v>5.77</v>
      </c>
      <c r="K54" s="2">
        <v>3.36</v>
      </c>
      <c r="L54" s="2">
        <v>5.0199999999999996</v>
      </c>
      <c r="M54" s="2">
        <v>4.16</v>
      </c>
      <c r="N54" s="2">
        <v>2.4500000000000002</v>
      </c>
      <c r="O54" s="2">
        <v>48.93</v>
      </c>
      <c r="P54" s="2">
        <v>1.79</v>
      </c>
      <c r="Q54" s="2">
        <v>1.39</v>
      </c>
      <c r="R54" s="2">
        <v>2.2400000000000002</v>
      </c>
      <c r="S54" s="2">
        <v>13.05</v>
      </c>
      <c r="T54" s="2">
        <v>2.71</v>
      </c>
      <c r="U54" s="2">
        <v>9.94</v>
      </c>
      <c r="V54" s="7">
        <v>129379</v>
      </c>
    </row>
    <row r="55" spans="1:22" x14ac:dyDescent="0.25">
      <c r="A55">
        <f t="shared" si="1"/>
        <v>1970</v>
      </c>
      <c r="B55" s="2">
        <v>23.75</v>
      </c>
      <c r="C55" s="2">
        <v>4.58</v>
      </c>
      <c r="D55" s="2">
        <v>92.52</v>
      </c>
      <c r="E55" s="2">
        <v>9.3699999999999992</v>
      </c>
      <c r="F55" s="2">
        <v>20.53</v>
      </c>
      <c r="G55" s="2">
        <v>1.73</v>
      </c>
      <c r="H55" s="2">
        <v>8.5500000000000007</v>
      </c>
      <c r="I55" s="2">
        <v>4.0599999999999996</v>
      </c>
      <c r="J55" s="2">
        <v>5.96</v>
      </c>
      <c r="K55" s="2">
        <v>3.44</v>
      </c>
      <c r="L55" s="2">
        <v>5.27</v>
      </c>
      <c r="M55" s="2">
        <v>4.24</v>
      </c>
      <c r="N55" s="2">
        <v>2.64</v>
      </c>
      <c r="O55" s="2">
        <v>50.69</v>
      </c>
      <c r="P55" s="2">
        <v>1.83</v>
      </c>
      <c r="Q55" s="2">
        <v>1.43</v>
      </c>
      <c r="R55" s="2">
        <v>2.2999999999999998</v>
      </c>
      <c r="S55" s="2">
        <v>13.45</v>
      </c>
      <c r="T55" s="2">
        <v>2.73</v>
      </c>
      <c r="U55" s="2">
        <v>10.28</v>
      </c>
      <c r="V55" s="7">
        <v>130079</v>
      </c>
    </row>
    <row r="56" spans="1:22" x14ac:dyDescent="0.25">
      <c r="A56">
        <f t="shared" si="1"/>
        <v>1971</v>
      </c>
      <c r="B56" s="2">
        <v>24.07</v>
      </c>
      <c r="C56" s="2">
        <v>4.62</v>
      </c>
      <c r="D56" s="2">
        <v>95.17</v>
      </c>
      <c r="E56" s="2">
        <v>9.5299999999999994</v>
      </c>
      <c r="F56" s="2">
        <v>21.09</v>
      </c>
      <c r="G56" s="2">
        <v>1.8</v>
      </c>
      <c r="H56" s="2">
        <v>8.69</v>
      </c>
      <c r="I56" s="2">
        <v>4.18</v>
      </c>
      <c r="J56" s="2">
        <v>6.17</v>
      </c>
      <c r="K56" s="2">
        <v>3.55</v>
      </c>
      <c r="L56" s="2">
        <v>5.42</v>
      </c>
      <c r="M56" s="2">
        <v>4.3099999999999996</v>
      </c>
      <c r="N56" s="2">
        <v>2.72</v>
      </c>
      <c r="O56" s="2">
        <v>52.45</v>
      </c>
      <c r="P56" s="2">
        <v>1.89</v>
      </c>
      <c r="Q56" s="2">
        <v>1.48</v>
      </c>
      <c r="R56" s="2">
        <v>2.36</v>
      </c>
      <c r="S56" s="2">
        <v>13.59</v>
      </c>
      <c r="T56" s="2">
        <v>2.74</v>
      </c>
      <c r="U56" s="2">
        <v>10.61</v>
      </c>
      <c r="V56" s="7">
        <v>130704</v>
      </c>
    </row>
    <row r="57" spans="1:22" x14ac:dyDescent="0.25">
      <c r="A57">
        <f t="shared" si="1"/>
        <v>1972</v>
      </c>
      <c r="B57" s="2">
        <v>24.39</v>
      </c>
      <c r="C57" s="2">
        <v>4.6399999999999997</v>
      </c>
      <c r="D57" s="2">
        <v>97.85</v>
      </c>
      <c r="E57" s="2">
        <v>9.6999999999999993</v>
      </c>
      <c r="F57" s="2">
        <v>21.67</v>
      </c>
      <c r="G57" s="2">
        <v>1.84</v>
      </c>
      <c r="H57" s="2">
        <v>8.86</v>
      </c>
      <c r="I57" s="2">
        <v>4.3</v>
      </c>
      <c r="J57" s="2">
        <v>6.38</v>
      </c>
      <c r="K57" s="2">
        <v>3.67</v>
      </c>
      <c r="L57" s="2">
        <v>5.58</v>
      </c>
      <c r="M57" s="2">
        <v>4.37</v>
      </c>
      <c r="N57" s="2">
        <v>2.81</v>
      </c>
      <c r="O57" s="2">
        <v>54.27</v>
      </c>
      <c r="P57" s="2">
        <v>1.95</v>
      </c>
      <c r="Q57" s="2">
        <v>1.52</v>
      </c>
      <c r="R57" s="2">
        <v>2.4300000000000002</v>
      </c>
      <c r="S57" s="2">
        <v>13.95</v>
      </c>
      <c r="T57" s="2">
        <v>2.75</v>
      </c>
      <c r="U57" s="2">
        <v>10.94</v>
      </c>
      <c r="V57" s="7">
        <v>131445</v>
      </c>
    </row>
    <row r="58" spans="1:22" x14ac:dyDescent="0.25">
      <c r="A58">
        <f t="shared" si="1"/>
        <v>1973</v>
      </c>
      <c r="B58" s="2">
        <v>24.82</v>
      </c>
      <c r="C58" s="2">
        <v>4.67</v>
      </c>
      <c r="D58" s="2">
        <v>99.92</v>
      </c>
      <c r="E58" s="2">
        <v>9.86</v>
      </c>
      <c r="F58" s="2">
        <v>22.34</v>
      </c>
      <c r="G58" s="2">
        <v>1.87</v>
      </c>
      <c r="H58" s="2">
        <v>9.0399999999999991</v>
      </c>
      <c r="I58" s="2">
        <v>4.43</v>
      </c>
      <c r="J58" s="2">
        <v>6.6</v>
      </c>
      <c r="K58" s="2">
        <v>3.77</v>
      </c>
      <c r="L58" s="2">
        <v>5.74</v>
      </c>
      <c r="M58" s="2">
        <v>4.4400000000000004</v>
      </c>
      <c r="N58" s="2">
        <v>2.9</v>
      </c>
      <c r="O58" s="2">
        <v>56.16</v>
      </c>
      <c r="P58" s="2">
        <v>2.0099999999999998</v>
      </c>
      <c r="Q58" s="2">
        <v>1.57</v>
      </c>
      <c r="R58" s="2">
        <v>2.5</v>
      </c>
      <c r="S58" s="2">
        <v>14.35</v>
      </c>
      <c r="T58" s="2">
        <v>2.76</v>
      </c>
      <c r="U58" s="2">
        <v>11.28</v>
      </c>
      <c r="V58" s="7">
        <v>132210</v>
      </c>
    </row>
    <row r="59" spans="1:22" x14ac:dyDescent="0.25">
      <c r="A59">
        <f t="shared" si="1"/>
        <v>1974</v>
      </c>
      <c r="B59" s="2">
        <v>25.22</v>
      </c>
      <c r="C59" s="2">
        <v>4.75</v>
      </c>
      <c r="D59" s="2">
        <v>102.4</v>
      </c>
      <c r="E59" s="2">
        <v>10.029999999999999</v>
      </c>
      <c r="F59" s="2">
        <v>22.98</v>
      </c>
      <c r="G59" s="2">
        <v>1.92</v>
      </c>
      <c r="H59" s="2">
        <v>9.19</v>
      </c>
      <c r="I59" s="2">
        <v>4.5599999999999996</v>
      </c>
      <c r="J59" s="2">
        <v>6.83</v>
      </c>
      <c r="K59" s="2">
        <v>3.89</v>
      </c>
      <c r="L59" s="2">
        <v>6.05</v>
      </c>
      <c r="M59" s="2">
        <v>4.51</v>
      </c>
      <c r="N59" s="2">
        <v>2.99</v>
      </c>
      <c r="O59" s="2">
        <v>58.12</v>
      </c>
      <c r="P59" s="2">
        <v>2.08</v>
      </c>
      <c r="Q59" s="2">
        <v>1.62</v>
      </c>
      <c r="R59" s="2">
        <v>2.57</v>
      </c>
      <c r="S59" s="2">
        <v>15.16</v>
      </c>
      <c r="T59" s="2">
        <v>2.77</v>
      </c>
      <c r="U59" s="2">
        <v>11.63</v>
      </c>
      <c r="V59" s="7">
        <v>132941</v>
      </c>
    </row>
    <row r="60" spans="1:22" x14ac:dyDescent="0.25">
      <c r="A60">
        <f t="shared" si="1"/>
        <v>1975</v>
      </c>
      <c r="B60" s="2">
        <v>26.05</v>
      </c>
      <c r="C60" s="2">
        <v>4.8899999999999997</v>
      </c>
      <c r="D60" s="2">
        <v>104.94</v>
      </c>
      <c r="E60" s="2">
        <v>10.199999999999999</v>
      </c>
      <c r="F60" s="2">
        <v>23.64</v>
      </c>
      <c r="G60" s="2">
        <v>1.96</v>
      </c>
      <c r="H60" s="2">
        <v>8.5500000000000007</v>
      </c>
      <c r="I60" s="2">
        <v>4.7</v>
      </c>
      <c r="J60" s="2">
        <v>7.03</v>
      </c>
      <c r="K60" s="2">
        <v>4.01</v>
      </c>
      <c r="L60" s="2">
        <v>6.24</v>
      </c>
      <c r="M60" s="2">
        <v>4.58</v>
      </c>
      <c r="N60" s="2">
        <v>3.09</v>
      </c>
      <c r="O60" s="2">
        <v>60.15</v>
      </c>
      <c r="P60" s="2">
        <v>2.16</v>
      </c>
      <c r="Q60" s="2">
        <v>1.68</v>
      </c>
      <c r="R60" s="2">
        <v>2.69</v>
      </c>
      <c r="S60" s="2">
        <v>15.47</v>
      </c>
      <c r="T60" s="2">
        <v>2.83</v>
      </c>
      <c r="U60" s="2">
        <v>12.67</v>
      </c>
      <c r="V60" s="7">
        <v>133775</v>
      </c>
    </row>
    <row r="61" spans="1:22" x14ac:dyDescent="0.25">
      <c r="A61">
        <f t="shared" si="1"/>
        <v>1976</v>
      </c>
      <c r="B61" s="2">
        <v>26.48</v>
      </c>
      <c r="C61" s="2">
        <v>5.03</v>
      </c>
      <c r="D61" s="2">
        <v>107.54</v>
      </c>
      <c r="E61" s="2">
        <v>10.37</v>
      </c>
      <c r="F61" s="2">
        <v>24.33</v>
      </c>
      <c r="G61" s="2">
        <v>2.0099999999999998</v>
      </c>
      <c r="H61" s="2">
        <v>9.43</v>
      </c>
      <c r="I61" s="2">
        <v>4.8899999999999997</v>
      </c>
      <c r="J61" s="2">
        <v>7.24</v>
      </c>
      <c r="K61" s="2">
        <v>4.12</v>
      </c>
      <c r="L61" s="2">
        <v>6.43</v>
      </c>
      <c r="M61" s="2">
        <v>4.67</v>
      </c>
      <c r="N61" s="2">
        <v>3.2</v>
      </c>
      <c r="O61" s="2">
        <v>61.98</v>
      </c>
      <c r="P61" s="2">
        <v>2.2400000000000002</v>
      </c>
      <c r="Q61" s="2">
        <v>1.72</v>
      </c>
      <c r="R61" s="2">
        <v>2.78</v>
      </c>
      <c r="S61" s="2">
        <v>15.57</v>
      </c>
      <c r="T61" s="2">
        <v>2.85</v>
      </c>
      <c r="U61" s="2">
        <v>13.12</v>
      </c>
      <c r="V61" s="7">
        <v>134690</v>
      </c>
    </row>
    <row r="62" spans="1:22" x14ac:dyDescent="0.25">
      <c r="A62">
        <f t="shared" si="1"/>
        <v>1977</v>
      </c>
      <c r="B62" s="2">
        <v>26.91</v>
      </c>
      <c r="C62" s="2">
        <v>5.16</v>
      </c>
      <c r="D62" s="2">
        <v>110.21</v>
      </c>
      <c r="E62" s="2">
        <v>10.66</v>
      </c>
      <c r="F62" s="2">
        <v>24.43</v>
      </c>
      <c r="G62" s="2">
        <v>2.0699999999999998</v>
      </c>
      <c r="H62" s="2">
        <v>9.5500000000000007</v>
      </c>
      <c r="I62" s="2">
        <v>5.03</v>
      </c>
      <c r="J62" s="2">
        <v>7.45</v>
      </c>
      <c r="K62" s="2">
        <v>4.26</v>
      </c>
      <c r="L62" s="2">
        <v>6.36</v>
      </c>
      <c r="M62" s="2">
        <v>4.75</v>
      </c>
      <c r="N62" s="2">
        <v>3.32</v>
      </c>
      <c r="O62" s="2">
        <v>63.81</v>
      </c>
      <c r="P62" s="2">
        <v>2.3199999999999998</v>
      </c>
      <c r="Q62" s="2">
        <v>1.79</v>
      </c>
      <c r="R62" s="2">
        <v>2.85</v>
      </c>
      <c r="S62" s="2">
        <v>15.99</v>
      </c>
      <c r="T62" s="2">
        <v>2.86</v>
      </c>
      <c r="U62" s="2">
        <v>13.59</v>
      </c>
      <c r="V62" s="7">
        <v>135645</v>
      </c>
    </row>
    <row r="63" spans="1:22" x14ac:dyDescent="0.25">
      <c r="A63">
        <f t="shared" si="1"/>
        <v>1978</v>
      </c>
      <c r="B63" s="2">
        <v>27.35</v>
      </c>
      <c r="C63" s="2">
        <v>5.3</v>
      </c>
      <c r="D63" s="2">
        <v>112.94</v>
      </c>
      <c r="E63" s="2">
        <v>10.82</v>
      </c>
      <c r="F63" s="2">
        <v>24.91</v>
      </c>
      <c r="G63" s="2">
        <v>2.12</v>
      </c>
      <c r="H63" s="2">
        <v>9.64</v>
      </c>
      <c r="I63" s="2">
        <v>5.17</v>
      </c>
      <c r="J63" s="2">
        <v>7.67</v>
      </c>
      <c r="K63" s="2">
        <v>4.3499999999999996</v>
      </c>
      <c r="L63" s="2">
        <v>6.54</v>
      </c>
      <c r="M63" s="2">
        <v>4.83</v>
      </c>
      <c r="N63" s="2">
        <v>3.44</v>
      </c>
      <c r="O63" s="2">
        <v>65.66</v>
      </c>
      <c r="P63" s="2">
        <v>2.41</v>
      </c>
      <c r="Q63" s="2">
        <v>1.84</v>
      </c>
      <c r="R63" s="2">
        <v>2.95</v>
      </c>
      <c r="S63" s="2">
        <v>16.41</v>
      </c>
      <c r="T63" s="2">
        <v>2.88</v>
      </c>
      <c r="U63" s="2">
        <v>14.07</v>
      </c>
      <c r="V63" s="7">
        <v>136596</v>
      </c>
    </row>
    <row r="64" spans="1:22" x14ac:dyDescent="0.25">
      <c r="A64">
        <f t="shared" si="1"/>
        <v>1979</v>
      </c>
      <c r="B64" s="2">
        <v>27.79</v>
      </c>
      <c r="C64" s="2">
        <v>5.45</v>
      </c>
      <c r="D64" s="2">
        <v>115.74</v>
      </c>
      <c r="E64" s="2">
        <v>10.98</v>
      </c>
      <c r="F64" s="2">
        <v>25.38</v>
      </c>
      <c r="G64" s="2">
        <v>2.17</v>
      </c>
      <c r="H64" s="2">
        <v>9.7200000000000006</v>
      </c>
      <c r="I64" s="2">
        <v>5.3</v>
      </c>
      <c r="J64" s="2">
        <v>7.89</v>
      </c>
      <c r="K64" s="2">
        <v>4.4400000000000004</v>
      </c>
      <c r="L64" s="2">
        <v>6.73</v>
      </c>
      <c r="M64" s="2">
        <v>4.92</v>
      </c>
      <c r="N64" s="2">
        <v>3.56</v>
      </c>
      <c r="O64" s="2">
        <v>67.52</v>
      </c>
      <c r="P64" s="2">
        <v>2.64</v>
      </c>
      <c r="Q64" s="2">
        <v>1.88</v>
      </c>
      <c r="R64" s="2">
        <v>3.05</v>
      </c>
      <c r="S64" s="2">
        <v>16.850000000000001</v>
      </c>
      <c r="T64" s="2">
        <v>2.89</v>
      </c>
      <c r="U64" s="2">
        <v>14.55</v>
      </c>
      <c r="V64" s="7">
        <v>137551</v>
      </c>
    </row>
    <row r="65" spans="1:22" x14ac:dyDescent="0.25">
      <c r="A65">
        <f t="shared" si="1"/>
        <v>1980</v>
      </c>
      <c r="B65" s="2">
        <v>28.24</v>
      </c>
      <c r="C65" s="2">
        <v>5.6</v>
      </c>
      <c r="D65" s="2">
        <v>121.29</v>
      </c>
      <c r="E65" s="2">
        <v>11.15</v>
      </c>
      <c r="F65" s="2">
        <v>25.89</v>
      </c>
      <c r="G65" s="2">
        <v>2.25</v>
      </c>
      <c r="H65" s="2">
        <v>9.7200000000000006</v>
      </c>
      <c r="I65" s="2">
        <v>5.44</v>
      </c>
      <c r="J65" s="2">
        <v>8.1199999999999992</v>
      </c>
      <c r="K65" s="2">
        <v>4.51</v>
      </c>
      <c r="L65" s="2">
        <v>6.92</v>
      </c>
      <c r="M65" s="2">
        <v>5.01</v>
      </c>
      <c r="N65" s="2">
        <v>3.69</v>
      </c>
      <c r="O65" s="2">
        <v>69.66</v>
      </c>
      <c r="P65" s="2">
        <v>2.73</v>
      </c>
      <c r="Q65" s="2">
        <v>1.96</v>
      </c>
      <c r="R65" s="2">
        <v>3.15</v>
      </c>
      <c r="S65" s="2">
        <v>17.3</v>
      </c>
      <c r="T65" s="2">
        <v>2.91</v>
      </c>
      <c r="U65" s="2">
        <v>15.02</v>
      </c>
      <c r="V65" s="7">
        <v>138291</v>
      </c>
    </row>
    <row r="66" spans="1:22" x14ac:dyDescent="0.25">
      <c r="A66">
        <f t="shared" si="1"/>
        <v>1981</v>
      </c>
      <c r="B66" s="2">
        <v>28.66</v>
      </c>
      <c r="C66" s="2">
        <v>5.76</v>
      </c>
      <c r="D66" s="2">
        <v>124.07</v>
      </c>
      <c r="E66" s="2">
        <v>11.33</v>
      </c>
      <c r="F66" s="2">
        <v>26.43</v>
      </c>
      <c r="G66" s="2">
        <v>2.27</v>
      </c>
      <c r="H66" s="2">
        <v>9.7200000000000006</v>
      </c>
      <c r="I66" s="2">
        <v>5.58</v>
      </c>
      <c r="J66" s="2">
        <v>8.36</v>
      </c>
      <c r="K66" s="2">
        <v>4.59</v>
      </c>
      <c r="L66" s="2">
        <v>7.11</v>
      </c>
      <c r="M66" s="2">
        <v>5.0999999999999996</v>
      </c>
      <c r="N66" s="2">
        <v>3.82</v>
      </c>
      <c r="O66" s="2">
        <v>71.349999999999994</v>
      </c>
      <c r="P66" s="2">
        <v>2.86</v>
      </c>
      <c r="Q66" s="2">
        <v>2</v>
      </c>
      <c r="R66" s="2">
        <v>3.25</v>
      </c>
      <c r="S66" s="2">
        <v>17.760000000000002</v>
      </c>
      <c r="T66" s="2">
        <v>2.93</v>
      </c>
      <c r="U66" s="2">
        <v>15.48</v>
      </c>
      <c r="V66" s="7">
        <v>139028</v>
      </c>
    </row>
    <row r="67" spans="1:22" x14ac:dyDescent="0.25">
      <c r="A67">
        <f t="shared" si="1"/>
        <v>1982</v>
      </c>
      <c r="B67" s="2">
        <v>29.09</v>
      </c>
      <c r="C67" s="2">
        <v>5.92</v>
      </c>
      <c r="D67" s="2">
        <v>126.9</v>
      </c>
      <c r="E67" s="2">
        <v>11.52</v>
      </c>
      <c r="F67" s="2">
        <v>26.97</v>
      </c>
      <c r="G67" s="2">
        <v>2.42</v>
      </c>
      <c r="H67" s="2">
        <v>9.8000000000000007</v>
      </c>
      <c r="I67" s="2">
        <v>5.98</v>
      </c>
      <c r="J67" s="2">
        <v>8.61</v>
      </c>
      <c r="K67" s="2">
        <v>4.66</v>
      </c>
      <c r="L67" s="2">
        <v>7.32</v>
      </c>
      <c r="M67" s="2">
        <v>5.56</v>
      </c>
      <c r="N67" s="2">
        <v>3.96</v>
      </c>
      <c r="O67" s="2">
        <v>73.02</v>
      </c>
      <c r="P67" s="2">
        <v>2.96</v>
      </c>
      <c r="Q67" s="2">
        <v>2.04</v>
      </c>
      <c r="R67" s="2">
        <v>3.36</v>
      </c>
      <c r="S67" s="2">
        <v>18.14</v>
      </c>
      <c r="T67" s="2">
        <v>2.95</v>
      </c>
      <c r="U67" s="2">
        <v>15.94</v>
      </c>
      <c r="V67" s="7">
        <v>139816</v>
      </c>
    </row>
    <row r="68" spans="1:22" x14ac:dyDescent="0.25">
      <c r="A68">
        <f t="shared" si="1"/>
        <v>1983</v>
      </c>
      <c r="B68" s="2">
        <v>29.51</v>
      </c>
      <c r="C68" s="2">
        <v>6.08</v>
      </c>
      <c r="D68" s="2">
        <v>129.77000000000001</v>
      </c>
      <c r="E68" s="2">
        <v>11.72</v>
      </c>
      <c r="F68" s="2">
        <v>27.5</v>
      </c>
      <c r="G68" s="2">
        <v>2.5</v>
      </c>
      <c r="H68" s="2">
        <v>9.9</v>
      </c>
      <c r="I68" s="2">
        <v>6.12</v>
      </c>
      <c r="J68" s="2">
        <v>8.86</v>
      </c>
      <c r="K68" s="2">
        <v>4.72</v>
      </c>
      <c r="L68" s="2">
        <v>7.52</v>
      </c>
      <c r="M68" s="2">
        <v>5.66</v>
      </c>
      <c r="N68" s="2">
        <v>4.09</v>
      </c>
      <c r="O68" s="2">
        <v>74.67</v>
      </c>
      <c r="P68" s="2">
        <v>3.06</v>
      </c>
      <c r="Q68" s="2">
        <v>2.09</v>
      </c>
      <c r="R68" s="2">
        <v>3.47</v>
      </c>
      <c r="S68" s="2">
        <v>18.57</v>
      </c>
      <c r="T68" s="2">
        <v>2.97</v>
      </c>
      <c r="U68" s="2">
        <v>16.39</v>
      </c>
      <c r="V68" s="7">
        <v>140766</v>
      </c>
    </row>
    <row r="69" spans="1:22" x14ac:dyDescent="0.25">
      <c r="A69">
        <f t="shared" si="1"/>
        <v>1984</v>
      </c>
      <c r="B69" s="2">
        <v>29.88</v>
      </c>
      <c r="C69" s="2">
        <v>5.78</v>
      </c>
      <c r="D69" s="2">
        <v>129.32</v>
      </c>
      <c r="E69" s="2">
        <v>11.92</v>
      </c>
      <c r="F69" s="2">
        <v>28.06</v>
      </c>
      <c r="G69" s="2">
        <v>2.57</v>
      </c>
      <c r="H69" s="2">
        <v>9.99</v>
      </c>
      <c r="I69" s="2">
        <v>6.27</v>
      </c>
      <c r="J69" s="2">
        <v>8.8699999999999992</v>
      </c>
      <c r="K69" s="2">
        <v>4.78</v>
      </c>
      <c r="L69" s="2">
        <v>7.74</v>
      </c>
      <c r="M69" s="2">
        <v>5.76</v>
      </c>
      <c r="N69" s="2">
        <v>4.2300000000000004</v>
      </c>
      <c r="O69" s="2">
        <v>76.31</v>
      </c>
      <c r="P69" s="2">
        <v>3.16</v>
      </c>
      <c r="Q69" s="2">
        <v>2.13</v>
      </c>
      <c r="R69" s="2">
        <v>3.58</v>
      </c>
      <c r="S69" s="2">
        <v>18.989999999999998</v>
      </c>
      <c r="T69" s="2">
        <v>2.99</v>
      </c>
      <c r="U69" s="2">
        <v>16.850000000000001</v>
      </c>
      <c r="V69" s="7">
        <v>141842</v>
      </c>
    </row>
    <row r="70" spans="1:22" x14ac:dyDescent="0.25">
      <c r="A70">
        <f t="shared" si="1"/>
        <v>1985</v>
      </c>
      <c r="B70" s="2">
        <v>30.32</v>
      </c>
      <c r="C70" s="2">
        <v>5.9</v>
      </c>
      <c r="D70" s="2">
        <v>131.97999999999999</v>
      </c>
      <c r="E70" s="2">
        <v>12.12</v>
      </c>
      <c r="F70" s="2">
        <v>29.48</v>
      </c>
      <c r="G70" s="2">
        <v>2.64</v>
      </c>
      <c r="H70" s="2">
        <v>10.1</v>
      </c>
      <c r="I70" s="2">
        <v>6.42</v>
      </c>
      <c r="J70" s="2">
        <v>9.1</v>
      </c>
      <c r="K70" s="2">
        <v>4.8600000000000003</v>
      </c>
      <c r="L70" s="2">
        <v>7.96</v>
      </c>
      <c r="M70" s="2">
        <v>5.87</v>
      </c>
      <c r="N70" s="2">
        <v>4.37</v>
      </c>
      <c r="O70" s="2">
        <v>77.94</v>
      </c>
      <c r="P70" s="2">
        <v>3.27</v>
      </c>
      <c r="Q70" s="2">
        <v>2.1800000000000002</v>
      </c>
      <c r="R70" s="2">
        <v>3.61</v>
      </c>
      <c r="S70" s="2">
        <v>19.420000000000002</v>
      </c>
      <c r="T70" s="2">
        <v>3.01</v>
      </c>
      <c r="U70" s="2">
        <v>17.32</v>
      </c>
      <c r="V70" s="7">
        <v>142823</v>
      </c>
    </row>
    <row r="71" spans="1:22" x14ac:dyDescent="0.25">
      <c r="A71">
        <f t="shared" si="1"/>
        <v>1986</v>
      </c>
      <c r="B71" s="2">
        <v>30.77</v>
      </c>
      <c r="C71" s="2">
        <v>6.02</v>
      </c>
      <c r="D71" s="2">
        <v>134.61000000000001</v>
      </c>
      <c r="E71" s="2">
        <v>12.33</v>
      </c>
      <c r="F71" s="2">
        <v>30.02</v>
      </c>
      <c r="G71" s="2">
        <v>2.72</v>
      </c>
      <c r="H71" s="2">
        <v>10.199999999999999</v>
      </c>
      <c r="I71" s="2">
        <v>6.57</v>
      </c>
      <c r="J71" s="2">
        <v>9.33</v>
      </c>
      <c r="K71" s="2">
        <v>4.95</v>
      </c>
      <c r="L71" s="2">
        <v>8.1999999999999993</v>
      </c>
      <c r="M71" s="2">
        <v>5.99</v>
      </c>
      <c r="N71" s="2">
        <v>4.51</v>
      </c>
      <c r="O71" s="2">
        <v>79.569999999999993</v>
      </c>
      <c r="P71" s="2">
        <v>3.38</v>
      </c>
      <c r="Q71" s="2">
        <v>2.23</v>
      </c>
      <c r="R71" s="2">
        <v>3.72</v>
      </c>
      <c r="S71" s="2">
        <v>19.84</v>
      </c>
      <c r="T71" s="2">
        <v>3.03</v>
      </c>
      <c r="U71" s="2">
        <v>17.53</v>
      </c>
      <c r="V71" s="7">
        <v>143835</v>
      </c>
    </row>
    <row r="72" spans="1:22" x14ac:dyDescent="0.25">
      <c r="A72">
        <f t="shared" si="1"/>
        <v>1987</v>
      </c>
      <c r="B72" s="2">
        <v>31.22</v>
      </c>
      <c r="C72" s="2">
        <v>6.16</v>
      </c>
      <c r="D72" s="2">
        <v>137.18</v>
      </c>
      <c r="E72" s="2">
        <v>12.54</v>
      </c>
      <c r="F72" s="2">
        <v>30.58</v>
      </c>
      <c r="G72" s="2">
        <v>2.78</v>
      </c>
      <c r="H72" s="2">
        <v>10.3</v>
      </c>
      <c r="I72" s="2">
        <v>6.72</v>
      </c>
      <c r="J72" s="2">
        <v>9.56</v>
      </c>
      <c r="K72" s="2">
        <v>5.05</v>
      </c>
      <c r="L72" s="2">
        <v>8.43</v>
      </c>
      <c r="M72" s="2">
        <v>6.11</v>
      </c>
      <c r="N72" s="2">
        <v>4.66</v>
      </c>
      <c r="O72" s="2">
        <v>81.2</v>
      </c>
      <c r="P72" s="2">
        <v>3.5</v>
      </c>
      <c r="Q72" s="2">
        <v>2.27</v>
      </c>
      <c r="R72" s="2">
        <v>3.84</v>
      </c>
      <c r="S72" s="2">
        <v>20.260000000000002</v>
      </c>
      <c r="T72" s="2">
        <v>3.04</v>
      </c>
      <c r="U72" s="2">
        <v>17.97</v>
      </c>
      <c r="V72" s="7">
        <v>145115</v>
      </c>
    </row>
    <row r="73" spans="1:22" x14ac:dyDescent="0.25">
      <c r="A73">
        <f t="shared" si="1"/>
        <v>1988</v>
      </c>
      <c r="B73" s="2">
        <v>31.64</v>
      </c>
      <c r="C73" s="2">
        <v>6.29</v>
      </c>
      <c r="D73" s="2">
        <v>139.82</v>
      </c>
      <c r="E73" s="2">
        <v>12.75</v>
      </c>
      <c r="F73" s="2">
        <v>31.14</v>
      </c>
      <c r="G73" s="2">
        <v>2.85</v>
      </c>
      <c r="H73" s="2">
        <v>10.41</v>
      </c>
      <c r="I73" s="2">
        <v>6.87</v>
      </c>
      <c r="J73" s="2">
        <v>9.7899999999999991</v>
      </c>
      <c r="K73" s="2">
        <v>5.09</v>
      </c>
      <c r="L73" s="2">
        <v>8.68</v>
      </c>
      <c r="M73" s="2">
        <v>6.24</v>
      </c>
      <c r="N73" s="2">
        <v>4.8</v>
      </c>
      <c r="O73" s="2">
        <v>82.72</v>
      </c>
      <c r="P73" s="2">
        <v>3.62</v>
      </c>
      <c r="Q73" s="2">
        <v>2.2999999999999998</v>
      </c>
      <c r="R73" s="2">
        <v>3.96</v>
      </c>
      <c r="S73" s="2">
        <v>20.68</v>
      </c>
      <c r="T73" s="2">
        <v>3.06</v>
      </c>
      <c r="U73" s="2">
        <v>18.16</v>
      </c>
      <c r="V73" s="7">
        <v>146343</v>
      </c>
    </row>
    <row r="74" spans="1:22" x14ac:dyDescent="0.25">
      <c r="A74">
        <f t="shared" si="1"/>
        <v>1989</v>
      </c>
      <c r="B74" s="2">
        <v>32.08</v>
      </c>
      <c r="C74" s="2">
        <v>6.43</v>
      </c>
      <c r="D74" s="2">
        <v>142.31</v>
      </c>
      <c r="E74" s="2">
        <v>12.96</v>
      </c>
      <c r="F74" s="2">
        <v>31.72</v>
      </c>
      <c r="G74" s="2">
        <v>2.92</v>
      </c>
      <c r="H74" s="2">
        <v>10.52</v>
      </c>
      <c r="I74" s="2">
        <v>7.02</v>
      </c>
      <c r="J74" s="2">
        <v>10.029999999999999</v>
      </c>
      <c r="K74" s="2">
        <v>5.19</v>
      </c>
      <c r="L74" s="2">
        <v>8.94</v>
      </c>
      <c r="M74" s="2">
        <v>6.36</v>
      </c>
      <c r="N74" s="2">
        <v>4.5999999999999996</v>
      </c>
      <c r="O74" s="2">
        <v>81.66</v>
      </c>
      <c r="P74" s="2">
        <v>3.75</v>
      </c>
      <c r="Q74" s="2">
        <v>2.35</v>
      </c>
      <c r="R74" s="2">
        <v>4.09</v>
      </c>
      <c r="S74" s="2">
        <v>21.11</v>
      </c>
      <c r="T74" s="2">
        <v>3.09</v>
      </c>
      <c r="U74" s="2">
        <v>18.87</v>
      </c>
      <c r="V74" s="7">
        <v>147021.9</v>
      </c>
    </row>
    <row r="75" spans="1:22" x14ac:dyDescent="0.25">
      <c r="A75">
        <f t="shared" si="1"/>
        <v>1990</v>
      </c>
      <c r="B75" s="2">
        <v>32.53</v>
      </c>
      <c r="C75" s="2">
        <v>6.57</v>
      </c>
      <c r="D75" s="2">
        <v>144.72</v>
      </c>
      <c r="E75" s="2">
        <v>13.1</v>
      </c>
      <c r="F75" s="2">
        <v>32.299999999999997</v>
      </c>
      <c r="G75" s="2">
        <v>2.81</v>
      </c>
      <c r="H75" s="2">
        <v>10.63</v>
      </c>
      <c r="I75" s="2">
        <v>7.17</v>
      </c>
      <c r="J75" s="2">
        <v>10.26</v>
      </c>
      <c r="K75" s="2">
        <v>5.1100000000000003</v>
      </c>
      <c r="L75" s="2">
        <v>9.1999999999999993</v>
      </c>
      <c r="M75" s="2">
        <v>6.49</v>
      </c>
      <c r="N75" s="2">
        <v>4.76</v>
      </c>
      <c r="O75" s="2">
        <v>83.23</v>
      </c>
      <c r="P75" s="2">
        <v>3.87</v>
      </c>
      <c r="Q75" s="2">
        <v>2.4</v>
      </c>
      <c r="R75" s="2">
        <v>4.22</v>
      </c>
      <c r="S75" s="2">
        <v>21.57</v>
      </c>
      <c r="T75" s="2">
        <v>3.11</v>
      </c>
      <c r="U75" s="2">
        <v>19.5</v>
      </c>
      <c r="V75" s="7">
        <v>147665.1</v>
      </c>
    </row>
    <row r="76" spans="1:22" x14ac:dyDescent="0.25">
      <c r="A76">
        <f t="shared" si="1"/>
        <v>1991</v>
      </c>
      <c r="B76" s="2">
        <v>32.97</v>
      </c>
      <c r="C76" s="2">
        <v>6.73</v>
      </c>
      <c r="D76" s="2">
        <v>147.07</v>
      </c>
      <c r="E76" s="2">
        <v>13.32</v>
      </c>
      <c r="F76" s="2">
        <v>32.840000000000003</v>
      </c>
      <c r="G76" s="2">
        <v>2.87</v>
      </c>
      <c r="H76" s="2">
        <v>10.74</v>
      </c>
      <c r="I76" s="2">
        <v>7.32</v>
      </c>
      <c r="J76" s="2">
        <v>10.5</v>
      </c>
      <c r="K76" s="2">
        <v>5.35</v>
      </c>
      <c r="L76" s="2">
        <v>9.4700000000000006</v>
      </c>
      <c r="M76" s="2">
        <v>6.63</v>
      </c>
      <c r="N76" s="2">
        <v>4.92</v>
      </c>
      <c r="O76" s="2">
        <v>84.8</v>
      </c>
      <c r="P76" s="2">
        <v>4</v>
      </c>
      <c r="Q76" s="2">
        <v>2.44</v>
      </c>
      <c r="R76" s="2">
        <v>4.33</v>
      </c>
      <c r="S76" s="2">
        <v>22</v>
      </c>
      <c r="T76" s="2">
        <v>3.13</v>
      </c>
      <c r="U76" s="2">
        <v>19.97</v>
      </c>
      <c r="V76" s="7">
        <v>148273.70000000001</v>
      </c>
    </row>
    <row r="77" spans="1:22" x14ac:dyDescent="0.25">
      <c r="A77">
        <f t="shared" si="1"/>
        <v>1992</v>
      </c>
      <c r="B77" s="2">
        <v>33.42</v>
      </c>
      <c r="C77" s="2">
        <v>6.9</v>
      </c>
      <c r="D77" s="2">
        <v>149.36000000000001</v>
      </c>
      <c r="E77" s="2">
        <v>13.55</v>
      </c>
      <c r="F77" s="2">
        <v>33.39</v>
      </c>
      <c r="G77" s="2">
        <v>2.94</v>
      </c>
      <c r="H77" s="2">
        <v>10.83</v>
      </c>
      <c r="I77" s="2">
        <v>7.47</v>
      </c>
      <c r="J77" s="2">
        <v>10.74</v>
      </c>
      <c r="K77" s="2">
        <v>5.48</v>
      </c>
      <c r="L77" s="2">
        <v>9.75</v>
      </c>
      <c r="M77" s="2">
        <v>6.76</v>
      </c>
      <c r="N77" s="2">
        <v>5.08</v>
      </c>
      <c r="O77" s="2">
        <v>86.39</v>
      </c>
      <c r="P77" s="2">
        <v>4.13</v>
      </c>
      <c r="Q77" s="2">
        <v>2.4900000000000002</v>
      </c>
      <c r="R77" s="2">
        <v>4.45</v>
      </c>
      <c r="S77" s="2">
        <v>22.45</v>
      </c>
      <c r="T77" s="2">
        <v>3.15</v>
      </c>
      <c r="U77" s="2">
        <v>20.440000000000001</v>
      </c>
      <c r="V77" s="7">
        <v>148514.70000000001</v>
      </c>
    </row>
    <row r="78" spans="1:22" x14ac:dyDescent="0.25">
      <c r="A78">
        <f t="shared" si="1"/>
        <v>1993</v>
      </c>
      <c r="B78" s="2">
        <v>33.869999999999997</v>
      </c>
      <c r="C78" s="2">
        <v>7.07</v>
      </c>
      <c r="D78" s="2">
        <v>151.57</v>
      </c>
      <c r="E78" s="2">
        <v>13.77</v>
      </c>
      <c r="F78" s="2">
        <v>33.950000000000003</v>
      </c>
      <c r="G78" s="2">
        <v>3.01</v>
      </c>
      <c r="H78" s="2">
        <v>10.9</v>
      </c>
      <c r="I78" s="2">
        <v>7.62</v>
      </c>
      <c r="J78" s="2">
        <v>10.98</v>
      </c>
      <c r="K78" s="2">
        <v>5.43</v>
      </c>
      <c r="L78" s="2">
        <v>10.029999999999999</v>
      </c>
      <c r="M78" s="2">
        <v>6.9</v>
      </c>
      <c r="N78" s="2">
        <v>5.25</v>
      </c>
      <c r="O78" s="2">
        <v>87.98</v>
      </c>
      <c r="P78" s="2">
        <v>4.2699999999999996</v>
      </c>
      <c r="Q78" s="2">
        <v>2.54</v>
      </c>
      <c r="R78" s="2">
        <v>4.58</v>
      </c>
      <c r="S78" s="2">
        <v>22.74</v>
      </c>
      <c r="T78" s="2">
        <v>3.17</v>
      </c>
      <c r="U78" s="2">
        <v>20.91</v>
      </c>
      <c r="V78" s="7">
        <v>148561.70000000001</v>
      </c>
    </row>
    <row r="79" spans="1:22" x14ac:dyDescent="0.25">
      <c r="A79">
        <f t="shared" si="1"/>
        <v>1994</v>
      </c>
      <c r="B79" s="2">
        <v>34.32</v>
      </c>
      <c r="C79" s="2">
        <v>7.24</v>
      </c>
      <c r="D79" s="2">
        <v>153.72999999999999</v>
      </c>
      <c r="E79" s="2">
        <v>13.99</v>
      </c>
      <c r="F79" s="2">
        <v>34.520000000000003</v>
      </c>
      <c r="G79" s="2">
        <v>3.27</v>
      </c>
      <c r="H79" s="2">
        <v>10.95</v>
      </c>
      <c r="I79" s="2">
        <v>7.77</v>
      </c>
      <c r="J79" s="2">
        <v>11.22</v>
      </c>
      <c r="K79" s="2">
        <v>5.55</v>
      </c>
      <c r="L79" s="2">
        <v>10.32</v>
      </c>
      <c r="M79" s="2">
        <v>7.04</v>
      </c>
      <c r="N79" s="2">
        <v>5.42</v>
      </c>
      <c r="O79" s="2">
        <v>89.56</v>
      </c>
      <c r="P79" s="2">
        <v>4.4000000000000004</v>
      </c>
      <c r="Q79" s="2">
        <v>2.58</v>
      </c>
      <c r="R79" s="2">
        <v>4.7</v>
      </c>
      <c r="S79" s="2">
        <v>23.13</v>
      </c>
      <c r="T79" s="2">
        <v>3.2</v>
      </c>
      <c r="U79" s="2">
        <v>21.38</v>
      </c>
      <c r="V79" s="7">
        <v>148355.9</v>
      </c>
    </row>
    <row r="80" spans="1:22" x14ac:dyDescent="0.25">
      <c r="A80">
        <f t="shared" si="1"/>
        <v>1995</v>
      </c>
      <c r="B80" s="2">
        <v>34.770000000000003</v>
      </c>
      <c r="C80" s="2">
        <v>7.41</v>
      </c>
      <c r="D80" s="2">
        <v>155.82</v>
      </c>
      <c r="E80" s="2">
        <v>14.21</v>
      </c>
      <c r="F80" s="2">
        <v>35.1</v>
      </c>
      <c r="G80" s="2">
        <v>3.33</v>
      </c>
      <c r="H80" s="2">
        <v>10.98</v>
      </c>
      <c r="I80" s="2">
        <v>7.92</v>
      </c>
      <c r="J80" s="2">
        <v>11.46</v>
      </c>
      <c r="K80" s="2">
        <v>5.67</v>
      </c>
      <c r="L80" s="2">
        <v>9.98</v>
      </c>
      <c r="M80" s="2">
        <v>7.18</v>
      </c>
      <c r="N80" s="2">
        <v>5.6</v>
      </c>
      <c r="O80" s="2">
        <v>90.49</v>
      </c>
      <c r="P80" s="2">
        <v>4.54</v>
      </c>
      <c r="Q80" s="2">
        <v>2.63</v>
      </c>
      <c r="R80" s="2">
        <v>4.83</v>
      </c>
      <c r="S80" s="2">
        <v>23.53</v>
      </c>
      <c r="T80" s="2">
        <v>3.22</v>
      </c>
      <c r="U80" s="2">
        <v>21.84</v>
      </c>
      <c r="V80" s="7">
        <v>148459.9</v>
      </c>
    </row>
    <row r="81" spans="1:22" x14ac:dyDescent="0.25">
      <c r="A81">
        <f t="shared" si="1"/>
        <v>1996</v>
      </c>
      <c r="B81" s="2">
        <v>35.22</v>
      </c>
      <c r="C81" s="2">
        <v>7.59</v>
      </c>
      <c r="D81" s="2">
        <v>157.87</v>
      </c>
      <c r="E81" s="2">
        <v>14.42</v>
      </c>
      <c r="F81" s="2">
        <v>35.630000000000003</v>
      </c>
      <c r="G81" s="2">
        <v>3.2</v>
      </c>
      <c r="H81" s="2">
        <v>11.02</v>
      </c>
      <c r="I81" s="2">
        <v>8.0500000000000007</v>
      </c>
      <c r="J81" s="2">
        <v>11.7</v>
      </c>
      <c r="K81" s="2">
        <v>5.79</v>
      </c>
      <c r="L81" s="2">
        <v>10.24</v>
      </c>
      <c r="M81" s="2">
        <v>7.34</v>
      </c>
      <c r="N81" s="2">
        <v>5.8</v>
      </c>
      <c r="O81" s="2">
        <v>92.72</v>
      </c>
      <c r="P81" s="2">
        <v>4.55</v>
      </c>
      <c r="Q81" s="2">
        <v>2.67</v>
      </c>
      <c r="R81" s="2">
        <v>4.96</v>
      </c>
      <c r="S81" s="2">
        <v>23.95</v>
      </c>
      <c r="T81" s="2">
        <v>3.24</v>
      </c>
      <c r="U81" s="2">
        <v>22.31</v>
      </c>
      <c r="V81" s="7">
        <v>148291.6</v>
      </c>
    </row>
    <row r="82" spans="1:22" x14ac:dyDescent="0.25">
      <c r="A82">
        <f t="shared" si="1"/>
        <v>1997</v>
      </c>
      <c r="B82" s="2">
        <v>35.67</v>
      </c>
      <c r="C82" s="2">
        <v>7.77</v>
      </c>
      <c r="D82" s="2">
        <v>159.54</v>
      </c>
      <c r="E82" s="2">
        <v>14.62</v>
      </c>
      <c r="F82" s="2">
        <v>36.159999999999997</v>
      </c>
      <c r="G82" s="2">
        <v>3.27</v>
      </c>
      <c r="H82" s="2">
        <v>11.06</v>
      </c>
      <c r="I82" s="2">
        <v>8.1</v>
      </c>
      <c r="J82" s="2">
        <v>11.94</v>
      </c>
      <c r="K82" s="2">
        <v>5.91</v>
      </c>
      <c r="L82" s="2">
        <v>10.52</v>
      </c>
      <c r="M82" s="2">
        <v>7.49</v>
      </c>
      <c r="N82" s="2">
        <v>5.98</v>
      </c>
      <c r="O82" s="2">
        <v>94.28</v>
      </c>
      <c r="P82" s="2">
        <v>4.7</v>
      </c>
      <c r="Q82" s="2">
        <v>2.72</v>
      </c>
      <c r="R82" s="2">
        <v>5.09</v>
      </c>
      <c r="S82" s="2">
        <v>24.37</v>
      </c>
      <c r="T82" s="2">
        <v>3.27</v>
      </c>
      <c r="U82" s="2">
        <v>22.78</v>
      </c>
      <c r="V82" s="7">
        <v>148028.6</v>
      </c>
    </row>
    <row r="83" spans="1:22" x14ac:dyDescent="0.25">
      <c r="A83">
        <f t="shared" si="1"/>
        <v>1998</v>
      </c>
      <c r="B83" s="2">
        <v>36.119999999999997</v>
      </c>
      <c r="C83" s="2">
        <v>7.95</v>
      </c>
      <c r="D83" s="2">
        <v>161.79</v>
      </c>
      <c r="E83" s="2">
        <v>14.82</v>
      </c>
      <c r="F83" s="2">
        <v>36.700000000000003</v>
      </c>
      <c r="G83" s="2">
        <v>3.34</v>
      </c>
      <c r="H83" s="2">
        <v>11.12</v>
      </c>
      <c r="I83" s="2">
        <v>8.1</v>
      </c>
      <c r="J83" s="2">
        <v>12.17</v>
      </c>
      <c r="K83" s="2">
        <v>6.03</v>
      </c>
      <c r="L83" s="2">
        <v>10.8</v>
      </c>
      <c r="M83" s="2">
        <v>7.65</v>
      </c>
      <c r="N83" s="2">
        <v>6.18</v>
      </c>
      <c r="O83" s="2">
        <v>95.83</v>
      </c>
      <c r="P83" s="2">
        <v>4.8099999999999996</v>
      </c>
      <c r="Q83" s="2">
        <v>2.76</v>
      </c>
      <c r="R83" s="2">
        <v>5.22</v>
      </c>
      <c r="S83" s="2">
        <v>24.8</v>
      </c>
      <c r="T83" s="2">
        <v>3.29</v>
      </c>
      <c r="U83" s="2">
        <v>23.24</v>
      </c>
      <c r="V83" s="7">
        <v>147802.1</v>
      </c>
    </row>
    <row r="84" spans="1:22" x14ac:dyDescent="0.25">
      <c r="A84">
        <f t="shared" si="1"/>
        <v>1999</v>
      </c>
      <c r="B84" s="2">
        <v>36.58</v>
      </c>
      <c r="C84" s="2">
        <v>8.14</v>
      </c>
      <c r="D84" s="2">
        <v>167.99</v>
      </c>
      <c r="E84" s="2">
        <v>15.02</v>
      </c>
      <c r="F84" s="2">
        <v>41.56</v>
      </c>
      <c r="G84" s="2">
        <v>3.93</v>
      </c>
      <c r="H84" s="2">
        <v>11.16</v>
      </c>
      <c r="I84" s="2">
        <v>8.36</v>
      </c>
      <c r="J84" s="2">
        <v>12.41</v>
      </c>
      <c r="K84" s="2">
        <v>6.15</v>
      </c>
      <c r="L84" s="2">
        <v>11.09</v>
      </c>
      <c r="M84" s="2">
        <v>8.09</v>
      </c>
      <c r="N84" s="2">
        <v>6.32</v>
      </c>
      <c r="O84" s="2">
        <v>97.36</v>
      </c>
      <c r="P84" s="2">
        <v>4.9400000000000004</v>
      </c>
      <c r="Q84" s="2">
        <v>2.81</v>
      </c>
      <c r="R84" s="2">
        <v>5.36</v>
      </c>
      <c r="S84" s="2">
        <v>25.23</v>
      </c>
      <c r="T84" s="2">
        <v>3.31</v>
      </c>
      <c r="U84" s="2">
        <v>23.71</v>
      </c>
      <c r="V84" s="7">
        <v>147539.4</v>
      </c>
    </row>
    <row r="85" spans="1:22" x14ac:dyDescent="0.25">
      <c r="A85">
        <f t="shared" si="1"/>
        <v>2000</v>
      </c>
      <c r="B85" s="2">
        <v>37.03</v>
      </c>
      <c r="C85" s="2">
        <v>8.33</v>
      </c>
      <c r="D85" s="2">
        <v>170.12</v>
      </c>
      <c r="E85" s="2">
        <v>15.21</v>
      </c>
      <c r="F85" s="2">
        <v>42.32</v>
      </c>
      <c r="G85" s="2">
        <v>4.0199999999999996</v>
      </c>
      <c r="H85" s="2">
        <v>11.2</v>
      </c>
      <c r="I85" s="2">
        <v>8.5</v>
      </c>
      <c r="J85" s="2">
        <v>12.65</v>
      </c>
      <c r="K85" s="2">
        <v>6.28</v>
      </c>
      <c r="L85" s="2">
        <v>11.38</v>
      </c>
      <c r="M85" s="2">
        <v>8.2200000000000006</v>
      </c>
      <c r="N85" s="2">
        <v>6.48</v>
      </c>
      <c r="O85" s="2">
        <v>98.88</v>
      </c>
      <c r="P85" s="2">
        <v>5.07</v>
      </c>
      <c r="Q85" s="2">
        <v>2.86</v>
      </c>
      <c r="R85" s="2">
        <v>5.5</v>
      </c>
      <c r="S85" s="2">
        <v>25.66</v>
      </c>
      <c r="T85" s="2">
        <v>3.34</v>
      </c>
      <c r="U85" s="2">
        <v>24.17</v>
      </c>
      <c r="V85" s="7">
        <v>146890.1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3D8E6-5AE4-4E88-B07F-9A809409663F}">
  <dimension ref="A1:V85"/>
  <sheetViews>
    <sheetView tabSelected="1" topLeftCell="A79" workbookViewId="0">
      <selection activeCell="AH104" sqref="AH104"/>
    </sheetView>
  </sheetViews>
  <sheetFormatPr defaultRowHeight="15" x14ac:dyDescent="0.25"/>
  <sheetData>
    <row r="1" spans="1:22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42</v>
      </c>
    </row>
    <row r="2" spans="1:22" x14ac:dyDescent="0.25">
      <c r="A2" s="9">
        <v>1917</v>
      </c>
      <c r="B2" s="2">
        <f>('вместе-абс'!B2 - 'вместе-абс'!B$2) / 'вместе-абс'!B$2</f>
        <v>0</v>
      </c>
      <c r="C2" s="2">
        <f>('вместе-абс'!C2 - 'вместе-абс'!C$2) / 'вместе-абс'!C$2</f>
        <v>0</v>
      </c>
      <c r="D2" s="2">
        <f>('вместе-абс'!D2 - 'вместе-абс'!D$2) / 'вместе-абс'!D$2</f>
        <v>0</v>
      </c>
      <c r="E2" s="2">
        <f>('вместе-абс'!E2 - 'вместе-абс'!E$2) / 'вместе-абс'!E$2</f>
        <v>0</v>
      </c>
      <c r="F2" s="2">
        <f>('вместе-абс'!F2 - 'вместе-абс'!F$2) / 'вместе-абс'!F$2</f>
        <v>0</v>
      </c>
      <c r="G2" s="2">
        <f>('вместе-абс'!G2 - 'вместе-абс'!G$2) / 'вместе-абс'!G$2</f>
        <v>0</v>
      </c>
      <c r="H2" s="2">
        <f>('вместе-абс'!H2 - 'вместе-абс'!H$2) / 'вместе-абс'!H$2</f>
        <v>0</v>
      </c>
      <c r="I2" s="2">
        <f>('вместе-абс'!I2 - 'вместе-абс'!I$2) / 'вместе-абс'!I$2</f>
        <v>0</v>
      </c>
      <c r="J2" s="2">
        <f>('вместе-абс'!J2 - 'вместе-абс'!J$2) / 'вместе-абс'!J$2</f>
        <v>0</v>
      </c>
      <c r="K2" s="2">
        <f>('вместе-абс'!K2 - 'вместе-абс'!K$2) / 'вместе-абс'!K$2</f>
        <v>0</v>
      </c>
      <c r="L2" s="2">
        <f>('вместе-абс'!L2 - 'вместе-абс'!L$2) / 'вместе-абс'!L$2</f>
        <v>0</v>
      </c>
      <c r="M2" s="2">
        <f>('вместе-абс'!M2 - 'вместе-абс'!M$2) / 'вместе-абс'!M$2</f>
        <v>0</v>
      </c>
      <c r="N2" s="2">
        <f>('вместе-абс'!N2 - 'вместе-абс'!N$2) / 'вместе-абс'!N$2</f>
        <v>0</v>
      </c>
      <c r="O2" s="2">
        <f>('вместе-абс'!O2 - 'вместе-абс'!O$2) / 'вместе-абс'!O$2</f>
        <v>0</v>
      </c>
      <c r="P2" s="2">
        <f>('вместе-абс'!P2 - 'вместе-абс'!P$2) / 'вместе-абс'!P$2</f>
        <v>0</v>
      </c>
      <c r="Q2" s="2">
        <f>('вместе-абс'!Q2 - 'вместе-абс'!Q$2) / 'вместе-абс'!Q$2</f>
        <v>0</v>
      </c>
      <c r="R2" s="2">
        <f>('вместе-абс'!R2 - 'вместе-абс'!R$2) / 'вместе-абс'!R$2</f>
        <v>0</v>
      </c>
      <c r="S2" s="2">
        <f>('вместе-абс'!S2 - 'вместе-абс'!S$2) / 'вместе-абс'!S$2</f>
        <v>0</v>
      </c>
      <c r="T2" s="2">
        <f>('вместе-абс'!T2 - 'вместе-абс'!T$2) / 'вместе-абс'!T$2</f>
        <v>0</v>
      </c>
      <c r="U2" s="2">
        <f>('вместе-абс'!U2 - 'вместе-абс'!U$2) / 'вместе-абс'!U$2</f>
        <v>0</v>
      </c>
      <c r="V2" s="2">
        <f>('вместе-абс'!V2 - 'вместе-абс'!V$2) / 'вместе-абс'!V$2</f>
        <v>0</v>
      </c>
    </row>
    <row r="3" spans="1:22" x14ac:dyDescent="0.25">
      <c r="A3" s="9">
        <f t="shared" ref="A3:A35" si="0">A2+1</f>
        <v>1918</v>
      </c>
      <c r="B3" s="2">
        <f>('вместе-абс'!B3 - 'вместе-абс'!B$2) / 'вместе-абс'!B$2</f>
        <v>1.775147928994087E-2</v>
      </c>
      <c r="C3" s="2">
        <f>('вместе-абс'!C3 - 'вместе-абс'!C$2) / 'вместе-абс'!C$2</f>
        <v>9.6153846153846229E-3</v>
      </c>
      <c r="D3" s="2">
        <f>('вместе-абс'!D3 - 'вместе-абс'!D$2) / 'вместе-абс'!D$2</f>
        <v>2.1375825884181916E-2</v>
      </c>
      <c r="E3" s="2">
        <f>('вместе-абс'!E3 - 'вместе-абс'!E$2) / 'вместе-абс'!E$2</f>
        <v>1.3736263736263687E-2</v>
      </c>
      <c r="F3" s="2">
        <f>('вместе-абс'!F3 - 'вместе-абс'!F$2) / 'вместе-абс'!F$2</f>
        <v>2.4475524475524577E-2</v>
      </c>
      <c r="G3" s="2">
        <f>('вместе-абс'!G3 - 'вместе-абс'!G$2) / 'вместе-абс'!G$2</f>
        <v>2.4999999999999883E-2</v>
      </c>
      <c r="H3" s="2">
        <f>('вместе-абс'!H3 - 'вместе-абс'!H$2) / 'вместе-абс'!H$2</f>
        <v>2.9090909090909115E-2</v>
      </c>
      <c r="I3" s="2">
        <f>('вместе-абс'!I3 - 'вместе-абс'!I$2) / 'вместе-абс'!I$2</f>
        <v>1.1904761904761916E-2</v>
      </c>
      <c r="J3" s="2">
        <f>('вместе-абс'!J3 - 'вместе-абс'!J$2) / 'вместе-абс'!J$2</f>
        <v>6.6225165562913968E-3</v>
      </c>
      <c r="K3" s="2">
        <f>('вместе-абс'!K3 - 'вместе-абс'!K$2) / 'вместе-абс'!K$2</f>
        <v>1.8018018018017834E-2</v>
      </c>
      <c r="L3" s="2">
        <f>('вместе-абс'!L3 - 'вместе-абс'!L$2) / 'вместе-абс'!L$2</f>
        <v>8.1300813008130159E-3</v>
      </c>
      <c r="M3" s="2">
        <f>('вместе-абс'!M3 - 'вместе-абс'!M$2) / 'вместе-абс'!M$2</f>
        <v>2.512562814070354E-2</v>
      </c>
      <c r="N3" s="2">
        <f>('вместе-абс'!N3 - 'вместе-абс'!N$2) / 'вместе-абс'!N$2</f>
        <v>4.7619047619047658E-2</v>
      </c>
      <c r="O3" s="2">
        <f>('вместе-абс'!O3 - 'вместе-абс'!O$2) / 'вместе-абс'!O$2</f>
        <v>7.1942446043165211E-3</v>
      </c>
      <c r="P3" s="2">
        <f>('вместе-абс'!P3 - 'вместе-абс'!P$2) / 'вместе-абс'!P$2</f>
        <v>1.6393442622950834E-2</v>
      </c>
      <c r="Q3" s="2">
        <f>('вместе-абс'!Q3 - 'вместе-абс'!Q$2) / 'вместе-абс'!Q$2</f>
        <v>4.8780487804878092E-2</v>
      </c>
      <c r="R3" s="2">
        <f>('вместе-абс'!R3 - 'вместе-абс'!R$2) / 'вместе-абс'!R$2</f>
        <v>1.4705882352941025E-2</v>
      </c>
      <c r="S3" s="2">
        <f>('вместе-абс'!S3 - 'вместе-абс'!S$2) / 'вместе-абс'!S$2</f>
        <v>1.7429193899782151E-2</v>
      </c>
      <c r="T3" s="2">
        <f>('вместе-абс'!T3 - 'вместе-абс'!T$2) / 'вместе-абс'!T$2</f>
        <v>1.4184397163120581E-2</v>
      </c>
      <c r="U3" s="2">
        <f>('вместе-абс'!U3 - 'вместе-абс'!U$2) / 'вместе-абс'!U$2</f>
        <v>7.2727272727272788E-3</v>
      </c>
      <c r="V3" s="2">
        <f>('вместе-абс'!V3 - 'вместе-абс'!V$2) / 'вместе-абс'!V$2</f>
        <v>-1.0186813186813188E-2</v>
      </c>
    </row>
    <row r="4" spans="1:22" x14ac:dyDescent="0.25">
      <c r="A4" s="9">
        <f t="shared" si="0"/>
        <v>1919</v>
      </c>
      <c r="B4" s="2">
        <f>('вместе-абс'!B4 - 'вместе-абс'!B$2) / 'вместе-абс'!B$2</f>
        <v>3.5502958579881741E-2</v>
      </c>
      <c r="C4" s="2">
        <f>('вместе-абс'!C4 - 'вместе-абс'!C$2) / 'вместе-абс'!C$2</f>
        <v>1.9230769230769246E-2</v>
      </c>
      <c r="D4" s="2">
        <f>('вместе-абс'!D4 - 'вместе-абс'!D$2) / 'вместе-абс'!D$2</f>
        <v>4.3140303148076153E-2</v>
      </c>
      <c r="E4" s="2">
        <f>('вместе-абс'!E4 - 'вместе-абс'!E$2) / 'вместе-абс'!E$2</f>
        <v>2.7472527472527496E-2</v>
      </c>
      <c r="F4" s="2">
        <f>('вместе-абс'!F4 - 'вместе-абс'!F$2) / 'вместе-абс'!F$2</f>
        <v>5.4195804195804283E-2</v>
      </c>
      <c r="G4" s="2">
        <f>('вместе-абс'!G4 - 'вместе-абс'!G$2) / 'вместе-абс'!G$2</f>
        <v>4.9999999999999906E-2</v>
      </c>
      <c r="H4" s="2">
        <f>('вместе-абс'!H4 - 'вместе-абс'!H$2) / 'вместе-абс'!H$2</f>
        <v>5.818181818181823E-2</v>
      </c>
      <c r="I4" s="2">
        <f>('вместе-абс'!I4 - 'вместе-абс'!I$2) / 'вместе-абс'!I$2</f>
        <v>3.5714285714285747E-2</v>
      </c>
      <c r="J4" s="2">
        <f>('вместе-абс'!J4 - 'вместе-абс'!J$2) / 'вместе-абс'!J$2</f>
        <v>1.3245033112582794E-2</v>
      </c>
      <c r="K4" s="2">
        <f>('вместе-абс'!K4 - 'вместе-абс'!K$2) / 'вместе-абс'!K$2</f>
        <v>3.6036036036035862E-2</v>
      </c>
      <c r="L4" s="2">
        <f>('вместе-абс'!L4 - 'вместе-абс'!L$2) / 'вместе-абс'!L$2</f>
        <v>2.4390243902439046E-2</v>
      </c>
      <c r="M4" s="2">
        <f>('вместе-абс'!M4 - 'вместе-абс'!M$2) / 'вместе-абс'!M$2</f>
        <v>4.5226130653266375E-2</v>
      </c>
      <c r="N4" s="2">
        <f>('вместе-абс'!N4 - 'вместе-абс'!N$2) / 'вместе-абс'!N$2</f>
        <v>9.523809523809515E-2</v>
      </c>
      <c r="O4" s="2">
        <f>('вместе-абс'!O4 - 'вместе-абс'!O$2) / 'вместе-абс'!O$2</f>
        <v>1.7985611510791366E-2</v>
      </c>
      <c r="P4" s="2">
        <f>('вместе-абс'!P4 - 'вместе-абс'!P$2) / 'вместе-абс'!P$2</f>
        <v>3.2786885245901669E-2</v>
      </c>
      <c r="Q4" s="2">
        <f>('вместе-абс'!Q4 - 'вместе-абс'!Q$2) / 'вместе-абс'!Q$2</f>
        <v>7.3170731707317138E-2</v>
      </c>
      <c r="R4" s="2">
        <f>('вместе-абс'!R4 - 'вместе-абс'!R$2) / 'вместе-абс'!R$2</f>
        <v>1.4705882352941025E-2</v>
      </c>
      <c r="S4" s="2">
        <f>('вместе-абс'!S4 - 'вместе-абс'!S$2) / 'вместе-абс'!S$2</f>
        <v>3.4858387799564301E-2</v>
      </c>
      <c r="T4" s="2">
        <f>('вместе-абс'!T4 - 'вместе-абс'!T$2) / 'вместе-абс'!T$2</f>
        <v>3.5460992907801449E-2</v>
      </c>
      <c r="U4" s="2">
        <f>('вместе-абс'!U4 - 'вместе-абс'!U$2) / 'вместе-абс'!U$2</f>
        <v>1.4545454545454558E-2</v>
      </c>
      <c r="V4" s="2">
        <f>('вместе-абс'!V4 - 'вместе-абс'!V$2) / 'вместе-абс'!V$2</f>
        <v>-2.0274725274725274E-2</v>
      </c>
    </row>
    <row r="5" spans="1:22" x14ac:dyDescent="0.25">
      <c r="A5" s="9">
        <f t="shared" si="0"/>
        <v>1920</v>
      </c>
      <c r="B5" s="2">
        <f>('вместе-абс'!B5 - 'вместе-абс'!B$2) / 'вместе-абс'!B$2</f>
        <v>6.1538461538461701E-2</v>
      </c>
      <c r="C5" s="2">
        <f>('вместе-абс'!C5 - 'вместе-абс'!C$2) / 'вместе-абс'!C$2</f>
        <v>2.8846153846153872E-2</v>
      </c>
      <c r="D5" s="2">
        <f>('вместе-абс'!D5 - 'вместе-абс'!D$2) / 'вместе-абс'!D$2</f>
        <v>6.4904780411970384E-2</v>
      </c>
      <c r="E5" s="2">
        <f>('вместе-абс'!E5 - 'вместе-абс'!E$2) / 'вместе-абс'!E$2</f>
        <v>4.120879120879118E-2</v>
      </c>
      <c r="F5" s="2">
        <f>('вместе-абс'!F5 - 'вместе-абс'!F$2) / 'вместе-абс'!F$2</f>
        <v>6.4685314685314702E-2</v>
      </c>
      <c r="G5" s="2">
        <f>('вместе-абс'!G5 - 'вместе-абс'!G$2) / 'вместе-абс'!G$2</f>
        <v>4.9999999999999906E-2</v>
      </c>
      <c r="H5" s="2">
        <f>('вместе-абс'!H5 - 'вместе-абс'!H$2) / 'вместе-абс'!H$2</f>
        <v>9.0909090909090912E-2</v>
      </c>
      <c r="I5" s="2">
        <f>('вместе-абс'!I5 - 'вместе-абс'!I$2) / 'вместе-абс'!I$2</f>
        <v>4.7619047619047665E-2</v>
      </c>
      <c r="J5" s="2">
        <f>('вместе-абс'!J5 - 'вместе-абс'!J$2) / 'вместе-абс'!J$2</f>
        <v>1.986754966887419E-2</v>
      </c>
      <c r="K5" s="2">
        <f>('вместе-абс'!K5 - 'вместе-абс'!K$2) / 'вместе-абс'!K$2</f>
        <v>5.4054054054053897E-2</v>
      </c>
      <c r="L5" s="2">
        <f>('вместе-абс'!L5 - 'вместе-абс'!L$2) / 'вместе-абс'!L$2</f>
        <v>3.2520325203252064E-2</v>
      </c>
      <c r="M5" s="2">
        <f>('вместе-абс'!M5 - 'вместе-абс'!M$2) / 'вместе-абс'!M$2</f>
        <v>6.5326633165829207E-2</v>
      </c>
      <c r="N5" s="2">
        <f>('вместе-абс'!N5 - 'вместе-абс'!N$2) / 'вместе-абс'!N$2</f>
        <v>0.14285714285714279</v>
      </c>
      <c r="O5" s="2">
        <f>('вместе-абс'!O5 - 'вместе-абс'!O$2) / 'вместе-абс'!O$2</f>
        <v>1.7985611510791366E-2</v>
      </c>
      <c r="P5" s="2">
        <f>('вместе-абс'!P5 - 'вместе-абс'!P$2) / 'вместе-абс'!P$2</f>
        <v>4.9180327868852507E-2</v>
      </c>
      <c r="Q5" s="2">
        <f>('вместе-абс'!Q5 - 'вместе-абс'!Q$2) / 'вместе-абс'!Q$2</f>
        <v>9.7560975609756184E-2</v>
      </c>
      <c r="R5" s="2">
        <f>('вместе-абс'!R5 - 'вместе-абс'!R$2) / 'вместе-абс'!R$2</f>
        <v>2.9411764705882214E-2</v>
      </c>
      <c r="S5" s="2">
        <f>('вместе-абс'!S5 - 'вместе-абс'!S$2) / 'вместе-абс'!S$2</f>
        <v>5.2287581699346455E-2</v>
      </c>
      <c r="T5" s="2">
        <f>('вместе-абс'!T5 - 'вместе-абс'!T$2) / 'вместе-абс'!T$2</f>
        <v>4.964539007092203E-2</v>
      </c>
      <c r="U5" s="2">
        <f>('вместе-абс'!U5 - 'вместе-абс'!U$2) / 'вместе-абс'!U$2</f>
        <v>2.5454545454545396E-2</v>
      </c>
      <c r="V5" s="2">
        <f>('вместе-абс'!V5 - 'вместе-абс'!V$2) / 'вместе-абс'!V$2</f>
        <v>-3.0252747252747254E-2</v>
      </c>
    </row>
    <row r="6" spans="1:22" x14ac:dyDescent="0.25">
      <c r="A6" s="9">
        <f t="shared" si="0"/>
        <v>1921</v>
      </c>
      <c r="B6" s="2">
        <f>('вместе-абс'!B6 - 'вместе-абс'!B$2) / 'вместе-абс'!B$2</f>
        <v>9.1124260355029754E-2</v>
      </c>
      <c r="C6" s="2">
        <f>('вместе-абс'!C6 - 'вместе-абс'!C$2) / 'вместе-абс'!C$2</f>
        <v>3.8461538461538491E-2</v>
      </c>
      <c r="D6" s="2">
        <f>('вместе-абс'!D6 - 'вместе-абс'!D$2) / 'вместе-абс'!D$2</f>
        <v>8.7057909055577087E-2</v>
      </c>
      <c r="E6" s="2">
        <f>('вместе-абс'!E6 - 'вместе-абс'!E$2) / 'вместе-абс'!E$2</f>
        <v>5.7692307692307682E-2</v>
      </c>
      <c r="F6" s="2">
        <f>('вместе-абс'!F6 - 'вместе-абс'!F$2) / 'вместе-абс'!F$2</f>
        <v>8.5664335664335706E-2</v>
      </c>
      <c r="G6" s="2">
        <f>('вместе-абс'!G6 - 'вместе-абс'!G$2) / 'вместе-абс'!G$2</f>
        <v>7.4999999999999928E-2</v>
      </c>
      <c r="H6" s="2">
        <f>('вместе-абс'!H6 - 'вместе-абс'!H$2) / 'вместе-абс'!H$2</f>
        <v>0.12000000000000002</v>
      </c>
      <c r="I6" s="2">
        <f>('вместе-абс'!I6 - 'вместе-абс'!I$2) / 'вместе-абс'!I$2</f>
        <v>8.3333333333333412E-2</v>
      </c>
      <c r="J6" s="2">
        <f>('вместе-абс'!J6 - 'вместе-абс'!J$2) / 'вместе-абс'!J$2</f>
        <v>3.9735099337748381E-2</v>
      </c>
      <c r="K6" s="2">
        <f>('вместе-абс'!K6 - 'вместе-абс'!K$2) / 'вместе-абс'!K$2</f>
        <v>7.2072072072071933E-2</v>
      </c>
      <c r="L6" s="2">
        <f>('вместе-абс'!L6 - 'вместе-абс'!L$2) / 'вместе-абс'!L$2</f>
        <v>7.3170731707317138E-2</v>
      </c>
      <c r="M6" s="2">
        <f>('вместе-абс'!M6 - 'вместе-абс'!M$2) / 'вместе-абс'!M$2</f>
        <v>8.0402010050251216E-2</v>
      </c>
      <c r="N6" s="2">
        <f>('вместе-абс'!N6 - 'вместе-абс'!N$2) / 'вместе-абс'!N$2</f>
        <v>0.17460317460317459</v>
      </c>
      <c r="O6" s="2">
        <f>('вместе-абс'!O6 - 'вместе-абс'!O$2) / 'вместе-абс'!O$2</f>
        <v>3.1654676258992771E-2</v>
      </c>
      <c r="P6" s="2">
        <f>('вместе-абс'!P6 - 'вместе-абс'!P$2) / 'вместе-абс'!P$2</f>
        <v>4.9180327868852507E-2</v>
      </c>
      <c r="Q6" s="2">
        <f>('вместе-абс'!Q6 - 'вместе-абс'!Q$2) / 'вместе-абс'!Q$2</f>
        <v>9.7560975609756184E-2</v>
      </c>
      <c r="R6" s="2">
        <f>('вместе-абс'!R6 - 'вместе-абс'!R$2) / 'вместе-абс'!R$2</f>
        <v>5.8823529411764594E-2</v>
      </c>
      <c r="S6" s="2">
        <f>('вместе-абс'!S6 - 'вместе-абс'!S$2) / 'вместе-абс'!S$2</f>
        <v>6.9716775599128603E-2</v>
      </c>
      <c r="T6" s="2">
        <f>('вместе-абс'!T6 - 'вместе-абс'!T$2) / 'вместе-абс'!T$2</f>
        <v>6.3829787234042618E-2</v>
      </c>
      <c r="U6" s="2">
        <f>('вместе-абс'!U6 - 'вместе-абс'!U$2) / 'вместе-абс'!U$2</f>
        <v>3.2727272727272674E-2</v>
      </c>
      <c r="V6" s="2">
        <f>('вместе-абс'!V6 - 'вместе-абс'!V$2) / 'вместе-абс'!V$2</f>
        <v>-3.2054945054945057E-2</v>
      </c>
    </row>
    <row r="7" spans="1:22" x14ac:dyDescent="0.25">
      <c r="A7" s="9">
        <f t="shared" si="0"/>
        <v>1922</v>
      </c>
      <c r="B7" s="2">
        <f>('вместе-абс'!B7 - 'вместе-абс'!B$2) / 'вместе-абс'!B$2</f>
        <v>0.12662721893491127</v>
      </c>
      <c r="C7" s="2">
        <f>('вместе-абс'!C7 - 'вместе-абс'!C$2) / 'вместе-абс'!C$2</f>
        <v>5.2884615384615322E-2</v>
      </c>
      <c r="D7" s="2">
        <f>('вместе-абс'!D7 - 'вместе-абс'!D$2) / 'вместе-абс'!D$2</f>
        <v>0.10921103769918378</v>
      </c>
      <c r="E7" s="2">
        <f>('вместе-абс'!E7 - 'вместе-абс'!E$2) / 'вместе-абс'!E$2</f>
        <v>7.4175824175824176E-2</v>
      </c>
      <c r="F7" s="2">
        <f>('вместе-абс'!F7 - 'вместе-абс'!F$2) / 'вместе-абс'!F$2</f>
        <v>0.1136363636363637</v>
      </c>
      <c r="G7" s="2">
        <f>('вместе-абс'!G7 - 'вместе-абс'!G$2) / 'вместе-абс'!G$2</f>
        <v>7.4999999999999928E-2</v>
      </c>
      <c r="H7" s="2">
        <f>('вместе-абс'!H7 - 'вместе-абс'!H$2) / 'вместе-абс'!H$2</f>
        <v>0.15272727272727271</v>
      </c>
      <c r="I7" s="2">
        <f>('вместе-абс'!I7 - 'вместе-абс'!I$2) / 'вместе-абс'!I$2</f>
        <v>0.13095238095238093</v>
      </c>
      <c r="J7" s="2">
        <f>('вместе-абс'!J7 - 'вместе-абс'!J$2) / 'вместе-абс'!J$2</f>
        <v>6.6225165562913968E-2</v>
      </c>
      <c r="K7" s="2">
        <f>('вместе-абс'!K7 - 'вместе-абс'!K$2) / 'вместе-абс'!K$2</f>
        <v>9.9099099099098975E-2</v>
      </c>
      <c r="L7" s="2">
        <f>('вместе-абс'!L7 - 'вместе-абс'!L$2) / 'вместе-абс'!L$2</f>
        <v>0.11382113821138222</v>
      </c>
      <c r="M7" s="2">
        <f>('вместе-абс'!M7 - 'вместе-абс'!M$2) / 'вместе-абс'!M$2</f>
        <v>9.5477386934673447E-2</v>
      </c>
      <c r="N7" s="2">
        <f>('вместе-абс'!N7 - 'вместе-абс'!N$2) / 'вместе-абс'!N$2</f>
        <v>0.22222222222222224</v>
      </c>
      <c r="O7" s="2">
        <f>('вместе-абс'!O7 - 'вместе-абс'!O$2) / 'вместе-абс'!O$2</f>
        <v>3.8848920863309287E-2</v>
      </c>
      <c r="P7" s="2">
        <f>('вместе-абс'!P7 - 'вместе-абс'!P$2) / 'вместе-абс'!P$2</f>
        <v>6.5573770491803338E-2</v>
      </c>
      <c r="Q7" s="2">
        <f>('вместе-абс'!Q7 - 'вместе-абс'!Q$2) / 'вместе-абс'!Q$2</f>
        <v>9.7560975609756184E-2</v>
      </c>
      <c r="R7" s="2">
        <f>('вместе-абс'!R7 - 'вместе-абс'!R$2) / 'вместе-абс'!R$2</f>
        <v>7.3529411764705774E-2</v>
      </c>
      <c r="S7" s="2">
        <f>('вместе-абс'!S7 - 'вместе-абс'!S$2) / 'вместе-абс'!S$2</f>
        <v>8.714596949891075E-2</v>
      </c>
      <c r="T7" s="2">
        <f>('вместе-абс'!T7 - 'вместе-абс'!T$2) / 'вместе-абс'!T$2</f>
        <v>7.8014184397163192E-2</v>
      </c>
      <c r="U7" s="2">
        <f>('вместе-абс'!U7 - 'вместе-абс'!U$2) / 'вместе-абс'!U$2</f>
        <v>4.3636363636363674E-2</v>
      </c>
      <c r="V7" s="2">
        <f>('вместе-абс'!V7 - 'вместе-абс'!V$2) / 'вместе-абс'!V$2</f>
        <v>-3.3857142857142856E-2</v>
      </c>
    </row>
    <row r="8" spans="1:22" x14ac:dyDescent="0.25">
      <c r="A8" s="9">
        <f t="shared" si="0"/>
        <v>1923</v>
      </c>
      <c r="B8" s="2">
        <f>('вместе-абс'!B8 - 'вместе-абс'!B$2) / 'вместе-абс'!B$2</f>
        <v>0.17041420118343212</v>
      </c>
      <c r="C8" s="2">
        <f>('вместе-абс'!C8 - 'вместе-абс'!C$2) / 'вместе-абс'!C$2</f>
        <v>6.2499999999999944E-2</v>
      </c>
      <c r="D8" s="2">
        <f>('вместе-абс'!D8 - 'вместе-абс'!D$2) / 'вместе-абс'!D$2</f>
        <v>0.13214146910221525</v>
      </c>
      <c r="E8" s="2">
        <f>('вместе-абс'!E8 - 'вместе-абс'!E$2) / 'вместе-абс'!E$2</f>
        <v>8.7912087912087863E-2</v>
      </c>
      <c r="F8" s="2">
        <f>('вместе-абс'!F8 - 'вместе-абс'!F$2) / 'вместе-абс'!F$2</f>
        <v>0.1293706293706294</v>
      </c>
      <c r="G8" s="2">
        <f>('вместе-абс'!G8 - 'вместе-абс'!G$2) / 'вместе-абс'!G$2</f>
        <v>9.999999999999995E-2</v>
      </c>
      <c r="H8" s="2">
        <f>('вместе-абс'!H8 - 'вместе-абс'!H$2) / 'вместе-абс'!H$2</f>
        <v>0.18545454545454537</v>
      </c>
      <c r="I8" s="2">
        <f>('вместе-абс'!I8 - 'вместе-абс'!I$2) / 'вместе-абс'!I$2</f>
        <v>0.16666666666666669</v>
      </c>
      <c r="J8" s="2">
        <f>('вместе-абс'!J8 - 'вместе-абс'!J$2) / 'вместе-абс'!J$2</f>
        <v>9.2715231788079402E-2</v>
      </c>
      <c r="K8" s="2">
        <f>('вместе-абс'!K8 - 'вместе-абс'!K$2) / 'вместе-абс'!K$2</f>
        <v>0.11711711711711702</v>
      </c>
      <c r="L8" s="2">
        <f>('вместе-абс'!L8 - 'вместе-абс'!L$2) / 'вместе-абс'!L$2</f>
        <v>0.15447154471544711</v>
      </c>
      <c r="M8" s="2">
        <f>('вместе-абс'!M8 - 'вместе-абс'!M$2) / 'вместе-абс'!M$2</f>
        <v>0.11055276381909547</v>
      </c>
      <c r="N8" s="2">
        <f>('вместе-абс'!N8 - 'вместе-абс'!N$2) / 'вместе-абс'!N$2</f>
        <v>0.26984126984126988</v>
      </c>
      <c r="O8" s="2">
        <f>('вместе-абс'!O8 - 'вместе-абс'!O$2) / 'вместе-абс'!O$2</f>
        <v>5.6834532374100653E-2</v>
      </c>
      <c r="P8" s="2">
        <f>('вместе-абс'!P8 - 'вместе-абс'!P$2) / 'вместе-абс'!P$2</f>
        <v>6.5573770491803338E-2</v>
      </c>
      <c r="Q8" s="2">
        <f>('вместе-абс'!Q8 - 'вместе-абс'!Q$2) / 'вместе-абс'!Q$2</f>
        <v>9.7560975609756184E-2</v>
      </c>
      <c r="R8" s="2">
        <f>('вместе-абс'!R8 - 'вместе-абс'!R$2) / 'вместе-абс'!R$2</f>
        <v>0.10294117647058816</v>
      </c>
      <c r="S8" s="2">
        <f>('вместе-абс'!S8 - 'вместе-абс'!S$2) / 'вместе-абс'!S$2</f>
        <v>0.10457516339869291</v>
      </c>
      <c r="T8" s="2">
        <f>('вместе-абс'!T8 - 'вместе-абс'!T$2) / 'вместе-абс'!T$2</f>
        <v>9.2198581560283779E-2</v>
      </c>
      <c r="U8" s="2">
        <f>('вместе-абс'!U8 - 'вместе-абс'!U$2) / 'вместе-абс'!U$2</f>
        <v>5.4545454545454515E-2</v>
      </c>
      <c r="V8" s="2">
        <f>('вместе-абс'!V8 - 'вместе-абс'!V$2) / 'вместе-абс'!V$2</f>
        <v>-3.5659340659340656E-2</v>
      </c>
    </row>
    <row r="9" spans="1:22" x14ac:dyDescent="0.25">
      <c r="A9" s="9">
        <f t="shared" si="0"/>
        <v>1924</v>
      </c>
      <c r="B9" s="2">
        <f>('вместе-абс'!B9 - 'вместе-абс'!B$2) / 'вместе-абс'!B$2</f>
        <v>0.20946745562130195</v>
      </c>
      <c r="C9" s="2">
        <f>('вместе-абс'!C9 - 'вместе-абс'!C$2) / 'вместе-абс'!C$2</f>
        <v>7.6923076923076983E-2</v>
      </c>
      <c r="D9" s="2">
        <f>('вместе-абс'!D9 - 'вместе-абс'!D$2) / 'вместе-абс'!D$2</f>
        <v>0.15507190050524672</v>
      </c>
      <c r="E9" s="2">
        <f>('вместе-абс'!E9 - 'вместе-абс'!E$2) / 'вместе-абс'!E$2</f>
        <v>0.10439560439560425</v>
      </c>
      <c r="F9" s="2">
        <f>('вместе-абс'!F9 - 'вместе-абс'!F$2) / 'вместе-абс'!F$2</f>
        <v>0.15209790209790211</v>
      </c>
      <c r="G9" s="2">
        <f>('вместе-абс'!G9 - 'вместе-абс'!G$2) / 'вместе-абс'!G$2</f>
        <v>0.12499999999999997</v>
      </c>
      <c r="H9" s="2">
        <f>('вместе-абс'!H9 - 'вместе-абс'!H$2) / 'вместе-абс'!H$2</f>
        <v>0.21818181818181823</v>
      </c>
      <c r="I9" s="2">
        <f>('вместе-абс'!I9 - 'вместе-абс'!I$2) / 'вместе-абс'!I$2</f>
        <v>0.21428571428571436</v>
      </c>
      <c r="J9" s="2">
        <f>('вместе-абс'!J9 - 'вместе-абс'!J$2) / 'вместе-абс'!J$2</f>
        <v>0.11920529801324499</v>
      </c>
      <c r="K9" s="2">
        <f>('вместе-абс'!K9 - 'вместе-абс'!K$2) / 'вместе-абс'!K$2</f>
        <v>0.14414414414414406</v>
      </c>
      <c r="L9" s="2">
        <f>('вместе-абс'!L9 - 'вместе-абс'!L$2) / 'вместе-абс'!L$2</f>
        <v>0.1951219512195122</v>
      </c>
      <c r="M9" s="2">
        <f>('вместе-абс'!M9 - 'вместе-абс'!M$2) / 'вместе-абс'!M$2</f>
        <v>0.12060301507537688</v>
      </c>
      <c r="N9" s="2">
        <f>('вместе-абс'!N9 - 'вместе-абс'!N$2) / 'вместе-абс'!N$2</f>
        <v>0.30158730158730152</v>
      </c>
      <c r="O9" s="2">
        <f>('вместе-абс'!O9 - 'вместе-абс'!O$2) / 'вместе-абс'!O$2</f>
        <v>7.553956834532366E-2</v>
      </c>
      <c r="P9" s="2">
        <f>('вместе-абс'!P9 - 'вместе-абс'!P$2) / 'вместе-абс'!P$2</f>
        <v>8.1967213114754175E-2</v>
      </c>
      <c r="Q9" s="2">
        <f>('вместе-абс'!Q9 - 'вместе-абс'!Q$2) / 'вместе-абс'!Q$2</f>
        <v>0.12195121951219524</v>
      </c>
      <c r="R9" s="2">
        <f>('вместе-абс'!R9 - 'вместе-абс'!R$2) / 'вместе-абс'!R$2</f>
        <v>0.13235294117647053</v>
      </c>
      <c r="S9" s="2">
        <f>('вместе-абс'!S9 - 'вместе-абс'!S$2) / 'вместе-абс'!S$2</f>
        <v>0.12200435729847506</v>
      </c>
      <c r="T9" s="2">
        <f>('вместе-абс'!T9 - 'вместе-абс'!T$2) / 'вместе-абс'!T$2</f>
        <v>9.9290780141844059E-2</v>
      </c>
      <c r="U9" s="2">
        <f>('вместе-абс'!U9 - 'вместе-абс'!U$2) / 'вместе-абс'!U$2</f>
        <v>6.5454545454545515E-2</v>
      </c>
      <c r="V9" s="2">
        <f>('вместе-абс'!V9 - 'вместе-абс'!V$2) / 'вместе-абс'!V$2</f>
        <v>-1.7747252747252747E-2</v>
      </c>
    </row>
    <row r="10" spans="1:22" x14ac:dyDescent="0.25">
      <c r="A10" s="9">
        <f t="shared" si="0"/>
        <v>1925</v>
      </c>
      <c r="B10" s="2">
        <f>('вместе-абс'!B10 - 'вместе-абс'!B$2) / 'вместе-абс'!B$2</f>
        <v>0.24260355029585809</v>
      </c>
      <c r="C10" s="2">
        <f>('вместе-абс'!C10 - 'вместе-абс'!C$2) / 'вместе-абс'!C$2</f>
        <v>8.6538461538461398E-2</v>
      </c>
      <c r="D10" s="2">
        <f>('вместе-абс'!D10 - 'вместе-абс'!D$2) / 'вместе-абс'!D$2</f>
        <v>0.178779634667703</v>
      </c>
      <c r="E10" s="2">
        <f>('вместе-абс'!E10 - 'вместе-абс'!E$2) / 'вместе-абс'!E$2</f>
        <v>0.11813186813186817</v>
      </c>
      <c r="F10" s="2">
        <f>('вместе-абс'!F10 - 'вместе-абс'!F$2) / 'вместе-абс'!F$2</f>
        <v>0.17482517482517484</v>
      </c>
      <c r="G10" s="2">
        <f>('вместе-абс'!G10 - 'вместе-абс'!G$2) / 'вместе-абс'!G$2</f>
        <v>0.15</v>
      </c>
      <c r="H10" s="2">
        <f>('вместе-абс'!H10 - 'вместе-абс'!H$2) / 'вместе-абс'!H$2</f>
        <v>0.24727272727272734</v>
      </c>
      <c r="I10" s="2">
        <f>('вместе-абс'!I10 - 'вместе-абс'!I$2) / 'вместе-абс'!I$2</f>
        <v>0.25000000000000011</v>
      </c>
      <c r="J10" s="2">
        <f>('вместе-абс'!J10 - 'вместе-абс'!J$2) / 'вместе-абс'!J$2</f>
        <v>0.13907284768211919</v>
      </c>
      <c r="K10" s="2">
        <f>('вместе-абс'!K10 - 'вместе-абс'!K$2) / 'вместе-абс'!K$2</f>
        <v>0.17117117117117112</v>
      </c>
      <c r="L10" s="2">
        <f>('вместе-абс'!L10 - 'вместе-абс'!L$2) / 'вместе-абс'!L$2</f>
        <v>0.22764227642276424</v>
      </c>
      <c r="M10" s="2">
        <f>('вместе-абс'!M10 - 'вместе-абс'!M$2) / 'вместе-абс'!M$2</f>
        <v>0.13567839195979889</v>
      </c>
      <c r="N10" s="2">
        <f>('вместе-абс'!N10 - 'вместе-абс'!N$2) / 'вместе-абс'!N$2</f>
        <v>0.34920634920634919</v>
      </c>
      <c r="O10" s="2">
        <f>('вместе-абс'!O10 - 'вместе-абс'!O$2) / 'вместе-абс'!O$2</f>
        <v>9.3525179856115026E-2</v>
      </c>
      <c r="P10" s="2">
        <f>('вместе-абс'!P10 - 'вместе-абс'!P$2) / 'вместе-абс'!P$2</f>
        <v>8.1967213114754175E-2</v>
      </c>
      <c r="Q10" s="2">
        <f>('вместе-абс'!Q10 - 'вместе-абс'!Q$2) / 'вместе-абс'!Q$2</f>
        <v>0.12195121951219524</v>
      </c>
      <c r="R10" s="2">
        <f>('вместе-абс'!R10 - 'вместе-абс'!R$2) / 'вместе-абс'!R$2</f>
        <v>0.16176470588235292</v>
      </c>
      <c r="S10" s="2">
        <f>('вместе-абс'!S10 - 'вместе-абс'!S$2) / 'вместе-абс'!S$2</f>
        <v>0.13943355119825721</v>
      </c>
      <c r="T10" s="2">
        <f>('вместе-абс'!T10 - 'вместе-абс'!T$2) / 'вместе-абс'!T$2</f>
        <v>0.11347517730496465</v>
      </c>
      <c r="U10" s="2">
        <f>('вместе-абс'!U10 - 'вместе-абс'!U$2) / 'вместе-абс'!U$2</f>
        <v>7.2727272727272793E-2</v>
      </c>
      <c r="V10" s="2">
        <f>('вместе-абс'!V10 - 'вместе-абс'!V$2) / 'вместе-абс'!V$2</f>
        <v>4.8351648351648349E-4</v>
      </c>
    </row>
    <row r="11" spans="1:22" x14ac:dyDescent="0.25">
      <c r="A11" s="9">
        <f t="shared" si="0"/>
        <v>1926</v>
      </c>
      <c r="B11" s="2">
        <f>('вместе-абс'!B11 - 'вместе-абс'!B$2) / 'вместе-абс'!B$2</f>
        <v>0.27810650887573984</v>
      </c>
      <c r="C11" s="2">
        <f>('вместе-абс'!C11 - 'вместе-абс'!C$2) / 'вместе-абс'!C$2</f>
        <v>0.10096153846153844</v>
      </c>
      <c r="D11" s="2">
        <f>('вместе-абс'!D11 - 'вместе-абс'!D$2) / 'вместе-абс'!D$2</f>
        <v>0.20287602020987169</v>
      </c>
      <c r="E11" s="2">
        <f>('вместе-абс'!E11 - 'вместе-абс'!E$2) / 'вместе-абс'!E$2</f>
        <v>0.13461538461538455</v>
      </c>
      <c r="F11" s="2">
        <f>('вместе-абс'!F11 - 'вместе-абс'!F$2) / 'вместе-абс'!F$2</f>
        <v>0.19930069930069941</v>
      </c>
      <c r="G11" s="2">
        <f>('вместе-абс'!G11 - 'вместе-абс'!G$2) / 'вместе-абс'!G$2</f>
        <v>0.17499999999999988</v>
      </c>
      <c r="H11" s="2">
        <f>('вместе-абс'!H11 - 'вместе-абс'!H$2) / 'вместе-абс'!H$2</f>
        <v>0.28000000000000003</v>
      </c>
      <c r="I11" s="2">
        <f>('вместе-абс'!I11 - 'вместе-абс'!I$2) / 'вместе-абс'!I$2</f>
        <v>0.29761904761904778</v>
      </c>
      <c r="J11" s="2">
        <f>('вместе-абс'!J11 - 'вместе-абс'!J$2) / 'вместе-абс'!J$2</f>
        <v>0.16556291390728478</v>
      </c>
      <c r="K11" s="2">
        <f>('вместе-абс'!K11 - 'вместе-абс'!K$2) / 'вместе-абс'!K$2</f>
        <v>0.19819819819819814</v>
      </c>
      <c r="L11" s="2">
        <f>('вместе-абс'!L11 - 'вместе-абс'!L$2) / 'вместе-абс'!L$2</f>
        <v>0.26829268292682934</v>
      </c>
      <c r="M11" s="2">
        <f>('вместе-абс'!M11 - 'вместе-абс'!M$2) / 'вместе-абс'!M$2</f>
        <v>0.15075376884422112</v>
      </c>
      <c r="N11" s="2">
        <f>('вместе-абс'!N11 - 'вместе-абс'!N$2) / 'вместе-абс'!N$2</f>
        <v>0.3968253968253968</v>
      </c>
      <c r="O11" s="2">
        <f>('вместе-абс'!O11 - 'вместе-абс'!O$2) / 'вместе-абс'!O$2</f>
        <v>0.1129496402877698</v>
      </c>
      <c r="P11" s="2">
        <f>('вместе-абс'!P11 - 'вместе-абс'!P$2) / 'вместе-абс'!P$2</f>
        <v>9.8360655737705013E-2</v>
      </c>
      <c r="Q11" s="2">
        <f>('вместе-абс'!Q11 - 'вместе-абс'!Q$2) / 'вместе-абс'!Q$2</f>
        <v>0.12195121951219524</v>
      </c>
      <c r="R11" s="2">
        <f>('вместе-абс'!R11 - 'вместе-абс'!R$2) / 'вместе-абс'!R$2</f>
        <v>0.1764705882352941</v>
      </c>
      <c r="S11" s="2">
        <f>('вместе-абс'!S11 - 'вместе-абс'!S$2) / 'вместе-абс'!S$2</f>
        <v>0.15686274509803916</v>
      </c>
      <c r="T11" s="2">
        <f>('вместе-абс'!T11 - 'вместе-абс'!T$2) / 'вместе-абс'!T$2</f>
        <v>0.13475177304964553</v>
      </c>
      <c r="U11" s="2">
        <f>('вместе-абс'!U11 - 'вместе-абс'!U$2) / 'вместе-абс'!U$2</f>
        <v>8.3636363636363634E-2</v>
      </c>
      <c r="V11" s="2">
        <f>('вместе-абс'!V11 - 'вместе-абс'!V$2) / 'вместе-абс'!V$2</f>
        <v>1.9065934065934067E-2</v>
      </c>
    </row>
    <row r="12" spans="1:22" x14ac:dyDescent="0.25">
      <c r="A12" s="9">
        <f t="shared" si="0"/>
        <v>1927</v>
      </c>
      <c r="B12" s="2">
        <f>('вместе-абс'!B12 - 'вместе-абс'!B$2) / 'вместе-абс'!B$2</f>
        <v>0.31715976331360968</v>
      </c>
      <c r="C12" s="2">
        <f>('вместе-абс'!C12 - 'вместе-абс'!C$2) / 'вместе-абс'!C$2</f>
        <v>0.11538461538461527</v>
      </c>
      <c r="D12" s="2">
        <f>('вместе-абс'!D12 - 'вместе-абс'!D$2) / 'вместе-абс'!D$2</f>
        <v>0.2277497085114652</v>
      </c>
      <c r="E12" s="2">
        <f>('вместе-абс'!E12 - 'вместе-абс'!E$2) / 'вместе-абс'!E$2</f>
        <v>0.15109890109890117</v>
      </c>
      <c r="F12" s="2">
        <f>('вместе-абс'!F12 - 'вместе-абс'!F$2) / 'вместе-абс'!F$2</f>
        <v>0.22377622377622383</v>
      </c>
      <c r="G12" s="2">
        <f>('вместе-абс'!G12 - 'вместе-абс'!G$2) / 'вместе-абс'!G$2</f>
        <v>0.17499999999999988</v>
      </c>
      <c r="H12" s="2">
        <f>('вместе-абс'!H12 - 'вместе-абс'!H$2) / 'вместе-абс'!H$2</f>
        <v>0.31272727272727269</v>
      </c>
      <c r="I12" s="2">
        <f>('вместе-абс'!I12 - 'вместе-абс'!I$2) / 'вместе-абс'!I$2</f>
        <v>0.34523809523809518</v>
      </c>
      <c r="J12" s="2">
        <f>('вместе-абс'!J12 - 'вместе-абс'!J$2) / 'вместе-абс'!J$2</f>
        <v>0.19205298013245034</v>
      </c>
      <c r="K12" s="2">
        <f>('вместе-абс'!K12 - 'вместе-абс'!K$2) / 'вместе-абс'!K$2</f>
        <v>0.2162162162162162</v>
      </c>
      <c r="L12" s="2">
        <f>('вместе-абс'!L12 - 'вместе-абс'!L$2) / 'вместе-абс'!L$2</f>
        <v>0.30081300813008138</v>
      </c>
      <c r="M12" s="2">
        <f>('вместе-абс'!M12 - 'вместе-абс'!M$2) / 'вместе-абс'!M$2</f>
        <v>0.17085427135678397</v>
      </c>
      <c r="N12" s="2">
        <f>('вместе-абс'!N12 - 'вместе-абс'!N$2) / 'вместе-абс'!N$2</f>
        <v>0.41269841269841273</v>
      </c>
      <c r="O12" s="2">
        <f>('вместе-абс'!O12 - 'вместе-абс'!O$2) / 'вместе-абс'!O$2</f>
        <v>0.13237410071942446</v>
      </c>
      <c r="P12" s="2">
        <f>('вместе-абс'!P12 - 'вместе-абс'!P$2) / 'вместе-абс'!P$2</f>
        <v>9.8360655737705013E-2</v>
      </c>
      <c r="Q12" s="2">
        <f>('вместе-абс'!Q12 - 'вместе-абс'!Q$2) / 'вместе-абс'!Q$2</f>
        <v>0.12195121951219524</v>
      </c>
      <c r="R12" s="2">
        <f>('вместе-абс'!R12 - 'вместе-абс'!R$2) / 'вместе-абс'!R$2</f>
        <v>0.20588235294117632</v>
      </c>
      <c r="S12" s="2">
        <f>('вместе-абс'!S12 - 'вместе-абс'!S$2) / 'вместе-абс'!S$2</f>
        <v>0.17647058823529424</v>
      </c>
      <c r="T12" s="2">
        <f>('вместе-абс'!T12 - 'вместе-абс'!T$2) / 'вместе-абс'!T$2</f>
        <v>0.15602836879432624</v>
      </c>
      <c r="U12" s="2">
        <f>('вместе-абс'!U12 - 'вместе-абс'!U$2) / 'вместе-абс'!U$2</f>
        <v>9.4545454545454474E-2</v>
      </c>
      <c r="V12" s="2">
        <f>('вместе-абс'!V12 - 'вместе-абс'!V$2) / 'вместе-абс'!V$2</f>
        <v>2.8615384615384615E-2</v>
      </c>
    </row>
    <row r="13" spans="1:22" x14ac:dyDescent="0.25">
      <c r="A13" s="9">
        <f t="shared" si="0"/>
        <v>1928</v>
      </c>
      <c r="B13" s="2">
        <f>('вместе-абс'!B13 - 'вместе-абс'!B$2) / 'вместе-абс'!B$2</f>
        <v>0.35384615384615392</v>
      </c>
      <c r="C13" s="2">
        <f>('вместе-абс'!C13 - 'вместе-абс'!C$2) / 'вместе-абс'!C$2</f>
        <v>0.12499999999999989</v>
      </c>
      <c r="D13" s="2">
        <f>('вместе-абс'!D13 - 'вместе-абс'!D$2) / 'вместе-абс'!D$2</f>
        <v>0.25262339681305856</v>
      </c>
      <c r="E13" s="2">
        <f>('вместе-абс'!E13 - 'вместе-абс'!E$2) / 'вместе-абс'!E$2</f>
        <v>0.16758241758241754</v>
      </c>
      <c r="F13" s="2">
        <f>('вместе-абс'!F13 - 'вместе-абс'!F$2) / 'вместе-абс'!F$2</f>
        <v>0.24825174825174826</v>
      </c>
      <c r="G13" s="2">
        <f>('вместе-абс'!G13 - 'вместе-абс'!G$2) / 'вместе-абс'!G$2</f>
        <v>0.1999999999999999</v>
      </c>
      <c r="H13" s="2">
        <f>('вместе-абс'!H13 - 'вместе-абс'!H$2) / 'вместе-абс'!H$2</f>
        <v>0.27636363636363631</v>
      </c>
      <c r="I13" s="2">
        <f>('вместе-абс'!I13 - 'вместе-абс'!I$2) / 'вместе-абс'!I$2</f>
        <v>0.39285714285714285</v>
      </c>
      <c r="J13" s="2">
        <f>('вместе-абс'!J13 - 'вместе-абс'!J$2) / 'вместе-абс'!J$2</f>
        <v>0.21854304635761593</v>
      </c>
      <c r="K13" s="2">
        <f>('вместе-абс'!K13 - 'вместе-абс'!K$2) / 'вместе-абс'!K$2</f>
        <v>0.25225225225225206</v>
      </c>
      <c r="L13" s="2">
        <f>('вместе-абс'!L13 - 'вместе-абс'!L$2) / 'вместе-абс'!L$2</f>
        <v>0.34959349593495931</v>
      </c>
      <c r="M13" s="2">
        <f>('вместе-абс'!M13 - 'вместе-абс'!M$2) / 'вместе-абс'!M$2</f>
        <v>0.18592964824120597</v>
      </c>
      <c r="N13" s="2">
        <f>('вместе-абс'!N13 - 'вместе-абс'!N$2) / 'вместе-абс'!N$2</f>
        <v>0.44444444444444448</v>
      </c>
      <c r="O13" s="2">
        <f>('вместе-абс'!O13 - 'вместе-абс'!O$2) / 'вместе-абс'!O$2</f>
        <v>0.15179856115107923</v>
      </c>
      <c r="P13" s="2">
        <f>('вместе-абс'!P13 - 'вместе-абс'!P$2) / 'вместе-абс'!P$2</f>
        <v>9.8360655737705013E-2</v>
      </c>
      <c r="Q13" s="2">
        <f>('вместе-абс'!Q13 - 'вместе-абс'!Q$2) / 'вместе-абс'!Q$2</f>
        <v>0.12195121951219524</v>
      </c>
      <c r="R13" s="2">
        <f>('вместе-абс'!R13 - 'вместе-абс'!R$2) / 'вместе-абс'!R$2</f>
        <v>0.23529411764705868</v>
      </c>
      <c r="S13" s="2">
        <f>('вместе-абс'!S13 - 'вместе-абс'!S$2) / 'вместе-абс'!S$2</f>
        <v>0.19389978213507639</v>
      </c>
      <c r="T13" s="2">
        <f>('вместе-абс'!T13 - 'вместе-абс'!T$2) / 'вместе-абс'!T$2</f>
        <v>0.18439716312056739</v>
      </c>
      <c r="U13" s="2">
        <f>('вместе-абс'!U13 - 'вместе-абс'!U$2) / 'вместе-абс'!U$2</f>
        <v>0.10545454545454547</v>
      </c>
      <c r="V13" s="2">
        <f>('вместе-абс'!V13 - 'вместе-абс'!V$2) / 'вместе-абс'!V$2</f>
        <v>5.0406593406593404E-2</v>
      </c>
    </row>
    <row r="14" spans="1:22" x14ac:dyDescent="0.25">
      <c r="A14" s="9">
        <f t="shared" si="0"/>
        <v>1929</v>
      </c>
      <c r="B14" s="2">
        <f>('вместе-абс'!B14 - 'вместе-абс'!B$2) / 'вместе-абс'!B$2</f>
        <v>0.39053254437869833</v>
      </c>
      <c r="C14" s="2">
        <f>('вместе-абс'!C14 - 'вместе-абс'!C$2) / 'вместе-абс'!C$2</f>
        <v>0.13942307692307693</v>
      </c>
      <c r="D14" s="2">
        <f>('вместе-абс'!D14 - 'вместе-абс'!D$2) / 'вместе-абс'!D$2</f>
        <v>0.27866303925378927</v>
      </c>
      <c r="E14" s="2">
        <f>('вместе-абс'!E14 - 'вместе-абс'!E$2) / 'вместе-абс'!E$2</f>
        <v>0.18406593406593391</v>
      </c>
      <c r="F14" s="2">
        <f>('вместе-абс'!F14 - 'вместе-абс'!F$2) / 'вместе-абс'!F$2</f>
        <v>0.27272727272727282</v>
      </c>
      <c r="G14" s="2">
        <f>('вместе-абс'!G14 - 'вместе-абс'!G$2) / 'вместе-абс'!G$2</f>
        <v>0.22499999999999992</v>
      </c>
      <c r="H14" s="2">
        <f>('вместе-абс'!H14 - 'вместе-абс'!H$2) / 'вместе-абс'!H$2</f>
        <v>0.30181818181818182</v>
      </c>
      <c r="I14" s="2">
        <f>('вместе-абс'!I14 - 'вместе-абс'!I$2) / 'вместе-абс'!I$2</f>
        <v>0.44047619047619047</v>
      </c>
      <c r="J14" s="2">
        <f>('вместе-абс'!J14 - 'вместе-абс'!J$2) / 'вместе-абс'!J$2</f>
        <v>0.25827814569536417</v>
      </c>
      <c r="K14" s="2">
        <f>('вместе-абс'!K14 - 'вместе-абс'!K$2) / 'вместе-абс'!K$2</f>
        <v>0.27027027027027006</v>
      </c>
      <c r="L14" s="2">
        <f>('вместе-абс'!L14 - 'вместе-абс'!L$2) / 'вместе-абс'!L$2</f>
        <v>0.3902439024390244</v>
      </c>
      <c r="M14" s="2">
        <f>('вместе-абс'!M14 - 'вместе-абс'!M$2) / 'вместе-абс'!M$2</f>
        <v>0.20100502512562821</v>
      </c>
      <c r="N14" s="2">
        <f>('вместе-абс'!N14 - 'вместе-абс'!N$2) / 'вместе-абс'!N$2</f>
        <v>0.47619047619047628</v>
      </c>
      <c r="O14" s="2">
        <f>('вместе-абс'!O14 - 'вместе-абс'!O$2) / 'вместе-абс'!O$2</f>
        <v>0.21798561151079132</v>
      </c>
      <c r="P14" s="2">
        <f>('вместе-абс'!P14 - 'вместе-абс'!P$2) / 'вместе-абс'!P$2</f>
        <v>0.11475409836065584</v>
      </c>
      <c r="Q14" s="2">
        <f>('вместе-абс'!Q14 - 'вместе-абс'!Q$2) / 'вместе-абс'!Q$2</f>
        <v>0.14634146341463414</v>
      </c>
      <c r="R14" s="2">
        <f>('вместе-абс'!R14 - 'вместе-абс'!R$2) / 'вместе-абс'!R$2</f>
        <v>0.26470588235294107</v>
      </c>
      <c r="S14" s="2">
        <f>('вместе-абс'!S14 - 'вместе-абс'!S$2) / 'вместе-абс'!S$2</f>
        <v>0.21350762527233125</v>
      </c>
      <c r="T14" s="2">
        <f>('вместе-абс'!T14 - 'вместе-абс'!T$2) / 'вместе-абс'!T$2</f>
        <v>0.20567375886524827</v>
      </c>
      <c r="U14" s="2">
        <f>('вместе-абс'!U14 - 'вместе-абс'!U$2) / 'вместе-абс'!U$2</f>
        <v>0.12000000000000002</v>
      </c>
      <c r="V14" s="2">
        <f>('вместе-абс'!V14 - 'вместе-абс'!V$2) / 'вместе-абс'!V$2</f>
        <v>7.3857142857142857E-2</v>
      </c>
    </row>
    <row r="15" spans="1:22" x14ac:dyDescent="0.25">
      <c r="A15" s="9">
        <f t="shared" si="0"/>
        <v>1930</v>
      </c>
      <c r="B15" s="2">
        <f>('вместе-абс'!B15 - 'вместе-абс'!B$2) / 'вместе-абс'!B$2</f>
        <v>0.42603550295858006</v>
      </c>
      <c r="C15" s="2">
        <f>('вместе-абс'!C15 - 'вместе-абс'!C$2) / 'вместе-абс'!C$2</f>
        <v>0.15384615384615377</v>
      </c>
      <c r="D15" s="2">
        <f>('вместе-абс'!D15 - 'вместе-абс'!D$2) / 'вместе-абс'!D$2</f>
        <v>0.30470268169452003</v>
      </c>
      <c r="E15" s="2">
        <f>('вместе-абс'!E15 - 'вместе-абс'!E$2) / 'вместе-абс'!E$2</f>
        <v>0.20054945054945053</v>
      </c>
      <c r="F15" s="2">
        <f>('вместе-абс'!F15 - 'вместе-абс'!F$2) / 'вместе-абс'!F$2</f>
        <v>0.29895104895104896</v>
      </c>
      <c r="G15" s="2">
        <f>('вместе-абс'!G15 - 'вместе-абс'!G$2) / 'вместе-абс'!G$2</f>
        <v>0.24999999999999994</v>
      </c>
      <c r="H15" s="2">
        <f>('вместе-абс'!H15 - 'вместе-абс'!H$2) / 'вместе-абс'!H$2</f>
        <v>0.32727272727272722</v>
      </c>
      <c r="I15" s="2">
        <f>('вместе-абс'!I15 - 'вместе-абс'!I$2) / 'вместе-абс'!I$2</f>
        <v>0.50000000000000011</v>
      </c>
      <c r="J15" s="2">
        <f>('вместе-абс'!J15 - 'вместе-абс'!J$2) / 'вместе-абс'!J$2</f>
        <v>0.28476821192052976</v>
      </c>
      <c r="K15" s="2">
        <f>('вместе-абс'!K15 - 'вместе-абс'!K$2) / 'вместе-абс'!K$2</f>
        <v>0.29729729729729715</v>
      </c>
      <c r="L15" s="2">
        <f>('вместе-абс'!L15 - 'вместе-абс'!L$2) / 'вместе-абс'!L$2</f>
        <v>0.43089430894308944</v>
      </c>
      <c r="M15" s="2">
        <f>('вместе-абс'!M15 - 'вместе-абс'!M$2) / 'вместе-абс'!M$2</f>
        <v>0.21608040201005022</v>
      </c>
      <c r="N15" s="2">
        <f>('вместе-абс'!N15 - 'вместе-абс'!N$2) / 'вместе-абс'!N$2</f>
        <v>0.50793650793650791</v>
      </c>
      <c r="O15" s="2">
        <f>('вместе-абс'!O15 - 'вместе-абс'!O$2) / 'вместе-абс'!O$2</f>
        <v>0.1906474820143885</v>
      </c>
      <c r="P15" s="2">
        <f>('вместе-абс'!P15 - 'вместе-абс'!P$2) / 'вместе-абс'!P$2</f>
        <v>0.11475409836065584</v>
      </c>
      <c r="Q15" s="2">
        <f>('вместе-абс'!Q15 - 'вместе-абс'!Q$2) / 'вместе-абс'!Q$2</f>
        <v>0.14634146341463414</v>
      </c>
      <c r="R15" s="2">
        <f>('вместе-абс'!R15 - 'вместе-абс'!R$2) / 'вместе-абс'!R$2</f>
        <v>0.29411764705882343</v>
      </c>
      <c r="S15" s="2">
        <f>('вместе-абс'!S15 - 'вместе-абс'!S$2) / 'вместе-абс'!S$2</f>
        <v>0.23093681917211339</v>
      </c>
      <c r="T15" s="2">
        <f>('вместе-абс'!T15 - 'вместе-абс'!T$2) / 'вместе-абс'!T$2</f>
        <v>0.22695035460992913</v>
      </c>
      <c r="U15" s="2">
        <f>('вместе-абс'!U15 - 'вместе-абс'!U$2) / 'вместе-абс'!U$2</f>
        <v>0.13454545454545458</v>
      </c>
      <c r="V15" s="2">
        <f>('вместе-абс'!V15 - 'вместе-абс'!V$2) / 'вместе-абс'!V$2</f>
        <v>9.4131868131868135E-2</v>
      </c>
    </row>
    <row r="16" spans="1:22" x14ac:dyDescent="0.25">
      <c r="A16" s="9">
        <f t="shared" si="0"/>
        <v>1931</v>
      </c>
      <c r="B16" s="2">
        <f>('вместе-абс'!B16 - 'вместе-абс'!B$2) / 'вместе-абс'!B$2</f>
        <v>0.45443786982248524</v>
      </c>
      <c r="C16" s="2">
        <f>('вместе-абс'!C16 - 'вместе-абс'!C$2) / 'вместе-абс'!C$2</f>
        <v>0.16826923076923081</v>
      </c>
      <c r="D16" s="2">
        <f>('вместе-абс'!D16 - 'вместе-абс'!D$2) / 'вместе-абс'!D$2</f>
        <v>0.3315196268946754</v>
      </c>
      <c r="E16" s="2">
        <f>('вместе-абс'!E16 - 'вместе-абс'!E$2) / 'вместе-абс'!E$2</f>
        <v>0.2170329670329669</v>
      </c>
      <c r="F16" s="2">
        <f>('вместе-абс'!F16 - 'вместе-абс'!F$2) / 'вместе-абс'!F$2</f>
        <v>0.32342657342657355</v>
      </c>
      <c r="G16" s="2">
        <f>('вместе-абс'!G16 - 'вместе-абс'!G$2) / 'вместе-абс'!G$2</f>
        <v>0.27499999999999997</v>
      </c>
      <c r="H16" s="2">
        <f>('вместе-абс'!H16 - 'вместе-абс'!H$2) / 'вместе-абс'!H$2</f>
        <v>0.44</v>
      </c>
      <c r="I16" s="2">
        <f>('вместе-абс'!I16 - 'вместе-абс'!I$2) / 'вместе-абс'!I$2</f>
        <v>0.54761904761904778</v>
      </c>
      <c r="J16" s="2">
        <f>('вместе-абс'!J16 - 'вместе-абс'!J$2) / 'вместе-абс'!J$2</f>
        <v>0.32450331125827814</v>
      </c>
      <c r="K16" s="2">
        <f>('вместе-абс'!K16 - 'вместе-абс'!K$2) / 'вместе-абс'!K$2</f>
        <v>0.31531531531531515</v>
      </c>
      <c r="L16" s="2">
        <f>('вместе-абс'!L16 - 'вместе-абс'!L$2) / 'вместе-абс'!L$2</f>
        <v>0.47154471544715454</v>
      </c>
      <c r="M16" s="2">
        <f>('вместе-абс'!M16 - 'вместе-абс'!M$2) / 'вместе-абс'!M$2</f>
        <v>0.23618090452261306</v>
      </c>
      <c r="N16" s="2">
        <f>('вместе-абс'!N16 - 'вместе-абс'!N$2) / 'вместе-абс'!N$2</f>
        <v>0.53968253968253965</v>
      </c>
      <c r="O16" s="2">
        <f>('вместе-абс'!O16 - 'вместе-абс'!O$2) / 'вместе-абс'!O$2</f>
        <v>0.21438848920863299</v>
      </c>
      <c r="P16" s="2">
        <f>('вместе-абс'!P16 - 'вместе-абс'!P$2) / 'вместе-абс'!P$2</f>
        <v>0.13114754098360648</v>
      </c>
      <c r="Q16" s="2">
        <f>('вместе-абс'!Q16 - 'вместе-абс'!Q$2) / 'вместе-абс'!Q$2</f>
        <v>0.19512195121951226</v>
      </c>
      <c r="R16" s="2">
        <f>('вместе-абс'!R16 - 'вместе-абс'!R$2) / 'вместе-абс'!R$2</f>
        <v>0.32352941176470584</v>
      </c>
      <c r="S16" s="2">
        <f>('вместе-абс'!S16 - 'вместе-абс'!S$2) / 'вместе-абс'!S$2</f>
        <v>0.25054466230936828</v>
      </c>
      <c r="T16" s="2">
        <f>('вместе-абс'!T16 - 'вместе-абс'!T$2) / 'вместе-абс'!T$2</f>
        <v>0.24822695035461001</v>
      </c>
      <c r="U16" s="2">
        <f>('вместе-абс'!U16 - 'вместе-абс'!U$2) / 'вместе-абс'!U$2</f>
        <v>0.14545454545454542</v>
      </c>
      <c r="V16" s="2">
        <f>('вместе-абс'!V16 - 'вместе-абс'!V$2) / 'вместе-абс'!V$2</f>
        <v>0.11287912087912087</v>
      </c>
    </row>
    <row r="17" spans="1:22" x14ac:dyDescent="0.25">
      <c r="A17" s="9">
        <f t="shared" si="0"/>
        <v>1932</v>
      </c>
      <c r="B17" s="2">
        <f>('вместе-абс'!B17 - 'вместе-абс'!B$2) / 'вместе-абс'!B$2</f>
        <v>0.48165680473372791</v>
      </c>
      <c r="C17" s="2">
        <f>('вместе-абс'!C17 - 'вместе-абс'!C$2) / 'вместе-абс'!C$2</f>
        <v>0.17788461538461542</v>
      </c>
      <c r="D17" s="2">
        <f>('вместе-абс'!D17 - 'вместе-абс'!D$2) / 'вместе-абс'!D$2</f>
        <v>0.35872522347454333</v>
      </c>
      <c r="E17" s="2">
        <f>('вместе-абс'!E17 - 'вместе-абс'!E$2) / 'вместе-абс'!E$2</f>
        <v>0.23626373626373623</v>
      </c>
      <c r="F17" s="2">
        <f>('вместе-абс'!F17 - 'вместе-абс'!F$2) / 'вместе-абс'!F$2</f>
        <v>0.35139860139860152</v>
      </c>
      <c r="G17" s="2">
        <f>('вместе-абс'!G17 - 'вместе-абс'!G$2) / 'вместе-абс'!G$2</f>
        <v>0.3</v>
      </c>
      <c r="H17" s="2">
        <f>('вместе-абс'!H17 - 'вместе-абс'!H$2) / 'вместе-абс'!H$2</f>
        <v>0.44</v>
      </c>
      <c r="I17" s="2">
        <f>('вместе-абс'!I17 - 'вместе-абс'!I$2) / 'вместе-абс'!I$2</f>
        <v>0.60714285714285732</v>
      </c>
      <c r="J17" s="2">
        <f>('вместе-абс'!J17 - 'вместе-абс'!J$2) / 'вместе-абс'!J$2</f>
        <v>0.35761589403973498</v>
      </c>
      <c r="K17" s="2">
        <f>('вместе-абс'!K17 - 'вместе-абс'!K$2) / 'вместе-абс'!K$2</f>
        <v>0.32432432432432418</v>
      </c>
      <c r="L17" s="2">
        <f>('вместе-абс'!L17 - 'вместе-абс'!L$2) / 'вместе-абс'!L$2</f>
        <v>0.51219512195121963</v>
      </c>
      <c r="M17" s="2">
        <f>('вместе-абс'!M17 - 'вместе-абс'!M$2) / 'вместе-абс'!M$2</f>
        <v>0.25628140703517588</v>
      </c>
      <c r="N17" s="2">
        <f>('вместе-абс'!N17 - 'вместе-абс'!N$2) / 'вместе-абс'!N$2</f>
        <v>0.5714285714285714</v>
      </c>
      <c r="O17" s="2">
        <f>('вместе-абс'!O17 - 'вместе-абс'!O$2) / 'вместе-абс'!O$2</f>
        <v>0.23525179856115117</v>
      </c>
      <c r="P17" s="2">
        <f>('вместе-абс'!P17 - 'вместе-абс'!P$2) / 'вместе-абс'!P$2</f>
        <v>0.13114754098360648</v>
      </c>
      <c r="Q17" s="2">
        <f>('вместе-абс'!Q17 - 'вместе-абс'!Q$2) / 'вместе-абс'!Q$2</f>
        <v>0.2195121951219513</v>
      </c>
      <c r="R17" s="2">
        <f>('вместе-абс'!R17 - 'вместе-абс'!R$2) / 'вместе-абс'!R$2</f>
        <v>0.3529411764705882</v>
      </c>
      <c r="S17" s="2">
        <f>('вместе-абс'!S17 - 'вместе-абс'!S$2) / 'вместе-абс'!S$2</f>
        <v>0.27233115468409586</v>
      </c>
      <c r="T17" s="2">
        <f>('вместе-абс'!T17 - 'вместе-абс'!T$2) / 'вместе-абс'!T$2</f>
        <v>0.26950354609929089</v>
      </c>
      <c r="U17" s="2">
        <f>('вместе-абс'!U17 - 'вместе-абс'!U$2) / 'вместе-абс'!U$2</f>
        <v>0.15999999999999998</v>
      </c>
      <c r="V17" s="2">
        <f>('вместе-абс'!V17 - 'вместе-абс'!V$2) / 'вместе-абс'!V$2</f>
        <v>0.12774725274725274</v>
      </c>
    </row>
    <row r="18" spans="1:22" x14ac:dyDescent="0.25">
      <c r="A18" s="9">
        <f t="shared" si="0"/>
        <v>1933</v>
      </c>
      <c r="B18" s="2">
        <f>('вместе-абс'!B18 - 'вместе-абс'!B$2) / 'вместе-абс'!B$2</f>
        <v>0.50650887573964509</v>
      </c>
      <c r="C18" s="2">
        <f>('вместе-абс'!C18 - 'вместе-абс'!C$2) / 'вместе-абс'!C$2</f>
        <v>0.19230769230769226</v>
      </c>
      <c r="D18" s="2">
        <f>('вместе-абс'!D18 - 'вместе-абс'!D$2) / 'вместе-абс'!D$2</f>
        <v>0.38631947143412365</v>
      </c>
      <c r="E18" s="2">
        <f>('вместе-абс'!E18 - 'вместе-абс'!E$2) / 'вместе-абс'!E$2</f>
        <v>0.25274725274725257</v>
      </c>
      <c r="F18" s="2">
        <f>('вместе-абс'!F18 - 'вместе-абс'!F$2) / 'вместе-абс'!F$2</f>
        <v>0.37762237762237766</v>
      </c>
      <c r="G18" s="2">
        <f>('вместе-абс'!G18 - 'вместе-абс'!G$2) / 'вместе-абс'!G$2</f>
        <v>0.32500000000000001</v>
      </c>
      <c r="H18" s="2">
        <f>('вместе-абс'!H18 - 'вместе-абс'!H$2) / 'вместе-абс'!H$2</f>
        <v>0.44</v>
      </c>
      <c r="I18" s="2">
        <f>('вместе-абс'!I18 - 'вместе-абс'!I$2) / 'вместе-абс'!I$2</f>
        <v>0.65476190476190466</v>
      </c>
      <c r="J18" s="2">
        <f>('вместе-абс'!J18 - 'вместе-абс'!J$2) / 'вместе-абс'!J$2</f>
        <v>0.39072847682119211</v>
      </c>
      <c r="K18" s="2">
        <f>('вместе-абс'!K18 - 'вместе-абс'!K$2) / 'вместе-абс'!K$2</f>
        <v>0.34234234234234223</v>
      </c>
      <c r="L18" s="2">
        <f>('вместе-абс'!L18 - 'вместе-абс'!L$2) / 'вместе-абс'!L$2</f>
        <v>0.55284552845528456</v>
      </c>
      <c r="M18" s="2">
        <f>('вместе-абс'!M18 - 'вместе-абс'!M$2) / 'вместе-абс'!M$2</f>
        <v>0.27638190954773872</v>
      </c>
      <c r="N18" s="2">
        <f>('вместе-абс'!N18 - 'вместе-абс'!N$2) / 'вместе-абс'!N$2</f>
        <v>0.60317460317460314</v>
      </c>
      <c r="O18" s="2">
        <f>('вместе-абс'!O18 - 'вместе-абс'!O$2) / 'вместе-абс'!O$2</f>
        <v>0.25683453237410059</v>
      </c>
      <c r="P18" s="2">
        <f>('вместе-абс'!P18 - 'вместе-абс'!P$2) / 'вместе-абс'!P$2</f>
        <v>0.14754098360655732</v>
      </c>
      <c r="Q18" s="2">
        <f>('вместе-абс'!Q18 - 'вместе-абс'!Q$2) / 'вместе-абс'!Q$2</f>
        <v>0.2682926829268294</v>
      </c>
      <c r="R18" s="2">
        <f>('вместе-абс'!R18 - 'вместе-абс'!R$2) / 'вместе-абс'!R$2</f>
        <v>0.3823529411764704</v>
      </c>
      <c r="S18" s="2">
        <f>('вместе-абс'!S18 - 'вместе-абс'!S$2) / 'вместе-абс'!S$2</f>
        <v>0.29411764705882365</v>
      </c>
      <c r="T18" s="2">
        <f>('вместе-абс'!T18 - 'вместе-абс'!T$2) / 'вместе-абс'!T$2</f>
        <v>0.29078014184397177</v>
      </c>
      <c r="U18" s="2">
        <f>('вместе-абс'!U18 - 'вместе-абс'!U$2) / 'вместе-абс'!U$2</f>
        <v>0.17454545454545453</v>
      </c>
      <c r="V18" s="2">
        <f>('вместе-абс'!V18 - 'вместе-абс'!V$2) / 'вместе-абс'!V$2</f>
        <v>0.13898901098901098</v>
      </c>
    </row>
    <row r="19" spans="1:22" x14ac:dyDescent="0.25">
      <c r="A19" s="9">
        <f t="shared" si="0"/>
        <v>1934</v>
      </c>
      <c r="B19" s="2">
        <f>('вместе-абс'!B19 - 'вместе-абс'!B$2) / 'вместе-абс'!B$2</f>
        <v>0.53136094674556222</v>
      </c>
      <c r="C19" s="2">
        <f>('вместе-абс'!C19 - 'вместе-абс'!C$2) / 'вместе-абс'!C$2</f>
        <v>0.20673076923076908</v>
      </c>
      <c r="D19" s="2">
        <f>('вместе-абс'!D19 - 'вместе-абс'!D$2) / 'вместе-абс'!D$2</f>
        <v>0.41469102215312859</v>
      </c>
      <c r="E19" s="2">
        <f>('вместе-абс'!E19 - 'вместе-абс'!E$2) / 'вместе-абс'!E$2</f>
        <v>0.2719780219780219</v>
      </c>
      <c r="F19" s="2">
        <f>('вместе-абс'!F19 - 'вместе-абс'!F$2) / 'вместе-абс'!F$2</f>
        <v>0.4038461538461538</v>
      </c>
      <c r="G19" s="2">
        <f>('вместе-абс'!G19 - 'вместе-абс'!G$2) / 'вместе-абс'!G$2</f>
        <v>0.35000000000000003</v>
      </c>
      <c r="H19" s="2">
        <f>('вместе-абс'!H19 - 'вместе-абс'!H$2) / 'вместе-абс'!H$2</f>
        <v>0.46909090909090911</v>
      </c>
      <c r="I19" s="2">
        <f>('вместе-абс'!I19 - 'вместе-абс'!I$2) / 'вместе-абс'!I$2</f>
        <v>0.7142857142857143</v>
      </c>
      <c r="J19" s="2">
        <f>('вместе-абс'!J19 - 'вместе-абс'!J$2) / 'вместе-абс'!J$2</f>
        <v>0.41721854304635769</v>
      </c>
      <c r="K19" s="2">
        <f>('вместе-абс'!K19 - 'вместе-абс'!K$2) / 'вместе-абс'!K$2</f>
        <v>0.36036036036036023</v>
      </c>
      <c r="L19" s="2">
        <f>('вместе-абс'!L19 - 'вместе-абс'!L$2) / 'вместе-абс'!L$2</f>
        <v>0.57723577235772361</v>
      </c>
      <c r="M19" s="2">
        <f>('вместе-абс'!M19 - 'вместе-абс'!M$2) / 'вместе-абс'!M$2</f>
        <v>0.29145728643216073</v>
      </c>
      <c r="N19" s="2">
        <f>('вместе-абс'!N19 - 'вместе-абс'!N$2) / 'вместе-абс'!N$2</f>
        <v>0.61904761904761907</v>
      </c>
      <c r="O19" s="2">
        <f>('вместе-абс'!O19 - 'вместе-абс'!O$2) / 'вместе-абс'!O$2</f>
        <v>0.27913669064748209</v>
      </c>
      <c r="P19" s="2">
        <f>('вместе-абс'!P19 - 'вместе-абс'!P$2) / 'вместе-абс'!P$2</f>
        <v>0.16393442622950816</v>
      </c>
      <c r="Q19" s="2">
        <f>('вместе-абс'!Q19 - 'вместе-абс'!Q$2) / 'вместе-абс'!Q$2</f>
        <v>0.29268292682926844</v>
      </c>
      <c r="R19" s="2">
        <f>('вместе-абс'!R19 - 'вместе-абс'!R$2) / 'вместе-абс'!R$2</f>
        <v>0.42647058823529399</v>
      </c>
      <c r="S19" s="2">
        <f>('вместе-абс'!S19 - 'вместе-абс'!S$2) / 'вместе-абс'!S$2</f>
        <v>0.31590413943355122</v>
      </c>
      <c r="T19" s="2">
        <f>('вместе-абс'!T19 - 'вместе-абс'!T$2) / 'вместе-абс'!T$2</f>
        <v>0.30496453900709231</v>
      </c>
      <c r="U19" s="2">
        <f>('вместе-абс'!U19 - 'вместе-абс'!U$2) / 'вместе-абс'!U$2</f>
        <v>0.18545454545454537</v>
      </c>
      <c r="V19" s="2">
        <f>('вместе-абс'!V19 - 'вместе-абс'!V$2) / 'вместе-абс'!V$2</f>
        <v>0.11827472527472528</v>
      </c>
    </row>
    <row r="20" spans="1:22" x14ac:dyDescent="0.25">
      <c r="A20" s="9">
        <f t="shared" si="0"/>
        <v>1935</v>
      </c>
      <c r="B20" s="2">
        <f>('вместе-абс'!B20 - 'вместе-абс'!B$2) / 'вместе-абс'!B$2</f>
        <v>0.55621301775147947</v>
      </c>
      <c r="C20" s="2">
        <f>('вместе-абс'!C20 - 'вместе-абс'!C$2) / 'вместе-абс'!C$2</f>
        <v>0.22115384615384612</v>
      </c>
      <c r="D20" s="2">
        <f>('вместе-абс'!D20 - 'вместе-абс'!D$2) / 'вместе-абс'!D$2</f>
        <v>0.44383987563155841</v>
      </c>
      <c r="E20" s="2">
        <f>('вместе-абс'!E20 - 'вместе-абс'!E$2) / 'вместе-абс'!E$2</f>
        <v>0.29120879120879123</v>
      </c>
      <c r="F20" s="2">
        <f>('вместе-абс'!F20 - 'вместе-абс'!F$2) / 'вместе-абс'!F$2</f>
        <v>0.43356643356643348</v>
      </c>
      <c r="G20" s="2">
        <f>('вместе-абс'!G20 - 'вместе-абс'!G$2) / 'вместе-абс'!G$2</f>
        <v>0.37500000000000006</v>
      </c>
      <c r="H20" s="2">
        <f>('вместе-абс'!H20 - 'вместе-абс'!H$2) / 'вместе-абс'!H$2</f>
        <v>0.48000000000000009</v>
      </c>
      <c r="I20" s="2">
        <f>('вместе-абс'!I20 - 'вместе-абс'!I$2) / 'вместе-абс'!I$2</f>
        <v>0.76190476190476197</v>
      </c>
      <c r="J20" s="2">
        <f>('вместе-абс'!J20 - 'вместе-абс'!J$2) / 'вместе-абс'!J$2</f>
        <v>0.45695364238410607</v>
      </c>
      <c r="K20" s="2">
        <f>('вместе-абс'!K20 - 'вместе-абс'!K$2) / 'вместе-абс'!K$2</f>
        <v>0.37837837837837829</v>
      </c>
      <c r="L20" s="2">
        <f>('вместе-абс'!L20 - 'вместе-абс'!L$2) / 'вместе-абс'!L$2</f>
        <v>0.6097560975609756</v>
      </c>
      <c r="M20" s="2">
        <f>('вместе-абс'!M20 - 'вместе-абс'!M$2) / 'вместе-абс'!M$2</f>
        <v>0.31155778894472358</v>
      </c>
      <c r="N20" s="2">
        <f>('вместе-абс'!N20 - 'вместе-абс'!N$2) / 'вместе-абс'!N$2</f>
        <v>0.65079365079365081</v>
      </c>
      <c r="O20" s="2">
        <f>('вместе-абс'!O20 - 'вместе-абс'!O$2) / 'вместе-абс'!O$2</f>
        <v>0.30143884892086326</v>
      </c>
      <c r="P20" s="2">
        <f>('вместе-абс'!P20 - 'вместе-абс'!P$2) / 'вместе-абс'!P$2</f>
        <v>0.19672131147540983</v>
      </c>
      <c r="Q20" s="2">
        <f>('вместе-абс'!Q20 - 'вместе-абс'!Q$2) / 'вместе-абс'!Q$2</f>
        <v>0.34146341463414653</v>
      </c>
      <c r="R20" s="2">
        <f>('вместе-абс'!R20 - 'вместе-абс'!R$2) / 'вместе-абс'!R$2</f>
        <v>0.45588235294117635</v>
      </c>
      <c r="S20" s="2">
        <f>('вместе-абс'!S20 - 'вместе-абс'!S$2) / 'вместе-абс'!S$2</f>
        <v>0.33551198257080611</v>
      </c>
      <c r="T20" s="2">
        <f>('вместе-абс'!T20 - 'вместе-абс'!T$2) / 'вместе-абс'!T$2</f>
        <v>0.32624113475177319</v>
      </c>
      <c r="U20" s="2">
        <f>('вместе-абс'!U20 - 'вместе-абс'!U$2) / 'вместе-абс'!U$2</f>
        <v>0.19999999999999993</v>
      </c>
      <c r="V20" s="2">
        <f>('вместе-абс'!V20 - 'вместе-абс'!V$2) / 'вместе-абс'!V$2</f>
        <v>0.12175824175824176</v>
      </c>
    </row>
    <row r="21" spans="1:22" x14ac:dyDescent="0.25">
      <c r="A21" s="9">
        <f t="shared" si="0"/>
        <v>1936</v>
      </c>
      <c r="B21" s="2">
        <f>('вместе-абс'!B21 - 'вместе-абс'!B$2) / 'вместе-абс'!B$2</f>
        <v>0.58224852071005917</v>
      </c>
      <c r="C21" s="2">
        <f>('вместе-абс'!C21 - 'вместе-абс'!C$2) / 'вместе-абс'!C$2</f>
        <v>0.23557692307692296</v>
      </c>
      <c r="D21" s="2">
        <f>('вместе-абс'!D21 - 'вместе-абс'!D$2) / 'вместе-абс'!D$2</f>
        <v>0.47337738048970057</v>
      </c>
      <c r="E21" s="2">
        <f>('вместе-абс'!E21 - 'вместе-абс'!E$2) / 'вместе-абс'!E$2</f>
        <v>0.31043956043956028</v>
      </c>
      <c r="F21" s="2">
        <f>('вместе-абс'!F21 - 'вместе-абс'!F$2) / 'вместе-абс'!F$2</f>
        <v>0.46153846153846151</v>
      </c>
      <c r="G21" s="2">
        <f>('вместе-абс'!G21 - 'вместе-абс'!G$2) / 'вместе-абс'!G$2</f>
        <v>0.40000000000000008</v>
      </c>
      <c r="H21" s="2">
        <f>('вместе-абс'!H21 - 'вместе-абс'!H$2) / 'вместе-абс'!H$2</f>
        <v>0.49454545454545468</v>
      </c>
      <c r="I21" s="2">
        <f>('вместе-абс'!I21 - 'вместе-абс'!I$2) / 'вместе-абс'!I$2</f>
        <v>0.80952380952380965</v>
      </c>
      <c r="J21" s="2">
        <f>('вместе-абс'!J21 - 'вместе-абс'!J$2) / 'вместе-абс'!J$2</f>
        <v>0.49006622516556292</v>
      </c>
      <c r="K21" s="2">
        <f>('вместе-абс'!K21 - 'вместе-абс'!K$2) / 'вместе-абс'!K$2</f>
        <v>0.39639639639639629</v>
      </c>
      <c r="L21" s="2">
        <f>('вместе-абс'!L21 - 'вместе-абс'!L$2) / 'вместе-абс'!L$2</f>
        <v>0.64227642276422769</v>
      </c>
      <c r="M21" s="2">
        <f>('вместе-абс'!M21 - 'вместе-абс'!M$2) / 'вместе-абс'!M$2</f>
        <v>0.33165829145728637</v>
      </c>
      <c r="N21" s="2">
        <f>('вместе-абс'!N21 - 'вместе-абс'!N$2) / 'вместе-абс'!N$2</f>
        <v>0.68253968253968256</v>
      </c>
      <c r="O21" s="2">
        <f>('вместе-абс'!O21 - 'вместе-абс'!O$2) / 'вместе-абс'!O$2</f>
        <v>0.32446043165467625</v>
      </c>
      <c r="P21" s="2">
        <f>('вместе-абс'!P21 - 'вместе-абс'!P$2) / 'вместе-абс'!P$2</f>
        <v>0.22950819672131151</v>
      </c>
      <c r="Q21" s="2">
        <f>('вместе-абс'!Q21 - 'вместе-абс'!Q$2) / 'вместе-абс'!Q$2</f>
        <v>0.36585365853658558</v>
      </c>
      <c r="R21" s="2">
        <f>('вместе-абс'!R21 - 'вместе-абс'!R$2) / 'вместе-абс'!R$2</f>
        <v>0.48529411764705871</v>
      </c>
      <c r="S21" s="2">
        <f>('вместе-абс'!S21 - 'вместе-абс'!S$2) / 'вместе-абс'!S$2</f>
        <v>0.35947712418300665</v>
      </c>
      <c r="T21" s="2">
        <f>('вместе-абс'!T21 - 'вместе-абс'!T$2) / 'вместе-абс'!T$2</f>
        <v>0.34042553191489361</v>
      </c>
      <c r="U21" s="2">
        <f>('вместе-абс'!U21 - 'вместе-абс'!U$2) / 'вместе-абс'!U$2</f>
        <v>0.22909090909090904</v>
      </c>
      <c r="V21" s="2">
        <f>('вместе-абс'!V21 - 'вместе-абс'!V$2) / 'вместе-абс'!V$2</f>
        <v>0.13503296703296702</v>
      </c>
    </row>
    <row r="22" spans="1:22" x14ac:dyDescent="0.25">
      <c r="A22" s="9">
        <f t="shared" si="0"/>
        <v>1937</v>
      </c>
      <c r="B22" s="2">
        <f>('вместе-абс'!B22 - 'вместе-абс'!B$2) / 'вместе-абс'!B$2</f>
        <v>0.61065088757396457</v>
      </c>
      <c r="C22" s="2">
        <f>('вместе-абс'!C22 - 'вместе-абс'!C$2) / 'вместе-абс'!C$2</f>
        <v>0.25</v>
      </c>
      <c r="D22" s="2">
        <f>('вместе-абс'!D22 - 'вместе-абс'!D$2) / 'вместе-абс'!D$2</f>
        <v>0.50369218810726768</v>
      </c>
      <c r="E22" s="2">
        <f>('вместе-абс'!E22 - 'вместе-абс'!E$2) / 'вместе-абс'!E$2</f>
        <v>0.32967032967032961</v>
      </c>
      <c r="F22" s="2">
        <f>('вместе-абс'!F22 - 'вместе-абс'!F$2) / 'вместе-абс'!F$2</f>
        <v>0.49125874125874119</v>
      </c>
      <c r="G22" s="2">
        <f>('вместе-абс'!G22 - 'вместе-абс'!G$2) / 'вместе-абс'!G$2</f>
        <v>0.44999999999999984</v>
      </c>
      <c r="H22" s="2">
        <f>('вместе-абс'!H22 - 'вместе-абс'!H$2) / 'вместе-абс'!H$2</f>
        <v>0.51636363636363636</v>
      </c>
      <c r="I22" s="2">
        <f>('вместе-абс'!I22 - 'вместе-абс'!I$2) / 'вместе-абс'!I$2</f>
        <v>0.85714285714285732</v>
      </c>
      <c r="J22" s="2">
        <f>('вместе-абс'!J22 - 'вместе-абс'!J$2) / 'вместе-абс'!J$2</f>
        <v>0.52317880794701976</v>
      </c>
      <c r="K22" s="2">
        <f>('вместе-абс'!K22 - 'вместе-абс'!K$2) / 'вместе-абс'!K$2</f>
        <v>0.41441441441441434</v>
      </c>
      <c r="L22" s="2">
        <f>('вместе-абс'!L22 - 'вместе-абс'!L$2) / 'вместе-абс'!L$2</f>
        <v>0.68292682926829262</v>
      </c>
      <c r="M22" s="2">
        <f>('вместе-абс'!M22 - 'вместе-абс'!M$2) / 'вместе-абс'!M$2</f>
        <v>0.35678391959799005</v>
      </c>
      <c r="N22" s="2">
        <f>('вместе-абс'!N22 - 'вместе-абс'!N$2) / 'вместе-абс'!N$2</f>
        <v>0.71428571428571441</v>
      </c>
      <c r="O22" s="2">
        <f>('вместе-абс'!O22 - 'вместе-абс'!O$2) / 'вместе-абс'!O$2</f>
        <v>0.34964028776978423</v>
      </c>
      <c r="P22" s="2">
        <f>('вместе-абс'!P22 - 'вместе-абс'!P$2) / 'вместе-абс'!P$2</f>
        <v>0.26229508196721318</v>
      </c>
      <c r="Q22" s="2">
        <f>('вместе-абс'!Q22 - 'вместе-абс'!Q$2) / 'вместе-абс'!Q$2</f>
        <v>0.41463414634146339</v>
      </c>
      <c r="R22" s="2">
        <f>('вместе-абс'!R22 - 'вместе-абс'!R$2) / 'вместе-абс'!R$2</f>
        <v>0.52941176470588225</v>
      </c>
      <c r="S22" s="2">
        <f>('вместе-абс'!S22 - 'вместе-абс'!S$2) / 'вместе-абс'!S$2</f>
        <v>0.38344226579520696</v>
      </c>
      <c r="T22" s="2">
        <f>('вместе-абс'!T22 - 'вместе-абс'!T$2) / 'вместе-абс'!T$2</f>
        <v>0.3546099290780142</v>
      </c>
      <c r="U22" s="2">
        <f>('вместе-абс'!U22 - 'вместе-абс'!U$2) / 'вместе-абс'!U$2</f>
        <v>0.25818181818181818</v>
      </c>
      <c r="V22" s="2">
        <f>('вместе-абс'!V22 - 'вместе-абс'!V$2) / 'вместе-абс'!V$2</f>
        <v>0.14857142857142858</v>
      </c>
    </row>
    <row r="23" spans="1:22" x14ac:dyDescent="0.25">
      <c r="A23" s="9">
        <f t="shared" si="0"/>
        <v>1938</v>
      </c>
      <c r="B23" s="2">
        <f>('вместе-абс'!B23 - 'вместе-абс'!B$2) / 'вместе-абс'!B$2</f>
        <v>0.63786982248520718</v>
      </c>
      <c r="C23" s="2">
        <f>('вместе-абс'!C23 - 'вместе-абс'!C$2) / 'вместе-абс'!C$2</f>
        <v>0.26442307692307682</v>
      </c>
      <c r="D23" s="2">
        <f>('вместе-абс'!D23 - 'вместе-абс'!D$2) / 'вместе-абс'!D$2</f>
        <v>0.53439564710454712</v>
      </c>
      <c r="E23" s="2">
        <f>('вместе-абс'!E23 - 'вместе-абс'!E$2) / 'вместе-абс'!E$2</f>
        <v>0.34890109890109888</v>
      </c>
      <c r="F23" s="2">
        <f>('вместе-абс'!F23 - 'вместе-абс'!F$2) / 'вместе-абс'!F$2</f>
        <v>0.52097902097902093</v>
      </c>
      <c r="G23" s="2">
        <f>('вместе-абс'!G23 - 'вместе-абс'!G$2) / 'вместе-абс'!G$2</f>
        <v>0.47499999999999987</v>
      </c>
      <c r="H23" s="2">
        <f>('вместе-абс'!H23 - 'вместе-абс'!H$2) / 'вместе-абс'!H$2</f>
        <v>0.53818181818181832</v>
      </c>
      <c r="I23" s="2">
        <f>('вместе-абс'!I23 - 'вместе-абс'!I$2) / 'вместе-абс'!I$2</f>
        <v>0.90476190476190499</v>
      </c>
      <c r="J23" s="2">
        <f>('вместе-абс'!J23 - 'вместе-абс'!J$2) / 'вместе-абс'!J$2</f>
        <v>0.56291390728476809</v>
      </c>
      <c r="K23" s="2">
        <f>('вместе-абс'!K23 - 'вместе-абс'!K$2) / 'вместе-абс'!K$2</f>
        <v>0.4324324324324324</v>
      </c>
      <c r="L23" s="2">
        <f>('вместе-абс'!L23 - 'вместе-абс'!L$2) / 'вместе-абс'!L$2</f>
        <v>0.71544715447154461</v>
      </c>
      <c r="M23" s="2">
        <f>('вместе-абс'!M23 - 'вместе-абс'!M$2) / 'вместе-абс'!M$2</f>
        <v>0.3768844221105529</v>
      </c>
      <c r="N23" s="2">
        <f>('вместе-абс'!N23 - 'вместе-абс'!N$2) / 'вместе-абс'!N$2</f>
        <v>0.74603174603174616</v>
      </c>
      <c r="O23" s="2">
        <f>('вместе-абс'!O23 - 'вместе-абс'!O$2) / 'вместе-абс'!O$2</f>
        <v>0.37194244604316545</v>
      </c>
      <c r="P23" s="2">
        <f>('вместе-абс'!P23 - 'вместе-абс'!P$2) / 'вместе-абс'!P$2</f>
        <v>0.27868852459016402</v>
      </c>
      <c r="Q23" s="2">
        <f>('вместе-абс'!Q23 - 'вместе-абс'!Q$2) / 'вместе-абс'!Q$2</f>
        <v>0.43902439024390244</v>
      </c>
      <c r="R23" s="2">
        <f>('вместе-абс'!R23 - 'вместе-абс'!R$2) / 'вместе-абс'!R$2</f>
        <v>0.55882352941176472</v>
      </c>
      <c r="S23" s="2">
        <f>('вместе-абс'!S23 - 'вместе-абс'!S$2) / 'вместе-абс'!S$2</f>
        <v>0.40740740740740744</v>
      </c>
      <c r="T23" s="2">
        <f>('вместе-абс'!T23 - 'вместе-абс'!T$2) / 'вместе-абс'!T$2</f>
        <v>0.36879432624113478</v>
      </c>
      <c r="U23" s="2">
        <f>('вместе-абс'!U23 - 'вместе-абс'!U$2) / 'вместе-абс'!U$2</f>
        <v>0.29090909090909084</v>
      </c>
      <c r="V23" s="2">
        <f>('вместе-абс'!V23 - 'вместе-абс'!V$2) / 'вместе-абс'!V$2</f>
        <v>0.16697802197802197</v>
      </c>
    </row>
    <row r="24" spans="1:22" x14ac:dyDescent="0.25">
      <c r="A24" s="9">
        <f t="shared" si="0"/>
        <v>1939</v>
      </c>
      <c r="B24" s="2">
        <f>('вместе-абс'!B24 - 'вместе-абс'!B$2) / 'вместе-абс'!B$2</f>
        <v>0.66390532544378722</v>
      </c>
      <c r="C24" s="2">
        <f>('вместе-абс'!C24 - 'вместе-абс'!C$2) / 'вместе-абс'!C$2</f>
        <v>0.27884615384615385</v>
      </c>
      <c r="D24" s="2">
        <f>('вместе-абс'!D24 - 'вместе-абс'!D$2) / 'вместе-абс'!D$2</f>
        <v>0.56587640886125135</v>
      </c>
      <c r="E24" s="2">
        <f>('вместе-абс'!E24 - 'вместе-абс'!E$2) / 'вместе-абс'!E$2</f>
        <v>0.37087912087912089</v>
      </c>
      <c r="F24" s="2">
        <f>('вместе-абс'!F24 - 'вместе-абс'!F$2) / 'вместе-абс'!F$2</f>
        <v>0.55594405594405605</v>
      </c>
      <c r="G24" s="2">
        <f>('вместе-абс'!G24 - 'вместе-абс'!G$2) / 'вместе-абс'!G$2</f>
        <v>0.52499999999999991</v>
      </c>
      <c r="H24" s="2">
        <f>('вместе-абс'!H24 - 'вместе-абс'!H$2) / 'вместе-абс'!H$2</f>
        <v>0.54545454545454541</v>
      </c>
      <c r="I24" s="2">
        <f>('вместе-абс'!I24 - 'вместе-абс'!I$2) / 'вместе-абс'!I$2</f>
        <v>0.94047619047619047</v>
      </c>
      <c r="J24" s="2">
        <f>('вместе-абс'!J24 - 'вместе-абс'!J$2) / 'вместе-абс'!J$2</f>
        <v>0.59602649006622521</v>
      </c>
      <c r="K24" s="2">
        <f>('вместе-абс'!K24 - 'вместе-абс'!K$2) / 'вместе-абс'!K$2</f>
        <v>0.4504504504504504</v>
      </c>
      <c r="L24" s="2">
        <f>('вместе-абс'!L24 - 'вместе-абс'!L$2) / 'вместе-абс'!L$2</f>
        <v>0.74796747967479671</v>
      </c>
      <c r="M24" s="2">
        <f>('вместе-абс'!M24 - 'вместе-абс'!M$2) / 'вместе-абс'!M$2</f>
        <v>0.4020100502512563</v>
      </c>
      <c r="N24" s="2">
        <f>('вместе-абс'!N24 - 'вместе-абс'!N$2) / 'вместе-абс'!N$2</f>
        <v>0.7777777777777779</v>
      </c>
      <c r="O24" s="2">
        <f>('вместе-абс'!O24 - 'вместе-абс'!O$2) / 'вместе-абс'!O$2</f>
        <v>0.39640287769784172</v>
      </c>
      <c r="P24" s="2">
        <f>('вместе-абс'!P24 - 'вместе-абс'!P$2) / 'вместе-абс'!P$2</f>
        <v>0.32786885245901654</v>
      </c>
      <c r="Q24" s="2">
        <f>('вместе-абс'!Q24 - 'вместе-абс'!Q$2) / 'вместе-абс'!Q$2</f>
        <v>0.48780487804878053</v>
      </c>
      <c r="R24" s="2">
        <f>('вместе-абс'!R24 - 'вместе-абс'!R$2) / 'вместе-абс'!R$2</f>
        <v>0.6029411764705882</v>
      </c>
      <c r="S24" s="2">
        <f>('вместе-абс'!S24 - 'вместе-абс'!S$2) / 'вместе-абс'!S$2</f>
        <v>0.43137254901960798</v>
      </c>
      <c r="T24" s="2">
        <f>('вместе-абс'!T24 - 'вместе-абс'!T$2) / 'вместе-абс'!T$2</f>
        <v>0.38297872340425537</v>
      </c>
      <c r="U24" s="2">
        <f>('вместе-абс'!U24 - 'вместе-абс'!U$2) / 'вместе-абс'!U$2</f>
        <v>0.31999999999999995</v>
      </c>
      <c r="V24" s="2">
        <f>('вместе-абс'!V24 - 'вместе-абс'!V$2) / 'вместе-абс'!V$2</f>
        <v>0.18563736263736264</v>
      </c>
    </row>
    <row r="25" spans="1:22" x14ac:dyDescent="0.25">
      <c r="A25" s="9">
        <f t="shared" si="0"/>
        <v>1940</v>
      </c>
      <c r="B25" s="2">
        <f>('вместе-абс'!B25 - 'вместе-абс'!B$2) / 'вместе-абс'!B$2</f>
        <v>0.67692307692307707</v>
      </c>
      <c r="C25" s="2">
        <f>('вместе-абс'!C25 - 'вместе-абс'!C$2) / 'вместе-абс'!C$2</f>
        <v>0.29807692307692313</v>
      </c>
      <c r="D25" s="2">
        <f>('вместе-абс'!D25 - 'вместе-абс'!D$2) / 'вместе-абс'!D$2</f>
        <v>0.59774582199766801</v>
      </c>
      <c r="E25" s="2">
        <f>('вместе-абс'!E25 - 'вместе-абс'!E$2) / 'вместе-абс'!E$2</f>
        <v>0.39010989010988995</v>
      </c>
      <c r="F25" s="2">
        <f>('вместе-абс'!F25 - 'вместе-абс'!F$2) / 'вместе-абс'!F$2</f>
        <v>0.59090909090909094</v>
      </c>
      <c r="G25" s="2">
        <f>('вместе-абс'!G25 - 'вместе-абс'!G$2) / 'вместе-абс'!G$2</f>
        <v>0.54999999999999993</v>
      </c>
      <c r="H25" s="2">
        <f>('вместе-абс'!H25 - 'вместе-абс'!H$2) / 'вместе-абс'!H$2</f>
        <v>0.56000000000000005</v>
      </c>
      <c r="I25" s="2">
        <f>('вместе-абс'!I25 - 'вместе-абс'!I$2) / 'вместе-абс'!I$2</f>
        <v>1.0952380952380953</v>
      </c>
      <c r="J25" s="2">
        <f>('вместе-абс'!J25 - 'вместе-абс'!J$2) / 'вместе-абс'!J$2</f>
        <v>0.63576158940397365</v>
      </c>
      <c r="K25" s="2">
        <f>('вместе-абс'!K25 - 'вместе-абс'!K$2) / 'вместе-абс'!K$2</f>
        <v>0.46846846846846824</v>
      </c>
      <c r="L25" s="2">
        <f>('вместе-абс'!L25 - 'вместе-абс'!L$2) / 'вместе-абс'!L$2</f>
        <v>0.78861788617886197</v>
      </c>
      <c r="M25" s="2">
        <f>('вместе-абс'!M25 - 'вместе-абс'!M$2) / 'вместе-абс'!M$2</f>
        <v>0.42211055276381915</v>
      </c>
      <c r="N25" s="2">
        <f>('вместе-абс'!N25 - 'вместе-абс'!N$2) / 'вместе-абс'!N$2</f>
        <v>0.82539682539682524</v>
      </c>
      <c r="O25" s="2">
        <f>('вместе-абс'!O25 - 'вместе-абс'!O$2) / 'вместе-абс'!O$2</f>
        <v>0.41366906474820131</v>
      </c>
      <c r="P25" s="2">
        <f>('вместе-абс'!P25 - 'вместе-абс'!P$2) / 'вместе-абс'!P$2</f>
        <v>0.36065573770491799</v>
      </c>
      <c r="Q25" s="2">
        <f>('вместе-абс'!Q25 - 'вместе-абс'!Q$2) / 'вместе-абс'!Q$2</f>
        <v>0.51219512195121963</v>
      </c>
      <c r="R25" s="2">
        <f>('вместе-абс'!R25 - 'вместе-абс'!R$2) / 'вместе-абс'!R$2</f>
        <v>0.63235294117647056</v>
      </c>
      <c r="S25" s="2">
        <f>('вместе-абс'!S25 - 'вместе-абс'!S$2) / 'вместе-абс'!S$2</f>
        <v>0.45533769063180829</v>
      </c>
      <c r="T25" s="2">
        <f>('вместе-абс'!T25 - 'вместе-абс'!T$2) / 'вместе-абс'!T$2</f>
        <v>0.39716312056737596</v>
      </c>
      <c r="U25" s="2">
        <f>('вместе-абс'!U25 - 'вместе-абс'!U$2) / 'вместе-абс'!U$2</f>
        <v>0.34909090909090906</v>
      </c>
      <c r="V25" s="2">
        <f>('вместе-абс'!V25 - 'вместе-абс'!V$2) / 'вместе-абс'!V$2</f>
        <v>0.20525274725274725</v>
      </c>
    </row>
    <row r="26" spans="1:22" x14ac:dyDescent="0.25">
      <c r="A26" s="9">
        <f t="shared" si="0"/>
        <v>1941</v>
      </c>
      <c r="B26" s="2">
        <f>('вместе-абс'!B26 - 'вместе-абс'!B$2) / 'вместе-абс'!B$2</f>
        <v>0.70414201183431968</v>
      </c>
      <c r="C26" s="2">
        <f>('вместе-абс'!C26 - 'вместе-абс'!C$2) / 'вместе-абс'!C$2</f>
        <v>0.30769230769230776</v>
      </c>
      <c r="D26" s="2">
        <f>('вместе-абс'!D26 - 'вместе-абс'!D$2) / 'вместе-абс'!D$2</f>
        <v>0.63505635445005826</v>
      </c>
      <c r="E26" s="2">
        <f>('вместе-абс'!E26 - 'вместе-абс'!E$2) / 'вместе-абс'!E$2</f>
        <v>0.41483516483516486</v>
      </c>
      <c r="F26" s="2">
        <f>('вместе-абс'!F26 - 'вместе-абс'!F$2) / 'вместе-абс'!F$2</f>
        <v>0.62937062937062949</v>
      </c>
      <c r="G26" s="2">
        <f>('вместе-абс'!G26 - 'вместе-абс'!G$2) / 'вместе-абс'!G$2</f>
        <v>0.57499999999999996</v>
      </c>
      <c r="H26" s="2">
        <f>('вместе-абс'!H26 - 'вместе-абс'!H$2) / 'вместе-абс'!H$2</f>
        <v>0.57454545454545458</v>
      </c>
      <c r="I26" s="2">
        <f>('вместе-абс'!I26 - 'вместе-абс'!I$2) / 'вместе-абс'!I$2</f>
        <v>1.142857142857143</v>
      </c>
      <c r="J26" s="2">
        <f>('вместе-абс'!J26 - 'вместе-абс'!J$2) / 'вместе-абс'!J$2</f>
        <v>0.66887417218543044</v>
      </c>
      <c r="K26" s="2">
        <f>('вместе-абс'!K26 - 'вместе-абс'!K$2) / 'вместе-абс'!K$2</f>
        <v>0.48648648648648629</v>
      </c>
      <c r="L26" s="2">
        <f>('вместе-абс'!L26 - 'вместе-абс'!L$2) / 'вместе-абс'!L$2</f>
        <v>0.8292682926829269</v>
      </c>
      <c r="M26" s="2">
        <f>('вместе-абс'!M26 - 'вместе-абс'!M$2) / 'вместе-абс'!M$2</f>
        <v>0.44723618090452255</v>
      </c>
      <c r="N26" s="2">
        <f>('вместе-абс'!N26 - 'вместе-абс'!N$2) / 'вместе-абс'!N$2</f>
        <v>0.85714285714285698</v>
      </c>
      <c r="O26" s="2">
        <f>('вместе-абс'!O26 - 'вместе-абс'!O$2) / 'вместе-абс'!O$2</f>
        <v>0.45395683453237412</v>
      </c>
      <c r="P26" s="2">
        <f>('вместе-абс'!P26 - 'вместе-абс'!P$2) / 'вместе-абс'!P$2</f>
        <v>0.37704918032786883</v>
      </c>
      <c r="Q26" s="2">
        <f>('вместе-абс'!Q26 - 'вместе-абс'!Q$2) / 'вместе-абс'!Q$2</f>
        <v>0.56097560975609773</v>
      </c>
      <c r="R26" s="2">
        <f>('вместе-абс'!R26 - 'вместе-абс'!R$2) / 'вместе-абс'!R$2</f>
        <v>0.67647058823529382</v>
      </c>
      <c r="S26" s="2">
        <f>('вместе-абс'!S26 - 'вместе-абс'!S$2) / 'вместе-абс'!S$2</f>
        <v>0.48148148148148151</v>
      </c>
      <c r="T26" s="2">
        <f>('вместе-абс'!T26 - 'вместе-абс'!T$2) / 'вместе-абс'!T$2</f>
        <v>0.41134751773049655</v>
      </c>
      <c r="U26" s="2">
        <f>('вместе-абс'!U26 - 'вместе-абс'!U$2) / 'вместе-абс'!U$2</f>
        <v>0.38181818181818178</v>
      </c>
      <c r="V26" s="2">
        <f>('вместе-абс'!V26 - 'вместе-абс'!V$2) / 'вместе-абс'!V$2</f>
        <v>0.21964835164835164</v>
      </c>
    </row>
    <row r="27" spans="1:22" x14ac:dyDescent="0.25">
      <c r="A27" s="9">
        <f t="shared" si="0"/>
        <v>1942</v>
      </c>
      <c r="B27" s="2">
        <f>('вместе-абс'!B27 - 'вместе-абс'!B$2) / 'вместе-абс'!B$2</f>
        <v>0.73254437869822508</v>
      </c>
      <c r="C27" s="2">
        <f>('вместе-абс'!C27 - 'вместе-абс'!C$2) / 'вместе-абс'!C$2</f>
        <v>0.32211538461538458</v>
      </c>
      <c r="D27" s="2">
        <f>('вместе-абс'!D27 - 'вместе-абс'!D$2) / 'вместе-абс'!D$2</f>
        <v>0.67353284104158573</v>
      </c>
      <c r="E27" s="2">
        <f>('вместе-абс'!E27 - 'вместе-абс'!E$2) / 'вместе-абс'!E$2</f>
        <v>0.43956043956043955</v>
      </c>
      <c r="F27" s="2">
        <f>('вместе-абс'!F27 - 'вместе-абс'!F$2) / 'вместе-абс'!F$2</f>
        <v>0.6678321678321677</v>
      </c>
      <c r="G27" s="2">
        <f>('вместе-абс'!G27 - 'вместе-абс'!G$2) / 'вместе-абс'!G$2</f>
        <v>0.625</v>
      </c>
      <c r="H27" s="2">
        <f>('вместе-абс'!H27 - 'вместе-абс'!H$2) / 'вместе-абс'!H$2</f>
        <v>0.58909090909090911</v>
      </c>
      <c r="I27" s="2">
        <f>('вместе-абс'!I27 - 'вместе-абс'!I$2) / 'вместе-абс'!I$2</f>
        <v>1.1904761904761905</v>
      </c>
      <c r="J27" s="2">
        <f>('вместе-абс'!J27 - 'вместе-абс'!J$2) / 'вместе-абс'!J$2</f>
        <v>0.70860927152317887</v>
      </c>
      <c r="K27" s="2">
        <f>('вместе-абс'!K27 - 'вместе-абс'!K$2) / 'вместе-абс'!K$2</f>
        <v>0.51351351351351338</v>
      </c>
      <c r="L27" s="2">
        <f>('вместе-абс'!L27 - 'вместе-абс'!L$2) / 'вместе-абс'!L$2</f>
        <v>0.86991869918699172</v>
      </c>
      <c r="M27" s="2">
        <f>('вместе-абс'!M27 - 'вместе-абс'!M$2) / 'вместе-абс'!M$2</f>
        <v>0.47738693467336679</v>
      </c>
      <c r="N27" s="2">
        <f>('вместе-абс'!N27 - 'вместе-абс'!N$2) / 'вместе-абс'!N$2</f>
        <v>0.90476190476190466</v>
      </c>
      <c r="O27" s="2">
        <f>('вместе-абс'!O27 - 'вместе-абс'!O$2) / 'вместе-абс'!O$2</f>
        <v>0.48633093525179855</v>
      </c>
      <c r="P27" s="2">
        <f>('вместе-абс'!P27 - 'вместе-абс'!P$2) / 'вместе-абс'!P$2</f>
        <v>0.4098360655737705</v>
      </c>
      <c r="Q27" s="2">
        <f>('вместе-абс'!Q27 - 'вместе-абс'!Q$2) / 'вместе-абс'!Q$2</f>
        <v>0.58536585365853677</v>
      </c>
      <c r="R27" s="2">
        <f>('вместе-абс'!R27 - 'вместе-абс'!R$2) / 'вместе-абс'!R$2</f>
        <v>0.70588235294117618</v>
      </c>
      <c r="S27" s="2">
        <f>('вместе-абс'!S27 - 'вместе-абс'!S$2) / 'вместе-абс'!S$2</f>
        <v>0.50762527233115473</v>
      </c>
      <c r="T27" s="2">
        <f>('вместе-абс'!T27 - 'вместе-абс'!T$2) / 'вместе-абс'!T$2</f>
        <v>0.42553191489361697</v>
      </c>
      <c r="U27" s="2">
        <f>('вместе-абс'!U27 - 'вместе-абс'!U$2) / 'вместе-абс'!U$2</f>
        <v>0.42181818181818187</v>
      </c>
      <c r="V27" s="2">
        <f>('вместе-абс'!V27 - 'вместе-абс'!V$2) / 'вместе-абс'!V$2</f>
        <v>0.18856043956043955</v>
      </c>
    </row>
    <row r="28" spans="1:22" x14ac:dyDescent="0.25">
      <c r="A28" s="9">
        <f t="shared" si="0"/>
        <v>1943</v>
      </c>
      <c r="B28" s="2">
        <f>('вместе-абс'!B28 - 'вместе-абс'!B$2) / 'вместе-абс'!B$2</f>
        <v>0.76094674556213038</v>
      </c>
      <c r="C28" s="2">
        <f>('вместе-абс'!C28 - 'вместе-абс'!C$2) / 'вместе-абс'!C$2</f>
        <v>0.3413461538461538</v>
      </c>
      <c r="D28" s="2">
        <f>('вместе-абс'!D28 - 'вместе-абс'!D$2) / 'вместе-абс'!D$2</f>
        <v>0.70967741935483875</v>
      </c>
      <c r="E28" s="2">
        <f>('вместе-абс'!E28 - 'вместе-абс'!E$2) / 'вместе-абс'!E$2</f>
        <v>0.46703296703296693</v>
      </c>
      <c r="F28" s="2">
        <f>('вместе-абс'!F28 - 'вместе-абс'!F$2) / 'вместе-абс'!F$2</f>
        <v>0.70804195804195802</v>
      </c>
      <c r="G28" s="2">
        <f>('вместе-абс'!G28 - 'вместе-абс'!G$2) / 'вместе-абс'!G$2</f>
        <v>0.65</v>
      </c>
      <c r="H28" s="2">
        <f>('вместе-абс'!H28 - 'вместе-абс'!H$2) / 'вместе-абс'!H$2</f>
        <v>0.73818181818181827</v>
      </c>
      <c r="I28" s="2">
        <f>('вместе-абс'!I28 - 'вместе-абс'!I$2) / 'вместе-абс'!I$2</f>
        <v>1.2499999999999998</v>
      </c>
      <c r="J28" s="2">
        <f>('вместе-абс'!J28 - 'вместе-абс'!J$2) / 'вместе-абс'!J$2</f>
        <v>0.7483443708609272</v>
      </c>
      <c r="K28" s="2">
        <f>('вместе-абс'!K28 - 'вместе-абс'!K$2) / 'вместе-абс'!K$2</f>
        <v>0.52252252252252229</v>
      </c>
      <c r="L28" s="2">
        <f>('вместе-абс'!L28 - 'вместе-абс'!L$2) / 'вместе-абс'!L$2</f>
        <v>0.90243902439024382</v>
      </c>
      <c r="M28" s="2">
        <f>('вместе-абс'!M28 - 'вместе-абс'!M$2) / 'вместе-абс'!M$2</f>
        <v>0.49748743718592964</v>
      </c>
      <c r="N28" s="2">
        <f>('вместе-абс'!N28 - 'вместе-абс'!N$2) / 'вместе-абс'!N$2</f>
        <v>0.92063492063492058</v>
      </c>
      <c r="O28" s="2">
        <f>('вместе-абс'!O28 - 'вместе-абс'!O$2) / 'вместе-абс'!O$2</f>
        <v>0.52302158273381305</v>
      </c>
      <c r="P28" s="2">
        <f>('вместе-абс'!P28 - 'вместе-абс'!P$2) / 'вместе-абс'!P$2</f>
        <v>0.44262295081967218</v>
      </c>
      <c r="Q28" s="2">
        <f>('вместе-абс'!Q28 - 'вместе-абс'!Q$2) / 'вместе-абс'!Q$2</f>
        <v>0.63414634146341486</v>
      </c>
      <c r="R28" s="2">
        <f>('вместе-абс'!R28 - 'вместе-абс'!R$2) / 'вместе-абс'!R$2</f>
        <v>0.74999999999999978</v>
      </c>
      <c r="S28" s="2">
        <f>('вместе-абс'!S28 - 'вместе-абс'!S$2) / 'вместе-абс'!S$2</f>
        <v>0.53376906318082795</v>
      </c>
      <c r="T28" s="2">
        <f>('вместе-абс'!T28 - 'вместе-абс'!T$2) / 'вместе-абс'!T$2</f>
        <v>0.43971631205673756</v>
      </c>
      <c r="U28" s="2">
        <f>('вместе-абс'!U28 - 'вместе-абс'!U$2) / 'вместе-абс'!U$2</f>
        <v>0.46545454545454557</v>
      </c>
      <c r="V28" s="2">
        <f>('вместе-абс'!V28 - 'вместе-абс'!V$2) / 'вместе-абс'!V$2</f>
        <v>0.15827472527472528</v>
      </c>
    </row>
    <row r="29" spans="1:22" x14ac:dyDescent="0.25">
      <c r="A29" s="9">
        <f t="shared" si="0"/>
        <v>1944</v>
      </c>
      <c r="B29" s="2">
        <f>('вместе-абс'!B29 - 'вместе-абс'!B$2) / 'вместе-абс'!B$2</f>
        <v>0.79053254437869847</v>
      </c>
      <c r="C29" s="2">
        <f>('вместе-абс'!C29 - 'вместе-абс'!C$2) / 'вместе-абс'!C$2</f>
        <v>0.35576923076923067</v>
      </c>
      <c r="D29" s="2">
        <f>('вместе-абс'!D29 - 'вместе-абс'!D$2) / 'вместе-абс'!D$2</f>
        <v>0.74271278663039264</v>
      </c>
      <c r="E29" s="2">
        <f>('вместе-абс'!E29 - 'вместе-абс'!E$2) / 'вместе-абс'!E$2</f>
        <v>0.49450549450549458</v>
      </c>
      <c r="F29" s="2">
        <f>('вместе-абс'!F29 - 'вместе-абс'!F$2) / 'вместе-абс'!F$2</f>
        <v>0.75174825174825177</v>
      </c>
      <c r="G29" s="2">
        <f>('вместе-абс'!G29 - 'вместе-абс'!G$2) / 'вместе-абс'!G$2</f>
        <v>0.70000000000000007</v>
      </c>
      <c r="H29" s="2">
        <f>('вместе-абс'!H29 - 'вместе-абс'!H$2) / 'вместе-абс'!H$2</f>
        <v>0.76363636363636356</v>
      </c>
      <c r="I29" s="2">
        <f>('вместе-абс'!I29 - 'вместе-абс'!I$2) / 'вместе-абс'!I$2</f>
        <v>1.2976190476190474</v>
      </c>
      <c r="J29" s="2">
        <f>('вместе-абс'!J29 - 'вместе-абс'!J$2) / 'вместе-абс'!J$2</f>
        <v>0.79470198675496684</v>
      </c>
      <c r="K29" s="2">
        <f>('вместе-абс'!K29 - 'вместе-абс'!K$2) / 'вместе-абс'!K$2</f>
        <v>0.54954954954954938</v>
      </c>
      <c r="L29" s="2">
        <f>('вместе-абс'!L29 - 'вместе-абс'!L$2) / 'вместе-абс'!L$2</f>
        <v>0.94308943089430908</v>
      </c>
      <c r="M29" s="2">
        <f>('вместе-абс'!M29 - 'вместе-абс'!M$2) / 'вместе-абс'!M$2</f>
        <v>0.5226130653266331</v>
      </c>
      <c r="N29" s="2">
        <f>('вместе-абс'!N29 - 'вместе-абс'!N$2) / 'вместе-абс'!N$2</f>
        <v>0.96825396825396826</v>
      </c>
      <c r="O29" s="2">
        <f>('вместе-абс'!O29 - 'вместе-абс'!O$2) / 'вместе-абс'!O$2</f>
        <v>0.55899280575539578</v>
      </c>
      <c r="P29" s="2">
        <f>('вместе-абс'!P29 - 'вместе-абс'!P$2) / 'вместе-абс'!P$2</f>
        <v>0.47540983606557385</v>
      </c>
      <c r="Q29" s="2">
        <f>('вместе-абс'!Q29 - 'вместе-абс'!Q$2) / 'вместе-абс'!Q$2</f>
        <v>0.68292682926829262</v>
      </c>
      <c r="R29" s="2">
        <f>('вместе-абс'!R29 - 'вместе-абс'!R$2) / 'вместе-абс'!R$2</f>
        <v>0.79411764705882337</v>
      </c>
      <c r="S29" s="2">
        <f>('вместе-абс'!S29 - 'вместе-абс'!S$2) / 'вместе-абс'!S$2</f>
        <v>0.55991285403050117</v>
      </c>
      <c r="T29" s="2">
        <f>('вместе-абс'!T29 - 'вместе-абс'!T$2) / 'вместе-абс'!T$2</f>
        <v>0.46099290780141855</v>
      </c>
      <c r="U29" s="2">
        <f>('вместе-абс'!U29 - 'вместе-абс'!U$2) / 'вместе-абс'!U$2</f>
        <v>0.50909090909090926</v>
      </c>
      <c r="V29" s="2">
        <f>('вместе-абс'!V29 - 'вместе-абс'!V$2) / 'вместе-абс'!V$2</f>
        <v>0.12875824175824177</v>
      </c>
    </row>
    <row r="30" spans="1:22" x14ac:dyDescent="0.25">
      <c r="A30" s="9">
        <f t="shared" si="0"/>
        <v>1945</v>
      </c>
      <c r="B30" s="2">
        <f>('вместе-абс'!B30 - 'вместе-абс'!B$2) / 'вместе-абс'!B$2</f>
        <v>0.82248520710059192</v>
      </c>
      <c r="C30" s="2">
        <f>('вместе-абс'!C30 - 'вместе-абс'!C$2) / 'вместе-абс'!C$2</f>
        <v>0.37019230769230771</v>
      </c>
      <c r="D30" s="2">
        <f>('вместе-абс'!D30 - 'вместе-абс'!D$2) / 'вместе-абс'!D$2</f>
        <v>0.78235522736105712</v>
      </c>
      <c r="E30" s="2">
        <f>('вместе-абс'!E30 - 'вместе-абс'!E$2) / 'вместе-абс'!E$2</f>
        <v>0.5219780219780219</v>
      </c>
      <c r="F30" s="2">
        <f>('вместе-абс'!F30 - 'вместе-абс'!F$2) / 'вместе-абс'!F$2</f>
        <v>0.79545454545454541</v>
      </c>
      <c r="G30" s="2">
        <f>('вместе-абс'!G30 - 'вместе-абс'!G$2) / 'вместе-абс'!G$2</f>
        <v>0.74999999999999978</v>
      </c>
      <c r="H30" s="2">
        <f>('вместе-абс'!H30 - 'вместе-абс'!H$2) / 'вместе-абс'!H$2</f>
        <v>0.79272727272727261</v>
      </c>
      <c r="I30" s="2">
        <f>('вместе-абс'!I30 - 'вместе-абс'!I$2) / 'вместе-абс'!I$2</f>
        <v>1.3571428571428574</v>
      </c>
      <c r="J30" s="2">
        <f>('вместе-абс'!J30 - 'вместе-абс'!J$2) / 'вместе-абс'!J$2</f>
        <v>0.84105960264900648</v>
      </c>
      <c r="K30" s="2">
        <f>('вместе-абс'!K30 - 'вместе-абс'!K$2) / 'вместе-абс'!K$2</f>
        <v>0.56756756756756743</v>
      </c>
      <c r="L30" s="2">
        <f>('вместе-абс'!L30 - 'вместе-абс'!L$2) / 'вместе-абс'!L$2</f>
        <v>0.98373983739837401</v>
      </c>
      <c r="M30" s="2">
        <f>('вместе-абс'!M30 - 'вместе-абс'!M$2) / 'вместе-абс'!M$2</f>
        <v>0.55276381909547734</v>
      </c>
      <c r="N30" s="2">
        <f>('вместе-абс'!N30 - 'вместе-абс'!N$2) / 'вместе-абс'!N$2</f>
        <v>1</v>
      </c>
      <c r="O30" s="2">
        <f>('вместе-абс'!O30 - 'вместе-абс'!O$2) / 'вместе-абс'!O$2</f>
        <v>0.59928057553956837</v>
      </c>
      <c r="P30" s="2">
        <f>('вместе-абс'!P30 - 'вместе-абс'!P$2) / 'вместе-абс'!P$2</f>
        <v>0.50819672131147553</v>
      </c>
      <c r="Q30" s="2">
        <f>('вместе-абс'!Q30 - 'вместе-абс'!Q$2) / 'вместе-абс'!Q$2</f>
        <v>0.70731707317073167</v>
      </c>
      <c r="R30" s="2">
        <f>('вместе-абс'!R30 - 'вместе-абс'!R$2) / 'вместе-абс'!R$2</f>
        <v>0.83823529411764697</v>
      </c>
      <c r="S30" s="2">
        <f>('вместе-абс'!S30 - 'вместе-абс'!S$2) / 'вместе-абс'!S$2</f>
        <v>0.58823529411764708</v>
      </c>
      <c r="T30" s="2">
        <f>('вместе-абс'!T30 - 'вместе-абс'!T$2) / 'вместе-абс'!T$2</f>
        <v>0.47517730496453914</v>
      </c>
      <c r="U30" s="2">
        <f>('вместе-абс'!U30 - 'вместе-абс'!U$2) / 'вместе-абс'!U$2</f>
        <v>0.55272727272727262</v>
      </c>
      <c r="V30" s="2">
        <f>('вместе-абс'!V30 - 'вместе-абс'!V$2) / 'вместе-абс'!V$2</f>
        <v>9.9989010989010987E-2</v>
      </c>
    </row>
    <row r="31" spans="1:22" x14ac:dyDescent="0.25">
      <c r="A31" s="9">
        <f t="shared" si="0"/>
        <v>1946</v>
      </c>
      <c r="B31" s="2">
        <f>('вместе-абс'!B31 - 'вместе-абс'!B$2) / 'вместе-абс'!B$2</f>
        <v>0.85207100591716001</v>
      </c>
      <c r="C31" s="2">
        <f>('вместе-абс'!C31 - 'вместе-абс'!C$2) / 'вместе-абс'!C$2</f>
        <v>0.38461538461538453</v>
      </c>
      <c r="D31" s="2">
        <f>('вместе-абс'!D31 - 'вместе-абс'!D$2) / 'вместе-абс'!D$2</f>
        <v>0.82549553050913327</v>
      </c>
      <c r="E31" s="2">
        <f>('вместе-абс'!E31 - 'вместе-абс'!E$2) / 'вместе-абс'!E$2</f>
        <v>0.54945054945054927</v>
      </c>
      <c r="F31" s="2">
        <f>('вместе-абс'!F31 - 'вместе-абс'!F$2) / 'вместе-абс'!F$2</f>
        <v>0.84090909090909083</v>
      </c>
      <c r="G31" s="2">
        <f>('вместе-абс'!G31 - 'вместе-абс'!G$2) / 'вместе-абс'!G$2</f>
        <v>0.7749999999999998</v>
      </c>
      <c r="H31" s="2">
        <f>('вместе-абс'!H31 - 'вместе-абс'!H$2) / 'вместе-абс'!H$2</f>
        <v>0.83272727272727276</v>
      </c>
      <c r="I31" s="2">
        <f>('вместе-абс'!I31 - 'вместе-абс'!I$2) / 'вместе-абс'!I$2</f>
        <v>1.4166666666666667</v>
      </c>
      <c r="J31" s="2">
        <f>('вместе-абс'!J31 - 'вместе-абс'!J$2) / 'вместе-абс'!J$2</f>
        <v>0.88741721854304645</v>
      </c>
      <c r="K31" s="2">
        <f>('вместе-абс'!K31 - 'вместе-абс'!K$2) / 'вместе-абс'!K$2</f>
        <v>0.58558558558558549</v>
      </c>
      <c r="L31" s="2">
        <f>('вместе-абс'!L31 - 'вместе-абс'!L$2) / 'вместе-абс'!L$2</f>
        <v>1.032520325203252</v>
      </c>
      <c r="M31" s="2">
        <f>('вместе-абс'!M31 - 'вместе-абс'!M$2) / 'вместе-абс'!M$2</f>
        <v>0.57788944723618096</v>
      </c>
      <c r="N31" s="2">
        <f>('вместе-абс'!N31 - 'вместе-абс'!N$2) / 'вместе-абс'!N$2</f>
        <v>1.0476190476190477</v>
      </c>
      <c r="O31" s="2">
        <f>('вместе-абс'!O31 - 'вместе-абс'!O$2) / 'вместе-абс'!O$2</f>
        <v>0.63884892086330936</v>
      </c>
      <c r="P31" s="2">
        <f>('вместе-абс'!P31 - 'вместе-абс'!P$2) / 'вместе-абс'!P$2</f>
        <v>0.55737704918032782</v>
      </c>
      <c r="Q31" s="2">
        <f>('вместе-абс'!Q31 - 'вместе-абс'!Q$2) / 'вместе-абс'!Q$2</f>
        <v>0.75609756097560976</v>
      </c>
      <c r="R31" s="2">
        <f>('вместе-абс'!R31 - 'вместе-абс'!R$2) / 'вместе-абс'!R$2</f>
        <v>0.88235294117647045</v>
      </c>
      <c r="S31" s="2">
        <f>('вместе-абс'!S31 - 'вместе-абс'!S$2) / 'вместе-абс'!S$2</f>
        <v>0.6165577342047931</v>
      </c>
      <c r="T31" s="2">
        <f>('вместе-абс'!T31 - 'вместе-абс'!T$2) / 'вместе-абс'!T$2</f>
        <v>0.48936170212765973</v>
      </c>
      <c r="U31" s="2">
        <f>('вместе-абс'!U31 - 'вместе-абс'!U$2) / 'вместе-абс'!U$2</f>
        <v>0.59636363636363621</v>
      </c>
      <c r="V31" s="2">
        <f>('вместе-абс'!V31 - 'вместе-абс'!V$2) / 'вместе-абс'!V$2</f>
        <v>7.195604395604395E-2</v>
      </c>
    </row>
    <row r="32" spans="1:22" x14ac:dyDescent="0.25">
      <c r="A32" s="9">
        <f t="shared" si="0"/>
        <v>1947</v>
      </c>
      <c r="B32" s="2">
        <f>('вместе-абс'!B32 - 'вместе-абс'!B$2) / 'вместе-абс'!B$2</f>
        <v>0.88520710059171615</v>
      </c>
      <c r="C32" s="2">
        <f>('вместе-абс'!C32 - 'вместе-абс'!C$2) / 'вместе-абс'!C$2</f>
        <v>0.40384615384615374</v>
      </c>
      <c r="D32" s="2">
        <f>('вместе-абс'!D32 - 'вместе-абс'!D$2) / 'вместе-абс'!D$2</f>
        <v>0.87174504469490854</v>
      </c>
      <c r="E32" s="2">
        <f>('вместе-абс'!E32 - 'вместе-абс'!E$2) / 'вместе-абс'!E$2</f>
        <v>0.57967032967032961</v>
      </c>
      <c r="F32" s="2">
        <f>('вместе-абс'!F32 - 'вместе-абс'!F$2) / 'вместе-абс'!F$2</f>
        <v>0.88811188811188835</v>
      </c>
      <c r="G32" s="2">
        <f>('вместе-абс'!G32 - 'вместе-абс'!G$2) / 'вместе-абс'!G$2</f>
        <v>0.82499999999999984</v>
      </c>
      <c r="H32" s="2">
        <f>('вместе-абс'!H32 - 'вместе-абс'!H$2) / 'вместе-абс'!H$2</f>
        <v>0.87272727272727291</v>
      </c>
      <c r="I32" s="2">
        <f>('вместе-абс'!I32 - 'вместе-абс'!I$2) / 'вместе-абс'!I$2</f>
        <v>1.4761904761904765</v>
      </c>
      <c r="J32" s="2">
        <f>('вместе-абс'!J32 - 'вместе-абс'!J$2) / 'вместе-абс'!J$2</f>
        <v>0.94701986754966883</v>
      </c>
      <c r="K32" s="2">
        <f>('вместе-абс'!K32 - 'вместе-абс'!K$2) / 'вместе-абс'!K$2</f>
        <v>0.60360360360360343</v>
      </c>
      <c r="L32" s="2">
        <f>('вместе-абс'!L32 - 'вместе-абс'!L$2) / 'вместе-абс'!L$2</f>
        <v>1.089430894308943</v>
      </c>
      <c r="M32" s="2">
        <f>('вместе-абс'!M32 - 'вместе-абс'!M$2) / 'вместе-абс'!M$2</f>
        <v>0.6080402010050252</v>
      </c>
      <c r="N32" s="2">
        <f>('вместе-абс'!N32 - 'вместе-абс'!N$2) / 'вместе-абс'!N$2</f>
        <v>1.0952380952380953</v>
      </c>
      <c r="O32" s="2">
        <f>('вместе-абс'!O32 - 'вместе-абс'!O$2) / 'вместе-абс'!O$2</f>
        <v>0.68633093525179856</v>
      </c>
      <c r="P32" s="2">
        <f>('вместе-абс'!P32 - 'вместе-абс'!P$2) / 'вместе-абс'!P$2</f>
        <v>0.60655737704918034</v>
      </c>
      <c r="Q32" s="2">
        <f>('вместе-абс'!Q32 - 'вместе-абс'!Q$2) / 'вместе-абс'!Q$2</f>
        <v>0.80487804878048785</v>
      </c>
      <c r="R32" s="2">
        <f>('вместе-абс'!R32 - 'вместе-абс'!R$2) / 'вместе-абс'!R$2</f>
        <v>0.92647058823529405</v>
      </c>
      <c r="S32" s="2">
        <f>('вместе-абс'!S32 - 'вместе-абс'!S$2) / 'вместе-абс'!S$2</f>
        <v>0.644880174291939</v>
      </c>
      <c r="T32" s="2">
        <f>('вместе-абс'!T32 - 'вместе-абс'!T$2) / 'вместе-абс'!T$2</f>
        <v>0.50354609929078031</v>
      </c>
      <c r="U32" s="2">
        <f>('вместе-абс'!U32 - 'вместе-абс'!U$2) / 'вместе-абс'!U$2</f>
        <v>0.65454545454545443</v>
      </c>
      <c r="V32" s="2">
        <f>('вместе-абс'!V32 - 'вместе-абс'!V$2) / 'вместе-абс'!V$2</f>
        <v>8.251648351648351E-2</v>
      </c>
    </row>
    <row r="33" spans="1:22" x14ac:dyDescent="0.25">
      <c r="A33" s="9">
        <f t="shared" si="0"/>
        <v>1948</v>
      </c>
      <c r="B33" s="2">
        <f>('вместе-абс'!B33 - 'вместе-абс'!B$2) / 'вместе-абс'!B$2</f>
        <v>0.92544378698224861</v>
      </c>
      <c r="C33" s="2">
        <f>('вместе-абс'!C33 - 'вместе-абс'!C$2) / 'вместе-абс'!C$2</f>
        <v>0.41826923076923078</v>
      </c>
      <c r="D33" s="2">
        <f>('вместе-абс'!D33 - 'вместе-абс'!D$2) / 'вместе-абс'!D$2</f>
        <v>0.92071511853867083</v>
      </c>
      <c r="E33" s="2">
        <f>('вместе-абс'!E33 - 'вместе-абс'!E$2) / 'вместе-абс'!E$2</f>
        <v>0.60714285714285698</v>
      </c>
      <c r="F33" s="2">
        <f>('вместе-абс'!F33 - 'вместе-абс'!F$2) / 'вместе-абс'!F$2</f>
        <v>0.89685314685314688</v>
      </c>
      <c r="G33" s="2">
        <f>('вместе-абс'!G33 - 'вместе-абс'!G$2) / 'вместе-абс'!G$2</f>
        <v>0.87499999999999989</v>
      </c>
      <c r="H33" s="2">
        <f>('вместе-абс'!H33 - 'вместе-абс'!H$2) / 'вместе-абс'!H$2</f>
        <v>0.91636363636363616</v>
      </c>
      <c r="I33" s="2">
        <f>('вместе-абс'!I33 - 'вместе-абс'!I$2) / 'вместе-абс'!I$2</f>
        <v>1.5357142857142858</v>
      </c>
      <c r="J33" s="2">
        <f>('вместе-абс'!J33 - 'вместе-абс'!J$2) / 'вместе-абс'!J$2</f>
        <v>1</v>
      </c>
      <c r="K33" s="2">
        <f>('вместе-абс'!K33 - 'вместе-абс'!K$2) / 'вместе-абс'!K$2</f>
        <v>0.63063063063063052</v>
      </c>
      <c r="L33" s="2">
        <f>('вместе-абс'!L33 - 'вместе-абс'!L$2) / 'вместе-абс'!L$2</f>
        <v>1.1463414634146343</v>
      </c>
      <c r="M33" s="2">
        <f>('вместе-абс'!M33 - 'вместе-абс'!M$2) / 'вместе-абс'!M$2</f>
        <v>0.63819095477386922</v>
      </c>
      <c r="N33" s="2">
        <f>('вместе-абс'!N33 - 'вместе-абс'!N$2) / 'вместе-абс'!N$2</f>
        <v>1.142857142857143</v>
      </c>
      <c r="O33" s="2">
        <f>('вместе-абс'!O33 - 'вместе-абс'!O$2) / 'вместе-абс'!O$2</f>
        <v>0.73597122302158258</v>
      </c>
      <c r="P33" s="2">
        <f>('вместе-абс'!P33 - 'вместе-абс'!P$2) / 'вместе-абс'!P$2</f>
        <v>0.63934426229508201</v>
      </c>
      <c r="Q33" s="2">
        <f>('вместе-абс'!Q33 - 'вместе-абс'!Q$2) / 'вместе-абс'!Q$2</f>
        <v>0.85365853658536595</v>
      </c>
      <c r="R33" s="2">
        <f>('вместе-абс'!R33 - 'вместе-абс'!R$2) / 'вместе-абс'!R$2</f>
        <v>0.97058823529411764</v>
      </c>
      <c r="S33" s="2">
        <f>('вместе-абс'!S33 - 'вместе-абс'!S$2) / 'вместе-абс'!S$2</f>
        <v>0.67320261437908491</v>
      </c>
      <c r="T33" s="2">
        <f>('вместе-абс'!T33 - 'вместе-абс'!T$2) / 'вместе-абс'!T$2</f>
        <v>0.5177304964539009</v>
      </c>
      <c r="U33" s="2">
        <f>('вместе-абс'!U33 - 'вместе-абс'!U$2) / 'вместе-абс'!U$2</f>
        <v>0.70545454545454556</v>
      </c>
      <c r="V33" s="2">
        <f>('вместе-абс'!V33 - 'вместе-абс'!V$2) / 'вместе-абс'!V$2</f>
        <v>8.9659340659340656E-2</v>
      </c>
    </row>
    <row r="34" spans="1:22" x14ac:dyDescent="0.25">
      <c r="A34" s="9">
        <f t="shared" si="0"/>
        <v>1949</v>
      </c>
      <c r="B34" s="2">
        <f>('вместе-абс'!B34 - 'вместе-абс'!B$2) / 'вместе-абс'!B$2</f>
        <v>0.97159763313609482</v>
      </c>
      <c r="C34" s="2">
        <f>('вместе-абс'!C34 - 'вместе-абс'!C$2) / 'вместе-абс'!C$2</f>
        <v>0.42307692307692302</v>
      </c>
      <c r="D34" s="2">
        <f>('вместе-абс'!D34 - 'вместе-абс'!D$2) / 'вместе-абс'!D$2</f>
        <v>0.97279440342013201</v>
      </c>
      <c r="E34" s="2">
        <f>('вместе-абс'!E34 - 'вместе-абс'!E$2) / 'вместе-абс'!E$2</f>
        <v>0.63736263736263732</v>
      </c>
      <c r="F34" s="2">
        <f>('вместе-абс'!F34 - 'вместе-абс'!F$2) / 'вместе-абс'!F$2</f>
        <v>0.93881118881118886</v>
      </c>
      <c r="G34" s="2">
        <f>('вместе-абс'!G34 - 'вместе-абс'!G$2) / 'вместе-абс'!G$2</f>
        <v>0.92499999999999993</v>
      </c>
      <c r="H34" s="2">
        <f>('вместе-абс'!H34 - 'вместе-абс'!H$2) / 'вместе-абс'!H$2</f>
        <v>0.95999999999999985</v>
      </c>
      <c r="I34" s="2">
        <f>('вместе-абс'!I34 - 'вместе-абс'!I$2) / 'вместе-абс'!I$2</f>
        <v>1.6071428571428572</v>
      </c>
      <c r="J34" s="2">
        <f>('вместе-абс'!J34 - 'вместе-абс'!J$2) / 'вместе-абс'!J$2</f>
        <v>1.0529801324503312</v>
      </c>
      <c r="K34" s="2">
        <f>('вместе-абс'!K34 - 'вместе-абс'!K$2) / 'вместе-абс'!K$2</f>
        <v>0.6576576576576576</v>
      </c>
      <c r="L34" s="2">
        <f>('вместе-абс'!L34 - 'вместе-абс'!L$2) / 'вместе-абс'!L$2</f>
        <v>1.2113821138211385</v>
      </c>
      <c r="M34" s="2">
        <f>('вместе-абс'!M34 - 'вместе-абс'!M$2) / 'вместе-абс'!M$2</f>
        <v>0.66834170854271346</v>
      </c>
      <c r="N34" s="2">
        <f>('вместе-абс'!N34 - 'вместе-абс'!N$2) / 'вместе-абс'!N$2</f>
        <v>1.2063492063492063</v>
      </c>
      <c r="O34" s="2">
        <f>('вместе-абс'!O34 - 'вместе-абс'!O$2) / 'вместе-абс'!O$2</f>
        <v>0.78633093525179842</v>
      </c>
      <c r="P34" s="2">
        <f>('вместе-абс'!P34 - 'вместе-абс'!P$2) / 'вместе-абс'!P$2</f>
        <v>0.68852459016393452</v>
      </c>
      <c r="Q34" s="2">
        <f>('вместе-абс'!Q34 - 'вместе-абс'!Q$2) / 'вместе-абс'!Q$2</f>
        <v>0.90243902439024404</v>
      </c>
      <c r="R34" s="2">
        <f>('вместе-абс'!R34 - 'вместе-абс'!R$2) / 'вместе-абс'!R$2</f>
        <v>1.0147058823529411</v>
      </c>
      <c r="S34" s="2">
        <f>('вместе-абс'!S34 - 'вместе-абс'!S$2) / 'вместе-абс'!S$2</f>
        <v>0.70370370370370383</v>
      </c>
      <c r="T34" s="2">
        <f>('вместе-абс'!T34 - 'вместе-абс'!T$2) / 'вместе-абс'!T$2</f>
        <v>0.53900709219858156</v>
      </c>
      <c r="U34" s="2">
        <f>('вместе-абс'!U34 - 'вместе-абс'!U$2) / 'вместе-абс'!U$2</f>
        <v>0.75636363636363635</v>
      </c>
      <c r="V34" s="2">
        <f>('вместе-абс'!V34 - 'вместе-абс'!V$2) / 'вместе-абс'!V$2</f>
        <v>0.10167032967032967</v>
      </c>
    </row>
    <row r="35" spans="1:22" x14ac:dyDescent="0.25">
      <c r="A35" s="9">
        <f t="shared" si="0"/>
        <v>1950</v>
      </c>
      <c r="B35" s="2">
        <f>('вместе-абс'!B35 - 'вместе-абс'!B$2) / 'вместе-абс'!B$2</f>
        <v>1.0201183431952665</v>
      </c>
      <c r="C35" s="2">
        <f>('вместе-абс'!C35 - 'вместе-абс'!C$2) / 'вместе-абс'!C$2</f>
        <v>0.44711538461538447</v>
      </c>
      <c r="D35" s="2">
        <f>('вместе-абс'!D35 - 'вместе-абс'!D$2) / 'вместе-абс'!D$2</f>
        <v>1.0279828993392925</v>
      </c>
      <c r="E35" s="2">
        <f>('вместе-абс'!E35 - 'вместе-абс'!E$2) / 'вместе-абс'!E$2</f>
        <v>0.66758241758241765</v>
      </c>
      <c r="F35" s="2">
        <f>('вместе-абс'!F35 - 'вместе-абс'!F$2) / 'вместе-абс'!F$2</f>
        <v>0.98076923076923084</v>
      </c>
      <c r="G35" s="2">
        <f>('вместе-абс'!G35 - 'вместе-абс'!G$2) / 'вместе-абс'!G$2</f>
        <v>1</v>
      </c>
      <c r="H35" s="2">
        <f>('вместе-абс'!H35 - 'вместе-абс'!H$2) / 'вместе-абс'!H$2</f>
        <v>1.0036363636363637</v>
      </c>
      <c r="I35" s="2">
        <f>('вместе-абс'!I35 - 'вместе-абс'!I$2) / 'вместе-абс'!I$2</f>
        <v>1.6666666666666672</v>
      </c>
      <c r="J35" s="2">
        <f>('вместе-абс'!J35 - 'вместе-абс'!J$2) / 'вместе-абс'!J$2</f>
        <v>1.1192052980132452</v>
      </c>
      <c r="K35" s="2">
        <f>('вместе-абс'!K35 - 'вместе-абс'!K$2) / 'вместе-абс'!K$2</f>
        <v>0.67567567567567566</v>
      </c>
      <c r="L35" s="2">
        <f>('вместе-абс'!L35 - 'вместе-абс'!L$2) / 'вместе-абс'!L$2</f>
        <v>1.2845528455284554</v>
      </c>
      <c r="M35" s="2">
        <f>('вместе-абс'!M35 - 'вместе-абс'!M$2) / 'вместе-абс'!M$2</f>
        <v>0.70351758793969854</v>
      </c>
      <c r="N35" s="2">
        <f>('вместе-абс'!N35 - 'вместе-абс'!N$2) / 'вместе-абс'!N$2</f>
        <v>1.2698412698412698</v>
      </c>
      <c r="O35" s="2">
        <f>('вместе-абс'!O35 - 'вместе-абс'!O$2) / 'вместе-абс'!O$2</f>
        <v>0.85539568345323735</v>
      </c>
      <c r="P35" s="2">
        <f>('вместе-абс'!P35 - 'вместе-абс'!P$2) / 'вместе-абс'!P$2</f>
        <v>0.73770491803278704</v>
      </c>
      <c r="Q35" s="2">
        <f>('вместе-абс'!Q35 - 'вместе-абс'!Q$2) / 'вместе-абс'!Q$2</f>
        <v>0.95121951219512213</v>
      </c>
      <c r="R35" s="2">
        <f>('вместе-абс'!R35 - 'вместе-абс'!R$2) / 'вместе-абс'!R$2</f>
        <v>1.0588235294117645</v>
      </c>
      <c r="S35" s="2">
        <f>('вместе-абс'!S35 - 'вместе-абс'!S$2) / 'вместе-абс'!S$2</f>
        <v>0.73638344226579522</v>
      </c>
      <c r="T35" s="2">
        <f>('вместе-абс'!T35 - 'вместе-абс'!T$2) / 'вместе-абс'!T$2</f>
        <v>0.56028368794326266</v>
      </c>
      <c r="U35" s="2">
        <f>('вместе-абс'!U35 - 'вместе-абс'!U$2) / 'вместе-абс'!U$2</f>
        <v>0.80727272727272714</v>
      </c>
      <c r="V35" s="2">
        <f>('вместе-абс'!V35 - 'вместе-абс'!V$2) / 'вместе-абс'!V$2</f>
        <v>0.12161538461538461</v>
      </c>
    </row>
    <row r="36" spans="1:22" x14ac:dyDescent="0.25">
      <c r="A36" s="9">
        <f>A35+1</f>
        <v>1951</v>
      </c>
      <c r="B36" s="2">
        <f>('вместе-абс'!B36 - 'вместе-абс'!B$2) / 'вместе-абс'!B$2</f>
        <v>1.0686390532544381</v>
      </c>
      <c r="C36" s="2">
        <f>('вместе-абс'!C36 - 'вместе-абс'!C$2) / 'вместе-абс'!C$2</f>
        <v>0.47596153846153832</v>
      </c>
      <c r="D36" s="2">
        <f>('вместе-абс'!D36 - 'вместе-абс'!D$2) / 'вместе-абс'!D$2</f>
        <v>1.0862806062961523</v>
      </c>
      <c r="E36" s="2">
        <f>('вместе-абс'!E36 - 'вместе-абс'!E$2) / 'вместе-абс'!E$2</f>
        <v>0.70604395604395598</v>
      </c>
      <c r="F36" s="2">
        <f>('вместе-абс'!F36 - 'вместе-абс'!F$2) / 'вместе-абс'!F$2</f>
        <v>1.0314685314685315</v>
      </c>
      <c r="G36" s="2">
        <f>('вместе-абс'!G36 - 'вместе-абс'!G$2) / 'вместе-абс'!G$2</f>
        <v>1.0749999999999997</v>
      </c>
      <c r="H36" s="2">
        <f>('вместе-абс'!H36 - 'вместе-абс'!H$2) / 'вместе-абс'!H$2</f>
        <v>1.0436363636363637</v>
      </c>
      <c r="I36" s="2">
        <f>('вместе-абс'!I36 - 'вместе-абс'!I$2) / 'вместе-абс'!I$2</f>
        <v>1.7500000000000002</v>
      </c>
      <c r="J36" s="2">
        <f>('вместе-абс'!J36 - 'вместе-абс'!J$2) / 'вместе-абс'!J$2</f>
        <v>1.1523178807947019</v>
      </c>
      <c r="K36" s="2">
        <f>('вместе-абс'!K36 - 'вместе-абс'!K$2) / 'вместе-абс'!K$2</f>
        <v>0.71171171171171144</v>
      </c>
      <c r="L36" s="2">
        <f>('вместе-абс'!L36 - 'вместе-абс'!L$2) / 'вместе-абс'!L$2</f>
        <v>1.3495934959349596</v>
      </c>
      <c r="M36" s="2">
        <f>('вместе-абс'!M36 - 'вместе-абс'!M$2) / 'вместе-абс'!M$2</f>
        <v>0.72864321608040195</v>
      </c>
      <c r="N36" s="2">
        <f>('вместе-абс'!N36 - 'вместе-абс'!N$2) / 'вместе-абс'!N$2</f>
        <v>1.3333333333333333</v>
      </c>
      <c r="O36" s="2">
        <f>('вместе-абс'!O36 - 'вместе-абс'!O$2) / 'вместе-абс'!O$2</f>
        <v>0.84100719424460424</v>
      </c>
      <c r="P36" s="2">
        <f>('вместе-абс'!P36 - 'вместе-абс'!P$2) / 'вместе-абс'!P$2</f>
        <v>0.78688524590163955</v>
      </c>
      <c r="Q36" s="2">
        <f>('вместе-абс'!Q36 - 'вместе-абс'!Q$2) / 'вместе-абс'!Q$2</f>
        <v>1</v>
      </c>
      <c r="R36" s="2">
        <f>('вместе-абс'!R36 - 'вместе-абс'!R$2) / 'вместе-абс'!R$2</f>
        <v>1.1029411764705881</v>
      </c>
      <c r="S36" s="2">
        <f>('вместе-абс'!S36 - 'вместе-абс'!S$2) / 'вместе-абс'!S$2</f>
        <v>0.76906318082788661</v>
      </c>
      <c r="T36" s="2">
        <f>('вместе-абс'!T36 - 'вместе-абс'!T$2) / 'вместе-абс'!T$2</f>
        <v>0.57446808510638325</v>
      </c>
      <c r="U36" s="2">
        <f>('вместе-абс'!U36 - 'вместе-абс'!U$2) / 'вместе-абс'!U$2</f>
        <v>0.86909090909090903</v>
      </c>
      <c r="V36" s="2">
        <f>('вместе-абс'!V36 - 'вместе-абс'!V$2) / 'вместе-абс'!V$2</f>
        <v>0.13845054945054944</v>
      </c>
    </row>
    <row r="37" spans="1:22" x14ac:dyDescent="0.25">
      <c r="A37" s="9">
        <f t="shared" ref="A37:A85" si="1">A36+1</f>
        <v>1952</v>
      </c>
      <c r="B37" s="2">
        <f>('вместе-абс'!B37 - 'вместе-абс'!B$2) / 'вместе-абс'!B$2</f>
        <v>1.0946745562130178</v>
      </c>
      <c r="C37" s="2">
        <f>('вместе-абс'!C37 - 'вместе-абс'!C$2) / 'вместе-абс'!C$2</f>
        <v>0.50480769230769218</v>
      </c>
      <c r="D37" s="2">
        <f>('вместе-абс'!D37 - 'вместе-абс'!D$2) / 'вместе-абс'!D$2</f>
        <v>1.1414691022153129</v>
      </c>
      <c r="E37" s="2">
        <f>('вместе-абс'!E37 - 'вместе-абс'!E$2) / 'вместе-абс'!E$2</f>
        <v>0.73076923076923062</v>
      </c>
      <c r="F37" s="2">
        <f>('вместе-абс'!F37 - 'вместе-абс'!F$2) / 'вместе-абс'!F$2</f>
        <v>1.0646853146853148</v>
      </c>
      <c r="G37" s="2">
        <f>('вместе-абс'!G37 - 'вместе-абс'!G$2) / 'вместе-абс'!G$2</f>
        <v>1.3</v>
      </c>
      <c r="H37" s="2">
        <f>('вместе-абс'!H37 - 'вместе-абс'!H$2) / 'вместе-абс'!H$2</f>
        <v>1.0836363636363637</v>
      </c>
      <c r="I37" s="2">
        <f>('вместе-абс'!I37 - 'вместе-абс'!I$2) / 'вместе-абс'!I$2</f>
        <v>1.7261904761904765</v>
      </c>
      <c r="J37" s="2">
        <f>('вместе-абс'!J37 - 'вместе-абс'!J$2) / 'вместе-абс'!J$2</f>
        <v>1.2715231788079471</v>
      </c>
      <c r="K37" s="2">
        <f>('вместе-абс'!K37 - 'вместе-абс'!K$2) / 'вместе-абс'!K$2</f>
        <v>0.77477477477477463</v>
      </c>
      <c r="L37" s="2">
        <f>('вместе-абс'!L37 - 'вместе-абс'!L$2) / 'вместе-абс'!L$2</f>
        <v>1.4227642276422765</v>
      </c>
      <c r="M37" s="2">
        <f>('вместе-абс'!M37 - 'вместе-абс'!M$2) / 'вместе-абс'!M$2</f>
        <v>0.7638190954773868</v>
      </c>
      <c r="N37" s="2">
        <f>('вместе-абс'!N37 - 'вместе-абс'!N$2) / 'вместе-абс'!N$2</f>
        <v>1.4285714285714286</v>
      </c>
      <c r="O37" s="2">
        <f>('вместе-абс'!O37 - 'вместе-абс'!O$2) / 'вместе-абс'!O$2</f>
        <v>1.0035971223021583</v>
      </c>
      <c r="P37" s="2">
        <f>('вместе-абс'!P37 - 'вместе-абс'!P$2) / 'вместе-абс'!P$2</f>
        <v>0.83606557377049207</v>
      </c>
      <c r="Q37" s="2">
        <f>('вместе-абс'!Q37 - 'вместе-абс'!Q$2) / 'вместе-абс'!Q$2</f>
        <v>1.0487804878048781</v>
      </c>
      <c r="R37" s="2">
        <f>('вместе-абс'!R37 - 'вместе-абс'!R$2) / 'вместе-абс'!R$2</f>
        <v>1.1470588235294115</v>
      </c>
      <c r="S37" s="2">
        <f>('вместе-абс'!S37 - 'вместе-абс'!S$2) / 'вместе-абс'!S$2</f>
        <v>0.80174291938997821</v>
      </c>
      <c r="T37" s="2">
        <f>('вместе-абс'!T37 - 'вместе-абс'!T$2) / 'вместе-абс'!T$2</f>
        <v>0.6028368794326241</v>
      </c>
      <c r="U37" s="2">
        <f>('вместе-абс'!U37 - 'вместе-абс'!U$2) / 'вместе-абс'!U$2</f>
        <v>0.95999999999999985</v>
      </c>
      <c r="V37" s="2">
        <f>('вместе-абс'!V37 - 'вместе-абс'!V$2) / 'вместе-абс'!V$2</f>
        <v>0.15690109890109891</v>
      </c>
    </row>
    <row r="38" spans="1:22" x14ac:dyDescent="0.25">
      <c r="A38" s="9">
        <f t="shared" si="1"/>
        <v>1953</v>
      </c>
      <c r="B38" s="2">
        <f>('вместе-абс'!B38 - 'вместе-абс'!B$2) / 'вместе-абс'!B$2</f>
        <v>1.1254437869822489</v>
      </c>
      <c r="C38" s="2">
        <f>('вместе-абс'!C38 - 'вместе-абс'!C$2) / 'вместе-абс'!C$2</f>
        <v>0.53365384615384603</v>
      </c>
      <c r="D38" s="2">
        <f>('вместе-абс'!D38 - 'вместе-абс'!D$2) / 'вместе-абс'!D$2</f>
        <v>1.2052079284881461</v>
      </c>
      <c r="E38" s="2">
        <f>('вместе-абс'!E38 - 'вместе-абс'!E$2) / 'вместе-абс'!E$2</f>
        <v>0.77472527472527464</v>
      </c>
      <c r="F38" s="2">
        <f>('вместе-абс'!F38 - 'вместе-абс'!F$2) / 'вместе-абс'!F$2</f>
        <v>1.1101398601398602</v>
      </c>
      <c r="G38" s="2">
        <f>('вместе-абс'!G38 - 'вместе-абс'!G$2) / 'вместе-абс'!G$2</f>
        <v>1.3749999999999998</v>
      </c>
      <c r="H38" s="2">
        <f>('вместе-абс'!H38 - 'вместе-абс'!H$2) / 'вместе-абс'!H$2</f>
        <v>1.1963636363636363</v>
      </c>
      <c r="I38" s="2">
        <f>('вместе-абс'!I38 - 'вместе-абс'!I$2) / 'вместе-абс'!I$2</f>
        <v>1.8214285714285718</v>
      </c>
      <c r="J38" s="2">
        <f>('вместе-абс'!J38 - 'вместе-абс'!J$2) / 'вместе-абс'!J$2</f>
        <v>1.3377483443708607</v>
      </c>
      <c r="K38" s="2">
        <f>('вместе-абс'!K38 - 'вместе-абс'!K$2) / 'вместе-абс'!K$2</f>
        <v>0.81981981981981966</v>
      </c>
      <c r="L38" s="2">
        <f>('вместе-абс'!L38 - 'вместе-абс'!L$2) / 'вместе-абс'!L$2</f>
        <v>1.4959349593495934</v>
      </c>
      <c r="M38" s="2">
        <f>('вместе-абс'!M38 - 'вместе-абс'!M$2) / 'вместе-абс'!M$2</f>
        <v>0.79899497487437188</v>
      </c>
      <c r="N38" s="2">
        <f>('вместе-абс'!N38 - 'вместе-абс'!N$2) / 'вместе-абс'!N$2</f>
        <v>1.4920634920634921</v>
      </c>
      <c r="O38" s="2">
        <f>('вместе-абс'!O38 - 'вместе-абс'!O$2) / 'вместе-абс'!O$2</f>
        <v>1.0647482014388487</v>
      </c>
      <c r="P38" s="2">
        <f>('вместе-абс'!P38 - 'вместе-абс'!P$2) / 'вместе-абс'!P$2</f>
        <v>0.88524590163934413</v>
      </c>
      <c r="Q38" s="2">
        <f>('вместе-абс'!Q38 - 'вместе-абс'!Q$2) / 'вместе-абс'!Q$2</f>
        <v>1.1219512195121952</v>
      </c>
      <c r="R38" s="2">
        <f>('вместе-абс'!R38 - 'вместе-абс'!R$2) / 'вместе-абс'!R$2</f>
        <v>1.2058823529411764</v>
      </c>
      <c r="S38" s="2">
        <f>('вместе-абс'!S38 - 'вместе-абс'!S$2) / 'вместе-абс'!S$2</f>
        <v>0.83660130718954251</v>
      </c>
      <c r="T38" s="2">
        <f>('вместе-абс'!T38 - 'вместе-абс'!T$2) / 'вместе-абс'!T$2</f>
        <v>0.63120567375886516</v>
      </c>
      <c r="U38" s="2">
        <f>('вместе-абс'!U38 - 'вместе-абс'!U$2) / 'вместе-абс'!U$2</f>
        <v>1.0436363636363637</v>
      </c>
      <c r="V38" s="2">
        <f>('вместе-абс'!V38 - 'вместе-абс'!V$2) / 'вместе-абс'!V$2</f>
        <v>0.17636263736263735</v>
      </c>
    </row>
    <row r="39" spans="1:22" x14ac:dyDescent="0.25">
      <c r="A39" s="9">
        <f t="shared" si="1"/>
        <v>1954</v>
      </c>
      <c r="B39" s="2">
        <f>('вместе-абс'!B39 - 'вместе-абс'!B$2) / 'вместе-абс'!B$2</f>
        <v>1.1585798816568047</v>
      </c>
      <c r="C39" s="2">
        <f>('вместе-абс'!C39 - 'вместе-абс'!C$2) / 'вместе-абс'!C$2</f>
        <v>0.56730769230769218</v>
      </c>
      <c r="D39" s="2">
        <f>('вместе-абс'!D39 - 'вместе-абс'!D$2) / 'вместе-абс'!D$2</f>
        <v>1.2712786630392536</v>
      </c>
      <c r="E39" s="2">
        <f>('вместе-абс'!E39 - 'вместе-абс'!E$2) / 'вместе-абс'!E$2</f>
        <v>0.81868131868131866</v>
      </c>
      <c r="F39" s="2">
        <f>('вместе-абс'!F39 - 'вместе-абс'!F$2) / 'вместе-абс'!F$2</f>
        <v>1.1573426573426575</v>
      </c>
      <c r="G39" s="2">
        <f>('вместе-абс'!G39 - 'вместе-абс'!G$2) / 'вместе-абс'!G$2</f>
        <v>1.4749999999999999</v>
      </c>
      <c r="H39" s="2">
        <f>('вместе-абс'!H39 - 'вместе-абс'!H$2) / 'вместе-абс'!H$2</f>
        <v>1.24</v>
      </c>
      <c r="I39" s="2">
        <f>('вместе-абс'!I39 - 'вместе-абс'!I$2) / 'вместе-абс'!I$2</f>
        <v>1.9166666666666672</v>
      </c>
      <c r="J39" s="2">
        <f>('вместе-абс'!J39 - 'вместе-абс'!J$2) / 'вместе-абс'!J$2</f>
        <v>1.4105960264900661</v>
      </c>
      <c r="K39" s="2">
        <f>('вместе-абс'!K39 - 'вместе-абс'!K$2) / 'вместе-абс'!K$2</f>
        <v>0.87387387387387372</v>
      </c>
      <c r="L39" s="2">
        <f>('вместе-абс'!L39 - 'вместе-абс'!L$2) / 'вместе-абс'!L$2</f>
        <v>1.5853658536585367</v>
      </c>
      <c r="M39" s="2">
        <f>('вместе-абс'!M39 - 'вместе-абс'!M$2) / 'вместе-абс'!M$2</f>
        <v>0.83417085427135673</v>
      </c>
      <c r="N39" s="2">
        <f>('вместе-абс'!N39 - 'вместе-абс'!N$2) / 'вместе-абс'!N$2</f>
        <v>1.5714285714285716</v>
      </c>
      <c r="O39" s="2">
        <f>('вместе-абс'!O39 - 'вместе-абс'!O$2) / 'вместе-абс'!O$2</f>
        <v>1.1302158273381293</v>
      </c>
      <c r="P39" s="2">
        <f>('вместе-абс'!P39 - 'вместе-абс'!P$2) / 'вместе-абс'!P$2</f>
        <v>0.93442622950819665</v>
      </c>
      <c r="Q39" s="2">
        <f>('вместе-абс'!Q39 - 'вместе-абс'!Q$2) / 'вместе-абс'!Q$2</f>
        <v>1.1707317073170733</v>
      </c>
      <c r="R39" s="2">
        <f>('вместе-абс'!R39 - 'вместе-абс'!R$2) / 'вместе-абс'!R$2</f>
        <v>1.2499999999999998</v>
      </c>
      <c r="S39" s="2">
        <f>('вместе-абс'!S39 - 'вместе-абс'!S$2) / 'вместе-абс'!S$2</f>
        <v>0.87363834422657949</v>
      </c>
      <c r="T39" s="2">
        <f>('вместе-абс'!T39 - 'вместе-абс'!T$2) / 'вместе-абс'!T$2</f>
        <v>0.65248226950354626</v>
      </c>
      <c r="U39" s="2">
        <f>('вместе-абс'!U39 - 'вместе-абс'!U$2) / 'вместе-абс'!U$2</f>
        <v>1.1272727272727272</v>
      </c>
      <c r="V39" s="2">
        <f>('вместе-абс'!V39 - 'вместе-абс'!V$2) / 'вместе-абс'!V$2</f>
        <v>0.19348351648351647</v>
      </c>
    </row>
    <row r="40" spans="1:22" x14ac:dyDescent="0.25">
      <c r="A40" s="9">
        <f t="shared" si="1"/>
        <v>1955</v>
      </c>
      <c r="B40" s="2">
        <f>('вместе-абс'!B40 - 'вместе-абс'!B$2) / 'вместе-абс'!B$2</f>
        <v>1.1928994082840241</v>
      </c>
      <c r="C40" s="2">
        <f>('вместе-абс'!C40 - 'вместе-абс'!C$2) / 'вместе-абс'!C$2</f>
        <v>0.60576923076923062</v>
      </c>
      <c r="D40" s="2">
        <f>('вместе-абс'!D40 - 'вместе-абс'!D$2) / 'вместе-абс'!D$2</f>
        <v>1.3389040031092112</v>
      </c>
      <c r="E40" s="2">
        <f>('вместе-абс'!E40 - 'вместе-абс'!E$2) / 'вместе-абс'!E$2</f>
        <v>0.86538461538461531</v>
      </c>
      <c r="F40" s="2">
        <f>('вместе-абс'!F40 - 'вместе-абс'!F$2) / 'вместе-абс'!F$2</f>
        <v>1.2674825174825177</v>
      </c>
      <c r="G40" s="2">
        <f>('вместе-абс'!G40 - 'вместе-абс'!G$2) / 'вместе-абс'!G$2</f>
        <v>1.575</v>
      </c>
      <c r="H40" s="2">
        <f>('вместе-абс'!H40 - 'вместе-абс'!H$2) / 'вместе-абс'!H$2</f>
        <v>1.2836363636363637</v>
      </c>
      <c r="I40" s="2">
        <f>('вместе-абс'!I40 - 'вместе-абс'!I$2) / 'вместе-абс'!I$2</f>
        <v>2.0238095238095242</v>
      </c>
      <c r="J40" s="2">
        <f>('вместе-абс'!J40 - 'вместе-абс'!J$2) / 'вместе-абс'!J$2</f>
        <v>1.4834437086092715</v>
      </c>
      <c r="K40" s="2">
        <f>('вместе-абс'!K40 - 'вместе-абс'!K$2) / 'вместе-абс'!K$2</f>
        <v>0.92792792792792789</v>
      </c>
      <c r="L40" s="2">
        <f>('вместе-абс'!L40 - 'вместе-абс'!L$2) / 'вместе-абс'!L$2</f>
        <v>1.6747967479674797</v>
      </c>
      <c r="M40" s="2">
        <f>('вместе-абс'!M40 - 'вместе-абс'!M$2) / 'вместе-абс'!M$2</f>
        <v>0.86934673366834181</v>
      </c>
      <c r="N40" s="2">
        <f>('вместе-абс'!N40 - 'вместе-абс'!N$2) / 'вместе-абс'!N$2</f>
        <v>1.6190476190476191</v>
      </c>
      <c r="O40" s="2">
        <f>('вместе-абс'!O40 - 'вместе-абс'!O$2) / 'вместе-абс'!O$2</f>
        <v>1.1985611510791365</v>
      </c>
      <c r="P40" s="2">
        <f>('вместе-абс'!P40 - 'вместе-абс'!P$2) / 'вместе-абс'!P$2</f>
        <v>1</v>
      </c>
      <c r="Q40" s="2">
        <f>('вместе-абс'!Q40 - 'вместе-абс'!Q$2) / 'вместе-абс'!Q$2</f>
        <v>1.2439024390243902</v>
      </c>
      <c r="R40" s="2">
        <f>('вместе-абс'!R40 - 'вместе-абс'!R$2) / 'вместе-абс'!R$2</f>
        <v>1.3088235294117647</v>
      </c>
      <c r="S40" s="2">
        <f>('вместе-абс'!S40 - 'вместе-абс'!S$2) / 'вместе-абс'!S$2</f>
        <v>0.91503267973856195</v>
      </c>
      <c r="T40" s="2">
        <f>('вместе-абс'!T40 - 'вместе-абс'!T$2) / 'вместе-абс'!T$2</f>
        <v>0.67375886524822692</v>
      </c>
      <c r="U40" s="2">
        <f>('вместе-абс'!U40 - 'вместе-абс'!U$2) / 'вместе-абс'!U$2</f>
        <v>1.2145454545454546</v>
      </c>
      <c r="V40" s="2">
        <f>('вместе-абс'!V40 - 'вместе-абс'!V$2) / 'вместе-абс'!V$2</f>
        <v>0.21624175824175823</v>
      </c>
    </row>
    <row r="41" spans="1:22" x14ac:dyDescent="0.25">
      <c r="A41" s="9">
        <f t="shared" si="1"/>
        <v>1956</v>
      </c>
      <c r="B41" s="2">
        <f>('вместе-абс'!B41 - 'вместе-абс'!B$2) / 'вместе-абс'!B$2</f>
        <v>1.2248520710059174</v>
      </c>
      <c r="C41" s="2">
        <f>('вместе-абс'!C41 - 'вместе-абс'!C$2) / 'вместе-абс'!C$2</f>
        <v>0.64423076923076916</v>
      </c>
      <c r="D41" s="2">
        <f>('вместе-абс'!D41 - 'вместе-абс'!D$2) / 'вместе-абс'!D$2</f>
        <v>1.4088612514574426</v>
      </c>
      <c r="E41" s="2">
        <f>('вместе-абс'!E41 - 'вместе-абс'!E$2) / 'вместе-абс'!E$2</f>
        <v>0.91208791208791207</v>
      </c>
      <c r="F41" s="2">
        <f>('вместе-абс'!F41 - 'вместе-абс'!F$2) / 'вместе-абс'!F$2</f>
        <v>1.3758741258741261</v>
      </c>
      <c r="G41" s="2">
        <f>('вместе-абс'!G41 - 'вместе-абс'!G$2) / 'вместе-абс'!G$2</f>
        <v>1.675</v>
      </c>
      <c r="H41" s="2">
        <f>('вместе-абс'!H41 - 'вместе-абс'!H$2) / 'вместе-абс'!H$2</f>
        <v>1.330909090909091</v>
      </c>
      <c r="I41" s="2">
        <f>('вместе-абс'!I41 - 'вместе-абс'!I$2) / 'вместе-абс'!I$2</f>
        <v>2.1309523809523809</v>
      </c>
      <c r="J41" s="2">
        <f>('вместе-абс'!J41 - 'вместе-абс'!J$2) / 'вместе-абс'!J$2</f>
        <v>1.5629139072847684</v>
      </c>
      <c r="K41" s="2">
        <f>('вместе-абс'!K41 - 'вместе-абс'!K$2) / 'вместе-абс'!K$2</f>
        <v>0.98198198198198194</v>
      </c>
      <c r="L41" s="2">
        <f>('вместе-абс'!L41 - 'вместе-абс'!L$2) / 'вместе-абс'!L$2</f>
        <v>1.75609756097561</v>
      </c>
      <c r="M41" s="2">
        <f>('вместе-абс'!M41 - 'вместе-абс'!M$2) / 'вместе-абс'!M$2</f>
        <v>0.90954773869346728</v>
      </c>
      <c r="N41" s="2">
        <f>('вместе-абс'!N41 - 'вместе-абс'!N$2) / 'вместе-абс'!N$2</f>
        <v>1.6666666666666663</v>
      </c>
      <c r="O41" s="2">
        <f>('вместе-абс'!O41 - 'вместе-абс'!O$2) / 'вместе-абс'!O$2</f>
        <v>1.270503597122302</v>
      </c>
      <c r="P41" s="2">
        <f>('вместе-абс'!P41 - 'вместе-абс'!P$2) / 'вместе-абс'!P$2</f>
        <v>1.0655737704918034</v>
      </c>
      <c r="Q41" s="2">
        <f>('вместе-абс'!Q41 - 'вместе-абс'!Q$2) / 'вместе-абс'!Q$2</f>
        <v>1.3170731707317074</v>
      </c>
      <c r="R41" s="2">
        <f>('вместе-абс'!R41 - 'вместе-абс'!R$2) / 'вместе-абс'!R$2</f>
        <v>1.3676470588235294</v>
      </c>
      <c r="S41" s="2">
        <f>('вместе-абс'!S41 - 'вместе-абс'!S$2) / 'вместе-абс'!S$2</f>
        <v>0.96078431372549022</v>
      </c>
      <c r="T41" s="2">
        <f>('вместе-абс'!T41 - 'вместе-абс'!T$2) / 'вместе-абс'!T$2</f>
        <v>0.7021276595744681</v>
      </c>
      <c r="U41" s="2">
        <f>('вместе-абс'!U41 - 'вместе-абс'!U$2) / 'вместе-абс'!U$2</f>
        <v>1.3018181818181818</v>
      </c>
      <c r="V41" s="2">
        <f>('вместе-абс'!V41 - 'вместе-абс'!V$2) / 'вместе-абс'!V$2</f>
        <v>0.23587912087912088</v>
      </c>
    </row>
    <row r="42" spans="1:22" x14ac:dyDescent="0.25">
      <c r="A42" s="9">
        <f t="shared" si="1"/>
        <v>1957</v>
      </c>
      <c r="B42" s="2">
        <f>('вместе-абс'!B42 - 'вместе-абс'!B$2) / 'вместе-абс'!B$2</f>
        <v>1.2603550295857993</v>
      </c>
      <c r="C42" s="2">
        <f>('вместе-абс'!C42 - 'вместе-абс'!C$2) / 'вместе-абс'!C$2</f>
        <v>0.6826923076923076</v>
      </c>
      <c r="D42" s="2">
        <f>('вместе-абс'!D42 - 'вместе-абс'!D$2) / 'вместе-абс'!D$2</f>
        <v>1.4807617567042362</v>
      </c>
      <c r="E42" s="2">
        <f>('вместе-абс'!E42 - 'вместе-абс'!E$2) / 'вместе-абс'!E$2</f>
        <v>0.96153846153846134</v>
      </c>
      <c r="F42" s="2">
        <f>('вместе-абс'!F42 - 'вместе-абс'!F$2) / 'вместе-абс'!F$2</f>
        <v>1.4527972027972027</v>
      </c>
      <c r="G42" s="2">
        <f>('вместе-абс'!G42 - 'вместе-абс'!G$2) / 'вместе-абс'!G$2</f>
        <v>1.7750000000000001</v>
      </c>
      <c r="H42" s="2">
        <f>('вместе-абс'!H42 - 'вместе-абс'!H$2) / 'вместе-абс'!H$2</f>
        <v>1.3781818181818182</v>
      </c>
      <c r="I42" s="2">
        <f>('вместе-абс'!I42 - 'вместе-абс'!I$2) / 'вместе-абс'!I$2</f>
        <v>2.2500000000000004</v>
      </c>
      <c r="J42" s="2">
        <f>('вместе-абс'!J42 - 'вместе-абс'!J$2) / 'вместе-абс'!J$2</f>
        <v>1.6357615894039734</v>
      </c>
      <c r="K42" s="2">
        <f>('вместе-абс'!K42 - 'вместе-абс'!K$2) / 'вместе-абс'!K$2</f>
        <v>1.0360360360360357</v>
      </c>
      <c r="L42" s="2">
        <f>('вместе-абс'!L42 - 'вместе-абс'!L$2) / 'вместе-абс'!L$2</f>
        <v>1.8373983739837401</v>
      </c>
      <c r="M42" s="2">
        <f>('вместе-абс'!M42 - 'вместе-абс'!M$2) / 'вместе-абс'!M$2</f>
        <v>0.88442211055276387</v>
      </c>
      <c r="N42" s="2">
        <f>('вместе-абс'!N42 - 'вместе-абс'!N$2) / 'вместе-абс'!N$2</f>
        <v>1.7142857142857144</v>
      </c>
      <c r="O42" s="2">
        <f>('вместе-абс'!O42 - 'вместе-абс'!O$2) / 'вместе-абс'!O$2</f>
        <v>1.3460431654676259</v>
      </c>
      <c r="P42" s="2">
        <f>('вместе-абс'!P42 - 'вместе-абс'!P$2) / 'вместе-абс'!P$2</f>
        <v>1.1147540983606559</v>
      </c>
      <c r="Q42" s="2">
        <f>('вместе-абс'!Q42 - 'вместе-абс'!Q$2) / 'вместе-абс'!Q$2</f>
        <v>1.3658536585365855</v>
      </c>
      <c r="R42" s="2">
        <f>('вместе-абс'!R42 - 'вместе-абс'!R$2) / 'вместе-абс'!R$2</f>
        <v>1.4705882352941173</v>
      </c>
      <c r="S42" s="2">
        <f>('вместе-абс'!S42 - 'вместе-абс'!S$2) / 'вместе-абс'!S$2</f>
        <v>1.0108932461873641</v>
      </c>
      <c r="T42" s="2">
        <f>('вместе-абс'!T42 - 'вместе-абс'!T$2) / 'вместе-абс'!T$2</f>
        <v>0.72340425531914909</v>
      </c>
      <c r="U42" s="2">
        <f>('вместе-абс'!U42 - 'вместе-абс'!U$2) / 'вместе-абс'!U$2</f>
        <v>1.3890909090909092</v>
      </c>
      <c r="V42" s="2">
        <f>('вместе-абс'!V42 - 'вместе-абс'!V$2) / 'вместе-абс'!V$2</f>
        <v>0.25482417582417582</v>
      </c>
    </row>
    <row r="43" spans="1:22" x14ac:dyDescent="0.25">
      <c r="A43" s="9">
        <f t="shared" si="1"/>
        <v>1958</v>
      </c>
      <c r="B43" s="2">
        <f>('вместе-абс'!B43 - 'вместе-абс'!B$2) / 'вместе-абс'!B$2</f>
        <v>1.2934911242603551</v>
      </c>
      <c r="C43" s="2">
        <f>('вместе-абс'!C43 - 'вместе-абс'!C$2) / 'вместе-абс'!C$2</f>
        <v>0.72596153846153832</v>
      </c>
      <c r="D43" s="2">
        <f>('вместе-абс'!D43 - 'вместе-абс'!D$2) / 'вместе-абс'!D$2</f>
        <v>1.554994170229304</v>
      </c>
      <c r="E43" s="2">
        <f>('вместе-абс'!E43 - 'вместе-абс'!E$2) / 'вместе-абс'!E$2</f>
        <v>1.0109890109890109</v>
      </c>
      <c r="F43" s="2">
        <f>('вместе-абс'!F43 - 'вместе-абс'!F$2) / 'вместе-абс'!F$2</f>
        <v>1.5314685314685319</v>
      </c>
      <c r="G43" s="2">
        <f>('вместе-абс'!G43 - 'вместе-абс'!G$2) / 'вместе-абс'!G$2</f>
        <v>1.8749999999999996</v>
      </c>
      <c r="H43" s="2">
        <f>('вместе-абс'!H43 - 'вместе-абс'!H$2) / 'вместе-абс'!H$2</f>
        <v>1.458181818181818</v>
      </c>
      <c r="I43" s="2">
        <f>('вместе-абс'!I43 - 'вместе-абс'!I$2) / 'вместе-абс'!I$2</f>
        <v>2.3690476190476195</v>
      </c>
      <c r="J43" s="2">
        <f>('вместе-абс'!J43 - 'вместе-абс'!J$2) / 'вместе-абс'!J$2</f>
        <v>1.7218543046357619</v>
      </c>
      <c r="K43" s="2">
        <f>('вместе-абс'!K43 - 'вместе-абс'!K$2) / 'вместе-абс'!K$2</f>
        <v>1.0900900900900898</v>
      </c>
      <c r="L43" s="2">
        <f>('вместе-абс'!L43 - 'вместе-абс'!L$2) / 'вместе-абс'!L$2</f>
        <v>1.9349593495934958</v>
      </c>
      <c r="M43" s="2">
        <f>('вместе-абс'!M43 - 'вместе-абс'!M$2) / 'вместе-абс'!M$2</f>
        <v>0.85929648241206036</v>
      </c>
      <c r="N43" s="2">
        <f>('вместе-абс'!N43 - 'вместе-абс'!N$2) / 'вместе-абс'!N$2</f>
        <v>1.7777777777777779</v>
      </c>
      <c r="O43" s="2">
        <f>('вместе-абс'!O43 - 'вместе-абс'!O$2) / 'вместе-абс'!O$2</f>
        <v>1.4244604316546765</v>
      </c>
      <c r="P43" s="2">
        <f>('вместе-абс'!P43 - 'вместе-абс'!P$2) / 'вместе-абс'!P$2</f>
        <v>1.1803278688524592</v>
      </c>
      <c r="Q43" s="2">
        <f>('вместе-абс'!Q43 - 'вместе-абс'!Q$2) / 'вместе-абс'!Q$2</f>
        <v>1.4390243902439028</v>
      </c>
      <c r="R43" s="2">
        <f>('вместе-абс'!R43 - 'вместе-абс'!R$2) / 'вместе-абс'!R$2</f>
        <v>1.4705882352941173</v>
      </c>
      <c r="S43" s="2">
        <f>('вместе-абс'!S43 - 'вместе-абс'!S$2) / 'вместе-абс'!S$2</f>
        <v>1.0653594771241832</v>
      </c>
      <c r="T43" s="2">
        <f>('вместе-абс'!T43 - 'вместе-абс'!T$2) / 'вместе-абс'!T$2</f>
        <v>0.74468085106382986</v>
      </c>
      <c r="U43" s="2">
        <f>('вместе-абс'!U43 - 'вместе-абс'!U$2) / 'вместе-абс'!U$2</f>
        <v>1.4836363636363636</v>
      </c>
      <c r="V43" s="2">
        <f>('вместе-абс'!V43 - 'вместе-абс'!V$2) / 'вместе-абс'!V$2</f>
        <v>0.27341758241758241</v>
      </c>
    </row>
    <row r="44" spans="1:22" x14ac:dyDescent="0.25">
      <c r="A44" s="9">
        <f t="shared" si="1"/>
        <v>1959</v>
      </c>
      <c r="B44" s="2">
        <f>('вместе-абс'!B44 - 'вместе-абс'!B$2) / 'вместе-абс'!B$2</f>
        <v>1.3266272189349115</v>
      </c>
      <c r="C44" s="2">
        <f>('вместе-абс'!C44 - 'вместе-абс'!C$2) / 'вместе-абс'!C$2</f>
        <v>0.77884615384615385</v>
      </c>
      <c r="D44" s="2">
        <f>('вместе-абс'!D44 - 'вместе-абс'!D$2) / 'вместе-абс'!D$2</f>
        <v>1.6311698406529342</v>
      </c>
      <c r="E44" s="2">
        <f>('вместе-абс'!E44 - 'вместе-абс'!E$2) / 'вместе-абс'!E$2</f>
        <v>1.0576923076923077</v>
      </c>
      <c r="F44" s="2">
        <f>('вместе-абс'!F44 - 'вместе-абс'!F$2) / 'вместе-абс'!F$2</f>
        <v>1.6118881118881117</v>
      </c>
      <c r="G44" s="2">
        <f>('вместе-абс'!G44 - 'вместе-абс'!G$2) / 'вместе-абс'!G$2</f>
        <v>1.9749999999999996</v>
      </c>
      <c r="H44" s="2">
        <f>('вместе-абс'!H44 - 'вместе-абс'!H$2) / 'вместе-абс'!H$2</f>
        <v>1.5090909090909093</v>
      </c>
      <c r="I44" s="2">
        <f>('вместе-абс'!I44 - 'вместе-абс'!I$2) / 'вместе-абс'!I$2</f>
        <v>2.4880952380952386</v>
      </c>
      <c r="J44" s="2">
        <f>('вместе-абс'!J44 - 'вместе-абс'!J$2) / 'вместе-абс'!J$2</f>
        <v>1.8013245033112586</v>
      </c>
      <c r="K44" s="2">
        <f>('вместе-абс'!K44 - 'вместе-абс'!K$2) / 'вместе-абс'!K$2</f>
        <v>1.1531531531531531</v>
      </c>
      <c r="L44" s="2">
        <f>('вместе-абс'!L44 - 'вместе-абс'!L$2) / 'вместе-абс'!L$2</f>
        <v>2.024390243902439</v>
      </c>
      <c r="M44" s="2">
        <f>('вместе-абс'!M44 - 'вместе-абс'!M$2) / 'вместе-абс'!M$2</f>
        <v>0.84422110552763818</v>
      </c>
      <c r="N44" s="2">
        <f>('вместе-абс'!N44 - 'вместе-абс'!N$2) / 'вместе-абс'!N$2</f>
        <v>1.857142857142857</v>
      </c>
      <c r="O44" s="2">
        <f>('вместе-абс'!O44 - 'вместе-абс'!O$2) / 'вместе-абс'!O$2</f>
        <v>1.5079136690647483</v>
      </c>
      <c r="P44" s="2">
        <f>('вместе-абс'!P44 - 'вместе-абс'!P$2) / 'вместе-абс'!P$2</f>
        <v>1.2459016393442626</v>
      </c>
      <c r="Q44" s="2">
        <f>('вместе-абс'!Q44 - 'вместе-абс'!Q$2) / 'вместе-абс'!Q$2</f>
        <v>1.51219512195122</v>
      </c>
      <c r="R44" s="2">
        <f>('вместе-абс'!R44 - 'вместе-абс'!R$2) / 'вместе-абс'!R$2</f>
        <v>1.5147058823529407</v>
      </c>
      <c r="S44" s="2">
        <f>('вместе-абс'!S44 - 'вместе-абс'!S$2) / 'вместе-абс'!S$2</f>
        <v>1.1241830065359477</v>
      </c>
      <c r="T44" s="2">
        <f>('вместе-абс'!T44 - 'вместе-абс'!T$2) / 'вместе-абс'!T$2</f>
        <v>0.77304964539007104</v>
      </c>
      <c r="U44" s="2">
        <f>('вместе-абс'!U44 - 'вместе-абс'!U$2) / 'вместе-абс'!U$2</f>
        <v>1.5781818181818181</v>
      </c>
      <c r="V44" s="2">
        <f>('вместе-абс'!V44 - 'вместе-абс'!V$2) / 'вместе-абс'!V$2</f>
        <v>0.2924835164835165</v>
      </c>
    </row>
    <row r="45" spans="1:22" x14ac:dyDescent="0.25">
      <c r="A45" s="9">
        <f t="shared" si="1"/>
        <v>1960</v>
      </c>
      <c r="B45" s="2">
        <f>('вместе-абс'!B45 - 'вместе-абс'!B$2) / 'вместе-абс'!B$2</f>
        <v>1.3573964497041424</v>
      </c>
      <c r="C45" s="2">
        <f>('вместе-абс'!C45 - 'вместе-абс'!C$2) / 'вместе-абс'!C$2</f>
        <v>0.83653846153846145</v>
      </c>
      <c r="D45" s="2">
        <f>('вместе-абс'!D45 - 'вместе-абс'!D$2) / 'вместе-абс'!D$2</f>
        <v>1.7096774193548385</v>
      </c>
      <c r="E45" s="2">
        <f>('вместе-абс'!E45 - 'вместе-абс'!E$2) / 'вместе-абс'!E$2</f>
        <v>1.0824175824175823</v>
      </c>
      <c r="F45" s="2">
        <f>('вместе-абс'!F45 - 'вместе-абс'!F$2) / 'вместе-абс'!F$2</f>
        <v>1.6958041958041958</v>
      </c>
      <c r="G45" s="2">
        <f>('вместе-абс'!G45 - 'вместе-абс'!G$2) / 'вместе-абс'!G$2</f>
        <v>2.125</v>
      </c>
      <c r="H45" s="2">
        <f>('вместе-абс'!H45 - 'вместе-абс'!H$2) / 'вместе-абс'!H$2</f>
        <v>1.5563636363636364</v>
      </c>
      <c r="I45" s="2">
        <f>('вместе-абс'!I45 - 'вместе-абс'!I$2) / 'вместе-абс'!I$2</f>
        <v>2.6190476190476195</v>
      </c>
      <c r="J45" s="2">
        <f>('вместе-абс'!J45 - 'вместе-абс'!J$2) / 'вместе-абс'!J$2</f>
        <v>1.8874172185430467</v>
      </c>
      <c r="K45" s="2">
        <f>('вместе-абс'!K45 - 'вместе-абс'!K$2) / 'вместе-абс'!K$2</f>
        <v>1.2072072072072071</v>
      </c>
      <c r="L45" s="2">
        <f>('вместе-абс'!L45 - 'вместе-абс'!L$2) / 'вместе-абс'!L$2</f>
        <v>2.1138211382113821</v>
      </c>
      <c r="M45" s="2">
        <f>('вместе-абс'!M45 - 'вместе-абс'!M$2) / 'вместе-абс'!M$2</f>
        <v>0.81909547738693478</v>
      </c>
      <c r="N45" s="2">
        <f>('вместе-абс'!N45 - 'вместе-абс'!N$2) / 'вместе-абс'!N$2</f>
        <v>1.9365079365079367</v>
      </c>
      <c r="O45" s="2">
        <f>('вместе-абс'!O45 - 'вместе-абс'!O$2) / 'вместе-абс'!O$2</f>
        <v>1.593525179856115</v>
      </c>
      <c r="P45" s="2">
        <f>('вместе-абс'!P45 - 'вместе-абс'!P$2) / 'вместе-абс'!P$2</f>
        <v>1.3114754098360655</v>
      </c>
      <c r="Q45" s="2">
        <f>('вместе-абс'!Q45 - 'вместе-абс'!Q$2) / 'вместе-абс'!Q$2</f>
        <v>1.5853658536585371</v>
      </c>
      <c r="R45" s="2">
        <f>('вместе-абс'!R45 - 'вместе-абс'!R$2) / 'вместе-абс'!R$2</f>
        <v>1.5735294117647056</v>
      </c>
      <c r="S45" s="2">
        <f>('вместе-абс'!S45 - 'вместе-абс'!S$2) / 'вместе-абс'!S$2</f>
        <v>1.1830065359477124</v>
      </c>
      <c r="T45" s="2">
        <f>('вместе-абс'!T45 - 'вместе-абс'!T$2) / 'вместе-абс'!T$2</f>
        <v>0.80141843971631221</v>
      </c>
      <c r="U45" s="2">
        <f>('вместе-абс'!U45 - 'вместе-абс'!U$2) / 'вместе-абс'!U$2</f>
        <v>1.6727272727272726</v>
      </c>
      <c r="V45" s="2">
        <f>('вместе-абс'!V45 - 'вместе-абс'!V$2) / 'вместе-абс'!V$2</f>
        <v>0.30819780219780218</v>
      </c>
    </row>
    <row r="46" spans="1:22" x14ac:dyDescent="0.25">
      <c r="A46" s="9">
        <f t="shared" si="1"/>
        <v>1961</v>
      </c>
      <c r="B46" s="2">
        <f>('вместе-абс'!B46 - 'вместе-абс'!B$2) / 'вместе-абс'!B$2</f>
        <v>1.3952662721893492</v>
      </c>
      <c r="C46" s="2">
        <f>('вместе-абс'!C46 - 'вместе-абс'!C$2) / 'вместе-абс'!C$2</f>
        <v>0.88461538461538447</v>
      </c>
      <c r="D46" s="2">
        <f>('вместе-абс'!D46 - 'вместе-абс'!D$2) / 'вместе-абс'!D$2</f>
        <v>1.7959580256509908</v>
      </c>
      <c r="E46" s="2">
        <f>('вместе-абс'!E46 - 'вместе-абс'!E$2) / 'вместе-абс'!E$2</f>
        <v>1.1318681318681316</v>
      </c>
      <c r="F46" s="2">
        <f>('вместе-абс'!F46 - 'вместе-абс'!F$2) / 'вместе-абс'!F$2</f>
        <v>1.7814685314685317</v>
      </c>
      <c r="G46" s="2">
        <f>('вместе-абс'!G46 - 'вместе-абс'!G$2) / 'вместе-абс'!G$2</f>
        <v>2.25</v>
      </c>
      <c r="H46" s="2">
        <f>('вместе-абс'!H46 - 'вместе-абс'!H$2) / 'вместе-абс'!H$2</f>
        <v>1.5927272727272728</v>
      </c>
      <c r="I46" s="2">
        <f>('вместе-абс'!I46 - 'вместе-абс'!I$2) / 'вместе-абс'!I$2</f>
        <v>2.7142857142857149</v>
      </c>
      <c r="J46" s="2">
        <f>('вместе-абс'!J46 - 'вместе-абс'!J$2) / 'вместе-абс'!J$2</f>
        <v>1.9801324503311259</v>
      </c>
      <c r="K46" s="2">
        <f>('вместе-абс'!K46 - 'вместе-абс'!K$2) / 'вместе-абс'!K$2</f>
        <v>1.2612612612612608</v>
      </c>
      <c r="L46" s="2">
        <f>('вместе-абс'!L46 - 'вместе-абс'!L$2) / 'вместе-абс'!L$2</f>
        <v>2.2113821138211383</v>
      </c>
      <c r="M46" s="2">
        <f>('вместе-абс'!M46 - 'вместе-абс'!M$2) / 'вместе-абс'!M$2</f>
        <v>0.84924623115577902</v>
      </c>
      <c r="N46" s="2">
        <f>('вместе-абс'!N46 - 'вместе-абс'!N$2) / 'вместе-абс'!N$2</f>
        <v>2.0317460317460316</v>
      </c>
      <c r="O46" s="2">
        <f>('вместе-абс'!O46 - 'вместе-абс'!O$2) / 'вместе-абс'!O$2</f>
        <v>1.6812949640287773</v>
      </c>
      <c r="P46" s="2">
        <f>('вместе-абс'!P46 - 'вместе-абс'!P$2) / 'вместе-абс'!P$2</f>
        <v>1.3770491803278688</v>
      </c>
      <c r="Q46" s="2">
        <f>('вместе-абс'!Q46 - 'вместе-абс'!Q$2) / 'вместе-абс'!Q$2</f>
        <v>1.6585365853658542</v>
      </c>
      <c r="R46" s="2">
        <f>('вместе-абс'!R46 - 'вместе-абс'!R$2) / 'вместе-абс'!R$2</f>
        <v>1.6470588235294119</v>
      </c>
      <c r="S46" s="2">
        <f>('вместе-абс'!S46 - 'вместе-абс'!S$2) / 'вместе-абс'!S$2</f>
        <v>1.2483660130718957</v>
      </c>
      <c r="T46" s="2">
        <f>('вместе-абс'!T46 - 'вместе-абс'!T$2) / 'вместе-абс'!T$2</f>
        <v>0.82978723404255339</v>
      </c>
      <c r="U46" s="2">
        <f>('вместе-абс'!U46 - 'вместе-абс'!U$2) / 'вместе-абс'!U$2</f>
        <v>1.7672727272727273</v>
      </c>
      <c r="V46" s="2">
        <f>('вместе-абс'!V46 - 'вместе-абс'!V$2) / 'вместе-абс'!V$2</f>
        <v>0.32709890109890111</v>
      </c>
    </row>
    <row r="47" spans="1:22" x14ac:dyDescent="0.25">
      <c r="A47" s="9">
        <f t="shared" si="1"/>
        <v>1962</v>
      </c>
      <c r="B47" s="2">
        <f>('вместе-абс'!B47 - 'вместе-абс'!B$2) / 'вместе-абс'!B$2</f>
        <v>1.4307692307692308</v>
      </c>
      <c r="C47" s="2">
        <f>('вместе-абс'!C47 - 'вместе-абс'!C$2) / 'вместе-абс'!C$2</f>
        <v>0.93269230769230738</v>
      </c>
      <c r="D47" s="2">
        <f>('вместе-абс'!D47 - 'вместе-абс'!D$2) / 'вместе-абс'!D$2</f>
        <v>1.8826272833268556</v>
      </c>
      <c r="E47" s="2">
        <f>('вместе-абс'!E47 - 'вместе-абс'!E$2) / 'вместе-абс'!E$2</f>
        <v>1.1840659340659341</v>
      </c>
      <c r="F47" s="2">
        <f>('вместе-абс'!F47 - 'вместе-абс'!F$2) / 'вместе-абс'!F$2</f>
        <v>1.8706293706293713</v>
      </c>
      <c r="G47" s="2">
        <f>('вместе-абс'!G47 - 'вместе-абс'!G$2) / 'вместе-абс'!G$2</f>
        <v>2.375</v>
      </c>
      <c r="H47" s="2">
        <f>('вместе-абс'!H47 - 'вместе-абс'!H$2) / 'вместе-абс'!H$2</f>
        <v>1.6363636363636365</v>
      </c>
      <c r="I47" s="2">
        <f>('вместе-абс'!I47 - 'вместе-абс'!I$2) / 'вместе-абс'!I$2</f>
        <v>2.8214285714285716</v>
      </c>
      <c r="J47" s="2">
        <f>('вместе-абс'!J47 - 'вместе-абс'!J$2) / 'вместе-абс'!J$2</f>
        <v>2.0794701986754971</v>
      </c>
      <c r="K47" s="2">
        <f>('вместе-абс'!K47 - 'вместе-абс'!K$2) / 'вместе-абс'!K$2</f>
        <v>1.3693693693693691</v>
      </c>
      <c r="L47" s="2">
        <f>('вместе-абс'!L47 - 'вместе-абс'!L$2) / 'вместе-абс'!L$2</f>
        <v>2.3008130081300808</v>
      </c>
      <c r="M47" s="2">
        <f>('вместе-абс'!M47 - 'вместе-абс'!M$2) / 'вместе-абс'!M$2</f>
        <v>0.87939698492462326</v>
      </c>
      <c r="N47" s="2">
        <f>('вместе-абс'!N47 - 'вместе-абс'!N$2) / 'вместе-абс'!N$2</f>
        <v>2.1269841269841265</v>
      </c>
      <c r="O47" s="2">
        <f>('вместе-абс'!O47 - 'вместе-абс'!O$2) / 'вместе-абс'!O$2</f>
        <v>1.772661870503597</v>
      </c>
      <c r="P47" s="2">
        <f>('вместе-абс'!P47 - 'вместе-абс'!P$2) / 'вместе-абс'!P$2</f>
        <v>1.459016393442623</v>
      </c>
      <c r="Q47" s="2">
        <f>('вместе-абс'!Q47 - 'вместе-абс'!Q$2) / 'вместе-абс'!Q$2</f>
        <v>1.7560975609756098</v>
      </c>
      <c r="R47" s="2">
        <f>('вместе-абс'!R47 - 'вместе-абс'!R$2) / 'вместе-абс'!R$2</f>
        <v>1.7205882352941175</v>
      </c>
      <c r="S47" s="2">
        <f>('вместе-абс'!S47 - 'вместе-абс'!S$2) / 'вместе-абс'!S$2</f>
        <v>1.3159041394335513</v>
      </c>
      <c r="T47" s="2">
        <f>('вместе-абс'!T47 - 'вместе-абс'!T$2) / 'вместе-абс'!T$2</f>
        <v>0.85106382978723405</v>
      </c>
      <c r="U47" s="2">
        <f>('вместе-абс'!U47 - 'вместе-абс'!U$2) / 'вместе-абс'!U$2</f>
        <v>1.8581818181818184</v>
      </c>
      <c r="V47" s="2">
        <f>('вместе-абс'!V47 - 'вместе-абс'!V$2) / 'вместе-абс'!V$2</f>
        <v>0.34513186813186814</v>
      </c>
    </row>
    <row r="48" spans="1:22" x14ac:dyDescent="0.25">
      <c r="A48" s="9">
        <f t="shared" si="1"/>
        <v>1963</v>
      </c>
      <c r="B48" s="2">
        <f>('вместе-абс'!B48 - 'вместе-абс'!B$2) / 'вместе-абс'!B$2</f>
        <v>1.4674556213017755</v>
      </c>
      <c r="C48" s="2">
        <f>('вместе-абс'!C48 - 'вместе-абс'!C$2) / 'вместе-абс'!C$2</f>
        <v>0.98076923076923073</v>
      </c>
      <c r="D48" s="2">
        <f>('вместе-абс'!D48 - 'вместе-абс'!D$2) / 'вместе-абс'!D$2</f>
        <v>1.9743490089389817</v>
      </c>
      <c r="E48" s="2">
        <f>('вместе-абс'!E48 - 'вместе-абс'!E$2) / 'вместе-абс'!E$2</f>
        <v>1.2362637362637363</v>
      </c>
      <c r="F48" s="2">
        <f>('вместе-абс'!F48 - 'вместе-абс'!F$2) / 'вместе-абс'!F$2</f>
        <v>1.9615384615384621</v>
      </c>
      <c r="G48" s="2">
        <f>('вместе-абс'!G48 - 'вместе-абс'!G$2) / 'вместе-абс'!G$2</f>
        <v>2.4749999999999996</v>
      </c>
      <c r="H48" s="2">
        <f>('вместе-абс'!H48 - 'вместе-абс'!H$2) / 'вместе-абс'!H$2</f>
        <v>1.6945454545454546</v>
      </c>
      <c r="I48" s="2">
        <f>('вместе-абс'!I48 - 'вместе-абс'!I$2) / 'вместе-абс'!I$2</f>
        <v>2.9404761904761907</v>
      </c>
      <c r="J48" s="2">
        <f>('вместе-абс'!J48 - 'вместе-абс'!J$2) / 'вместе-абс'!J$2</f>
        <v>2.1655629139072849</v>
      </c>
      <c r="K48" s="2">
        <f>('вместе-абс'!K48 - 'вместе-абс'!K$2) / 'вместе-абс'!K$2</f>
        <v>1.4504504504504505</v>
      </c>
      <c r="L48" s="2">
        <f>('вместе-абс'!L48 - 'вместе-абс'!L$2) / 'вместе-абс'!L$2</f>
        <v>2.4065040650406506</v>
      </c>
      <c r="M48" s="2">
        <f>('вместе-абс'!M48 - 'вместе-абс'!M$2) / 'вместе-абс'!M$2</f>
        <v>0.90452261306532666</v>
      </c>
      <c r="N48" s="2">
        <f>('вместе-абс'!N48 - 'вместе-абс'!N$2) / 'вместе-абс'!N$2</f>
        <v>2.2380952380952381</v>
      </c>
      <c r="O48" s="2">
        <f>('вместе-абс'!O48 - 'вместе-абс'!O$2) / 'вместе-абс'!O$2</f>
        <v>1.868345323741007</v>
      </c>
      <c r="P48" s="2">
        <f>('вместе-абс'!P48 - 'вместе-абс'!P$2) / 'вместе-абс'!P$2</f>
        <v>1.5245901639344264</v>
      </c>
      <c r="Q48" s="2">
        <f>('вместе-абс'!Q48 - 'вместе-абс'!Q$2) / 'вместе-абс'!Q$2</f>
        <v>1.8536585365853659</v>
      </c>
      <c r="R48" s="2">
        <f>('вместе-абс'!R48 - 'вместе-абс'!R$2) / 'вместе-абс'!R$2</f>
        <v>1.8088235294117645</v>
      </c>
      <c r="S48" s="2">
        <f>('вместе-абс'!S48 - 'вместе-абс'!S$2) / 'вместе-абс'!S$2</f>
        <v>1.3877995642701528</v>
      </c>
      <c r="T48" s="2">
        <f>('вместе-абс'!T48 - 'вместе-абс'!T$2) / 'вместе-абс'!T$2</f>
        <v>0.87943262411347523</v>
      </c>
      <c r="U48" s="2">
        <f>('вместе-абс'!U48 - 'вместе-абс'!U$2) / 'вместе-абс'!U$2</f>
        <v>1.9527272727272724</v>
      </c>
      <c r="V48" s="2">
        <f>('вместе-абс'!V48 - 'вместе-абс'!V$2) / 'вместе-абс'!V$2</f>
        <v>0.36096703296703297</v>
      </c>
    </row>
    <row r="49" spans="1:22" x14ac:dyDescent="0.25">
      <c r="A49" s="9">
        <f t="shared" si="1"/>
        <v>1964</v>
      </c>
      <c r="B49" s="2">
        <f>('вместе-абс'!B49 - 'вместе-абс'!B$2) / 'вместе-абс'!B$2</f>
        <v>1.5053254437869827</v>
      </c>
      <c r="C49" s="2">
        <f>('вместе-абс'!C49 - 'вместе-абс'!C$2) / 'вместе-абс'!C$2</f>
        <v>1.0336538461538463</v>
      </c>
      <c r="D49" s="2">
        <f>('вместе-абс'!D49 - 'вместе-абс'!D$2) / 'вместе-абс'!D$2</f>
        <v>2.0598523124757091</v>
      </c>
      <c r="E49" s="2">
        <f>('вместе-абс'!E49 - 'вместе-абс'!E$2) / 'вместе-абс'!E$2</f>
        <v>1.2884615384615383</v>
      </c>
      <c r="F49" s="2">
        <f>('вместе-абс'!F49 - 'вместе-абс'!F$2) / 'вместе-абс'!F$2</f>
        <v>2.0559440559440563</v>
      </c>
      <c r="G49" s="2">
        <f>('вместе-абс'!G49 - 'вместе-абс'!G$2) / 'вместе-абс'!G$2</f>
        <v>2.6</v>
      </c>
      <c r="H49" s="2">
        <f>('вместе-абс'!H49 - 'вместе-абс'!H$2) / 'вместе-абс'!H$2</f>
        <v>1.7672727272727273</v>
      </c>
      <c r="I49" s="2">
        <f>('вместе-абс'!I49 - 'вместе-абс'!I$2) / 'вместе-абс'!I$2</f>
        <v>3.0595238095238098</v>
      </c>
      <c r="J49" s="2">
        <f>('вместе-абс'!J49 - 'вместе-абс'!J$2) / 'вместе-абс'!J$2</f>
        <v>2.2649006622516556</v>
      </c>
      <c r="K49" s="2">
        <f>('вместе-абс'!K49 - 'вместе-абс'!K$2) / 'вместе-абс'!K$2</f>
        <v>1.5405405405405401</v>
      </c>
      <c r="L49" s="2">
        <f>('вместе-абс'!L49 - 'вместе-абс'!L$2) / 'вместе-абс'!L$2</f>
        <v>2.5040650406504064</v>
      </c>
      <c r="M49" s="2">
        <f>('вместе-абс'!M49 - 'вместе-абс'!M$2) / 'вместе-абс'!M$2</f>
        <v>0.9346733668341709</v>
      </c>
      <c r="N49" s="2">
        <f>('вместе-абс'!N49 - 'вместе-абс'!N$2) / 'вместе-абс'!N$2</f>
        <v>2.3492063492063493</v>
      </c>
      <c r="O49" s="2">
        <f>('вместе-абс'!O49 - 'вместе-абс'!O$2) / 'вместе-абс'!O$2</f>
        <v>1.9676258992805755</v>
      </c>
      <c r="P49" s="2">
        <f>('вместе-абс'!P49 - 'вместе-абс'!P$2) / 'вместе-абс'!P$2</f>
        <v>1.5901639344262297</v>
      </c>
      <c r="Q49" s="2">
        <f>('вместе-абс'!Q49 - 'вместе-абс'!Q$2) / 'вместе-абс'!Q$2</f>
        <v>1.9268292682926831</v>
      </c>
      <c r="R49" s="2">
        <f>('вместе-абс'!R49 - 'вместе-абс'!R$2) / 'вместе-абс'!R$2</f>
        <v>1.8970588235294117</v>
      </c>
      <c r="S49" s="2">
        <f>('вместе-абс'!S49 - 'вместе-абс'!S$2) / 'вместе-абс'!S$2</f>
        <v>1.4618736383442268</v>
      </c>
      <c r="T49" s="2">
        <f>('вместе-абс'!T49 - 'вместе-абс'!T$2) / 'вместе-абс'!T$2</f>
        <v>0.90070921985815622</v>
      </c>
      <c r="U49" s="2">
        <f>('вместе-абс'!U49 - 'вместе-абс'!U$2) / 'вместе-абс'!U$2</f>
        <v>2.0545454545454547</v>
      </c>
      <c r="V49" s="2">
        <f>('вместе-абс'!V49 - 'вместе-абс'!V$2) / 'вместе-абс'!V$2</f>
        <v>0.37559340659340662</v>
      </c>
    </row>
    <row r="50" spans="1:22" x14ac:dyDescent="0.25">
      <c r="A50" s="9">
        <f t="shared" si="1"/>
        <v>1965</v>
      </c>
      <c r="B50" s="2">
        <f>('вместе-абс'!B50 - 'вместе-абс'!B$2) / 'вместе-абс'!B$2</f>
        <v>1.6248520710059173</v>
      </c>
      <c r="C50" s="2">
        <f>('вместе-абс'!C50 - 'вместе-абс'!C$2) / 'вместе-абс'!C$2</f>
        <v>1.0817307692307692</v>
      </c>
      <c r="D50" s="2">
        <f>('вместе-абс'!D50 - 'вместе-абс'!D$2) / 'вместе-абс'!D$2</f>
        <v>2.1484648270501361</v>
      </c>
      <c r="E50" s="2">
        <f>('вместе-абс'!E50 - 'вместе-абс'!E$2) / 'вместе-абс'!E$2</f>
        <v>1.3379120879120876</v>
      </c>
      <c r="F50" s="2">
        <f>('вместе-абс'!F50 - 'вместе-абс'!F$2) / 'вместе-абс'!F$2</f>
        <v>2.1538461538461542</v>
      </c>
      <c r="G50" s="2">
        <f>('вместе-абс'!G50 - 'вместе-абс'!G$2) / 'вместе-абс'!G$2</f>
        <v>2.7249999999999996</v>
      </c>
      <c r="H50" s="2">
        <f>('вместе-абс'!H50 - 'вместе-абс'!H$2) / 'вместе-абс'!H$2</f>
        <v>1.8399999999999999</v>
      </c>
      <c r="I50" s="2">
        <f>('вместе-абс'!I50 - 'вместе-абс'!I$2) / 'вместе-абс'!I$2</f>
        <v>3.1785714285714288</v>
      </c>
      <c r="J50" s="2">
        <f>('вместе-абс'!J50 - 'вместе-абс'!J$2) / 'вместе-абс'!J$2</f>
        <v>2.3576158940397356</v>
      </c>
      <c r="K50" s="2">
        <f>('вместе-абс'!K50 - 'вместе-абс'!K$2) / 'вместе-абс'!K$2</f>
        <v>1.6396396396396395</v>
      </c>
      <c r="L50" s="2">
        <f>('вместе-абс'!L50 - 'вместе-абс'!L$2) / 'вместе-абс'!L$2</f>
        <v>2.5853658536585367</v>
      </c>
      <c r="M50" s="2">
        <f>('вместе-абс'!M50 - 'вместе-абс'!M$2) / 'вместе-абс'!M$2</f>
        <v>0.96482412060301515</v>
      </c>
      <c r="N50" s="2">
        <f>('вместе-абс'!N50 - 'вместе-абс'!N$2) / 'вместе-абс'!N$2</f>
        <v>2.4603174603174609</v>
      </c>
      <c r="O50" s="2">
        <f>('вместе-абс'!O50 - 'вместе-абс'!O$2) / 'вместе-абс'!O$2</f>
        <v>2.0712230215827336</v>
      </c>
      <c r="P50" s="2">
        <f>('вместе-абс'!P50 - 'вместе-абс'!P$2) / 'вместе-абс'!P$2</f>
        <v>1.6557377049180333</v>
      </c>
      <c r="Q50" s="2">
        <f>('вместе-абс'!Q50 - 'вместе-абс'!Q$2) / 'вместе-абс'!Q$2</f>
        <v>2.0243902439024395</v>
      </c>
      <c r="R50" s="2">
        <f>('вместе-абс'!R50 - 'вместе-абс'!R$2) / 'вместе-абс'!R$2</f>
        <v>1.9852941176470582</v>
      </c>
      <c r="S50" s="2">
        <f>('вместе-абс'!S50 - 'вместе-абс'!S$2) / 'вместе-абс'!S$2</f>
        <v>1.5381263616557737</v>
      </c>
      <c r="T50" s="2">
        <f>('вместе-абс'!T50 - 'вместе-абс'!T$2) / 'вместе-абс'!T$2</f>
        <v>0.92198581560283699</v>
      </c>
      <c r="U50" s="2">
        <f>('вместе-абс'!U50 - 'вместе-абс'!U$2) / 'вместе-абс'!U$2</f>
        <v>2.1672727272727275</v>
      </c>
      <c r="V50" s="2">
        <f>('вместе-абс'!V50 - 'вместе-абс'!V$2) / 'вместе-абс'!V$2</f>
        <v>0.38801098901098902</v>
      </c>
    </row>
    <row r="51" spans="1:22" x14ac:dyDescent="0.25">
      <c r="A51" s="9">
        <f t="shared" si="1"/>
        <v>1966</v>
      </c>
      <c r="B51" s="2">
        <f>('вместе-абс'!B51 - 'вместе-абс'!B$2) / 'вместе-абс'!B$2</f>
        <v>1.6615384615384616</v>
      </c>
      <c r="C51" s="2">
        <f>('вместе-абс'!C51 - 'вместе-абс'!C$2) / 'вместе-абс'!C$2</f>
        <v>1.1394230769230769</v>
      </c>
      <c r="D51" s="2">
        <f>('вместе-абс'!D51 - 'вместе-абс'!D$2) / 'вместе-абс'!D$2</f>
        <v>2.2230858919549163</v>
      </c>
      <c r="E51" s="2">
        <f>('вместе-абс'!E51 - 'вместе-абс'!E$2) / 'вместе-абс'!E$2</f>
        <v>1.3846153846153844</v>
      </c>
      <c r="F51" s="2">
        <f>('вместе-абс'!F51 - 'вместе-абс'!F$2) / 'вместе-абс'!F$2</f>
        <v>2.2290209790209792</v>
      </c>
      <c r="G51" s="2">
        <f>('вместе-абс'!G51 - 'вместе-абс'!G$2) / 'вместе-абс'!G$2</f>
        <v>2.85</v>
      </c>
      <c r="H51" s="2">
        <f>('вместе-абс'!H51 - 'вместе-абс'!H$2) / 'вместе-абс'!H$2</f>
        <v>1.9054545454545455</v>
      </c>
      <c r="I51" s="2">
        <f>('вместе-абс'!I51 - 'вместе-абс'!I$2) / 'вместе-абс'!I$2</f>
        <v>3.3095238095238098</v>
      </c>
      <c r="J51" s="2">
        <f>('вместе-абс'!J51 - 'вместе-абс'!J$2) / 'вместе-абс'!J$2</f>
        <v>2.4569536423841059</v>
      </c>
      <c r="K51" s="2">
        <f>('вместе-абс'!K51 - 'вместе-абс'!K$2) / 'вместе-абс'!K$2</f>
        <v>1.7387387387387385</v>
      </c>
      <c r="L51" s="2">
        <f>('вместе-абс'!L51 - 'вместе-абс'!L$2) / 'вместе-абс'!L$2</f>
        <v>2.6585365853658538</v>
      </c>
      <c r="M51" s="2">
        <f>('вместе-абс'!M51 - 'вместе-абс'!M$2) / 'вместе-абс'!M$2</f>
        <v>0.99497487437185939</v>
      </c>
      <c r="N51" s="2">
        <f>('вместе-абс'!N51 - 'вместе-абс'!N$2) / 'вместе-абс'!N$2</f>
        <v>2.587301587301587</v>
      </c>
      <c r="O51" s="2">
        <f>('вместе-абс'!O51 - 'вместе-абс'!O$2) / 'вместе-абс'!O$2</f>
        <v>2.1755395683453238</v>
      </c>
      <c r="P51" s="2">
        <f>('вместе-абс'!P51 - 'вместе-абс'!P$2) / 'вместе-абс'!P$2</f>
        <v>1.7213114754098358</v>
      </c>
      <c r="Q51" s="2">
        <f>('вместе-абс'!Q51 - 'вместе-абс'!Q$2) / 'вместе-абс'!Q$2</f>
        <v>2.0975609756097566</v>
      </c>
      <c r="R51" s="2">
        <f>('вместе-абс'!R51 - 'вместе-абс'!R$2) / 'вместе-абс'!R$2</f>
        <v>2.0441176470588229</v>
      </c>
      <c r="S51" s="2">
        <f>('вместе-абс'!S51 - 'вместе-абс'!S$2) / 'вместе-абс'!S$2</f>
        <v>1.616557734204793</v>
      </c>
      <c r="T51" s="2">
        <f>('вместе-абс'!T51 - 'вместе-абс'!T$2) / 'вместе-абс'!T$2</f>
        <v>0.95035460992907816</v>
      </c>
      <c r="U51" s="2">
        <f>('вместе-абс'!U51 - 'вместе-абс'!U$2) / 'вместе-абс'!U$2</f>
        <v>2.2836363636363632</v>
      </c>
      <c r="V51" s="2">
        <f>('вместе-абс'!V51 - 'вместе-абс'!V$2) / 'вместе-абс'!V$2</f>
        <v>0.39768131868131867</v>
      </c>
    </row>
    <row r="52" spans="1:22" x14ac:dyDescent="0.25">
      <c r="A52" s="9">
        <f t="shared" si="1"/>
        <v>1967</v>
      </c>
      <c r="B52" s="2">
        <f>('вместе-абс'!B52 - 'вместе-абс'!B$2) / 'вместе-абс'!B$2</f>
        <v>1.6982248520710062</v>
      </c>
      <c r="C52" s="2">
        <f>('вместе-абс'!C52 - 'вместе-абс'!C$2) / 'вместе-абс'!C$2</f>
        <v>1.153846153846154</v>
      </c>
      <c r="D52" s="2">
        <f>('вместе-абс'!D52 - 'вместе-абс'!D$2) / 'вместе-абс'!D$2</f>
        <v>2.3128643606684798</v>
      </c>
      <c r="E52" s="2">
        <f>('вместе-абс'!E52 - 'вместе-абс'!E$2) / 'вместе-абс'!E$2</f>
        <v>1.4313186813186811</v>
      </c>
      <c r="F52" s="2">
        <f>('вместе-абс'!F52 - 'вместе-абс'!F$2) / 'вместе-абс'!F$2</f>
        <v>2.314685314685315</v>
      </c>
      <c r="G52" s="2">
        <f>('вместе-абс'!G52 - 'вместе-абс'!G$2) / 'вместе-абс'!G$2</f>
        <v>2.9749999999999996</v>
      </c>
      <c r="H52" s="2">
        <f>('вместе-абс'!H52 - 'вместе-абс'!H$2) / 'вместе-абс'!H$2</f>
        <v>1.9600000000000002</v>
      </c>
      <c r="I52" s="2">
        <f>('вместе-абс'!I52 - 'вместе-абс'!I$2) / 'вместе-абс'!I$2</f>
        <v>3.4285714285714293</v>
      </c>
      <c r="J52" s="2">
        <f>('вместе-абс'!J52 - 'вместе-абс'!J$2) / 'вместе-абс'!J$2</f>
        <v>2.5761589403973515</v>
      </c>
      <c r="K52" s="2">
        <f>('вместе-абс'!K52 - 'вместе-абс'!K$2) / 'вместе-абс'!K$2</f>
        <v>1.8378378378378377</v>
      </c>
      <c r="L52" s="2">
        <f>('вместе-абс'!L52 - 'вместе-абс'!L$2) / 'вместе-абс'!L$2</f>
        <v>2.821138211382114</v>
      </c>
      <c r="M52" s="2">
        <f>('вместе-абс'!M52 - 'вместе-абс'!M$2) / 'вместе-абс'!M$2</f>
        <v>1.0251256281407035</v>
      </c>
      <c r="N52" s="2">
        <f>('вместе-абс'!N52 - 'вместе-абс'!N$2) / 'вместе-абс'!N$2</f>
        <v>2.6190476190476191</v>
      </c>
      <c r="O52" s="2">
        <f>('вместе-абс'!O52 - 'вместе-абс'!O$2) / 'вместе-абс'!O$2</f>
        <v>2.2856115107913673</v>
      </c>
      <c r="P52" s="2">
        <f>('вместе-абс'!P52 - 'вместе-абс'!P$2) / 'вместе-абс'!P$2</f>
        <v>1.7868852459016391</v>
      </c>
      <c r="Q52" s="2">
        <f>('вместе-абс'!Q52 - 'вместе-абс'!Q$2) / 'вместе-абс'!Q$2</f>
        <v>2.1951219512195128</v>
      </c>
      <c r="R52" s="2">
        <f>('вместе-абс'!R52 - 'вместе-абс'!R$2) / 'вместе-абс'!R$2</f>
        <v>2.1323529411764701</v>
      </c>
      <c r="S52" s="2">
        <f>('вместе-абс'!S52 - 'вместе-абс'!S$2) / 'вместе-абс'!S$2</f>
        <v>1.6819172113289762</v>
      </c>
      <c r="T52" s="2">
        <f>('вместе-абс'!T52 - 'вместе-абс'!T$2) / 'вместе-абс'!T$2</f>
        <v>0.9078014184397164</v>
      </c>
      <c r="U52" s="2">
        <f>('вместе-абс'!U52 - 'вместе-абс'!U$2) / 'вместе-абс'!U$2</f>
        <v>2.3854545454545457</v>
      </c>
      <c r="V52" s="2">
        <f>('вместе-абс'!V52 - 'вместе-абс'!V$2) / 'вместе-абс'!V$2</f>
        <v>0.40687912087912087</v>
      </c>
    </row>
    <row r="53" spans="1:22" x14ac:dyDescent="0.25">
      <c r="A53" s="9">
        <f t="shared" si="1"/>
        <v>1968</v>
      </c>
      <c r="B53" s="2">
        <f>('вместе-абс'!B53 - 'вместе-абс'!B$2) / 'вместе-абс'!B$2</f>
        <v>1.7349112426035505</v>
      </c>
      <c r="C53" s="2">
        <f>('вместе-абс'!C53 - 'вместе-абс'!C$2) / 'вместе-абс'!C$2</f>
        <v>1.1682692307692306</v>
      </c>
      <c r="D53" s="2">
        <f>('вместе-абс'!D53 - 'вместе-абс'!D$2) / 'вместе-абс'!D$2</f>
        <v>2.4053633890400312</v>
      </c>
      <c r="E53" s="2">
        <f>('вместе-абс'!E53 - 'вместе-абс'!E$2) / 'вместе-абс'!E$2</f>
        <v>1.4807692307692304</v>
      </c>
      <c r="F53" s="2">
        <f>('вместе-абс'!F53 - 'вместе-абс'!F$2) / 'вместе-абс'!F$2</f>
        <v>2.4020979020979025</v>
      </c>
      <c r="G53" s="2">
        <f>('вместе-абс'!G53 - 'вместе-абс'!G$2) / 'вместе-абс'!G$2</f>
        <v>3.0749999999999997</v>
      </c>
      <c r="H53" s="2">
        <f>('вместе-абс'!H53 - 'вместе-абс'!H$2) / 'вместе-абс'!H$2</f>
        <v>2.0109090909090908</v>
      </c>
      <c r="I53" s="2">
        <f>('вместе-абс'!I53 - 'вместе-абс'!I$2) / 'вместе-абс'!I$2</f>
        <v>3.5595238095238098</v>
      </c>
      <c r="J53" s="2">
        <f>('вместе-абс'!J53 - 'вместе-абс'!J$2) / 'вместе-абс'!J$2</f>
        <v>2.6953642384105962</v>
      </c>
      <c r="K53" s="2">
        <f>('вместе-абс'!K53 - 'вместе-абс'!K$2) / 'вместе-абс'!K$2</f>
        <v>1.9459459459459458</v>
      </c>
      <c r="L53" s="2">
        <f>('вместе-абс'!L53 - 'вместе-абс'!L$2) / 'вместе-абс'!L$2</f>
        <v>2.934959349593496</v>
      </c>
      <c r="M53" s="2">
        <f>('вместе-абс'!M53 - 'вместе-абс'!M$2) / 'вместе-абс'!M$2</f>
        <v>1.0603015075376883</v>
      </c>
      <c r="N53" s="2">
        <f>('вместе-абс'!N53 - 'вместе-абс'!N$2) / 'вместе-абс'!N$2</f>
        <v>2.666666666666667</v>
      </c>
      <c r="O53" s="2">
        <f>('вместе-абс'!O53 - 'вместе-абс'!O$2) / 'вместе-абс'!O$2</f>
        <v>2.4007194244604317</v>
      </c>
      <c r="P53" s="2">
        <f>('вместе-абс'!P53 - 'вместе-абс'!P$2) / 'вместе-абс'!P$2</f>
        <v>1.8524590163934425</v>
      </c>
      <c r="Q53" s="2">
        <f>('вместе-абс'!Q53 - 'вместе-абс'!Q$2) / 'вместе-абс'!Q$2</f>
        <v>2.292682926829269</v>
      </c>
      <c r="R53" s="2">
        <f>('вместе-абс'!R53 - 'вместе-абс'!R$2) / 'вместе-абс'!R$2</f>
        <v>2.2058823529411762</v>
      </c>
      <c r="S53" s="2">
        <f>('вместе-абс'!S53 - 'вместе-абс'!S$2) / 'вместе-абс'!S$2</f>
        <v>1.7603485838779958</v>
      </c>
      <c r="T53" s="2">
        <f>('вместе-абс'!T53 - 'вместе-абс'!T$2) / 'вместе-абс'!T$2</f>
        <v>0.91489361702127681</v>
      </c>
      <c r="U53" s="2">
        <f>('вместе-абс'!U53 - 'вместе-абс'!U$2) / 'вместе-абс'!U$2</f>
        <v>2.4981818181818181</v>
      </c>
      <c r="V53" s="2">
        <f>('вместе-абс'!V53 - 'вместе-абс'!V$2) / 'вместе-абс'!V$2</f>
        <v>0.41424175824175824</v>
      </c>
    </row>
    <row r="54" spans="1:22" x14ac:dyDescent="0.25">
      <c r="A54" s="9">
        <f t="shared" si="1"/>
        <v>1969</v>
      </c>
      <c r="B54" s="2">
        <f>('вместе-абс'!B54 - 'вместе-абс'!B$2) / 'вместе-абс'!B$2</f>
        <v>1.7727810650887577</v>
      </c>
      <c r="C54" s="2">
        <f>('вместе-абс'!C54 - 'вместе-абс'!C$2) / 'вместе-абс'!C$2</f>
        <v>1.1874999999999998</v>
      </c>
      <c r="D54" s="2">
        <f>('вместе-абс'!D54 - 'вместе-абс'!D$2) / 'вместе-абс'!D$2</f>
        <v>2.500582977069568</v>
      </c>
      <c r="E54" s="2">
        <f>('вместе-абс'!E54 - 'вместе-абс'!E$2) / 'вместе-абс'!E$2</f>
        <v>1.5274725274725272</v>
      </c>
      <c r="F54" s="2">
        <f>('вместе-абс'!F54 - 'вместе-абс'!F$2) / 'вместе-абс'!F$2</f>
        <v>2.4930069930069934</v>
      </c>
      <c r="G54" s="2">
        <f>('вместе-абс'!G54 - 'вместе-абс'!G$2) / 'вместе-абс'!G$2</f>
        <v>3.2250000000000001</v>
      </c>
      <c r="H54" s="2">
        <f>('вместе-абс'!H54 - 'вместе-абс'!H$2) / 'вместе-абс'!H$2</f>
        <v>2.061818181818182</v>
      </c>
      <c r="I54" s="2">
        <f>('вместе-абс'!I54 - 'вместе-абс'!I$2) / 'вместе-абс'!I$2</f>
        <v>3.702380952380953</v>
      </c>
      <c r="J54" s="2">
        <f>('вместе-абс'!J54 - 'вместе-абс'!J$2) / 'вместе-абс'!J$2</f>
        <v>2.8211920529801322</v>
      </c>
      <c r="K54" s="2">
        <f>('вместе-абс'!K54 - 'вместе-абс'!K$2) / 'вместе-абс'!K$2</f>
        <v>2.0270270270270268</v>
      </c>
      <c r="L54" s="2">
        <f>('вместе-абс'!L54 - 'вместе-абс'!L$2) / 'вместе-абс'!L$2</f>
        <v>3.0813008130081299</v>
      </c>
      <c r="M54" s="2">
        <f>('вместе-абс'!M54 - 'вместе-абс'!M$2) / 'вместе-абс'!M$2</f>
        <v>1.0904522613065326</v>
      </c>
      <c r="N54" s="2">
        <f>('вместе-абс'!N54 - 'вместе-абс'!N$2) / 'вместе-абс'!N$2</f>
        <v>2.8888888888888893</v>
      </c>
      <c r="O54" s="2">
        <f>('вместе-абс'!O54 - 'вместе-абс'!O$2) / 'вместе-абс'!O$2</f>
        <v>2.5201438848920863</v>
      </c>
      <c r="P54" s="2">
        <f>('вместе-абс'!P54 - 'вместе-абс'!P$2) / 'вместе-абс'!P$2</f>
        <v>1.9344262295081971</v>
      </c>
      <c r="Q54" s="2">
        <f>('вместе-абс'!Q54 - 'вместе-абс'!Q$2) / 'вместе-абс'!Q$2</f>
        <v>2.3902439024390243</v>
      </c>
      <c r="R54" s="2">
        <f>('вместе-абс'!R54 - 'вместе-абс'!R$2) / 'вместе-абс'!R$2</f>
        <v>2.2941176470588234</v>
      </c>
      <c r="S54" s="2">
        <f>('вместе-абс'!S54 - 'вместе-абс'!S$2) / 'вместе-абс'!S$2</f>
        <v>1.8431372549019611</v>
      </c>
      <c r="T54" s="2">
        <f>('вместе-абс'!T54 - 'вместе-абс'!T$2) / 'вместе-абс'!T$2</f>
        <v>0.92198581560283699</v>
      </c>
      <c r="U54" s="2">
        <f>('вместе-абс'!U54 - 'вместе-абс'!U$2) / 'вместе-абс'!U$2</f>
        <v>2.6145454545454543</v>
      </c>
      <c r="V54" s="2">
        <f>('вместе-абс'!V54 - 'вместе-абс'!V$2) / 'вместе-абс'!V$2</f>
        <v>0.42174725274725272</v>
      </c>
    </row>
    <row r="55" spans="1:22" x14ac:dyDescent="0.25">
      <c r="A55" s="9">
        <f t="shared" si="1"/>
        <v>1970</v>
      </c>
      <c r="B55" s="2">
        <f>('вместе-абс'!B55 - 'вместе-абс'!B$2) / 'вместе-абс'!B$2</f>
        <v>1.8106508875739646</v>
      </c>
      <c r="C55" s="2">
        <f>('вместе-абс'!C55 - 'вместе-абс'!C$2) / 'вместе-абс'!C$2</f>
        <v>1.2019230769230769</v>
      </c>
      <c r="D55" s="2">
        <f>('вместе-абс'!D55 - 'вместе-абс'!D$2) / 'вместе-абс'!D$2</f>
        <v>2.5958025650991057</v>
      </c>
      <c r="E55" s="2">
        <f>('вместе-абс'!E55 - 'вместе-абс'!E$2) / 'вместе-абс'!E$2</f>
        <v>1.5741758241758237</v>
      </c>
      <c r="F55" s="2">
        <f>('вместе-абс'!F55 - 'вместе-абс'!F$2) / 'вместе-абс'!F$2</f>
        <v>2.5891608391608396</v>
      </c>
      <c r="G55" s="2">
        <f>('вместе-абс'!G55 - 'вместе-абс'!G$2) / 'вместе-абс'!G$2</f>
        <v>3.3250000000000002</v>
      </c>
      <c r="H55" s="2">
        <f>('вместе-абс'!H55 - 'вместе-абс'!H$2) / 'вместе-абс'!H$2</f>
        <v>2.1090909090909093</v>
      </c>
      <c r="I55" s="2">
        <f>('вместе-абс'!I55 - 'вместе-абс'!I$2) / 'вместе-абс'!I$2</f>
        <v>3.833333333333333</v>
      </c>
      <c r="J55" s="2">
        <f>('вместе-абс'!J55 - 'вместе-абс'!J$2) / 'вместе-абс'!J$2</f>
        <v>2.947019867549669</v>
      </c>
      <c r="K55" s="2">
        <f>('вместе-абс'!K55 - 'вместе-абс'!K$2) / 'вместе-абс'!K$2</f>
        <v>2.099099099099099</v>
      </c>
      <c r="L55" s="2">
        <f>('вместе-абс'!L55 - 'вместе-абс'!L$2) / 'вместе-абс'!L$2</f>
        <v>3.2845528455284545</v>
      </c>
      <c r="M55" s="2">
        <f>('вместе-абс'!M55 - 'вместе-абс'!M$2) / 'вместе-абс'!M$2</f>
        <v>1.1306532663316582</v>
      </c>
      <c r="N55" s="2">
        <f>('вместе-абс'!N55 - 'вместе-абс'!N$2) / 'вместе-абс'!N$2</f>
        <v>3.1904761904761907</v>
      </c>
      <c r="O55" s="2">
        <f>('вместе-абс'!O55 - 'вместе-абс'!O$2) / 'вместе-абс'!O$2</f>
        <v>2.6467625899280574</v>
      </c>
      <c r="P55" s="2">
        <f>('вместе-абс'!P55 - 'вместе-абс'!P$2) / 'вместе-абс'!P$2</f>
        <v>2.0000000000000004</v>
      </c>
      <c r="Q55" s="2">
        <f>('вместе-абс'!Q55 - 'вместе-абс'!Q$2) / 'вместе-абс'!Q$2</f>
        <v>2.4878048780487805</v>
      </c>
      <c r="R55" s="2">
        <f>('вместе-абс'!R55 - 'вместе-абс'!R$2) / 'вместе-абс'!R$2</f>
        <v>2.3823529411764701</v>
      </c>
      <c r="S55" s="2">
        <f>('вместе-абс'!S55 - 'вместе-абс'!S$2) / 'вместе-абс'!S$2</f>
        <v>1.9302832244008714</v>
      </c>
      <c r="T55" s="2">
        <f>('вместе-абс'!T55 - 'вместе-абс'!T$2) / 'вместе-абс'!T$2</f>
        <v>0.93617021276595758</v>
      </c>
      <c r="U55" s="2">
        <f>('вместе-абс'!U55 - 'вместе-абс'!U$2) / 'вместе-абс'!U$2</f>
        <v>2.7381818181818178</v>
      </c>
      <c r="V55" s="2">
        <f>('вместе-абс'!V55 - 'вместе-абс'!V$2) / 'вместе-абс'!V$2</f>
        <v>0.42943956043956044</v>
      </c>
    </row>
    <row r="56" spans="1:22" x14ac:dyDescent="0.25">
      <c r="A56" s="9">
        <f t="shared" si="1"/>
        <v>1971</v>
      </c>
      <c r="B56" s="2">
        <f>('вместе-абс'!B56 - 'вместе-абс'!B$2) / 'вместе-абс'!B$2</f>
        <v>1.8485207100591718</v>
      </c>
      <c r="C56" s="2">
        <f>('вместе-абс'!C56 - 'вместе-абс'!C$2) / 'вместе-абс'!C$2</f>
        <v>1.221153846153846</v>
      </c>
      <c r="D56" s="2">
        <f>('вместе-абс'!D56 - 'вместе-абс'!D$2) / 'вместе-абс'!D$2</f>
        <v>2.6987951807228914</v>
      </c>
      <c r="E56" s="2">
        <f>('вместе-абс'!E56 - 'вместе-абс'!E$2) / 'вместе-абс'!E$2</f>
        <v>1.6181318681318677</v>
      </c>
      <c r="F56" s="2">
        <f>('вместе-абс'!F56 - 'вместе-абс'!F$2) / 'вместе-абс'!F$2</f>
        <v>2.6870629370629375</v>
      </c>
      <c r="G56" s="2">
        <f>('вместе-абс'!G56 - 'вместе-абс'!G$2) / 'вместе-абс'!G$2</f>
        <v>3.4999999999999996</v>
      </c>
      <c r="H56" s="2">
        <f>('вместе-абс'!H56 - 'вместе-абс'!H$2) / 'вместе-абс'!H$2</f>
        <v>2.1599999999999997</v>
      </c>
      <c r="I56" s="2">
        <f>('вместе-абс'!I56 - 'вместе-абс'!I$2) / 'вместе-абс'!I$2</f>
        <v>3.9761904761904763</v>
      </c>
      <c r="J56" s="2">
        <f>('вместе-абс'!J56 - 'вместе-абс'!J$2) / 'вместе-абс'!J$2</f>
        <v>3.0860927152317883</v>
      </c>
      <c r="K56" s="2">
        <f>('вместе-абс'!K56 - 'вместе-абс'!K$2) / 'вместе-абс'!K$2</f>
        <v>2.1981981981981975</v>
      </c>
      <c r="L56" s="2">
        <f>('вместе-абс'!L56 - 'вместе-абс'!L$2) / 'вместе-абс'!L$2</f>
        <v>3.4065040650406502</v>
      </c>
      <c r="M56" s="2">
        <f>('вместе-абс'!M56 - 'вместе-абс'!M$2) / 'вместе-абс'!M$2</f>
        <v>1.1658291457286429</v>
      </c>
      <c r="N56" s="2">
        <f>('вместе-абс'!N56 - 'вместе-абс'!N$2) / 'вместе-абс'!N$2</f>
        <v>3.3174603174603181</v>
      </c>
      <c r="O56" s="2">
        <f>('вместе-абс'!O56 - 'вместе-абс'!O$2) / 'вместе-абс'!O$2</f>
        <v>2.7733812949640289</v>
      </c>
      <c r="P56" s="2">
        <f>('вместе-абс'!P56 - 'вместе-абс'!P$2) / 'вместе-абс'!P$2</f>
        <v>2.0983606557377046</v>
      </c>
      <c r="Q56" s="2">
        <f>('вместе-абс'!Q56 - 'вместе-абс'!Q$2) / 'вместе-абс'!Q$2</f>
        <v>2.6097560975609757</v>
      </c>
      <c r="R56" s="2">
        <f>('вместе-абс'!R56 - 'вместе-абс'!R$2) / 'вместе-абс'!R$2</f>
        <v>2.4705882352941169</v>
      </c>
      <c r="S56" s="2">
        <f>('вместе-абс'!S56 - 'вместе-абс'!S$2) / 'вместе-абс'!S$2</f>
        <v>1.9607843137254903</v>
      </c>
      <c r="T56" s="2">
        <f>('вместе-абс'!T56 - 'вместе-абс'!T$2) / 'вместе-абс'!T$2</f>
        <v>0.94326241134751798</v>
      </c>
      <c r="U56" s="2">
        <f>('вместе-абс'!U56 - 'вместе-абс'!U$2) / 'вместе-абс'!U$2</f>
        <v>2.8581818181818179</v>
      </c>
      <c r="V56" s="2">
        <f>('вместе-абс'!V56 - 'вместе-абс'!V$2) / 'вместе-абс'!V$2</f>
        <v>0.43630769230769229</v>
      </c>
    </row>
    <row r="57" spans="1:22" x14ac:dyDescent="0.25">
      <c r="A57" s="9">
        <f t="shared" si="1"/>
        <v>1972</v>
      </c>
      <c r="B57" s="2">
        <f>('вместе-абс'!B57 - 'вместе-абс'!B$2) / 'вместе-абс'!B$2</f>
        <v>1.8863905325443791</v>
      </c>
      <c r="C57" s="2">
        <f>('вместе-абс'!C57 - 'вместе-абс'!C$2) / 'вместе-абс'!C$2</f>
        <v>1.2307692307692306</v>
      </c>
      <c r="D57" s="2">
        <f>('вместе-абс'!D57 - 'вместе-абс'!D$2) / 'вместе-абс'!D$2</f>
        <v>2.802953750485814</v>
      </c>
      <c r="E57" s="2">
        <f>('вместе-абс'!E57 - 'вместе-абс'!E$2) / 'вместе-абс'!E$2</f>
        <v>1.6648351648351645</v>
      </c>
      <c r="F57" s="2">
        <f>('вместе-абс'!F57 - 'вместе-абс'!F$2) / 'вместе-абс'!F$2</f>
        <v>2.7884615384615392</v>
      </c>
      <c r="G57" s="2">
        <f>('вместе-абс'!G57 - 'вместе-абс'!G$2) / 'вместе-абс'!G$2</f>
        <v>3.5999999999999996</v>
      </c>
      <c r="H57" s="2">
        <f>('вместе-абс'!H57 - 'вместе-абс'!H$2) / 'вместе-абс'!H$2</f>
        <v>2.2218181818181817</v>
      </c>
      <c r="I57" s="2">
        <f>('вместе-абс'!I57 - 'вместе-абс'!I$2) / 'вместе-абс'!I$2</f>
        <v>4.1190476190476195</v>
      </c>
      <c r="J57" s="2">
        <f>('вместе-абс'!J57 - 'вместе-абс'!J$2) / 'вместе-абс'!J$2</f>
        <v>3.2251655629139075</v>
      </c>
      <c r="K57" s="2">
        <f>('вместе-абс'!K57 - 'вместе-абс'!K$2) / 'вместе-абс'!K$2</f>
        <v>2.3063063063063058</v>
      </c>
      <c r="L57" s="2">
        <f>('вместе-абс'!L57 - 'вместе-абс'!L$2) / 'вместе-абс'!L$2</f>
        <v>3.5365853658536581</v>
      </c>
      <c r="M57" s="2">
        <f>('вместе-абс'!M57 - 'вместе-абс'!M$2) / 'вместе-абс'!M$2</f>
        <v>1.1959798994974873</v>
      </c>
      <c r="N57" s="2">
        <f>('вместе-абс'!N57 - 'вместе-абс'!N$2) / 'вместе-абс'!N$2</f>
        <v>3.4603174603174605</v>
      </c>
      <c r="O57" s="2">
        <f>('вместе-абс'!O57 - 'вместе-абс'!O$2) / 'вместе-абс'!O$2</f>
        <v>2.90431654676259</v>
      </c>
      <c r="P57" s="2">
        <f>('вместе-абс'!P57 - 'вместе-абс'!P$2) / 'вместе-абс'!P$2</f>
        <v>2.1967213114754096</v>
      </c>
      <c r="Q57" s="2">
        <f>('вместе-абс'!Q57 - 'вместе-абс'!Q$2) / 'вместе-абс'!Q$2</f>
        <v>2.7073170731707319</v>
      </c>
      <c r="R57" s="2">
        <f>('вместе-абс'!R57 - 'вместе-абс'!R$2) / 'вместе-абс'!R$2</f>
        <v>2.5735294117647056</v>
      </c>
      <c r="S57" s="2">
        <f>('вместе-абс'!S57 - 'вместе-абс'!S$2) / 'вместе-абс'!S$2</f>
        <v>2.0392156862745097</v>
      </c>
      <c r="T57" s="2">
        <f>('вместе-абс'!T57 - 'вместе-абс'!T$2) / 'вместе-абс'!T$2</f>
        <v>0.95035460992907816</v>
      </c>
      <c r="U57" s="2">
        <f>('вместе-абс'!U57 - 'вместе-абс'!U$2) / 'вместе-абс'!U$2</f>
        <v>2.978181818181818</v>
      </c>
      <c r="V57" s="2">
        <f>('вместе-абс'!V57 - 'вместе-абс'!V$2) / 'вместе-абс'!V$2</f>
        <v>0.44445054945054946</v>
      </c>
    </row>
    <row r="58" spans="1:22" x14ac:dyDescent="0.25">
      <c r="A58" s="9">
        <f t="shared" si="1"/>
        <v>1973</v>
      </c>
      <c r="B58" s="2">
        <f>('вместе-абс'!B58 - 'вместе-абс'!B$2) / 'вместе-абс'!B$2</f>
        <v>1.937278106508876</v>
      </c>
      <c r="C58" s="2">
        <f>('вместе-абс'!C58 - 'вместе-абс'!C$2) / 'вместе-абс'!C$2</f>
        <v>1.2451923076923075</v>
      </c>
      <c r="D58" s="2">
        <f>('вместе-абс'!D58 - 'вместе-абс'!D$2) / 'вместе-абс'!D$2</f>
        <v>2.8834045860862805</v>
      </c>
      <c r="E58" s="2">
        <f>('вместе-абс'!E58 - 'вместе-абс'!E$2) / 'вместе-абс'!E$2</f>
        <v>1.7087912087912085</v>
      </c>
      <c r="F58" s="2">
        <f>('вместе-абс'!F58 - 'вместе-абс'!F$2) / 'вместе-абс'!F$2</f>
        <v>2.9055944055944058</v>
      </c>
      <c r="G58" s="2">
        <f>('вместе-абс'!G58 - 'вместе-абс'!G$2) / 'вместе-абс'!G$2</f>
        <v>3.6750000000000003</v>
      </c>
      <c r="H58" s="2">
        <f>('вместе-абс'!H58 - 'вместе-абс'!H$2) / 'вместе-абс'!H$2</f>
        <v>2.2872727272727271</v>
      </c>
      <c r="I58" s="2">
        <f>('вместе-абс'!I58 - 'вместе-абс'!I$2) / 'вместе-абс'!I$2</f>
        <v>4.2738095238095237</v>
      </c>
      <c r="J58" s="2">
        <f>('вместе-абс'!J58 - 'вместе-абс'!J$2) / 'вместе-абс'!J$2</f>
        <v>3.3708609271523176</v>
      </c>
      <c r="K58" s="2">
        <f>('вместе-абс'!K58 - 'вместе-абс'!K$2) / 'вместе-абс'!K$2</f>
        <v>2.3963963963963963</v>
      </c>
      <c r="L58" s="2">
        <f>('вместе-абс'!L58 - 'вместе-абс'!L$2) / 'вместе-абс'!L$2</f>
        <v>3.6666666666666665</v>
      </c>
      <c r="M58" s="2">
        <f>('вместе-абс'!M58 - 'вместе-абс'!M$2) / 'вместе-абс'!M$2</f>
        <v>1.2311557788944725</v>
      </c>
      <c r="N58" s="2">
        <f>('вместе-абс'!N58 - 'вместе-абс'!N$2) / 'вместе-абс'!N$2</f>
        <v>3.6031746031746033</v>
      </c>
      <c r="O58" s="2">
        <f>('вместе-абс'!O58 - 'вместе-абс'!O$2) / 'вместе-абс'!O$2</f>
        <v>3.0402877697841726</v>
      </c>
      <c r="P58" s="2">
        <f>('вместе-абс'!P58 - 'вместе-абс'!P$2) / 'вместе-абс'!P$2</f>
        <v>2.2950819672131146</v>
      </c>
      <c r="Q58" s="2">
        <f>('вместе-абс'!Q58 - 'вместе-абс'!Q$2) / 'вместе-абс'!Q$2</f>
        <v>2.8292682926829276</v>
      </c>
      <c r="R58" s="2">
        <f>('вместе-абс'!R58 - 'вместе-абс'!R$2) / 'вместе-абс'!R$2</f>
        <v>2.6764705882352935</v>
      </c>
      <c r="S58" s="2">
        <f>('вместе-абс'!S58 - 'вместе-абс'!S$2) / 'вместе-абс'!S$2</f>
        <v>2.1263616557734206</v>
      </c>
      <c r="T58" s="2">
        <f>('вместе-абс'!T58 - 'вместе-абс'!T$2) / 'вместе-абс'!T$2</f>
        <v>0.95744680851063824</v>
      </c>
      <c r="U58" s="2">
        <f>('вместе-абс'!U58 - 'вместе-абс'!U$2) / 'вместе-абс'!U$2</f>
        <v>3.1018181818181816</v>
      </c>
      <c r="V58" s="2">
        <f>('вместе-абс'!V58 - 'вместе-абс'!V$2) / 'вместе-абс'!V$2</f>
        <v>0.45285714285714285</v>
      </c>
    </row>
    <row r="59" spans="1:22" x14ac:dyDescent="0.25">
      <c r="A59" s="9">
        <f t="shared" si="1"/>
        <v>1974</v>
      </c>
      <c r="B59" s="2">
        <f>('вместе-абс'!B59 - 'вместе-абс'!B$2) / 'вместе-абс'!B$2</f>
        <v>1.9846153846153847</v>
      </c>
      <c r="C59" s="2">
        <f>('вместе-абс'!C59 - 'вместе-абс'!C$2) / 'вместе-абс'!C$2</f>
        <v>1.283653846153846</v>
      </c>
      <c r="D59" s="2">
        <f>('вместе-абс'!D59 - 'вместе-абс'!D$2) / 'вместе-абс'!D$2</f>
        <v>2.9797901282549555</v>
      </c>
      <c r="E59" s="2">
        <f>('вместе-абс'!E59 - 'вместе-абс'!E$2) / 'вместе-абс'!E$2</f>
        <v>1.755494505494505</v>
      </c>
      <c r="F59" s="2">
        <f>('вместе-абс'!F59 - 'вместе-абс'!F$2) / 'вместе-абс'!F$2</f>
        <v>3.0174825174825179</v>
      </c>
      <c r="G59" s="2">
        <f>('вместе-абс'!G59 - 'вместе-абс'!G$2) / 'вместе-абс'!G$2</f>
        <v>3.8</v>
      </c>
      <c r="H59" s="2">
        <f>('вместе-абс'!H59 - 'вместе-абс'!H$2) / 'вместе-абс'!H$2</f>
        <v>2.3418181818181818</v>
      </c>
      <c r="I59" s="2">
        <f>('вместе-абс'!I59 - 'вместе-абс'!I$2) / 'вместе-абс'!I$2</f>
        <v>4.4285714285714288</v>
      </c>
      <c r="J59" s="2">
        <f>('вместе-абс'!J59 - 'вместе-абс'!J$2) / 'вместе-абс'!J$2</f>
        <v>3.5231788079470201</v>
      </c>
      <c r="K59" s="2">
        <f>('вместе-абс'!K59 - 'вместе-абс'!K$2) / 'вместе-абс'!K$2</f>
        <v>2.5045045045045047</v>
      </c>
      <c r="L59" s="2">
        <f>('вместе-абс'!L59 - 'вместе-абс'!L$2) / 'вместе-абс'!L$2</f>
        <v>3.9186991869918701</v>
      </c>
      <c r="M59" s="2">
        <f>('вместе-абс'!M59 - 'вместе-абс'!M$2) / 'вместе-абс'!M$2</f>
        <v>1.266331658291457</v>
      </c>
      <c r="N59" s="2">
        <f>('вместе-абс'!N59 - 'вместе-абс'!N$2) / 'вместе-абс'!N$2</f>
        <v>3.7460317460317465</v>
      </c>
      <c r="O59" s="2">
        <f>('вместе-абс'!O59 - 'вместе-абс'!O$2) / 'вместе-абс'!O$2</f>
        <v>3.1812949640287767</v>
      </c>
      <c r="P59" s="2">
        <f>('вместе-абс'!P59 - 'вместе-абс'!P$2) / 'вместе-абс'!P$2</f>
        <v>2.4098360655737707</v>
      </c>
      <c r="Q59" s="2">
        <f>('вместе-абс'!Q59 - 'вместе-абс'!Q$2) / 'вместе-абс'!Q$2</f>
        <v>2.9512195121951228</v>
      </c>
      <c r="R59" s="2">
        <f>('вместе-абс'!R59 - 'вместе-абс'!R$2) / 'вместе-абс'!R$2</f>
        <v>2.7794117647058818</v>
      </c>
      <c r="S59" s="2">
        <f>('вместе-абс'!S59 - 'вместе-абс'!S$2) / 'вместе-абс'!S$2</f>
        <v>2.3028322440087146</v>
      </c>
      <c r="T59" s="2">
        <f>('вместе-абс'!T59 - 'вместе-абс'!T$2) / 'вместе-абс'!T$2</f>
        <v>0.96453900709219875</v>
      </c>
      <c r="U59" s="2">
        <f>('вместе-абс'!U59 - 'вместе-абс'!U$2) / 'вместе-абс'!U$2</f>
        <v>3.2290909090909095</v>
      </c>
      <c r="V59" s="2">
        <f>('вместе-абс'!V59 - 'вместе-абс'!V$2) / 'вместе-абс'!V$2</f>
        <v>0.46089010989010987</v>
      </c>
    </row>
    <row r="60" spans="1:22" x14ac:dyDescent="0.25">
      <c r="A60" s="9">
        <f t="shared" si="1"/>
        <v>1975</v>
      </c>
      <c r="B60" s="2">
        <f>('вместе-абс'!B60 - 'вместе-абс'!B$2) / 'вместе-абс'!B$2</f>
        <v>2.082840236686391</v>
      </c>
      <c r="C60" s="2">
        <f>('вместе-абс'!C60 - 'вместе-абс'!C$2) / 'вместе-абс'!C$2</f>
        <v>1.3509615384615383</v>
      </c>
      <c r="D60" s="2">
        <f>('вместе-абс'!D60 - 'вместе-абс'!D$2) / 'вместе-абс'!D$2</f>
        <v>3.0785075787019043</v>
      </c>
      <c r="E60" s="2">
        <f>('вместе-абс'!E60 - 'вместе-абс'!E$2) / 'вместе-абс'!E$2</f>
        <v>1.8021978021978018</v>
      </c>
      <c r="F60" s="2">
        <f>('вместе-абс'!F60 - 'вместе-абс'!F$2) / 'вместе-абс'!F$2</f>
        <v>3.1328671328671334</v>
      </c>
      <c r="G60" s="2">
        <f>('вместе-абс'!G60 - 'вместе-абс'!G$2) / 'вместе-абс'!G$2</f>
        <v>3.9</v>
      </c>
      <c r="H60" s="2">
        <f>('вместе-абс'!H60 - 'вместе-абс'!H$2) / 'вместе-абс'!H$2</f>
        <v>2.1090909090909093</v>
      </c>
      <c r="I60" s="2">
        <f>('вместе-абс'!I60 - 'вместе-абс'!I$2) / 'вместе-абс'!I$2</f>
        <v>4.5952380952380958</v>
      </c>
      <c r="J60" s="2">
        <f>('вместе-абс'!J60 - 'вместе-абс'!J$2) / 'вместе-абс'!J$2</f>
        <v>3.6556291390728481</v>
      </c>
      <c r="K60" s="2">
        <f>('вместе-абс'!K60 - 'вместе-абс'!K$2) / 'вместе-абс'!K$2</f>
        <v>2.6126126126126117</v>
      </c>
      <c r="L60" s="2">
        <f>('вместе-абс'!L60 - 'вместе-абс'!L$2) / 'вместе-абс'!L$2</f>
        <v>4.0731707317073171</v>
      </c>
      <c r="M60" s="2">
        <f>('вместе-абс'!M60 - 'вместе-абс'!M$2) / 'вместе-абс'!M$2</f>
        <v>1.3015075376884422</v>
      </c>
      <c r="N60" s="2">
        <f>('вместе-абс'!N60 - 'вместе-абс'!N$2) / 'вместе-абс'!N$2</f>
        <v>3.9047619047619047</v>
      </c>
      <c r="O60" s="2">
        <f>('вместе-абс'!O60 - 'вместе-абс'!O$2) / 'вместе-абс'!O$2</f>
        <v>3.3273381294964026</v>
      </c>
      <c r="P60" s="2">
        <f>('вместе-абс'!P60 - 'вместе-абс'!P$2) / 'вместе-абс'!P$2</f>
        <v>2.5409836065573774</v>
      </c>
      <c r="Q60" s="2">
        <f>('вместе-абс'!Q60 - 'вместе-абс'!Q$2) / 'вместе-абс'!Q$2</f>
        <v>3.0975609756097562</v>
      </c>
      <c r="R60" s="2">
        <f>('вместе-абс'!R60 - 'вместе-абс'!R$2) / 'вместе-абс'!R$2</f>
        <v>2.9558823529411757</v>
      </c>
      <c r="S60" s="2">
        <f>('вместе-абс'!S60 - 'вместе-абс'!S$2) / 'вместе-абс'!S$2</f>
        <v>2.3703703703703707</v>
      </c>
      <c r="T60" s="2">
        <f>('вместе-абс'!T60 - 'вместе-абс'!T$2) / 'вместе-абс'!T$2</f>
        <v>1.0070921985815604</v>
      </c>
      <c r="U60" s="2">
        <f>('вместе-абс'!U60 - 'вместе-абс'!U$2) / 'вместе-абс'!U$2</f>
        <v>3.6072727272727274</v>
      </c>
      <c r="V60" s="2">
        <f>('вместе-абс'!V60 - 'вместе-абс'!V$2) / 'вместе-абс'!V$2</f>
        <v>0.47005494505494505</v>
      </c>
    </row>
    <row r="61" spans="1:22" x14ac:dyDescent="0.25">
      <c r="A61" s="9">
        <f t="shared" si="1"/>
        <v>1976</v>
      </c>
      <c r="B61" s="2">
        <f>('вместе-абс'!B61 - 'вместе-абс'!B$2) / 'вместе-абс'!B$2</f>
        <v>2.1337278106508877</v>
      </c>
      <c r="C61" s="2">
        <f>('вместе-абс'!C61 - 'вместе-абс'!C$2) / 'вместе-абс'!C$2</f>
        <v>1.4182692307692308</v>
      </c>
      <c r="D61" s="2">
        <f>('вместе-абс'!D61 - 'вместе-абс'!D$2) / 'вместе-абс'!D$2</f>
        <v>3.1795569374271277</v>
      </c>
      <c r="E61" s="2">
        <f>('вместе-абс'!E61 - 'вместе-абс'!E$2) / 'вместе-абс'!E$2</f>
        <v>1.8489010989010985</v>
      </c>
      <c r="F61" s="2">
        <f>('вместе-абс'!F61 - 'вместе-абс'!F$2) / 'вместе-абс'!F$2</f>
        <v>3.2534965034965033</v>
      </c>
      <c r="G61" s="2">
        <f>('вместе-абс'!G61 - 'вместе-абс'!G$2) / 'вместе-абс'!G$2</f>
        <v>4.0249999999999995</v>
      </c>
      <c r="H61" s="2">
        <f>('вместе-абс'!H61 - 'вместе-абс'!H$2) / 'вместе-абс'!H$2</f>
        <v>2.4290909090909092</v>
      </c>
      <c r="I61" s="2">
        <f>('вместе-абс'!I61 - 'вместе-абс'!I$2) / 'вместе-абс'!I$2</f>
        <v>4.8214285714285712</v>
      </c>
      <c r="J61" s="2">
        <f>('вместе-абс'!J61 - 'вместе-абс'!J$2) / 'вместе-абс'!J$2</f>
        <v>3.7947019867549669</v>
      </c>
      <c r="K61" s="2">
        <f>('вместе-абс'!K61 - 'вместе-абс'!K$2) / 'вместе-абс'!K$2</f>
        <v>2.7117117117117111</v>
      </c>
      <c r="L61" s="2">
        <f>('вместе-абс'!L61 - 'вместе-абс'!L$2) / 'вместе-абс'!L$2</f>
        <v>4.2276422764227641</v>
      </c>
      <c r="M61" s="2">
        <f>('вместе-абс'!M61 - 'вместе-абс'!M$2) / 'вместе-абс'!M$2</f>
        <v>1.3467336683417084</v>
      </c>
      <c r="N61" s="2">
        <f>('вместе-абс'!N61 - 'вместе-абс'!N$2) / 'вместе-абс'!N$2</f>
        <v>4.07936507936508</v>
      </c>
      <c r="O61" s="2">
        <f>('вместе-абс'!O61 - 'вместе-абс'!O$2) / 'вместе-абс'!O$2</f>
        <v>3.4589928057553956</v>
      </c>
      <c r="P61" s="2">
        <f>('вместе-абс'!P61 - 'вместе-абс'!P$2) / 'вместе-абс'!P$2</f>
        <v>2.6721311475409841</v>
      </c>
      <c r="Q61" s="2">
        <f>('вместе-абс'!Q61 - 'вместе-абс'!Q$2) / 'вместе-абс'!Q$2</f>
        <v>3.1951219512195124</v>
      </c>
      <c r="R61" s="2">
        <f>('вместе-абс'!R61 - 'вместе-абс'!R$2) / 'вместе-абс'!R$2</f>
        <v>3.0882352941176463</v>
      </c>
      <c r="S61" s="2">
        <f>('вместе-абс'!S61 - 'вместе-абс'!S$2) / 'вместе-абс'!S$2</f>
        <v>2.3921568627450984</v>
      </c>
      <c r="T61" s="2">
        <f>('вместе-абс'!T61 - 'вместе-абс'!T$2) / 'вместе-абс'!T$2</f>
        <v>1.021276595744681</v>
      </c>
      <c r="U61" s="2">
        <f>('вместе-абс'!U61 - 'вместе-абс'!U$2) / 'вместе-абс'!U$2</f>
        <v>3.7709090909090905</v>
      </c>
      <c r="V61" s="2">
        <f>('вместе-абс'!V61 - 'вместе-абс'!V$2) / 'вместе-абс'!V$2</f>
        <v>0.48010989010989014</v>
      </c>
    </row>
    <row r="62" spans="1:22" x14ac:dyDescent="0.25">
      <c r="A62" s="9">
        <f t="shared" si="1"/>
        <v>1977</v>
      </c>
      <c r="B62" s="2">
        <f>('вместе-абс'!B62 - 'вместе-абс'!B$2) / 'вместе-абс'!B$2</f>
        <v>2.1846153846153848</v>
      </c>
      <c r="C62" s="2">
        <f>('вместе-абс'!C62 - 'вместе-абс'!C$2) / 'вместе-абс'!C$2</f>
        <v>1.4807692307692308</v>
      </c>
      <c r="D62" s="2">
        <f>('вместе-абс'!D62 - 'вместе-абс'!D$2) / 'вместе-абс'!D$2</f>
        <v>3.2833268558103379</v>
      </c>
      <c r="E62" s="2">
        <f>('вместе-абс'!E62 - 'вместе-абс'!E$2) / 'вместе-абс'!E$2</f>
        <v>1.9285714285714284</v>
      </c>
      <c r="F62" s="2">
        <f>('вместе-абс'!F62 - 'вместе-абс'!F$2) / 'вместе-абс'!F$2</f>
        <v>3.2709790209790213</v>
      </c>
      <c r="G62" s="2">
        <f>('вместе-абс'!G62 - 'вместе-абс'!G$2) / 'вместе-абс'!G$2</f>
        <v>4.1749999999999998</v>
      </c>
      <c r="H62" s="2">
        <f>('вместе-абс'!H62 - 'вместе-абс'!H$2) / 'вместе-абс'!H$2</f>
        <v>2.4727272727272731</v>
      </c>
      <c r="I62" s="2">
        <f>('вместе-абс'!I62 - 'вместе-абс'!I$2) / 'вместе-абс'!I$2</f>
        <v>4.988095238095239</v>
      </c>
      <c r="J62" s="2">
        <f>('вместе-абс'!J62 - 'вместе-абс'!J$2) / 'вместе-абс'!J$2</f>
        <v>3.9337748344370862</v>
      </c>
      <c r="K62" s="2">
        <f>('вместе-абс'!K62 - 'вместе-абс'!K$2) / 'вместе-абс'!K$2</f>
        <v>2.8378378378378373</v>
      </c>
      <c r="L62" s="2">
        <f>('вместе-абс'!L62 - 'вместе-абс'!L$2) / 'вместе-абс'!L$2</f>
        <v>4.1707317073170742</v>
      </c>
      <c r="M62" s="2">
        <f>('вместе-абс'!M62 - 'вместе-абс'!M$2) / 'вместе-абс'!M$2</f>
        <v>1.3869346733668342</v>
      </c>
      <c r="N62" s="2">
        <f>('вместе-абс'!N62 - 'вместе-абс'!N$2) / 'вместе-абс'!N$2</f>
        <v>4.2698412698412698</v>
      </c>
      <c r="O62" s="2">
        <f>('вместе-абс'!O62 - 'вместе-абс'!O$2) / 'вместе-абс'!O$2</f>
        <v>3.5906474820143885</v>
      </c>
      <c r="P62" s="2">
        <f>('вместе-абс'!P62 - 'вместе-абс'!P$2) / 'вместе-абс'!P$2</f>
        <v>2.8032786885245899</v>
      </c>
      <c r="Q62" s="2">
        <f>('вместе-абс'!Q62 - 'вместе-абс'!Q$2) / 'вместе-абс'!Q$2</f>
        <v>3.3658536585365857</v>
      </c>
      <c r="R62" s="2">
        <f>('вместе-абс'!R62 - 'вместе-абс'!R$2) / 'вместе-абс'!R$2</f>
        <v>3.1911764705882351</v>
      </c>
      <c r="S62" s="2">
        <f>('вместе-абс'!S62 - 'вместе-абс'!S$2) / 'вместе-абс'!S$2</f>
        <v>2.4836601307189543</v>
      </c>
      <c r="T62" s="2">
        <f>('вместе-абс'!T62 - 'вместе-абс'!T$2) / 'вместе-абс'!T$2</f>
        <v>1.0283687943262412</v>
      </c>
      <c r="U62" s="2">
        <f>('вместе-абс'!U62 - 'вместе-абс'!U$2) / 'вместе-абс'!U$2</f>
        <v>3.9418181818181819</v>
      </c>
      <c r="V62" s="2">
        <f>('вместе-абс'!V62 - 'вместе-абс'!V$2) / 'вместе-абс'!V$2</f>
        <v>0.49060439560439562</v>
      </c>
    </row>
    <row r="63" spans="1:22" x14ac:dyDescent="0.25">
      <c r="A63" s="9">
        <f t="shared" si="1"/>
        <v>1978</v>
      </c>
      <c r="B63" s="2">
        <f>('вместе-абс'!B63 - 'вместе-абс'!B$2) / 'вместе-абс'!B$2</f>
        <v>2.2366863905325447</v>
      </c>
      <c r="C63" s="2">
        <f>('вместе-абс'!C63 - 'вместе-абс'!C$2) / 'вместе-абс'!C$2</f>
        <v>1.5480769230769229</v>
      </c>
      <c r="D63" s="2">
        <f>('вместе-абс'!D63 - 'вместе-абс'!D$2) / 'вместе-абс'!D$2</f>
        <v>3.3894286824718223</v>
      </c>
      <c r="E63" s="2">
        <f>('вместе-абс'!E63 - 'вместе-абс'!E$2) / 'вместе-абс'!E$2</f>
        <v>1.9725274725274724</v>
      </c>
      <c r="F63" s="2">
        <f>('вместе-абс'!F63 - 'вместе-абс'!F$2) / 'вместе-абс'!F$2</f>
        <v>3.3548951048951055</v>
      </c>
      <c r="G63" s="2">
        <f>('вместе-абс'!G63 - 'вместе-абс'!G$2) / 'вместе-абс'!G$2</f>
        <v>4.3</v>
      </c>
      <c r="H63" s="2">
        <f>('вместе-абс'!H63 - 'вместе-абс'!H$2) / 'вместе-абс'!H$2</f>
        <v>2.5054545454545458</v>
      </c>
      <c r="I63" s="2">
        <f>('вместе-абс'!I63 - 'вместе-абс'!I$2) / 'вместе-абс'!I$2</f>
        <v>5.1547619047619051</v>
      </c>
      <c r="J63" s="2">
        <f>('вместе-абс'!J63 - 'вместе-абс'!J$2) / 'вместе-абс'!J$2</f>
        <v>4.0794701986754971</v>
      </c>
      <c r="K63" s="2">
        <f>('вместе-абс'!K63 - 'вместе-абс'!K$2) / 'вместе-абс'!K$2</f>
        <v>2.918918918918918</v>
      </c>
      <c r="L63" s="2">
        <f>('вместе-абс'!L63 - 'вместе-абс'!L$2) / 'вместе-абс'!L$2</f>
        <v>4.3170731707317076</v>
      </c>
      <c r="M63" s="2">
        <f>('вместе-абс'!M63 - 'вместе-абс'!M$2) / 'вместе-абс'!M$2</f>
        <v>1.4271356783919598</v>
      </c>
      <c r="N63" s="2">
        <f>('вместе-абс'!N63 - 'вместе-абс'!N$2) / 'вместе-абс'!N$2</f>
        <v>4.4603174603174605</v>
      </c>
      <c r="O63" s="2">
        <f>('вместе-абс'!O63 - 'вместе-абс'!O$2) / 'вместе-абс'!O$2</f>
        <v>3.7237410071942443</v>
      </c>
      <c r="P63" s="2">
        <f>('вместе-абс'!P63 - 'вместе-абс'!P$2) / 'вместе-абс'!P$2</f>
        <v>2.9508196721311482</v>
      </c>
      <c r="Q63" s="2">
        <f>('вместе-абс'!Q63 - 'вместе-абс'!Q$2) / 'вместе-абс'!Q$2</f>
        <v>3.4878048780487809</v>
      </c>
      <c r="R63" s="2">
        <f>('вместе-абс'!R63 - 'вместе-абс'!R$2) / 'вместе-абс'!R$2</f>
        <v>3.3382352941176467</v>
      </c>
      <c r="S63" s="2">
        <f>('вместе-абс'!S63 - 'вместе-абс'!S$2) / 'вместе-абс'!S$2</f>
        <v>2.5751633986928106</v>
      </c>
      <c r="T63" s="2">
        <f>('вместе-абс'!T63 - 'вместе-абс'!T$2) / 'вместе-абс'!T$2</f>
        <v>1.0425531914893618</v>
      </c>
      <c r="U63" s="2">
        <f>('вместе-абс'!U63 - 'вместе-абс'!U$2) / 'вместе-абс'!U$2</f>
        <v>4.1163636363636362</v>
      </c>
      <c r="V63" s="2">
        <f>('вместе-абс'!V63 - 'вместе-абс'!V$2) / 'вместе-абс'!V$2</f>
        <v>0.50105494505494508</v>
      </c>
    </row>
    <row r="64" spans="1:22" x14ac:dyDescent="0.25">
      <c r="A64" s="9">
        <f t="shared" si="1"/>
        <v>1979</v>
      </c>
      <c r="B64" s="2">
        <f>('вместе-абс'!B64 - 'вместе-абс'!B$2) / 'вместе-абс'!B$2</f>
        <v>2.2887573964497041</v>
      </c>
      <c r="C64" s="2">
        <f>('вместе-абс'!C64 - 'вместе-абс'!C$2) / 'вместе-абс'!C$2</f>
        <v>1.6201923076923077</v>
      </c>
      <c r="D64" s="2">
        <f>('вместе-абс'!D64 - 'вместе-абс'!D$2) / 'вместе-абс'!D$2</f>
        <v>3.4982510687912938</v>
      </c>
      <c r="E64" s="2">
        <f>('вместе-абс'!E64 - 'вместе-абс'!E$2) / 'вместе-абс'!E$2</f>
        <v>2.0164835164835164</v>
      </c>
      <c r="F64" s="2">
        <f>('вместе-абс'!F64 - 'вместе-абс'!F$2) / 'вместе-абс'!F$2</f>
        <v>3.4370629370629371</v>
      </c>
      <c r="G64" s="2">
        <f>('вместе-абс'!G64 - 'вместе-абс'!G$2) / 'вместе-абс'!G$2</f>
        <v>4.4249999999999998</v>
      </c>
      <c r="H64" s="2">
        <f>('вместе-абс'!H64 - 'вместе-абс'!H$2) / 'вместе-абс'!H$2</f>
        <v>2.5345454545454547</v>
      </c>
      <c r="I64" s="2">
        <f>('вместе-абс'!I64 - 'вместе-абс'!I$2) / 'вместе-абс'!I$2</f>
        <v>5.3095238095238093</v>
      </c>
      <c r="J64" s="2">
        <f>('вместе-абс'!J64 - 'вместе-абс'!J$2) / 'вместе-абс'!J$2</f>
        <v>4.2251655629139071</v>
      </c>
      <c r="K64" s="2">
        <f>('вместе-абс'!K64 - 'вместе-абс'!K$2) / 'вместе-абс'!K$2</f>
        <v>3</v>
      </c>
      <c r="L64" s="2">
        <f>('вместе-абс'!L64 - 'вместе-абс'!L$2) / 'вместе-абс'!L$2</f>
        <v>4.4715447154471546</v>
      </c>
      <c r="M64" s="2">
        <f>('вместе-абс'!M64 - 'вместе-абс'!M$2) / 'вместе-абс'!M$2</f>
        <v>1.472361809045226</v>
      </c>
      <c r="N64" s="2">
        <f>('вместе-абс'!N64 - 'вместе-абс'!N$2) / 'вместе-абс'!N$2</f>
        <v>4.6507936507936511</v>
      </c>
      <c r="O64" s="2">
        <f>('вместе-абс'!O64 - 'вместе-абс'!O$2) / 'вместе-абс'!O$2</f>
        <v>3.8575539568345323</v>
      </c>
      <c r="P64" s="2">
        <f>('вместе-абс'!P64 - 'вместе-абс'!P$2) / 'вместе-абс'!P$2</f>
        <v>3.3278688524590168</v>
      </c>
      <c r="Q64" s="2">
        <f>('вместе-абс'!Q64 - 'вместе-абс'!Q$2) / 'вместе-абс'!Q$2</f>
        <v>3.5853658536585367</v>
      </c>
      <c r="R64" s="2">
        <f>('вместе-абс'!R64 - 'вместе-абс'!R$2) / 'вместе-абс'!R$2</f>
        <v>3.485294117647058</v>
      </c>
      <c r="S64" s="2">
        <f>('вместе-абс'!S64 - 'вместе-абс'!S$2) / 'вместе-абс'!S$2</f>
        <v>2.6710239651416128</v>
      </c>
      <c r="T64" s="2">
        <f>('вместе-абс'!T64 - 'вместе-абс'!T$2) / 'вместе-абс'!T$2</f>
        <v>1.0496453900709222</v>
      </c>
      <c r="U64" s="2">
        <f>('вместе-абс'!U64 - 'вместе-абс'!U$2) / 'вместе-абс'!U$2</f>
        <v>4.290909090909091</v>
      </c>
      <c r="V64" s="2">
        <f>('вместе-абс'!V64 - 'вместе-абс'!V$2) / 'вместе-абс'!V$2</f>
        <v>0.51154945054945056</v>
      </c>
    </row>
    <row r="65" spans="1:22" x14ac:dyDescent="0.25">
      <c r="A65" s="9">
        <f t="shared" si="1"/>
        <v>1980</v>
      </c>
      <c r="B65" s="2">
        <f>('вместе-абс'!B65 - 'вместе-абс'!B$2) / 'вместе-абс'!B$2</f>
        <v>2.3420118343195266</v>
      </c>
      <c r="C65" s="2">
        <f>('вместе-абс'!C65 - 'вместе-абс'!C$2) / 'вместе-абс'!C$2</f>
        <v>1.6923076923076921</v>
      </c>
      <c r="D65" s="2">
        <f>('вместе-абс'!D65 - 'вместе-абс'!D$2) / 'вместе-абс'!D$2</f>
        <v>3.713952584531675</v>
      </c>
      <c r="E65" s="2">
        <f>('вместе-абс'!E65 - 'вместе-абс'!E$2) / 'вместе-абс'!E$2</f>
        <v>2.063186813186813</v>
      </c>
      <c r="F65" s="2">
        <f>('вместе-абс'!F65 - 'вместе-абс'!F$2) / 'вместе-абс'!F$2</f>
        <v>3.5262237762237767</v>
      </c>
      <c r="G65" s="2">
        <f>('вместе-абс'!G65 - 'вместе-абс'!G$2) / 'вместе-абс'!G$2</f>
        <v>4.625</v>
      </c>
      <c r="H65" s="2">
        <f>('вместе-абс'!H65 - 'вместе-абс'!H$2) / 'вместе-абс'!H$2</f>
        <v>2.5345454545454547</v>
      </c>
      <c r="I65" s="2">
        <f>('вместе-абс'!I65 - 'вместе-абс'!I$2) / 'вместе-абс'!I$2</f>
        <v>5.4761904761904772</v>
      </c>
      <c r="J65" s="2">
        <f>('вместе-абс'!J65 - 'вместе-абс'!J$2) / 'вместе-абс'!J$2</f>
        <v>4.3774834437086092</v>
      </c>
      <c r="K65" s="2">
        <f>('вместе-абс'!K65 - 'вместе-абс'!K$2) / 'вместе-абс'!K$2</f>
        <v>3.0630630630630624</v>
      </c>
      <c r="L65" s="2">
        <f>('вместе-абс'!L65 - 'вместе-абс'!L$2) / 'вместе-абс'!L$2</f>
        <v>4.6260162601626016</v>
      </c>
      <c r="M65" s="2">
        <f>('вместе-абс'!M65 - 'вместе-абс'!M$2) / 'вместе-абс'!M$2</f>
        <v>1.5175879396984921</v>
      </c>
      <c r="N65" s="2">
        <f>('вместе-абс'!N65 - 'вместе-абс'!N$2) / 'вместе-абс'!N$2</f>
        <v>4.8571428571428568</v>
      </c>
      <c r="O65" s="2">
        <f>('вместе-абс'!O65 - 'вместе-абс'!O$2) / 'вместе-абс'!O$2</f>
        <v>4.0115107913669066</v>
      </c>
      <c r="P65" s="2">
        <f>('вместе-абс'!P65 - 'вместе-абс'!P$2) / 'вместе-абс'!P$2</f>
        <v>3.4754098360655741</v>
      </c>
      <c r="Q65" s="2">
        <f>('вместе-абс'!Q65 - 'вместе-абс'!Q$2) / 'вместе-абс'!Q$2</f>
        <v>3.780487804878049</v>
      </c>
      <c r="R65" s="2">
        <f>('вместе-абс'!R65 - 'вместе-абс'!R$2) / 'вместе-абс'!R$2</f>
        <v>3.6323529411764701</v>
      </c>
      <c r="S65" s="2">
        <f>('вместе-абс'!S65 - 'вместе-абс'!S$2) / 'вместе-абс'!S$2</f>
        <v>2.7690631808278869</v>
      </c>
      <c r="T65" s="2">
        <f>('вместе-абс'!T65 - 'вместе-абс'!T$2) / 'вместе-абс'!T$2</f>
        <v>1.0638297872340428</v>
      </c>
      <c r="U65" s="2">
        <f>('вместе-абс'!U65 - 'вместе-абс'!U$2) / 'вместе-абс'!U$2</f>
        <v>4.4618181818181819</v>
      </c>
      <c r="V65" s="2">
        <f>('вместе-абс'!V65 - 'вместе-абс'!V$2) / 'вместе-абс'!V$2</f>
        <v>0.51968131868131873</v>
      </c>
    </row>
    <row r="66" spans="1:22" x14ac:dyDescent="0.25">
      <c r="A66" s="9">
        <f t="shared" si="1"/>
        <v>1981</v>
      </c>
      <c r="B66" s="2">
        <f>('вместе-абс'!B66 - 'вместе-абс'!B$2) / 'вместе-абс'!B$2</f>
        <v>2.3917159763313611</v>
      </c>
      <c r="C66" s="2">
        <f>('вместе-абс'!C66 - 'вместе-абс'!C$2) / 'вместе-абс'!C$2</f>
        <v>1.7692307692307689</v>
      </c>
      <c r="D66" s="2">
        <f>('вместе-абс'!D66 - 'вместе-абс'!D$2) / 'вместе-абс'!D$2</f>
        <v>3.8219976680917211</v>
      </c>
      <c r="E66" s="2">
        <f>('вместе-абс'!E66 - 'вместе-абс'!E$2) / 'вместе-абс'!E$2</f>
        <v>2.1126373626373622</v>
      </c>
      <c r="F66" s="2">
        <f>('вместе-абс'!F66 - 'вместе-абс'!F$2) / 'вместе-абс'!F$2</f>
        <v>3.6206293706293708</v>
      </c>
      <c r="G66" s="2">
        <f>('вместе-абс'!G66 - 'вместе-абс'!G$2) / 'вместе-абс'!G$2</f>
        <v>4.6749999999999998</v>
      </c>
      <c r="H66" s="2">
        <f>('вместе-абс'!H66 - 'вместе-абс'!H$2) / 'вместе-абс'!H$2</f>
        <v>2.5345454545454547</v>
      </c>
      <c r="I66" s="2">
        <f>('вместе-абс'!I66 - 'вместе-абс'!I$2) / 'вместе-абс'!I$2</f>
        <v>5.6428571428571432</v>
      </c>
      <c r="J66" s="2">
        <f>('вместе-абс'!J66 - 'вместе-абс'!J$2) / 'вместе-абс'!J$2</f>
        <v>4.5364238410596025</v>
      </c>
      <c r="K66" s="2">
        <f>('вместе-абс'!K66 - 'вместе-абс'!K$2) / 'вместе-абс'!K$2</f>
        <v>3.1351351351351346</v>
      </c>
      <c r="L66" s="2">
        <f>('вместе-абс'!L66 - 'вместе-абс'!L$2) / 'вместе-абс'!L$2</f>
        <v>4.7804878048780495</v>
      </c>
      <c r="M66" s="2">
        <f>('вместе-абс'!M66 - 'вместе-абс'!M$2) / 'вместе-абс'!M$2</f>
        <v>1.5628140703517586</v>
      </c>
      <c r="N66" s="2">
        <f>('вместе-абс'!N66 - 'вместе-абс'!N$2) / 'вместе-абс'!N$2</f>
        <v>5.0634920634920633</v>
      </c>
      <c r="O66" s="2">
        <f>('вместе-абс'!O66 - 'вместе-абс'!O$2) / 'вместе-абс'!O$2</f>
        <v>4.1330935251798557</v>
      </c>
      <c r="P66" s="2">
        <f>('вместе-абс'!P66 - 'вместе-абс'!P$2) / 'вместе-абс'!P$2</f>
        <v>3.6885245901639343</v>
      </c>
      <c r="Q66" s="2">
        <f>('вместе-абс'!Q66 - 'вместе-абс'!Q$2) / 'вместе-абс'!Q$2</f>
        <v>3.8780487804878052</v>
      </c>
      <c r="R66" s="2">
        <f>('вместе-абс'!R66 - 'вместе-абс'!R$2) / 'вместе-абс'!R$2</f>
        <v>3.7794117647058818</v>
      </c>
      <c r="S66" s="2">
        <f>('вместе-абс'!S66 - 'вместе-абс'!S$2) / 'вместе-абс'!S$2</f>
        <v>2.8692810457516345</v>
      </c>
      <c r="T66" s="2">
        <f>('вместе-абс'!T66 - 'вместе-абс'!T$2) / 'вместе-абс'!T$2</f>
        <v>1.0780141843971633</v>
      </c>
      <c r="U66" s="2">
        <f>('вместе-абс'!U66 - 'вместе-абс'!U$2) / 'вместе-абс'!U$2</f>
        <v>4.6290909090909089</v>
      </c>
      <c r="V66" s="2">
        <f>('вместе-абс'!V66 - 'вместе-абс'!V$2) / 'вместе-абс'!V$2</f>
        <v>0.52778021978021983</v>
      </c>
    </row>
    <row r="67" spans="1:22" x14ac:dyDescent="0.25">
      <c r="A67" s="9">
        <f t="shared" si="1"/>
        <v>1982</v>
      </c>
      <c r="B67" s="2">
        <f>('вместе-абс'!B67 - 'вместе-абс'!B$2) / 'вместе-абс'!B$2</f>
        <v>2.4426035502958583</v>
      </c>
      <c r="C67" s="2">
        <f>('вместе-абс'!C67 - 'вместе-абс'!C$2) / 'вместе-абс'!C$2</f>
        <v>1.846153846153846</v>
      </c>
      <c r="D67" s="2">
        <f>('вместе-абс'!D67 - 'вместе-абс'!D$2) / 'вместе-абс'!D$2</f>
        <v>3.9319860085503304</v>
      </c>
      <c r="E67" s="2">
        <f>('вместе-абс'!E67 - 'вместе-абс'!E$2) / 'вместе-абс'!E$2</f>
        <v>2.1648351648351647</v>
      </c>
      <c r="F67" s="2">
        <f>('вместе-абс'!F67 - 'вместе-абс'!F$2) / 'вместе-абс'!F$2</f>
        <v>3.715034965034965</v>
      </c>
      <c r="G67" s="2">
        <f>('вместе-абс'!G67 - 'вместе-абс'!G$2) / 'вместе-абс'!G$2</f>
        <v>5.05</v>
      </c>
      <c r="H67" s="2">
        <f>('вместе-абс'!H67 - 'вместе-абс'!H$2) / 'вместе-абс'!H$2</f>
        <v>2.5636363636363639</v>
      </c>
      <c r="I67" s="2">
        <f>('вместе-абс'!I67 - 'вместе-абс'!I$2) / 'вместе-абс'!I$2</f>
        <v>6.1190476190476195</v>
      </c>
      <c r="J67" s="2">
        <f>('вместе-абс'!J67 - 'вместе-абс'!J$2) / 'вместе-абс'!J$2</f>
        <v>4.701986754966887</v>
      </c>
      <c r="K67" s="2">
        <f>('вместе-абс'!K67 - 'вместе-абс'!K$2) / 'вместе-абс'!K$2</f>
        <v>3.198198198198198</v>
      </c>
      <c r="L67" s="2">
        <f>('вместе-абс'!L67 - 'вместе-абс'!L$2) / 'вместе-абс'!L$2</f>
        <v>4.9512195121951219</v>
      </c>
      <c r="M67" s="2">
        <f>('вместе-абс'!M67 - 'вместе-абс'!M$2) / 'вместе-абс'!M$2</f>
        <v>1.7939698492462308</v>
      </c>
      <c r="N67" s="2">
        <f>('вместе-абс'!N67 - 'вместе-абс'!N$2) / 'вместе-абс'!N$2</f>
        <v>5.2857142857142856</v>
      </c>
      <c r="O67" s="2">
        <f>('вместе-абс'!O67 - 'вместе-абс'!O$2) / 'вместе-абс'!O$2</f>
        <v>4.2532374100719421</v>
      </c>
      <c r="P67" s="2">
        <f>('вместе-абс'!P67 - 'вместе-абс'!P$2) / 'вместе-абс'!P$2</f>
        <v>3.8524590163934427</v>
      </c>
      <c r="Q67" s="2">
        <f>('вместе-абс'!Q67 - 'вместе-абс'!Q$2) / 'вместе-абс'!Q$2</f>
        <v>3.9756097560975614</v>
      </c>
      <c r="R67" s="2">
        <f>('вместе-абс'!R67 - 'вместе-абс'!R$2) / 'вместе-абс'!R$2</f>
        <v>3.9411764705882346</v>
      </c>
      <c r="S67" s="2">
        <f>('вместе-абс'!S67 - 'вместе-абс'!S$2) / 'вместе-абс'!S$2</f>
        <v>2.9520697167755996</v>
      </c>
      <c r="T67" s="2">
        <f>('вместе-абс'!T67 - 'вместе-абс'!T$2) / 'вместе-абс'!T$2</f>
        <v>1.0921985815602839</v>
      </c>
      <c r="U67" s="2">
        <f>('вместе-абс'!U67 - 'вместе-абс'!U$2) / 'вместе-абс'!U$2</f>
        <v>4.7963636363636359</v>
      </c>
      <c r="V67" s="2">
        <f>('вместе-абс'!V67 - 'вместе-абс'!V$2) / 'вместе-абс'!V$2</f>
        <v>0.53643956043956043</v>
      </c>
    </row>
    <row r="68" spans="1:22" x14ac:dyDescent="0.25">
      <c r="A68" s="9">
        <f t="shared" si="1"/>
        <v>1983</v>
      </c>
      <c r="B68" s="2">
        <f>('вместе-абс'!B68 - 'вместе-абс'!B$2) / 'вместе-абс'!B$2</f>
        <v>2.4923076923076928</v>
      </c>
      <c r="C68" s="2">
        <f>('вместе-абс'!C68 - 'вместе-абс'!C$2) / 'вместе-абс'!C$2</f>
        <v>1.9230769230769229</v>
      </c>
      <c r="D68" s="2">
        <f>('вместе-абс'!D68 - 'вместе-абс'!D$2) / 'вместе-абс'!D$2</f>
        <v>4.0435289545277886</v>
      </c>
      <c r="E68" s="2">
        <f>('вместе-абс'!E68 - 'вместе-абс'!E$2) / 'вместе-абс'!E$2</f>
        <v>2.2197802197802199</v>
      </c>
      <c r="F68" s="2">
        <f>('вместе-абс'!F68 - 'вместе-абс'!F$2) / 'вместе-абс'!F$2</f>
        <v>3.8076923076923079</v>
      </c>
      <c r="G68" s="2">
        <f>('вместе-абс'!G68 - 'вместе-абс'!G$2) / 'вместе-абс'!G$2</f>
        <v>5.25</v>
      </c>
      <c r="H68" s="2">
        <f>('вместе-абс'!H68 - 'вместе-абс'!H$2) / 'вместе-абс'!H$2</f>
        <v>2.6</v>
      </c>
      <c r="I68" s="2">
        <f>('вместе-абс'!I68 - 'вместе-абс'!I$2) / 'вместе-абс'!I$2</f>
        <v>6.2857142857142865</v>
      </c>
      <c r="J68" s="2">
        <f>('вместе-абс'!J68 - 'вместе-абс'!J$2) / 'вместе-абс'!J$2</f>
        <v>4.8675496688741715</v>
      </c>
      <c r="K68" s="2">
        <f>('вместе-абс'!K68 - 'вместе-абс'!K$2) / 'вместе-абс'!K$2</f>
        <v>3.2522522522522515</v>
      </c>
      <c r="L68" s="2">
        <f>('вместе-абс'!L68 - 'вместе-абс'!L$2) / 'вместе-абс'!L$2</f>
        <v>5.1138211382113816</v>
      </c>
      <c r="M68" s="2">
        <f>('вместе-абс'!M68 - 'вместе-абс'!M$2) / 'вместе-абс'!M$2</f>
        <v>1.8442211055276381</v>
      </c>
      <c r="N68" s="2">
        <f>('вместе-абс'!N68 - 'вместе-абс'!N$2) / 'вместе-абс'!N$2</f>
        <v>5.4920634920634921</v>
      </c>
      <c r="O68" s="2">
        <f>('вместе-абс'!O68 - 'вместе-абс'!O$2) / 'вместе-абс'!O$2</f>
        <v>4.3719424460431657</v>
      </c>
      <c r="P68" s="2">
        <f>('вместе-абс'!P68 - 'вместе-абс'!P$2) / 'вместе-абс'!P$2</f>
        <v>4.0163934426229515</v>
      </c>
      <c r="Q68" s="2">
        <f>('вместе-абс'!Q68 - 'вместе-абс'!Q$2) / 'вместе-абс'!Q$2</f>
        <v>4.0975609756097562</v>
      </c>
      <c r="R68" s="2">
        <f>('вместе-абс'!R68 - 'вместе-абс'!R$2) / 'вместе-абс'!R$2</f>
        <v>4.1029411764705879</v>
      </c>
      <c r="S68" s="2">
        <f>('вместе-абс'!S68 - 'вместе-абс'!S$2) / 'вместе-абс'!S$2</f>
        <v>3.0457516339869284</v>
      </c>
      <c r="T68" s="2">
        <f>('вместе-абс'!T68 - 'вместе-абс'!T$2) / 'вместе-абс'!T$2</f>
        <v>1.1063829787234045</v>
      </c>
      <c r="U68" s="2">
        <f>('вместе-абс'!U68 - 'вместе-абс'!U$2) / 'вместе-абс'!U$2</f>
        <v>4.96</v>
      </c>
      <c r="V68" s="2">
        <f>('вместе-абс'!V68 - 'вместе-абс'!V$2) / 'вместе-абс'!V$2</f>
        <v>0.54687912087912083</v>
      </c>
    </row>
    <row r="69" spans="1:22" x14ac:dyDescent="0.25">
      <c r="A69" s="9">
        <f t="shared" si="1"/>
        <v>1984</v>
      </c>
      <c r="B69" s="2">
        <f>('вместе-абс'!B69 - 'вместе-абс'!B$2) / 'вместе-абс'!B$2</f>
        <v>2.5360946745562134</v>
      </c>
      <c r="C69" s="2">
        <f>('вместе-абс'!C69 - 'вместе-абс'!C$2) / 'вместе-абс'!C$2</f>
        <v>1.778846153846154</v>
      </c>
      <c r="D69" s="2">
        <f>('вместе-абс'!D69 - 'вместе-абс'!D$2) / 'вместе-абс'!D$2</f>
        <v>4.0260396424407299</v>
      </c>
      <c r="E69" s="2">
        <f>('вместе-абс'!E69 - 'вместе-абс'!E$2) / 'вместе-абс'!E$2</f>
        <v>2.2747252747252746</v>
      </c>
      <c r="F69" s="2">
        <f>('вместе-абс'!F69 - 'вместе-абс'!F$2) / 'вместе-абс'!F$2</f>
        <v>3.9055944055944058</v>
      </c>
      <c r="G69" s="2">
        <f>('вместе-абс'!G69 - 'вместе-абс'!G$2) / 'вместе-абс'!G$2</f>
        <v>5.4249999999999998</v>
      </c>
      <c r="H69" s="2">
        <f>('вместе-абс'!H69 - 'вместе-абс'!H$2) / 'вместе-абс'!H$2</f>
        <v>2.6327272727272728</v>
      </c>
      <c r="I69" s="2">
        <f>('вместе-абс'!I69 - 'вместе-абс'!I$2) / 'вместе-абс'!I$2</f>
        <v>6.4642857142857144</v>
      </c>
      <c r="J69" s="2">
        <f>('вместе-абс'!J69 - 'вместе-абс'!J$2) / 'вместе-абс'!J$2</f>
        <v>4.8741721854304636</v>
      </c>
      <c r="K69" s="2">
        <f>('вместе-абс'!K69 - 'вместе-абс'!K$2) / 'вместе-абс'!K$2</f>
        <v>3.3063063063063058</v>
      </c>
      <c r="L69" s="2">
        <f>('вместе-абс'!L69 - 'вместе-абс'!L$2) / 'вместе-абс'!L$2</f>
        <v>5.2926829268292686</v>
      </c>
      <c r="M69" s="2">
        <f>('вместе-абс'!M69 - 'вместе-абс'!M$2) / 'вместе-абс'!M$2</f>
        <v>1.8944723618090451</v>
      </c>
      <c r="N69" s="2">
        <f>('вместе-абс'!N69 - 'вместе-абс'!N$2) / 'вместе-абс'!N$2</f>
        <v>5.7142857142857153</v>
      </c>
      <c r="O69" s="2">
        <f>('вместе-абс'!O69 - 'вместе-абс'!O$2) / 'вместе-абс'!O$2</f>
        <v>4.4899280575539571</v>
      </c>
      <c r="P69" s="2">
        <f>('вместе-абс'!P69 - 'вместе-абс'!P$2) / 'вместе-абс'!P$2</f>
        <v>4.1803278688524594</v>
      </c>
      <c r="Q69" s="2">
        <f>('вместе-абс'!Q69 - 'вместе-абс'!Q$2) / 'вместе-абс'!Q$2</f>
        <v>4.1951219512195124</v>
      </c>
      <c r="R69" s="2">
        <f>('вместе-абс'!R69 - 'вместе-абс'!R$2) / 'вместе-абс'!R$2</f>
        <v>4.2647058823529411</v>
      </c>
      <c r="S69" s="2">
        <f>('вместе-абс'!S69 - 'вместе-абс'!S$2) / 'вместе-абс'!S$2</f>
        <v>3.1372549019607843</v>
      </c>
      <c r="T69" s="2">
        <f>('вместе-абс'!T69 - 'вместе-абс'!T$2) / 'вместе-абс'!T$2</f>
        <v>1.1205673758865251</v>
      </c>
      <c r="U69" s="2">
        <f>('вместе-абс'!U69 - 'вместе-абс'!U$2) / 'вместе-абс'!U$2</f>
        <v>5.1272727272727279</v>
      </c>
      <c r="V69" s="2">
        <f>('вместе-абс'!V69 - 'вместе-абс'!V$2) / 'вместе-абс'!V$2</f>
        <v>0.55870329670329666</v>
      </c>
    </row>
    <row r="70" spans="1:22" x14ac:dyDescent="0.25">
      <c r="A70" s="9">
        <f t="shared" si="1"/>
        <v>1985</v>
      </c>
      <c r="B70" s="2">
        <f>('вместе-абс'!B70 - 'вместе-абс'!B$2) / 'вместе-абс'!B$2</f>
        <v>2.5881656804733733</v>
      </c>
      <c r="C70" s="2">
        <f>('вместе-абс'!C70 - 'вместе-абс'!C$2) / 'вместе-абс'!C$2</f>
        <v>1.8365384615384617</v>
      </c>
      <c r="D70" s="2">
        <f>('вместе-абс'!D70 - 'вместе-абс'!D$2) / 'вместе-абс'!D$2</f>
        <v>4.129420909444228</v>
      </c>
      <c r="E70" s="2">
        <f>('вместе-абс'!E70 - 'вместе-абс'!E$2) / 'вместе-абс'!E$2</f>
        <v>2.3296703296703294</v>
      </c>
      <c r="F70" s="2">
        <f>('вместе-абс'!F70 - 'вместе-абс'!F$2) / 'вместе-абс'!F$2</f>
        <v>4.1538461538461542</v>
      </c>
      <c r="G70" s="2">
        <f>('вместе-абс'!G70 - 'вместе-абс'!G$2) / 'вместе-абс'!G$2</f>
        <v>5.6000000000000005</v>
      </c>
      <c r="H70" s="2">
        <f>('вместе-абс'!H70 - 'вместе-абс'!H$2) / 'вместе-абс'!H$2</f>
        <v>2.6727272727272724</v>
      </c>
      <c r="I70" s="2">
        <f>('вместе-абс'!I70 - 'вместе-абс'!I$2) / 'вместе-абс'!I$2</f>
        <v>6.6428571428571432</v>
      </c>
      <c r="J70" s="2">
        <f>('вместе-абс'!J70 - 'вместе-абс'!J$2) / 'вместе-абс'!J$2</f>
        <v>5.0264900662251657</v>
      </c>
      <c r="K70" s="2">
        <f>('вместе-абс'!K70 - 'вместе-абс'!K$2) / 'вместе-абс'!K$2</f>
        <v>3.3783783783783781</v>
      </c>
      <c r="L70" s="2">
        <f>('вместе-абс'!L70 - 'вместе-абс'!L$2) / 'вместе-абс'!L$2</f>
        <v>5.4715447154471546</v>
      </c>
      <c r="M70" s="2">
        <f>('вместе-абс'!M70 - 'вместе-абс'!M$2) / 'вместе-абс'!M$2</f>
        <v>1.949748743718593</v>
      </c>
      <c r="N70" s="2">
        <f>('вместе-абс'!N70 - 'вместе-абс'!N$2) / 'вместе-абс'!N$2</f>
        <v>5.9365079365079367</v>
      </c>
      <c r="O70" s="2">
        <f>('вместе-абс'!O70 - 'вместе-абс'!O$2) / 'вместе-абс'!O$2</f>
        <v>4.6071942446043161</v>
      </c>
      <c r="P70" s="2">
        <f>('вместе-абс'!P70 - 'вместе-абс'!P$2) / 'вместе-абс'!P$2</f>
        <v>4.360655737704918</v>
      </c>
      <c r="Q70" s="2">
        <f>('вместе-абс'!Q70 - 'вместе-абс'!Q$2) / 'вместе-абс'!Q$2</f>
        <v>4.3170731707317085</v>
      </c>
      <c r="R70" s="2">
        <f>('вместе-абс'!R70 - 'вместе-абс'!R$2) / 'вместе-абс'!R$2</f>
        <v>4.3088235294117636</v>
      </c>
      <c r="S70" s="2">
        <f>('вместе-абс'!S70 - 'вместе-абс'!S$2) / 'вместе-абс'!S$2</f>
        <v>3.2309368191721139</v>
      </c>
      <c r="T70" s="2">
        <f>('вместе-абс'!T70 - 'вместе-абс'!T$2) / 'вместе-абс'!T$2</f>
        <v>1.1347517730496453</v>
      </c>
      <c r="U70" s="2">
        <f>('вместе-абс'!U70 - 'вместе-абс'!U$2) / 'вместе-абс'!U$2</f>
        <v>5.2981818181818179</v>
      </c>
      <c r="V70" s="2">
        <f>('вместе-абс'!V70 - 'вместе-абс'!V$2) / 'вместе-абс'!V$2</f>
        <v>0.56948351648351647</v>
      </c>
    </row>
    <row r="71" spans="1:22" x14ac:dyDescent="0.25">
      <c r="A71" s="9">
        <f t="shared" si="1"/>
        <v>1986</v>
      </c>
      <c r="B71" s="2">
        <f>('вместе-абс'!B71 - 'вместе-абс'!B$2) / 'вместе-абс'!B$2</f>
        <v>2.6414201183431953</v>
      </c>
      <c r="C71" s="2">
        <f>('вместе-абс'!C71 - 'вместе-абс'!C$2) / 'вместе-абс'!C$2</f>
        <v>1.8942307692307689</v>
      </c>
      <c r="D71" s="2">
        <f>('вместе-абс'!D71 - 'вместе-абс'!D$2) / 'вместе-абс'!D$2</f>
        <v>4.2316362223085893</v>
      </c>
      <c r="E71" s="2">
        <f>('вместе-абс'!E71 - 'вместе-абс'!E$2) / 'вместе-абс'!E$2</f>
        <v>2.3873626373626373</v>
      </c>
      <c r="F71" s="2">
        <f>('вместе-абс'!F71 - 'вместе-абс'!F$2) / 'вместе-абс'!F$2</f>
        <v>4.2482517482517483</v>
      </c>
      <c r="G71" s="2">
        <f>('вместе-абс'!G71 - 'вместе-абс'!G$2) / 'вместе-абс'!G$2</f>
        <v>5.8000000000000007</v>
      </c>
      <c r="H71" s="2">
        <f>('вместе-абс'!H71 - 'вместе-абс'!H$2) / 'вместе-абс'!H$2</f>
        <v>2.709090909090909</v>
      </c>
      <c r="I71" s="2">
        <f>('вместе-абс'!I71 - 'вместе-абс'!I$2) / 'вместе-абс'!I$2</f>
        <v>6.8214285714285721</v>
      </c>
      <c r="J71" s="2">
        <f>('вместе-абс'!J71 - 'вместе-абс'!J$2) / 'вместе-абс'!J$2</f>
        <v>5.1788079470198678</v>
      </c>
      <c r="K71" s="2">
        <f>('вместе-абс'!K71 - 'вместе-абс'!K$2) / 'вместе-абс'!K$2</f>
        <v>3.4594594594594592</v>
      </c>
      <c r="L71" s="2">
        <f>('вместе-абс'!L71 - 'вместе-абс'!L$2) / 'вместе-абс'!L$2</f>
        <v>5.6666666666666661</v>
      </c>
      <c r="M71" s="2">
        <f>('вместе-абс'!M71 - 'вместе-абс'!M$2) / 'вместе-абс'!M$2</f>
        <v>2.0100502512562812</v>
      </c>
      <c r="N71" s="2">
        <f>('вместе-абс'!N71 - 'вместе-абс'!N$2) / 'вместе-абс'!N$2</f>
        <v>6.1587301587301582</v>
      </c>
      <c r="O71" s="2">
        <f>('вместе-абс'!O71 - 'вместе-абс'!O$2) / 'вместе-абс'!O$2</f>
        <v>4.7244604316546752</v>
      </c>
      <c r="P71" s="2">
        <f>('вместе-абс'!P71 - 'вместе-абс'!P$2) / 'вместе-абс'!P$2</f>
        <v>4.5409836065573774</v>
      </c>
      <c r="Q71" s="2">
        <f>('вместе-абс'!Q71 - 'вместе-абс'!Q$2) / 'вместе-абс'!Q$2</f>
        <v>4.4390243902439028</v>
      </c>
      <c r="R71" s="2">
        <f>('вместе-абс'!R71 - 'вместе-абс'!R$2) / 'вместе-абс'!R$2</f>
        <v>4.4705882352941178</v>
      </c>
      <c r="S71" s="2">
        <f>('вместе-абс'!S71 - 'вместе-абс'!S$2) / 'вместе-абс'!S$2</f>
        <v>3.3224400871459694</v>
      </c>
      <c r="T71" s="2">
        <f>('вместе-абс'!T71 - 'вместе-абс'!T$2) / 'вместе-абс'!T$2</f>
        <v>1.1489361702127658</v>
      </c>
      <c r="U71" s="2">
        <f>('вместе-абс'!U71 - 'вместе-абс'!U$2) / 'вместе-абс'!U$2</f>
        <v>5.374545454545455</v>
      </c>
      <c r="V71" s="2">
        <f>('вместе-абс'!V71 - 'вместе-абс'!V$2) / 'вместе-абс'!V$2</f>
        <v>0.58060439560439558</v>
      </c>
    </row>
    <row r="72" spans="1:22" x14ac:dyDescent="0.25">
      <c r="A72" s="9">
        <f t="shared" si="1"/>
        <v>1987</v>
      </c>
      <c r="B72" s="2">
        <f>('вместе-абс'!B72 - 'вместе-абс'!B$2) / 'вместе-абс'!B$2</f>
        <v>2.6946745562130179</v>
      </c>
      <c r="C72" s="2">
        <f>('вместе-абс'!C72 - 'вместе-абс'!C$2) / 'вместе-абс'!C$2</f>
        <v>1.9615384615384615</v>
      </c>
      <c r="D72" s="2">
        <f>('вместе-абс'!D72 - 'вместе-абс'!D$2) / 'вместе-абс'!D$2</f>
        <v>4.3315196268946758</v>
      </c>
      <c r="E72" s="2">
        <f>('вместе-абс'!E72 - 'вместе-абс'!E$2) / 'вместе-абс'!E$2</f>
        <v>2.4450549450549444</v>
      </c>
      <c r="F72" s="2">
        <f>('вместе-абс'!F72 - 'вместе-абс'!F$2) / 'вместе-абс'!F$2</f>
        <v>4.3461538461538458</v>
      </c>
      <c r="G72" s="2">
        <f>('вместе-абс'!G72 - 'вместе-абс'!G$2) / 'вместе-абс'!G$2</f>
        <v>5.9499999999999993</v>
      </c>
      <c r="H72" s="2">
        <f>('вместе-абс'!H72 - 'вместе-абс'!H$2) / 'вместе-абс'!H$2</f>
        <v>2.7454545454545456</v>
      </c>
      <c r="I72" s="2">
        <f>('вместе-абс'!I72 - 'вместе-абс'!I$2) / 'вместе-абс'!I$2</f>
        <v>7</v>
      </c>
      <c r="J72" s="2">
        <f>('вместе-абс'!J72 - 'вместе-абс'!J$2) / 'вместе-абс'!J$2</f>
        <v>5.3311258278145699</v>
      </c>
      <c r="K72" s="2">
        <f>('вместе-абс'!K72 - 'вместе-абс'!K$2) / 'вместе-абс'!K$2</f>
        <v>3.5495495495495488</v>
      </c>
      <c r="L72" s="2">
        <f>('вместе-абс'!L72 - 'вместе-абс'!L$2) / 'вместе-абс'!L$2</f>
        <v>5.8536585365853657</v>
      </c>
      <c r="M72" s="2">
        <f>('вместе-абс'!M72 - 'вместе-абс'!M$2) / 'вместе-абс'!M$2</f>
        <v>2.0703517587939699</v>
      </c>
      <c r="N72" s="2">
        <f>('вместе-абс'!N72 - 'вместе-абс'!N$2) / 'вместе-абс'!N$2</f>
        <v>6.3968253968253972</v>
      </c>
      <c r="O72" s="2">
        <f>('вместе-абс'!O72 - 'вместе-абс'!O$2) / 'вместе-абс'!O$2</f>
        <v>4.8417266187050361</v>
      </c>
      <c r="P72" s="2">
        <f>('вместе-абс'!P72 - 'вместе-абс'!P$2) / 'вместе-абс'!P$2</f>
        <v>4.7377049180327875</v>
      </c>
      <c r="Q72" s="2">
        <f>('вместе-абс'!Q72 - 'вместе-абс'!Q$2) / 'вместе-абс'!Q$2</f>
        <v>4.536585365853659</v>
      </c>
      <c r="R72" s="2">
        <f>('вместе-абс'!R72 - 'вместе-абс'!R$2) / 'вместе-абс'!R$2</f>
        <v>4.6470588235294112</v>
      </c>
      <c r="S72" s="2">
        <f>('вместе-абс'!S72 - 'вместе-абс'!S$2) / 'вместе-абс'!S$2</f>
        <v>3.4139433551198262</v>
      </c>
      <c r="T72" s="2">
        <f>('вместе-абс'!T72 - 'вместе-абс'!T$2) / 'вместе-абс'!T$2</f>
        <v>1.1560283687943265</v>
      </c>
      <c r="U72" s="2">
        <f>('вместе-абс'!U72 - 'вместе-абс'!U$2) / 'вместе-абс'!U$2</f>
        <v>5.5345454545454542</v>
      </c>
      <c r="V72" s="2">
        <f>('вместе-абс'!V72 - 'вместе-абс'!V$2) / 'вместе-абс'!V$2</f>
        <v>0.59467032967032962</v>
      </c>
    </row>
    <row r="73" spans="1:22" x14ac:dyDescent="0.25">
      <c r="A73" s="9">
        <f t="shared" si="1"/>
        <v>1988</v>
      </c>
      <c r="B73" s="2">
        <f>('вместе-абс'!B73 - 'вместе-абс'!B$2) / 'вместе-абс'!B$2</f>
        <v>2.7443786982248524</v>
      </c>
      <c r="C73" s="2">
        <f>('вместе-абс'!C73 - 'вместе-абс'!C$2) / 'вместе-абс'!C$2</f>
        <v>2.0240384615384612</v>
      </c>
      <c r="D73" s="2">
        <f>('вместе-абс'!D73 - 'вместе-абс'!D$2) / 'вместе-абс'!D$2</f>
        <v>4.4341235911387482</v>
      </c>
      <c r="E73" s="2">
        <f>('вместе-абс'!E73 - 'вместе-абс'!E$2) / 'вместе-абс'!E$2</f>
        <v>2.5027472527472523</v>
      </c>
      <c r="F73" s="2">
        <f>('вместе-абс'!F73 - 'вместе-абс'!F$2) / 'вместе-абс'!F$2</f>
        <v>4.4440559440559442</v>
      </c>
      <c r="G73" s="2">
        <f>('вместе-абс'!G73 - 'вместе-абс'!G$2) / 'вместе-абс'!G$2</f>
        <v>6.125</v>
      </c>
      <c r="H73" s="2">
        <f>('вместе-абс'!H73 - 'вместе-абс'!H$2) / 'вместе-абс'!H$2</f>
        <v>2.7854545454545456</v>
      </c>
      <c r="I73" s="2">
        <f>('вместе-абс'!I73 - 'вместе-абс'!I$2) / 'вместе-абс'!I$2</f>
        <v>7.1785714285714288</v>
      </c>
      <c r="J73" s="2">
        <f>('вместе-абс'!J73 - 'вместе-абс'!J$2) / 'вместе-абс'!J$2</f>
        <v>5.4834437086092711</v>
      </c>
      <c r="K73" s="2">
        <f>('вместе-абс'!K73 - 'вместе-абс'!K$2) / 'вместе-абс'!K$2</f>
        <v>3.5855855855855849</v>
      </c>
      <c r="L73" s="2">
        <f>('вместе-абс'!L73 - 'вместе-абс'!L$2) / 'вместе-абс'!L$2</f>
        <v>6.0569105691056908</v>
      </c>
      <c r="M73" s="2">
        <f>('вместе-абс'!M73 - 'вместе-абс'!M$2) / 'вместе-абс'!M$2</f>
        <v>2.1356783919597988</v>
      </c>
      <c r="N73" s="2">
        <f>('вместе-абс'!N73 - 'вместе-абс'!N$2) / 'вместе-абс'!N$2</f>
        <v>6.6190476190476186</v>
      </c>
      <c r="O73" s="2">
        <f>('вместе-абс'!O73 - 'вместе-абс'!O$2) / 'вместе-абс'!O$2</f>
        <v>4.9510791366906473</v>
      </c>
      <c r="P73" s="2">
        <f>('вместе-абс'!P73 - 'вместе-абс'!P$2) / 'вместе-абс'!P$2</f>
        <v>4.9344262295081975</v>
      </c>
      <c r="Q73" s="2">
        <f>('вместе-абс'!Q73 - 'вместе-абс'!Q$2) / 'вместе-абс'!Q$2</f>
        <v>4.6097560975609753</v>
      </c>
      <c r="R73" s="2">
        <f>('вместе-абс'!R73 - 'вместе-абс'!R$2) / 'вместе-абс'!R$2</f>
        <v>4.8235294117647056</v>
      </c>
      <c r="S73" s="2">
        <f>('вместе-абс'!S73 - 'вместе-абс'!S$2) / 'вместе-абс'!S$2</f>
        <v>3.505446623093682</v>
      </c>
      <c r="T73" s="2">
        <f>('вместе-абс'!T73 - 'вместе-абс'!T$2) / 'вместе-абс'!T$2</f>
        <v>1.1702127659574471</v>
      </c>
      <c r="U73" s="2">
        <f>('вместе-абс'!U73 - 'вместе-абс'!U$2) / 'вместе-абс'!U$2</f>
        <v>5.6036363636363635</v>
      </c>
      <c r="V73" s="2">
        <f>('вместе-абс'!V73 - 'вместе-абс'!V$2) / 'вместе-абс'!V$2</f>
        <v>0.60816483516483522</v>
      </c>
    </row>
    <row r="74" spans="1:22" x14ac:dyDescent="0.25">
      <c r="A74" s="9">
        <f t="shared" si="1"/>
        <v>1989</v>
      </c>
      <c r="B74" s="2">
        <f>('вместе-абс'!B74 - 'вместе-абс'!B$2) / 'вместе-абс'!B$2</f>
        <v>2.7964497041420118</v>
      </c>
      <c r="C74" s="2">
        <f>('вместе-абс'!C74 - 'вместе-абс'!C$2) / 'вместе-абс'!C$2</f>
        <v>2.0913461538461537</v>
      </c>
      <c r="D74" s="2">
        <f>('вместе-абс'!D74 - 'вместе-абс'!D$2) / 'вместе-абс'!D$2</f>
        <v>4.5308977846871352</v>
      </c>
      <c r="E74" s="2">
        <f>('вместе-абс'!E74 - 'вместе-абс'!E$2) / 'вместе-абс'!E$2</f>
        <v>2.5604395604395602</v>
      </c>
      <c r="F74" s="2">
        <f>('вместе-абс'!F74 - 'вместе-абс'!F$2) / 'вместе-абс'!F$2</f>
        <v>4.5454545454545459</v>
      </c>
      <c r="G74" s="2">
        <f>('вместе-абс'!G74 - 'вместе-абс'!G$2) / 'вместе-абс'!G$2</f>
        <v>6.3</v>
      </c>
      <c r="H74" s="2">
        <f>('вместе-абс'!H74 - 'вместе-абс'!H$2) / 'вместе-абс'!H$2</f>
        <v>2.8254545454545452</v>
      </c>
      <c r="I74" s="2">
        <f>('вместе-абс'!I74 - 'вместе-абс'!I$2) / 'вместе-абс'!I$2</f>
        <v>7.3571428571428568</v>
      </c>
      <c r="J74" s="2">
        <f>('вместе-абс'!J74 - 'вместе-абс'!J$2) / 'вместе-абс'!J$2</f>
        <v>5.6423841059602644</v>
      </c>
      <c r="K74" s="2">
        <f>('вместе-абс'!K74 - 'вместе-абс'!K$2) / 'вместе-абс'!K$2</f>
        <v>3.6756756756756754</v>
      </c>
      <c r="L74" s="2">
        <f>('вместе-абс'!L74 - 'вместе-абс'!L$2) / 'вместе-абс'!L$2</f>
        <v>6.2682926829268286</v>
      </c>
      <c r="M74" s="2">
        <f>('вместе-абс'!M74 - 'вместе-абс'!M$2) / 'вместе-абс'!M$2</f>
        <v>2.1959798994974875</v>
      </c>
      <c r="N74" s="2">
        <f>('вместе-абс'!N74 - 'вместе-абс'!N$2) / 'вместе-абс'!N$2</f>
        <v>6.3015873015873014</v>
      </c>
      <c r="O74" s="2">
        <f>('вместе-абс'!O74 - 'вместе-абс'!O$2) / 'вместе-абс'!O$2</f>
        <v>4.8748201438848913</v>
      </c>
      <c r="P74" s="2">
        <f>('вместе-абс'!P74 - 'вместе-абс'!P$2) / 'вместе-абс'!P$2</f>
        <v>5.1475409836065573</v>
      </c>
      <c r="Q74" s="2">
        <f>('вместе-абс'!Q74 - 'вместе-абс'!Q$2) / 'вместе-абс'!Q$2</f>
        <v>4.7317073170731714</v>
      </c>
      <c r="R74" s="2">
        <f>('вместе-абс'!R74 - 'вместе-абс'!R$2) / 'вместе-абс'!R$2</f>
        <v>5.0147058823529402</v>
      </c>
      <c r="S74" s="2">
        <f>('вместе-абс'!S74 - 'вместе-абс'!S$2) / 'вместе-абс'!S$2</f>
        <v>3.5991285403050108</v>
      </c>
      <c r="T74" s="2">
        <f>('вместе-абс'!T74 - 'вместе-абс'!T$2) / 'вместе-абс'!T$2</f>
        <v>1.1914893617021276</v>
      </c>
      <c r="U74" s="2">
        <f>('вместе-абс'!U74 - 'вместе-абс'!U$2) / 'вместе-абс'!U$2</f>
        <v>5.8618181818181823</v>
      </c>
      <c r="V74" s="2">
        <f>('вместе-абс'!V74 - 'вместе-абс'!V$2) / 'вместе-абс'!V$2</f>
        <v>0.61562527472527462</v>
      </c>
    </row>
    <row r="75" spans="1:22" x14ac:dyDescent="0.25">
      <c r="A75" s="9">
        <f t="shared" si="1"/>
        <v>1990</v>
      </c>
      <c r="B75" s="2">
        <f>('вместе-абс'!B75 - 'вместе-абс'!B$2) / 'вместе-абс'!B$2</f>
        <v>2.8497041420118348</v>
      </c>
      <c r="C75" s="2">
        <f>('вместе-абс'!C75 - 'вместе-абс'!C$2) / 'вместе-абс'!C$2</f>
        <v>2.1586538461538463</v>
      </c>
      <c r="D75" s="2">
        <f>('вместе-абс'!D75 - 'вместе-абс'!D$2) / 'вместе-абс'!D$2</f>
        <v>4.6245627671978236</v>
      </c>
      <c r="E75" s="2">
        <f>('вместе-абс'!E75 - 'вместе-абс'!E$2) / 'вместе-абс'!E$2</f>
        <v>2.5989010989010985</v>
      </c>
      <c r="F75" s="2">
        <f>('вместе-абс'!F75 - 'вместе-абс'!F$2) / 'вместе-абс'!F$2</f>
        <v>4.6468531468531467</v>
      </c>
      <c r="G75" s="2">
        <f>('вместе-абс'!G75 - 'вместе-абс'!G$2) / 'вместе-абс'!G$2</f>
        <v>6.0250000000000004</v>
      </c>
      <c r="H75" s="2">
        <f>('вместе-абс'!H75 - 'вместе-абс'!H$2) / 'вместе-абс'!H$2</f>
        <v>2.8654545454545457</v>
      </c>
      <c r="I75" s="2">
        <f>('вместе-абс'!I75 - 'вместе-абс'!I$2) / 'вместе-абс'!I$2</f>
        <v>7.5357142857142865</v>
      </c>
      <c r="J75" s="2">
        <f>('вместе-абс'!J75 - 'вместе-абс'!J$2) / 'вместе-абс'!J$2</f>
        <v>5.7947019867549665</v>
      </c>
      <c r="K75" s="2">
        <f>('вместе-абс'!K75 - 'вместе-абс'!K$2) / 'вместе-абс'!K$2</f>
        <v>3.6036036036036032</v>
      </c>
      <c r="L75" s="2">
        <f>('вместе-абс'!L75 - 'вместе-абс'!L$2) / 'вместе-абс'!L$2</f>
        <v>6.4796747967479664</v>
      </c>
      <c r="M75" s="2">
        <f>('вместе-абс'!M75 - 'вместе-абс'!M$2) / 'вместе-абс'!M$2</f>
        <v>2.2613065326633164</v>
      </c>
      <c r="N75" s="2">
        <f>('вместе-абс'!N75 - 'вместе-абс'!N$2) / 'вместе-абс'!N$2</f>
        <v>6.5555555555555554</v>
      </c>
      <c r="O75" s="2">
        <f>('вместе-абс'!O75 - 'вместе-абс'!O$2) / 'вместе-абс'!O$2</f>
        <v>4.987769784172662</v>
      </c>
      <c r="P75" s="2">
        <f>('вместе-абс'!P75 - 'вместе-абс'!P$2) / 'вместе-абс'!P$2</f>
        <v>5.3442622950819674</v>
      </c>
      <c r="Q75" s="2">
        <f>('вместе-абс'!Q75 - 'вместе-абс'!Q$2) / 'вместе-абс'!Q$2</f>
        <v>4.8536585365853657</v>
      </c>
      <c r="R75" s="2">
        <f>('вместе-абс'!R75 - 'вместе-абс'!R$2) / 'вместе-абс'!R$2</f>
        <v>5.2058823529411757</v>
      </c>
      <c r="S75" s="2">
        <f>('вместе-абс'!S75 - 'вместе-абс'!S$2) / 'вместе-абс'!S$2</f>
        <v>3.6993464052287583</v>
      </c>
      <c r="T75" s="2">
        <f>('вместе-абс'!T75 - 'вместе-абс'!T$2) / 'вместе-абс'!T$2</f>
        <v>1.2056737588652482</v>
      </c>
      <c r="U75" s="2">
        <f>('вместе-абс'!U75 - 'вместе-абс'!U$2) / 'вместе-абс'!U$2</f>
        <v>6.0909090909090908</v>
      </c>
      <c r="V75" s="2">
        <f>('вместе-абс'!V75 - 'вместе-абс'!V$2) / 'вместе-абс'!V$2</f>
        <v>0.62269340659340666</v>
      </c>
    </row>
    <row r="76" spans="1:22" x14ac:dyDescent="0.25">
      <c r="A76" s="9">
        <f t="shared" si="1"/>
        <v>1991</v>
      </c>
      <c r="B76" s="2">
        <f>('вместе-абс'!B76 - 'вместе-абс'!B$2) / 'вместе-абс'!B$2</f>
        <v>2.9017751479289942</v>
      </c>
      <c r="C76" s="2">
        <f>('вместе-абс'!C76 - 'вместе-абс'!C$2) / 'вместе-абс'!C$2</f>
        <v>2.2355769230769234</v>
      </c>
      <c r="D76" s="2">
        <f>('вместе-абс'!D76 - 'вместе-абс'!D$2) / 'вместе-абс'!D$2</f>
        <v>4.7158958414302363</v>
      </c>
      <c r="E76" s="2">
        <f>('вместе-абс'!E76 - 'вместе-абс'!E$2) / 'вместе-абс'!E$2</f>
        <v>2.6593406593406592</v>
      </c>
      <c r="F76" s="2">
        <f>('вместе-абс'!F76 - 'вместе-абс'!F$2) / 'вместе-абс'!F$2</f>
        <v>4.7412587412587426</v>
      </c>
      <c r="G76" s="2">
        <f>('вместе-абс'!G76 - 'вместе-абс'!G$2) / 'вместе-абс'!G$2</f>
        <v>6.1749999999999998</v>
      </c>
      <c r="H76" s="2">
        <f>('вместе-абс'!H76 - 'вместе-абс'!H$2) / 'вместе-абс'!H$2</f>
        <v>2.9054545454545457</v>
      </c>
      <c r="I76" s="2">
        <f>('вместе-абс'!I76 - 'вместе-абс'!I$2) / 'вместе-абс'!I$2</f>
        <v>7.7142857142857153</v>
      </c>
      <c r="J76" s="2">
        <f>('вместе-абс'!J76 - 'вместе-абс'!J$2) / 'вместе-абс'!J$2</f>
        <v>5.9536423841059607</v>
      </c>
      <c r="K76" s="2">
        <f>('вместе-абс'!K76 - 'вместе-абс'!K$2) / 'вместе-абс'!K$2</f>
        <v>3.819819819819819</v>
      </c>
      <c r="L76" s="2">
        <f>('вместе-абс'!L76 - 'вместе-абс'!L$2) / 'вместе-абс'!L$2</f>
        <v>6.6991869918699187</v>
      </c>
      <c r="M76" s="2">
        <f>('вместе-абс'!M76 - 'вместе-абс'!M$2) / 'вместе-абс'!M$2</f>
        <v>2.3316582914572863</v>
      </c>
      <c r="N76" s="2">
        <f>('вместе-абс'!N76 - 'вместе-абс'!N$2) / 'вместе-абс'!N$2</f>
        <v>6.8095238095238093</v>
      </c>
      <c r="O76" s="2">
        <f>('вместе-абс'!O76 - 'вместе-абс'!O$2) / 'вместе-абс'!O$2</f>
        <v>5.100719424460431</v>
      </c>
      <c r="P76" s="2">
        <f>('вместе-абс'!P76 - 'вместе-абс'!P$2) / 'вместе-абс'!P$2</f>
        <v>5.557377049180328</v>
      </c>
      <c r="Q76" s="2">
        <f>('вместе-абс'!Q76 - 'вместе-абс'!Q$2) / 'вместе-абс'!Q$2</f>
        <v>4.9512195121951219</v>
      </c>
      <c r="R76" s="2">
        <f>('вместе-абс'!R76 - 'вместе-абс'!R$2) / 'вместе-абс'!R$2</f>
        <v>5.367647058823529</v>
      </c>
      <c r="S76" s="2">
        <f>('вместе-абс'!S76 - 'вместе-абс'!S$2) / 'вместе-абс'!S$2</f>
        <v>3.7930283224400871</v>
      </c>
      <c r="T76" s="2">
        <f>('вместе-абс'!T76 - 'вместе-абс'!T$2) / 'вместе-абс'!T$2</f>
        <v>1.2198581560283688</v>
      </c>
      <c r="U76" s="2">
        <f>('вместе-абс'!U76 - 'вместе-абс'!U$2) / 'вместе-абс'!U$2</f>
        <v>6.2618181818181817</v>
      </c>
      <c r="V76" s="2">
        <f>('вместе-абс'!V76 - 'вместе-абс'!V$2) / 'вместе-абс'!V$2</f>
        <v>0.62938131868131886</v>
      </c>
    </row>
    <row r="77" spans="1:22" x14ac:dyDescent="0.25">
      <c r="A77" s="9">
        <f t="shared" si="1"/>
        <v>1992</v>
      </c>
      <c r="B77" s="2">
        <f>('вместе-абс'!B77 - 'вместе-абс'!B$2) / 'вместе-абс'!B$2</f>
        <v>2.9550295857988171</v>
      </c>
      <c r="C77" s="2">
        <f>('вместе-абс'!C77 - 'вместе-абс'!C$2) / 'вместе-абс'!C$2</f>
        <v>2.3173076923076925</v>
      </c>
      <c r="D77" s="2">
        <f>('вместе-абс'!D77 - 'вместе-абс'!D$2) / 'вместе-абс'!D$2</f>
        <v>4.8048970073843762</v>
      </c>
      <c r="E77" s="2">
        <f>('вместе-абс'!E77 - 'вместе-абс'!E$2) / 'вместе-абс'!E$2</f>
        <v>2.7225274725274726</v>
      </c>
      <c r="F77" s="2">
        <f>('вместе-абс'!F77 - 'вместе-абс'!F$2) / 'вместе-абс'!F$2</f>
        <v>4.8374125874125875</v>
      </c>
      <c r="G77" s="2">
        <f>('вместе-абс'!G77 - 'вместе-абс'!G$2) / 'вместе-абс'!G$2</f>
        <v>6.35</v>
      </c>
      <c r="H77" s="2">
        <f>('вместе-абс'!H77 - 'вместе-абс'!H$2) / 'вместе-абс'!H$2</f>
        <v>2.938181818181818</v>
      </c>
      <c r="I77" s="2">
        <f>('вместе-абс'!I77 - 'вместе-абс'!I$2) / 'вместе-абс'!I$2</f>
        <v>7.8928571428571432</v>
      </c>
      <c r="J77" s="2">
        <f>('вместе-абс'!J77 - 'вместе-абс'!J$2) / 'вместе-абс'!J$2</f>
        <v>6.112582781456954</v>
      </c>
      <c r="K77" s="2">
        <f>('вместе-абс'!K77 - 'вместе-абс'!K$2) / 'вместе-абс'!K$2</f>
        <v>3.9369369369369367</v>
      </c>
      <c r="L77" s="2">
        <f>('вместе-абс'!L77 - 'вместе-абс'!L$2) / 'вместе-абс'!L$2</f>
        <v>6.9268292682926829</v>
      </c>
      <c r="M77" s="2">
        <f>('вместе-абс'!M77 - 'вместе-абс'!M$2) / 'вместе-абс'!M$2</f>
        <v>2.3969849246231152</v>
      </c>
      <c r="N77" s="2">
        <f>('вместе-абс'!N77 - 'вместе-абс'!N$2) / 'вместе-абс'!N$2</f>
        <v>7.0634920634920642</v>
      </c>
      <c r="O77" s="2">
        <f>('вместе-абс'!O77 - 'вместе-абс'!O$2) / 'вместе-абс'!O$2</f>
        <v>5.2151079136690646</v>
      </c>
      <c r="P77" s="2">
        <f>('вместе-абс'!P77 - 'вместе-абс'!P$2) / 'вместе-абс'!P$2</f>
        <v>5.7704918032786887</v>
      </c>
      <c r="Q77" s="2">
        <f>('вместе-абс'!Q77 - 'вместе-абс'!Q$2) / 'вместе-абс'!Q$2</f>
        <v>5.0731707317073171</v>
      </c>
      <c r="R77" s="2">
        <f>('вместе-абс'!R77 - 'вместе-абс'!R$2) / 'вместе-абс'!R$2</f>
        <v>5.5441176470588234</v>
      </c>
      <c r="S77" s="2">
        <f>('вместе-абс'!S77 - 'вместе-абс'!S$2) / 'вместе-абс'!S$2</f>
        <v>3.8910675381263617</v>
      </c>
      <c r="T77" s="2">
        <f>('вместе-абс'!T77 - 'вместе-абс'!T$2) / 'вместе-абс'!T$2</f>
        <v>1.2340425531914894</v>
      </c>
      <c r="U77" s="2">
        <f>('вместе-абс'!U77 - 'вместе-абс'!U$2) / 'вместе-абс'!U$2</f>
        <v>6.4327272727272735</v>
      </c>
      <c r="V77" s="2">
        <f>('вместе-абс'!V77 - 'вместе-абс'!V$2) / 'вместе-абс'!V$2</f>
        <v>0.6320296703296705</v>
      </c>
    </row>
    <row r="78" spans="1:22" x14ac:dyDescent="0.25">
      <c r="A78" s="9">
        <f t="shared" si="1"/>
        <v>1993</v>
      </c>
      <c r="B78" s="2">
        <f>('вместе-абс'!B78 - 'вместе-абс'!B$2) / 'вместе-абс'!B$2</f>
        <v>3.0082840236686392</v>
      </c>
      <c r="C78" s="2">
        <f>('вместе-абс'!C78 - 'вместе-абс'!C$2) / 'вместе-абс'!C$2</f>
        <v>2.3990384615384617</v>
      </c>
      <c r="D78" s="2">
        <f>('вместе-абс'!D78 - 'вместе-абс'!D$2) / 'вместе-абс'!D$2</f>
        <v>4.8907889623008156</v>
      </c>
      <c r="E78" s="2">
        <f>('вместе-абс'!E78 - 'вместе-абс'!E$2) / 'вместе-абс'!E$2</f>
        <v>2.7829670329670324</v>
      </c>
      <c r="F78" s="2">
        <f>('вместе-абс'!F78 - 'вместе-абс'!F$2) / 'вместе-абс'!F$2</f>
        <v>4.9353146853146859</v>
      </c>
      <c r="G78" s="2">
        <f>('вместе-абс'!G78 - 'вместе-абс'!G$2) / 'вместе-абс'!G$2</f>
        <v>6.5249999999999995</v>
      </c>
      <c r="H78" s="2">
        <f>('вместе-абс'!H78 - 'вместе-абс'!H$2) / 'вместе-абс'!H$2</f>
        <v>2.9636363636363638</v>
      </c>
      <c r="I78" s="2">
        <f>('вместе-абс'!I78 - 'вместе-абс'!I$2) / 'вместе-абс'!I$2</f>
        <v>8.0714285714285712</v>
      </c>
      <c r="J78" s="2">
        <f>('вместе-абс'!J78 - 'вместе-абс'!J$2) / 'вместе-абс'!J$2</f>
        <v>6.2715231788079473</v>
      </c>
      <c r="K78" s="2">
        <f>('вместе-абс'!K78 - 'вместе-абс'!K$2) / 'вместе-абс'!K$2</f>
        <v>3.8918918918918912</v>
      </c>
      <c r="L78" s="2">
        <f>('вместе-абс'!L78 - 'вместе-абс'!L$2) / 'вместе-абс'!L$2</f>
        <v>7.1544715447154461</v>
      </c>
      <c r="M78" s="2">
        <f>('вместе-абс'!M78 - 'вместе-абс'!M$2) / 'вместе-абс'!M$2</f>
        <v>2.4673366834170856</v>
      </c>
      <c r="N78" s="2">
        <f>('вместе-абс'!N78 - 'вместе-абс'!N$2) / 'вместе-абс'!N$2</f>
        <v>7.333333333333333</v>
      </c>
      <c r="O78" s="2">
        <f>('вместе-абс'!O78 - 'вместе-абс'!O$2) / 'вместе-абс'!O$2</f>
        <v>5.3294964028776972</v>
      </c>
      <c r="P78" s="2">
        <f>('вместе-абс'!P78 - 'вместе-абс'!P$2) / 'вместе-абс'!P$2</f>
        <v>6</v>
      </c>
      <c r="Q78" s="2">
        <f>('вместе-абс'!Q78 - 'вместе-абс'!Q$2) / 'вместе-абс'!Q$2</f>
        <v>5.1951219512195124</v>
      </c>
      <c r="R78" s="2">
        <f>('вместе-абс'!R78 - 'вместе-абс'!R$2) / 'вместе-абс'!R$2</f>
        <v>5.735294117647058</v>
      </c>
      <c r="S78" s="2">
        <f>('вместе-абс'!S78 - 'вместе-абс'!S$2) / 'вместе-абс'!S$2</f>
        <v>3.9542483660130716</v>
      </c>
      <c r="T78" s="2">
        <f>('вместе-абс'!T78 - 'вместе-абс'!T$2) / 'вместе-абс'!T$2</f>
        <v>1.24822695035461</v>
      </c>
      <c r="U78" s="2">
        <f>('вместе-абс'!U78 - 'вместе-абс'!U$2) / 'вместе-абс'!U$2</f>
        <v>6.6036363636363635</v>
      </c>
      <c r="V78" s="2">
        <f>('вместе-абс'!V78 - 'вместе-абс'!V$2) / 'вместе-абс'!V$2</f>
        <v>0.63254615384615398</v>
      </c>
    </row>
    <row r="79" spans="1:22" x14ac:dyDescent="0.25">
      <c r="A79" s="9">
        <f t="shared" si="1"/>
        <v>1994</v>
      </c>
      <c r="B79" s="2">
        <f>('вместе-абс'!B79 - 'вместе-абс'!B$2) / 'вместе-абс'!B$2</f>
        <v>3.0615384615384618</v>
      </c>
      <c r="C79" s="2">
        <f>('вместе-абс'!C79 - 'вместе-абс'!C$2) / 'вместе-абс'!C$2</f>
        <v>2.4807692307692308</v>
      </c>
      <c r="D79" s="2">
        <f>('вместе-абс'!D79 - 'вместе-абс'!D$2) / 'вместе-абс'!D$2</f>
        <v>4.9747376603186932</v>
      </c>
      <c r="E79" s="2">
        <f>('вместе-абс'!E79 - 'вместе-абс'!E$2) / 'вместе-абс'!E$2</f>
        <v>2.8434065934065931</v>
      </c>
      <c r="F79" s="2">
        <f>('вместе-абс'!F79 - 'вместе-абс'!F$2) / 'вместе-абс'!F$2</f>
        <v>5.0349650349650359</v>
      </c>
      <c r="G79" s="2">
        <f>('вместе-абс'!G79 - 'вместе-абс'!G$2) / 'вместе-абс'!G$2</f>
        <v>7.1749999999999998</v>
      </c>
      <c r="H79" s="2">
        <f>('вместе-абс'!H79 - 'вместе-абс'!H$2) / 'вместе-абс'!H$2</f>
        <v>2.9818181818181815</v>
      </c>
      <c r="I79" s="2">
        <f>('вместе-абс'!I79 - 'вместе-абс'!I$2) / 'вместе-абс'!I$2</f>
        <v>8.25</v>
      </c>
      <c r="J79" s="2">
        <f>('вместе-абс'!J79 - 'вместе-абс'!J$2) / 'вместе-абс'!J$2</f>
        <v>6.4304635761589406</v>
      </c>
      <c r="K79" s="2">
        <f>('вместе-абс'!K79 - 'вместе-абс'!K$2) / 'вместе-абс'!K$2</f>
        <v>3.9999999999999991</v>
      </c>
      <c r="L79" s="2">
        <f>('вместе-абс'!L79 - 'вместе-абс'!L$2) / 'вместе-абс'!L$2</f>
        <v>7.3902439024390247</v>
      </c>
      <c r="M79" s="2">
        <f>('вместе-абс'!M79 - 'вместе-абс'!M$2) / 'вместе-абс'!M$2</f>
        <v>2.5376884422110551</v>
      </c>
      <c r="N79" s="2">
        <f>('вместе-абс'!N79 - 'вместе-абс'!N$2) / 'вместе-абс'!N$2</f>
        <v>7.6031746031746028</v>
      </c>
      <c r="O79" s="2">
        <f>('вместе-абс'!O79 - 'вместе-абс'!O$2) / 'вместе-абс'!O$2</f>
        <v>5.4431654676258985</v>
      </c>
      <c r="P79" s="2">
        <f>('вместе-абс'!P79 - 'вместе-абс'!P$2) / 'вместе-абс'!P$2</f>
        <v>6.2131147540983616</v>
      </c>
      <c r="Q79" s="2">
        <f>('вместе-абс'!Q79 - 'вместе-абс'!Q$2) / 'вместе-абс'!Q$2</f>
        <v>5.2926829268292686</v>
      </c>
      <c r="R79" s="2">
        <f>('вместе-абс'!R79 - 'вместе-абс'!R$2) / 'вместе-абс'!R$2</f>
        <v>5.9117647058823533</v>
      </c>
      <c r="S79" s="2">
        <f>('вместе-абс'!S79 - 'вместе-абс'!S$2) / 'вместе-абс'!S$2</f>
        <v>4.0392156862745097</v>
      </c>
      <c r="T79" s="2">
        <f>('вместе-абс'!T79 - 'вместе-абс'!T$2) / 'вместе-абс'!T$2</f>
        <v>1.2695035460992909</v>
      </c>
      <c r="U79" s="2">
        <f>('вместе-абс'!U79 - 'вместе-абс'!U$2) / 'вместе-абс'!U$2</f>
        <v>6.7745454545454544</v>
      </c>
      <c r="V79" s="2">
        <f>('вместе-абс'!V79 - 'вместе-абс'!V$2) / 'вместе-абс'!V$2</f>
        <v>0.63028461538461533</v>
      </c>
    </row>
    <row r="80" spans="1:22" x14ac:dyDescent="0.25">
      <c r="A80" s="9">
        <f t="shared" si="1"/>
        <v>1995</v>
      </c>
      <c r="B80" s="2">
        <f>('вместе-абс'!B80 - 'вместе-абс'!B$2) / 'вместе-абс'!B$2</f>
        <v>3.1147928994082847</v>
      </c>
      <c r="C80" s="2">
        <f>('вместе-абс'!C80 - 'вместе-абс'!C$2) / 'вместе-абс'!C$2</f>
        <v>2.5625</v>
      </c>
      <c r="D80" s="2">
        <f>('вместе-абс'!D80 - 'вместе-абс'!D$2) / 'вместе-абс'!D$2</f>
        <v>5.0559657986785851</v>
      </c>
      <c r="E80" s="2">
        <f>('вместе-абс'!E80 - 'вместе-абс'!E$2) / 'вместе-абс'!E$2</f>
        <v>2.9038461538461537</v>
      </c>
      <c r="F80" s="2">
        <f>('вместе-абс'!F80 - 'вместе-абс'!F$2) / 'вместе-абс'!F$2</f>
        <v>5.1363636363636367</v>
      </c>
      <c r="G80" s="2">
        <f>('вместе-абс'!G80 - 'вместе-абс'!G$2) / 'вместе-абс'!G$2</f>
        <v>7.3250000000000002</v>
      </c>
      <c r="H80" s="2">
        <f>('вместе-абс'!H80 - 'вместе-абс'!H$2) / 'вместе-абс'!H$2</f>
        <v>2.9927272727272727</v>
      </c>
      <c r="I80" s="2">
        <f>('вместе-абс'!I80 - 'вместе-абс'!I$2) / 'вместе-абс'!I$2</f>
        <v>8.4285714285714288</v>
      </c>
      <c r="J80" s="2">
        <f>('вместе-абс'!J80 - 'вместе-абс'!J$2) / 'вместе-абс'!J$2</f>
        <v>6.5894039735099348</v>
      </c>
      <c r="K80" s="2">
        <f>('вместе-абс'!K80 - 'вместе-абс'!K$2) / 'вместе-абс'!K$2</f>
        <v>4.108108108108107</v>
      </c>
      <c r="L80" s="2">
        <f>('вместе-абс'!L80 - 'вместе-абс'!L$2) / 'вместе-абс'!L$2</f>
        <v>7.1138211382113825</v>
      </c>
      <c r="M80" s="2">
        <f>('вместе-абс'!M80 - 'вместе-абс'!M$2) / 'вместе-абс'!M$2</f>
        <v>2.608040201005025</v>
      </c>
      <c r="N80" s="2">
        <f>('вместе-абс'!N80 - 'вместе-абс'!N$2) / 'вместе-абс'!N$2</f>
        <v>7.8888888888888884</v>
      </c>
      <c r="O80" s="2">
        <f>('вместе-абс'!O80 - 'вместе-абс'!O$2) / 'вместе-абс'!O$2</f>
        <v>5.510071942446042</v>
      </c>
      <c r="P80" s="2">
        <f>('вместе-абс'!P80 - 'вместе-абс'!P$2) / 'вместе-абс'!P$2</f>
        <v>6.4426229508196728</v>
      </c>
      <c r="Q80" s="2">
        <f>('вместе-абс'!Q80 - 'вместе-абс'!Q$2) / 'вместе-абс'!Q$2</f>
        <v>5.4146341463414629</v>
      </c>
      <c r="R80" s="2">
        <f>('вместе-абс'!R80 - 'вместе-абс'!R$2) / 'вместе-абс'!R$2</f>
        <v>6.1029411764705888</v>
      </c>
      <c r="S80" s="2">
        <f>('вместе-абс'!S80 - 'вместе-абс'!S$2) / 'вместе-абс'!S$2</f>
        <v>4.1263616557734206</v>
      </c>
      <c r="T80" s="2">
        <f>('вместе-абс'!T80 - 'вместе-абс'!T$2) / 'вместе-абс'!T$2</f>
        <v>1.2836879432624115</v>
      </c>
      <c r="U80" s="2">
        <f>('вместе-абс'!U80 - 'вместе-абс'!U$2) / 'вместе-абс'!U$2</f>
        <v>6.9418181818181814</v>
      </c>
      <c r="V80" s="2">
        <f>('вместе-абс'!V80 - 'вместе-абс'!V$2) / 'вместе-абс'!V$2</f>
        <v>0.63142747252747244</v>
      </c>
    </row>
    <row r="81" spans="1:22" x14ac:dyDescent="0.25">
      <c r="A81" s="9">
        <f t="shared" si="1"/>
        <v>1996</v>
      </c>
      <c r="B81" s="2">
        <f>('вместе-абс'!B81 - 'вместе-абс'!B$2) / 'вместе-абс'!B$2</f>
        <v>3.1680473372781068</v>
      </c>
      <c r="C81" s="2">
        <f>('вместе-абс'!C81 - 'вместе-абс'!C$2) / 'вместе-абс'!C$2</f>
        <v>2.6490384615384612</v>
      </c>
      <c r="D81" s="2">
        <f>('вместе-абс'!D81 - 'вместе-абс'!D$2) / 'вместе-абс'!D$2</f>
        <v>5.1356393315196271</v>
      </c>
      <c r="E81" s="2">
        <f>('вместе-абс'!E81 - 'вместе-абс'!E$2) / 'вместе-абс'!E$2</f>
        <v>2.9615384615384612</v>
      </c>
      <c r="F81" s="2">
        <f>('вместе-абс'!F81 - 'вместе-абс'!F$2) / 'вместе-абс'!F$2</f>
        <v>5.2290209790209801</v>
      </c>
      <c r="G81" s="2">
        <f>('вместе-абс'!G81 - 'вместе-абс'!G$2) / 'вместе-абс'!G$2</f>
        <v>7</v>
      </c>
      <c r="H81" s="2">
        <f>('вместе-абс'!H81 - 'вместе-абс'!H$2) / 'вместе-абс'!H$2</f>
        <v>3.0072727272727273</v>
      </c>
      <c r="I81" s="2">
        <f>('вместе-абс'!I81 - 'вместе-абс'!I$2) / 'вместе-абс'!I$2</f>
        <v>8.5833333333333339</v>
      </c>
      <c r="J81" s="2">
        <f>('вместе-абс'!J81 - 'вместе-абс'!J$2) / 'вместе-абс'!J$2</f>
        <v>6.7483443708609272</v>
      </c>
      <c r="K81" s="2">
        <f>('вместе-абс'!K81 - 'вместе-абс'!K$2) / 'вместе-абс'!K$2</f>
        <v>4.2162162162162158</v>
      </c>
      <c r="L81" s="2">
        <f>('вместе-абс'!L81 - 'вместе-абс'!L$2) / 'вместе-абс'!L$2</f>
        <v>7.3252032520325203</v>
      </c>
      <c r="M81" s="2">
        <f>('вместе-абс'!M81 - 'вместе-абс'!M$2) / 'вместе-абс'!M$2</f>
        <v>2.6884422110552761</v>
      </c>
      <c r="N81" s="2">
        <f>('вместе-абс'!N81 - 'вместе-абс'!N$2) / 'вместе-абс'!N$2</f>
        <v>8.2063492063492056</v>
      </c>
      <c r="O81" s="2">
        <f>('вместе-абс'!O81 - 'вместе-абс'!O$2) / 'вместе-абс'!O$2</f>
        <v>5.6705035971223019</v>
      </c>
      <c r="P81" s="2">
        <f>('вместе-абс'!P81 - 'вместе-абс'!P$2) / 'вместе-абс'!P$2</f>
        <v>6.4590163934426226</v>
      </c>
      <c r="Q81" s="2">
        <f>('вместе-абс'!Q81 - 'вместе-абс'!Q$2) / 'вместе-абс'!Q$2</f>
        <v>5.5121951219512191</v>
      </c>
      <c r="R81" s="2">
        <f>('вместе-абс'!R81 - 'вместе-абс'!R$2) / 'вместе-абс'!R$2</f>
        <v>6.2941176470588234</v>
      </c>
      <c r="S81" s="2">
        <f>('вместе-абс'!S81 - 'вместе-абс'!S$2) / 'вместе-абс'!S$2</f>
        <v>4.2178649237472765</v>
      </c>
      <c r="T81" s="2">
        <f>('вместе-абс'!T81 - 'вместе-абс'!T$2) / 'вместе-абс'!T$2</f>
        <v>1.2978723404255321</v>
      </c>
      <c r="U81" s="2">
        <f>('вместе-абс'!U81 - 'вместе-абс'!U$2) / 'вместе-абс'!U$2</f>
        <v>7.1127272727272723</v>
      </c>
      <c r="V81" s="2">
        <f>('вместе-абс'!V81 - 'вместе-абс'!V$2) / 'вместе-абс'!V$2</f>
        <v>0.62957802197802204</v>
      </c>
    </row>
    <row r="82" spans="1:22" x14ac:dyDescent="0.25">
      <c r="A82" s="9">
        <f t="shared" si="1"/>
        <v>1997</v>
      </c>
      <c r="B82" s="2">
        <f>('вместе-абс'!B82 - 'вместе-абс'!B$2) / 'вместе-абс'!B$2</f>
        <v>3.2213017751479294</v>
      </c>
      <c r="C82" s="2">
        <f>('вместе-абс'!C82 - 'вместе-абс'!C$2) / 'вместе-абс'!C$2</f>
        <v>2.7355769230769229</v>
      </c>
      <c r="D82" s="2">
        <f>('вместе-абс'!D82 - 'вместе-абс'!D$2) / 'вместе-абс'!D$2</f>
        <v>5.2005441119315972</v>
      </c>
      <c r="E82" s="2">
        <f>('вместе-абс'!E82 - 'вместе-абс'!E$2) / 'вместе-абс'!E$2</f>
        <v>3.016483516483516</v>
      </c>
      <c r="F82" s="2">
        <f>('вместе-абс'!F82 - 'вместе-абс'!F$2) / 'вместе-абс'!F$2</f>
        <v>5.3216783216783217</v>
      </c>
      <c r="G82" s="2">
        <f>('вместе-абс'!G82 - 'вместе-абс'!G$2) / 'вместе-абс'!G$2</f>
        <v>7.1749999999999998</v>
      </c>
      <c r="H82" s="2">
        <f>('вместе-абс'!H82 - 'вместе-абс'!H$2) / 'вместе-абс'!H$2</f>
        <v>3.021818181818182</v>
      </c>
      <c r="I82" s="2">
        <f>('вместе-абс'!I82 - 'вместе-абс'!I$2) / 'вместе-абс'!I$2</f>
        <v>8.6428571428571423</v>
      </c>
      <c r="J82" s="2">
        <f>('вместе-абс'!J82 - 'вместе-абс'!J$2) / 'вместе-абс'!J$2</f>
        <v>6.9072847682119205</v>
      </c>
      <c r="K82" s="2">
        <f>('вместе-абс'!K82 - 'вместе-абс'!K$2) / 'вместе-абс'!K$2</f>
        <v>4.3243243243243237</v>
      </c>
      <c r="L82" s="2">
        <f>('вместе-абс'!L82 - 'вместе-абс'!L$2) / 'вместе-абс'!L$2</f>
        <v>7.5528455284552836</v>
      </c>
      <c r="M82" s="2">
        <f>('вместе-абс'!M82 - 'вместе-абс'!M$2) / 'вместе-абс'!M$2</f>
        <v>2.7638190954773871</v>
      </c>
      <c r="N82" s="2">
        <f>('вместе-абс'!N82 - 'вместе-абс'!N$2) / 'вместе-абс'!N$2</f>
        <v>8.4920634920634921</v>
      </c>
      <c r="O82" s="2">
        <f>('вместе-абс'!O82 - 'вместе-абс'!O$2) / 'вместе-абс'!O$2</f>
        <v>5.7827338129496395</v>
      </c>
      <c r="P82" s="2">
        <f>('вместе-абс'!P82 - 'вместе-абс'!P$2) / 'вместе-абс'!P$2</f>
        <v>6.7049180327868854</v>
      </c>
      <c r="Q82" s="2">
        <f>('вместе-абс'!Q82 - 'вместе-абс'!Q$2) / 'вместе-абс'!Q$2</f>
        <v>5.6341463414634152</v>
      </c>
      <c r="R82" s="2">
        <f>('вместе-абс'!R82 - 'вместе-абс'!R$2) / 'вместе-абс'!R$2</f>
        <v>6.4852941176470589</v>
      </c>
      <c r="S82" s="2">
        <f>('вместе-абс'!S82 - 'вместе-абс'!S$2) / 'вместе-абс'!S$2</f>
        <v>4.3093681917211333</v>
      </c>
      <c r="T82" s="2">
        <f>('вместе-абс'!T82 - 'вместе-абс'!T$2) / 'вместе-абс'!T$2</f>
        <v>1.3191489361702129</v>
      </c>
      <c r="U82" s="2">
        <f>('вместе-абс'!U82 - 'вместе-абс'!U$2) / 'вместе-абс'!U$2</f>
        <v>7.2836363636363641</v>
      </c>
      <c r="V82" s="2">
        <f>('вместе-абс'!V82 - 'вместе-абс'!V$2) / 'вместе-абс'!V$2</f>
        <v>0.62668791208791219</v>
      </c>
    </row>
    <row r="83" spans="1:22" x14ac:dyDescent="0.25">
      <c r="A83" s="9">
        <f t="shared" si="1"/>
        <v>1998</v>
      </c>
      <c r="B83" s="2">
        <f>('вместе-абс'!B83 - 'вместе-абс'!B$2) / 'вместе-абс'!B$2</f>
        <v>3.2745562130177515</v>
      </c>
      <c r="C83" s="2">
        <f>('вместе-абс'!C83 - 'вместе-абс'!C$2) / 'вместе-абс'!C$2</f>
        <v>2.8221153846153846</v>
      </c>
      <c r="D83" s="2">
        <f>('вместе-абс'!D83 - 'вместе-абс'!D$2) / 'вместе-абс'!D$2</f>
        <v>5.2879906723668872</v>
      </c>
      <c r="E83" s="2">
        <f>('вместе-абс'!E83 - 'вместе-абс'!E$2) / 'вместе-абс'!E$2</f>
        <v>3.0714285714285712</v>
      </c>
      <c r="F83" s="2">
        <f>('вместе-абс'!F83 - 'вместе-абс'!F$2) / 'вместе-абс'!F$2</f>
        <v>5.4160839160839167</v>
      </c>
      <c r="G83" s="2">
        <f>('вместе-абс'!G83 - 'вместе-абс'!G$2) / 'вместе-абс'!G$2</f>
        <v>7.35</v>
      </c>
      <c r="H83" s="2">
        <f>('вместе-абс'!H83 - 'вместе-абс'!H$2) / 'вместе-абс'!H$2</f>
        <v>3.0436363636363635</v>
      </c>
      <c r="I83" s="2">
        <f>('вместе-абс'!I83 - 'вместе-абс'!I$2) / 'вместе-абс'!I$2</f>
        <v>8.6428571428571423</v>
      </c>
      <c r="J83" s="2">
        <f>('вместе-абс'!J83 - 'вместе-абс'!J$2) / 'вместе-абс'!J$2</f>
        <v>7.0596026490066226</v>
      </c>
      <c r="K83" s="2">
        <f>('вместе-абс'!K83 - 'вместе-абс'!K$2) / 'вместе-абс'!K$2</f>
        <v>4.4324324324324316</v>
      </c>
      <c r="L83" s="2">
        <f>('вместе-абс'!L83 - 'вместе-абс'!L$2) / 'вместе-абс'!L$2</f>
        <v>7.7804878048780495</v>
      </c>
      <c r="M83" s="2">
        <f>('вместе-абс'!M83 - 'вместе-абс'!M$2) / 'вместе-абс'!M$2</f>
        <v>2.8442211055276383</v>
      </c>
      <c r="N83" s="2">
        <f>('вместе-абс'!N83 - 'вместе-абс'!N$2) / 'вместе-абс'!N$2</f>
        <v>8.8095238095238084</v>
      </c>
      <c r="O83" s="2">
        <f>('вместе-абс'!O83 - 'вместе-абс'!O$2) / 'вместе-абс'!O$2</f>
        <v>5.8942446043165457</v>
      </c>
      <c r="P83" s="2">
        <f>('вместе-абс'!P83 - 'вместе-абс'!P$2) / 'вместе-абс'!P$2</f>
        <v>6.885245901639343</v>
      </c>
      <c r="Q83" s="2">
        <f>('вместе-абс'!Q83 - 'вместе-абс'!Q$2) / 'вместе-абс'!Q$2</f>
        <v>5.7317073170731705</v>
      </c>
      <c r="R83" s="2">
        <f>('вместе-абс'!R83 - 'вместе-абс'!R$2) / 'вместе-абс'!R$2</f>
        <v>6.6764705882352935</v>
      </c>
      <c r="S83" s="2">
        <f>('вместе-абс'!S83 - 'вместе-абс'!S$2) / 'вместе-абс'!S$2</f>
        <v>4.4030501089324625</v>
      </c>
      <c r="T83" s="2">
        <f>('вместе-абс'!T83 - 'вместе-абс'!T$2) / 'вместе-абс'!T$2</f>
        <v>1.3333333333333335</v>
      </c>
      <c r="U83" s="2">
        <f>('вместе-абс'!U83 - 'вместе-абс'!U$2) / 'вместе-абс'!U$2</f>
        <v>7.4509090909090903</v>
      </c>
      <c r="V83" s="2">
        <f>('вместе-абс'!V83 - 'вместе-абс'!V$2) / 'вместе-абс'!V$2</f>
        <v>0.62419890109890119</v>
      </c>
    </row>
    <row r="84" spans="1:22" x14ac:dyDescent="0.25">
      <c r="A84" s="9">
        <f t="shared" si="1"/>
        <v>1999</v>
      </c>
      <c r="B84" s="2">
        <f>('вместе-абс'!B84 - 'вместе-абс'!B$2) / 'вместе-абс'!B$2</f>
        <v>3.3289940828402367</v>
      </c>
      <c r="C84" s="2">
        <f>('вместе-абс'!C84 - 'вместе-абс'!C$2) / 'вместе-абс'!C$2</f>
        <v>2.9134615384615388</v>
      </c>
      <c r="D84" s="2">
        <f>('вместе-абс'!D84 - 'вместе-абс'!D$2) / 'вместе-абс'!D$2</f>
        <v>5.5289545277885743</v>
      </c>
      <c r="E84" s="2">
        <f>('вместе-абс'!E84 - 'вместе-абс'!E$2) / 'вместе-абс'!E$2</f>
        <v>3.1263736263736259</v>
      </c>
      <c r="F84" s="2">
        <f>('вместе-абс'!F84 - 'вместе-абс'!F$2) / 'вместе-абс'!F$2</f>
        <v>6.2657342657342667</v>
      </c>
      <c r="G84" s="2">
        <f>('вместе-абс'!G84 - 'вместе-абс'!G$2) / 'вместе-абс'!G$2</f>
        <v>8.8249999999999993</v>
      </c>
      <c r="H84" s="2">
        <f>('вместе-абс'!H84 - 'вместе-абс'!H$2) / 'вместе-абс'!H$2</f>
        <v>3.0581818181818181</v>
      </c>
      <c r="I84" s="2">
        <f>('вместе-абс'!I84 - 'вместе-абс'!I$2) / 'вместе-абс'!I$2</f>
        <v>8.9523809523809526</v>
      </c>
      <c r="J84" s="2">
        <f>('вместе-абс'!J84 - 'вместе-абс'!J$2) / 'вместе-абс'!J$2</f>
        <v>7.2185430463576159</v>
      </c>
      <c r="K84" s="2">
        <f>('вместе-абс'!K84 - 'вместе-абс'!K$2) / 'вместе-абс'!K$2</f>
        <v>4.5405405405405403</v>
      </c>
      <c r="L84" s="2">
        <f>('вместе-абс'!L84 - 'вместе-абс'!L$2) / 'вместе-абс'!L$2</f>
        <v>8.0162601626016254</v>
      </c>
      <c r="M84" s="2">
        <f>('вместе-абс'!M84 - 'вместе-абс'!M$2) / 'вместе-абс'!M$2</f>
        <v>3.0653266331658289</v>
      </c>
      <c r="N84" s="2">
        <f>('вместе-абс'!N84 - 'вместе-абс'!N$2) / 'вместе-абс'!N$2</f>
        <v>9.0317460317460316</v>
      </c>
      <c r="O84" s="2">
        <f>('вместе-абс'!O84 - 'вместе-абс'!O$2) / 'вместе-абс'!O$2</f>
        <v>6.0043165467625892</v>
      </c>
      <c r="P84" s="2">
        <f>('вместе-абс'!P84 - 'вместе-абс'!P$2) / 'вместе-абс'!P$2</f>
        <v>7.0983606557377055</v>
      </c>
      <c r="Q84" s="2">
        <f>('вместе-абс'!Q84 - 'вместе-абс'!Q$2) / 'вместе-абс'!Q$2</f>
        <v>5.8536585365853657</v>
      </c>
      <c r="R84" s="2">
        <f>('вместе-абс'!R84 - 'вместе-абс'!R$2) / 'вместе-абс'!R$2</f>
        <v>6.882352941176471</v>
      </c>
      <c r="S84" s="2">
        <f>('вместе-абс'!S84 - 'вместе-абс'!S$2) / 'вместе-абс'!S$2</f>
        <v>4.4967320261437909</v>
      </c>
      <c r="T84" s="2">
        <f>('вместе-абс'!T84 - 'вместе-абс'!T$2) / 'вместе-абс'!T$2</f>
        <v>1.3475177304964541</v>
      </c>
      <c r="U84" s="2">
        <f>('вместе-абс'!U84 - 'вместе-абс'!U$2) / 'вместе-абс'!U$2</f>
        <v>7.621818181818182</v>
      </c>
      <c r="V84" s="2">
        <f>('вместе-абс'!V84 - 'вместе-абс'!V$2) / 'вместе-абс'!V$2</f>
        <v>0.62131208791208781</v>
      </c>
    </row>
    <row r="85" spans="1:22" x14ac:dyDescent="0.25">
      <c r="A85" s="9">
        <f t="shared" si="1"/>
        <v>2000</v>
      </c>
      <c r="B85" s="2">
        <f>('вместе-абс'!B85 - 'вместе-абс'!B$2) / 'вместе-абс'!B$2</f>
        <v>3.3822485207100597</v>
      </c>
      <c r="C85" s="2">
        <f>('вместе-абс'!C85 - 'вместе-абс'!C$2) / 'вместе-абс'!C$2</f>
        <v>3.0048076923076921</v>
      </c>
      <c r="D85" s="2">
        <f>('вместе-абс'!D85 - 'вместе-абс'!D$2) / 'вместе-абс'!D$2</f>
        <v>5.6117372716673151</v>
      </c>
      <c r="E85" s="2">
        <f>('вместе-абс'!E85 - 'вместе-абс'!E$2) / 'вместе-абс'!E$2</f>
        <v>3.1785714285714284</v>
      </c>
      <c r="F85" s="2">
        <f>('вместе-абс'!F85 - 'вместе-абс'!F$2) / 'вместе-абс'!F$2</f>
        <v>6.3986013986013992</v>
      </c>
      <c r="G85" s="2">
        <f>('вместе-абс'!G85 - 'вместе-абс'!G$2) / 'вместе-абс'!G$2</f>
        <v>9.0499999999999989</v>
      </c>
      <c r="H85" s="2">
        <f>('вместе-абс'!H85 - 'вместе-абс'!H$2) / 'вместе-абс'!H$2</f>
        <v>3.0727272727272723</v>
      </c>
      <c r="I85" s="2">
        <f>('вместе-абс'!I85 - 'вместе-абс'!I$2) / 'вместе-абс'!I$2</f>
        <v>9.1190476190476204</v>
      </c>
      <c r="J85" s="2">
        <f>('вместе-абс'!J85 - 'вместе-абс'!J$2) / 'вместе-абс'!J$2</f>
        <v>7.3774834437086092</v>
      </c>
      <c r="K85" s="2">
        <f>('вместе-абс'!K85 - 'вместе-абс'!K$2) / 'вместе-абс'!K$2</f>
        <v>4.6576576576576576</v>
      </c>
      <c r="L85" s="2">
        <f>('вместе-абс'!L85 - 'вместе-абс'!L$2) / 'вместе-абс'!L$2</f>
        <v>8.2520325203252032</v>
      </c>
      <c r="M85" s="2">
        <f>('вместе-абс'!M85 - 'вместе-абс'!M$2) / 'вместе-абс'!M$2</f>
        <v>3.1306532663316586</v>
      </c>
      <c r="N85" s="2">
        <f>('вместе-абс'!N85 - 'вместе-абс'!N$2) / 'вместе-абс'!N$2</f>
        <v>9.2857142857142865</v>
      </c>
      <c r="O85" s="2">
        <f>('вместе-абс'!O85 - 'вместе-абс'!O$2) / 'вместе-абс'!O$2</f>
        <v>6.1136690647482004</v>
      </c>
      <c r="P85" s="2">
        <f>('вместе-абс'!P85 - 'вместе-абс'!P$2) / 'вместе-абс'!P$2</f>
        <v>7.3114754098360653</v>
      </c>
      <c r="Q85" s="2">
        <f>('вместе-абс'!Q85 - 'вместе-абс'!Q$2) / 'вместе-абс'!Q$2</f>
        <v>5.975609756097561</v>
      </c>
      <c r="R85" s="2">
        <f>('вместе-абс'!R85 - 'вместе-абс'!R$2) / 'вместе-абс'!R$2</f>
        <v>7.0882352941176467</v>
      </c>
      <c r="S85" s="2">
        <f>('вместе-абс'!S85 - 'вместе-абс'!S$2) / 'вместе-абс'!S$2</f>
        <v>4.5904139433551201</v>
      </c>
      <c r="T85" s="2">
        <f>('вместе-абс'!T85 - 'вместе-абс'!T$2) / 'вместе-абс'!T$2</f>
        <v>1.3687943262411348</v>
      </c>
      <c r="U85" s="2">
        <f>('вместе-абс'!U85 - 'вместе-абс'!U$2) / 'вместе-абс'!U$2</f>
        <v>7.78909090909091</v>
      </c>
      <c r="V85" s="2">
        <f>('вместе-абс'!V85 - 'вместе-абс'!V$2) / 'вместе-абс'!V$2</f>
        <v>0.61417692307692318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Notes</vt:lpstr>
      <vt:lpstr>LA</vt:lpstr>
      <vt:lpstr>RSFSR</vt:lpstr>
      <vt:lpstr>вместе-абс</vt:lpstr>
      <vt:lpstr>вместе-отн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2026-05-17T03:49:31Z</dcterms:modified>
</cp:coreProperties>
</file>