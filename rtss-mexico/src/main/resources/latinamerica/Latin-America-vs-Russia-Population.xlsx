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01F8DE4F-A71F-4575-A89C-605D1FD5D587}" xr6:coauthVersionLast="45" xr6:coauthVersionMax="45" xr10:uidLastSave="{00000000-0000-0000-0000-000000000000}"/>
  <bookViews>
    <workbookView xWindow="-60" yWindow="-60" windowWidth="38520" windowHeight="23700" activeTab="5" xr2:uid="{0C6DB7CF-7936-4F84-A18A-9F2841EE8776}"/>
  </bookViews>
  <sheets>
    <sheet name="Notes" sheetId="2" r:id="rId1"/>
    <sheet name="LA" sheetId="1" r:id="rId2"/>
    <sheet name="RSFSR" sheetId="3" r:id="rId3"/>
    <sheet name="вместе-абс" sheetId="4" r:id="rId4"/>
    <sheet name="вместе-отн-2" sheetId="5" r:id="rId5"/>
    <sheet name="вместе-отн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107" i="6" l="1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W86" i="6"/>
  <c r="V86" i="6"/>
  <c r="U86" i="6"/>
  <c r="T86" i="6"/>
  <c r="S86" i="6"/>
  <c r="R86" i="6"/>
  <c r="Q86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W85" i="6"/>
  <c r="V85" i="6"/>
  <c r="U85" i="6"/>
  <c r="T85" i="6"/>
  <c r="S85" i="6"/>
  <c r="R85" i="6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W77" i="6"/>
  <c r="V77" i="6"/>
  <c r="U77" i="6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B2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B83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B84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V87" i="5"/>
  <c r="B88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V88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V90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U91" i="5"/>
  <c r="V91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V92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V93" i="5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V94" i="5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V95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V96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V97" i="5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V98" i="5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V100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V101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V102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V103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V104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V106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A88" i="5" l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87" i="5"/>
  <c r="A86" i="5"/>
  <c r="A89" i="3" l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88" i="3"/>
  <c r="A3" i="5" l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29" i="3"/>
  <c r="A30" i="3" s="1"/>
  <c r="A31" i="3" s="1"/>
  <c r="A32" i="3" s="1"/>
  <c r="A13" i="3" l="1"/>
  <c r="A12" i="3" s="1"/>
  <c r="A11" i="3" s="1"/>
  <c r="A10" i="3" s="1"/>
  <c r="A9" i="3" s="1"/>
  <c r="A8" i="3" s="1"/>
  <c r="A7" i="3" s="1"/>
  <c r="A6" i="3" s="1"/>
  <c r="A5" i="3" s="1"/>
  <c r="A4" i="3" s="1"/>
  <c r="A47" i="3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</calcChain>
</file>

<file path=xl/sharedStrings.xml><?xml version="1.0" encoding="utf-8"?>
<sst xmlns="http://schemas.openxmlformats.org/spreadsheetml/2006/main" count="125" uniqueCount="59">
  <si>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</si>
  <si>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</si>
  <si>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</si>
  <si>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</si>
  <si>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</si>
  <si>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</si>
  <si>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</si>
  <si>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</si>
  <si>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</si>
  <si>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</si>
  <si>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</si>
  <si>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</si>
  <si>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</si>
  <si>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</si>
  <si>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</si>
  <si>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</si>
  <si>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</si>
  <si>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</si>
  <si>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</si>
  <si>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</si>
  <si>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</si>
  <si>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</si>
  <si>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</si>
  <si>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</si>
  <si>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</si>
  <si>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</si>
  <si>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</si>
  <si>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</si>
  <si>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</si>
  <si>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</si>
  <si>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</si>
  <si>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Источник для стран Латинской Америки:</t>
  </si>
  <si>
    <t xml:space="preserve">1927-1959 </t>
  </si>
  <si>
    <t>реконструкция АДХ</t>
  </si>
  <si>
    <t>Е.М.Андреев, Л.Е.Дарский, Т.Л. Харькова, "Демографическая история России : 1927-1959", НИИ статистики Госкомстата России, Отделение демографии, М. 1998, 157-160</t>
  </si>
  <si>
    <t>Госкомстат России, "Население России за 100 лет (1897-1997)", М. 1998, стр. 32-34</t>
  </si>
  <si>
    <t>Госкомстат России, "Население России за 100 лет (1897-1997)", М. 1998, стр. 32</t>
  </si>
  <si>
    <t>Заполнены интерполяцией</t>
  </si>
  <si>
    <t>Источники для РСФСР/РФ:</t>
  </si>
  <si>
    <t>1960-1988</t>
  </si>
  <si>
    <t>1989-2000</t>
  </si>
  <si>
    <t>Росстат, "Демографический ежегодник России 2010", стр. 25</t>
  </si>
  <si>
    <t>РСФСР</t>
  </si>
  <si>
    <t>кроме 1942-1945</t>
  </si>
  <si>
    <t>1942-1945</t>
  </si>
  <si>
    <t>2001-2014</t>
  </si>
  <si>
    <t>2015-2022</t>
  </si>
  <si>
    <t>Росстат, "Демографический ежегодник России 2023", стр. 15</t>
  </si>
  <si>
    <t>Из РосБРиС через rtss.losses199x.util.PrintPopulation (численность населения на начало календарного года в границах РФ 1991-2014)</t>
  </si>
  <si>
    <t>1900-2000</t>
  </si>
  <si>
    <t>2001-2022</t>
  </si>
  <si>
    <t>UN WPP 2024</t>
  </si>
  <si>
    <t>В переходные годы 1995-2000 склейка</t>
  </si>
  <si>
    <t>Затем усреденение с данными Бриньоли.</t>
  </si>
  <si>
    <t>Страница "SALA WPP 2024 195x" файла Latin-America-Population.xlsx</t>
  </si>
  <si>
    <t>Страница "SALA WPP 195x и Бриньоли" файла Latin-America-Population.xlsx</t>
  </si>
  <si>
    <t>Венесуэла</t>
  </si>
  <si>
    <t>Пуэрто-Рико</t>
  </si>
  <si>
    <t>Сальвадор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</si>
</sst>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3" fontId="0" fillId="0" borderId="0" xfId="0" applyNumberFormat="1"/>
    <xf numFmtId="3" fontId="0" fillId="3" borderId="0" xfId="0" applyNumberFormat="1" applyFill="1"/>
    <xf numFmtId="3" fontId="0" fillId="0" borderId="0" xfId="0" applyNumberFormat="1" applyAlignment="1">
      <alignment horizontal="right"/>
    </xf>
    <xf numFmtId="3" fontId="0" fillId="3" borderId="0" xfId="0" applyNumberFormat="1" applyFill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1" fontId="0" fillId="0" borderId="0" xfId="0" applyNumberFormat="1" applyAlignment="1">
      <alignment horizontal="center"/>
    </xf>
    <xf numFmtId="164" fontId="0" fillId="0" borderId="0" xfId="0" applyNumberFormat="1"/>
    <xf numFmtId="165" fontId="1" fillId="2" borderId="0" xfId="0" applyNumberFormat="1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'вместе-отн-2'!$B$1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'вместе-отн-2'!$B$2:$B$85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F9-4868-9F54-2D1095A4FC5F}"/>
            </c:ext>
          </c:extLst>
        </c:ser>
        <c:ser>
          <c:idx val="1"/>
          <c:order val="1"/>
          <c:tx>
            <c:strRef>
              <c:f>'вместе-отн-2'!$C$1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'вместе-отн-2'!$C$2:$C$85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F9-4868-9F54-2D1095A4FC5F}"/>
            </c:ext>
          </c:extLst>
        </c:ser>
        <c:ser>
          <c:idx val="2"/>
          <c:order val="2"/>
          <c:tx>
            <c:strRef>
              <c:f>'вместе-отн-2'!$D$1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'вместе-отн-2'!$D$2:$D$85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F9-4868-9F54-2D1095A4FC5F}"/>
            </c:ext>
          </c:extLst>
        </c:ser>
        <c:ser>
          <c:idx val="3"/>
          <c:order val="3"/>
          <c:tx>
            <c:strRef>
              <c:f>'вместе-отн-2'!$E$1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'вместе-отн-2'!$E$2:$E$85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4F9-4868-9F54-2D1095A4FC5F}"/>
            </c:ext>
          </c:extLst>
        </c:ser>
        <c:ser>
          <c:idx val="4"/>
          <c:order val="4"/>
          <c:tx>
            <c:strRef>
              <c:f>'вместе-отн-2'!$F$1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'вместе-отн-2'!$F$2:$F$85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F9-4868-9F54-2D1095A4FC5F}"/>
            </c:ext>
          </c:extLst>
        </c:ser>
        <c:ser>
          <c:idx val="5"/>
          <c:order val="5"/>
          <c:tx>
            <c:strRef>
              <c:f>'вместе-отн-2'!$G$1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'вместе-отн-2'!$G$2:$G$85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4F9-4868-9F54-2D1095A4FC5F}"/>
            </c:ext>
          </c:extLst>
        </c:ser>
        <c:ser>
          <c:idx val="6"/>
          <c:order val="6"/>
          <c:tx>
            <c:strRef>
              <c:f>'вместе-отн-2'!$H$1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'вместе-отн-2'!$H$2:$H$85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4F9-4868-9F54-2D1095A4FC5F}"/>
            </c:ext>
          </c:extLst>
        </c:ser>
        <c:ser>
          <c:idx val="7"/>
          <c:order val="7"/>
          <c:tx>
            <c:strRef>
              <c:f>'вместе-отн-2'!$I$1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'вместе-отн-2'!$I$2:$I$85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F9-4868-9F54-2D1095A4FC5F}"/>
            </c:ext>
          </c:extLst>
        </c:ser>
        <c:ser>
          <c:idx val="8"/>
          <c:order val="8"/>
          <c:tx>
            <c:strRef>
              <c:f>'вместе-отн-2'!$J$1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'вместе-отн-2'!$J$2:$J$85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4F9-4868-9F54-2D1095A4FC5F}"/>
            </c:ext>
          </c:extLst>
        </c:ser>
        <c:ser>
          <c:idx val="9"/>
          <c:order val="9"/>
          <c:tx>
            <c:strRef>
              <c:f>'вместе-отн-2'!$K$1</c:f>
              <c:strCache>
                <c:ptCount val="1"/>
                <c:pt idx="0">
                  <c:v>Эль-Сальвадор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'вместе-отн-2'!$K$2:$K$85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4F9-4868-9F54-2D1095A4FC5F}"/>
            </c:ext>
          </c:extLst>
        </c:ser>
        <c:ser>
          <c:idx val="10"/>
          <c:order val="10"/>
          <c:tx>
            <c:strRef>
              <c:f>'вместе-отн-2'!$L$1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'вместе-отн-2'!$L$2:$L$85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F9-4868-9F54-2D1095A4FC5F}"/>
            </c:ext>
          </c:extLst>
        </c:ser>
        <c:ser>
          <c:idx val="11"/>
          <c:order val="11"/>
          <c:tx>
            <c:strRef>
              <c:f>'вместе-отн-2'!$M$1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'вместе-отн-2'!$M$2:$M$85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4F9-4868-9F54-2D1095A4FC5F}"/>
            </c:ext>
          </c:extLst>
        </c:ser>
        <c:ser>
          <c:idx val="12"/>
          <c:order val="12"/>
          <c:tx>
            <c:strRef>
              <c:f>'вместе-отн-2'!$N$1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'вместе-отн-2'!$N$2:$N$85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4F9-4868-9F54-2D1095A4FC5F}"/>
            </c:ext>
          </c:extLst>
        </c:ser>
        <c:ser>
          <c:idx val="13"/>
          <c:order val="13"/>
          <c:tx>
            <c:strRef>
              <c:f>'вместе-отн-2'!$O$1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'вместе-отн-2'!$O$2:$O$85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F9-4868-9F54-2D1095A4FC5F}"/>
            </c:ext>
          </c:extLst>
        </c:ser>
        <c:ser>
          <c:idx val="14"/>
          <c:order val="14"/>
          <c:tx>
            <c:strRef>
              <c:f>'вместе-отн-2'!$P$1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'вместе-отн-2'!$P$2:$P$85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4F9-4868-9F54-2D1095A4FC5F}"/>
            </c:ext>
          </c:extLst>
        </c:ser>
        <c:ser>
          <c:idx val="15"/>
          <c:order val="15"/>
          <c:tx>
            <c:strRef>
              <c:f>'вместе-отн-2'!$Q$1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'вместе-отн-2'!$Q$2:$Q$85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4F9-4868-9F54-2D1095A4FC5F}"/>
            </c:ext>
          </c:extLst>
        </c:ser>
        <c:ser>
          <c:idx val="16"/>
          <c:order val="16"/>
          <c:tx>
            <c:strRef>
              <c:f>'вместе-отн-2'!$R$1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'вместе-отн-2'!$R$2:$R$85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F9-4868-9F54-2D1095A4FC5F}"/>
            </c:ext>
          </c:extLst>
        </c:ser>
        <c:ser>
          <c:idx val="17"/>
          <c:order val="17"/>
          <c:tx>
            <c:strRef>
              <c:f>'вместе-отн-2'!$S$1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'вместе-отн-2'!$S$2:$S$85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4F9-4868-9F54-2D1095A4FC5F}"/>
            </c:ext>
          </c:extLst>
        </c:ser>
        <c:ser>
          <c:idx val="18"/>
          <c:order val="18"/>
          <c:tx>
            <c:strRef>
              <c:f>'вместе-отн-2'!$T$1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'вместе-отн-2'!$T$2:$T$85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4F9-4868-9F54-2D1095A4FC5F}"/>
            </c:ext>
          </c:extLst>
        </c:ser>
        <c:ser>
          <c:idx val="19"/>
          <c:order val="19"/>
          <c:tx>
            <c:strRef>
              <c:f>'вместе-отн-2'!$U$1</c:f>
              <c:strCache>
                <c:ptCount val="1"/>
                <c:pt idx="0">
                  <c:v>Венецуэлла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'вместе-отн-2'!$U$2:$U$85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F9-4868-9F54-2D1095A4FC5F}"/>
            </c:ext>
          </c:extLst>
        </c:ser>
        <c:ser>
          <c:idx val="20"/>
          <c:order val="20"/>
          <c:tx>
            <c:strRef>
              <c:f>'вместе-отн-2'!$V$1</c:f>
              <c:strCache>
                <c:ptCount val="1"/>
                <c:pt idx="0">
                  <c:v>РСФСР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'вместе-отн-2'!$V$2:$V$85</c:f>
              <c:numCache>
                <c:formatCode>0.00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4F9-4868-9F54-2D1095A4F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718072"/>
        <c:axId val="942718400"/>
      </c:scatterChart>
      <c:valAx>
        <c:axId val="9427180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400"/>
        <c:crosses val="autoZero"/>
        <c:crossBetween val="midCat"/>
      </c:valAx>
      <c:valAx>
        <c:axId val="942718400"/>
        <c:scaling>
          <c:orientation val="minMax"/>
          <c:min val="-1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072"/>
        <c:crosses val="max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'вместе-отн-2'!$B$1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'вместе-отн-2'!$B$2:$B$107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DE-4083-8C5B-1136608130D6}"/>
            </c:ext>
          </c:extLst>
        </c:ser>
        <c:ser>
          <c:idx val="1"/>
          <c:order val="1"/>
          <c:tx>
            <c:strRef>
              <c:f>'вместе-отн-2'!$C$1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'вместе-отн-2'!$C$2:$C$107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DE-4083-8C5B-1136608130D6}"/>
            </c:ext>
          </c:extLst>
        </c:ser>
        <c:ser>
          <c:idx val="2"/>
          <c:order val="2"/>
          <c:tx>
            <c:strRef>
              <c:f>'вместе-отн-2'!$D$1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'вместе-отн-2'!$D$2:$D$107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DE-4083-8C5B-1136608130D6}"/>
            </c:ext>
          </c:extLst>
        </c:ser>
        <c:ser>
          <c:idx val="3"/>
          <c:order val="3"/>
          <c:tx>
            <c:strRef>
              <c:f>'вместе-отн-2'!$E$1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'вместе-отн-2'!$E$2:$E$107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7DE-4083-8C5B-1136608130D6}"/>
            </c:ext>
          </c:extLst>
        </c:ser>
        <c:ser>
          <c:idx val="4"/>
          <c:order val="4"/>
          <c:tx>
            <c:strRef>
              <c:f>'вместе-отн-2'!$F$1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'вместе-отн-2'!$F$2:$F$107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7DE-4083-8C5B-1136608130D6}"/>
            </c:ext>
          </c:extLst>
        </c:ser>
        <c:ser>
          <c:idx val="5"/>
          <c:order val="5"/>
          <c:tx>
            <c:strRef>
              <c:f>'вместе-отн-2'!$G$1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'вместе-отн-2'!$G$2:$G$107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7DE-4083-8C5B-1136608130D6}"/>
            </c:ext>
          </c:extLst>
        </c:ser>
        <c:ser>
          <c:idx val="6"/>
          <c:order val="6"/>
          <c:tx>
            <c:strRef>
              <c:f>'вместе-отн-2'!$H$1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'вместе-отн-2'!$H$2:$H$107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7DE-4083-8C5B-1136608130D6}"/>
            </c:ext>
          </c:extLst>
        </c:ser>
        <c:ser>
          <c:idx val="7"/>
          <c:order val="7"/>
          <c:tx>
            <c:strRef>
              <c:f>'вместе-отн-2'!$I$1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'вместе-отн-2'!$I$2:$I$107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7DE-4083-8C5B-1136608130D6}"/>
            </c:ext>
          </c:extLst>
        </c:ser>
        <c:ser>
          <c:idx val="8"/>
          <c:order val="8"/>
          <c:tx>
            <c:strRef>
              <c:f>'вместе-отн-2'!$J$1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'вместе-отн-2'!$J$2:$J$107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7DE-4083-8C5B-1136608130D6}"/>
            </c:ext>
          </c:extLst>
        </c:ser>
        <c:ser>
          <c:idx val="9"/>
          <c:order val="9"/>
          <c:tx>
            <c:strRef>
              <c:f>'вместе-отн-2'!$K$1</c:f>
              <c:strCache>
                <c:ptCount val="1"/>
                <c:pt idx="0">
                  <c:v>Эль-Сальвадор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'вместе-отн-2'!$K$2:$K$107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7DE-4083-8C5B-1136608130D6}"/>
            </c:ext>
          </c:extLst>
        </c:ser>
        <c:ser>
          <c:idx val="10"/>
          <c:order val="10"/>
          <c:tx>
            <c:strRef>
              <c:f>'вместе-отн-2'!$L$1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'вместе-отн-2'!$L$2:$L$107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7DE-4083-8C5B-1136608130D6}"/>
            </c:ext>
          </c:extLst>
        </c:ser>
        <c:ser>
          <c:idx val="11"/>
          <c:order val="11"/>
          <c:tx>
            <c:strRef>
              <c:f>'вместе-отн-2'!$M$1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'вместе-отн-2'!$M$2:$M$107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7DE-4083-8C5B-1136608130D6}"/>
            </c:ext>
          </c:extLst>
        </c:ser>
        <c:ser>
          <c:idx val="12"/>
          <c:order val="12"/>
          <c:tx>
            <c:strRef>
              <c:f>'вместе-отн-2'!$N$1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'вместе-отн-2'!$N$2:$N$107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7DE-4083-8C5B-1136608130D6}"/>
            </c:ext>
          </c:extLst>
        </c:ser>
        <c:ser>
          <c:idx val="13"/>
          <c:order val="13"/>
          <c:tx>
            <c:strRef>
              <c:f>'вместе-отн-2'!$O$1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'вместе-отн-2'!$O$2:$O$107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7DE-4083-8C5B-1136608130D6}"/>
            </c:ext>
          </c:extLst>
        </c:ser>
        <c:ser>
          <c:idx val="14"/>
          <c:order val="14"/>
          <c:tx>
            <c:strRef>
              <c:f>'вместе-отн-2'!$P$1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'вместе-отн-2'!$P$2:$P$107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7DE-4083-8C5B-1136608130D6}"/>
            </c:ext>
          </c:extLst>
        </c:ser>
        <c:ser>
          <c:idx val="15"/>
          <c:order val="15"/>
          <c:tx>
            <c:strRef>
              <c:f>'вместе-отн-2'!$Q$1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'вместе-отн-2'!$Q$2:$Q$107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7DE-4083-8C5B-1136608130D6}"/>
            </c:ext>
          </c:extLst>
        </c:ser>
        <c:ser>
          <c:idx val="16"/>
          <c:order val="16"/>
          <c:tx>
            <c:strRef>
              <c:f>'вместе-отн-2'!$R$1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'вместе-отн-2'!$R$2:$R$107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7DE-4083-8C5B-1136608130D6}"/>
            </c:ext>
          </c:extLst>
        </c:ser>
        <c:ser>
          <c:idx val="17"/>
          <c:order val="17"/>
          <c:tx>
            <c:strRef>
              <c:f>'вместе-отн-2'!$S$1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'вместе-отн-2'!$S$2:$S$107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7DE-4083-8C5B-1136608130D6}"/>
            </c:ext>
          </c:extLst>
        </c:ser>
        <c:ser>
          <c:idx val="18"/>
          <c:order val="18"/>
          <c:tx>
            <c:strRef>
              <c:f>'вместе-отн-2'!$T$1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'вместе-отн-2'!$T$2:$T$107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7DE-4083-8C5B-1136608130D6}"/>
            </c:ext>
          </c:extLst>
        </c:ser>
        <c:ser>
          <c:idx val="19"/>
          <c:order val="19"/>
          <c:tx>
            <c:strRef>
              <c:f>'вместе-отн-2'!$U$1</c:f>
              <c:strCache>
                <c:ptCount val="1"/>
                <c:pt idx="0">
                  <c:v>Венецуэлла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'вместе-отн-2'!$U$2:$U$107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7DE-4083-8C5B-1136608130D6}"/>
            </c:ext>
          </c:extLst>
        </c:ser>
        <c:ser>
          <c:idx val="20"/>
          <c:order val="20"/>
          <c:tx>
            <c:strRef>
              <c:f>'вместе-отн-2'!$V$1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'вместе-отн-2'!$A$2:$A$107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'вместе-отн-2'!$V$2:$V$107</c:f>
              <c:numCache>
                <c:formatCode>0.00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7DE-4083-8C5B-113660813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600560"/>
        <c:axId val="770595312"/>
      </c:scatterChart>
      <c:valAx>
        <c:axId val="770600560"/>
        <c:scaling>
          <c:orientation val="minMax"/>
          <c:max val="202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0595312"/>
        <c:crosses val="autoZero"/>
        <c:crossBetween val="midCat"/>
        <c:majorUnit val="10"/>
      </c:valAx>
      <c:valAx>
        <c:axId val="770595312"/>
        <c:scaling>
          <c:orientation val="minMax"/>
          <c:max val="15"/>
          <c:min val="-1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0600560"/>
        <c:crosses val="max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'вместе-отн'!$B$2:$B$105</c:f>
              <c:numCache>
                <c:formatCode>0.00</c:formatCode>
                <c:ptCount val="104"/>
                <c:pt idx="0">
                  <c:v>0</c:v>
                </c:pt>
                <c:pt idx="1">
                  <c:v>2.2350064203679798E-2</c:v>
                </c:pt>
                <c:pt idx="2">
                  <c:v>4.6351045966242843E-2</c:v>
                </c:pt>
                <c:pt idx="3">
                  <c:v>7.4012325909252663E-2</c:v>
                </c:pt>
                <c:pt idx="4">
                  <c:v>0.10459159575327814</c:v>
                </c:pt>
                <c:pt idx="5">
                  <c:v>0.14001023667062773</c:v>
                </c:pt>
                <c:pt idx="6">
                  <c:v>0.18025735349139294</c:v>
                </c:pt>
                <c:pt idx="7">
                  <c:v>0.21831765406638248</c:v>
                </c:pt>
                <c:pt idx="8">
                  <c:v>0.25429973091324864</c:v>
                </c:pt>
                <c:pt idx="9">
                  <c:v>0.29148506553564424</c:v>
                </c:pt>
                <c:pt idx="10">
                  <c:v>0.32944323885864102</c:v>
                </c:pt>
                <c:pt idx="11">
                  <c:v>0.36618785787190977</c:v>
                </c:pt>
                <c:pt idx="12">
                  <c:v>0.40176753179503888</c:v>
                </c:pt>
                <c:pt idx="13">
                  <c:v>0.43569233716360412</c:v>
                </c:pt>
                <c:pt idx="14">
                  <c:v>0.4647016249966327</c:v>
                </c:pt>
                <c:pt idx="15">
                  <c:v>0.49218367340830227</c:v>
                </c:pt>
                <c:pt idx="16">
                  <c:v>0.51789352066640126</c:v>
                </c:pt>
                <c:pt idx="17">
                  <c:v>0.54308279431176332</c:v>
                </c:pt>
                <c:pt idx="18">
                  <c:v>0.56786595349199143</c:v>
                </c:pt>
                <c:pt idx="19">
                  <c:v>0.59361423316262218</c:v>
                </c:pt>
                <c:pt idx="20">
                  <c:v>0.62032236532941432</c:v>
                </c:pt>
                <c:pt idx="21">
                  <c:v>0.64732634326370175</c:v>
                </c:pt>
                <c:pt idx="22">
                  <c:v>0.67390229666589829</c:v>
                </c:pt>
                <c:pt idx="23">
                  <c:v>0.6954353428536364</c:v>
                </c:pt>
                <c:pt idx="24">
                  <c:v>0.72495359076664267</c:v>
                </c:pt>
                <c:pt idx="25">
                  <c:v>0.75540906274600172</c:v>
                </c:pt>
                <c:pt idx="26">
                  <c:v>0.78673279595801149</c:v>
                </c:pt>
                <c:pt idx="27">
                  <c:v>0.81939507861583438</c:v>
                </c:pt>
                <c:pt idx="28">
                  <c:v>0.85296788618737884</c:v>
                </c:pt>
                <c:pt idx="29">
                  <c:v>0.88720326376188652</c:v>
                </c:pt>
                <c:pt idx="30">
                  <c:v>0.92239142993118661</c:v>
                </c:pt>
                <c:pt idx="31">
                  <c:v>0.96187612431269098</c:v>
                </c:pt>
                <c:pt idx="32">
                  <c:v>1.0043314885376229</c:v>
                </c:pt>
                <c:pt idx="33">
                  <c:v>1.0485515111061892</c:v>
                </c:pt>
                <c:pt idx="34">
                  <c:v>1.0890186864136631</c:v>
                </c:pt>
                <c:pt idx="35">
                  <c:v>1.1306757100567806</c:v>
                </c:pt>
                <c:pt idx="36">
                  <c:v>1.1727507011520744</c:v>
                </c:pt>
                <c:pt idx="37">
                  <c:v>1.2145551089068012</c:v>
                </c:pt>
                <c:pt idx="38">
                  <c:v>1.2554008614367853</c:v>
                </c:pt>
                <c:pt idx="39">
                  <c:v>1.2955270538442889</c:v>
                </c:pt>
                <c:pt idx="40">
                  <c:v>1.3353660208385087</c:v>
                </c:pt>
                <c:pt idx="41">
                  <c:v>1.3749886408874175</c:v>
                </c:pt>
                <c:pt idx="42">
                  <c:v>1.4148909435396733</c:v>
                </c:pt>
                <c:pt idx="43">
                  <c:v>1.455030066478495</c:v>
                </c:pt>
                <c:pt idx="44">
                  <c:v>1.4954722188133243</c:v>
                </c:pt>
                <c:pt idx="45">
                  <c:v>1.5361765735887909</c:v>
                </c:pt>
                <c:pt idx="46">
                  <c:v>1.5770232839359095</c:v>
                </c:pt>
                <c:pt idx="47">
                  <c:v>1.6178029470835966</c:v>
                </c:pt>
                <c:pt idx="48">
                  <c:v>1.6583717707344956</c:v>
                </c:pt>
                <c:pt idx="49">
                  <c:v>1.6985692007913964</c:v>
                </c:pt>
                <c:pt idx="50">
                  <c:v>1.7387005414659988</c:v>
                </c:pt>
                <c:pt idx="51">
                  <c:v>1.7794112417799828</c:v>
                </c:pt>
                <c:pt idx="52">
                  <c:v>1.8212206780746678</c:v>
                </c:pt>
                <c:pt idx="53">
                  <c:v>1.8649237188447527</c:v>
                </c:pt>
                <c:pt idx="54">
                  <c:v>1.9109680238735915</c:v>
                </c:pt>
                <c:pt idx="55">
                  <c:v>1.9590585854836826</c:v>
                </c:pt>
                <c:pt idx="56">
                  <c:v>2.0088678302149399</c:v>
                </c:pt>
                <c:pt idx="57">
                  <c:v>2.05963118053955</c:v>
                </c:pt>
                <c:pt idx="58">
                  <c:v>2.1096562933075518</c:v>
                </c:pt>
                <c:pt idx="59">
                  <c:v>2.1586389418515202</c:v>
                </c:pt>
                <c:pt idx="60">
                  <c:v>2.2079999281637148</c:v>
                </c:pt>
                <c:pt idx="61">
                  <c:v>2.2580112723104042</c:v>
                </c:pt>
                <c:pt idx="62">
                  <c:v>2.3086935673599864</c:v>
                </c:pt>
                <c:pt idx="63">
                  <c:v>2.3603248197358218</c:v>
                </c:pt>
                <c:pt idx="64">
                  <c:v>2.4132521184221156</c:v>
                </c:pt>
                <c:pt idx="65">
                  <c:v>2.4671868012798828</c:v>
                </c:pt>
                <c:pt idx="66">
                  <c:v>2.5218928861125489</c:v>
                </c:pt>
                <c:pt idx="67">
                  <c:v>2.5770928454053212</c:v>
                </c:pt>
                <c:pt idx="68">
                  <c:v>2.6324248637355461</c:v>
                </c:pt>
                <c:pt idx="69">
                  <c:v>2.6880758351716438</c:v>
                </c:pt>
                <c:pt idx="70">
                  <c:v>2.744270727013137</c:v>
                </c:pt>
                <c:pt idx="71">
                  <c:v>2.8010864040850896</c:v>
                </c:pt>
                <c:pt idx="72">
                  <c:v>2.8578866363557451</c:v>
                </c:pt>
                <c:pt idx="73">
                  <c:v>2.9140418985132879</c:v>
                </c:pt>
                <c:pt idx="74">
                  <c:v>2.9693089050054922</c:v>
                </c:pt>
                <c:pt idx="75">
                  <c:v>3.023791339537194</c:v>
                </c:pt>
                <c:pt idx="76">
                  <c:v>3.0778226421984298</c:v>
                </c:pt>
                <c:pt idx="77">
                  <c:v>3.1316404713657571</c:v>
                </c:pt>
                <c:pt idx="78">
                  <c:v>3.1847939346229932</c:v>
                </c:pt>
                <c:pt idx="79">
                  <c:v>3.237000236461105</c:v>
                </c:pt>
                <c:pt idx="80">
                  <c:v>3.2885088882436921</c:v>
                </c:pt>
                <c:pt idx="81">
                  <c:v>3.3390596031643875</c:v>
                </c:pt>
                <c:pt idx="82">
                  <c:v>3.3886735729272983</c:v>
                </c:pt>
                <c:pt idx="83">
                  <c:v>3.437084644096104</c:v>
                </c:pt>
                <c:pt idx="84">
                  <c:v>3.483741473182616</c:v>
                </c:pt>
                <c:pt idx="85">
                  <c:v>3.5290513719233862</c:v>
                </c:pt>
                <c:pt idx="86">
                  <c:v>3.5732100941953284</c:v>
                </c:pt>
                <c:pt idx="87">
                  <c:v>3.6169703645392142</c:v>
                </c:pt>
                <c:pt idx="88">
                  <c:v>3.6614798873367587</c:v>
                </c:pt>
                <c:pt idx="89">
                  <c:v>3.7063907355137635</c:v>
                </c:pt>
                <c:pt idx="90">
                  <c:v>3.7505470632428688</c:v>
                </c:pt>
                <c:pt idx="91">
                  <c:v>3.7954204368244771</c:v>
                </c:pt>
                <c:pt idx="92">
                  <c:v>3.8417402340066982</c:v>
                </c:pt>
                <c:pt idx="93">
                  <c:v>3.8883798223847847</c:v>
                </c:pt>
                <c:pt idx="94">
                  <c:v>3.9357560918666348</c:v>
                </c:pt>
                <c:pt idx="95">
                  <c:v>3.9826711723981045</c:v>
                </c:pt>
                <c:pt idx="96">
                  <c:v>4.0289886947646307</c:v>
                </c:pt>
                <c:pt idx="97">
                  <c:v>4.076380049866354</c:v>
                </c:pt>
                <c:pt idx="98">
                  <c:v>4.1240923934353599</c:v>
                </c:pt>
                <c:pt idx="99">
                  <c:v>4.1697421975318241</c:v>
                </c:pt>
                <c:pt idx="100">
                  <c:v>4.2131533435300943</c:v>
                </c:pt>
                <c:pt idx="101">
                  <c:v>4.2549621811890699</c:v>
                </c:pt>
                <c:pt idx="102">
                  <c:v>4.2935957353192071</c:v>
                </c:pt>
                <c:pt idx="103">
                  <c:v>4.3258111962836692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B7-4A19-833B-8F51711296A1}"/>
            </c:ext>
          </c:extLst>
        </c:ser>
        <c:ser>
          <c:idx val="1"/>
          <c:order val="1"/>
          <c:tx>
            <c:strRef>
              <c:f>'вместе-отн'!$C$1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'вместе-отн'!$C$2:$C$105</c:f>
              <c:numCache>
                <c:formatCode>0.00</c:formatCode>
                <c:ptCount val="104"/>
                <c:pt idx="0">
                  <c:v>0</c:v>
                </c:pt>
                <c:pt idx="1">
                  <c:v>7.6602004301622451E-3</c:v>
                </c:pt>
                <c:pt idx="2">
                  <c:v>1.558808145969226E-2</c:v>
                </c:pt>
                <c:pt idx="3">
                  <c:v>2.3290184009461035E-2</c:v>
                </c:pt>
                <c:pt idx="4">
                  <c:v>3.2653089393982038E-2</c:v>
                </c:pt>
                <c:pt idx="5">
                  <c:v>4.1904584436961212E-2</c:v>
                </c:pt>
                <c:pt idx="6">
                  <c:v>5.1348336264016803E-2</c:v>
                </c:pt>
                <c:pt idx="7">
                  <c:v>6.0548562831242547E-2</c:v>
                </c:pt>
                <c:pt idx="8">
                  <c:v>7.0055907286877162E-2</c:v>
                </c:pt>
                <c:pt idx="9">
                  <c:v>7.9681563609635964E-2</c:v>
                </c:pt>
                <c:pt idx="10">
                  <c:v>8.9728705959023491E-2</c:v>
                </c:pt>
                <c:pt idx="11">
                  <c:v>0.10000902127986833</c:v>
                </c:pt>
                <c:pt idx="12">
                  <c:v>0.11057969364127929</c:v>
                </c:pt>
                <c:pt idx="13">
                  <c:v>0.12149790711236719</c:v>
                </c:pt>
                <c:pt idx="14">
                  <c:v>0.13321226085597648</c:v>
                </c:pt>
                <c:pt idx="15">
                  <c:v>0.14557190724152425</c:v>
                </c:pt>
                <c:pt idx="16">
                  <c:v>0.15872276423846365</c:v>
                </c:pt>
                <c:pt idx="17">
                  <c:v>0.17231827666934341</c:v>
                </c:pt>
                <c:pt idx="18">
                  <c:v>0.18625738648099599</c:v>
                </c:pt>
                <c:pt idx="19">
                  <c:v>0.20043952858636538</c:v>
                </c:pt>
                <c:pt idx="20">
                  <c:v>0.21501062095490497</c:v>
                </c:pt>
                <c:pt idx="21">
                  <c:v>0.22962312247693761</c:v>
                </c:pt>
                <c:pt idx="22">
                  <c:v>0.24417696103152164</c:v>
                </c:pt>
                <c:pt idx="23">
                  <c:v>0.25881756162199654</c:v>
                </c:pt>
                <c:pt idx="24">
                  <c:v>0.27320970729151117</c:v>
                </c:pt>
                <c:pt idx="25">
                  <c:v>0.28765805109790943</c:v>
                </c:pt>
                <c:pt idx="26">
                  <c:v>0.30203343591958132</c:v>
                </c:pt>
                <c:pt idx="27">
                  <c:v>0.31645368065753776</c:v>
                </c:pt>
                <c:pt idx="28">
                  <c:v>0.33128358023541105</c:v>
                </c:pt>
                <c:pt idx="29">
                  <c:v>0.3463949634638166</c:v>
                </c:pt>
                <c:pt idx="30">
                  <c:v>0.3619051562776523</c:v>
                </c:pt>
                <c:pt idx="31">
                  <c:v>0.37817895360055043</c:v>
                </c:pt>
                <c:pt idx="32">
                  <c:v>0.38793968263827572</c:v>
                </c:pt>
                <c:pt idx="33">
                  <c:v>0.41151726589162529</c:v>
                </c:pt>
                <c:pt idx="34">
                  <c:v>0.43462160167647923</c:v>
                </c:pt>
                <c:pt idx="35">
                  <c:v>0.46182100696216044</c:v>
                </c:pt>
                <c:pt idx="36">
                  <c:v>0.49215173299772208</c:v>
                </c:pt>
                <c:pt idx="37">
                  <c:v>0.52464953806610382</c:v>
                </c:pt>
                <c:pt idx="38">
                  <c:v>0.55820327654856672</c:v>
                </c:pt>
                <c:pt idx="39">
                  <c:v>0.59267590386569236</c:v>
                </c:pt>
                <c:pt idx="40">
                  <c:v>0.62832721315904005</c:v>
                </c:pt>
                <c:pt idx="41">
                  <c:v>0.66479881806444752</c:v>
                </c:pt>
                <c:pt idx="42">
                  <c:v>0.70170965577655231</c:v>
                </c:pt>
                <c:pt idx="43">
                  <c:v>0.73862690204812642</c:v>
                </c:pt>
                <c:pt idx="44">
                  <c:v>0.77590056281941111</c:v>
                </c:pt>
                <c:pt idx="45">
                  <c:v>0.81427156615827068</c:v>
                </c:pt>
                <c:pt idx="46">
                  <c:v>0.85383456155840398</c:v>
                </c:pt>
                <c:pt idx="47">
                  <c:v>0.89465955020785914</c:v>
                </c:pt>
                <c:pt idx="48">
                  <c:v>0.9367908990568079</c:v>
                </c:pt>
                <c:pt idx="49">
                  <c:v>0.98033853954845296</c:v>
                </c:pt>
                <c:pt idx="50">
                  <c:v>1.0253734588030685</c:v>
                </c:pt>
                <c:pt idx="51">
                  <c:v>1.0719449534319558</c:v>
                </c:pt>
                <c:pt idx="52">
                  <c:v>1.1200032338577013</c:v>
                </c:pt>
                <c:pt idx="53">
                  <c:v>1.169449706857701</c:v>
                </c:pt>
                <c:pt idx="54">
                  <c:v>1.2205239539628807</c:v>
                </c:pt>
                <c:pt idx="55">
                  <c:v>1.2732530883094562</c:v>
                </c:pt>
                <c:pt idx="56">
                  <c:v>1.3274044298920846</c:v>
                </c:pt>
                <c:pt idx="57">
                  <c:v>1.3828680472675625</c:v>
                </c:pt>
                <c:pt idx="58">
                  <c:v>1.4392875259361797</c:v>
                </c:pt>
                <c:pt idx="59">
                  <c:v>1.4971563249770643</c:v>
                </c:pt>
                <c:pt idx="60">
                  <c:v>1.556592263291229</c:v>
                </c:pt>
                <c:pt idx="61">
                  <c:v>1.6169988518819229</c:v>
                </c:pt>
                <c:pt idx="62">
                  <c:v>1.6780492542162158</c:v>
                </c:pt>
                <c:pt idx="63">
                  <c:v>1.7394190985917435</c:v>
                </c:pt>
                <c:pt idx="64">
                  <c:v>1.8007371815254047</c:v>
                </c:pt>
                <c:pt idx="65">
                  <c:v>1.8620823775952817</c:v>
                </c:pt>
                <c:pt idx="66">
                  <c:v>1.9239506107110689</c:v>
                </c:pt>
                <c:pt idx="67">
                  <c:v>1.9869861875824797</c:v>
                </c:pt>
                <c:pt idx="68">
                  <c:v>2.0515617905909531</c:v>
                </c:pt>
                <c:pt idx="69">
                  <c:v>2.1178750991478097</c:v>
                </c:pt>
                <c:pt idx="70">
                  <c:v>2.1860419602896077</c:v>
                </c:pt>
                <c:pt idx="71">
                  <c:v>2.256102304271502</c:v>
                </c:pt>
                <c:pt idx="72">
                  <c:v>2.3278983819373273</c:v>
                </c:pt>
                <c:pt idx="73">
                  <c:v>2.4011738509083149</c:v>
                </c:pt>
                <c:pt idx="74">
                  <c:v>2.4763536479738848</c:v>
                </c:pt>
                <c:pt idx="75">
                  <c:v>2.5530029770223566</c:v>
                </c:pt>
                <c:pt idx="76">
                  <c:v>2.6303409797307125</c:v>
                </c:pt>
                <c:pt idx="77">
                  <c:v>2.707881591511518</c:v>
                </c:pt>
                <c:pt idx="78">
                  <c:v>2.7850909300643765</c:v>
                </c:pt>
                <c:pt idx="79">
                  <c:v>2.8620153342039116</c:v>
                </c:pt>
                <c:pt idx="80">
                  <c:v>2.9389318508856381</c:v>
                </c:pt>
                <c:pt idx="81">
                  <c:v>3.0159109742637185</c:v>
                </c:pt>
                <c:pt idx="82">
                  <c:v>3.0933909512126219</c:v>
                </c:pt>
                <c:pt idx="83">
                  <c:v>3.1712199481695427</c:v>
                </c:pt>
                <c:pt idx="84">
                  <c:v>3.2495414182733668</c:v>
                </c:pt>
                <c:pt idx="85">
                  <c:v>3.3286762824636664</c:v>
                </c:pt>
                <c:pt idx="86">
                  <c:v>3.40866299209726</c:v>
                </c:pt>
                <c:pt idx="87">
                  <c:v>3.4893940805615085</c:v>
                </c:pt>
                <c:pt idx="88">
                  <c:v>3.5704899639493881</c:v>
                </c:pt>
                <c:pt idx="89">
                  <c:v>3.6523598041347043</c:v>
                </c:pt>
                <c:pt idx="90">
                  <c:v>3.7349469100144583</c:v>
                </c:pt>
                <c:pt idx="91">
                  <c:v>3.8175024660629804</c:v>
                </c:pt>
                <c:pt idx="92">
                  <c:v>3.8999436539732821</c:v>
                </c:pt>
                <c:pt idx="93">
                  <c:v>3.9822374450157918</c:v>
                </c:pt>
                <c:pt idx="94">
                  <c:v>4.0644474318190893</c:v>
                </c:pt>
                <c:pt idx="95">
                  <c:v>4.1465425575180532</c:v>
                </c:pt>
                <c:pt idx="96">
                  <c:v>4.2283340160914005</c:v>
                </c:pt>
                <c:pt idx="97">
                  <c:v>4.3096325085517293</c:v>
                </c:pt>
                <c:pt idx="98">
                  <c:v>4.3903473291342481</c:v>
                </c:pt>
                <c:pt idx="99">
                  <c:v>4.4705534086881329</c:v>
                </c:pt>
                <c:pt idx="100">
                  <c:v>4.5502714517901328</c:v>
                </c:pt>
                <c:pt idx="101">
                  <c:v>4.6293792028442171</c:v>
                </c:pt>
                <c:pt idx="102">
                  <c:v>4.7077780686277846</c:v>
                </c:pt>
                <c:pt idx="103">
                  <c:v>4.7811057920067519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B7-4A19-833B-8F51711296A1}"/>
            </c:ext>
          </c:extLst>
        </c:ser>
        <c:ser>
          <c:idx val="2"/>
          <c:order val="2"/>
          <c:tx>
            <c:strRef>
              <c:f>'вместе-отн'!$D$1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'вместе-отн'!$D$2:$D$105</c:f>
              <c:numCache>
                <c:formatCode>0.00</c:formatCode>
                <c:ptCount val="104"/>
                <c:pt idx="0">
                  <c:v>0</c:v>
                </c:pt>
                <c:pt idx="1">
                  <c:v>2.099065740176731E-2</c:v>
                </c:pt>
                <c:pt idx="2">
                  <c:v>4.2402773158762619E-2</c:v>
                </c:pt>
                <c:pt idx="3">
                  <c:v>6.4190100047127219E-2</c:v>
                </c:pt>
                <c:pt idx="4">
                  <c:v>8.6074960896285857E-2</c:v>
                </c:pt>
                <c:pt idx="5">
                  <c:v>0.10831285901927279</c:v>
                </c:pt>
                <c:pt idx="6">
                  <c:v>0.13096930808609653</c:v>
                </c:pt>
                <c:pt idx="7">
                  <c:v>0.15409032272770395</c:v>
                </c:pt>
                <c:pt idx="8">
                  <c:v>0.17766392440916468</c:v>
                </c:pt>
                <c:pt idx="9">
                  <c:v>0.20169736227621304</c:v>
                </c:pt>
                <c:pt idx="10">
                  <c:v>0.22621738451364615</c:v>
                </c:pt>
                <c:pt idx="11">
                  <c:v>0.25123127903268316</c:v>
                </c:pt>
                <c:pt idx="12">
                  <c:v>0.27674637251002987</c:v>
                </c:pt>
                <c:pt idx="13">
                  <c:v>0.30278941313048247</c:v>
                </c:pt>
                <c:pt idx="14">
                  <c:v>0.32917145791911606</c:v>
                </c:pt>
                <c:pt idx="15">
                  <c:v>0.35577260523016951</c:v>
                </c:pt>
                <c:pt idx="16">
                  <c:v>0.3827712538265895</c:v>
                </c:pt>
                <c:pt idx="17">
                  <c:v>0.41030707575159586</c:v>
                </c:pt>
                <c:pt idx="18">
                  <c:v>0.43851974304840846</c:v>
                </c:pt>
                <c:pt idx="19">
                  <c:v>0.46754888899476188</c:v>
                </c:pt>
                <c:pt idx="20">
                  <c:v>0.49753422439936101</c:v>
                </c:pt>
                <c:pt idx="21">
                  <c:v>0.52865414802515254</c:v>
                </c:pt>
                <c:pt idx="22">
                  <c:v>0.56102894917275026</c:v>
                </c:pt>
                <c:pt idx="23">
                  <c:v>0.59479829988537425</c:v>
                </c:pt>
                <c:pt idx="24">
                  <c:v>0.63253603455369278</c:v>
                </c:pt>
                <c:pt idx="25">
                  <c:v>0.67263512998823138</c:v>
                </c:pt>
                <c:pt idx="26">
                  <c:v>0.71299531096567415</c:v>
                </c:pt>
                <c:pt idx="27">
                  <c:v>0.7531446077035624</c:v>
                </c:pt>
                <c:pt idx="28">
                  <c:v>0.79774732214812105</c:v>
                </c:pt>
                <c:pt idx="29">
                  <c:v>0.84528473888518918</c:v>
                </c:pt>
                <c:pt idx="30">
                  <c:v>0.89511040468336667</c:v>
                </c:pt>
                <c:pt idx="31">
                  <c:v>0.94715930982395302</c:v>
                </c:pt>
                <c:pt idx="32">
                  <c:v>1.0013082188294584</c:v>
                </c:pt>
                <c:pt idx="33">
                  <c:v>1.0575309262318791</c:v>
                </c:pt>
                <c:pt idx="34">
                  <c:v>1.1193892435780031</c:v>
                </c:pt>
                <c:pt idx="35">
                  <c:v>1.1866467789390063</c:v>
                </c:pt>
                <c:pt idx="36">
                  <c:v>1.2581119975959196</c:v>
                </c:pt>
                <c:pt idx="37">
                  <c:v>1.332603017435591</c:v>
                </c:pt>
                <c:pt idx="38">
                  <c:v>1.4089629988483163</c:v>
                </c:pt>
                <c:pt idx="39">
                  <c:v>1.4867716852089092</c:v>
                </c:pt>
                <c:pt idx="40">
                  <c:v>1.5663323001426996</c:v>
                </c:pt>
                <c:pt idx="41">
                  <c:v>1.647495247642254</c:v>
                </c:pt>
                <c:pt idx="42">
                  <c:v>1.7300702667061505</c:v>
                </c:pt>
                <c:pt idx="43">
                  <c:v>1.8136382636737594</c:v>
                </c:pt>
                <c:pt idx="44">
                  <c:v>1.8992487752917171</c:v>
                </c:pt>
                <c:pt idx="45">
                  <c:v>1.987690524122153</c:v>
                </c:pt>
                <c:pt idx="46">
                  <c:v>2.0780601580631646</c:v>
                </c:pt>
                <c:pt idx="47">
                  <c:v>2.1692626296884767</c:v>
                </c:pt>
                <c:pt idx="48">
                  <c:v>2.2600592654491023</c:v>
                </c:pt>
                <c:pt idx="49">
                  <c:v>2.3501002456064843</c:v>
                </c:pt>
                <c:pt idx="50">
                  <c:v>2.4397883823174653</c:v>
                </c:pt>
                <c:pt idx="51">
                  <c:v>2.5293734416032656</c:v>
                </c:pt>
                <c:pt idx="52">
                  <c:v>2.619446286989493</c:v>
                </c:pt>
                <c:pt idx="53">
                  <c:v>2.7104951697623947</c:v>
                </c:pt>
                <c:pt idx="54">
                  <c:v>2.8024427527789717</c:v>
                </c:pt>
                <c:pt idx="55">
                  <c:v>2.8953730020801949</c:v>
                </c:pt>
                <c:pt idx="56">
                  <c:v>2.989711485162724</c:v>
                </c:pt>
                <c:pt idx="57">
                  <c:v>3.0855931059150974</c:v>
                </c:pt>
                <c:pt idx="58">
                  <c:v>3.1835190245301401</c:v>
                </c:pt>
                <c:pt idx="59">
                  <c:v>3.2841388730090388</c:v>
                </c:pt>
                <c:pt idx="60">
                  <c:v>3.3873481783691455</c:v>
                </c:pt>
                <c:pt idx="61">
                  <c:v>3.4928220858443835</c:v>
                </c:pt>
                <c:pt idx="62">
                  <c:v>3.6001466188181697</c:v>
                </c:pt>
                <c:pt idx="63">
                  <c:v>3.7089426508451284</c:v>
                </c:pt>
                <c:pt idx="64">
                  <c:v>3.8195376727443318</c:v>
                </c:pt>
                <c:pt idx="65">
                  <c:v>3.9316400905360158</c:v>
                </c:pt>
                <c:pt idx="66">
                  <c:v>4.0443214320838585</c:v>
                </c:pt>
                <c:pt idx="67">
                  <c:v>4.1565135532083222</c:v>
                </c:pt>
                <c:pt idx="68">
                  <c:v>4.2669719267721531</c:v>
                </c:pt>
                <c:pt idx="69">
                  <c:v>4.3753342505505568</c:v>
                </c:pt>
                <c:pt idx="70">
                  <c:v>4.4819624391134747</c:v>
                </c:pt>
                <c:pt idx="71">
                  <c:v>4.5868573065360971</c:v>
                </c:pt>
                <c:pt idx="72">
                  <c:v>4.6899576421172737</c:v>
                </c:pt>
                <c:pt idx="73">
                  <c:v>4.7913262847085312</c:v>
                </c:pt>
                <c:pt idx="74">
                  <c:v>4.8901014388081201</c:v>
                </c:pt>
                <c:pt idx="75">
                  <c:v>4.9869514989120667</c:v>
                </c:pt>
                <c:pt idx="76">
                  <c:v>5.0825529615028104</c:v>
                </c:pt>
                <c:pt idx="77">
                  <c:v>5.177256731752494</c:v>
                </c:pt>
                <c:pt idx="78">
                  <c:v>5.2727046054908282</c:v>
                </c:pt>
                <c:pt idx="79">
                  <c:v>5.3692878039945739</c:v>
                </c:pt>
                <c:pt idx="80">
                  <c:v>5.4664401573522055</c:v>
                </c:pt>
                <c:pt idx="81">
                  <c:v>5.5644226348101729</c:v>
                </c:pt>
                <c:pt idx="82">
                  <c:v>5.6615189720416739</c:v>
                </c:pt>
                <c:pt idx="83">
                  <c:v>5.7553579230817569</c:v>
                </c:pt>
                <c:pt idx="84">
                  <c:v>5.8468146575245763</c:v>
                </c:pt>
                <c:pt idx="85">
                  <c:v>5.9366110274702697</c:v>
                </c:pt>
                <c:pt idx="86">
                  <c:v>6.0237542488425495</c:v>
                </c:pt>
                <c:pt idx="87">
                  <c:v>6.1076160494225817</c:v>
                </c:pt>
                <c:pt idx="88">
                  <c:v>6.1877832279034894</c:v>
                </c:pt>
                <c:pt idx="89">
                  <c:v>6.2640374570725559</c:v>
                </c:pt>
                <c:pt idx="90">
                  <c:v>6.3369234307624982</c:v>
                </c:pt>
                <c:pt idx="91">
                  <c:v>6.4065524834468466</c:v>
                </c:pt>
                <c:pt idx="92">
                  <c:v>6.4730416093599725</c:v>
                </c:pt>
                <c:pt idx="93">
                  <c:v>6.5370816482138432</c:v>
                </c:pt>
                <c:pt idx="94">
                  <c:v>6.5998286255429734</c:v>
                </c:pt>
                <c:pt idx="95">
                  <c:v>6.6619621390686197</c:v>
                </c:pt>
                <c:pt idx="96">
                  <c:v>6.7233943074358056</c:v>
                </c:pt>
                <c:pt idx="97">
                  <c:v>6.783874434251663</c:v>
                </c:pt>
                <c:pt idx="98">
                  <c:v>6.8428650748292101</c:v>
                </c:pt>
                <c:pt idx="99">
                  <c:v>6.8999261633803162</c:v>
                </c:pt>
                <c:pt idx="100">
                  <c:v>6.9550497917459992</c:v>
                </c:pt>
                <c:pt idx="101">
                  <c:v>7.0076498257898479</c:v>
                </c:pt>
                <c:pt idx="102">
                  <c:v>7.0581053919572394</c:v>
                </c:pt>
                <c:pt idx="103">
                  <c:v>7.1046072275223473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B7-4A19-833B-8F51711296A1}"/>
            </c:ext>
          </c:extLst>
        </c:ser>
        <c:ser>
          <c:idx val="3"/>
          <c:order val="3"/>
          <c:tx>
            <c:strRef>
              <c:f>'вместе-отн'!$E$1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'вместе-отн'!$E$2:$E$105</c:f>
              <c:numCache>
                <c:formatCode>0.00</c:formatCode>
                <c:ptCount val="104"/>
                <c:pt idx="0">
                  <c:v>0</c:v>
                </c:pt>
                <c:pt idx="1">
                  <c:v>1.0902207989262225E-2</c:v>
                </c:pt>
                <c:pt idx="2">
                  <c:v>2.2246936970797382E-2</c:v>
                </c:pt>
                <c:pt idx="3">
                  <c:v>3.3879963982894168E-2</c:v>
                </c:pt>
                <c:pt idx="4">
                  <c:v>4.6222563148991203E-2</c:v>
                </c:pt>
                <c:pt idx="5">
                  <c:v>5.9297080313897021E-2</c:v>
                </c:pt>
                <c:pt idx="6">
                  <c:v>7.2897640645113615E-2</c:v>
                </c:pt>
                <c:pt idx="7">
                  <c:v>8.6635939298428388E-2</c:v>
                </c:pt>
                <c:pt idx="8">
                  <c:v>0.10085558942843731</c:v>
                </c:pt>
                <c:pt idx="9">
                  <c:v>0.11535108252796711</c:v>
                </c:pt>
                <c:pt idx="10">
                  <c:v>0.13064992706462797</c:v>
                </c:pt>
                <c:pt idx="11">
                  <c:v>0.14691293985597564</c:v>
                </c:pt>
                <c:pt idx="12">
                  <c:v>0.16338512440774355</c:v>
                </c:pt>
                <c:pt idx="13">
                  <c:v>0.18022693121216338</c:v>
                </c:pt>
                <c:pt idx="14">
                  <c:v>0.1971654479023115</c:v>
                </c:pt>
                <c:pt idx="15">
                  <c:v>0.21437284738081064</c:v>
                </c:pt>
                <c:pt idx="16">
                  <c:v>0.23157914788333578</c:v>
                </c:pt>
                <c:pt idx="17">
                  <c:v>0.2492470182950195</c:v>
                </c:pt>
                <c:pt idx="18">
                  <c:v>0.26710647685153655</c:v>
                </c:pt>
                <c:pt idx="19">
                  <c:v>0.2938628785697488</c:v>
                </c:pt>
                <c:pt idx="20">
                  <c:v>0.32118745086661593</c:v>
                </c:pt>
                <c:pt idx="21">
                  <c:v>0.34917617097721676</c:v>
                </c:pt>
                <c:pt idx="22">
                  <c:v>0.37792538246195528</c:v>
                </c:pt>
                <c:pt idx="23">
                  <c:v>0.40753179520656002</c:v>
                </c:pt>
                <c:pt idx="24">
                  <c:v>0.4400222872327566</c:v>
                </c:pt>
                <c:pt idx="25">
                  <c:v>0.47668705633424113</c:v>
                </c:pt>
                <c:pt idx="26">
                  <c:v>0.51487024390672786</c:v>
                </c:pt>
                <c:pt idx="27">
                  <c:v>0.55484549496778923</c:v>
                </c:pt>
                <c:pt idx="28">
                  <c:v>0.59652086186091813</c:v>
                </c:pt>
                <c:pt idx="29">
                  <c:v>0.63998755959197218</c:v>
                </c:pt>
                <c:pt idx="30">
                  <c:v>0.69083131671242071</c:v>
                </c:pt>
                <c:pt idx="31">
                  <c:v>0.73961925611048973</c:v>
                </c:pt>
                <c:pt idx="32">
                  <c:v>0.79065423505044685</c:v>
                </c:pt>
                <c:pt idx="33">
                  <c:v>0.84402820118879918</c:v>
                </c:pt>
                <c:pt idx="34">
                  <c:v>0.91909302245500979</c:v>
                </c:pt>
                <c:pt idx="35">
                  <c:v>1.0073125861322421</c:v>
                </c:pt>
                <c:pt idx="36">
                  <c:v>1.1055456525609437</c:v>
                </c:pt>
                <c:pt idx="37">
                  <c:v>1.2105788159925917</c:v>
                </c:pt>
                <c:pt idx="38">
                  <c:v>1.3189781428331746</c:v>
                </c:pt>
                <c:pt idx="39">
                  <c:v>1.4300388231579149</c:v>
                </c:pt>
                <c:pt idx="40">
                  <c:v>1.5443041174233851</c:v>
                </c:pt>
                <c:pt idx="41">
                  <c:v>1.6598090565877381</c:v>
                </c:pt>
                <c:pt idx="42">
                  <c:v>1.7736362257648328</c:v>
                </c:pt>
                <c:pt idx="43">
                  <c:v>1.8828132612698156</c:v>
                </c:pt>
                <c:pt idx="44">
                  <c:v>1.9901121468349126</c:v>
                </c:pt>
                <c:pt idx="45">
                  <c:v>2.0998379376763401</c:v>
                </c:pt>
                <c:pt idx="46">
                  <c:v>2.2118649842077152</c:v>
                </c:pt>
                <c:pt idx="47">
                  <c:v>2.3259951044283604</c:v>
                </c:pt>
                <c:pt idx="48">
                  <c:v>2.4419008034979672</c:v>
                </c:pt>
                <c:pt idx="49">
                  <c:v>2.5590542066236019</c:v>
                </c:pt>
                <c:pt idx="50">
                  <c:v>2.6775868245968413</c:v>
                </c:pt>
                <c:pt idx="51">
                  <c:v>2.7982990782522181</c:v>
                </c:pt>
                <c:pt idx="52">
                  <c:v>2.9218998070930846</c:v>
                </c:pt>
                <c:pt idx="53">
                  <c:v>3.0495557572787009</c:v>
                </c:pt>
                <c:pt idx="54">
                  <c:v>3.1820724781981484</c:v>
                </c:pt>
                <c:pt idx="55">
                  <c:v>3.3189528663857688</c:v>
                </c:pt>
                <c:pt idx="56">
                  <c:v>3.4599148513415203</c:v>
                </c:pt>
                <c:pt idx="57">
                  <c:v>3.6047488949796582</c:v>
                </c:pt>
                <c:pt idx="58">
                  <c:v>3.7531542442085799</c:v>
                </c:pt>
                <c:pt idx="59">
                  <c:v>3.9070478794525929</c:v>
                </c:pt>
                <c:pt idx="60">
                  <c:v>4.0669862488799611</c:v>
                </c:pt>
                <c:pt idx="61">
                  <c:v>4.2306208408338444</c:v>
                </c:pt>
                <c:pt idx="62">
                  <c:v>4.3954738308177772</c:v>
                </c:pt>
                <c:pt idx="63">
                  <c:v>4.5589036469151374</c:v>
                </c:pt>
                <c:pt idx="64">
                  <c:v>4.7199996043686498</c:v>
                </c:pt>
                <c:pt idx="65">
                  <c:v>4.8802698645402218</c:v>
                </c:pt>
                <c:pt idx="66">
                  <c:v>5.0411028004105773</c:v>
                </c:pt>
                <c:pt idx="67">
                  <c:v>5.2039593173747365</c:v>
                </c:pt>
                <c:pt idx="68">
                  <c:v>5.3701362070822416</c:v>
                </c:pt>
                <c:pt idx="69">
                  <c:v>5.5410998698079803</c:v>
                </c:pt>
                <c:pt idx="70">
                  <c:v>5.7159861441109179</c:v>
                </c:pt>
                <c:pt idx="71">
                  <c:v>5.8927443408232216</c:v>
                </c:pt>
                <c:pt idx="72">
                  <c:v>6.0697428469485466</c:v>
                </c:pt>
                <c:pt idx="73">
                  <c:v>6.2455170938386289</c:v>
                </c:pt>
                <c:pt idx="74">
                  <c:v>6.4198795229272037</c:v>
                </c:pt>
                <c:pt idx="75">
                  <c:v>6.5932957337020035</c:v>
                </c:pt>
                <c:pt idx="76">
                  <c:v>6.7658540105662883</c:v>
                </c:pt>
                <c:pt idx="77">
                  <c:v>6.9376430042486419</c:v>
                </c:pt>
                <c:pt idx="78">
                  <c:v>7.1089891106133969</c:v>
                </c:pt>
                <c:pt idx="79">
                  <c:v>7.2801549849183864</c:v>
                </c:pt>
                <c:pt idx="80">
                  <c:v>7.4513146316928562</c:v>
                </c:pt>
                <c:pt idx="81">
                  <c:v>7.6223321442413301</c:v>
                </c:pt>
                <c:pt idx="82">
                  <c:v>7.7925213952305921</c:v>
                </c:pt>
                <c:pt idx="83">
                  <c:v>7.9618201093554362</c:v>
                </c:pt>
                <c:pt idx="84">
                  <c:v>8.1507699792000494</c:v>
                </c:pt>
                <c:pt idx="85">
                  <c:v>8.3177410622115655</c:v>
                </c:pt>
                <c:pt idx="86">
                  <c:v>8.4851517356127566</c:v>
                </c:pt>
                <c:pt idx="87">
                  <c:v>8.6493021136238593</c:v>
                </c:pt>
                <c:pt idx="88">
                  <c:v>8.8123168831283021</c:v>
                </c:pt>
                <c:pt idx="89">
                  <c:v>8.9730970681518976</c:v>
                </c:pt>
                <c:pt idx="90">
                  <c:v>9.1286754335643394</c:v>
                </c:pt>
                <c:pt idx="91">
                  <c:v>9.276780762352308</c:v>
                </c:pt>
                <c:pt idx="92">
                  <c:v>9.4176694822431131</c:v>
                </c:pt>
                <c:pt idx="93">
                  <c:v>9.5549682139515735</c:v>
                </c:pt>
                <c:pt idx="94">
                  <c:v>9.6912778672832669</c:v>
                </c:pt>
                <c:pt idx="95">
                  <c:v>9.8263053819784059</c:v>
                </c:pt>
                <c:pt idx="96">
                  <c:v>9.9575963783613108</c:v>
                </c:pt>
                <c:pt idx="97">
                  <c:v>10.082843006886183</c:v>
                </c:pt>
                <c:pt idx="98">
                  <c:v>10.200030478267019</c:v>
                </c:pt>
                <c:pt idx="99">
                  <c:v>10.270255043017583</c:v>
                </c:pt>
                <c:pt idx="100">
                  <c:v>10.196843447941875</c:v>
                </c:pt>
                <c:pt idx="101">
                  <c:v>9.9192787493946479</c:v>
                </c:pt>
                <c:pt idx="102">
                  <c:v>9.6007588795427097</c:v>
                </c:pt>
                <c:pt idx="103">
                  <c:v>9.4197941691265417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1B7-4A19-833B-8F51711296A1}"/>
            </c:ext>
          </c:extLst>
        </c:ser>
        <c:ser>
          <c:idx val="4"/>
          <c:order val="4"/>
          <c:tx>
            <c:strRef>
              <c:f>'вместе-отн'!$F$1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'вместе-отн'!$F$2:$F$105</c:f>
              <c:numCache>
                <c:formatCode>0.00</c:formatCode>
                <c:ptCount val="104"/>
                <c:pt idx="0">
                  <c:v>0</c:v>
                </c:pt>
                <c:pt idx="1">
                  <c:v>2.1465577346300613E-2</c:v>
                </c:pt>
                <c:pt idx="2">
                  <c:v>4.2082281626653062E-2</c:v>
                </c:pt>
                <c:pt idx="3">
                  <c:v>6.2092361994311229E-2</c:v>
                </c:pt>
                <c:pt idx="4">
                  <c:v>7.7043238971282069E-2</c:v>
                </c:pt>
                <c:pt idx="5">
                  <c:v>9.1499607346155587E-2</c:v>
                </c:pt>
                <c:pt idx="6">
                  <c:v>0.1058393557774171</c:v>
                </c:pt>
                <c:pt idx="7">
                  <c:v>0.11944034439420936</c:v>
                </c:pt>
                <c:pt idx="8">
                  <c:v>0.1334327355685323</c:v>
                </c:pt>
                <c:pt idx="9">
                  <c:v>0.14844417483381656</c:v>
                </c:pt>
                <c:pt idx="10">
                  <c:v>0.16385352334876435</c:v>
                </c:pt>
                <c:pt idx="11">
                  <c:v>0.17928789760268438</c:v>
                </c:pt>
                <c:pt idx="12">
                  <c:v>0.19537594415856718</c:v>
                </c:pt>
                <c:pt idx="13">
                  <c:v>0.2117462810500601</c:v>
                </c:pt>
                <c:pt idx="14">
                  <c:v>0.23025081296113048</c:v>
                </c:pt>
                <c:pt idx="15">
                  <c:v>0.24932893480945162</c:v>
                </c:pt>
                <c:pt idx="16">
                  <c:v>0.26862127698337734</c:v>
                </c:pt>
                <c:pt idx="17">
                  <c:v>0.28851824101087975</c:v>
                </c:pt>
                <c:pt idx="18">
                  <c:v>0.30866045728031266</c:v>
                </c:pt>
                <c:pt idx="19">
                  <c:v>0.33018859897404496</c:v>
                </c:pt>
                <c:pt idx="20">
                  <c:v>0.35174176640674926</c:v>
                </c:pt>
                <c:pt idx="21">
                  <c:v>0.37346110474623151</c:v>
                </c:pt>
                <c:pt idx="22">
                  <c:v>0.39473548544678194</c:v>
                </c:pt>
                <c:pt idx="23">
                  <c:v>0.41570605367620606</c:v>
                </c:pt>
                <c:pt idx="24">
                  <c:v>0.43776774412483244</c:v>
                </c:pt>
                <c:pt idx="25">
                  <c:v>0.46222639985224823</c:v>
                </c:pt>
                <c:pt idx="26">
                  <c:v>0.4822079508774777</c:v>
                </c:pt>
                <c:pt idx="27">
                  <c:v>0.50460248365443872</c:v>
                </c:pt>
                <c:pt idx="28">
                  <c:v>0.52754007496710376</c:v>
                </c:pt>
                <c:pt idx="29">
                  <c:v>0.55090310384230179</c:v>
                </c:pt>
                <c:pt idx="30">
                  <c:v>0.57482520772614643</c:v>
                </c:pt>
                <c:pt idx="31">
                  <c:v>0.59943802200563279</c:v>
                </c:pt>
                <c:pt idx="32">
                  <c:v>0.62512444048704086</c:v>
                </c:pt>
                <c:pt idx="33">
                  <c:v>0.65201860113126364</c:v>
                </c:pt>
                <c:pt idx="34">
                  <c:v>0.67657035260765697</c:v>
                </c:pt>
                <c:pt idx="35">
                  <c:v>0.70168418218137352</c:v>
                </c:pt>
                <c:pt idx="36">
                  <c:v>0.72728551315027512</c:v>
                </c:pt>
                <c:pt idx="37">
                  <c:v>0.75327424255847131</c:v>
                </c:pt>
                <c:pt idx="38">
                  <c:v>0.77965087092074215</c:v>
                </c:pt>
                <c:pt idx="39">
                  <c:v>0.80702552575323705</c:v>
                </c:pt>
                <c:pt idx="40">
                  <c:v>0.83581613689679846</c:v>
                </c:pt>
                <c:pt idx="41">
                  <c:v>0.86633852917725895</c:v>
                </c:pt>
                <c:pt idx="42">
                  <c:v>0.89893255212986545</c:v>
                </c:pt>
                <c:pt idx="43">
                  <c:v>0.93393805528986573</c:v>
                </c:pt>
                <c:pt idx="44">
                  <c:v>0.97089456506016436</c:v>
                </c:pt>
                <c:pt idx="45">
                  <c:v>1.0090192763257009</c:v>
                </c:pt>
                <c:pt idx="46">
                  <c:v>1.0473822326262558</c:v>
                </c:pt>
                <c:pt idx="47">
                  <c:v>1.0865039693324587</c:v>
                </c:pt>
                <c:pt idx="48">
                  <c:v>1.1269555738076611</c:v>
                </c:pt>
                <c:pt idx="49">
                  <c:v>1.1680828732351225</c:v>
                </c:pt>
                <c:pt idx="50">
                  <c:v>1.2101020899995647</c:v>
                </c:pt>
                <c:pt idx="51">
                  <c:v>1.2528475537089894</c:v>
                </c:pt>
                <c:pt idx="52">
                  <c:v>1.2960289657913164</c:v>
                </c:pt>
                <c:pt idx="53">
                  <c:v>1.3394306043766013</c:v>
                </c:pt>
                <c:pt idx="54">
                  <c:v>1.3827396477276883</c:v>
                </c:pt>
                <c:pt idx="55">
                  <c:v>1.4261918383056975</c:v>
                </c:pt>
                <c:pt idx="56">
                  <c:v>1.4703202243507447</c:v>
                </c:pt>
                <c:pt idx="57">
                  <c:v>1.5158335347905321</c:v>
                </c:pt>
                <c:pt idx="58">
                  <c:v>1.5633649208210647</c:v>
                </c:pt>
                <c:pt idx="59">
                  <c:v>1.6129989694400688</c:v>
                </c:pt>
                <c:pt idx="60">
                  <c:v>1.6643868218462687</c:v>
                </c:pt>
                <c:pt idx="61">
                  <c:v>1.7175840351801832</c:v>
                </c:pt>
                <c:pt idx="62">
                  <c:v>1.7725710893654125</c:v>
                </c:pt>
                <c:pt idx="63">
                  <c:v>1.8293539905793108</c:v>
                </c:pt>
                <c:pt idx="64">
                  <c:v>1.8887896201242977</c:v>
                </c:pt>
                <c:pt idx="65">
                  <c:v>1.9512293393755478</c:v>
                </c:pt>
                <c:pt idx="66">
                  <c:v>2.0158067572498313</c:v>
                </c:pt>
                <c:pt idx="67">
                  <c:v>2.0816299564101679</c:v>
                </c:pt>
                <c:pt idx="68">
                  <c:v>2.1480077259461354</c:v>
                </c:pt>
                <c:pt idx="69">
                  <c:v>2.214983610643547</c:v>
                </c:pt>
                <c:pt idx="70">
                  <c:v>2.2832142858930413</c:v>
                </c:pt>
                <c:pt idx="71">
                  <c:v>2.3526522027905705</c:v>
                </c:pt>
                <c:pt idx="72">
                  <c:v>2.4231006590278099</c:v>
                </c:pt>
                <c:pt idx="73">
                  <c:v>2.4943364250131257</c:v>
                </c:pt>
                <c:pt idx="74">
                  <c:v>2.5659125410484682</c:v>
                </c:pt>
                <c:pt idx="75">
                  <c:v>2.6375437137095501</c:v>
                </c:pt>
                <c:pt idx="76">
                  <c:v>2.7093886061814576</c:v>
                </c:pt>
                <c:pt idx="77">
                  <c:v>2.7813556242595512</c:v>
                </c:pt>
                <c:pt idx="78">
                  <c:v>2.8537535855627514</c:v>
                </c:pt>
                <c:pt idx="79">
                  <c:v>2.9270644858236698</c:v>
                </c:pt>
                <c:pt idx="80">
                  <c:v>3.0010680985393474</c:v>
                </c:pt>
                <c:pt idx="81">
                  <c:v>3.0754045535833603</c:v>
                </c:pt>
                <c:pt idx="82">
                  <c:v>3.1499151877706222</c:v>
                </c:pt>
                <c:pt idx="83">
                  <c:v>3.2246910947909919</c:v>
                </c:pt>
                <c:pt idx="84">
                  <c:v>3.2988678856203606</c:v>
                </c:pt>
                <c:pt idx="85">
                  <c:v>3.3721552616866441</c:v>
                </c:pt>
                <c:pt idx="86">
                  <c:v>3.4455437417383772</c:v>
                </c:pt>
                <c:pt idx="87">
                  <c:v>3.518998790255778</c:v>
                </c:pt>
                <c:pt idx="88">
                  <c:v>3.5937371586676896</c:v>
                </c:pt>
                <c:pt idx="89">
                  <c:v>3.67091803920332</c:v>
                </c:pt>
                <c:pt idx="90">
                  <c:v>3.7494613209686163</c:v>
                </c:pt>
                <c:pt idx="91">
                  <c:v>3.8289280525019986</c:v>
                </c:pt>
                <c:pt idx="92">
                  <c:v>3.9091530639262482</c:v>
                </c:pt>
                <c:pt idx="93">
                  <c:v>3.978234614300808</c:v>
                </c:pt>
                <c:pt idx="94">
                  <c:v>4.0470619031674078</c:v>
                </c:pt>
                <c:pt idx="95">
                  <c:v>4.1271973224461362</c:v>
                </c:pt>
                <c:pt idx="96">
                  <c:v>4.2070479488153572</c:v>
                </c:pt>
                <c:pt idx="97">
                  <c:v>4.2865577246197715</c:v>
                </c:pt>
                <c:pt idx="98">
                  <c:v>4.3657957208989444</c:v>
                </c:pt>
                <c:pt idx="99">
                  <c:v>4.4446262981476448</c:v>
                </c:pt>
                <c:pt idx="100">
                  <c:v>4.5230950032108019</c:v>
                </c:pt>
                <c:pt idx="101">
                  <c:v>4.6011432758592212</c:v>
                </c:pt>
                <c:pt idx="102">
                  <c:v>4.6786134539373752</c:v>
                </c:pt>
                <c:pt idx="103">
                  <c:v>4.7547717827785876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1B7-4A19-833B-8F51711296A1}"/>
            </c:ext>
          </c:extLst>
        </c:ser>
        <c:ser>
          <c:idx val="5"/>
          <c:order val="5"/>
          <c:tx>
            <c:strRef>
              <c:f>'вместе-отн'!$G$1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'вместе-отн'!$G$2:$G$105</c:f>
              <c:numCache>
                <c:formatCode>0.00</c:formatCode>
                <c:ptCount val="104"/>
                <c:pt idx="0">
                  <c:v>0</c:v>
                </c:pt>
                <c:pt idx="1">
                  <c:v>1.0921385872958433E-2</c:v>
                </c:pt>
                <c:pt idx="2">
                  <c:v>2.2707261392852951E-2</c:v>
                </c:pt>
                <c:pt idx="3">
                  <c:v>3.484341531043178E-2</c:v>
                </c:pt>
                <c:pt idx="4">
                  <c:v>5.8406201272400704E-2</c:v>
                </c:pt>
                <c:pt idx="5">
                  <c:v>8.3706291243360376E-2</c:v>
                </c:pt>
                <c:pt idx="6">
                  <c:v>0.11045360091956091</c:v>
                </c:pt>
                <c:pt idx="7">
                  <c:v>0.13995959311353956</c:v>
                </c:pt>
                <c:pt idx="8">
                  <c:v>0.16617284029674417</c:v>
                </c:pt>
                <c:pt idx="9">
                  <c:v>0.19264543437402937</c:v>
                </c:pt>
                <c:pt idx="10">
                  <c:v>0.21972957483118449</c:v>
                </c:pt>
                <c:pt idx="11">
                  <c:v>0.25065653185964543</c:v>
                </c:pt>
                <c:pt idx="12">
                  <c:v>0.27713424883854221</c:v>
                </c:pt>
                <c:pt idx="13">
                  <c:v>0.30367472136217954</c:v>
                </c:pt>
                <c:pt idx="14">
                  <c:v>0.33227011779471893</c:v>
                </c:pt>
                <c:pt idx="15">
                  <c:v>0.35814525347156634</c:v>
                </c:pt>
                <c:pt idx="16">
                  <c:v>0.3817471015583227</c:v>
                </c:pt>
                <c:pt idx="17">
                  <c:v>0.40160154711628682</c:v>
                </c:pt>
                <c:pt idx="18">
                  <c:v>0.42071765447949727</c:v>
                </c:pt>
                <c:pt idx="19">
                  <c:v>0.44498483941304379</c:v>
                </c:pt>
                <c:pt idx="20">
                  <c:v>0.46780800645485598</c:v>
                </c:pt>
                <c:pt idx="21">
                  <c:v>0.49219365848816765</c:v>
                </c:pt>
                <c:pt idx="22">
                  <c:v>0.5137879695059282</c:v>
                </c:pt>
                <c:pt idx="23">
                  <c:v>0.54040144337752904</c:v>
                </c:pt>
                <c:pt idx="24">
                  <c:v>0.56721342968657451</c:v>
                </c:pt>
                <c:pt idx="25">
                  <c:v>0.59295921209773206</c:v>
                </c:pt>
                <c:pt idx="26">
                  <c:v>0.61589700406310133</c:v>
                </c:pt>
                <c:pt idx="27">
                  <c:v>0.64100754667443627</c:v>
                </c:pt>
                <c:pt idx="28">
                  <c:v>0.66943004517758853</c:v>
                </c:pt>
                <c:pt idx="29">
                  <c:v>0.70038133598870389</c:v>
                </c:pt>
                <c:pt idx="30">
                  <c:v>0.73468108336561833</c:v>
                </c:pt>
                <c:pt idx="31">
                  <c:v>0.77218712678861312</c:v>
                </c:pt>
                <c:pt idx="32">
                  <c:v>0.81339830880210551</c:v>
                </c:pt>
                <c:pt idx="33">
                  <c:v>0.85529019636722214</c:v>
                </c:pt>
                <c:pt idx="34">
                  <c:v>0.90079501029383047</c:v>
                </c:pt>
                <c:pt idx="35">
                  <c:v>0.95716101599946191</c:v>
                </c:pt>
                <c:pt idx="36">
                  <c:v>1.0218056307092338</c:v>
                </c:pt>
                <c:pt idx="37">
                  <c:v>1.0924030570915364</c:v>
                </c:pt>
                <c:pt idx="38">
                  <c:v>1.1667248329453805</c:v>
                </c:pt>
                <c:pt idx="39">
                  <c:v>1.2434370827636774</c:v>
                </c:pt>
                <c:pt idx="40">
                  <c:v>1.3224680859238673</c:v>
                </c:pt>
                <c:pt idx="41">
                  <c:v>1.402484607281564</c:v>
                </c:pt>
                <c:pt idx="42">
                  <c:v>1.4830198224274231</c:v>
                </c:pt>
                <c:pt idx="43">
                  <c:v>1.5634135174162647</c:v>
                </c:pt>
                <c:pt idx="44">
                  <c:v>1.6478306112582164</c:v>
                </c:pt>
                <c:pt idx="45">
                  <c:v>1.7394005564751875</c:v>
                </c:pt>
                <c:pt idx="46">
                  <c:v>1.834580866602844</c:v>
                </c:pt>
                <c:pt idx="47">
                  <c:v>1.9300858406201273</c:v>
                </c:pt>
                <c:pt idx="48">
                  <c:v>2.0228212459537085</c:v>
                </c:pt>
                <c:pt idx="49">
                  <c:v>2.111569112745459</c:v>
                </c:pt>
                <c:pt idx="50">
                  <c:v>2.1985694297249965</c:v>
                </c:pt>
                <c:pt idx="51">
                  <c:v>2.2851451862334824</c:v>
                </c:pt>
                <c:pt idx="52">
                  <c:v>2.3723331294845402</c:v>
                </c:pt>
                <c:pt idx="53">
                  <c:v>2.4620011974782519</c:v>
                </c:pt>
                <c:pt idx="54">
                  <c:v>2.5548275343154363</c:v>
                </c:pt>
                <c:pt idx="55">
                  <c:v>2.6503677282812985</c:v>
                </c:pt>
                <c:pt idx="56">
                  <c:v>2.7484700134155986</c:v>
                </c:pt>
                <c:pt idx="57">
                  <c:v>2.8473829977299143</c:v>
                </c:pt>
                <c:pt idx="58">
                  <c:v>2.9455787758186238</c:v>
                </c:pt>
                <c:pt idx="59">
                  <c:v>3.0389282889828797</c:v>
                </c:pt>
                <c:pt idx="60">
                  <c:v>3.1339850091091597</c:v>
                </c:pt>
                <c:pt idx="61">
                  <c:v>3.2362951175545831</c:v>
                </c:pt>
                <c:pt idx="62">
                  <c:v>3.3417692581077922</c:v>
                </c:pt>
                <c:pt idx="63">
                  <c:v>3.4509274052823518</c:v>
                </c:pt>
                <c:pt idx="64">
                  <c:v>3.5632246104193417</c:v>
                </c:pt>
                <c:pt idx="65">
                  <c:v>3.673945882948102</c:v>
                </c:pt>
                <c:pt idx="66">
                  <c:v>3.7907557240420973</c:v>
                </c:pt>
                <c:pt idx="67">
                  <c:v>3.9185343378489579</c:v>
                </c:pt>
                <c:pt idx="68">
                  <c:v>4.0491292668167249</c:v>
                </c:pt>
                <c:pt idx="69">
                  <c:v>4.1803799271907609</c:v>
                </c:pt>
                <c:pt idx="70">
                  <c:v>4.3134581827146894</c:v>
                </c:pt>
                <c:pt idx="71">
                  <c:v>4.4505457491122975</c:v>
                </c:pt>
                <c:pt idx="72">
                  <c:v>4.5914524386612579</c:v>
                </c:pt>
                <c:pt idx="73">
                  <c:v>4.7360540209974928</c:v>
                </c:pt>
                <c:pt idx="74">
                  <c:v>4.8821309989978321</c:v>
                </c:pt>
                <c:pt idx="75">
                  <c:v>5.0305433797703021</c:v>
                </c:pt>
                <c:pt idx="76">
                  <c:v>5.1830969861329459</c:v>
                </c:pt>
                <c:pt idx="77">
                  <c:v>5.339260317043574</c:v>
                </c:pt>
                <c:pt idx="78">
                  <c:v>5.4986293036375802</c:v>
                </c:pt>
                <c:pt idx="79">
                  <c:v>5.6594506328384391</c:v>
                </c:pt>
                <c:pt idx="80">
                  <c:v>5.8227014981285405</c:v>
                </c:pt>
                <c:pt idx="81">
                  <c:v>5.9901518620146446</c:v>
                </c:pt>
                <c:pt idx="82">
                  <c:v>6.1611389491007698</c:v>
                </c:pt>
                <c:pt idx="83">
                  <c:v>6.3325979834978527</c:v>
                </c:pt>
                <c:pt idx="84">
                  <c:v>6.5074746336324889</c:v>
                </c:pt>
                <c:pt idx="85">
                  <c:v>6.688300893626149</c:v>
                </c:pt>
                <c:pt idx="86">
                  <c:v>6.8728655910707825</c:v>
                </c:pt>
                <c:pt idx="87">
                  <c:v>7.0607531305731559</c:v>
                </c:pt>
                <c:pt idx="88">
                  <c:v>7.2498157356326622</c:v>
                </c:pt>
                <c:pt idx="89">
                  <c:v>7.4406944093134353</c:v>
                </c:pt>
                <c:pt idx="90">
                  <c:v>7.6356470705007311</c:v>
                </c:pt>
                <c:pt idx="91">
                  <c:v>7.8325528379274019</c:v>
                </c:pt>
                <c:pt idx="92">
                  <c:v>8.0306983475440497</c:v>
                </c:pt>
                <c:pt idx="93">
                  <c:v>8.232060399009999</c:v>
                </c:pt>
                <c:pt idx="94">
                  <c:v>8.4386875126071406</c:v>
                </c:pt>
                <c:pt idx="95">
                  <c:v>8.6502005936162245</c:v>
                </c:pt>
                <c:pt idx="96">
                  <c:v>8.8636181132993741</c:v>
                </c:pt>
                <c:pt idx="97">
                  <c:v>9.0765367904381051</c:v>
                </c:pt>
                <c:pt idx="98">
                  <c:v>9.2873211386929544</c:v>
                </c:pt>
                <c:pt idx="99">
                  <c:v>9.4998620018378404</c:v>
                </c:pt>
                <c:pt idx="100">
                  <c:v>9.713223169603264</c:v>
                </c:pt>
                <c:pt idx="101">
                  <c:v>9.9201109108198864</c:v>
                </c:pt>
                <c:pt idx="102">
                  <c:v>10.120243465899085</c:v>
                </c:pt>
                <c:pt idx="103">
                  <c:v>10.318301886188339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1B7-4A19-833B-8F51711296A1}"/>
            </c:ext>
          </c:extLst>
        </c:ser>
        <c:ser>
          <c:idx val="6"/>
          <c:order val="6"/>
          <c:tx>
            <c:strRef>
              <c:f>'вместе-отн'!$H$1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'вместе-отн'!$H$2:$H$105</c:f>
              <c:numCache>
                <c:formatCode>0.00</c:formatCode>
                <c:ptCount val="104"/>
                <c:pt idx="0">
                  <c:v>0</c:v>
                </c:pt>
                <c:pt idx="1">
                  <c:v>2.5175361636412763E-2</c:v>
                </c:pt>
                <c:pt idx="2">
                  <c:v>5.1588738498266062E-2</c:v>
                </c:pt>
                <c:pt idx="3">
                  <c:v>7.7962040878833516E-2</c:v>
                </c:pt>
                <c:pt idx="4">
                  <c:v>0.10506956500581799</c:v>
                </c:pt>
                <c:pt idx="5">
                  <c:v>0.13282543699075</c:v>
                </c:pt>
                <c:pt idx="6">
                  <c:v>0.16118099496349658</c:v>
                </c:pt>
                <c:pt idx="7">
                  <c:v>0.19080033032822441</c:v>
                </c:pt>
                <c:pt idx="8">
                  <c:v>0.22020211850882854</c:v>
                </c:pt>
                <c:pt idx="9">
                  <c:v>0.25005331337242498</c:v>
                </c:pt>
                <c:pt idx="10">
                  <c:v>0.27171643297042092</c:v>
                </c:pt>
                <c:pt idx="11">
                  <c:v>0.29587562025994041</c:v>
                </c:pt>
                <c:pt idx="12">
                  <c:v>0.31961688795890653</c:v>
                </c:pt>
                <c:pt idx="13">
                  <c:v>0.34575546837765625</c:v>
                </c:pt>
                <c:pt idx="14">
                  <c:v>0.37241072335869974</c:v>
                </c:pt>
                <c:pt idx="15">
                  <c:v>0.40053585306405193</c:v>
                </c:pt>
                <c:pt idx="16">
                  <c:v>0.42717107080445249</c:v>
                </c:pt>
                <c:pt idx="17">
                  <c:v>0.45293466857688358</c:v>
                </c:pt>
                <c:pt idx="18">
                  <c:v>0.48130740132732419</c:v>
                </c:pt>
                <c:pt idx="19">
                  <c:v>0.50789825089201512</c:v>
                </c:pt>
                <c:pt idx="20">
                  <c:v>0.53618797221693493</c:v>
                </c:pt>
                <c:pt idx="21">
                  <c:v>0.5675090418048403</c:v>
                </c:pt>
                <c:pt idx="22">
                  <c:v>0.60033433567244288</c:v>
                </c:pt>
                <c:pt idx="23">
                  <c:v>0.63313529860497875</c:v>
                </c:pt>
                <c:pt idx="24">
                  <c:v>0.66635418112806799</c:v>
                </c:pt>
                <c:pt idx="25">
                  <c:v>0.69851681482297812</c:v>
                </c:pt>
                <c:pt idx="26">
                  <c:v>0.72629272404855327</c:v>
                </c:pt>
                <c:pt idx="27">
                  <c:v>0.75851260700244327</c:v>
                </c:pt>
                <c:pt idx="28">
                  <c:v>0.79112894107476905</c:v>
                </c:pt>
                <c:pt idx="29">
                  <c:v>0.82581769832216723</c:v>
                </c:pt>
                <c:pt idx="30">
                  <c:v>0.86640169801302158</c:v>
                </c:pt>
                <c:pt idx="31">
                  <c:v>0.90811923303167763</c:v>
                </c:pt>
                <c:pt idx="32">
                  <c:v>0.95336045994054675</c:v>
                </c:pt>
                <c:pt idx="33">
                  <c:v>1.0023729817847173</c:v>
                </c:pt>
                <c:pt idx="34">
                  <c:v>1.0579090566896476</c:v>
                </c:pt>
                <c:pt idx="35">
                  <c:v>1.1243811712912142</c:v>
                </c:pt>
                <c:pt idx="36">
                  <c:v>1.1995766417298439</c:v>
                </c:pt>
                <c:pt idx="37">
                  <c:v>1.2810666681933136</c:v>
                </c:pt>
                <c:pt idx="38">
                  <c:v>1.3662836214163754</c:v>
                </c:pt>
                <c:pt idx="39">
                  <c:v>1.4543959559123461</c:v>
                </c:pt>
                <c:pt idx="40">
                  <c:v>1.5451904181915244</c:v>
                </c:pt>
                <c:pt idx="41">
                  <c:v>1.6371327281132504</c:v>
                </c:pt>
                <c:pt idx="42">
                  <c:v>1.7281175441785379</c:v>
                </c:pt>
                <c:pt idx="43">
                  <c:v>1.8161797855729009</c:v>
                </c:pt>
                <c:pt idx="44">
                  <c:v>1.9033961691658354</c:v>
                </c:pt>
                <c:pt idx="45">
                  <c:v>1.9938743292891505</c:v>
                </c:pt>
                <c:pt idx="46">
                  <c:v>2.0876214221002183</c:v>
                </c:pt>
                <c:pt idx="47">
                  <c:v>2.1847920205982834</c:v>
                </c:pt>
                <c:pt idx="48">
                  <c:v>2.2853918497092454</c:v>
                </c:pt>
                <c:pt idx="49">
                  <c:v>2.3897386428204426</c:v>
                </c:pt>
                <c:pt idx="50">
                  <c:v>2.4979869729311193</c:v>
                </c:pt>
                <c:pt idx="51">
                  <c:v>2.6103100190496913</c:v>
                </c:pt>
                <c:pt idx="52">
                  <c:v>2.726521721084473</c:v>
                </c:pt>
                <c:pt idx="53">
                  <c:v>2.84679239558093</c:v>
                </c:pt>
                <c:pt idx="54">
                  <c:v>2.971896338766765</c:v>
                </c:pt>
                <c:pt idx="55">
                  <c:v>3.1021970834365016</c:v>
                </c:pt>
                <c:pt idx="56">
                  <c:v>3.2358855530063737</c:v>
                </c:pt>
                <c:pt idx="57">
                  <c:v>3.3702195079712434</c:v>
                </c:pt>
                <c:pt idx="58">
                  <c:v>3.5090446673030877</c:v>
                </c:pt>
                <c:pt idx="59">
                  <c:v>3.6541744012800939</c:v>
                </c:pt>
                <c:pt idx="60">
                  <c:v>3.802485762824908</c:v>
                </c:pt>
                <c:pt idx="61">
                  <c:v>3.9541318937053012</c:v>
                </c:pt>
                <c:pt idx="62">
                  <c:v>4.1095536132154189</c:v>
                </c:pt>
                <c:pt idx="63">
                  <c:v>4.2691230415386316</c:v>
                </c:pt>
                <c:pt idx="64">
                  <c:v>4.4329561084243725</c:v>
                </c:pt>
                <c:pt idx="65">
                  <c:v>4.6008710474753798</c:v>
                </c:pt>
                <c:pt idx="66">
                  <c:v>4.7727920034235058</c:v>
                </c:pt>
                <c:pt idx="67">
                  <c:v>4.9481378962901044</c:v>
                </c:pt>
                <c:pt idx="68">
                  <c:v>5.1262575157542809</c:v>
                </c:pt>
                <c:pt idx="69">
                  <c:v>5.30812982414459</c:v>
                </c:pt>
                <c:pt idx="70">
                  <c:v>5.4941899158292777</c:v>
                </c:pt>
                <c:pt idx="71">
                  <c:v>5.6839311348663726</c:v>
                </c:pt>
                <c:pt idx="72">
                  <c:v>5.8769198181191049</c:v>
                </c:pt>
                <c:pt idx="73">
                  <c:v>6.0732919325775478</c:v>
                </c:pt>
                <c:pt idx="74">
                  <c:v>6.2738446741729996</c:v>
                </c:pt>
                <c:pt idx="75">
                  <c:v>6.4789000699872199</c:v>
                </c:pt>
                <c:pt idx="76">
                  <c:v>6.6872115174059212</c:v>
                </c:pt>
                <c:pt idx="77">
                  <c:v>6.8976011129255959</c:v>
                </c:pt>
                <c:pt idx="78">
                  <c:v>7.10903550742165</c:v>
                </c:pt>
                <c:pt idx="79">
                  <c:v>7.3205557758061772</c:v>
                </c:pt>
                <c:pt idx="80">
                  <c:v>7.5323465469393849</c:v>
                </c:pt>
                <c:pt idx="81">
                  <c:v>7.7399681407873775</c:v>
                </c:pt>
                <c:pt idx="82">
                  <c:v>7.9500757837065752</c:v>
                </c:pt>
                <c:pt idx="83">
                  <c:v>8.1694678252008384</c:v>
                </c:pt>
                <c:pt idx="84">
                  <c:v>8.3918124972269901</c:v>
                </c:pt>
                <c:pt idx="85">
                  <c:v>8.6148327105091038</c:v>
                </c:pt>
                <c:pt idx="86">
                  <c:v>8.838192125650675</c:v>
                </c:pt>
                <c:pt idx="87">
                  <c:v>9.0625605589817653</c:v>
                </c:pt>
                <c:pt idx="88">
                  <c:v>9.2886092580639161</c:v>
                </c:pt>
                <c:pt idx="89">
                  <c:v>9.516225155610643</c:v>
                </c:pt>
                <c:pt idx="90">
                  <c:v>9.7455098690566331</c:v>
                </c:pt>
                <c:pt idx="91">
                  <c:v>9.9762258139771216</c:v>
                </c:pt>
                <c:pt idx="92">
                  <c:v>10.20778189177314</c:v>
                </c:pt>
                <c:pt idx="93">
                  <c:v>10.43922776474562</c:v>
                </c:pt>
                <c:pt idx="94">
                  <c:v>10.671433621631062</c:v>
                </c:pt>
                <c:pt idx="95">
                  <c:v>10.905468592340908</c:v>
                </c:pt>
                <c:pt idx="96">
                  <c:v>11.139995906677983</c:v>
                </c:pt>
                <c:pt idx="97">
                  <c:v>11.373681656908053</c:v>
                </c:pt>
                <c:pt idx="98">
                  <c:v>11.605834558228937</c:v>
                </c:pt>
                <c:pt idx="99">
                  <c:v>11.837110114655953</c:v>
                </c:pt>
                <c:pt idx="100">
                  <c:v>12.068158105278526</c:v>
                </c:pt>
                <c:pt idx="101">
                  <c:v>12.299135965558849</c:v>
                </c:pt>
                <c:pt idx="102">
                  <c:v>12.529554214332638</c:v>
                </c:pt>
                <c:pt idx="103">
                  <c:v>12.75634715378153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1B7-4A19-833B-8F51711296A1}"/>
            </c:ext>
          </c:extLst>
        </c:ser>
        <c:ser>
          <c:idx val="7"/>
          <c:order val="7"/>
          <c:tx>
            <c:strRef>
              <c:f>'вместе-отн'!$I$1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'вместе-отн'!$I$2:$I$105</c:f>
              <c:numCache>
                <c:formatCode>0.00</c:formatCode>
                <c:ptCount val="104"/>
                <c:pt idx="0">
                  <c:v>0</c:v>
                </c:pt>
                <c:pt idx="1">
                  <c:v>2.8752460509435585E-2</c:v>
                </c:pt>
                <c:pt idx="2">
                  <c:v>5.7410662697207959E-2</c:v>
                </c:pt>
                <c:pt idx="3">
                  <c:v>8.5602469812854354E-2</c:v>
                </c:pt>
                <c:pt idx="4">
                  <c:v>0.12526074055213354</c:v>
                </c:pt>
                <c:pt idx="5">
                  <c:v>0.16595218042756565</c:v>
                </c:pt>
                <c:pt idx="6">
                  <c:v>0.20771473759462555</c:v>
                </c:pt>
                <c:pt idx="7">
                  <c:v>0.25058513607474064</c:v>
                </c:pt>
                <c:pt idx="8">
                  <c:v>0.29460377229148094</c:v>
                </c:pt>
                <c:pt idx="9">
                  <c:v>0.33980981853436898</c:v>
                </c:pt>
                <c:pt idx="10">
                  <c:v>0.38623999882483129</c:v>
                </c:pt>
                <c:pt idx="11">
                  <c:v>0.43454677661022578</c:v>
                </c:pt>
                <c:pt idx="12">
                  <c:v>0.48354274186440516</c:v>
                </c:pt>
                <c:pt idx="13">
                  <c:v>0.53449364919256137</c:v>
                </c:pt>
                <c:pt idx="14">
                  <c:v>0.58687801749042734</c:v>
                </c:pt>
                <c:pt idx="15">
                  <c:v>0.64075705346038192</c:v>
                </c:pt>
                <c:pt idx="16">
                  <c:v>0.6961209640300452</c:v>
                </c:pt>
                <c:pt idx="17">
                  <c:v>0.7529599561270357</c:v>
                </c:pt>
                <c:pt idx="18">
                  <c:v>0.81003643022925576</c:v>
                </c:pt>
                <c:pt idx="19">
                  <c:v>0.86183199005023869</c:v>
                </c:pt>
                <c:pt idx="20">
                  <c:v>0.91568164680305175</c:v>
                </c:pt>
                <c:pt idx="21">
                  <c:v>0.97034902509964449</c:v>
                </c:pt>
                <c:pt idx="22">
                  <c:v>1.025824331867637</c:v>
                </c:pt>
                <c:pt idx="23">
                  <c:v>1.1353476051041493</c:v>
                </c:pt>
                <c:pt idx="24">
                  <c:v>1.1950290364596086</c:v>
                </c:pt>
                <c:pt idx="25">
                  <c:v>1.2564450657604809</c:v>
                </c:pt>
                <c:pt idx="26">
                  <c:v>1.320194294556031</c:v>
                </c:pt>
                <c:pt idx="27">
                  <c:v>1.3850391233241606</c:v>
                </c:pt>
                <c:pt idx="28">
                  <c:v>1.4528010635276605</c:v>
                </c:pt>
                <c:pt idx="29">
                  <c:v>1.5216304486206456</c:v>
                </c:pt>
                <c:pt idx="30">
                  <c:v>1.5927367230421199</c:v>
                </c:pt>
                <c:pt idx="31">
                  <c:v>1.6654931301597253</c:v>
                </c:pt>
                <c:pt idx="32">
                  <c:v>1.7411127868146075</c:v>
                </c:pt>
                <c:pt idx="33">
                  <c:v>1.8201906221538882</c:v>
                </c:pt>
                <c:pt idx="34">
                  <c:v>1.9087236688766369</c:v>
                </c:pt>
                <c:pt idx="35">
                  <c:v>2.0072725803766414</c:v>
                </c:pt>
                <c:pt idx="36">
                  <c:v>2.1149229285203646</c:v>
                </c:pt>
                <c:pt idx="37">
                  <c:v>2.230396717362138</c:v>
                </c:pt>
                <c:pt idx="38">
                  <c:v>2.352412278554151</c:v>
                </c:pt>
                <c:pt idx="39">
                  <c:v>2.4802706315552379</c:v>
                </c:pt>
                <c:pt idx="40">
                  <c:v>2.6130548999637653</c:v>
                </c:pt>
                <c:pt idx="41">
                  <c:v>2.7483327294272031</c:v>
                </c:pt>
                <c:pt idx="42">
                  <c:v>2.8837305240273032</c:v>
                </c:pt>
                <c:pt idx="43">
                  <c:v>3.0164486891972615</c:v>
                </c:pt>
                <c:pt idx="44">
                  <c:v>3.1488742863298507</c:v>
                </c:pt>
                <c:pt idx="45">
                  <c:v>3.2846393211442226</c:v>
                </c:pt>
                <c:pt idx="46">
                  <c:v>3.4231207094101634</c:v>
                </c:pt>
                <c:pt idx="47">
                  <c:v>3.5638814352726884</c:v>
                </c:pt>
                <c:pt idx="48">
                  <c:v>3.7052579005611435</c:v>
                </c:pt>
                <c:pt idx="49">
                  <c:v>3.8488684104864221</c:v>
                </c:pt>
                <c:pt idx="50">
                  <c:v>3.9962810807634677</c:v>
                </c:pt>
                <c:pt idx="51">
                  <c:v>4.1453291941280739</c:v>
                </c:pt>
                <c:pt idx="52">
                  <c:v>4.2959295094650036</c:v>
                </c:pt>
                <c:pt idx="53">
                  <c:v>4.4484260084416292</c:v>
                </c:pt>
                <c:pt idx="54">
                  <c:v>4.6029925180927016</c:v>
                </c:pt>
                <c:pt idx="55">
                  <c:v>4.7599424167344013</c:v>
                </c:pt>
                <c:pt idx="56">
                  <c:v>4.9189953776698365</c:v>
                </c:pt>
                <c:pt idx="57">
                  <c:v>5.0794426272854585</c:v>
                </c:pt>
                <c:pt idx="58">
                  <c:v>5.2404566509651076</c:v>
                </c:pt>
                <c:pt idx="59">
                  <c:v>5.4022173964137776</c:v>
                </c:pt>
                <c:pt idx="60">
                  <c:v>5.5650786383712161</c:v>
                </c:pt>
                <c:pt idx="61">
                  <c:v>5.7291982901295633</c:v>
                </c:pt>
                <c:pt idx="62">
                  <c:v>5.8945543172759596</c:v>
                </c:pt>
                <c:pt idx="63">
                  <c:v>6.0613670639389694</c:v>
                </c:pt>
                <c:pt idx="64">
                  <c:v>6.2289032738240966</c:v>
                </c:pt>
                <c:pt idx="65">
                  <c:v>6.3964309147708907</c:v>
                </c:pt>
                <c:pt idx="66">
                  <c:v>6.565335706521207</c:v>
                </c:pt>
                <c:pt idx="67">
                  <c:v>6.7356568213645662</c:v>
                </c:pt>
                <c:pt idx="68">
                  <c:v>6.9060232291676877</c:v>
                </c:pt>
                <c:pt idx="69">
                  <c:v>7.0763112923917628</c:v>
                </c:pt>
                <c:pt idx="70">
                  <c:v>7.2472554914653387</c:v>
                </c:pt>
                <c:pt idx="71">
                  <c:v>7.419718840891953</c:v>
                </c:pt>
                <c:pt idx="72">
                  <c:v>7.5946292342796706</c:v>
                </c:pt>
                <c:pt idx="73">
                  <c:v>7.7713231909747034</c:v>
                </c:pt>
                <c:pt idx="74">
                  <c:v>7.94878345558352</c:v>
                </c:pt>
                <c:pt idx="75">
                  <c:v>8.1264567195166144</c:v>
                </c:pt>
                <c:pt idx="76">
                  <c:v>8.3039463633425719</c:v>
                </c:pt>
                <c:pt idx="77">
                  <c:v>8.4807970091956957</c:v>
                </c:pt>
                <c:pt idx="78">
                  <c:v>8.6558163505136463</c:v>
                </c:pt>
                <c:pt idx="79">
                  <c:v>8.8280973039671746</c:v>
                </c:pt>
                <c:pt idx="80">
                  <c:v>8.9969445614172532</c:v>
                </c:pt>
                <c:pt idx="81">
                  <c:v>9.1621341063331787</c:v>
                </c:pt>
                <c:pt idx="82">
                  <c:v>9.3269294800857878</c:v>
                </c:pt>
                <c:pt idx="83">
                  <c:v>9.4935549342395191</c:v>
                </c:pt>
                <c:pt idx="84">
                  <c:v>9.6596882865061247</c:v>
                </c:pt>
                <c:pt idx="85">
                  <c:v>9.8235435253101961</c:v>
                </c:pt>
                <c:pt idx="86">
                  <c:v>9.9852650984693412</c:v>
                </c:pt>
                <c:pt idx="87">
                  <c:v>10.144201766670259</c:v>
                </c:pt>
                <c:pt idx="88">
                  <c:v>10.300009548245571</c:v>
                </c:pt>
                <c:pt idx="89">
                  <c:v>10.453192786422884</c:v>
                </c:pt>
                <c:pt idx="90">
                  <c:v>10.605292665968094</c:v>
                </c:pt>
                <c:pt idx="91">
                  <c:v>10.758647282912067</c:v>
                </c:pt>
                <c:pt idx="92">
                  <c:v>10.913940928187401</c:v>
                </c:pt>
                <c:pt idx="93">
                  <c:v>11.069409624631536</c:v>
                </c:pt>
                <c:pt idx="94">
                  <c:v>11.223869634620469</c:v>
                </c:pt>
                <c:pt idx="95">
                  <c:v>11.377003907435881</c:v>
                </c:pt>
                <c:pt idx="96">
                  <c:v>11.528144065887791</c:v>
                </c:pt>
                <c:pt idx="97">
                  <c:v>11.676921645627882</c:v>
                </c:pt>
                <c:pt idx="98">
                  <c:v>11.82272825203451</c:v>
                </c:pt>
                <c:pt idx="99">
                  <c:v>11.965499006003153</c:v>
                </c:pt>
                <c:pt idx="100">
                  <c:v>12.106333179908532</c:v>
                </c:pt>
                <c:pt idx="101">
                  <c:v>12.245815909825389</c:v>
                </c:pt>
                <c:pt idx="102">
                  <c:v>12.381840461057848</c:v>
                </c:pt>
                <c:pt idx="103">
                  <c:v>12.517866236424355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1B7-4A19-833B-8F51711296A1}"/>
            </c:ext>
          </c:extLst>
        </c:ser>
        <c:ser>
          <c:idx val="8"/>
          <c:order val="8"/>
          <c:tx>
            <c:strRef>
              <c:f>'вместе-отн'!$J$1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'вместе-отн'!$J$2:$J$105</c:f>
              <c:numCache>
                <c:formatCode>0.00</c:formatCode>
                <c:ptCount val="104"/>
                <c:pt idx="0">
                  <c:v>0</c:v>
                </c:pt>
                <c:pt idx="1">
                  <c:v>2.3701052393358069E-2</c:v>
                </c:pt>
                <c:pt idx="2">
                  <c:v>5.032889372492888E-2</c:v>
                </c:pt>
                <c:pt idx="3">
                  <c:v>6.6802744514920187E-2</c:v>
                </c:pt>
                <c:pt idx="4">
                  <c:v>8.8552137183006252E-2</c:v>
                </c:pt>
                <c:pt idx="5">
                  <c:v>0.11054448013281504</c:v>
                </c:pt>
                <c:pt idx="6">
                  <c:v>0.13275139705170114</c:v>
                </c:pt>
                <c:pt idx="7">
                  <c:v>0.15523279348858199</c:v>
                </c:pt>
                <c:pt idx="8">
                  <c:v>0.17813545555454935</c:v>
                </c:pt>
                <c:pt idx="9">
                  <c:v>0.20151928879852066</c:v>
                </c:pt>
                <c:pt idx="10">
                  <c:v>0.22535591690785073</c:v>
                </c:pt>
                <c:pt idx="11">
                  <c:v>0.24979265148090191</c:v>
                </c:pt>
                <c:pt idx="12">
                  <c:v>0.27488904774174472</c:v>
                </c:pt>
                <c:pt idx="13">
                  <c:v>0.30070466091444947</c:v>
                </c:pt>
                <c:pt idx="14">
                  <c:v>0.3271053165824338</c:v>
                </c:pt>
                <c:pt idx="15">
                  <c:v>0.35397750949511719</c:v>
                </c:pt>
                <c:pt idx="16">
                  <c:v>0.38132264095188861</c:v>
                </c:pt>
                <c:pt idx="17">
                  <c:v>0.40940555653743838</c:v>
                </c:pt>
                <c:pt idx="18">
                  <c:v>0.4382281830384267</c:v>
                </c:pt>
                <c:pt idx="19">
                  <c:v>0.46788002845338417</c:v>
                </c:pt>
                <c:pt idx="20">
                  <c:v>0.4985378316678597</c:v>
                </c:pt>
                <c:pt idx="21">
                  <c:v>0.53020386979336265</c:v>
                </c:pt>
                <c:pt idx="22">
                  <c:v>0.56471892474093899</c:v>
                </c:pt>
                <c:pt idx="23">
                  <c:v>0.60077120511922688</c:v>
                </c:pt>
                <c:pt idx="24">
                  <c:v>0.63960961900946711</c:v>
                </c:pt>
                <c:pt idx="25">
                  <c:v>0.68056924985115574</c:v>
                </c:pt>
                <c:pt idx="26">
                  <c:v>0.72367181778483647</c:v>
                </c:pt>
                <c:pt idx="27">
                  <c:v>0.76867594899060032</c:v>
                </c:pt>
                <c:pt idx="28">
                  <c:v>0.81551560723469829</c:v>
                </c:pt>
                <c:pt idx="29">
                  <c:v>0.86412510660823005</c:v>
                </c:pt>
                <c:pt idx="30">
                  <c:v>0.91443806055259902</c:v>
                </c:pt>
                <c:pt idx="31">
                  <c:v>0.9661260395232989</c:v>
                </c:pt>
                <c:pt idx="32">
                  <c:v>1.0192104133360265</c:v>
                </c:pt>
                <c:pt idx="33">
                  <c:v>1.073800483343192</c:v>
                </c:pt>
                <c:pt idx="34">
                  <c:v>1.1300461885795152</c:v>
                </c:pt>
                <c:pt idx="35">
                  <c:v>1.1898860515884868</c:v>
                </c:pt>
                <c:pt idx="36">
                  <c:v>1.2527528964420482</c:v>
                </c:pt>
                <c:pt idx="37">
                  <c:v>1.3183687403737299</c:v>
                </c:pt>
                <c:pt idx="38">
                  <c:v>1.3865778639888302</c:v>
                </c:pt>
                <c:pt idx="39">
                  <c:v>1.4573624007201276</c:v>
                </c:pt>
                <c:pt idx="40">
                  <c:v>1.5312275189976785</c:v>
                </c:pt>
                <c:pt idx="41">
                  <c:v>1.6075026970634196</c:v>
                </c:pt>
                <c:pt idx="42">
                  <c:v>1.6864629399226168</c:v>
                </c:pt>
                <c:pt idx="43">
                  <c:v>1.7685062166019994</c:v>
                </c:pt>
                <c:pt idx="44">
                  <c:v>1.8534620940632727</c:v>
                </c:pt>
                <c:pt idx="45">
                  <c:v>1.9413967837026078</c:v>
                </c:pt>
                <c:pt idx="46">
                  <c:v>2.0315735523657699</c:v>
                </c:pt>
                <c:pt idx="47">
                  <c:v>2.123395971999936</c:v>
                </c:pt>
                <c:pt idx="48">
                  <c:v>2.2163989863700864</c:v>
                </c:pt>
                <c:pt idx="49">
                  <c:v>2.3105899522980176</c:v>
                </c:pt>
                <c:pt idx="50">
                  <c:v>2.4060429634889693</c:v>
                </c:pt>
                <c:pt idx="51">
                  <c:v>2.5018916665951423</c:v>
                </c:pt>
                <c:pt idx="52">
                  <c:v>2.5969726327980776</c:v>
                </c:pt>
                <c:pt idx="53">
                  <c:v>2.6905864385397966</c:v>
                </c:pt>
                <c:pt idx="54">
                  <c:v>2.7815298931316539</c:v>
                </c:pt>
                <c:pt idx="55">
                  <c:v>2.8708422352336762</c:v>
                </c:pt>
                <c:pt idx="56">
                  <c:v>2.9604336110767107</c:v>
                </c:pt>
                <c:pt idx="57">
                  <c:v>3.0508920409172422</c:v>
                </c:pt>
                <c:pt idx="58">
                  <c:v>3.1431288948459679</c:v>
                </c:pt>
                <c:pt idx="59">
                  <c:v>3.2373773140488851</c:v>
                </c:pt>
                <c:pt idx="60">
                  <c:v>3.3346455334370182</c:v>
                </c:pt>
                <c:pt idx="61">
                  <c:v>3.4348146177246504</c:v>
                </c:pt>
                <c:pt idx="62">
                  <c:v>3.5364347475305165</c:v>
                </c:pt>
                <c:pt idx="63">
                  <c:v>3.6405689836042718</c:v>
                </c:pt>
                <c:pt idx="64">
                  <c:v>3.7470384851112817</c:v>
                </c:pt>
                <c:pt idx="65">
                  <c:v>3.8557110044216252</c:v>
                </c:pt>
                <c:pt idx="66">
                  <c:v>3.9671605487978869</c:v>
                </c:pt>
                <c:pt idx="67">
                  <c:v>4.0794205697087769</c:v>
                </c:pt>
                <c:pt idx="68">
                  <c:v>4.189386313193566</c:v>
                </c:pt>
                <c:pt idx="69">
                  <c:v>4.2983219264643617</c:v>
                </c:pt>
                <c:pt idx="70">
                  <c:v>4.408547786148401</c:v>
                </c:pt>
                <c:pt idx="71">
                  <c:v>4.5200201016397479</c:v>
                </c:pt>
                <c:pt idx="72">
                  <c:v>4.6329926832903983</c:v>
                </c:pt>
                <c:pt idx="73">
                  <c:v>4.7476319354029011</c:v>
                </c:pt>
                <c:pt idx="74">
                  <c:v>4.8618422147396725</c:v>
                </c:pt>
                <c:pt idx="75">
                  <c:v>4.9765243816459908</c:v>
                </c:pt>
                <c:pt idx="76">
                  <c:v>5.09303209133249</c:v>
                </c:pt>
                <c:pt idx="77">
                  <c:v>5.2102227593091381</c:v>
                </c:pt>
                <c:pt idx="78">
                  <c:v>5.3269630846943601</c:v>
                </c:pt>
                <c:pt idx="79">
                  <c:v>5.4424890089958167</c:v>
                </c:pt>
                <c:pt idx="80">
                  <c:v>5.5584908496025651</c:v>
                </c:pt>
                <c:pt idx="81">
                  <c:v>5.6757904686067766</c:v>
                </c:pt>
                <c:pt idx="82">
                  <c:v>5.7922845156242255</c:v>
                </c:pt>
                <c:pt idx="83">
                  <c:v>5.9060274616144692</c:v>
                </c:pt>
                <c:pt idx="84">
                  <c:v>6.0180599465369244</c:v>
                </c:pt>
                <c:pt idx="85">
                  <c:v>6.1295692212996808</c:v>
                </c:pt>
                <c:pt idx="86">
                  <c:v>6.2406990942526228</c:v>
                </c:pt>
                <c:pt idx="87">
                  <c:v>6.3511122025676361</c:v>
                </c:pt>
                <c:pt idx="88">
                  <c:v>6.4596913603061283</c:v>
                </c:pt>
                <c:pt idx="89">
                  <c:v>6.5663132531217876</c:v>
                </c:pt>
                <c:pt idx="90">
                  <c:v>6.671475167135605</c:v>
                </c:pt>
                <c:pt idx="91">
                  <c:v>6.7746048467092326</c:v>
                </c:pt>
                <c:pt idx="92">
                  <c:v>6.8762948663221692</c:v>
                </c:pt>
                <c:pt idx="93">
                  <c:v>6.9765772806979589</c:v>
                </c:pt>
                <c:pt idx="94">
                  <c:v>7.0740634021412205</c:v>
                </c:pt>
                <c:pt idx="95">
                  <c:v>7.1687416699319861</c:v>
                </c:pt>
                <c:pt idx="96">
                  <c:v>7.261036677785393</c:v>
                </c:pt>
                <c:pt idx="97">
                  <c:v>7.3507336765699414</c:v>
                </c:pt>
                <c:pt idx="98">
                  <c:v>7.4388703284838442</c:v>
                </c:pt>
                <c:pt idx="99">
                  <c:v>7.5319204615459796</c:v>
                </c:pt>
                <c:pt idx="100">
                  <c:v>7.6442225214385662</c:v>
                </c:pt>
                <c:pt idx="101">
                  <c:v>7.7733151257832596</c:v>
                </c:pt>
                <c:pt idx="102">
                  <c:v>7.9006653894990482</c:v>
                </c:pt>
                <c:pt idx="103">
                  <c:v>8.012828895914458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1B7-4A19-833B-8F51711296A1}"/>
            </c:ext>
          </c:extLst>
        </c:ser>
        <c:ser>
          <c:idx val="9"/>
          <c:order val="9"/>
          <c:tx>
            <c:strRef>
              <c:f>'вместе-отн'!$K$1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'вместе-отн'!$K$2:$K$105</c:f>
              <c:numCache>
                <c:formatCode>0.00</c:formatCode>
                <c:ptCount val="104"/>
                <c:pt idx="0">
                  <c:v>0</c:v>
                </c:pt>
                <c:pt idx="1">
                  <c:v>1.7885620292267923E-2</c:v>
                </c:pt>
                <c:pt idx="2">
                  <c:v>3.4991424530856685E-2</c:v>
                </c:pt>
                <c:pt idx="3">
                  <c:v>5.3922650271305717E-2</c:v>
                </c:pt>
                <c:pt idx="4">
                  <c:v>7.0978305567535704E-2</c:v>
                </c:pt>
                <c:pt idx="5">
                  <c:v>9.1133165501539493E-2</c:v>
                </c:pt>
                <c:pt idx="6">
                  <c:v>0.11433958857807669</c:v>
                </c:pt>
                <c:pt idx="7">
                  <c:v>0.1380349638426126</c:v>
                </c:pt>
                <c:pt idx="8">
                  <c:v>0.16343038825311162</c:v>
                </c:pt>
                <c:pt idx="9">
                  <c:v>0.19047571286721565</c:v>
                </c:pt>
                <c:pt idx="10">
                  <c:v>0.21284966350059675</c:v>
                </c:pt>
                <c:pt idx="11">
                  <c:v>0.2367757238999828</c:v>
                </c:pt>
                <c:pt idx="12">
                  <c:v>0.26471119224095552</c:v>
                </c:pt>
                <c:pt idx="13">
                  <c:v>0.29284474890424561</c:v>
                </c:pt>
                <c:pt idx="14">
                  <c:v>0.3198499543644624</c:v>
                </c:pt>
                <c:pt idx="15">
                  <c:v>0.34825933021072575</c:v>
                </c:pt>
                <c:pt idx="16">
                  <c:v>0.37692195821590135</c:v>
                </c:pt>
                <c:pt idx="17">
                  <c:v>0.40845059827688224</c:v>
                </c:pt>
                <c:pt idx="18">
                  <c:v>0.43918688504859427</c:v>
                </c:pt>
                <c:pt idx="19">
                  <c:v>0.47173856353369503</c:v>
                </c:pt>
                <c:pt idx="20">
                  <c:v>0.50621345395825612</c:v>
                </c:pt>
                <c:pt idx="21">
                  <c:v>0.54271185420699464</c:v>
                </c:pt>
                <c:pt idx="22">
                  <c:v>0.58133907705886489</c:v>
                </c:pt>
                <c:pt idx="23">
                  <c:v>0.61969048072776145</c:v>
                </c:pt>
                <c:pt idx="24">
                  <c:v>0.65908247495060324</c:v>
                </c:pt>
                <c:pt idx="25">
                  <c:v>0.69953511930433376</c:v>
                </c:pt>
                <c:pt idx="26">
                  <c:v>0.7410709808130147</c:v>
                </c:pt>
                <c:pt idx="27">
                  <c:v>0.78623261085423701</c:v>
                </c:pt>
                <c:pt idx="28">
                  <c:v>0.83504508389918053</c:v>
                </c:pt>
                <c:pt idx="29">
                  <c:v>0.8800161479594395</c:v>
                </c:pt>
                <c:pt idx="30">
                  <c:v>0.92995195731322022</c:v>
                </c:pt>
                <c:pt idx="31">
                  <c:v>0.98488009387882025</c:v>
                </c:pt>
                <c:pt idx="32">
                  <c:v>1.0473355866924763</c:v>
                </c:pt>
                <c:pt idx="33">
                  <c:v>1.1173510325667229</c:v>
                </c:pt>
                <c:pt idx="34">
                  <c:v>1.191543885339458</c:v>
                </c:pt>
                <c:pt idx="35">
                  <c:v>1.2802272750067698</c:v>
                </c:pt>
                <c:pt idx="36">
                  <c:v>1.381332557696358</c:v>
                </c:pt>
                <c:pt idx="37">
                  <c:v>1.4930443416948336</c:v>
                </c:pt>
                <c:pt idx="38">
                  <c:v>1.6125467638887496</c:v>
                </c:pt>
                <c:pt idx="39">
                  <c:v>1.7389170837387042</c:v>
                </c:pt>
                <c:pt idx="40">
                  <c:v>1.8710269500416237</c:v>
                </c:pt>
                <c:pt idx="41">
                  <c:v>2.0056242038855401</c:v>
                </c:pt>
                <c:pt idx="42">
                  <c:v>2.1385765724200874</c:v>
                </c:pt>
                <c:pt idx="43">
                  <c:v>2.2648716688565034</c:v>
                </c:pt>
                <c:pt idx="44">
                  <c:v>2.3887846905308767</c:v>
                </c:pt>
                <c:pt idx="45">
                  <c:v>2.5168801339979741</c:v>
                </c:pt>
                <c:pt idx="46">
                  <c:v>2.6473451149915248</c:v>
                </c:pt>
                <c:pt idx="47">
                  <c:v>2.7782388694422435</c:v>
                </c:pt>
                <c:pt idx="48">
                  <c:v>2.9077485130838592</c:v>
                </c:pt>
                <c:pt idx="49">
                  <c:v>3.0359643140126167</c:v>
                </c:pt>
                <c:pt idx="50">
                  <c:v>3.1635206563493572</c:v>
                </c:pt>
                <c:pt idx="51">
                  <c:v>3.289208950583232</c:v>
                </c:pt>
                <c:pt idx="52">
                  <c:v>3.4134504478300549</c:v>
                </c:pt>
                <c:pt idx="53">
                  <c:v>3.5366663992056404</c:v>
                </c:pt>
                <c:pt idx="54">
                  <c:v>3.6573749034632854</c:v>
                </c:pt>
                <c:pt idx="55">
                  <c:v>3.7759445553293283</c:v>
                </c:pt>
                <c:pt idx="56">
                  <c:v>3.895015696618958</c:v>
                </c:pt>
                <c:pt idx="57">
                  <c:v>4.0178605458210885</c:v>
                </c:pt>
                <c:pt idx="58">
                  <c:v>4.1474955618186007</c:v>
                </c:pt>
                <c:pt idx="59">
                  <c:v>4.2852070649829992</c:v>
                </c:pt>
                <c:pt idx="60">
                  <c:v>4.4300597775392916</c:v>
                </c:pt>
                <c:pt idx="61">
                  <c:v>4.5814243302608739</c:v>
                </c:pt>
                <c:pt idx="62">
                  <c:v>4.738666339026909</c:v>
                </c:pt>
                <c:pt idx="63">
                  <c:v>4.9004067079225289</c:v>
                </c:pt>
                <c:pt idx="64">
                  <c:v>5.0671845380780924</c:v>
                </c:pt>
                <c:pt idx="65">
                  <c:v>5.2401833445332633</c:v>
                </c:pt>
                <c:pt idx="66">
                  <c:v>5.4185355505852382</c:v>
                </c:pt>
                <c:pt idx="67">
                  <c:v>5.6011178199251779</c:v>
                </c:pt>
                <c:pt idx="68">
                  <c:v>5.7869372034943778</c:v>
                </c:pt>
                <c:pt idx="69">
                  <c:v>5.974760037310813</c:v>
                </c:pt>
                <c:pt idx="70">
                  <c:v>6.1642152192010276</c:v>
                </c:pt>
                <c:pt idx="71">
                  <c:v>6.3551874065975946</c:v>
                </c:pt>
                <c:pt idx="72">
                  <c:v>6.5484338485301343</c:v>
                </c:pt>
                <c:pt idx="73">
                  <c:v>6.7465873644724823</c:v>
                </c:pt>
                <c:pt idx="74">
                  <c:v>6.9507938577575397</c:v>
                </c:pt>
                <c:pt idx="75">
                  <c:v>7.1597344112012671</c:v>
                </c:pt>
                <c:pt idx="76">
                  <c:v>7.3718594224847784</c:v>
                </c:pt>
                <c:pt idx="77">
                  <c:v>7.585862511659629</c:v>
                </c:pt>
                <c:pt idx="78">
                  <c:v>7.8006930583833984</c:v>
                </c:pt>
                <c:pt idx="79">
                  <c:v>8.0183871097158566</c:v>
                </c:pt>
                <c:pt idx="80">
                  <c:v>8.2384883102815358</c:v>
                </c:pt>
                <c:pt idx="81">
                  <c:v>8.4560344222340351</c:v>
                </c:pt>
                <c:pt idx="82">
                  <c:v>8.6664368173475221</c:v>
                </c:pt>
                <c:pt idx="83">
                  <c:v>8.8629780447930351</c:v>
                </c:pt>
                <c:pt idx="84">
                  <c:v>9.0443843214346611</c:v>
                </c:pt>
                <c:pt idx="85">
                  <c:v>9.2143365796415342</c:v>
                </c:pt>
                <c:pt idx="86">
                  <c:v>9.375482683570203</c:v>
                </c:pt>
                <c:pt idx="87">
                  <c:v>9.531974965647974</c:v>
                </c:pt>
                <c:pt idx="88">
                  <c:v>9.6875896412344655</c:v>
                </c:pt>
                <c:pt idx="89">
                  <c:v>9.8416822964203678</c:v>
                </c:pt>
                <c:pt idx="90">
                  <c:v>9.9929064321033465</c:v>
                </c:pt>
                <c:pt idx="91">
                  <c:v>10.143634093256972</c:v>
                </c:pt>
                <c:pt idx="92">
                  <c:v>10.291967142412966</c:v>
                </c:pt>
                <c:pt idx="93">
                  <c:v>10.433382144970563</c:v>
                </c:pt>
                <c:pt idx="94">
                  <c:v>10.568536052074663</c:v>
                </c:pt>
                <c:pt idx="95">
                  <c:v>10.701237675897415</c:v>
                </c:pt>
                <c:pt idx="96">
                  <c:v>10.830040219451773</c:v>
                </c:pt>
                <c:pt idx="97">
                  <c:v>10.957140206413046</c:v>
                </c:pt>
                <c:pt idx="98">
                  <c:v>11.085233142433026</c:v>
                </c:pt>
                <c:pt idx="99">
                  <c:v>11.21231056237024</c:v>
                </c:pt>
                <c:pt idx="100">
                  <c:v>11.336376538318808</c:v>
                </c:pt>
                <c:pt idx="101">
                  <c:v>11.458551899140447</c:v>
                </c:pt>
                <c:pt idx="102">
                  <c:v>11.576958566943821</c:v>
                </c:pt>
                <c:pt idx="103">
                  <c:v>11.6858193835692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1B7-4A19-833B-8F51711296A1}"/>
            </c:ext>
          </c:extLst>
        </c:ser>
        <c:ser>
          <c:idx val="10"/>
          <c:order val="10"/>
          <c:tx>
            <c:strRef>
              <c:f>'вместе-отн'!$L$1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'вместе-отн'!$L$2:$L$105</c:f>
              <c:numCache>
                <c:formatCode>0.00</c:formatCode>
                <c:ptCount val="104"/>
                <c:pt idx="0">
                  <c:v>0</c:v>
                </c:pt>
                <c:pt idx="1">
                  <c:v>2.9000245749321696E-2</c:v>
                </c:pt>
                <c:pt idx="2">
                  <c:v>5.8632574821174455E-2</c:v>
                </c:pt>
                <c:pt idx="3">
                  <c:v>8.8718426415605567E-2</c:v>
                </c:pt>
                <c:pt idx="4">
                  <c:v>0.11960433263722603</c:v>
                </c:pt>
                <c:pt idx="5">
                  <c:v>0.15149185905162676</c:v>
                </c:pt>
                <c:pt idx="6">
                  <c:v>0.18398517762782896</c:v>
                </c:pt>
                <c:pt idx="7">
                  <c:v>0.21705288503496178</c:v>
                </c:pt>
                <c:pt idx="8">
                  <c:v>0.25011548027195274</c:v>
                </c:pt>
                <c:pt idx="9">
                  <c:v>0.28314192516294123</c:v>
                </c:pt>
                <c:pt idx="10">
                  <c:v>0.31591823887199233</c:v>
                </c:pt>
                <c:pt idx="11">
                  <c:v>0.31427138977631697</c:v>
                </c:pt>
                <c:pt idx="12">
                  <c:v>0.3428024113376249</c:v>
                </c:pt>
                <c:pt idx="13">
                  <c:v>0.37044172436420131</c:v>
                </c:pt>
                <c:pt idx="14">
                  <c:v>0.4416341709137237</c:v>
                </c:pt>
                <c:pt idx="15">
                  <c:v>0.45421777771773009</c:v>
                </c:pt>
                <c:pt idx="16">
                  <c:v>0.46604259241069124</c:v>
                </c:pt>
                <c:pt idx="17">
                  <c:v>0.49150521642189715</c:v>
                </c:pt>
                <c:pt idx="18">
                  <c:v>0.50866859736292347</c:v>
                </c:pt>
                <c:pt idx="19">
                  <c:v>0.52718268668641177</c:v>
                </c:pt>
                <c:pt idx="20">
                  <c:v>0.5495758176824852</c:v>
                </c:pt>
                <c:pt idx="21">
                  <c:v>0.57417850164484063</c:v>
                </c:pt>
                <c:pt idx="22">
                  <c:v>0.59311178891995553</c:v>
                </c:pt>
                <c:pt idx="23">
                  <c:v>0.6160252658054608</c:v>
                </c:pt>
                <c:pt idx="24">
                  <c:v>0.64091788284585727</c:v>
                </c:pt>
                <c:pt idx="25">
                  <c:v>0.67067728586123443</c:v>
                </c:pt>
                <c:pt idx="26">
                  <c:v>0.76866006003878695</c:v>
                </c:pt>
                <c:pt idx="27">
                  <c:v>0.80688339103391082</c:v>
                </c:pt>
                <c:pt idx="28">
                  <c:v>0.84870386403380182</c:v>
                </c:pt>
                <c:pt idx="29">
                  <c:v>0.89558575062907053</c:v>
                </c:pt>
                <c:pt idx="30">
                  <c:v>0.9436974792984496</c:v>
                </c:pt>
                <c:pt idx="31">
                  <c:v>0.99194650625163616</c:v>
                </c:pt>
                <c:pt idx="32">
                  <c:v>1.0396054427084569</c:v>
                </c:pt>
                <c:pt idx="33">
                  <c:v>1.0864953627139489</c:v>
                </c:pt>
                <c:pt idx="34">
                  <c:v>1.1319334263991734</c:v>
                </c:pt>
                <c:pt idx="35">
                  <c:v>1.1810073385202386</c:v>
                </c:pt>
                <c:pt idx="36">
                  <c:v>1.2334253402240516</c:v>
                </c:pt>
                <c:pt idx="37">
                  <c:v>1.2886411596154623</c:v>
                </c:pt>
                <c:pt idx="38">
                  <c:v>1.3459259472942562</c:v>
                </c:pt>
                <c:pt idx="39">
                  <c:v>1.4037226822972486</c:v>
                </c:pt>
                <c:pt idx="40">
                  <c:v>1.4608829521175886</c:v>
                </c:pt>
                <c:pt idx="41">
                  <c:v>1.5171157282122048</c:v>
                </c:pt>
                <c:pt idx="42">
                  <c:v>1.5720931013820021</c:v>
                </c:pt>
                <c:pt idx="43">
                  <c:v>1.6253053152328429</c:v>
                </c:pt>
                <c:pt idx="44">
                  <c:v>1.6794077769983744</c:v>
                </c:pt>
                <c:pt idx="45">
                  <c:v>1.7370102495359792</c:v>
                </c:pt>
                <c:pt idx="46">
                  <c:v>1.7971392295886566</c:v>
                </c:pt>
                <c:pt idx="47">
                  <c:v>1.8579999802816296</c:v>
                </c:pt>
                <c:pt idx="48">
                  <c:v>1.9177418960235713</c:v>
                </c:pt>
                <c:pt idx="49">
                  <c:v>1.9758815115810737</c:v>
                </c:pt>
                <c:pt idx="50">
                  <c:v>2.0329986931102191</c:v>
                </c:pt>
                <c:pt idx="51">
                  <c:v>2.0893808176039768</c:v>
                </c:pt>
                <c:pt idx="52">
                  <c:v>2.1454971092503623</c:v>
                </c:pt>
                <c:pt idx="53">
                  <c:v>2.2014702601327776</c:v>
                </c:pt>
                <c:pt idx="54">
                  <c:v>2.2577534276187912</c:v>
                </c:pt>
                <c:pt idx="55">
                  <c:v>2.3130912087835847</c:v>
                </c:pt>
                <c:pt idx="56">
                  <c:v>2.3651360220670479</c:v>
                </c:pt>
                <c:pt idx="57">
                  <c:v>2.4123432617763401</c:v>
                </c:pt>
                <c:pt idx="58">
                  <c:v>2.4528404130195285</c:v>
                </c:pt>
                <c:pt idx="59">
                  <c:v>2.4870974302946474</c:v>
                </c:pt>
                <c:pt idx="60">
                  <c:v>2.5169141626466138</c:v>
                </c:pt>
                <c:pt idx="61">
                  <c:v>2.5426192495845448</c:v>
                </c:pt>
                <c:pt idx="62">
                  <c:v>2.5646702303361288</c:v>
                </c:pt>
                <c:pt idx="63">
                  <c:v>2.5836703409780966</c:v>
                </c:pt>
                <c:pt idx="64">
                  <c:v>2.6014464520261176</c:v>
                </c:pt>
                <c:pt idx="65">
                  <c:v>2.6210096316937017</c:v>
                </c:pt>
                <c:pt idx="66">
                  <c:v>2.6428692712199795</c:v>
                </c:pt>
                <c:pt idx="67">
                  <c:v>2.6662742467491163</c:v>
                </c:pt>
                <c:pt idx="68">
                  <c:v>2.6920260735283428</c:v>
                </c:pt>
                <c:pt idx="69">
                  <c:v>2.722709318719343</c:v>
                </c:pt>
                <c:pt idx="70">
                  <c:v>2.7583378582125002</c:v>
                </c:pt>
                <c:pt idx="71">
                  <c:v>2.7968164325597038</c:v>
                </c:pt>
                <c:pt idx="72">
                  <c:v>2.8351354341674813</c:v>
                </c:pt>
                <c:pt idx="73">
                  <c:v>2.8698477997402287</c:v>
                </c:pt>
                <c:pt idx="74">
                  <c:v>2.8993340668080303</c:v>
                </c:pt>
                <c:pt idx="75">
                  <c:v>2.9246553758303167</c:v>
                </c:pt>
                <c:pt idx="76">
                  <c:v>2.9465489747725355</c:v>
                </c:pt>
                <c:pt idx="77">
                  <c:v>2.9654223766259893</c:v>
                </c:pt>
                <c:pt idx="78">
                  <c:v>2.9820131945111359</c:v>
                </c:pt>
                <c:pt idx="79">
                  <c:v>2.9970725522838073</c:v>
                </c:pt>
                <c:pt idx="80">
                  <c:v>3.011294974773266</c:v>
                </c:pt>
                <c:pt idx="81">
                  <c:v>3.0249736814526447</c:v>
                </c:pt>
                <c:pt idx="82">
                  <c:v>3.0380739825959822</c:v>
                </c:pt>
                <c:pt idx="83">
                  <c:v>3.0503603532217438</c:v>
                </c:pt>
                <c:pt idx="84">
                  <c:v>3.0620884018370216</c:v>
                </c:pt>
                <c:pt idx="85">
                  <c:v>3.0734359589317464</c:v>
                </c:pt>
                <c:pt idx="86">
                  <c:v>3.0839505974483696</c:v>
                </c:pt>
                <c:pt idx="87">
                  <c:v>3.0928698737257463</c:v>
                </c:pt>
                <c:pt idx="88">
                  <c:v>3.0991209623441192</c:v>
                </c:pt>
                <c:pt idx="89">
                  <c:v>3.1028196174417015</c:v>
                </c:pt>
                <c:pt idx="90">
                  <c:v>3.104975127466485</c:v>
                </c:pt>
                <c:pt idx="91">
                  <c:v>3.1062305303913034</c:v>
                </c:pt>
                <c:pt idx="92">
                  <c:v>3.1071353845063996</c:v>
                </c:pt>
                <c:pt idx="93">
                  <c:v>3.108022346025999</c:v>
                </c:pt>
                <c:pt idx="94">
                  <c:v>3.1092547441851801</c:v>
                </c:pt>
                <c:pt idx="95">
                  <c:v>3.1100387319919243</c:v>
                </c:pt>
                <c:pt idx="96">
                  <c:v>3.1095691426489003</c:v>
                </c:pt>
                <c:pt idx="97">
                  <c:v>3.1076261528400115</c:v>
                </c:pt>
                <c:pt idx="98">
                  <c:v>3.1057959959292516</c:v>
                </c:pt>
                <c:pt idx="99">
                  <c:v>3.1038544667404038</c:v>
                </c:pt>
                <c:pt idx="100">
                  <c:v>3.1000477257598238</c:v>
                </c:pt>
                <c:pt idx="101">
                  <c:v>3.0954573621275099</c:v>
                </c:pt>
                <c:pt idx="102">
                  <c:v>3.090051607357581</c:v>
                </c:pt>
                <c:pt idx="103">
                  <c:v>3.0841996331652766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1B7-4A19-833B-8F51711296A1}"/>
            </c:ext>
          </c:extLst>
        </c:ser>
        <c:ser>
          <c:idx val="11"/>
          <c:order val="11"/>
          <c:tx>
            <c:strRef>
              <c:f>'вместе-отн'!$M$1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'вместе-отн'!$M$2:$M$105</c:f>
              <c:numCache>
                <c:formatCode>0.00</c:formatCode>
                <c:ptCount val="104"/>
                <c:pt idx="0">
                  <c:v>0</c:v>
                </c:pt>
                <c:pt idx="1">
                  <c:v>3.7756508796120691E-3</c:v>
                </c:pt>
                <c:pt idx="2">
                  <c:v>9.2955509401089209E-3</c:v>
                </c:pt>
                <c:pt idx="3">
                  <c:v>9.8013948642778903E-3</c:v>
                </c:pt>
                <c:pt idx="4">
                  <c:v>1.7276415304858794E-2</c:v>
                </c:pt>
                <c:pt idx="5">
                  <c:v>2.3162698929091174E-2</c:v>
                </c:pt>
                <c:pt idx="6">
                  <c:v>3.4753617857621322E-2</c:v>
                </c:pt>
                <c:pt idx="7">
                  <c:v>4.7234942825711057E-2</c:v>
                </c:pt>
                <c:pt idx="8">
                  <c:v>6.0628556693654856E-2</c:v>
                </c:pt>
                <c:pt idx="9">
                  <c:v>7.4750615995657466E-2</c:v>
                </c:pt>
                <c:pt idx="10">
                  <c:v>8.9520243326430826E-2</c:v>
                </c:pt>
                <c:pt idx="11">
                  <c:v>0.10475352662187154</c:v>
                </c:pt>
                <c:pt idx="12">
                  <c:v>0.14214941411213999</c:v>
                </c:pt>
                <c:pt idx="13">
                  <c:v>0.13549825935223025</c:v>
                </c:pt>
                <c:pt idx="14">
                  <c:v>0.15315416049767783</c:v>
                </c:pt>
                <c:pt idx="15">
                  <c:v>0.17067615774565081</c:v>
                </c:pt>
                <c:pt idx="16">
                  <c:v>0.18928015610779769</c:v>
                </c:pt>
                <c:pt idx="17">
                  <c:v>0.20901582075920633</c:v>
                </c:pt>
                <c:pt idx="18">
                  <c:v>0.22982998801107346</c:v>
                </c:pt>
                <c:pt idx="19">
                  <c:v>0.25187522050068667</c:v>
                </c:pt>
                <c:pt idx="20">
                  <c:v>0.27599013254496496</c:v>
                </c:pt>
                <c:pt idx="21">
                  <c:v>0.29944608924132265</c:v>
                </c:pt>
                <c:pt idx="22">
                  <c:v>0.32507105584252138</c:v>
                </c:pt>
                <c:pt idx="23">
                  <c:v>0.3482157820148819</c:v>
                </c:pt>
                <c:pt idx="24">
                  <c:v>0.38480440461504717</c:v>
                </c:pt>
                <c:pt idx="25">
                  <c:v>0.42178060765616099</c:v>
                </c:pt>
                <c:pt idx="26">
                  <c:v>0.46411948343553222</c:v>
                </c:pt>
                <c:pt idx="27">
                  <c:v>0.50918191784268729</c:v>
                </c:pt>
                <c:pt idx="28">
                  <c:v>0.55799846326070113</c:v>
                </c:pt>
                <c:pt idx="29">
                  <c:v>0.60775837261215293</c:v>
                </c:pt>
                <c:pt idx="30">
                  <c:v>0.66220210584458261</c:v>
                </c:pt>
                <c:pt idx="31">
                  <c:v>0.71769559898636381</c:v>
                </c:pt>
                <c:pt idx="32">
                  <c:v>0.77286866943085841</c:v>
                </c:pt>
                <c:pt idx="33">
                  <c:v>0.83609202572793251</c:v>
                </c:pt>
                <c:pt idx="34">
                  <c:v>0.89062418217954509</c:v>
                </c:pt>
                <c:pt idx="35">
                  <c:v>0.94988049831731791</c:v>
                </c:pt>
                <c:pt idx="36">
                  <c:v>1.0138711266908538</c:v>
                </c:pt>
                <c:pt idx="37">
                  <c:v>1.0826575999825483</c:v>
                </c:pt>
                <c:pt idx="38">
                  <c:v>1.1560100452618496</c:v>
                </c:pt>
                <c:pt idx="39">
                  <c:v>1.2334851802616051</c:v>
                </c:pt>
                <c:pt idx="40">
                  <c:v>1.3140366749878698</c:v>
                </c:pt>
                <c:pt idx="41">
                  <c:v>1.3962695142464625</c:v>
                </c:pt>
                <c:pt idx="42">
                  <c:v>1.4787268071692639</c:v>
                </c:pt>
                <c:pt idx="43">
                  <c:v>1.5599106410998944</c:v>
                </c:pt>
                <c:pt idx="44">
                  <c:v>1.6420798897268476</c:v>
                </c:pt>
                <c:pt idx="45">
                  <c:v>1.7280623125079613</c:v>
                </c:pt>
                <c:pt idx="46">
                  <c:v>1.8172216601353073</c:v>
                </c:pt>
                <c:pt idx="47">
                  <c:v>1.909436376406874</c:v>
                </c:pt>
                <c:pt idx="48">
                  <c:v>2.004735615603618</c:v>
                </c:pt>
                <c:pt idx="49">
                  <c:v>2.1031550488457684</c:v>
                </c:pt>
                <c:pt idx="50">
                  <c:v>2.2045899265168059</c:v>
                </c:pt>
                <c:pt idx="51">
                  <c:v>2.3087297726741247</c:v>
                </c:pt>
                <c:pt idx="52">
                  <c:v>2.4151168308075546</c:v>
                </c:pt>
                <c:pt idx="53">
                  <c:v>2.5233857463279836</c:v>
                </c:pt>
                <c:pt idx="54">
                  <c:v>2.6342418470396298</c:v>
                </c:pt>
                <c:pt idx="55">
                  <c:v>2.7479525291475926</c:v>
                </c:pt>
                <c:pt idx="56">
                  <c:v>2.8635251751331956</c:v>
                </c:pt>
                <c:pt idx="57">
                  <c:v>2.9798538430727266</c:v>
                </c:pt>
                <c:pt idx="58">
                  <c:v>3.0957503416710228</c:v>
                </c:pt>
                <c:pt idx="59">
                  <c:v>3.2118101728409831</c:v>
                </c:pt>
                <c:pt idx="60">
                  <c:v>3.3286533280915078</c:v>
                </c:pt>
                <c:pt idx="61">
                  <c:v>3.4452003444458246</c:v>
                </c:pt>
                <c:pt idx="62">
                  <c:v>3.5598333308066294</c:v>
                </c:pt>
                <c:pt idx="63">
                  <c:v>3.6705982643667667</c:v>
                </c:pt>
                <c:pt idx="64">
                  <c:v>3.7751473680304031</c:v>
                </c:pt>
                <c:pt idx="65">
                  <c:v>3.8748974026553986</c:v>
                </c:pt>
                <c:pt idx="66">
                  <c:v>3.9731999443804922</c:v>
                </c:pt>
                <c:pt idx="67">
                  <c:v>4.0718184499128416</c:v>
                </c:pt>
                <c:pt idx="68">
                  <c:v>4.1725953326122731</c:v>
                </c:pt>
                <c:pt idx="69">
                  <c:v>4.2758510151760722</c:v>
                </c:pt>
                <c:pt idx="70">
                  <c:v>4.3805985737451367</c:v>
                </c:pt>
                <c:pt idx="71">
                  <c:v>4.4866314588136786</c:v>
                </c:pt>
                <c:pt idx="72">
                  <c:v>4.5932769267738438</c:v>
                </c:pt>
                <c:pt idx="73">
                  <c:v>4.7013436144818987</c:v>
                </c:pt>
                <c:pt idx="74">
                  <c:v>4.811966343749277</c:v>
                </c:pt>
                <c:pt idx="75">
                  <c:v>4.9241347986938058</c:v>
                </c:pt>
                <c:pt idx="76">
                  <c:v>5.0367140889057396</c:v>
                </c:pt>
                <c:pt idx="77">
                  <c:v>5.1489327578118207</c:v>
                </c:pt>
                <c:pt idx="78">
                  <c:v>5.2600161247183097</c:v>
                </c:pt>
                <c:pt idx="79">
                  <c:v>5.3702967542230322</c:v>
                </c:pt>
                <c:pt idx="80">
                  <c:v>5.4800417681378555</c:v>
                </c:pt>
                <c:pt idx="81">
                  <c:v>5.5884504870102587</c:v>
                </c:pt>
                <c:pt idx="82">
                  <c:v>5.6945094394358913</c:v>
                </c:pt>
                <c:pt idx="83">
                  <c:v>5.7965845451167297</c:v>
                </c:pt>
                <c:pt idx="84">
                  <c:v>5.8939454378660869</c:v>
                </c:pt>
                <c:pt idx="85">
                  <c:v>5.9879254629991356</c:v>
                </c:pt>
                <c:pt idx="86">
                  <c:v>6.0797867607872034</c:v>
                </c:pt>
                <c:pt idx="87">
                  <c:v>6.1708225465352058</c:v>
                </c:pt>
                <c:pt idx="88">
                  <c:v>6.2626963292153546</c:v>
                </c:pt>
                <c:pt idx="89">
                  <c:v>6.3565030064237504</c:v>
                </c:pt>
                <c:pt idx="90">
                  <c:v>6.453343649604232</c:v>
                </c:pt>
                <c:pt idx="91">
                  <c:v>6.5527832768849281</c:v>
                </c:pt>
                <c:pt idx="92">
                  <c:v>6.6525212382076937</c:v>
                </c:pt>
                <c:pt idx="93">
                  <c:v>6.7511828920758594</c:v>
                </c:pt>
                <c:pt idx="94">
                  <c:v>6.8488045955927372</c:v>
                </c:pt>
                <c:pt idx="95">
                  <c:v>6.9443388525931429</c:v>
                </c:pt>
                <c:pt idx="96">
                  <c:v>7.0374487767858387</c:v>
                </c:pt>
                <c:pt idx="97">
                  <c:v>7.1267343453001484</c:v>
                </c:pt>
                <c:pt idx="98">
                  <c:v>7.2096771770479116</c:v>
                </c:pt>
                <c:pt idx="99">
                  <c:v>7.2879431819421256</c:v>
                </c:pt>
                <c:pt idx="100">
                  <c:v>7.3644047769392245</c:v>
                </c:pt>
                <c:pt idx="101">
                  <c:v>7.4407970876451088</c:v>
                </c:pt>
                <c:pt idx="102">
                  <c:v>7.5166429442284084</c:v>
                </c:pt>
                <c:pt idx="103">
                  <c:v>7.5859876705516864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1B7-4A19-833B-8F51711296A1}"/>
            </c:ext>
          </c:extLst>
        </c:ser>
        <c:ser>
          <c:idx val="12"/>
          <c:order val="12"/>
          <c:tx>
            <c:strRef>
              <c:f>'вместе-отн'!$N$1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'вместе-отн'!$N$2:$N$105</c:f>
              <c:numCache>
                <c:formatCode>0.00</c:formatCode>
                <c:ptCount val="104"/>
                <c:pt idx="0">
                  <c:v>0</c:v>
                </c:pt>
                <c:pt idx="1">
                  <c:v>1.7866965770950483E-2</c:v>
                </c:pt>
                <c:pt idx="2">
                  <c:v>3.6447552955829687E-2</c:v>
                </c:pt>
                <c:pt idx="3">
                  <c:v>5.3913106681445555E-2</c:v>
                </c:pt>
                <c:pt idx="4">
                  <c:v>6.7871673690000911E-2</c:v>
                </c:pt>
                <c:pt idx="5">
                  <c:v>8.1029068509307578E-2</c:v>
                </c:pt>
                <c:pt idx="6">
                  <c:v>9.5083445800288269E-2</c:v>
                </c:pt>
                <c:pt idx="7">
                  <c:v>0.10842915738160386</c:v>
                </c:pt>
                <c:pt idx="8">
                  <c:v>0.12193675530219039</c:v>
                </c:pt>
                <c:pt idx="9">
                  <c:v>0.13647679161098369</c:v>
                </c:pt>
                <c:pt idx="10">
                  <c:v>0.15127122073863108</c:v>
                </c:pt>
                <c:pt idx="11">
                  <c:v>0.16553869331293769</c:v>
                </c:pt>
                <c:pt idx="12">
                  <c:v>0.18097571209340502</c:v>
                </c:pt>
                <c:pt idx="13">
                  <c:v>0.19597662889869372</c:v>
                </c:pt>
                <c:pt idx="14">
                  <c:v>0.21108161549351379</c:v>
                </c:pt>
                <c:pt idx="15">
                  <c:v>0.22692995772784252</c:v>
                </c:pt>
                <c:pt idx="16">
                  <c:v>0.24289228116022921</c:v>
                </c:pt>
                <c:pt idx="17">
                  <c:v>0.26659376275061408</c:v>
                </c:pt>
                <c:pt idx="18">
                  <c:v>0.29327692640613967</c:v>
                </c:pt>
                <c:pt idx="19">
                  <c:v>0.32148149127052683</c:v>
                </c:pt>
                <c:pt idx="20">
                  <c:v>0.35140403361289008</c:v>
                </c:pt>
                <c:pt idx="21">
                  <c:v>0.38323782589950151</c:v>
                </c:pt>
                <c:pt idx="22">
                  <c:v>0.41717944439947585</c:v>
                </c:pt>
                <c:pt idx="23">
                  <c:v>0.45094596134881049</c:v>
                </c:pt>
                <c:pt idx="24">
                  <c:v>0.48741498902311498</c:v>
                </c:pt>
                <c:pt idx="25">
                  <c:v>0.52733649066758281</c:v>
                </c:pt>
                <c:pt idx="26">
                  <c:v>0.5685316083077423</c:v>
                </c:pt>
                <c:pt idx="27">
                  <c:v>0.61460479084450137</c:v>
                </c:pt>
                <c:pt idx="28">
                  <c:v>0.66503238552736099</c:v>
                </c:pt>
                <c:pt idx="29">
                  <c:v>0.71928908770440225</c:v>
                </c:pt>
                <c:pt idx="30">
                  <c:v>0.77602364201313878</c:v>
                </c:pt>
                <c:pt idx="31">
                  <c:v>0.82975669143968123</c:v>
                </c:pt>
                <c:pt idx="32">
                  <c:v>0.88574128250322515</c:v>
                </c:pt>
                <c:pt idx="33">
                  <c:v>0.94510731577582363</c:v>
                </c:pt>
                <c:pt idx="34">
                  <c:v>1.0087583813348355</c:v>
                </c:pt>
                <c:pt idx="35">
                  <c:v>1.084823486073645</c:v>
                </c:pt>
                <c:pt idx="36">
                  <c:v>1.172501457803004</c:v>
                </c:pt>
                <c:pt idx="37">
                  <c:v>1.270584756584066</c:v>
                </c:pt>
                <c:pt idx="38">
                  <c:v>1.3776114496591298</c:v>
                </c:pt>
                <c:pt idx="39">
                  <c:v>1.4919824964525414</c:v>
                </c:pt>
                <c:pt idx="40">
                  <c:v>1.6104106131362506</c:v>
                </c:pt>
                <c:pt idx="41">
                  <c:v>1.7280755513633967</c:v>
                </c:pt>
                <c:pt idx="42">
                  <c:v>1.8394186628518754</c:v>
                </c:pt>
                <c:pt idx="43">
                  <c:v>1.9378885065654821</c:v>
                </c:pt>
                <c:pt idx="44">
                  <c:v>2.0284226158519765</c:v>
                </c:pt>
                <c:pt idx="45">
                  <c:v>2.1208167661386637</c:v>
                </c:pt>
                <c:pt idx="46">
                  <c:v>2.215835787783528</c:v>
                </c:pt>
                <c:pt idx="47">
                  <c:v>2.31391908656459</c:v>
                </c:pt>
                <c:pt idx="48">
                  <c:v>2.4158331447412542</c:v>
                </c:pt>
                <c:pt idx="49">
                  <c:v>2.5217282853428435</c:v>
                </c:pt>
                <c:pt idx="50">
                  <c:v>2.6315186094954597</c:v>
                </c:pt>
                <c:pt idx="51">
                  <c:v>2.745042230859831</c:v>
                </c:pt>
                <c:pt idx="52">
                  <c:v>2.8623850483098567</c:v>
                </c:pt>
                <c:pt idx="53">
                  <c:v>2.9833851755062657</c:v>
                </c:pt>
                <c:pt idx="54">
                  <c:v>3.1083432585077055</c:v>
                </c:pt>
                <c:pt idx="55">
                  <c:v>3.2333244681290392</c:v>
                </c:pt>
                <c:pt idx="56">
                  <c:v>3.361976202708127</c:v>
                </c:pt>
                <c:pt idx="57">
                  <c:v>3.4982712851627866</c:v>
                </c:pt>
                <c:pt idx="58">
                  <c:v>3.6376768979934351</c:v>
                </c:pt>
                <c:pt idx="59">
                  <c:v>3.7811428845172239</c:v>
                </c:pt>
                <c:pt idx="60">
                  <c:v>3.9284990988877739</c:v>
                </c:pt>
                <c:pt idx="61">
                  <c:v>4.0767589033356844</c:v>
                </c:pt>
                <c:pt idx="62">
                  <c:v>4.2226052798073219</c:v>
                </c:pt>
                <c:pt idx="63">
                  <c:v>4.3710583567215036</c:v>
                </c:pt>
                <c:pt idx="64">
                  <c:v>4.52404590303669</c:v>
                </c:pt>
                <c:pt idx="65">
                  <c:v>4.6775273678767944</c:v>
                </c:pt>
                <c:pt idx="66">
                  <c:v>4.8298227674965268</c:v>
                </c:pt>
                <c:pt idx="67">
                  <c:v>4.9789977253317428</c:v>
                </c:pt>
                <c:pt idx="68">
                  <c:v>5.1254354825121453</c:v>
                </c:pt>
                <c:pt idx="69">
                  <c:v>5.269061703473783</c:v>
                </c:pt>
                <c:pt idx="70">
                  <c:v>5.4104297751927355</c:v>
                </c:pt>
                <c:pt idx="71">
                  <c:v>5.5532977734020736</c:v>
                </c:pt>
                <c:pt idx="72">
                  <c:v>5.7015807044698796</c:v>
                </c:pt>
                <c:pt idx="73">
                  <c:v>5.8557344931883835</c:v>
                </c:pt>
                <c:pt idx="74">
                  <c:v>6.0177397693615227</c:v>
                </c:pt>
                <c:pt idx="75">
                  <c:v>6.1859793214980101</c:v>
                </c:pt>
                <c:pt idx="76">
                  <c:v>6.3557848761817288</c:v>
                </c:pt>
                <c:pt idx="77">
                  <c:v>6.523063021691117</c:v>
                </c:pt>
                <c:pt idx="78">
                  <c:v>6.6833123266535939</c:v>
                </c:pt>
                <c:pt idx="79">
                  <c:v>6.8333446213263764</c:v>
                </c:pt>
                <c:pt idx="80">
                  <c:v>6.9750562885409249</c:v>
                </c:pt>
                <c:pt idx="81">
                  <c:v>7.109644956827557</c:v>
                </c:pt>
                <c:pt idx="82">
                  <c:v>7.2380538618977361</c:v>
                </c:pt>
                <c:pt idx="83">
                  <c:v>7.3615599235500024</c:v>
                </c:pt>
                <c:pt idx="84">
                  <c:v>7.4780057585283526</c:v>
                </c:pt>
                <c:pt idx="85">
                  <c:v>7.5882586150788853</c:v>
                </c:pt>
                <c:pt idx="86">
                  <c:v>7.6956569859737058</c:v>
                </c:pt>
                <c:pt idx="87">
                  <c:v>7.8032899268703222</c:v>
                </c:pt>
                <c:pt idx="88">
                  <c:v>7.9181268098644928</c:v>
                </c:pt>
                <c:pt idx="89">
                  <c:v>8.039672064529876</c:v>
                </c:pt>
                <c:pt idx="90">
                  <c:v>8.1618186113125493</c:v>
                </c:pt>
                <c:pt idx="91">
                  <c:v>8.2853560590918178</c:v>
                </c:pt>
                <c:pt idx="92">
                  <c:v>8.4109897697744973</c:v>
                </c:pt>
                <c:pt idx="93">
                  <c:v>8.540087517737291</c:v>
                </c:pt>
                <c:pt idx="94">
                  <c:v>8.6740319444696823</c:v>
                </c:pt>
                <c:pt idx="95">
                  <c:v>8.8121738527131637</c:v>
                </c:pt>
                <c:pt idx="96">
                  <c:v>8.9522137956895271</c:v>
                </c:pt>
                <c:pt idx="97">
                  <c:v>9.0920175167626684</c:v>
                </c:pt>
                <c:pt idx="98">
                  <c:v>9.2295300505647013</c:v>
                </c:pt>
                <c:pt idx="99">
                  <c:v>9.3652221890006473</c:v>
                </c:pt>
                <c:pt idx="100">
                  <c:v>9.5003411176434618</c:v>
                </c:pt>
                <c:pt idx="101">
                  <c:v>9.6346522664913437</c:v>
                </c:pt>
                <c:pt idx="102">
                  <c:v>9.7671760580015619</c:v>
                </c:pt>
                <c:pt idx="103">
                  <c:v>9.8961135715265058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1B7-4A19-833B-8F51711296A1}"/>
            </c:ext>
          </c:extLst>
        </c:ser>
        <c:ser>
          <c:idx val="13"/>
          <c:order val="13"/>
          <c:tx>
            <c:strRef>
              <c:f>'вместе-отн'!$O$1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'вместе-отн'!$O$2:$O$105</c:f>
              <c:numCache>
                <c:formatCode>0.00</c:formatCode>
                <c:ptCount val="104"/>
                <c:pt idx="0">
                  <c:v>0</c:v>
                </c:pt>
                <c:pt idx="1">
                  <c:v>2.2879979657975724E-2</c:v>
                </c:pt>
                <c:pt idx="2">
                  <c:v>4.3461886290962815E-2</c:v>
                </c:pt>
                <c:pt idx="3">
                  <c:v>6.2945131707410784E-2</c:v>
                </c:pt>
                <c:pt idx="4">
                  <c:v>7.2713141475420517E-2</c:v>
                </c:pt>
                <c:pt idx="5">
                  <c:v>8.2243667705357293E-2</c:v>
                </c:pt>
                <c:pt idx="6">
                  <c:v>9.1683038637851988E-2</c:v>
                </c:pt>
                <c:pt idx="7">
                  <c:v>0.10118957663161976</c:v>
                </c:pt>
                <c:pt idx="8">
                  <c:v>0.11091200875090856</c:v>
                </c:pt>
                <c:pt idx="9">
                  <c:v>0.12100625853081648</c:v>
                </c:pt>
                <c:pt idx="10">
                  <c:v>0.13282286366765739</c:v>
                </c:pt>
                <c:pt idx="11">
                  <c:v>0.14411652525601459</c:v>
                </c:pt>
                <c:pt idx="12">
                  <c:v>0.15623778099220154</c:v>
                </c:pt>
                <c:pt idx="13">
                  <c:v>0.17293839101304731</c:v>
                </c:pt>
                <c:pt idx="14">
                  <c:v>0.20328590859042728</c:v>
                </c:pt>
                <c:pt idx="15">
                  <c:v>0.23567722388940471</c:v>
                </c:pt>
                <c:pt idx="16">
                  <c:v>0.26983647219403606</c:v>
                </c:pt>
                <c:pt idx="17">
                  <c:v>0.3054949852592288</c:v>
                </c:pt>
                <c:pt idx="18">
                  <c:v>0.34237689836903984</c:v>
                </c:pt>
                <c:pt idx="19">
                  <c:v>0.3802135432783762</c:v>
                </c:pt>
                <c:pt idx="20">
                  <c:v>0.41753204228646279</c:v>
                </c:pt>
                <c:pt idx="21">
                  <c:v>0.456462550765105</c:v>
                </c:pt>
                <c:pt idx="22">
                  <c:v>0.49552739336629315</c:v>
                </c:pt>
                <c:pt idx="23">
                  <c:v>0.53445790184493536</c:v>
                </c:pt>
                <c:pt idx="24">
                  <c:v>0.57485888920073602</c:v>
                </c:pt>
                <c:pt idx="25">
                  <c:v>0.61486886830698229</c:v>
                </c:pt>
                <c:pt idx="26">
                  <c:v>0.6592231169834315</c:v>
                </c:pt>
                <c:pt idx="27">
                  <c:v>0.70185980795018144</c:v>
                </c:pt>
                <c:pt idx="28">
                  <c:v>0.74751182020337237</c:v>
                </c:pt>
                <c:pt idx="29">
                  <c:v>0.79371316306483308</c:v>
                </c:pt>
                <c:pt idx="30">
                  <c:v>0.84040146712052421</c:v>
                </c:pt>
                <c:pt idx="31">
                  <c:v>0.88871137594123861</c:v>
                </c:pt>
                <c:pt idx="32">
                  <c:v>0.93737870948087054</c:v>
                </c:pt>
                <c:pt idx="33">
                  <c:v>0.98753571248659688</c:v>
                </c:pt>
                <c:pt idx="34">
                  <c:v>1.03983726380583</c:v>
                </c:pt>
                <c:pt idx="35">
                  <c:v>1.0985316800640965</c:v>
                </c:pt>
                <c:pt idx="36">
                  <c:v>1.1630048624154714</c:v>
                </c:pt>
                <c:pt idx="37">
                  <c:v>1.2325275684804176</c:v>
                </c:pt>
                <c:pt idx="38">
                  <c:v>1.306250614698552</c:v>
                </c:pt>
                <c:pt idx="39">
                  <c:v>1.3837518081133013</c:v>
                </c:pt>
                <c:pt idx="40">
                  <c:v>1.4640308392764187</c:v>
                </c:pt>
                <c:pt idx="41">
                  <c:v>1.5458427187307344</c:v>
                </c:pt>
                <c:pt idx="42">
                  <c:v>1.6272228099340085</c:v>
                </c:pt>
                <c:pt idx="43">
                  <c:v>1.7066838422437636</c:v>
                </c:pt>
                <c:pt idx="44">
                  <c:v>1.7859409745460826</c:v>
                </c:pt>
                <c:pt idx="45">
                  <c:v>1.8679615516550685</c:v>
                </c:pt>
                <c:pt idx="46">
                  <c:v>1.952654418273279</c:v>
                </c:pt>
                <c:pt idx="47">
                  <c:v>2.0398036802751931</c:v>
                </c:pt>
                <c:pt idx="48">
                  <c:v>2.1288360188163722</c:v>
                </c:pt>
                <c:pt idx="49">
                  <c:v>2.2202072103840278</c:v>
                </c:pt>
                <c:pt idx="50">
                  <c:v>2.3136102055551957</c:v>
                </c:pt>
                <c:pt idx="51">
                  <c:v>2.408824312557122</c:v>
                </c:pt>
                <c:pt idx="52">
                  <c:v>2.50574638197428</c:v>
                </c:pt>
                <c:pt idx="53">
                  <c:v>2.604158120857532</c:v>
                </c:pt>
                <c:pt idx="54">
                  <c:v>2.7042202503892092</c:v>
                </c:pt>
                <c:pt idx="55">
                  <c:v>2.8058751988025072</c:v>
                </c:pt>
                <c:pt idx="56">
                  <c:v>2.9088758872648857</c:v>
                </c:pt>
                <c:pt idx="57">
                  <c:v>3.0129752369438032</c:v>
                </c:pt>
                <c:pt idx="58">
                  <c:v>3.1182811949020204</c:v>
                </c:pt>
                <c:pt idx="59">
                  <c:v>3.2248897140842132</c:v>
                </c:pt>
                <c:pt idx="60">
                  <c:v>3.3329615156727144</c:v>
                </c:pt>
                <c:pt idx="61">
                  <c:v>3.4419952455315919</c:v>
                </c:pt>
                <c:pt idx="62">
                  <c:v>3.5517318307102199</c:v>
                </c:pt>
                <c:pt idx="63">
                  <c:v>3.6616651194254342</c:v>
                </c:pt>
                <c:pt idx="64">
                  <c:v>3.7722292987518919</c:v>
                </c:pt>
                <c:pt idx="65">
                  <c:v>3.8838369663517014</c:v>
                </c:pt>
                <c:pt idx="66">
                  <c:v>3.9964449433997569</c:v>
                </c:pt>
                <c:pt idx="67">
                  <c:v>4.1101227957809501</c:v>
                </c:pt>
                <c:pt idx="68">
                  <c:v>4.2243451811231783</c:v>
                </c:pt>
                <c:pt idx="69">
                  <c:v>4.3384380299900931</c:v>
                </c:pt>
                <c:pt idx="70">
                  <c:v>4.4523533659093584</c:v>
                </c:pt>
                <c:pt idx="71">
                  <c:v>4.5666812994907309</c:v>
                </c:pt>
                <c:pt idx="72">
                  <c:v>4.6823741637101168</c:v>
                </c:pt>
                <c:pt idx="73">
                  <c:v>4.8009863962712682</c:v>
                </c:pt>
                <c:pt idx="74">
                  <c:v>4.9229857677794815</c:v>
                </c:pt>
                <c:pt idx="75">
                  <c:v>5.0471944558388575</c:v>
                </c:pt>
                <c:pt idx="76">
                  <c:v>5.1738355510457676</c:v>
                </c:pt>
                <c:pt idx="77">
                  <c:v>5.3022853592598187</c:v>
                </c:pt>
                <c:pt idx="78">
                  <c:v>5.4322896051776208</c:v>
                </c:pt>
                <c:pt idx="79">
                  <c:v>5.5640234029232074</c:v>
                </c:pt>
                <c:pt idx="80">
                  <c:v>5.6982639713484504</c:v>
                </c:pt>
                <c:pt idx="81">
                  <c:v>5.8341957104236091</c:v>
                </c:pt>
                <c:pt idx="82">
                  <c:v>5.9712453013042408</c:v>
                </c:pt>
                <c:pt idx="83">
                  <c:v>6.1088442227931425</c:v>
                </c:pt>
                <c:pt idx="84">
                  <c:v>6.246838950178832</c:v>
                </c:pt>
                <c:pt idx="85">
                  <c:v>6.3858555764253211</c:v>
                </c:pt>
                <c:pt idx="86">
                  <c:v>6.5257525709392121</c:v>
                </c:pt>
                <c:pt idx="87">
                  <c:v>6.6666354819596476</c:v>
                </c:pt>
                <c:pt idx="88">
                  <c:v>6.8077654718126235</c:v>
                </c:pt>
                <c:pt idx="89">
                  <c:v>6.9490441887298475</c:v>
                </c:pt>
                <c:pt idx="90">
                  <c:v>7.0909226115512958</c:v>
                </c:pt>
                <c:pt idx="91">
                  <c:v>7.2333119838031426</c:v>
                </c:pt>
                <c:pt idx="92">
                  <c:v>7.3761139537170983</c:v>
                </c:pt>
                <c:pt idx="93">
                  <c:v>7.5186400589151088</c:v>
                </c:pt>
                <c:pt idx="94">
                  <c:v>7.6616267382475645</c:v>
                </c:pt>
                <c:pt idx="95">
                  <c:v>7.8051099740687171</c:v>
                </c:pt>
                <c:pt idx="96">
                  <c:v>7.9483485298809455</c:v>
                </c:pt>
                <c:pt idx="97">
                  <c:v>8.0920428621803868</c:v>
                </c:pt>
                <c:pt idx="98">
                  <c:v>8.2365408003914879</c:v>
                </c:pt>
                <c:pt idx="99">
                  <c:v>8.3820006668729654</c:v>
                </c:pt>
                <c:pt idx="100">
                  <c:v>8.5276020639478407</c:v>
                </c:pt>
                <c:pt idx="101">
                  <c:v>8.672222342163403</c:v>
                </c:pt>
                <c:pt idx="102">
                  <c:v>8.8134147014304194</c:v>
                </c:pt>
                <c:pt idx="103">
                  <c:v>8.9441721779639263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91B7-4A19-833B-8F51711296A1}"/>
            </c:ext>
          </c:extLst>
        </c:ser>
        <c:ser>
          <c:idx val="14"/>
          <c:order val="14"/>
          <c:tx>
            <c:strRef>
              <c:f>'вместе-отн'!$P$1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'вместе-отн'!$P$2:$P$105</c:f>
              <c:numCache>
                <c:formatCode>0.00</c:formatCode>
                <c:ptCount val="104"/>
                <c:pt idx="0">
                  <c:v>0</c:v>
                </c:pt>
                <c:pt idx="1">
                  <c:v>1.3908334552315216E-2</c:v>
                </c:pt>
                <c:pt idx="2">
                  <c:v>2.8331626758692385E-2</c:v>
                </c:pt>
                <c:pt idx="3">
                  <c:v>4.3348986055842254E-2</c:v>
                </c:pt>
                <c:pt idx="4">
                  <c:v>6.5902638672872049E-2</c:v>
                </c:pt>
                <c:pt idx="5">
                  <c:v>9.0120574722594604E-2</c:v>
                </c:pt>
                <c:pt idx="6">
                  <c:v>0.11515497986440937</c:v>
                </c:pt>
                <c:pt idx="7">
                  <c:v>0.14164768537729233</c:v>
                </c:pt>
                <c:pt idx="8">
                  <c:v>0.16875087692064294</c:v>
                </c:pt>
                <c:pt idx="9">
                  <c:v>0.19635857770188592</c:v>
                </c:pt>
                <c:pt idx="10">
                  <c:v>0.22511560426175969</c:v>
                </c:pt>
                <c:pt idx="11">
                  <c:v>0.25417264962878283</c:v>
                </c:pt>
                <c:pt idx="12">
                  <c:v>0.28342373701037982</c:v>
                </c:pt>
                <c:pt idx="13">
                  <c:v>0.31351517557817066</c:v>
                </c:pt>
                <c:pt idx="14">
                  <c:v>0.3444305463924604</c:v>
                </c:pt>
                <c:pt idx="15">
                  <c:v>0.37554592974484979</c:v>
                </c:pt>
                <c:pt idx="16">
                  <c:v>0.40770316945241336</c:v>
                </c:pt>
                <c:pt idx="17">
                  <c:v>0.44025595634353198</c:v>
                </c:pt>
                <c:pt idx="18">
                  <c:v>0.47330131142549225</c:v>
                </c:pt>
                <c:pt idx="19">
                  <c:v>0.5084318718486831</c:v>
                </c:pt>
                <c:pt idx="20">
                  <c:v>0.54425053510817123</c:v>
                </c:pt>
                <c:pt idx="21">
                  <c:v>0.58160213028279384</c:v>
                </c:pt>
                <c:pt idx="22">
                  <c:v>0.6198388555700507</c:v>
                </c:pt>
                <c:pt idx="23">
                  <c:v>0.65905922460810973</c:v>
                </c:pt>
                <c:pt idx="24">
                  <c:v>0.70053495890787199</c:v>
                </c:pt>
                <c:pt idx="25">
                  <c:v>0.74454816570590987</c:v>
                </c:pt>
                <c:pt idx="26">
                  <c:v>0.79009131915732045</c:v>
                </c:pt>
                <c:pt idx="27">
                  <c:v>0.83764206114413153</c:v>
                </c:pt>
                <c:pt idx="28">
                  <c:v>0.88619137319055841</c:v>
                </c:pt>
                <c:pt idx="29">
                  <c:v>0.93547505963060362</c:v>
                </c:pt>
                <c:pt idx="30">
                  <c:v>0.98671857041784716</c:v>
                </c:pt>
                <c:pt idx="31">
                  <c:v>1.0381665716358341</c:v>
                </c:pt>
                <c:pt idx="32">
                  <c:v>1.0902996904283553</c:v>
                </c:pt>
                <c:pt idx="33">
                  <c:v>1.1421089083196261</c:v>
                </c:pt>
                <c:pt idx="34">
                  <c:v>1.1962973798357508</c:v>
                </c:pt>
                <c:pt idx="35">
                  <c:v>1.2557608088865275</c:v>
                </c:pt>
                <c:pt idx="36">
                  <c:v>1.3199439367840973</c:v>
                </c:pt>
                <c:pt idx="37">
                  <c:v>1.3882243364509419</c:v>
                </c:pt>
                <c:pt idx="38">
                  <c:v>1.4596780693715132</c:v>
                </c:pt>
                <c:pt idx="39">
                  <c:v>1.5333647780905673</c:v>
                </c:pt>
                <c:pt idx="40">
                  <c:v>1.6083008188573018</c:v>
                </c:pt>
                <c:pt idx="41">
                  <c:v>1.6833413437857301</c:v>
                </c:pt>
                <c:pt idx="42">
                  <c:v>1.757344490251628</c:v>
                </c:pt>
                <c:pt idx="43">
                  <c:v>1.8286414969296585</c:v>
                </c:pt>
                <c:pt idx="44">
                  <c:v>1.899435487000678</c:v>
                </c:pt>
                <c:pt idx="45">
                  <c:v>1.9729177052889884</c:v>
                </c:pt>
                <c:pt idx="46">
                  <c:v>2.0499105914102076</c:v>
                </c:pt>
                <c:pt idx="47">
                  <c:v>2.1297469393603778</c:v>
                </c:pt>
                <c:pt idx="48">
                  <c:v>2.2111609981521227</c:v>
                </c:pt>
                <c:pt idx="49">
                  <c:v>2.2940676878252075</c:v>
                </c:pt>
                <c:pt idx="50">
                  <c:v>2.3784058105134949</c:v>
                </c:pt>
                <c:pt idx="51">
                  <c:v>2.4637320548452291</c:v>
                </c:pt>
                <c:pt idx="52">
                  <c:v>2.5497553577985488</c:v>
                </c:pt>
                <c:pt idx="53">
                  <c:v>2.6361801784589485</c:v>
                </c:pt>
                <c:pt idx="54">
                  <c:v>2.723221455673341</c:v>
                </c:pt>
                <c:pt idx="55">
                  <c:v>2.8122285277584567</c:v>
                </c:pt>
                <c:pt idx="56">
                  <c:v>2.9047970171264472</c:v>
                </c:pt>
                <c:pt idx="57">
                  <c:v>3.0014732266798818</c:v>
                </c:pt>
                <c:pt idx="58">
                  <c:v>3.1018392197719855</c:v>
                </c:pt>
                <c:pt idx="59">
                  <c:v>3.2056875207102538</c:v>
                </c:pt>
                <c:pt idx="60">
                  <c:v>3.3131524662740048</c:v>
                </c:pt>
                <c:pt idx="61">
                  <c:v>3.4248326014466581</c:v>
                </c:pt>
                <c:pt idx="62">
                  <c:v>3.5417772457377934</c:v>
                </c:pt>
                <c:pt idx="63">
                  <c:v>3.6651849817451243</c:v>
                </c:pt>
                <c:pt idx="64">
                  <c:v>3.7969992148761564</c:v>
                </c:pt>
                <c:pt idx="65">
                  <c:v>3.9366811053827258</c:v>
                </c:pt>
                <c:pt idx="66">
                  <c:v>4.0820424563927888</c:v>
                </c:pt>
                <c:pt idx="67">
                  <c:v>4.2312652434928761</c:v>
                </c:pt>
                <c:pt idx="68">
                  <c:v>4.3829060926207317</c:v>
                </c:pt>
                <c:pt idx="69">
                  <c:v>4.5374620498598421</c:v>
                </c:pt>
                <c:pt idx="70">
                  <c:v>4.6956958495905718</c:v>
                </c:pt>
                <c:pt idx="71">
                  <c:v>4.85663728174005</c:v>
                </c:pt>
                <c:pt idx="72">
                  <c:v>5.0192370267986952</c:v>
                </c:pt>
                <c:pt idx="73">
                  <c:v>5.1820024538851692</c:v>
                </c:pt>
                <c:pt idx="74">
                  <c:v>5.3451634281551987</c:v>
                </c:pt>
                <c:pt idx="75">
                  <c:v>5.5089483221336266</c:v>
                </c:pt>
                <c:pt idx="76">
                  <c:v>5.6727854581929016</c:v>
                </c:pt>
                <c:pt idx="77">
                  <c:v>5.8363270533376719</c:v>
                </c:pt>
                <c:pt idx="78">
                  <c:v>5.9995268360106158</c:v>
                </c:pt>
                <c:pt idx="79">
                  <c:v>6.1620116484913989</c:v>
                </c:pt>
                <c:pt idx="80">
                  <c:v>6.3237934318270703</c:v>
                </c:pt>
                <c:pt idx="81">
                  <c:v>6.4846020198281087</c:v>
                </c:pt>
                <c:pt idx="82">
                  <c:v>6.6436478107582859</c:v>
                </c:pt>
                <c:pt idx="83">
                  <c:v>6.7989485908071847</c:v>
                </c:pt>
                <c:pt idx="84">
                  <c:v>6.9462891703659047</c:v>
                </c:pt>
                <c:pt idx="85">
                  <c:v>7.0839604870753092</c:v>
                </c:pt>
                <c:pt idx="86">
                  <c:v>7.2154060403786513</c:v>
                </c:pt>
                <c:pt idx="87">
                  <c:v>7.344445472701274</c:v>
                </c:pt>
                <c:pt idx="88">
                  <c:v>7.4720594425322187</c:v>
                </c:pt>
                <c:pt idx="89">
                  <c:v>7.5976180596395597</c:v>
                </c:pt>
                <c:pt idx="90">
                  <c:v>7.7213168586687537</c:v>
                </c:pt>
                <c:pt idx="91">
                  <c:v>7.8449156514288951</c:v>
                </c:pt>
                <c:pt idx="92">
                  <c:v>7.9708489188874534</c:v>
                </c:pt>
                <c:pt idx="93">
                  <c:v>8.1032706527871898</c:v>
                </c:pt>
                <c:pt idx="94">
                  <c:v>8.2427838760041681</c:v>
                </c:pt>
                <c:pt idx="95">
                  <c:v>8.3865287077697417</c:v>
                </c:pt>
                <c:pt idx="96">
                  <c:v>8.5321751512781407</c:v>
                </c:pt>
                <c:pt idx="97">
                  <c:v>8.6787410554094446</c:v>
                </c:pt>
                <c:pt idx="98">
                  <c:v>8.8259144603094519</c:v>
                </c:pt>
                <c:pt idx="99">
                  <c:v>8.9729639768463105</c:v>
                </c:pt>
                <c:pt idx="100">
                  <c:v>9.1192373253248711</c:v>
                </c:pt>
                <c:pt idx="101">
                  <c:v>9.2641374533926015</c:v>
                </c:pt>
                <c:pt idx="102">
                  <c:v>9.4073658348732305</c:v>
                </c:pt>
                <c:pt idx="103">
                  <c:v>9.5501135892100706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91B7-4A19-833B-8F51711296A1}"/>
            </c:ext>
          </c:extLst>
        </c:ser>
        <c:ser>
          <c:idx val="15"/>
          <c:order val="15"/>
          <c:tx>
            <c:strRef>
              <c:f>'вместе-отн'!$Q$1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'вместе-отн'!$Q$2:$Q$105</c:f>
              <c:numCache>
                <c:formatCode>0.00</c:formatCode>
                <c:ptCount val="104"/>
                <c:pt idx="0">
                  <c:v>0</c:v>
                </c:pt>
                <c:pt idx="1">
                  <c:v>1.6785600881658036E-2</c:v>
                </c:pt>
                <c:pt idx="2">
                  <c:v>3.3694587903558837E-2</c:v>
                </c:pt>
                <c:pt idx="3">
                  <c:v>5.0727624432047813E-2</c:v>
                </c:pt>
                <c:pt idx="4">
                  <c:v>6.7947288025706598E-2</c:v>
                </c:pt>
                <c:pt idx="5">
                  <c:v>8.5502836112248515E-2</c:v>
                </c:pt>
                <c:pt idx="6">
                  <c:v>0.10313887264869814</c:v>
                </c:pt>
                <c:pt idx="7">
                  <c:v>0.12082046034086424</c:v>
                </c:pt>
                <c:pt idx="8">
                  <c:v>0.13884478731148242</c:v>
                </c:pt>
                <c:pt idx="9">
                  <c:v>0.15728747732392723</c:v>
                </c:pt>
                <c:pt idx="10">
                  <c:v>0.17600369539278815</c:v>
                </c:pt>
                <c:pt idx="11">
                  <c:v>0.19440569893604875</c:v>
                </c:pt>
                <c:pt idx="12">
                  <c:v>0.2130117981915749</c:v>
                </c:pt>
                <c:pt idx="13">
                  <c:v>0.23145581493671052</c:v>
                </c:pt>
                <c:pt idx="14">
                  <c:v>0.25114585480060536</c:v>
                </c:pt>
                <c:pt idx="15">
                  <c:v>0.27049359763027847</c:v>
                </c:pt>
                <c:pt idx="16">
                  <c:v>0.28983227445323134</c:v>
                </c:pt>
                <c:pt idx="17">
                  <c:v>0.30905287206670473</c:v>
                </c:pt>
                <c:pt idx="18">
                  <c:v>0.32848906374243003</c:v>
                </c:pt>
                <c:pt idx="19">
                  <c:v>0.34946935114811017</c:v>
                </c:pt>
                <c:pt idx="20">
                  <c:v>0.37088967156289998</c:v>
                </c:pt>
                <c:pt idx="21">
                  <c:v>0.39264145402826989</c:v>
                </c:pt>
                <c:pt idx="22">
                  <c:v>0.41505792957172183</c:v>
                </c:pt>
                <c:pt idx="23">
                  <c:v>0.4380303061126114</c:v>
                </c:pt>
                <c:pt idx="24">
                  <c:v>0.46244948465279845</c:v>
                </c:pt>
                <c:pt idx="25">
                  <c:v>0.48769941897953029</c:v>
                </c:pt>
                <c:pt idx="26">
                  <c:v>0.51378895397741187</c:v>
                </c:pt>
                <c:pt idx="27">
                  <c:v>0.54094827776829413</c:v>
                </c:pt>
                <c:pt idx="28">
                  <c:v>0.56896467087742142</c:v>
                </c:pt>
                <c:pt idx="29">
                  <c:v>0.59806787918241411</c:v>
                </c:pt>
                <c:pt idx="30">
                  <c:v>0.62804584657486262</c:v>
                </c:pt>
                <c:pt idx="31">
                  <c:v>0.65901797899693704</c:v>
                </c:pt>
                <c:pt idx="32">
                  <c:v>0.69121358008202738</c:v>
                </c:pt>
                <c:pt idx="33">
                  <c:v>0.72486305907409987</c:v>
                </c:pt>
                <c:pt idx="34">
                  <c:v>0.76800995403313488</c:v>
                </c:pt>
                <c:pt idx="35">
                  <c:v>0.81280376650566022</c:v>
                </c:pt>
                <c:pt idx="36">
                  <c:v>0.8586452555596733</c:v>
                </c:pt>
                <c:pt idx="37">
                  <c:v>0.90523391624071192</c:v>
                </c:pt>
                <c:pt idx="38">
                  <c:v>0.95245763963640462</c:v>
                </c:pt>
                <c:pt idx="39">
                  <c:v>1.0008586171730509</c:v>
                </c:pt>
                <c:pt idx="40">
                  <c:v>1.051492928072514</c:v>
                </c:pt>
                <c:pt idx="41">
                  <c:v>1.1049250970947209</c:v>
                </c:pt>
                <c:pt idx="42">
                  <c:v>1.1618295466908188</c:v>
                </c:pt>
                <c:pt idx="43">
                  <c:v>1.2228373593773907</c:v>
                </c:pt>
                <c:pt idx="44">
                  <c:v>1.2876183998365467</c:v>
                </c:pt>
                <c:pt idx="45">
                  <c:v>1.3549074073255105</c:v>
                </c:pt>
                <c:pt idx="46">
                  <c:v>1.4243149857995379</c:v>
                </c:pt>
                <c:pt idx="47">
                  <c:v>1.495551023043578</c:v>
                </c:pt>
                <c:pt idx="48">
                  <c:v>1.5681485091504754</c:v>
                </c:pt>
                <c:pt idx="49">
                  <c:v>1.6420970513808193</c:v>
                </c:pt>
                <c:pt idx="50">
                  <c:v>1.7176907421477323</c:v>
                </c:pt>
                <c:pt idx="51">
                  <c:v>1.7950445649510836</c:v>
                </c:pt>
                <c:pt idx="52">
                  <c:v>1.8742191072504175</c:v>
                </c:pt>
                <c:pt idx="53">
                  <c:v>1.9513049300502301</c:v>
                </c:pt>
                <c:pt idx="54">
                  <c:v>2.0299195911540542</c:v>
                </c:pt>
                <c:pt idx="55">
                  <c:v>2.1136903777384872</c:v>
                </c:pt>
                <c:pt idx="56">
                  <c:v>2.1986300158234986</c:v>
                </c:pt>
                <c:pt idx="57">
                  <c:v>2.2845540895650704</c:v>
                </c:pt>
                <c:pt idx="58">
                  <c:v>2.3715771402188404</c:v>
                </c:pt>
                <c:pt idx="59">
                  <c:v>2.4602329565707319</c:v>
                </c:pt>
                <c:pt idx="60">
                  <c:v>2.5512227168478248</c:v>
                </c:pt>
                <c:pt idx="61">
                  <c:v>2.6444314375502498</c:v>
                </c:pt>
                <c:pt idx="62">
                  <c:v>2.7391132737836741</c:v>
                </c:pt>
                <c:pt idx="63">
                  <c:v>2.8348217799976472</c:v>
                </c:pt>
                <c:pt idx="64">
                  <c:v>2.9314455106461454</c:v>
                </c:pt>
                <c:pt idx="65">
                  <c:v>3.0292582149076992</c:v>
                </c:pt>
                <c:pt idx="66">
                  <c:v>3.1285325363502645</c:v>
                </c:pt>
                <c:pt idx="67">
                  <c:v>3.229032316554882</c:v>
                </c:pt>
                <c:pt idx="68">
                  <c:v>3.3303226083210911</c:v>
                </c:pt>
                <c:pt idx="69">
                  <c:v>3.4316113522324931</c:v>
                </c:pt>
                <c:pt idx="70">
                  <c:v>3.5329657694120895</c:v>
                </c:pt>
                <c:pt idx="71">
                  <c:v>3.6352250182867989</c:v>
                </c:pt>
                <c:pt idx="72">
                  <c:v>3.7378354090803363</c:v>
                </c:pt>
                <c:pt idx="73">
                  <c:v>3.84029831142308</c:v>
                </c:pt>
                <c:pt idx="74">
                  <c:v>3.9407058837056885</c:v>
                </c:pt>
                <c:pt idx="75">
                  <c:v>4.0400498586145197</c:v>
                </c:pt>
                <c:pt idx="76">
                  <c:v>4.1395720579481461</c:v>
                </c:pt>
                <c:pt idx="77">
                  <c:v>4.2387110526562513</c:v>
                </c:pt>
                <c:pt idx="78">
                  <c:v>4.3373819318466262</c:v>
                </c:pt>
                <c:pt idx="79">
                  <c:v>4.4353412400705121</c:v>
                </c:pt>
                <c:pt idx="80">
                  <c:v>4.5332483634752254</c:v>
                </c:pt>
                <c:pt idx="81">
                  <c:v>4.6307402195477261</c:v>
                </c:pt>
                <c:pt idx="82">
                  <c:v>4.725552517829076</c:v>
                </c:pt>
                <c:pt idx="83">
                  <c:v>4.8149451130685819</c:v>
                </c:pt>
                <c:pt idx="84">
                  <c:v>4.8979315795106482</c:v>
                </c:pt>
                <c:pt idx="85">
                  <c:v>4.9751617950516414</c:v>
                </c:pt>
                <c:pt idx="86">
                  <c:v>5.0479930072342309</c:v>
                </c:pt>
                <c:pt idx="87">
                  <c:v>5.1177044074944478</c:v>
                </c:pt>
                <c:pt idx="88">
                  <c:v>5.1841602268536002</c:v>
                </c:pt>
                <c:pt idx="89">
                  <c:v>5.2467055016066739</c:v>
                </c:pt>
                <c:pt idx="90">
                  <c:v>5.3062654066833721</c:v>
                </c:pt>
                <c:pt idx="91">
                  <c:v>5.3632939057860582</c:v>
                </c:pt>
                <c:pt idx="92">
                  <c:v>5.4191524477775905</c:v>
                </c:pt>
                <c:pt idx="93">
                  <c:v>5.4768051746112896</c:v>
                </c:pt>
                <c:pt idx="94">
                  <c:v>5.5382903899444278</c:v>
                </c:pt>
                <c:pt idx="95">
                  <c:v>5.6031709353553918</c:v>
                </c:pt>
                <c:pt idx="96">
                  <c:v>5.6705203091817866</c:v>
                </c:pt>
                <c:pt idx="97">
                  <c:v>5.741203762260116</c:v>
                </c:pt>
                <c:pt idx="98">
                  <c:v>5.8165612946080696</c:v>
                </c:pt>
                <c:pt idx="99">
                  <c:v>5.8992837412446706</c:v>
                </c:pt>
                <c:pt idx="100">
                  <c:v>5.9874939965345746</c:v>
                </c:pt>
                <c:pt idx="101">
                  <c:v>6.088267747039839</c:v>
                </c:pt>
                <c:pt idx="102">
                  <c:v>6.1863592862885719</c:v>
                </c:pt>
                <c:pt idx="103">
                  <c:v>6.2659800530162384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91B7-4A19-833B-8F51711296A1}"/>
            </c:ext>
          </c:extLst>
        </c:ser>
        <c:ser>
          <c:idx val="17"/>
          <c:order val="17"/>
          <c:tx>
            <c:strRef>
              <c:f>'вместе-отн'!$S$1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'вместе-отн'!$S$2:$S$105</c:f>
              <c:numCache>
                <c:formatCode>0.00</c:formatCode>
                <c:ptCount val="104"/>
                <c:pt idx="0">
                  <c:v>0</c:v>
                </c:pt>
                <c:pt idx="1">
                  <c:v>1.2167999978810462E-2</c:v>
                </c:pt>
                <c:pt idx="2">
                  <c:v>2.5184457944824601E-2</c:v>
                </c:pt>
                <c:pt idx="3">
                  <c:v>3.8285673420486388E-2</c:v>
                </c:pt>
                <c:pt idx="4">
                  <c:v>5.5145354714592365E-2</c:v>
                </c:pt>
                <c:pt idx="5">
                  <c:v>7.223017314370006E-2</c:v>
                </c:pt>
                <c:pt idx="6">
                  <c:v>9.1213206632628108E-2</c:v>
                </c:pt>
                <c:pt idx="7">
                  <c:v>0.11199998587374838</c:v>
                </c:pt>
                <c:pt idx="8">
                  <c:v>0.13185090094584084</c:v>
                </c:pt>
                <c:pt idx="9">
                  <c:v>0.15067059965055174</c:v>
                </c:pt>
                <c:pt idx="10">
                  <c:v>0.17057537105689957</c:v>
                </c:pt>
                <c:pt idx="11">
                  <c:v>0.19411853514302391</c:v>
                </c:pt>
                <c:pt idx="12">
                  <c:v>0.2145865908322393</c:v>
                </c:pt>
                <c:pt idx="13">
                  <c:v>0.23674096780715548</c:v>
                </c:pt>
                <c:pt idx="14">
                  <c:v>0.25086721941512025</c:v>
                </c:pt>
                <c:pt idx="15">
                  <c:v>0.26721747276061381</c:v>
                </c:pt>
                <c:pt idx="16">
                  <c:v>0.28409039741560216</c:v>
                </c:pt>
                <c:pt idx="17">
                  <c:v>0.30110811614957234</c:v>
                </c:pt>
                <c:pt idx="18">
                  <c:v>0.31833419709475974</c:v>
                </c:pt>
                <c:pt idx="19">
                  <c:v>0.33627541952760032</c:v>
                </c:pt>
                <c:pt idx="20">
                  <c:v>0.35455390621758132</c:v>
                </c:pt>
                <c:pt idx="21">
                  <c:v>0.37323234240621272</c:v>
                </c:pt>
                <c:pt idx="22">
                  <c:v>0.39281750736993026</c:v>
                </c:pt>
                <c:pt idx="23">
                  <c:v>0.41293152387822096</c:v>
                </c:pt>
                <c:pt idx="24">
                  <c:v>0.43356114857020245</c:v>
                </c:pt>
                <c:pt idx="25">
                  <c:v>0.45467724605193349</c:v>
                </c:pt>
                <c:pt idx="26">
                  <c:v>0.47411055381086542</c:v>
                </c:pt>
                <c:pt idx="27">
                  <c:v>0.49940449020565159</c:v>
                </c:pt>
                <c:pt idx="28">
                  <c:v>0.52309244837075752</c:v>
                </c:pt>
                <c:pt idx="29">
                  <c:v>0.54697905694910043</c:v>
                </c:pt>
                <c:pt idx="30">
                  <c:v>0.5724274992208489</c:v>
                </c:pt>
                <c:pt idx="31">
                  <c:v>0.59815140339895256</c:v>
                </c:pt>
                <c:pt idx="32">
                  <c:v>0.62507162451010601</c:v>
                </c:pt>
                <c:pt idx="33">
                  <c:v>0.65675857264822191</c:v>
                </c:pt>
                <c:pt idx="34">
                  <c:v>0.69816173322044106</c:v>
                </c:pt>
                <c:pt idx="35">
                  <c:v>0.74841322464359905</c:v>
                </c:pt>
                <c:pt idx="36">
                  <c:v>0.80757043481485336</c:v>
                </c:pt>
                <c:pt idx="37">
                  <c:v>0.87551329059553606</c:v>
                </c:pt>
                <c:pt idx="38">
                  <c:v>0.95225326956507916</c:v>
                </c:pt>
                <c:pt idx="39">
                  <c:v>1.0434673590884329</c:v>
                </c:pt>
                <c:pt idx="40">
                  <c:v>1.1491440815861664</c:v>
                </c:pt>
                <c:pt idx="41">
                  <c:v>1.2594400883597037</c:v>
                </c:pt>
                <c:pt idx="42">
                  <c:v>1.3649084486462195</c:v>
                </c:pt>
                <c:pt idx="43">
                  <c:v>1.4564112434368113</c:v>
                </c:pt>
                <c:pt idx="44">
                  <c:v>1.5361618797803014</c:v>
                </c:pt>
                <c:pt idx="45">
                  <c:v>1.6128347590547065</c:v>
                </c:pt>
                <c:pt idx="46">
                  <c:v>1.6878636957982347</c:v>
                </c:pt>
                <c:pt idx="47">
                  <c:v>1.7643599969275403</c:v>
                </c:pt>
                <c:pt idx="48">
                  <c:v>1.8442448326613063</c:v>
                </c:pt>
                <c:pt idx="49">
                  <c:v>1.9274281481455322</c:v>
                </c:pt>
                <c:pt idx="50">
                  <c:v>2.0123145598392433</c:v>
                </c:pt>
                <c:pt idx="51">
                  <c:v>2.0981465474999625</c:v>
                </c:pt>
                <c:pt idx="52">
                  <c:v>2.1841665908852126</c:v>
                </c:pt>
                <c:pt idx="53">
                  <c:v>2.268644224173018</c:v>
                </c:pt>
                <c:pt idx="54">
                  <c:v>2.3520447307757166</c:v>
                </c:pt>
                <c:pt idx="55">
                  <c:v>2.4363457859184225</c:v>
                </c:pt>
                <c:pt idx="56">
                  <c:v>2.5213354958270169</c:v>
                </c:pt>
                <c:pt idx="57">
                  <c:v>2.6054343689935839</c:v>
                </c:pt>
                <c:pt idx="58">
                  <c:v>2.6872836365915829</c:v>
                </c:pt>
                <c:pt idx="59">
                  <c:v>2.7672320404575848</c:v>
                </c:pt>
                <c:pt idx="60">
                  <c:v>2.8467628370104259</c:v>
                </c:pt>
                <c:pt idx="61">
                  <c:v>2.9258592513263224</c:v>
                </c:pt>
                <c:pt idx="62">
                  <c:v>3.0005315002167494</c:v>
                </c:pt>
                <c:pt idx="63">
                  <c:v>3.061714061712296</c:v>
                </c:pt>
                <c:pt idx="64">
                  <c:v>3.1075131352067684</c:v>
                </c:pt>
                <c:pt idx="65">
                  <c:v>3.1610445656751507</c:v>
                </c:pt>
                <c:pt idx="66">
                  <c:v>3.2280674493198651</c:v>
                </c:pt>
                <c:pt idx="67">
                  <c:v>3.2972984426690495</c:v>
                </c:pt>
                <c:pt idx="68">
                  <c:v>3.3696840045804377</c:v>
                </c:pt>
                <c:pt idx="69">
                  <c:v>3.4427202569565161</c:v>
                </c:pt>
                <c:pt idx="70">
                  <c:v>3.5159375019313233</c:v>
                </c:pt>
                <c:pt idx="71">
                  <c:v>3.5909964569595187</c:v>
                </c:pt>
                <c:pt idx="72">
                  <c:v>3.6667767337104458</c:v>
                </c:pt>
                <c:pt idx="73">
                  <c:v>3.7429057522979443</c:v>
                </c:pt>
                <c:pt idx="74">
                  <c:v>3.8205197930857295</c:v>
                </c:pt>
                <c:pt idx="75">
                  <c:v>3.8994599357432129</c:v>
                </c:pt>
                <c:pt idx="76">
                  <c:v>3.9713687366628321</c:v>
                </c:pt>
                <c:pt idx="77">
                  <c:v>4.0309797526669922</c:v>
                </c:pt>
                <c:pt idx="78">
                  <c:v>4.0811473694712284</c:v>
                </c:pt>
                <c:pt idx="79">
                  <c:v>4.1234713850701414</c:v>
                </c:pt>
                <c:pt idx="80">
                  <c:v>4.1616934903583918</c:v>
                </c:pt>
                <c:pt idx="81">
                  <c:v>4.1962312926491405</c:v>
                </c:pt>
                <c:pt idx="82">
                  <c:v>4.2271492429653472</c:v>
                </c:pt>
                <c:pt idx="83">
                  <c:v>4.2542901867578751</c:v>
                </c:pt>
                <c:pt idx="84">
                  <c:v>4.2769619376979326</c:v>
                </c:pt>
                <c:pt idx="85">
                  <c:v>4.295018818815814</c:v>
                </c:pt>
                <c:pt idx="86">
                  <c:v>4.3093419550555643</c:v>
                </c:pt>
                <c:pt idx="87">
                  <c:v>4.3212088892969804</c:v>
                </c:pt>
                <c:pt idx="88">
                  <c:v>4.3319448405190331</c:v>
                </c:pt>
                <c:pt idx="89">
                  <c:v>4.3420468762001789</c:v>
                </c:pt>
                <c:pt idx="90">
                  <c:v>4.3575292479625087</c:v>
                </c:pt>
                <c:pt idx="91">
                  <c:v>4.3789358164929277</c:v>
                </c:pt>
                <c:pt idx="92">
                  <c:v>4.4007617581179597</c:v>
                </c:pt>
                <c:pt idx="93">
                  <c:v>4.4236392225970578</c:v>
                </c:pt>
                <c:pt idx="94">
                  <c:v>4.4482948289973097</c:v>
                </c:pt>
                <c:pt idx="95">
                  <c:v>4.4748151006098125</c:v>
                </c:pt>
                <c:pt idx="96">
                  <c:v>4.5024866617283648</c:v>
                </c:pt>
                <c:pt idx="97">
                  <c:v>4.5304248558460172</c:v>
                </c:pt>
                <c:pt idx="98">
                  <c:v>4.5571234713850703</c:v>
                </c:pt>
                <c:pt idx="99">
                  <c:v>4.5827131761728976</c:v>
                </c:pt>
                <c:pt idx="100">
                  <c:v>4.6070253380809305</c:v>
                </c:pt>
                <c:pt idx="101">
                  <c:v>4.6289651726095515</c:v>
                </c:pt>
                <c:pt idx="102">
                  <c:v>4.6494658952556103</c:v>
                </c:pt>
                <c:pt idx="103">
                  <c:v>4.6743651794960988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91B7-4A19-833B-8F51711296A1}"/>
            </c:ext>
          </c:extLst>
        </c:ser>
        <c:ser>
          <c:idx val="18"/>
          <c:order val="18"/>
          <c:tx>
            <c:strRef>
              <c:f>'вместе-отн'!$T$1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'вместе-отн'!$T$2:$T$105</c:f>
              <c:numCache>
                <c:formatCode>0.00</c:formatCode>
                <c:ptCount val="104"/>
                <c:pt idx="0">
                  <c:v>0</c:v>
                </c:pt>
                <c:pt idx="1">
                  <c:v>1.8280881444839858E-2</c:v>
                </c:pt>
                <c:pt idx="2">
                  <c:v>4.028863630908619E-2</c:v>
                </c:pt>
                <c:pt idx="3">
                  <c:v>5.6932282768156428E-2</c:v>
                </c:pt>
                <c:pt idx="4">
                  <c:v>7.3762854767583264E-2</c:v>
                </c:pt>
                <c:pt idx="5">
                  <c:v>9.0837084572533477E-2</c:v>
                </c:pt>
                <c:pt idx="6">
                  <c:v>0.10809314856070973</c:v>
                </c:pt>
                <c:pt idx="7">
                  <c:v>0.12546776843634988</c:v>
                </c:pt>
                <c:pt idx="8">
                  <c:v>0.14290057525062205</c:v>
                </c:pt>
                <c:pt idx="9">
                  <c:v>0.16578331620455322</c:v>
                </c:pt>
                <c:pt idx="10">
                  <c:v>0.18823547381260464</c:v>
                </c:pt>
                <c:pt idx="11">
                  <c:v>0.21092256118538444</c:v>
                </c:pt>
                <c:pt idx="12">
                  <c:v>0.23305541796769025</c:v>
                </c:pt>
                <c:pt idx="13">
                  <c:v>0.25529955727013065</c:v>
                </c:pt>
                <c:pt idx="14">
                  <c:v>0.2751340299764562</c:v>
                </c:pt>
                <c:pt idx="15">
                  <c:v>0.29482230799946763</c:v>
                </c:pt>
                <c:pt idx="16">
                  <c:v>0.31438475676768651</c:v>
                </c:pt>
                <c:pt idx="17">
                  <c:v>0.33384319638310012</c:v>
                </c:pt>
                <c:pt idx="18">
                  <c:v>0.35321799227422934</c:v>
                </c:pt>
                <c:pt idx="19">
                  <c:v>0.37034749967088021</c:v>
                </c:pt>
                <c:pt idx="20">
                  <c:v>0.38743482153702269</c:v>
                </c:pt>
                <c:pt idx="21">
                  <c:v>0.40450177797464359</c:v>
                </c:pt>
                <c:pt idx="22">
                  <c:v>0.42156800707553188</c:v>
                </c:pt>
                <c:pt idx="23">
                  <c:v>0.43865460160494152</c:v>
                </c:pt>
                <c:pt idx="24">
                  <c:v>0.45534988897204798</c:v>
                </c:pt>
                <c:pt idx="25">
                  <c:v>0.47196953331893221</c:v>
                </c:pt>
                <c:pt idx="26">
                  <c:v>0.48853462741084863</c:v>
                </c:pt>
                <c:pt idx="27">
                  <c:v>0.50542920504277111</c:v>
                </c:pt>
                <c:pt idx="28">
                  <c:v>0.52230996327676871</c:v>
                </c:pt>
                <c:pt idx="29">
                  <c:v>0.53956166324454724</c:v>
                </c:pt>
                <c:pt idx="30">
                  <c:v>0.5572046703746294</c:v>
                </c:pt>
                <c:pt idx="31">
                  <c:v>0.57489640906581596</c:v>
                </c:pt>
                <c:pt idx="32">
                  <c:v>0.59338458147953377</c:v>
                </c:pt>
                <c:pt idx="33">
                  <c:v>0.61232588467785187</c:v>
                </c:pt>
                <c:pt idx="34">
                  <c:v>0.63003071543023048</c:v>
                </c:pt>
                <c:pt idx="35">
                  <c:v>0.64936332579085176</c:v>
                </c:pt>
                <c:pt idx="36">
                  <c:v>0.67023134399463524</c:v>
                </c:pt>
                <c:pt idx="37">
                  <c:v>0.69250384942965892</c:v>
                </c:pt>
                <c:pt idx="38">
                  <c:v>0.71605210349419846</c:v>
                </c:pt>
                <c:pt idx="39">
                  <c:v>0.74094011182074926</c:v>
                </c:pt>
                <c:pt idx="40">
                  <c:v>0.76686602966515593</c:v>
                </c:pt>
                <c:pt idx="41">
                  <c:v>0.79313815979442559</c:v>
                </c:pt>
                <c:pt idx="42">
                  <c:v>0.81891715561878553</c:v>
                </c:pt>
                <c:pt idx="43">
                  <c:v>0.84336585255866181</c:v>
                </c:pt>
                <c:pt idx="44">
                  <c:v>0.86684791898050673</c:v>
                </c:pt>
                <c:pt idx="45">
                  <c:v>0.89014524187219402</c:v>
                </c:pt>
                <c:pt idx="46">
                  <c:v>0.91290069889786674</c:v>
                </c:pt>
                <c:pt idx="47">
                  <c:v>0.93468225203817967</c:v>
                </c:pt>
                <c:pt idx="48">
                  <c:v>0.95506077262071809</c:v>
                </c:pt>
                <c:pt idx="49">
                  <c:v>0.97478832682730632</c:v>
                </c:pt>
                <c:pt idx="50">
                  <c:v>0.9941318472389209</c:v>
                </c:pt>
                <c:pt idx="51">
                  <c:v>1.0117312141650285</c:v>
                </c:pt>
                <c:pt idx="52">
                  <c:v>1.0262997689251199</c:v>
                </c:pt>
                <c:pt idx="53">
                  <c:v>1.0368396055216498</c:v>
                </c:pt>
                <c:pt idx="54">
                  <c:v>1.044550829563911</c:v>
                </c:pt>
                <c:pt idx="55">
                  <c:v>1.0513172431901281</c:v>
                </c:pt>
                <c:pt idx="56">
                  <c:v>1.057969464949279</c:v>
                </c:pt>
                <c:pt idx="57">
                  <c:v>1.0653032012271626</c:v>
                </c:pt>
                <c:pt idx="58">
                  <c:v>1.0738959573897051</c:v>
                </c:pt>
                <c:pt idx="59">
                  <c:v>1.0845492585165677</c:v>
                </c:pt>
                <c:pt idx="60">
                  <c:v>1.0969161649861552</c:v>
                </c:pt>
                <c:pt idx="61">
                  <c:v>1.1098409387298811</c:v>
                </c:pt>
                <c:pt idx="62">
                  <c:v>1.1224624130559855</c:v>
                </c:pt>
                <c:pt idx="63">
                  <c:v>1.1339179665992427</c:v>
                </c:pt>
                <c:pt idx="64">
                  <c:v>1.1447087343686246</c:v>
                </c:pt>
                <c:pt idx="65">
                  <c:v>1.1561235570548392</c:v>
                </c:pt>
                <c:pt idx="66">
                  <c:v>1.1680402420867586</c:v>
                </c:pt>
                <c:pt idx="67">
                  <c:v>1.1801576720569593</c:v>
                </c:pt>
                <c:pt idx="68">
                  <c:v>1.1925369432510062</c:v>
                </c:pt>
                <c:pt idx="69">
                  <c:v>1.205282792158437</c:v>
                </c:pt>
                <c:pt idx="70">
                  <c:v>1.2184512237076865</c:v>
                </c:pt>
                <c:pt idx="71">
                  <c:v>1.2320487839293497</c:v>
                </c:pt>
                <c:pt idx="72">
                  <c:v>1.2459016393442623</c:v>
                </c:pt>
                <c:pt idx="73">
                  <c:v>1.2599792418096429</c:v>
                </c:pt>
                <c:pt idx="74">
                  <c:v>1.2745528879268653</c:v>
                </c:pt>
                <c:pt idx="75">
                  <c:v>1.2893461897374245</c:v>
                </c:pt>
                <c:pt idx="76">
                  <c:v>1.3040340277217126</c:v>
                </c:pt>
                <c:pt idx="77">
                  <c:v>1.3185102107167248</c:v>
                </c:pt>
                <c:pt idx="78">
                  <c:v>1.3325223528761443</c:v>
                </c:pt>
                <c:pt idx="79">
                  <c:v>1.3470967263300992</c:v>
                </c:pt>
                <c:pt idx="80">
                  <c:v>1.3623984365169592</c:v>
                </c:pt>
                <c:pt idx="81">
                  <c:v>1.3766324163799144</c:v>
                </c:pt>
                <c:pt idx="82">
                  <c:v>1.3882938062185834</c:v>
                </c:pt>
                <c:pt idx="83">
                  <c:v>1.3955497174660461</c:v>
                </c:pt>
                <c:pt idx="84">
                  <c:v>1.3989551080495088</c:v>
                </c:pt>
                <c:pt idx="85">
                  <c:v>1.4008840050651732</c:v>
                </c:pt>
                <c:pt idx="86">
                  <c:v>1.4019044585014391</c:v>
                </c:pt>
                <c:pt idx="87">
                  <c:v>1.4028405408766882</c:v>
                </c:pt>
                <c:pt idx="88">
                  <c:v>1.4042617568527849</c:v>
                </c:pt>
                <c:pt idx="89">
                  <c:v>1.4071856505190641</c:v>
                </c:pt>
                <c:pt idx="90">
                  <c:v>1.4124130196184539</c:v>
                </c:pt>
                <c:pt idx="91">
                  <c:v>1.419067423387804</c:v>
                </c:pt>
                <c:pt idx="92">
                  <c:v>1.4263778848902344</c:v>
                </c:pt>
                <c:pt idx="93">
                  <c:v>1.4336119760357096</c:v>
                </c:pt>
                <c:pt idx="94">
                  <c:v>1.4404743981106702</c:v>
                </c:pt>
                <c:pt idx="95">
                  <c:v>1.4476481203073144</c:v>
                </c:pt>
                <c:pt idx="96">
                  <c:v>1.455427714002469</c:v>
                </c:pt>
                <c:pt idx="97">
                  <c:v>1.4637106247167937</c:v>
                </c:pt>
                <c:pt idx="98">
                  <c:v>1.4723179276139939</c:v>
                </c:pt>
                <c:pt idx="99">
                  <c:v>1.480958688000908</c:v>
                </c:pt>
                <c:pt idx="100">
                  <c:v>1.4890030322668397</c:v>
                </c:pt>
                <c:pt idx="101">
                  <c:v>1.4960080123414499</c:v>
                </c:pt>
                <c:pt idx="102">
                  <c:v>1.5016754201642475</c:v>
                </c:pt>
                <c:pt idx="103">
                  <c:v>1.5067609586007205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91B7-4A19-833B-8F51711296A1}"/>
            </c:ext>
          </c:extLst>
        </c:ser>
        <c:ser>
          <c:idx val="19"/>
          <c:order val="19"/>
          <c:tx>
            <c:strRef>
              <c:f>'вместе-отн'!$U$1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'вместе-отн'!$U$2:$U$105</c:f>
              <c:numCache>
                <c:formatCode>0.00</c:formatCode>
                <c:ptCount val="104"/>
                <c:pt idx="0">
                  <c:v>0</c:v>
                </c:pt>
                <c:pt idx="1">
                  <c:v>1.2773155390167767E-2</c:v>
                </c:pt>
                <c:pt idx="2">
                  <c:v>2.5857436004471213E-2</c:v>
                </c:pt>
                <c:pt idx="3">
                  <c:v>3.926986304351332E-2</c:v>
                </c:pt>
                <c:pt idx="4">
                  <c:v>5.5679137532975043E-2</c:v>
                </c:pt>
                <c:pt idx="5">
                  <c:v>7.0343041370446668E-2</c:v>
                </c:pt>
                <c:pt idx="6">
                  <c:v>8.5207851182247829E-2</c:v>
                </c:pt>
                <c:pt idx="7">
                  <c:v>0.10054534810587534</c:v>
                </c:pt>
                <c:pt idx="8">
                  <c:v>0.11606924112790851</c:v>
                </c:pt>
                <c:pt idx="9">
                  <c:v>0.13191151431203929</c:v>
                </c:pt>
                <c:pt idx="10">
                  <c:v>0.14806491272030575</c:v>
                </c:pt>
                <c:pt idx="11">
                  <c:v>0.16438294241309293</c:v>
                </c:pt>
                <c:pt idx="12">
                  <c:v>0.18099786649016703</c:v>
                </c:pt>
                <c:pt idx="13">
                  <c:v>0.19790187194141584</c:v>
                </c:pt>
                <c:pt idx="14">
                  <c:v>0.21540999049603116</c:v>
                </c:pt>
                <c:pt idx="15">
                  <c:v>0.23320160970331227</c:v>
                </c:pt>
                <c:pt idx="16">
                  <c:v>0.25136378881880117</c:v>
                </c:pt>
                <c:pt idx="17">
                  <c:v>0.26970399295043257</c:v>
                </c:pt>
                <c:pt idx="18">
                  <c:v>0.28844852035540258</c:v>
                </c:pt>
                <c:pt idx="19">
                  <c:v>0.30782366929090799</c:v>
                </c:pt>
                <c:pt idx="20">
                  <c:v>0.32763746293703333</c:v>
                </c:pt>
                <c:pt idx="21">
                  <c:v>0.34811564147882423</c:v>
                </c:pt>
                <c:pt idx="22">
                  <c:v>0.36948506124562819</c:v>
                </c:pt>
                <c:pt idx="23">
                  <c:v>0.39169242634703272</c:v>
                </c:pt>
                <c:pt idx="24">
                  <c:v>0.4164984544191781</c:v>
                </c:pt>
                <c:pt idx="25">
                  <c:v>0.44381329584576656</c:v>
                </c:pt>
                <c:pt idx="26">
                  <c:v>0.47248341549085504</c:v>
                </c:pt>
                <c:pt idx="27">
                  <c:v>0.50233162544652754</c:v>
                </c:pt>
                <c:pt idx="28">
                  <c:v>0.53318129587701879</c:v>
                </c:pt>
                <c:pt idx="29">
                  <c:v>0.5647154418006084</c:v>
                </c:pt>
                <c:pt idx="30">
                  <c:v>0.59703619042091494</c:v>
                </c:pt>
                <c:pt idx="31">
                  <c:v>0.62968759679063857</c:v>
                </c:pt>
                <c:pt idx="32">
                  <c:v>0.66263199103959369</c:v>
                </c:pt>
                <c:pt idx="33">
                  <c:v>0.69583198233366805</c:v>
                </c:pt>
                <c:pt idx="34">
                  <c:v>0.73203133240284091</c:v>
                </c:pt>
                <c:pt idx="35">
                  <c:v>0.77341935829515673</c:v>
                </c:pt>
                <c:pt idx="36">
                  <c:v>0.81941510690151098</c:v>
                </c:pt>
                <c:pt idx="37">
                  <c:v>0.86946413353996865</c:v>
                </c:pt>
                <c:pt idx="38">
                  <c:v>0.92287331259909267</c:v>
                </c:pt>
                <c:pt idx="39">
                  <c:v>0.97921013816192226</c:v>
                </c:pt>
                <c:pt idx="40">
                  <c:v>1.0372624775166681</c:v>
                </c:pt>
                <c:pt idx="41">
                  <c:v>1.0952506385740586</c:v>
                </c:pt>
                <c:pt idx="42">
                  <c:v>1.1514233909245193</c:v>
                </c:pt>
                <c:pt idx="43">
                  <c:v>1.2039310044238376</c:v>
                </c:pt>
                <c:pt idx="44">
                  <c:v>1.2548497865094985</c:v>
                </c:pt>
                <c:pt idx="45">
                  <c:v>1.3071140805510177</c:v>
                </c:pt>
                <c:pt idx="46">
                  <c:v>1.3599730004693389</c:v>
                </c:pt>
                <c:pt idx="47">
                  <c:v>1.41252163227175</c:v>
                </c:pt>
                <c:pt idx="48">
                  <c:v>1.4638416682339193</c:v>
                </c:pt>
                <c:pt idx="49">
                  <c:v>1.5140207256835407</c:v>
                </c:pt>
                <c:pt idx="50">
                  <c:v>1.5635599534121369</c:v>
                </c:pt>
                <c:pt idx="51">
                  <c:v>1.6124671644298201</c:v>
                </c:pt>
                <c:pt idx="52">
                  <c:v>1.6608899688205088</c:v>
                </c:pt>
                <c:pt idx="53">
                  <c:v>1.7087524687716775</c:v>
                </c:pt>
                <c:pt idx="54">
                  <c:v>1.756099868127551</c:v>
                </c:pt>
                <c:pt idx="55">
                  <c:v>1.8031319567181563</c:v>
                </c:pt>
                <c:pt idx="56">
                  <c:v>1.8498264116574576</c:v>
                </c:pt>
                <c:pt idx="57">
                  <c:v>1.896006324073614</c:v>
                </c:pt>
                <c:pt idx="58">
                  <c:v>1.9417328028671514</c:v>
                </c:pt>
                <c:pt idx="59">
                  <c:v>1.9865884100691842</c:v>
                </c:pt>
                <c:pt idx="60">
                  <c:v>2.0305653326695992</c:v>
                </c:pt>
                <c:pt idx="61">
                  <c:v>2.0743606027848918</c:v>
                </c:pt>
                <c:pt idx="62">
                  <c:v>2.1187265016744954</c:v>
                </c:pt>
                <c:pt idx="63">
                  <c:v>2.1646809529416822</c:v>
                </c:pt>
                <c:pt idx="64">
                  <c:v>2.2123623584798784</c:v>
                </c:pt>
                <c:pt idx="65">
                  <c:v>2.2613661159796705</c:v>
                </c:pt>
                <c:pt idx="66">
                  <c:v>2.3119573097127435</c:v>
                </c:pt>
                <c:pt idx="67">
                  <c:v>2.3641630061784165</c:v>
                </c:pt>
                <c:pt idx="68">
                  <c:v>2.4178713119104316</c:v>
                </c:pt>
                <c:pt idx="69">
                  <c:v>2.4732075141066687</c:v>
                </c:pt>
                <c:pt idx="70">
                  <c:v>2.5305731456797123</c:v>
                </c:pt>
                <c:pt idx="71">
                  <c:v>2.5899001218271502</c:v>
                </c:pt>
                <c:pt idx="72">
                  <c:v>2.6508831770824322</c:v>
                </c:pt>
                <c:pt idx="73">
                  <c:v>2.7134553427874479</c:v>
                </c:pt>
                <c:pt idx="74">
                  <c:v>2.7779922014997633</c:v>
                </c:pt>
                <c:pt idx="75">
                  <c:v>2.8437269620840198</c:v>
                </c:pt>
                <c:pt idx="76">
                  <c:v>2.9092652812711544</c:v>
                </c:pt>
                <c:pt idx="77">
                  <c:v>2.9734790162080893</c:v>
                </c:pt>
                <c:pt idx="78">
                  <c:v>3.0352528597012194</c:v>
                </c:pt>
                <c:pt idx="79">
                  <c:v>3.0943758604774976</c:v>
                </c:pt>
                <c:pt idx="80">
                  <c:v>3.1512498304855843</c:v>
                </c:pt>
                <c:pt idx="81">
                  <c:v>3.2067319685492857</c:v>
                </c:pt>
                <c:pt idx="82">
                  <c:v>3.2608298086426402</c:v>
                </c:pt>
                <c:pt idx="83">
                  <c:v>3.3132146462687571</c:v>
                </c:pt>
                <c:pt idx="84">
                  <c:v>3.364194258218868</c:v>
                </c:pt>
                <c:pt idx="85">
                  <c:v>3.4134538917998549</c:v>
                </c:pt>
                <c:pt idx="86">
                  <c:v>3.4611057195140527</c:v>
                </c:pt>
                <c:pt idx="87">
                  <c:v>3.5078057551748634</c:v>
                </c:pt>
                <c:pt idx="88">
                  <c:v>3.5542940024544007</c:v>
                </c:pt>
                <c:pt idx="89">
                  <c:v>3.6006028295374195</c:v>
                </c:pt>
                <c:pt idx="90">
                  <c:v>3.6469934141905469</c:v>
                </c:pt>
                <c:pt idx="91">
                  <c:v>3.693824875842898</c:v>
                </c:pt>
                <c:pt idx="92">
                  <c:v>3.7408003201101865</c:v>
                </c:pt>
                <c:pt idx="93">
                  <c:v>3.7875533726253332</c:v>
                </c:pt>
                <c:pt idx="94">
                  <c:v>3.8338192281527306</c:v>
                </c:pt>
                <c:pt idx="95">
                  <c:v>3.8794402313097454</c:v>
                </c:pt>
                <c:pt idx="96">
                  <c:v>3.9247886162210373</c:v>
                </c:pt>
                <c:pt idx="97">
                  <c:v>3.9709492751479871</c:v>
                </c:pt>
                <c:pt idx="98">
                  <c:v>4.0173596713624722</c:v>
                </c:pt>
                <c:pt idx="99">
                  <c:v>4.068285150313943</c:v>
                </c:pt>
                <c:pt idx="100">
                  <c:v>4.1288516047085659</c:v>
                </c:pt>
                <c:pt idx="101">
                  <c:v>4.1948681917290358</c:v>
                </c:pt>
                <c:pt idx="102">
                  <c:v>4.2561598608837743</c:v>
                </c:pt>
                <c:pt idx="103">
                  <c:v>4.2984488942637444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1B7-4A19-833B-8F51711296A1}"/>
            </c:ext>
          </c:extLst>
        </c:ser>
        <c:ser>
          <c:idx val="20"/>
          <c:order val="20"/>
          <c:tx>
            <c:strRef>
              <c:f>'вместе-отн'!$V$1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'вместе-отн'!$V$2:$V$105</c:f>
              <c:numCache>
                <c:formatCode>0.00</c:formatCode>
                <c:ptCount val="104"/>
                <c:pt idx="0">
                  <c:v>0</c:v>
                </c:pt>
                <c:pt idx="1">
                  <c:v>1.2181347659449004E-2</c:v>
                </c:pt>
                <c:pt idx="2">
                  <c:v>2.4633930618796596E-2</c:v>
                </c:pt>
                <c:pt idx="3">
                  <c:v>3.7353817931667033E-2</c:v>
                </c:pt>
                <c:pt idx="4">
                  <c:v>5.5860713466767242E-2</c:v>
                </c:pt>
                <c:pt idx="5">
                  <c:v>7.8193074982802147E-2</c:v>
                </c:pt>
                <c:pt idx="6">
                  <c:v>9.9513872964916317E-2</c:v>
                </c:pt>
                <c:pt idx="7">
                  <c:v>0.12219084744652275</c:v>
                </c:pt>
                <c:pt idx="8">
                  <c:v>0.14531726013037649</c:v>
                </c:pt>
                <c:pt idx="9">
                  <c:v>0.16864218560618482</c:v>
                </c:pt>
                <c:pt idx="10">
                  <c:v>0.19256789071969083</c:v>
                </c:pt>
                <c:pt idx="11">
                  <c:v>0.21979165984210702</c:v>
                </c:pt>
                <c:pt idx="12">
                  <c:v>0.24744128148851829</c:v>
                </c:pt>
                <c:pt idx="13">
                  <c:v>0.27854030857929057</c:v>
                </c:pt>
                <c:pt idx="14">
                  <c:v>0.31032266518164264</c:v>
                </c:pt>
                <c:pt idx="15">
                  <c:v>0.34508271366331456</c:v>
                </c:pt>
                <c:pt idx="16">
                  <c:v>0.37803649228551772</c:v>
                </c:pt>
                <c:pt idx="17">
                  <c:v>0.41226324237560208</c:v>
                </c:pt>
                <c:pt idx="18">
                  <c:v>0.45116912896779926</c:v>
                </c:pt>
                <c:pt idx="19">
                  <c:v>0.48997019032332045</c:v>
                </c:pt>
                <c:pt idx="20">
                  <c:v>0.5281423002587875</c:v>
                </c:pt>
                <c:pt idx="21">
                  <c:v>0.56941985783077276</c:v>
                </c:pt>
                <c:pt idx="22">
                  <c:v>0.61098437448815801</c:v>
                </c:pt>
                <c:pt idx="23">
                  <c:v>0.65165591116061217</c:v>
                </c:pt>
                <c:pt idx="24">
                  <c:v>0.69313394699773978</c:v>
                </c:pt>
                <c:pt idx="25">
                  <c:v>0.73522127952304528</c:v>
                </c:pt>
                <c:pt idx="26">
                  <c:v>0.78208471189438877</c:v>
                </c:pt>
                <c:pt idx="27">
                  <c:v>0.83134012513512645</c:v>
                </c:pt>
                <c:pt idx="28">
                  <c:v>0.88060208995315636</c:v>
                </c:pt>
                <c:pt idx="29">
                  <c:v>0.93141743374717456</c:v>
                </c:pt>
                <c:pt idx="30">
                  <c:v>0.98631506535198343</c:v>
                </c:pt>
                <c:pt idx="31">
                  <c:v>1.0409447374455403</c:v>
                </c:pt>
                <c:pt idx="32">
                  <c:v>1.0978360140203756</c:v>
                </c:pt>
                <c:pt idx="33">
                  <c:v>1.1568965178366692</c:v>
                </c:pt>
                <c:pt idx="34">
                  <c:v>1.2159360566056279</c:v>
                </c:pt>
                <c:pt idx="35">
                  <c:v>1.2821862613424182</c:v>
                </c:pt>
                <c:pt idx="36">
                  <c:v>1.3548642185606186</c:v>
                </c:pt>
                <c:pt idx="37">
                  <c:v>1.4332544960199169</c:v>
                </c:pt>
                <c:pt idx="38">
                  <c:v>1.5164418383725882</c:v>
                </c:pt>
                <c:pt idx="39">
                  <c:v>1.6033537524158943</c:v>
                </c:pt>
                <c:pt idx="40">
                  <c:v>1.6926851639532217</c:v>
                </c:pt>
                <c:pt idx="41">
                  <c:v>1.78280079929243</c:v>
                </c:pt>
                <c:pt idx="42">
                  <c:v>1.8719343531955324</c:v>
                </c:pt>
                <c:pt idx="43">
                  <c:v>1.9579264257870084</c:v>
                </c:pt>
                <c:pt idx="44">
                  <c:v>2.0436328496085436</c:v>
                </c:pt>
                <c:pt idx="45">
                  <c:v>2.1331961869820164</c:v>
                </c:pt>
                <c:pt idx="46">
                  <c:v>2.2263058931437745</c:v>
                </c:pt>
                <c:pt idx="47">
                  <c:v>2.3228492809643924</c:v>
                </c:pt>
                <c:pt idx="48">
                  <c:v>2.4226140793396014</c:v>
                </c:pt>
                <c:pt idx="49">
                  <c:v>2.5257588364398735</c:v>
                </c:pt>
                <c:pt idx="50">
                  <c:v>2.6326019589216108</c:v>
                </c:pt>
                <c:pt idx="51">
                  <c:v>2.742782454876012</c:v>
                </c:pt>
                <c:pt idx="52">
                  <c:v>2.8560035378517381</c:v>
                </c:pt>
                <c:pt idx="53">
                  <c:v>2.9720011792839127</c:v>
                </c:pt>
                <c:pt idx="54">
                  <c:v>3.0908474465227505</c:v>
                </c:pt>
                <c:pt idx="55">
                  <c:v>3.2126687850099911</c:v>
                </c:pt>
                <c:pt idx="56">
                  <c:v>3.3373656107707932</c:v>
                </c:pt>
                <c:pt idx="57">
                  <c:v>3.4647059979690109</c:v>
                </c:pt>
                <c:pt idx="58">
                  <c:v>3.5944593310839581</c:v>
                </c:pt>
                <c:pt idx="59">
                  <c:v>3.726880466472303</c:v>
                </c:pt>
                <c:pt idx="60">
                  <c:v>3.8622340878566517</c:v>
                </c:pt>
                <c:pt idx="61">
                  <c:v>4.0002410980443548</c:v>
                </c:pt>
                <c:pt idx="62">
                  <c:v>4.1404933337701051</c:v>
                </c:pt>
                <c:pt idx="63">
                  <c:v>4.2829731057752154</c:v>
                </c:pt>
                <c:pt idx="64">
                  <c:v>4.4278913748484943</c:v>
                </c:pt>
                <c:pt idx="65">
                  <c:v>4.5753234841288046</c:v>
                </c:pt>
                <c:pt idx="66">
                  <c:v>4.7252923641366662</c:v>
                </c:pt>
                <c:pt idx="67">
                  <c:v>4.8775922953451056</c:v>
                </c:pt>
                <c:pt idx="68">
                  <c:v>5.0307413109706172</c:v>
                </c:pt>
                <c:pt idx="69">
                  <c:v>5.1840167720378689</c:v>
                </c:pt>
                <c:pt idx="70">
                  <c:v>5.3377272578373249</c:v>
                </c:pt>
                <c:pt idx="71">
                  <c:v>5.4910990270907725</c:v>
                </c:pt>
                <c:pt idx="72">
                  <c:v>5.6439145674321098</c:v>
                </c:pt>
                <c:pt idx="73">
                  <c:v>5.7958607134667668</c:v>
                </c:pt>
                <c:pt idx="74">
                  <c:v>5.9467094703049765</c:v>
                </c:pt>
                <c:pt idx="75">
                  <c:v>6.097612605234711</c:v>
                </c:pt>
                <c:pt idx="76">
                  <c:v>6.2462449634749575</c:v>
                </c:pt>
                <c:pt idx="77">
                  <c:v>6.3901798407966721</c:v>
                </c:pt>
                <c:pt idx="78">
                  <c:v>6.5301064631309993</c:v>
                </c:pt>
                <c:pt idx="79">
                  <c:v>6.66678153765519</c:v>
                </c:pt>
                <c:pt idx="80">
                  <c:v>6.8006610541487875</c:v>
                </c:pt>
                <c:pt idx="81">
                  <c:v>6.9320739017918562</c:v>
                </c:pt>
                <c:pt idx="82">
                  <c:v>7.0610567694172381</c:v>
                </c:pt>
                <c:pt idx="83">
                  <c:v>7.1875775542961975</c:v>
                </c:pt>
                <c:pt idx="84">
                  <c:v>7.3127225079437874</c:v>
                </c:pt>
                <c:pt idx="85">
                  <c:v>7.4375929505028342</c:v>
                </c:pt>
                <c:pt idx="86">
                  <c:v>7.5628551773839554</c:v>
                </c:pt>
                <c:pt idx="87">
                  <c:v>7.6881606446752073</c:v>
                </c:pt>
                <c:pt idx="88">
                  <c:v>7.8137832083074006</c:v>
                </c:pt>
                <c:pt idx="89">
                  <c:v>7.9396324565139054</c:v>
                </c:pt>
                <c:pt idx="90">
                  <c:v>8.0653467422281917</c:v>
                </c:pt>
                <c:pt idx="91">
                  <c:v>8.1920142824384978</c:v>
                </c:pt>
                <c:pt idx="92">
                  <c:v>8.3206577783601396</c:v>
                </c:pt>
                <c:pt idx="93">
                  <c:v>8.4505978314279169</c:v>
                </c:pt>
                <c:pt idx="94">
                  <c:v>8.5817473056638391</c:v>
                </c:pt>
                <c:pt idx="95">
                  <c:v>8.7128587807514659</c:v>
                </c:pt>
                <c:pt idx="96">
                  <c:v>8.841086251515053</c:v>
                </c:pt>
                <c:pt idx="97">
                  <c:v>8.9674504536967277</c:v>
                </c:pt>
                <c:pt idx="98">
                  <c:v>9.094870770137911</c:v>
                </c:pt>
                <c:pt idx="99">
                  <c:v>9.2251121957611311</c:v>
                </c:pt>
                <c:pt idx="100">
                  <c:v>9.3609401513414365</c:v>
                </c:pt>
                <c:pt idx="101">
                  <c:v>9.508604186457891</c:v>
                </c:pt>
                <c:pt idx="102">
                  <c:v>9.656271497362992</c:v>
                </c:pt>
                <c:pt idx="103">
                  <c:v>9.7757978183247616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1B7-4A19-833B-8F51711296A1}"/>
            </c:ext>
          </c:extLst>
        </c:ser>
        <c:ser>
          <c:idx val="21"/>
          <c:order val="21"/>
          <c:tx>
            <c:strRef>
              <c:f>'вместе-отн'!$W$1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'вместе-отн'!$A$2:$A$105</c:f>
              <c:numCache>
                <c:formatCode>0</c:formatCode>
                <c:ptCount val="10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</c:numCache>
            </c:numRef>
          </c:xVal>
          <c:yVal>
            <c:numRef>
              <c:f>'вместе-отн'!$W$2:$W$105</c:f>
              <c:numCache>
                <c:formatCode>0.00</c:formatCode>
                <c:ptCount val="104"/>
                <c:pt idx="0">
                  <c:v>0</c:v>
                </c:pt>
                <c:pt idx="1">
                  <c:v>-1.0186813186813137E-2</c:v>
                </c:pt>
                <c:pt idx="2">
                  <c:v>-2.0274725274725292E-2</c:v>
                </c:pt>
                <c:pt idx="3">
                  <c:v>-3.0252747252747292E-2</c:v>
                </c:pt>
                <c:pt idx="4">
                  <c:v>-3.2054945054945105E-2</c:v>
                </c:pt>
                <c:pt idx="5">
                  <c:v>-3.3857142857142808E-2</c:v>
                </c:pt>
                <c:pt idx="6">
                  <c:v>-3.5659340659340621E-2</c:v>
                </c:pt>
                <c:pt idx="7">
                  <c:v>-1.7747252747252751E-2</c:v>
                </c:pt>
                <c:pt idx="8">
                  <c:v>4.8351648351641074E-4</c:v>
                </c:pt>
                <c:pt idx="9">
                  <c:v>1.9065934065934043E-2</c:v>
                </c:pt>
                <c:pt idx="10">
                  <c:v>2.8615384615384709E-2</c:v>
                </c:pt>
                <c:pt idx="11">
                  <c:v>5.040659340659337E-2</c:v>
                </c:pt>
                <c:pt idx="12">
                  <c:v>7.3857142857142843E-2</c:v>
                </c:pt>
                <c:pt idx="13">
                  <c:v>9.4131868131868135E-2</c:v>
                </c:pt>
                <c:pt idx="14">
                  <c:v>0.11287912087912089</c:v>
                </c:pt>
                <c:pt idx="15">
                  <c:v>0.12774725274725274</c:v>
                </c:pt>
                <c:pt idx="16">
                  <c:v>0.13898901098901106</c:v>
                </c:pt>
                <c:pt idx="17">
                  <c:v>0.11827472527472538</c:v>
                </c:pt>
                <c:pt idx="18">
                  <c:v>0.12175824175824168</c:v>
                </c:pt>
                <c:pt idx="19">
                  <c:v>0.13503296703296708</c:v>
                </c:pt>
                <c:pt idx="20">
                  <c:v>0.14857142857142858</c:v>
                </c:pt>
                <c:pt idx="21">
                  <c:v>0.16697802197802192</c:v>
                </c:pt>
                <c:pt idx="22">
                  <c:v>0.18563736263736264</c:v>
                </c:pt>
                <c:pt idx="23">
                  <c:v>0.20525274725274723</c:v>
                </c:pt>
                <c:pt idx="24">
                  <c:v>0.21964835164835161</c:v>
                </c:pt>
                <c:pt idx="25">
                  <c:v>0.18856043956043966</c:v>
                </c:pt>
                <c:pt idx="26">
                  <c:v>0.15827472527472519</c:v>
                </c:pt>
                <c:pt idx="27">
                  <c:v>0.1287582417582418</c:v>
                </c:pt>
                <c:pt idx="28">
                  <c:v>9.9989010989010918E-2</c:v>
                </c:pt>
                <c:pt idx="29">
                  <c:v>7.1956043956044047E-2</c:v>
                </c:pt>
                <c:pt idx="30">
                  <c:v>8.2516483516483552E-2</c:v>
                </c:pt>
                <c:pt idx="31">
                  <c:v>8.9659340659340669E-2</c:v>
                </c:pt>
                <c:pt idx="32">
                  <c:v>0.10167032967032963</c:v>
                </c:pt>
                <c:pt idx="33">
                  <c:v>0.12161538461538468</c:v>
                </c:pt>
                <c:pt idx="34">
                  <c:v>0.13845054945054946</c:v>
                </c:pt>
                <c:pt idx="35">
                  <c:v>0.15690109890109882</c:v>
                </c:pt>
                <c:pt idx="36">
                  <c:v>0.17636263736263746</c:v>
                </c:pt>
                <c:pt idx="37">
                  <c:v>0.19348351648351647</c:v>
                </c:pt>
                <c:pt idx="38">
                  <c:v>0.21624175824175818</c:v>
                </c:pt>
                <c:pt idx="39">
                  <c:v>0.23587912087912088</c:v>
                </c:pt>
                <c:pt idx="40">
                  <c:v>0.25482417582417582</c:v>
                </c:pt>
                <c:pt idx="41">
                  <c:v>0.27341758241758241</c:v>
                </c:pt>
                <c:pt idx="42">
                  <c:v>0.29248351648351645</c:v>
                </c:pt>
                <c:pt idx="43">
                  <c:v>0.30819780219780224</c:v>
                </c:pt>
                <c:pt idx="44">
                  <c:v>0.32709890109890116</c:v>
                </c:pt>
                <c:pt idx="45">
                  <c:v>0.34513186813186802</c:v>
                </c:pt>
                <c:pt idx="46">
                  <c:v>0.36096703296703292</c:v>
                </c:pt>
                <c:pt idx="47">
                  <c:v>0.37559340659340656</c:v>
                </c:pt>
                <c:pt idx="48">
                  <c:v>0.38801098901098907</c:v>
                </c:pt>
                <c:pt idx="49">
                  <c:v>0.39768131868131862</c:v>
                </c:pt>
                <c:pt idx="50">
                  <c:v>0.40687912087912093</c:v>
                </c:pt>
                <c:pt idx="51">
                  <c:v>0.41424175824175835</c:v>
                </c:pt>
                <c:pt idx="52">
                  <c:v>0.42174725274725278</c:v>
                </c:pt>
                <c:pt idx="53">
                  <c:v>0.42943956043956044</c:v>
                </c:pt>
                <c:pt idx="54">
                  <c:v>0.43630769230769229</c:v>
                </c:pt>
                <c:pt idx="55">
                  <c:v>0.44445054945054951</c:v>
                </c:pt>
                <c:pt idx="56">
                  <c:v>0.45285714285714285</c:v>
                </c:pt>
                <c:pt idx="57">
                  <c:v>0.46089010989010992</c:v>
                </c:pt>
                <c:pt idx="58">
                  <c:v>0.47005494505494516</c:v>
                </c:pt>
                <c:pt idx="59">
                  <c:v>0.48010989010989014</c:v>
                </c:pt>
                <c:pt idx="60">
                  <c:v>0.4906043956043955</c:v>
                </c:pt>
                <c:pt idx="61">
                  <c:v>0.50105494505494508</c:v>
                </c:pt>
                <c:pt idx="62">
                  <c:v>0.51154945054945045</c:v>
                </c:pt>
                <c:pt idx="63">
                  <c:v>0.51968131868131873</c:v>
                </c:pt>
                <c:pt idx="64">
                  <c:v>0.52778021978021972</c:v>
                </c:pt>
                <c:pt idx="65">
                  <c:v>0.53643956043956043</c:v>
                </c:pt>
                <c:pt idx="66">
                  <c:v>0.54687912087912083</c:v>
                </c:pt>
                <c:pt idx="67">
                  <c:v>0.55870329670329677</c:v>
                </c:pt>
                <c:pt idx="68">
                  <c:v>0.56948351648351658</c:v>
                </c:pt>
                <c:pt idx="69">
                  <c:v>0.58060439560439558</c:v>
                </c:pt>
                <c:pt idx="70">
                  <c:v>0.59467032967032973</c:v>
                </c:pt>
                <c:pt idx="71">
                  <c:v>0.60816483516483522</c:v>
                </c:pt>
                <c:pt idx="72">
                  <c:v>0.61562527472527462</c:v>
                </c:pt>
                <c:pt idx="73">
                  <c:v>0.62269340659340666</c:v>
                </c:pt>
                <c:pt idx="74">
                  <c:v>0.62938131868131886</c:v>
                </c:pt>
                <c:pt idx="75">
                  <c:v>0.63202967032967039</c:v>
                </c:pt>
                <c:pt idx="76">
                  <c:v>0.63254615384615387</c:v>
                </c:pt>
                <c:pt idx="77">
                  <c:v>0.63028461538461533</c:v>
                </c:pt>
                <c:pt idx="78">
                  <c:v>0.63142747252747244</c:v>
                </c:pt>
                <c:pt idx="79">
                  <c:v>0.62957802197802204</c:v>
                </c:pt>
                <c:pt idx="80">
                  <c:v>0.62668791208791208</c:v>
                </c:pt>
                <c:pt idx="81">
                  <c:v>0.62419890109890108</c:v>
                </c:pt>
                <c:pt idx="82">
                  <c:v>0.62131208791208792</c:v>
                </c:pt>
                <c:pt idx="83">
                  <c:v>0.61417692307692318</c:v>
                </c:pt>
                <c:pt idx="84">
                  <c:v>0.60773186813186819</c:v>
                </c:pt>
                <c:pt idx="85">
                  <c:v>0.60054175824175804</c:v>
                </c:pt>
                <c:pt idx="86">
                  <c:v>0.59300659340659356</c:v>
                </c:pt>
                <c:pt idx="87">
                  <c:v>0.58608351648351653</c:v>
                </c:pt>
                <c:pt idx="88">
                  <c:v>0.58023076923076933</c:v>
                </c:pt>
                <c:pt idx="89">
                  <c:v>0.57402857142857155</c:v>
                </c:pt>
                <c:pt idx="90">
                  <c:v>0.5699197802197804</c:v>
                </c:pt>
                <c:pt idx="91">
                  <c:v>0.56865384615384618</c:v>
                </c:pt>
                <c:pt idx="92">
                  <c:v>0.56854065934065945</c:v>
                </c:pt>
                <c:pt idx="93">
                  <c:v>0.5695989010989011</c:v>
                </c:pt>
                <c:pt idx="94">
                  <c:v>0.56994945054945045</c:v>
                </c:pt>
                <c:pt idx="95">
                  <c:v>0.5733076923076923</c:v>
                </c:pt>
                <c:pt idx="96">
                  <c:v>0.57786703296703301</c:v>
                </c:pt>
                <c:pt idx="97">
                  <c:v>0.58269560439560419</c:v>
                </c:pt>
                <c:pt idx="98">
                  <c:v>0.58724245054945046</c:v>
                </c:pt>
                <c:pt idx="99">
                  <c:v>0.59151848351648351</c:v>
                </c:pt>
                <c:pt idx="100">
                  <c:v>0.59510390109890099</c:v>
                </c:pt>
                <c:pt idx="101">
                  <c:v>0.59720631868131857</c:v>
                </c:pt>
                <c:pt idx="102">
                  <c:v>0.5980855934065934</c:v>
                </c:pt>
                <c:pt idx="103">
                  <c:v>0.59724520879120901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1B7-4A19-833B-8F5171129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423848"/>
        <c:axId val="847123112"/>
        <c:extLst>
          <c:ext xmlns:c15="http://schemas.microsoft.com/office/drawing/2012/chart" uri="{02D57815-91ED-43cb-92C2-25804820EDAC}">
            <c15:filteredScatterSeries>
              <c15:ser>
                <c:idx val="16"/>
                <c:order val="16"/>
                <c:tx>
                  <c:strRef>
                    <c:extLst>
                      <c:ext uri="{02D57815-91ED-43cb-92C2-25804820EDAC}">
                        <c15:formulaRef>
                          <c15:sqref>'вместе-отн'!$R$1</c15:sqref>
                        </c15:formulaRef>
                      </c:ext>
                    </c:extLst>
                    <c:strCache>
                      <c:ptCount val="1"/>
                      <c:pt idx="0">
                        <c:v>Пуэрто-Рико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'вместе-отн'!$A$2:$A$105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1917</c:v>
                      </c:pt>
                      <c:pt idx="1">
                        <c:v>1918</c:v>
                      </c:pt>
                      <c:pt idx="2">
                        <c:v>1919</c:v>
                      </c:pt>
                      <c:pt idx="3">
                        <c:v>1920</c:v>
                      </c:pt>
                      <c:pt idx="4">
                        <c:v>1921</c:v>
                      </c:pt>
                      <c:pt idx="5">
                        <c:v>1922</c:v>
                      </c:pt>
                      <c:pt idx="6">
                        <c:v>1923</c:v>
                      </c:pt>
                      <c:pt idx="7">
                        <c:v>1924</c:v>
                      </c:pt>
                      <c:pt idx="8">
                        <c:v>1925</c:v>
                      </c:pt>
                      <c:pt idx="9">
                        <c:v>1926</c:v>
                      </c:pt>
                      <c:pt idx="10">
                        <c:v>1927</c:v>
                      </c:pt>
                      <c:pt idx="11">
                        <c:v>1928</c:v>
                      </c:pt>
                      <c:pt idx="12">
                        <c:v>1929</c:v>
                      </c:pt>
                      <c:pt idx="13">
                        <c:v>1930</c:v>
                      </c:pt>
                      <c:pt idx="14">
                        <c:v>1931</c:v>
                      </c:pt>
                      <c:pt idx="15">
                        <c:v>1932</c:v>
                      </c:pt>
                      <c:pt idx="16">
                        <c:v>1933</c:v>
                      </c:pt>
                      <c:pt idx="17">
                        <c:v>1934</c:v>
                      </c:pt>
                      <c:pt idx="18">
                        <c:v>1935</c:v>
                      </c:pt>
                      <c:pt idx="19">
                        <c:v>1936</c:v>
                      </c:pt>
                      <c:pt idx="20">
                        <c:v>1937</c:v>
                      </c:pt>
                      <c:pt idx="21">
                        <c:v>1938</c:v>
                      </c:pt>
                      <c:pt idx="22">
                        <c:v>1939</c:v>
                      </c:pt>
                      <c:pt idx="23">
                        <c:v>1940</c:v>
                      </c:pt>
                      <c:pt idx="24">
                        <c:v>1941</c:v>
                      </c:pt>
                      <c:pt idx="25">
                        <c:v>1942</c:v>
                      </c:pt>
                      <c:pt idx="26">
                        <c:v>1943</c:v>
                      </c:pt>
                      <c:pt idx="27">
                        <c:v>1944</c:v>
                      </c:pt>
                      <c:pt idx="28">
                        <c:v>1945</c:v>
                      </c:pt>
                      <c:pt idx="29">
                        <c:v>1946</c:v>
                      </c:pt>
                      <c:pt idx="30">
                        <c:v>1947</c:v>
                      </c:pt>
                      <c:pt idx="31">
                        <c:v>1948</c:v>
                      </c:pt>
                      <c:pt idx="32">
                        <c:v>1949</c:v>
                      </c:pt>
                      <c:pt idx="33">
                        <c:v>1950</c:v>
                      </c:pt>
                      <c:pt idx="34">
                        <c:v>1951</c:v>
                      </c:pt>
                      <c:pt idx="35">
                        <c:v>1952</c:v>
                      </c:pt>
                      <c:pt idx="36">
                        <c:v>1953</c:v>
                      </c:pt>
                      <c:pt idx="37">
                        <c:v>1954</c:v>
                      </c:pt>
                      <c:pt idx="38">
                        <c:v>1955</c:v>
                      </c:pt>
                      <c:pt idx="39">
                        <c:v>1956</c:v>
                      </c:pt>
                      <c:pt idx="40">
                        <c:v>1957</c:v>
                      </c:pt>
                      <c:pt idx="41">
                        <c:v>1958</c:v>
                      </c:pt>
                      <c:pt idx="42">
                        <c:v>1959</c:v>
                      </c:pt>
                      <c:pt idx="43">
                        <c:v>1960</c:v>
                      </c:pt>
                      <c:pt idx="44">
                        <c:v>1961</c:v>
                      </c:pt>
                      <c:pt idx="45">
                        <c:v>1962</c:v>
                      </c:pt>
                      <c:pt idx="46">
                        <c:v>1963</c:v>
                      </c:pt>
                      <c:pt idx="47">
                        <c:v>1964</c:v>
                      </c:pt>
                      <c:pt idx="48">
                        <c:v>1965</c:v>
                      </c:pt>
                      <c:pt idx="49">
                        <c:v>1966</c:v>
                      </c:pt>
                      <c:pt idx="50">
                        <c:v>1967</c:v>
                      </c:pt>
                      <c:pt idx="51">
                        <c:v>1968</c:v>
                      </c:pt>
                      <c:pt idx="52">
                        <c:v>1969</c:v>
                      </c:pt>
                      <c:pt idx="53">
                        <c:v>1970</c:v>
                      </c:pt>
                      <c:pt idx="54">
                        <c:v>1971</c:v>
                      </c:pt>
                      <c:pt idx="55">
                        <c:v>1972</c:v>
                      </c:pt>
                      <c:pt idx="56">
                        <c:v>1973</c:v>
                      </c:pt>
                      <c:pt idx="57">
                        <c:v>1974</c:v>
                      </c:pt>
                      <c:pt idx="58">
                        <c:v>1975</c:v>
                      </c:pt>
                      <c:pt idx="59">
                        <c:v>1976</c:v>
                      </c:pt>
                      <c:pt idx="60">
                        <c:v>1977</c:v>
                      </c:pt>
                      <c:pt idx="61">
                        <c:v>1978</c:v>
                      </c:pt>
                      <c:pt idx="62">
                        <c:v>1979</c:v>
                      </c:pt>
                      <c:pt idx="63">
                        <c:v>1980</c:v>
                      </c:pt>
                      <c:pt idx="64">
                        <c:v>1981</c:v>
                      </c:pt>
                      <c:pt idx="65">
                        <c:v>1982</c:v>
                      </c:pt>
                      <c:pt idx="66">
                        <c:v>1983</c:v>
                      </c:pt>
                      <c:pt idx="67">
                        <c:v>1984</c:v>
                      </c:pt>
                      <c:pt idx="68">
                        <c:v>1985</c:v>
                      </c:pt>
                      <c:pt idx="69">
                        <c:v>1986</c:v>
                      </c:pt>
                      <c:pt idx="70">
                        <c:v>1987</c:v>
                      </c:pt>
                      <c:pt idx="71">
                        <c:v>1988</c:v>
                      </c:pt>
                      <c:pt idx="72">
                        <c:v>1989</c:v>
                      </c:pt>
                      <c:pt idx="73">
                        <c:v>1990</c:v>
                      </c:pt>
                      <c:pt idx="74">
                        <c:v>1991</c:v>
                      </c:pt>
                      <c:pt idx="75">
                        <c:v>1992</c:v>
                      </c:pt>
                      <c:pt idx="76">
                        <c:v>1993</c:v>
                      </c:pt>
                      <c:pt idx="77">
                        <c:v>1994</c:v>
                      </c:pt>
                      <c:pt idx="78">
                        <c:v>1995</c:v>
                      </c:pt>
                      <c:pt idx="79">
                        <c:v>1996</c:v>
                      </c:pt>
                      <c:pt idx="80">
                        <c:v>1997</c:v>
                      </c:pt>
                      <c:pt idx="81">
                        <c:v>1998</c:v>
                      </c:pt>
                      <c:pt idx="82">
                        <c:v>1999</c:v>
                      </c:pt>
                      <c:pt idx="83">
                        <c:v>2000</c:v>
                      </c:pt>
                      <c:pt idx="84">
                        <c:v>2001</c:v>
                      </c:pt>
                      <c:pt idx="85">
                        <c:v>2002</c:v>
                      </c:pt>
                      <c:pt idx="86">
                        <c:v>2003</c:v>
                      </c:pt>
                      <c:pt idx="87">
                        <c:v>2004</c:v>
                      </c:pt>
                      <c:pt idx="88">
                        <c:v>2005</c:v>
                      </c:pt>
                      <c:pt idx="89">
                        <c:v>2006</c:v>
                      </c:pt>
                      <c:pt idx="90">
                        <c:v>2007</c:v>
                      </c:pt>
                      <c:pt idx="91">
                        <c:v>2008</c:v>
                      </c:pt>
                      <c:pt idx="92">
                        <c:v>2009</c:v>
                      </c:pt>
                      <c:pt idx="93">
                        <c:v>2010</c:v>
                      </c:pt>
                      <c:pt idx="94">
                        <c:v>2011</c:v>
                      </c:pt>
                      <c:pt idx="95">
                        <c:v>2012</c:v>
                      </c:pt>
                      <c:pt idx="96">
                        <c:v>2013</c:v>
                      </c:pt>
                      <c:pt idx="97">
                        <c:v>2014</c:v>
                      </c:pt>
                      <c:pt idx="98">
                        <c:v>2015</c:v>
                      </c:pt>
                      <c:pt idx="99">
                        <c:v>2016</c:v>
                      </c:pt>
                      <c:pt idx="100">
                        <c:v>2017</c:v>
                      </c:pt>
                      <c:pt idx="101">
                        <c:v>2018</c:v>
                      </c:pt>
                      <c:pt idx="102">
                        <c:v>2019</c:v>
                      </c:pt>
                      <c:pt idx="103">
                        <c:v>2020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'вместе-отн'!$R$2:$R$105</c15:sqref>
                        </c15:formulaRef>
                      </c:ext>
                    </c:extLst>
                    <c:numCache>
                      <c:formatCode>0.00</c:formatCode>
                      <c:ptCount val="104"/>
                      <c:pt idx="0">
                        <c:v>0</c:v>
                      </c:pt>
                      <c:pt idx="1">
                        <c:v>1.5491600720802134E-2</c:v>
                      </c:pt>
                      <c:pt idx="2">
                        <c:v>3.1473411353035718E-2</c:v>
                      </c:pt>
                      <c:pt idx="3">
                        <c:v>4.7992195342199562E-2</c:v>
                      </c:pt>
                      <c:pt idx="4">
                        <c:v>6.5088266003378026E-2</c:v>
                      </c:pt>
                      <c:pt idx="5">
                        <c:v>8.2770492265890505E-2</c:v>
                      </c:pt>
                      <c:pt idx="6">
                        <c:v>0.10103484279822772</c:v>
                      </c:pt>
                      <c:pt idx="7">
                        <c:v>0.11987567373627828</c:v>
                      </c:pt>
                      <c:pt idx="8">
                        <c:v>0.13928976001483528</c:v>
                      </c:pt>
                      <c:pt idx="9">
                        <c:v>0.15927226403608841</c:v>
                      </c:pt>
                      <c:pt idx="10">
                        <c:v>0.1798199607348312</c:v>
                      </c:pt>
                      <c:pt idx="11">
                        <c:v>0.20092720624695115</c:v>
                      </c:pt>
                      <c:pt idx="12">
                        <c:v>0.22258996924094032</c:v>
                      </c:pt>
                      <c:pt idx="13">
                        <c:v>0.24480502465159204</c:v>
                      </c:pt>
                      <c:pt idx="14">
                        <c:v>0.26792309832014416</c:v>
                      </c:pt>
                      <c:pt idx="15">
                        <c:v>0.29218607013710551</c:v>
                      </c:pt>
                      <c:pt idx="16">
                        <c:v>0.31742381791281837</c:v>
                      </c:pt>
                      <c:pt idx="17">
                        <c:v>0.34346702572392629</c:v>
                      </c:pt>
                      <c:pt idx="18">
                        <c:v>0.37014476511446959</c:v>
                      </c:pt>
                      <c:pt idx="19">
                        <c:v>0.39728852642739376</c:v>
                      </c:pt>
                      <c:pt idx="20">
                        <c:v>0.4247273812067387</c:v>
                      </c:pt>
                      <c:pt idx="21">
                        <c:v>0.45229201352914861</c:v>
                      </c:pt>
                      <c:pt idx="22">
                        <c:v>0.47981149493866315</c:v>
                      </c:pt>
                      <c:pt idx="23">
                        <c:v>0.50711731577822827</c:v>
                      </c:pt>
                      <c:pt idx="24">
                        <c:v>0.53619047235111283</c:v>
                      </c:pt>
                      <c:pt idx="25">
                        <c:v>0.56831212181071278</c:v>
                      </c:pt>
                      <c:pt idx="26">
                        <c:v>0.6022583519110527</c:v>
                      </c:pt>
                      <c:pt idx="27">
                        <c:v>0.63680766920506149</c:v>
                      </c:pt>
                      <c:pt idx="28">
                        <c:v>0.6707369677130659</c:v>
                      </c:pt>
                      <c:pt idx="29">
                        <c:v>0.70282394772169288</c:v>
                      </c:pt>
                      <c:pt idx="30">
                        <c:v>0.73184630951757068</c:v>
                      </c:pt>
                      <c:pt idx="31">
                        <c:v>0.75658094712102453</c:v>
                      </c:pt>
                      <c:pt idx="32">
                        <c:v>0.77580636708498418</c:v>
                      </c:pt>
                      <c:pt idx="33">
                        <c:v>0.78829865716347447</c:v>
                      </c:pt>
                      <c:pt idx="34">
                        <c:v>0.79528334213507379</c:v>
                      </c:pt>
                      <c:pt idx="35">
                        <c:v>0.79982100888102337</c:v>
                      </c:pt>
                      <c:pt idx="36">
                        <c:v>0.80344678843975359</c:v>
                      </c:pt>
                      <c:pt idx="37">
                        <c:v>0.80769339305079058</c:v>
                      </c:pt>
                      <c:pt idx="38">
                        <c:v>0.81409514748626299</c:v>
                      </c:pt>
                      <c:pt idx="39">
                        <c:v>0.82461853525600959</c:v>
                      </c:pt>
                      <c:pt idx="40">
                        <c:v>0.8396175072664751</c:v>
                      </c:pt>
                      <c:pt idx="41">
                        <c:v>0.8582083956509996</c:v>
                      </c:pt>
                      <c:pt idx="42">
                        <c:v>0.87950511374401819</c:v>
                      </c:pt>
                      <c:pt idx="43">
                        <c:v>0.90262479994517375</c:v>
                      </c:pt>
                      <c:pt idx="44">
                        <c:v>0.93222525467936812</c:v>
                      </c:pt>
                      <c:pt idx="45">
                        <c:v>0.97014234631556451</c:v>
                      </c:pt>
                      <c:pt idx="46">
                        <c:v>1.0112554775716873</c:v>
                      </c:pt>
                      <c:pt idx="47">
                        <c:v>1.0504440511656594</c:v>
                      </c:pt>
                      <c:pt idx="48">
                        <c:v>1.0825882760817072</c:v>
                      </c:pt>
                      <c:pt idx="49">
                        <c:v>1.1066899946383293</c:v>
                      </c:pt>
                      <c:pt idx="50">
                        <c:v>1.1268934156262471</c:v>
                      </c:pt>
                      <c:pt idx="51">
                        <c:v>1.1457931040043214</c:v>
                      </c:pt>
                      <c:pt idx="52">
                        <c:v>1.1659844309977143</c:v>
                      </c:pt>
                      <c:pt idx="53">
                        <c:v>1.1900603490326818</c:v>
                      </c:pt>
                      <c:pt idx="54">
                        <c:v>1.2197615870545881</c:v>
                      </c:pt>
                      <c:pt idx="55">
                        <c:v>1.2540786996537081</c:v>
                      </c:pt>
                      <c:pt idx="56">
                        <c:v>1.2914846184546294</c:v>
                      </c:pt>
                      <c:pt idx="57">
                        <c:v>1.3304530813482383</c:v>
                      </c:pt>
                      <c:pt idx="58">
                        <c:v>1.3694554074265191</c:v>
                      </c:pt>
                      <c:pt idx="59">
                        <c:v>1.4102153940424982</c:v>
                      </c:pt>
                      <c:pt idx="60">
                        <c:v>1.4538335946979926</c:v>
                      </c:pt>
                      <c:pt idx="61">
                        <c:v>1.4978508971728273</c:v>
                      </c:pt>
                      <c:pt idx="62">
                        <c:v>1.5398089955131278</c:v>
                      </c:pt>
                      <c:pt idx="63">
                        <c:v>1.5772463586998149</c:v>
                      </c:pt>
                      <c:pt idx="64">
                        <c:v>1.6102299068359289</c:v>
                      </c:pt>
                      <c:pt idx="65">
                        <c:v>1.6408228753875118</c:v>
                      </c:pt>
                      <c:pt idx="66">
                        <c:v>1.6695670753093035</c:v>
                      </c:pt>
                      <c:pt idx="67">
                        <c:v>1.6970027050234422</c:v>
                      </c:pt>
                      <c:pt idx="68">
                        <c:v>1.7236683504194596</c:v>
                      </c:pt>
                      <c:pt idx="69">
                        <c:v>1.7492165107213258</c:v>
                      </c:pt>
                      <c:pt idx="70">
                        <c:v>1.7733859556472908</c:v>
                      </c:pt>
                      <c:pt idx="71">
                        <c:v>1.7968491112929685</c:v>
                      </c:pt>
                      <c:pt idx="72">
                        <c:v>1.8202767912213722</c:v>
                      </c:pt>
                      <c:pt idx="73">
                        <c:v>1.8443430340607194</c:v>
                      </c:pt>
                      <c:pt idx="74">
                        <c:v>1.8694558105596699</c:v>
                      </c:pt>
                      <c:pt idx="75">
                        <c:v>1.8951700617196852</c:v>
                      </c:pt>
                      <c:pt idx="76">
                        <c:v>1.9208794752818905</c:v>
                      </c:pt>
                      <c:pt idx="77">
                        <c:v>1.9459753201885048</c:v>
                      </c:pt>
                      <c:pt idx="78">
                        <c:v>1.9698512841806517</c:v>
                      </c:pt>
                      <c:pt idx="79">
                        <c:v>1.9927702100726847</c:v>
                      </c:pt>
                      <c:pt idx="80">
                        <c:v>2.0151997323195876</c:v>
                      </c:pt>
                      <c:pt idx="81">
                        <c:v>2.0368342759930176</c:v>
                      </c:pt>
                      <c:pt idx="82">
                        <c:v>2.057369878697235</c:v>
                      </c:pt>
                      <c:pt idx="83">
                        <c:v>2.0765017717701979</c:v>
                      </c:pt>
                      <c:pt idx="84">
                        <c:v>2.0943815332766258</c:v>
                      </c:pt>
                      <c:pt idx="85">
                        <c:v>2.11136150159036</c:v>
                      </c:pt>
                      <c:pt idx="86">
                        <c:v>2.1274344203146853</c:v>
                      </c:pt>
                      <c:pt idx="87">
                        <c:v>2.142595451851792</c:v>
                      </c:pt>
                      <c:pt idx="88">
                        <c:v>2.1568381460712658</c:v>
                      </c:pt>
                      <c:pt idx="89">
                        <c:v>2.1703148873041274</c:v>
                      </c:pt>
                      <c:pt idx="90">
                        <c:v>2.1831433904304252</c:v>
                      </c:pt>
                      <c:pt idx="91">
                        <c:v>2.195265604276436</c:v>
                      </c:pt>
                      <c:pt idx="92">
                        <c:v>2.206625090201042</c:v>
                      </c:pt>
                      <c:pt idx="93">
                        <c:v>2.2171629907642192</c:v>
                      </c:pt>
                      <c:pt idx="94">
                        <c:v>2.2271889122258188</c:v>
                      </c:pt>
                      <c:pt idx="95">
                        <c:v>2.2368504013190518</c:v>
                      </c:pt>
                      <c:pt idx="96">
                        <c:v>2.2458475269796856</c:v>
                      </c:pt>
                      <c:pt idx="97">
                        <c:v>2.2538811644097927</c:v>
                      </c:pt>
                      <c:pt idx="98">
                        <c:v>2.2606497700125372</c:v>
                      </c:pt>
                      <c:pt idx="99">
                        <c:v>2.2669152654430231</c:v>
                      </c:pt>
                      <c:pt idx="100">
                        <c:v>2.2731275472975967</c:v>
                      </c:pt>
                      <c:pt idx="101">
                        <c:v>2.2785182437907414</c:v>
                      </c:pt>
                      <c:pt idx="102">
                        <c:v>2.2823189831369399</c:v>
                      </c:pt>
                      <c:pt idx="103">
                        <c:v>2.2837638123495805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0-91B7-4A19-833B-8F51711296A1}"/>
                  </c:ext>
                </c:extLst>
              </c15:ser>
            </c15:filteredScatterSeries>
          </c:ext>
        </c:extLst>
      </c:scatterChart>
      <c:valAx>
        <c:axId val="845423848"/>
        <c:scaling>
          <c:orientation val="minMax"/>
          <c:max val="202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7123112"/>
        <c:crosses val="autoZero"/>
        <c:crossBetween val="midCat"/>
        <c:majorUnit val="10"/>
      </c:valAx>
      <c:valAx>
        <c:axId val="847123112"/>
        <c:scaling>
          <c:orientation val="minMax"/>
          <c:max val="13"/>
          <c:min val="-1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45423848"/>
        <c:crosses val="max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'вместе-отн'!$B$2:$B$85</c:f>
              <c:numCache>
                <c:formatCode>0.00</c:formatCode>
                <c:ptCount val="84"/>
                <c:pt idx="0">
                  <c:v>0</c:v>
                </c:pt>
                <c:pt idx="1">
                  <c:v>2.2350064203679798E-2</c:v>
                </c:pt>
                <c:pt idx="2">
                  <c:v>4.6351045966242843E-2</c:v>
                </c:pt>
                <c:pt idx="3">
                  <c:v>7.4012325909252663E-2</c:v>
                </c:pt>
                <c:pt idx="4">
                  <c:v>0.10459159575327814</c:v>
                </c:pt>
                <c:pt idx="5">
                  <c:v>0.14001023667062773</c:v>
                </c:pt>
                <c:pt idx="6">
                  <c:v>0.18025735349139294</c:v>
                </c:pt>
                <c:pt idx="7">
                  <c:v>0.21831765406638248</c:v>
                </c:pt>
                <c:pt idx="8">
                  <c:v>0.25429973091324864</c:v>
                </c:pt>
                <c:pt idx="9">
                  <c:v>0.29148506553564424</c:v>
                </c:pt>
                <c:pt idx="10">
                  <c:v>0.32944323885864102</c:v>
                </c:pt>
                <c:pt idx="11">
                  <c:v>0.36618785787190977</c:v>
                </c:pt>
                <c:pt idx="12">
                  <c:v>0.40176753179503888</c:v>
                </c:pt>
                <c:pt idx="13">
                  <c:v>0.43569233716360412</c:v>
                </c:pt>
                <c:pt idx="14">
                  <c:v>0.4647016249966327</c:v>
                </c:pt>
                <c:pt idx="15">
                  <c:v>0.49218367340830227</c:v>
                </c:pt>
                <c:pt idx="16">
                  <c:v>0.51789352066640126</c:v>
                </c:pt>
                <c:pt idx="17">
                  <c:v>0.54308279431176332</c:v>
                </c:pt>
                <c:pt idx="18">
                  <c:v>0.56786595349199143</c:v>
                </c:pt>
                <c:pt idx="19">
                  <c:v>0.59361423316262218</c:v>
                </c:pt>
                <c:pt idx="20">
                  <c:v>0.62032236532941432</c:v>
                </c:pt>
                <c:pt idx="21">
                  <c:v>0.64732634326370175</c:v>
                </c:pt>
                <c:pt idx="22">
                  <c:v>0.67390229666589829</c:v>
                </c:pt>
                <c:pt idx="23">
                  <c:v>0.6954353428536364</c:v>
                </c:pt>
                <c:pt idx="24">
                  <c:v>0.72495359076664267</c:v>
                </c:pt>
                <c:pt idx="25">
                  <c:v>0.75540906274600172</c:v>
                </c:pt>
                <c:pt idx="26">
                  <c:v>0.78673279595801149</c:v>
                </c:pt>
                <c:pt idx="27">
                  <c:v>0.81939507861583438</c:v>
                </c:pt>
                <c:pt idx="28">
                  <c:v>0.85296788618737884</c:v>
                </c:pt>
                <c:pt idx="29">
                  <c:v>0.88720326376188652</c:v>
                </c:pt>
                <c:pt idx="30">
                  <c:v>0.92239142993118661</c:v>
                </c:pt>
                <c:pt idx="31">
                  <c:v>0.96187612431269098</c:v>
                </c:pt>
                <c:pt idx="32">
                  <c:v>1.0043314885376229</c:v>
                </c:pt>
                <c:pt idx="33">
                  <c:v>1.0485515111061892</c:v>
                </c:pt>
                <c:pt idx="34">
                  <c:v>1.0890186864136631</c:v>
                </c:pt>
                <c:pt idx="35">
                  <c:v>1.1306757100567806</c:v>
                </c:pt>
                <c:pt idx="36">
                  <c:v>1.1727507011520744</c:v>
                </c:pt>
                <c:pt idx="37">
                  <c:v>1.2145551089068012</c:v>
                </c:pt>
                <c:pt idx="38">
                  <c:v>1.2554008614367853</c:v>
                </c:pt>
                <c:pt idx="39">
                  <c:v>1.2955270538442889</c:v>
                </c:pt>
                <c:pt idx="40">
                  <c:v>1.3353660208385087</c:v>
                </c:pt>
                <c:pt idx="41">
                  <c:v>1.3749886408874175</c:v>
                </c:pt>
                <c:pt idx="42">
                  <c:v>1.4148909435396733</c:v>
                </c:pt>
                <c:pt idx="43">
                  <c:v>1.455030066478495</c:v>
                </c:pt>
                <c:pt idx="44">
                  <c:v>1.4954722188133243</c:v>
                </c:pt>
                <c:pt idx="45">
                  <c:v>1.5361765735887909</c:v>
                </c:pt>
                <c:pt idx="46">
                  <c:v>1.5770232839359095</c:v>
                </c:pt>
                <c:pt idx="47">
                  <c:v>1.6178029470835966</c:v>
                </c:pt>
                <c:pt idx="48">
                  <c:v>1.6583717707344956</c:v>
                </c:pt>
                <c:pt idx="49">
                  <c:v>1.6985692007913964</c:v>
                </c:pt>
                <c:pt idx="50">
                  <c:v>1.7387005414659988</c:v>
                </c:pt>
                <c:pt idx="51">
                  <c:v>1.7794112417799828</c:v>
                </c:pt>
                <c:pt idx="52">
                  <c:v>1.8212206780746678</c:v>
                </c:pt>
                <c:pt idx="53">
                  <c:v>1.8649237188447527</c:v>
                </c:pt>
                <c:pt idx="54">
                  <c:v>1.9109680238735915</c:v>
                </c:pt>
                <c:pt idx="55">
                  <c:v>1.9590585854836826</c:v>
                </c:pt>
                <c:pt idx="56">
                  <c:v>2.0088678302149399</c:v>
                </c:pt>
                <c:pt idx="57">
                  <c:v>2.05963118053955</c:v>
                </c:pt>
                <c:pt idx="58">
                  <c:v>2.1096562933075518</c:v>
                </c:pt>
                <c:pt idx="59">
                  <c:v>2.1586389418515202</c:v>
                </c:pt>
                <c:pt idx="60">
                  <c:v>2.2079999281637148</c:v>
                </c:pt>
                <c:pt idx="61">
                  <c:v>2.2580112723104042</c:v>
                </c:pt>
                <c:pt idx="62">
                  <c:v>2.3086935673599864</c:v>
                </c:pt>
                <c:pt idx="63">
                  <c:v>2.3603248197358218</c:v>
                </c:pt>
                <c:pt idx="64">
                  <c:v>2.4132521184221156</c:v>
                </c:pt>
                <c:pt idx="65">
                  <c:v>2.4671868012798828</c:v>
                </c:pt>
                <c:pt idx="66">
                  <c:v>2.5218928861125489</c:v>
                </c:pt>
                <c:pt idx="67">
                  <c:v>2.5770928454053212</c:v>
                </c:pt>
                <c:pt idx="68">
                  <c:v>2.6324248637355461</c:v>
                </c:pt>
                <c:pt idx="69">
                  <c:v>2.6880758351716438</c:v>
                </c:pt>
                <c:pt idx="70">
                  <c:v>2.744270727013137</c:v>
                </c:pt>
                <c:pt idx="71">
                  <c:v>2.8010864040850896</c:v>
                </c:pt>
                <c:pt idx="72">
                  <c:v>2.8578866363557451</c:v>
                </c:pt>
                <c:pt idx="73">
                  <c:v>2.9140418985132879</c:v>
                </c:pt>
                <c:pt idx="74">
                  <c:v>2.9693089050054922</c:v>
                </c:pt>
                <c:pt idx="75">
                  <c:v>3.023791339537194</c:v>
                </c:pt>
                <c:pt idx="76">
                  <c:v>3.0778226421984298</c:v>
                </c:pt>
                <c:pt idx="77">
                  <c:v>3.1316404713657571</c:v>
                </c:pt>
                <c:pt idx="78">
                  <c:v>3.1847939346229932</c:v>
                </c:pt>
                <c:pt idx="79">
                  <c:v>3.237000236461105</c:v>
                </c:pt>
                <c:pt idx="80">
                  <c:v>3.2885088882436921</c:v>
                </c:pt>
                <c:pt idx="81">
                  <c:v>3.3390596031643875</c:v>
                </c:pt>
                <c:pt idx="82">
                  <c:v>3.3886735729272983</c:v>
                </c:pt>
                <c:pt idx="83">
                  <c:v>3.437084644096104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BA-421E-A29E-B297653E276E}"/>
            </c:ext>
          </c:extLst>
        </c:ser>
        <c:ser>
          <c:idx val="1"/>
          <c:order val="1"/>
          <c:tx>
            <c:strRef>
              <c:f>'вместе-отн'!$C$1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'вместе-отн'!$C$2:$C$85</c:f>
              <c:numCache>
                <c:formatCode>0.00</c:formatCode>
                <c:ptCount val="84"/>
                <c:pt idx="0">
                  <c:v>0</c:v>
                </c:pt>
                <c:pt idx="1">
                  <c:v>7.6602004301622451E-3</c:v>
                </c:pt>
                <c:pt idx="2">
                  <c:v>1.558808145969226E-2</c:v>
                </c:pt>
                <c:pt idx="3">
                  <c:v>2.3290184009461035E-2</c:v>
                </c:pt>
                <c:pt idx="4">
                  <c:v>3.2653089393982038E-2</c:v>
                </c:pt>
                <c:pt idx="5">
                  <c:v>4.1904584436961212E-2</c:v>
                </c:pt>
                <c:pt idx="6">
                  <c:v>5.1348336264016803E-2</c:v>
                </c:pt>
                <c:pt idx="7">
                  <c:v>6.0548562831242547E-2</c:v>
                </c:pt>
                <c:pt idx="8">
                  <c:v>7.0055907286877162E-2</c:v>
                </c:pt>
                <c:pt idx="9">
                  <c:v>7.9681563609635964E-2</c:v>
                </c:pt>
                <c:pt idx="10">
                  <c:v>8.9728705959023491E-2</c:v>
                </c:pt>
                <c:pt idx="11">
                  <c:v>0.10000902127986833</c:v>
                </c:pt>
                <c:pt idx="12">
                  <c:v>0.11057969364127929</c:v>
                </c:pt>
                <c:pt idx="13">
                  <c:v>0.12149790711236719</c:v>
                </c:pt>
                <c:pt idx="14">
                  <c:v>0.13321226085597648</c:v>
                </c:pt>
                <c:pt idx="15">
                  <c:v>0.14557190724152425</c:v>
                </c:pt>
                <c:pt idx="16">
                  <c:v>0.15872276423846365</c:v>
                </c:pt>
                <c:pt idx="17">
                  <c:v>0.17231827666934341</c:v>
                </c:pt>
                <c:pt idx="18">
                  <c:v>0.18625738648099599</c:v>
                </c:pt>
                <c:pt idx="19">
                  <c:v>0.20043952858636538</c:v>
                </c:pt>
                <c:pt idx="20">
                  <c:v>0.21501062095490497</c:v>
                </c:pt>
                <c:pt idx="21">
                  <c:v>0.22962312247693761</c:v>
                </c:pt>
                <c:pt idx="22">
                  <c:v>0.24417696103152164</c:v>
                </c:pt>
                <c:pt idx="23">
                  <c:v>0.25881756162199654</c:v>
                </c:pt>
                <c:pt idx="24">
                  <c:v>0.27320970729151117</c:v>
                </c:pt>
                <c:pt idx="25">
                  <c:v>0.28765805109790943</c:v>
                </c:pt>
                <c:pt idx="26">
                  <c:v>0.30203343591958132</c:v>
                </c:pt>
                <c:pt idx="27">
                  <c:v>0.31645368065753776</c:v>
                </c:pt>
                <c:pt idx="28">
                  <c:v>0.33128358023541105</c:v>
                </c:pt>
                <c:pt idx="29">
                  <c:v>0.3463949634638166</c:v>
                </c:pt>
                <c:pt idx="30">
                  <c:v>0.3619051562776523</c:v>
                </c:pt>
                <c:pt idx="31">
                  <c:v>0.37817895360055043</c:v>
                </c:pt>
                <c:pt idx="32">
                  <c:v>0.38793968263827572</c:v>
                </c:pt>
                <c:pt idx="33">
                  <c:v>0.41151726589162529</c:v>
                </c:pt>
                <c:pt idx="34">
                  <c:v>0.43462160167647923</c:v>
                </c:pt>
                <c:pt idx="35">
                  <c:v>0.46182100696216044</c:v>
                </c:pt>
                <c:pt idx="36">
                  <c:v>0.49215173299772208</c:v>
                </c:pt>
                <c:pt idx="37">
                  <c:v>0.52464953806610382</c:v>
                </c:pt>
                <c:pt idx="38">
                  <c:v>0.55820327654856672</c:v>
                </c:pt>
                <c:pt idx="39">
                  <c:v>0.59267590386569236</c:v>
                </c:pt>
                <c:pt idx="40">
                  <c:v>0.62832721315904005</c:v>
                </c:pt>
                <c:pt idx="41">
                  <c:v>0.66479881806444752</c:v>
                </c:pt>
                <c:pt idx="42">
                  <c:v>0.70170965577655231</c:v>
                </c:pt>
                <c:pt idx="43">
                  <c:v>0.73862690204812642</c:v>
                </c:pt>
                <c:pt idx="44">
                  <c:v>0.77590056281941111</c:v>
                </c:pt>
                <c:pt idx="45">
                  <c:v>0.81427156615827068</c:v>
                </c:pt>
                <c:pt idx="46">
                  <c:v>0.85383456155840398</c:v>
                </c:pt>
                <c:pt idx="47">
                  <c:v>0.89465955020785914</c:v>
                </c:pt>
                <c:pt idx="48">
                  <c:v>0.9367908990568079</c:v>
                </c:pt>
                <c:pt idx="49">
                  <c:v>0.98033853954845296</c:v>
                </c:pt>
                <c:pt idx="50">
                  <c:v>1.0253734588030685</c:v>
                </c:pt>
                <c:pt idx="51">
                  <c:v>1.0719449534319558</c:v>
                </c:pt>
                <c:pt idx="52">
                  <c:v>1.1200032338577013</c:v>
                </c:pt>
                <c:pt idx="53">
                  <c:v>1.169449706857701</c:v>
                </c:pt>
                <c:pt idx="54">
                  <c:v>1.2205239539628807</c:v>
                </c:pt>
                <c:pt idx="55">
                  <c:v>1.2732530883094562</c:v>
                </c:pt>
                <c:pt idx="56">
                  <c:v>1.3274044298920846</c:v>
                </c:pt>
                <c:pt idx="57">
                  <c:v>1.3828680472675625</c:v>
                </c:pt>
                <c:pt idx="58">
                  <c:v>1.4392875259361797</c:v>
                </c:pt>
                <c:pt idx="59">
                  <c:v>1.4971563249770643</c:v>
                </c:pt>
                <c:pt idx="60">
                  <c:v>1.556592263291229</c:v>
                </c:pt>
                <c:pt idx="61">
                  <c:v>1.6169988518819229</c:v>
                </c:pt>
                <c:pt idx="62">
                  <c:v>1.6780492542162158</c:v>
                </c:pt>
                <c:pt idx="63">
                  <c:v>1.7394190985917435</c:v>
                </c:pt>
                <c:pt idx="64">
                  <c:v>1.8007371815254047</c:v>
                </c:pt>
                <c:pt idx="65">
                  <c:v>1.8620823775952817</c:v>
                </c:pt>
                <c:pt idx="66">
                  <c:v>1.9239506107110689</c:v>
                </c:pt>
                <c:pt idx="67">
                  <c:v>1.9869861875824797</c:v>
                </c:pt>
                <c:pt idx="68">
                  <c:v>2.0515617905909531</c:v>
                </c:pt>
                <c:pt idx="69">
                  <c:v>2.1178750991478097</c:v>
                </c:pt>
                <c:pt idx="70">
                  <c:v>2.1860419602896077</c:v>
                </c:pt>
                <c:pt idx="71">
                  <c:v>2.256102304271502</c:v>
                </c:pt>
                <c:pt idx="72">
                  <c:v>2.3278983819373273</c:v>
                </c:pt>
                <c:pt idx="73">
                  <c:v>2.4011738509083149</c:v>
                </c:pt>
                <c:pt idx="74">
                  <c:v>2.4763536479738848</c:v>
                </c:pt>
                <c:pt idx="75">
                  <c:v>2.5530029770223566</c:v>
                </c:pt>
                <c:pt idx="76">
                  <c:v>2.6303409797307125</c:v>
                </c:pt>
                <c:pt idx="77">
                  <c:v>2.707881591511518</c:v>
                </c:pt>
                <c:pt idx="78">
                  <c:v>2.7850909300643765</c:v>
                </c:pt>
                <c:pt idx="79">
                  <c:v>2.8620153342039116</c:v>
                </c:pt>
                <c:pt idx="80">
                  <c:v>2.9389318508856381</c:v>
                </c:pt>
                <c:pt idx="81">
                  <c:v>3.0159109742637185</c:v>
                </c:pt>
                <c:pt idx="82">
                  <c:v>3.0933909512126219</c:v>
                </c:pt>
                <c:pt idx="83">
                  <c:v>3.1712199481695427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BA-421E-A29E-B297653E276E}"/>
            </c:ext>
          </c:extLst>
        </c:ser>
        <c:ser>
          <c:idx val="2"/>
          <c:order val="2"/>
          <c:tx>
            <c:strRef>
              <c:f>'вместе-отн'!$D$1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'вместе-отн'!$D$2:$D$85</c:f>
              <c:numCache>
                <c:formatCode>0.00</c:formatCode>
                <c:ptCount val="84"/>
                <c:pt idx="0">
                  <c:v>0</c:v>
                </c:pt>
                <c:pt idx="1">
                  <c:v>2.099065740176731E-2</c:v>
                </c:pt>
                <c:pt idx="2">
                  <c:v>4.2402773158762619E-2</c:v>
                </c:pt>
                <c:pt idx="3">
                  <c:v>6.4190100047127219E-2</c:v>
                </c:pt>
                <c:pt idx="4">
                  <c:v>8.6074960896285857E-2</c:v>
                </c:pt>
                <c:pt idx="5">
                  <c:v>0.10831285901927279</c:v>
                </c:pt>
                <c:pt idx="6">
                  <c:v>0.13096930808609653</c:v>
                </c:pt>
                <c:pt idx="7">
                  <c:v>0.15409032272770395</c:v>
                </c:pt>
                <c:pt idx="8">
                  <c:v>0.17766392440916468</c:v>
                </c:pt>
                <c:pt idx="9">
                  <c:v>0.20169736227621304</c:v>
                </c:pt>
                <c:pt idx="10">
                  <c:v>0.22621738451364615</c:v>
                </c:pt>
                <c:pt idx="11">
                  <c:v>0.25123127903268316</c:v>
                </c:pt>
                <c:pt idx="12">
                  <c:v>0.27674637251002987</c:v>
                </c:pt>
                <c:pt idx="13">
                  <c:v>0.30278941313048247</c:v>
                </c:pt>
                <c:pt idx="14">
                  <c:v>0.32917145791911606</c:v>
                </c:pt>
                <c:pt idx="15">
                  <c:v>0.35577260523016951</c:v>
                </c:pt>
                <c:pt idx="16">
                  <c:v>0.3827712538265895</c:v>
                </c:pt>
                <c:pt idx="17">
                  <c:v>0.41030707575159586</c:v>
                </c:pt>
                <c:pt idx="18">
                  <c:v>0.43851974304840846</c:v>
                </c:pt>
                <c:pt idx="19">
                  <c:v>0.46754888899476188</c:v>
                </c:pt>
                <c:pt idx="20">
                  <c:v>0.49753422439936101</c:v>
                </c:pt>
                <c:pt idx="21">
                  <c:v>0.52865414802515254</c:v>
                </c:pt>
                <c:pt idx="22">
                  <c:v>0.56102894917275026</c:v>
                </c:pt>
                <c:pt idx="23">
                  <c:v>0.59479829988537425</c:v>
                </c:pt>
                <c:pt idx="24">
                  <c:v>0.63253603455369278</c:v>
                </c:pt>
                <c:pt idx="25">
                  <c:v>0.67263512998823138</c:v>
                </c:pt>
                <c:pt idx="26">
                  <c:v>0.71299531096567415</c:v>
                </c:pt>
                <c:pt idx="27">
                  <c:v>0.7531446077035624</c:v>
                </c:pt>
                <c:pt idx="28">
                  <c:v>0.79774732214812105</c:v>
                </c:pt>
                <c:pt idx="29">
                  <c:v>0.84528473888518918</c:v>
                </c:pt>
                <c:pt idx="30">
                  <c:v>0.89511040468336667</c:v>
                </c:pt>
                <c:pt idx="31">
                  <c:v>0.94715930982395302</c:v>
                </c:pt>
                <c:pt idx="32">
                  <c:v>1.0013082188294584</c:v>
                </c:pt>
                <c:pt idx="33">
                  <c:v>1.0575309262318791</c:v>
                </c:pt>
                <c:pt idx="34">
                  <c:v>1.1193892435780031</c:v>
                </c:pt>
                <c:pt idx="35">
                  <c:v>1.1866467789390063</c:v>
                </c:pt>
                <c:pt idx="36">
                  <c:v>1.2581119975959196</c:v>
                </c:pt>
                <c:pt idx="37">
                  <c:v>1.332603017435591</c:v>
                </c:pt>
                <c:pt idx="38">
                  <c:v>1.4089629988483163</c:v>
                </c:pt>
                <c:pt idx="39">
                  <c:v>1.4867716852089092</c:v>
                </c:pt>
                <c:pt idx="40">
                  <c:v>1.5663323001426996</c:v>
                </c:pt>
                <c:pt idx="41">
                  <c:v>1.647495247642254</c:v>
                </c:pt>
                <c:pt idx="42">
                  <c:v>1.7300702667061505</c:v>
                </c:pt>
                <c:pt idx="43">
                  <c:v>1.8136382636737594</c:v>
                </c:pt>
                <c:pt idx="44">
                  <c:v>1.8992487752917171</c:v>
                </c:pt>
                <c:pt idx="45">
                  <c:v>1.987690524122153</c:v>
                </c:pt>
                <c:pt idx="46">
                  <c:v>2.0780601580631646</c:v>
                </c:pt>
                <c:pt idx="47">
                  <c:v>2.1692626296884767</c:v>
                </c:pt>
                <c:pt idx="48">
                  <c:v>2.2600592654491023</c:v>
                </c:pt>
                <c:pt idx="49">
                  <c:v>2.3501002456064843</c:v>
                </c:pt>
                <c:pt idx="50">
                  <c:v>2.4397883823174653</c:v>
                </c:pt>
                <c:pt idx="51">
                  <c:v>2.5293734416032656</c:v>
                </c:pt>
                <c:pt idx="52">
                  <c:v>2.619446286989493</c:v>
                </c:pt>
                <c:pt idx="53">
                  <c:v>2.7104951697623947</c:v>
                </c:pt>
                <c:pt idx="54">
                  <c:v>2.8024427527789717</c:v>
                </c:pt>
                <c:pt idx="55">
                  <c:v>2.8953730020801949</c:v>
                </c:pt>
                <c:pt idx="56">
                  <c:v>2.989711485162724</c:v>
                </c:pt>
                <c:pt idx="57">
                  <c:v>3.0855931059150974</c:v>
                </c:pt>
                <c:pt idx="58">
                  <c:v>3.1835190245301401</c:v>
                </c:pt>
                <c:pt idx="59">
                  <c:v>3.2841388730090388</c:v>
                </c:pt>
                <c:pt idx="60">
                  <c:v>3.3873481783691455</c:v>
                </c:pt>
                <c:pt idx="61">
                  <c:v>3.4928220858443835</c:v>
                </c:pt>
                <c:pt idx="62">
                  <c:v>3.6001466188181697</c:v>
                </c:pt>
                <c:pt idx="63">
                  <c:v>3.7089426508451284</c:v>
                </c:pt>
                <c:pt idx="64">
                  <c:v>3.8195376727443318</c:v>
                </c:pt>
                <c:pt idx="65">
                  <c:v>3.9316400905360158</c:v>
                </c:pt>
                <c:pt idx="66">
                  <c:v>4.0443214320838585</c:v>
                </c:pt>
                <c:pt idx="67">
                  <c:v>4.1565135532083222</c:v>
                </c:pt>
                <c:pt idx="68">
                  <c:v>4.2669719267721531</c:v>
                </c:pt>
                <c:pt idx="69">
                  <c:v>4.3753342505505568</c:v>
                </c:pt>
                <c:pt idx="70">
                  <c:v>4.4819624391134747</c:v>
                </c:pt>
                <c:pt idx="71">
                  <c:v>4.5868573065360971</c:v>
                </c:pt>
                <c:pt idx="72">
                  <c:v>4.6899576421172737</c:v>
                </c:pt>
                <c:pt idx="73">
                  <c:v>4.7913262847085312</c:v>
                </c:pt>
                <c:pt idx="74">
                  <c:v>4.8901014388081201</c:v>
                </c:pt>
                <c:pt idx="75">
                  <c:v>4.9869514989120667</c:v>
                </c:pt>
                <c:pt idx="76">
                  <c:v>5.0825529615028104</c:v>
                </c:pt>
                <c:pt idx="77">
                  <c:v>5.177256731752494</c:v>
                </c:pt>
                <c:pt idx="78">
                  <c:v>5.2727046054908282</c:v>
                </c:pt>
                <c:pt idx="79">
                  <c:v>5.3692878039945739</c:v>
                </c:pt>
                <c:pt idx="80">
                  <c:v>5.4664401573522055</c:v>
                </c:pt>
                <c:pt idx="81">
                  <c:v>5.5644226348101729</c:v>
                </c:pt>
                <c:pt idx="82">
                  <c:v>5.6615189720416739</c:v>
                </c:pt>
                <c:pt idx="83">
                  <c:v>5.7553579230817569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6BA-421E-A29E-B297653E276E}"/>
            </c:ext>
          </c:extLst>
        </c:ser>
        <c:ser>
          <c:idx val="3"/>
          <c:order val="3"/>
          <c:tx>
            <c:strRef>
              <c:f>'вместе-отн'!$E$1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'вместе-отн'!$E$2:$E$85</c:f>
              <c:numCache>
                <c:formatCode>0.00</c:formatCode>
                <c:ptCount val="84"/>
                <c:pt idx="0">
                  <c:v>0</c:v>
                </c:pt>
                <c:pt idx="1">
                  <c:v>1.0902207989262225E-2</c:v>
                </c:pt>
                <c:pt idx="2">
                  <c:v>2.2246936970797382E-2</c:v>
                </c:pt>
                <c:pt idx="3">
                  <c:v>3.3879963982894168E-2</c:v>
                </c:pt>
                <c:pt idx="4">
                  <c:v>4.6222563148991203E-2</c:v>
                </c:pt>
                <c:pt idx="5">
                  <c:v>5.9297080313897021E-2</c:v>
                </c:pt>
                <c:pt idx="6">
                  <c:v>7.2897640645113615E-2</c:v>
                </c:pt>
                <c:pt idx="7">
                  <c:v>8.6635939298428388E-2</c:v>
                </c:pt>
                <c:pt idx="8">
                  <c:v>0.10085558942843731</c:v>
                </c:pt>
                <c:pt idx="9">
                  <c:v>0.11535108252796711</c:v>
                </c:pt>
                <c:pt idx="10">
                  <c:v>0.13064992706462797</c:v>
                </c:pt>
                <c:pt idx="11">
                  <c:v>0.14691293985597564</c:v>
                </c:pt>
                <c:pt idx="12">
                  <c:v>0.16338512440774355</c:v>
                </c:pt>
                <c:pt idx="13">
                  <c:v>0.18022693121216338</c:v>
                </c:pt>
                <c:pt idx="14">
                  <c:v>0.1971654479023115</c:v>
                </c:pt>
                <c:pt idx="15">
                  <c:v>0.21437284738081064</c:v>
                </c:pt>
                <c:pt idx="16">
                  <c:v>0.23157914788333578</c:v>
                </c:pt>
                <c:pt idx="17">
                  <c:v>0.2492470182950195</c:v>
                </c:pt>
                <c:pt idx="18">
                  <c:v>0.26710647685153655</c:v>
                </c:pt>
                <c:pt idx="19">
                  <c:v>0.2938628785697488</c:v>
                </c:pt>
                <c:pt idx="20">
                  <c:v>0.32118745086661593</c:v>
                </c:pt>
                <c:pt idx="21">
                  <c:v>0.34917617097721676</c:v>
                </c:pt>
                <c:pt idx="22">
                  <c:v>0.37792538246195528</c:v>
                </c:pt>
                <c:pt idx="23">
                  <c:v>0.40753179520656002</c:v>
                </c:pt>
                <c:pt idx="24">
                  <c:v>0.4400222872327566</c:v>
                </c:pt>
                <c:pt idx="25">
                  <c:v>0.47668705633424113</c:v>
                </c:pt>
                <c:pt idx="26">
                  <c:v>0.51487024390672786</c:v>
                </c:pt>
                <c:pt idx="27">
                  <c:v>0.55484549496778923</c:v>
                </c:pt>
                <c:pt idx="28">
                  <c:v>0.59652086186091813</c:v>
                </c:pt>
                <c:pt idx="29">
                  <c:v>0.63998755959197218</c:v>
                </c:pt>
                <c:pt idx="30">
                  <c:v>0.69083131671242071</c:v>
                </c:pt>
                <c:pt idx="31">
                  <c:v>0.73961925611048973</c:v>
                </c:pt>
                <c:pt idx="32">
                  <c:v>0.79065423505044685</c:v>
                </c:pt>
                <c:pt idx="33">
                  <c:v>0.84402820118879918</c:v>
                </c:pt>
                <c:pt idx="34">
                  <c:v>0.91909302245500979</c:v>
                </c:pt>
                <c:pt idx="35">
                  <c:v>1.0073125861322421</c:v>
                </c:pt>
                <c:pt idx="36">
                  <c:v>1.1055456525609437</c:v>
                </c:pt>
                <c:pt idx="37">
                  <c:v>1.2105788159925917</c:v>
                </c:pt>
                <c:pt idx="38">
                  <c:v>1.3189781428331746</c:v>
                </c:pt>
                <c:pt idx="39">
                  <c:v>1.4300388231579149</c:v>
                </c:pt>
                <c:pt idx="40">
                  <c:v>1.5443041174233851</c:v>
                </c:pt>
                <c:pt idx="41">
                  <c:v>1.6598090565877381</c:v>
                </c:pt>
                <c:pt idx="42">
                  <c:v>1.7736362257648328</c:v>
                </c:pt>
                <c:pt idx="43">
                  <c:v>1.8828132612698156</c:v>
                </c:pt>
                <c:pt idx="44">
                  <c:v>1.9901121468349126</c:v>
                </c:pt>
                <c:pt idx="45">
                  <c:v>2.0998379376763401</c:v>
                </c:pt>
                <c:pt idx="46">
                  <c:v>2.2118649842077152</c:v>
                </c:pt>
                <c:pt idx="47">
                  <c:v>2.3259951044283604</c:v>
                </c:pt>
                <c:pt idx="48">
                  <c:v>2.4419008034979672</c:v>
                </c:pt>
                <c:pt idx="49">
                  <c:v>2.5590542066236019</c:v>
                </c:pt>
                <c:pt idx="50">
                  <c:v>2.6775868245968413</c:v>
                </c:pt>
                <c:pt idx="51">
                  <c:v>2.7982990782522181</c:v>
                </c:pt>
                <c:pt idx="52">
                  <c:v>2.9218998070930846</c:v>
                </c:pt>
                <c:pt idx="53">
                  <c:v>3.0495557572787009</c:v>
                </c:pt>
                <c:pt idx="54">
                  <c:v>3.1820724781981484</c:v>
                </c:pt>
                <c:pt idx="55">
                  <c:v>3.3189528663857688</c:v>
                </c:pt>
                <c:pt idx="56">
                  <c:v>3.4599148513415203</c:v>
                </c:pt>
                <c:pt idx="57">
                  <c:v>3.6047488949796582</c:v>
                </c:pt>
                <c:pt idx="58">
                  <c:v>3.7531542442085799</c:v>
                </c:pt>
                <c:pt idx="59">
                  <c:v>3.9070478794525929</c:v>
                </c:pt>
                <c:pt idx="60">
                  <c:v>4.0669862488799611</c:v>
                </c:pt>
                <c:pt idx="61">
                  <c:v>4.2306208408338444</c:v>
                </c:pt>
                <c:pt idx="62">
                  <c:v>4.3954738308177772</c:v>
                </c:pt>
                <c:pt idx="63">
                  <c:v>4.5589036469151374</c:v>
                </c:pt>
                <c:pt idx="64">
                  <c:v>4.7199996043686498</c:v>
                </c:pt>
                <c:pt idx="65">
                  <c:v>4.8802698645402218</c:v>
                </c:pt>
                <c:pt idx="66">
                  <c:v>5.0411028004105773</c:v>
                </c:pt>
                <c:pt idx="67">
                  <c:v>5.2039593173747365</c:v>
                </c:pt>
                <c:pt idx="68">
                  <c:v>5.3701362070822416</c:v>
                </c:pt>
                <c:pt idx="69">
                  <c:v>5.5410998698079803</c:v>
                </c:pt>
                <c:pt idx="70">
                  <c:v>5.7159861441109179</c:v>
                </c:pt>
                <c:pt idx="71">
                  <c:v>5.8927443408232216</c:v>
                </c:pt>
                <c:pt idx="72">
                  <c:v>6.0697428469485466</c:v>
                </c:pt>
                <c:pt idx="73">
                  <c:v>6.2455170938386289</c:v>
                </c:pt>
                <c:pt idx="74">
                  <c:v>6.4198795229272037</c:v>
                </c:pt>
                <c:pt idx="75">
                  <c:v>6.5932957337020035</c:v>
                </c:pt>
                <c:pt idx="76">
                  <c:v>6.7658540105662883</c:v>
                </c:pt>
                <c:pt idx="77">
                  <c:v>6.9376430042486419</c:v>
                </c:pt>
                <c:pt idx="78">
                  <c:v>7.1089891106133969</c:v>
                </c:pt>
                <c:pt idx="79">
                  <c:v>7.2801549849183864</c:v>
                </c:pt>
                <c:pt idx="80">
                  <c:v>7.4513146316928562</c:v>
                </c:pt>
                <c:pt idx="81">
                  <c:v>7.6223321442413301</c:v>
                </c:pt>
                <c:pt idx="82">
                  <c:v>7.7925213952305921</c:v>
                </c:pt>
                <c:pt idx="83">
                  <c:v>7.9618201093554362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6BA-421E-A29E-B297653E276E}"/>
            </c:ext>
          </c:extLst>
        </c:ser>
        <c:ser>
          <c:idx val="4"/>
          <c:order val="4"/>
          <c:tx>
            <c:strRef>
              <c:f>'вместе-отн'!$F$1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'вместе-отн'!$F$2:$F$85</c:f>
              <c:numCache>
                <c:formatCode>0.00</c:formatCode>
                <c:ptCount val="84"/>
                <c:pt idx="0">
                  <c:v>0</c:v>
                </c:pt>
                <c:pt idx="1">
                  <c:v>2.1465577346300613E-2</c:v>
                </c:pt>
                <c:pt idx="2">
                  <c:v>4.2082281626653062E-2</c:v>
                </c:pt>
                <c:pt idx="3">
                  <c:v>6.2092361994311229E-2</c:v>
                </c:pt>
                <c:pt idx="4">
                  <c:v>7.7043238971282069E-2</c:v>
                </c:pt>
                <c:pt idx="5">
                  <c:v>9.1499607346155587E-2</c:v>
                </c:pt>
                <c:pt idx="6">
                  <c:v>0.1058393557774171</c:v>
                </c:pt>
                <c:pt idx="7">
                  <c:v>0.11944034439420936</c:v>
                </c:pt>
                <c:pt idx="8">
                  <c:v>0.1334327355685323</c:v>
                </c:pt>
                <c:pt idx="9">
                  <c:v>0.14844417483381656</c:v>
                </c:pt>
                <c:pt idx="10">
                  <c:v>0.16385352334876435</c:v>
                </c:pt>
                <c:pt idx="11">
                  <c:v>0.17928789760268438</c:v>
                </c:pt>
                <c:pt idx="12">
                  <c:v>0.19537594415856718</c:v>
                </c:pt>
                <c:pt idx="13">
                  <c:v>0.2117462810500601</c:v>
                </c:pt>
                <c:pt idx="14">
                  <c:v>0.23025081296113048</c:v>
                </c:pt>
                <c:pt idx="15">
                  <c:v>0.24932893480945162</c:v>
                </c:pt>
                <c:pt idx="16">
                  <c:v>0.26862127698337734</c:v>
                </c:pt>
                <c:pt idx="17">
                  <c:v>0.28851824101087975</c:v>
                </c:pt>
                <c:pt idx="18">
                  <c:v>0.30866045728031266</c:v>
                </c:pt>
                <c:pt idx="19">
                  <c:v>0.33018859897404496</c:v>
                </c:pt>
                <c:pt idx="20">
                  <c:v>0.35174176640674926</c:v>
                </c:pt>
                <c:pt idx="21">
                  <c:v>0.37346110474623151</c:v>
                </c:pt>
                <c:pt idx="22">
                  <c:v>0.39473548544678194</c:v>
                </c:pt>
                <c:pt idx="23">
                  <c:v>0.41570605367620606</c:v>
                </c:pt>
                <c:pt idx="24">
                  <c:v>0.43776774412483244</c:v>
                </c:pt>
                <c:pt idx="25">
                  <c:v>0.46222639985224823</c:v>
                </c:pt>
                <c:pt idx="26">
                  <c:v>0.4822079508774777</c:v>
                </c:pt>
                <c:pt idx="27">
                  <c:v>0.50460248365443872</c:v>
                </c:pt>
                <c:pt idx="28">
                  <c:v>0.52754007496710376</c:v>
                </c:pt>
                <c:pt idx="29">
                  <c:v>0.55090310384230179</c:v>
                </c:pt>
                <c:pt idx="30">
                  <c:v>0.57482520772614643</c:v>
                </c:pt>
                <c:pt idx="31">
                  <c:v>0.59943802200563279</c:v>
                </c:pt>
                <c:pt idx="32">
                  <c:v>0.62512444048704086</c:v>
                </c:pt>
                <c:pt idx="33">
                  <c:v>0.65201860113126364</c:v>
                </c:pt>
                <c:pt idx="34">
                  <c:v>0.67657035260765697</c:v>
                </c:pt>
                <c:pt idx="35">
                  <c:v>0.70168418218137352</c:v>
                </c:pt>
                <c:pt idx="36">
                  <c:v>0.72728551315027512</c:v>
                </c:pt>
                <c:pt idx="37">
                  <c:v>0.75327424255847131</c:v>
                </c:pt>
                <c:pt idx="38">
                  <c:v>0.77965087092074215</c:v>
                </c:pt>
                <c:pt idx="39">
                  <c:v>0.80702552575323705</c:v>
                </c:pt>
                <c:pt idx="40">
                  <c:v>0.83581613689679846</c:v>
                </c:pt>
                <c:pt idx="41">
                  <c:v>0.86633852917725895</c:v>
                </c:pt>
                <c:pt idx="42">
                  <c:v>0.89893255212986545</c:v>
                </c:pt>
                <c:pt idx="43">
                  <c:v>0.93393805528986573</c:v>
                </c:pt>
                <c:pt idx="44">
                  <c:v>0.97089456506016436</c:v>
                </c:pt>
                <c:pt idx="45">
                  <c:v>1.0090192763257009</c:v>
                </c:pt>
                <c:pt idx="46">
                  <c:v>1.0473822326262558</c:v>
                </c:pt>
                <c:pt idx="47">
                  <c:v>1.0865039693324587</c:v>
                </c:pt>
                <c:pt idx="48">
                  <c:v>1.1269555738076611</c:v>
                </c:pt>
                <c:pt idx="49">
                  <c:v>1.1680828732351225</c:v>
                </c:pt>
                <c:pt idx="50">
                  <c:v>1.2101020899995647</c:v>
                </c:pt>
                <c:pt idx="51">
                  <c:v>1.2528475537089894</c:v>
                </c:pt>
                <c:pt idx="52">
                  <c:v>1.2960289657913164</c:v>
                </c:pt>
                <c:pt idx="53">
                  <c:v>1.3394306043766013</c:v>
                </c:pt>
                <c:pt idx="54">
                  <c:v>1.3827396477276883</c:v>
                </c:pt>
                <c:pt idx="55">
                  <c:v>1.4261918383056975</c:v>
                </c:pt>
                <c:pt idx="56">
                  <c:v>1.4703202243507447</c:v>
                </c:pt>
                <c:pt idx="57">
                  <c:v>1.5158335347905321</c:v>
                </c:pt>
                <c:pt idx="58">
                  <c:v>1.5633649208210647</c:v>
                </c:pt>
                <c:pt idx="59">
                  <c:v>1.6129989694400688</c:v>
                </c:pt>
                <c:pt idx="60">
                  <c:v>1.6643868218462687</c:v>
                </c:pt>
                <c:pt idx="61">
                  <c:v>1.7175840351801832</c:v>
                </c:pt>
                <c:pt idx="62">
                  <c:v>1.7725710893654125</c:v>
                </c:pt>
                <c:pt idx="63">
                  <c:v>1.8293539905793108</c:v>
                </c:pt>
                <c:pt idx="64">
                  <c:v>1.8887896201242977</c:v>
                </c:pt>
                <c:pt idx="65">
                  <c:v>1.9512293393755478</c:v>
                </c:pt>
                <c:pt idx="66">
                  <c:v>2.0158067572498313</c:v>
                </c:pt>
                <c:pt idx="67">
                  <c:v>2.0816299564101679</c:v>
                </c:pt>
                <c:pt idx="68">
                  <c:v>2.1480077259461354</c:v>
                </c:pt>
                <c:pt idx="69">
                  <c:v>2.214983610643547</c:v>
                </c:pt>
                <c:pt idx="70">
                  <c:v>2.2832142858930413</c:v>
                </c:pt>
                <c:pt idx="71">
                  <c:v>2.3526522027905705</c:v>
                </c:pt>
                <c:pt idx="72">
                  <c:v>2.4231006590278099</c:v>
                </c:pt>
                <c:pt idx="73">
                  <c:v>2.4943364250131257</c:v>
                </c:pt>
                <c:pt idx="74">
                  <c:v>2.5659125410484682</c:v>
                </c:pt>
                <c:pt idx="75">
                  <c:v>2.6375437137095501</c:v>
                </c:pt>
                <c:pt idx="76">
                  <c:v>2.7093886061814576</c:v>
                </c:pt>
                <c:pt idx="77">
                  <c:v>2.7813556242595512</c:v>
                </c:pt>
                <c:pt idx="78">
                  <c:v>2.8537535855627514</c:v>
                </c:pt>
                <c:pt idx="79">
                  <c:v>2.9270644858236698</c:v>
                </c:pt>
                <c:pt idx="80">
                  <c:v>3.0010680985393474</c:v>
                </c:pt>
                <c:pt idx="81">
                  <c:v>3.0754045535833603</c:v>
                </c:pt>
                <c:pt idx="82">
                  <c:v>3.1499151877706222</c:v>
                </c:pt>
                <c:pt idx="83">
                  <c:v>3.2246910947909919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6BA-421E-A29E-B297653E276E}"/>
            </c:ext>
          </c:extLst>
        </c:ser>
        <c:ser>
          <c:idx val="5"/>
          <c:order val="5"/>
          <c:tx>
            <c:strRef>
              <c:f>'вместе-отн'!$G$1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'вместе-отн'!$G$2:$G$85</c:f>
              <c:numCache>
                <c:formatCode>0.00</c:formatCode>
                <c:ptCount val="84"/>
                <c:pt idx="0">
                  <c:v>0</c:v>
                </c:pt>
                <c:pt idx="1">
                  <c:v>1.0921385872958433E-2</c:v>
                </c:pt>
                <c:pt idx="2">
                  <c:v>2.2707261392852951E-2</c:v>
                </c:pt>
                <c:pt idx="3">
                  <c:v>3.484341531043178E-2</c:v>
                </c:pt>
                <c:pt idx="4">
                  <c:v>5.8406201272400704E-2</c:v>
                </c:pt>
                <c:pt idx="5">
                  <c:v>8.3706291243360376E-2</c:v>
                </c:pt>
                <c:pt idx="6">
                  <c:v>0.11045360091956091</c:v>
                </c:pt>
                <c:pt idx="7">
                  <c:v>0.13995959311353956</c:v>
                </c:pt>
                <c:pt idx="8">
                  <c:v>0.16617284029674417</c:v>
                </c:pt>
                <c:pt idx="9">
                  <c:v>0.19264543437402937</c:v>
                </c:pt>
                <c:pt idx="10">
                  <c:v>0.21972957483118449</c:v>
                </c:pt>
                <c:pt idx="11">
                  <c:v>0.25065653185964543</c:v>
                </c:pt>
                <c:pt idx="12">
                  <c:v>0.27713424883854221</c:v>
                </c:pt>
                <c:pt idx="13">
                  <c:v>0.30367472136217954</c:v>
                </c:pt>
                <c:pt idx="14">
                  <c:v>0.33227011779471893</c:v>
                </c:pt>
                <c:pt idx="15">
                  <c:v>0.35814525347156634</c:v>
                </c:pt>
                <c:pt idx="16">
                  <c:v>0.3817471015583227</c:v>
                </c:pt>
                <c:pt idx="17">
                  <c:v>0.40160154711628682</c:v>
                </c:pt>
                <c:pt idx="18">
                  <c:v>0.42071765447949727</c:v>
                </c:pt>
                <c:pt idx="19">
                  <c:v>0.44498483941304379</c:v>
                </c:pt>
                <c:pt idx="20">
                  <c:v>0.46780800645485598</c:v>
                </c:pt>
                <c:pt idx="21">
                  <c:v>0.49219365848816765</c:v>
                </c:pt>
                <c:pt idx="22">
                  <c:v>0.5137879695059282</c:v>
                </c:pt>
                <c:pt idx="23">
                  <c:v>0.54040144337752904</c:v>
                </c:pt>
                <c:pt idx="24">
                  <c:v>0.56721342968657451</c:v>
                </c:pt>
                <c:pt idx="25">
                  <c:v>0.59295921209773206</c:v>
                </c:pt>
                <c:pt idx="26">
                  <c:v>0.61589700406310133</c:v>
                </c:pt>
                <c:pt idx="27">
                  <c:v>0.64100754667443627</c:v>
                </c:pt>
                <c:pt idx="28">
                  <c:v>0.66943004517758853</c:v>
                </c:pt>
                <c:pt idx="29">
                  <c:v>0.70038133598870389</c:v>
                </c:pt>
                <c:pt idx="30">
                  <c:v>0.73468108336561833</c:v>
                </c:pt>
                <c:pt idx="31">
                  <c:v>0.77218712678861312</c:v>
                </c:pt>
                <c:pt idx="32">
                  <c:v>0.81339830880210551</c:v>
                </c:pt>
                <c:pt idx="33">
                  <c:v>0.85529019636722214</c:v>
                </c:pt>
                <c:pt idx="34">
                  <c:v>0.90079501029383047</c:v>
                </c:pt>
                <c:pt idx="35">
                  <c:v>0.95716101599946191</c:v>
                </c:pt>
                <c:pt idx="36">
                  <c:v>1.0218056307092338</c:v>
                </c:pt>
                <c:pt idx="37">
                  <c:v>1.0924030570915364</c:v>
                </c:pt>
                <c:pt idx="38">
                  <c:v>1.1667248329453805</c:v>
                </c:pt>
                <c:pt idx="39">
                  <c:v>1.2434370827636774</c:v>
                </c:pt>
                <c:pt idx="40">
                  <c:v>1.3224680859238673</c:v>
                </c:pt>
                <c:pt idx="41">
                  <c:v>1.402484607281564</c:v>
                </c:pt>
                <c:pt idx="42">
                  <c:v>1.4830198224274231</c:v>
                </c:pt>
                <c:pt idx="43">
                  <c:v>1.5634135174162647</c:v>
                </c:pt>
                <c:pt idx="44">
                  <c:v>1.6478306112582164</c:v>
                </c:pt>
                <c:pt idx="45">
                  <c:v>1.7394005564751875</c:v>
                </c:pt>
                <c:pt idx="46">
                  <c:v>1.834580866602844</c:v>
                </c:pt>
                <c:pt idx="47">
                  <c:v>1.9300858406201273</c:v>
                </c:pt>
                <c:pt idx="48">
                  <c:v>2.0228212459537085</c:v>
                </c:pt>
                <c:pt idx="49">
                  <c:v>2.111569112745459</c:v>
                </c:pt>
                <c:pt idx="50">
                  <c:v>2.1985694297249965</c:v>
                </c:pt>
                <c:pt idx="51">
                  <c:v>2.2851451862334824</c:v>
                </c:pt>
                <c:pt idx="52">
                  <c:v>2.3723331294845402</c:v>
                </c:pt>
                <c:pt idx="53">
                  <c:v>2.4620011974782519</c:v>
                </c:pt>
                <c:pt idx="54">
                  <c:v>2.5548275343154363</c:v>
                </c:pt>
                <c:pt idx="55">
                  <c:v>2.6503677282812985</c:v>
                </c:pt>
                <c:pt idx="56">
                  <c:v>2.7484700134155986</c:v>
                </c:pt>
                <c:pt idx="57">
                  <c:v>2.8473829977299143</c:v>
                </c:pt>
                <c:pt idx="58">
                  <c:v>2.9455787758186238</c:v>
                </c:pt>
                <c:pt idx="59">
                  <c:v>3.0389282889828797</c:v>
                </c:pt>
                <c:pt idx="60">
                  <c:v>3.1339850091091597</c:v>
                </c:pt>
                <c:pt idx="61">
                  <c:v>3.2362951175545831</c:v>
                </c:pt>
                <c:pt idx="62">
                  <c:v>3.3417692581077922</c:v>
                </c:pt>
                <c:pt idx="63">
                  <c:v>3.4509274052823518</c:v>
                </c:pt>
                <c:pt idx="64">
                  <c:v>3.5632246104193417</c:v>
                </c:pt>
                <c:pt idx="65">
                  <c:v>3.673945882948102</c:v>
                </c:pt>
                <c:pt idx="66">
                  <c:v>3.7907557240420973</c:v>
                </c:pt>
                <c:pt idx="67">
                  <c:v>3.9185343378489579</c:v>
                </c:pt>
                <c:pt idx="68">
                  <c:v>4.0491292668167249</c:v>
                </c:pt>
                <c:pt idx="69">
                  <c:v>4.1803799271907609</c:v>
                </c:pt>
                <c:pt idx="70">
                  <c:v>4.3134581827146894</c:v>
                </c:pt>
                <c:pt idx="71">
                  <c:v>4.4505457491122975</c:v>
                </c:pt>
                <c:pt idx="72">
                  <c:v>4.5914524386612579</c:v>
                </c:pt>
                <c:pt idx="73">
                  <c:v>4.7360540209974928</c:v>
                </c:pt>
                <c:pt idx="74">
                  <c:v>4.8821309989978321</c:v>
                </c:pt>
                <c:pt idx="75">
                  <c:v>5.0305433797703021</c:v>
                </c:pt>
                <c:pt idx="76">
                  <c:v>5.1830969861329459</c:v>
                </c:pt>
                <c:pt idx="77">
                  <c:v>5.339260317043574</c:v>
                </c:pt>
                <c:pt idx="78">
                  <c:v>5.4986293036375802</c:v>
                </c:pt>
                <c:pt idx="79">
                  <c:v>5.6594506328384391</c:v>
                </c:pt>
                <c:pt idx="80">
                  <c:v>5.8227014981285405</c:v>
                </c:pt>
                <c:pt idx="81">
                  <c:v>5.9901518620146446</c:v>
                </c:pt>
                <c:pt idx="82">
                  <c:v>6.1611389491007698</c:v>
                </c:pt>
                <c:pt idx="83">
                  <c:v>6.3325979834978527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6BA-421E-A29E-B297653E276E}"/>
            </c:ext>
          </c:extLst>
        </c:ser>
        <c:ser>
          <c:idx val="6"/>
          <c:order val="6"/>
          <c:tx>
            <c:strRef>
              <c:f>'вместе-отн'!$H$1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'вместе-отн'!$H$2:$H$85</c:f>
              <c:numCache>
                <c:formatCode>0.00</c:formatCode>
                <c:ptCount val="84"/>
                <c:pt idx="0">
                  <c:v>0</c:v>
                </c:pt>
                <c:pt idx="1">
                  <c:v>2.5175361636412763E-2</c:v>
                </c:pt>
                <c:pt idx="2">
                  <c:v>5.1588738498266062E-2</c:v>
                </c:pt>
                <c:pt idx="3">
                  <c:v>7.7962040878833516E-2</c:v>
                </c:pt>
                <c:pt idx="4">
                  <c:v>0.10506956500581799</c:v>
                </c:pt>
                <c:pt idx="5">
                  <c:v>0.13282543699075</c:v>
                </c:pt>
                <c:pt idx="6">
                  <c:v>0.16118099496349658</c:v>
                </c:pt>
                <c:pt idx="7">
                  <c:v>0.19080033032822441</c:v>
                </c:pt>
                <c:pt idx="8">
                  <c:v>0.22020211850882854</c:v>
                </c:pt>
                <c:pt idx="9">
                  <c:v>0.25005331337242498</c:v>
                </c:pt>
                <c:pt idx="10">
                  <c:v>0.27171643297042092</c:v>
                </c:pt>
                <c:pt idx="11">
                  <c:v>0.29587562025994041</c:v>
                </c:pt>
                <c:pt idx="12">
                  <c:v>0.31961688795890653</c:v>
                </c:pt>
                <c:pt idx="13">
                  <c:v>0.34575546837765625</c:v>
                </c:pt>
                <c:pt idx="14">
                  <c:v>0.37241072335869974</c:v>
                </c:pt>
                <c:pt idx="15">
                  <c:v>0.40053585306405193</c:v>
                </c:pt>
                <c:pt idx="16">
                  <c:v>0.42717107080445249</c:v>
                </c:pt>
                <c:pt idx="17">
                  <c:v>0.45293466857688358</c:v>
                </c:pt>
                <c:pt idx="18">
                  <c:v>0.48130740132732419</c:v>
                </c:pt>
                <c:pt idx="19">
                  <c:v>0.50789825089201512</c:v>
                </c:pt>
                <c:pt idx="20">
                  <c:v>0.53618797221693493</c:v>
                </c:pt>
                <c:pt idx="21">
                  <c:v>0.5675090418048403</c:v>
                </c:pt>
                <c:pt idx="22">
                  <c:v>0.60033433567244288</c:v>
                </c:pt>
                <c:pt idx="23">
                  <c:v>0.63313529860497875</c:v>
                </c:pt>
                <c:pt idx="24">
                  <c:v>0.66635418112806799</c:v>
                </c:pt>
                <c:pt idx="25">
                  <c:v>0.69851681482297812</c:v>
                </c:pt>
                <c:pt idx="26">
                  <c:v>0.72629272404855327</c:v>
                </c:pt>
                <c:pt idx="27">
                  <c:v>0.75851260700244327</c:v>
                </c:pt>
                <c:pt idx="28">
                  <c:v>0.79112894107476905</c:v>
                </c:pt>
                <c:pt idx="29">
                  <c:v>0.82581769832216723</c:v>
                </c:pt>
                <c:pt idx="30">
                  <c:v>0.86640169801302158</c:v>
                </c:pt>
                <c:pt idx="31">
                  <c:v>0.90811923303167763</c:v>
                </c:pt>
                <c:pt idx="32">
                  <c:v>0.95336045994054675</c:v>
                </c:pt>
                <c:pt idx="33">
                  <c:v>1.0023729817847173</c:v>
                </c:pt>
                <c:pt idx="34">
                  <c:v>1.0579090566896476</c:v>
                </c:pt>
                <c:pt idx="35">
                  <c:v>1.1243811712912142</c:v>
                </c:pt>
                <c:pt idx="36">
                  <c:v>1.1995766417298439</c:v>
                </c:pt>
                <c:pt idx="37">
                  <c:v>1.2810666681933136</c:v>
                </c:pt>
                <c:pt idx="38">
                  <c:v>1.3662836214163754</c:v>
                </c:pt>
                <c:pt idx="39">
                  <c:v>1.4543959559123461</c:v>
                </c:pt>
                <c:pt idx="40">
                  <c:v>1.5451904181915244</c:v>
                </c:pt>
                <c:pt idx="41">
                  <c:v>1.6371327281132504</c:v>
                </c:pt>
                <c:pt idx="42">
                  <c:v>1.7281175441785379</c:v>
                </c:pt>
                <c:pt idx="43">
                  <c:v>1.8161797855729009</c:v>
                </c:pt>
                <c:pt idx="44">
                  <c:v>1.9033961691658354</c:v>
                </c:pt>
                <c:pt idx="45">
                  <c:v>1.9938743292891505</c:v>
                </c:pt>
                <c:pt idx="46">
                  <c:v>2.0876214221002183</c:v>
                </c:pt>
                <c:pt idx="47">
                  <c:v>2.1847920205982834</c:v>
                </c:pt>
                <c:pt idx="48">
                  <c:v>2.2853918497092454</c:v>
                </c:pt>
                <c:pt idx="49">
                  <c:v>2.3897386428204426</c:v>
                </c:pt>
                <c:pt idx="50">
                  <c:v>2.4979869729311193</c:v>
                </c:pt>
                <c:pt idx="51">
                  <c:v>2.6103100190496913</c:v>
                </c:pt>
                <c:pt idx="52">
                  <c:v>2.726521721084473</c:v>
                </c:pt>
                <c:pt idx="53">
                  <c:v>2.84679239558093</c:v>
                </c:pt>
                <c:pt idx="54">
                  <c:v>2.971896338766765</c:v>
                </c:pt>
                <c:pt idx="55">
                  <c:v>3.1021970834365016</c:v>
                </c:pt>
                <c:pt idx="56">
                  <c:v>3.2358855530063737</c:v>
                </c:pt>
                <c:pt idx="57">
                  <c:v>3.3702195079712434</c:v>
                </c:pt>
                <c:pt idx="58">
                  <c:v>3.5090446673030877</c:v>
                </c:pt>
                <c:pt idx="59">
                  <c:v>3.6541744012800939</c:v>
                </c:pt>
                <c:pt idx="60">
                  <c:v>3.802485762824908</c:v>
                </c:pt>
                <c:pt idx="61">
                  <c:v>3.9541318937053012</c:v>
                </c:pt>
                <c:pt idx="62">
                  <c:v>4.1095536132154189</c:v>
                </c:pt>
                <c:pt idx="63">
                  <c:v>4.2691230415386316</c:v>
                </c:pt>
                <c:pt idx="64">
                  <c:v>4.4329561084243725</c:v>
                </c:pt>
                <c:pt idx="65">
                  <c:v>4.6008710474753798</c:v>
                </c:pt>
                <c:pt idx="66">
                  <c:v>4.7727920034235058</c:v>
                </c:pt>
                <c:pt idx="67">
                  <c:v>4.9481378962901044</c:v>
                </c:pt>
                <c:pt idx="68">
                  <c:v>5.1262575157542809</c:v>
                </c:pt>
                <c:pt idx="69">
                  <c:v>5.30812982414459</c:v>
                </c:pt>
                <c:pt idx="70">
                  <c:v>5.4941899158292777</c:v>
                </c:pt>
                <c:pt idx="71">
                  <c:v>5.6839311348663726</c:v>
                </c:pt>
                <c:pt idx="72">
                  <c:v>5.8769198181191049</c:v>
                </c:pt>
                <c:pt idx="73">
                  <c:v>6.0732919325775478</c:v>
                </c:pt>
                <c:pt idx="74">
                  <c:v>6.2738446741729996</c:v>
                </c:pt>
                <c:pt idx="75">
                  <c:v>6.4789000699872199</c:v>
                </c:pt>
                <c:pt idx="76">
                  <c:v>6.6872115174059212</c:v>
                </c:pt>
                <c:pt idx="77">
                  <c:v>6.8976011129255959</c:v>
                </c:pt>
                <c:pt idx="78">
                  <c:v>7.10903550742165</c:v>
                </c:pt>
                <c:pt idx="79">
                  <c:v>7.3205557758061772</c:v>
                </c:pt>
                <c:pt idx="80">
                  <c:v>7.5323465469393849</c:v>
                </c:pt>
                <c:pt idx="81">
                  <c:v>7.7399681407873775</c:v>
                </c:pt>
                <c:pt idx="82">
                  <c:v>7.9500757837065752</c:v>
                </c:pt>
                <c:pt idx="83">
                  <c:v>8.1694678252008384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6BA-421E-A29E-B297653E276E}"/>
            </c:ext>
          </c:extLst>
        </c:ser>
        <c:ser>
          <c:idx val="7"/>
          <c:order val="7"/>
          <c:tx>
            <c:strRef>
              <c:f>'вместе-отн'!$I$1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'вместе-отн'!$I$2:$I$85</c:f>
              <c:numCache>
                <c:formatCode>0.00</c:formatCode>
                <c:ptCount val="84"/>
                <c:pt idx="0">
                  <c:v>0</c:v>
                </c:pt>
                <c:pt idx="1">
                  <c:v>2.8752460509435585E-2</c:v>
                </c:pt>
                <c:pt idx="2">
                  <c:v>5.7410662697207959E-2</c:v>
                </c:pt>
                <c:pt idx="3">
                  <c:v>8.5602469812854354E-2</c:v>
                </c:pt>
                <c:pt idx="4">
                  <c:v>0.12526074055213354</c:v>
                </c:pt>
                <c:pt idx="5">
                  <c:v>0.16595218042756565</c:v>
                </c:pt>
                <c:pt idx="6">
                  <c:v>0.20771473759462555</c:v>
                </c:pt>
                <c:pt idx="7">
                  <c:v>0.25058513607474064</c:v>
                </c:pt>
                <c:pt idx="8">
                  <c:v>0.29460377229148094</c:v>
                </c:pt>
                <c:pt idx="9">
                  <c:v>0.33980981853436898</c:v>
                </c:pt>
                <c:pt idx="10">
                  <c:v>0.38623999882483129</c:v>
                </c:pt>
                <c:pt idx="11">
                  <c:v>0.43454677661022578</c:v>
                </c:pt>
                <c:pt idx="12">
                  <c:v>0.48354274186440516</c:v>
                </c:pt>
                <c:pt idx="13">
                  <c:v>0.53449364919256137</c:v>
                </c:pt>
                <c:pt idx="14">
                  <c:v>0.58687801749042734</c:v>
                </c:pt>
                <c:pt idx="15">
                  <c:v>0.64075705346038192</c:v>
                </c:pt>
                <c:pt idx="16">
                  <c:v>0.6961209640300452</c:v>
                </c:pt>
                <c:pt idx="17">
                  <c:v>0.7529599561270357</c:v>
                </c:pt>
                <c:pt idx="18">
                  <c:v>0.81003643022925576</c:v>
                </c:pt>
                <c:pt idx="19">
                  <c:v>0.86183199005023869</c:v>
                </c:pt>
                <c:pt idx="20">
                  <c:v>0.91568164680305175</c:v>
                </c:pt>
                <c:pt idx="21">
                  <c:v>0.97034902509964449</c:v>
                </c:pt>
                <c:pt idx="22">
                  <c:v>1.025824331867637</c:v>
                </c:pt>
                <c:pt idx="23">
                  <c:v>1.1353476051041493</c:v>
                </c:pt>
                <c:pt idx="24">
                  <c:v>1.1950290364596086</c:v>
                </c:pt>
                <c:pt idx="25">
                  <c:v>1.2564450657604809</c:v>
                </c:pt>
                <c:pt idx="26">
                  <c:v>1.320194294556031</c:v>
                </c:pt>
                <c:pt idx="27">
                  <c:v>1.3850391233241606</c:v>
                </c:pt>
                <c:pt idx="28">
                  <c:v>1.4528010635276605</c:v>
                </c:pt>
                <c:pt idx="29">
                  <c:v>1.5216304486206456</c:v>
                </c:pt>
                <c:pt idx="30">
                  <c:v>1.5927367230421199</c:v>
                </c:pt>
                <c:pt idx="31">
                  <c:v>1.6654931301597253</c:v>
                </c:pt>
                <c:pt idx="32">
                  <c:v>1.7411127868146075</c:v>
                </c:pt>
                <c:pt idx="33">
                  <c:v>1.8201906221538882</c:v>
                </c:pt>
                <c:pt idx="34">
                  <c:v>1.9087236688766369</c:v>
                </c:pt>
                <c:pt idx="35">
                  <c:v>2.0072725803766414</c:v>
                </c:pt>
                <c:pt idx="36">
                  <c:v>2.1149229285203646</c:v>
                </c:pt>
                <c:pt idx="37">
                  <c:v>2.230396717362138</c:v>
                </c:pt>
                <c:pt idx="38">
                  <c:v>2.352412278554151</c:v>
                </c:pt>
                <c:pt idx="39">
                  <c:v>2.4802706315552379</c:v>
                </c:pt>
                <c:pt idx="40">
                  <c:v>2.6130548999637653</c:v>
                </c:pt>
                <c:pt idx="41">
                  <c:v>2.7483327294272031</c:v>
                </c:pt>
                <c:pt idx="42">
                  <c:v>2.8837305240273032</c:v>
                </c:pt>
                <c:pt idx="43">
                  <c:v>3.0164486891972615</c:v>
                </c:pt>
                <c:pt idx="44">
                  <c:v>3.1488742863298507</c:v>
                </c:pt>
                <c:pt idx="45">
                  <c:v>3.2846393211442226</c:v>
                </c:pt>
                <c:pt idx="46">
                  <c:v>3.4231207094101634</c:v>
                </c:pt>
                <c:pt idx="47">
                  <c:v>3.5638814352726884</c:v>
                </c:pt>
                <c:pt idx="48">
                  <c:v>3.7052579005611435</c:v>
                </c:pt>
                <c:pt idx="49">
                  <c:v>3.8488684104864221</c:v>
                </c:pt>
                <c:pt idx="50">
                  <c:v>3.9962810807634677</c:v>
                </c:pt>
                <c:pt idx="51">
                  <c:v>4.1453291941280739</c:v>
                </c:pt>
                <c:pt idx="52">
                  <c:v>4.2959295094650036</c:v>
                </c:pt>
                <c:pt idx="53">
                  <c:v>4.4484260084416292</c:v>
                </c:pt>
                <c:pt idx="54">
                  <c:v>4.6029925180927016</c:v>
                </c:pt>
                <c:pt idx="55">
                  <c:v>4.7599424167344013</c:v>
                </c:pt>
                <c:pt idx="56">
                  <c:v>4.9189953776698365</c:v>
                </c:pt>
                <c:pt idx="57">
                  <c:v>5.0794426272854585</c:v>
                </c:pt>
                <c:pt idx="58">
                  <c:v>5.2404566509651076</c:v>
                </c:pt>
                <c:pt idx="59">
                  <c:v>5.4022173964137776</c:v>
                </c:pt>
                <c:pt idx="60">
                  <c:v>5.5650786383712161</c:v>
                </c:pt>
                <c:pt idx="61">
                  <c:v>5.7291982901295633</c:v>
                </c:pt>
                <c:pt idx="62">
                  <c:v>5.8945543172759596</c:v>
                </c:pt>
                <c:pt idx="63">
                  <c:v>6.0613670639389694</c:v>
                </c:pt>
                <c:pt idx="64">
                  <c:v>6.2289032738240966</c:v>
                </c:pt>
                <c:pt idx="65">
                  <c:v>6.3964309147708907</c:v>
                </c:pt>
                <c:pt idx="66">
                  <c:v>6.565335706521207</c:v>
                </c:pt>
                <c:pt idx="67">
                  <c:v>6.7356568213645662</c:v>
                </c:pt>
                <c:pt idx="68">
                  <c:v>6.9060232291676877</c:v>
                </c:pt>
                <c:pt idx="69">
                  <c:v>7.0763112923917628</c:v>
                </c:pt>
                <c:pt idx="70">
                  <c:v>7.2472554914653387</c:v>
                </c:pt>
                <c:pt idx="71">
                  <c:v>7.419718840891953</c:v>
                </c:pt>
                <c:pt idx="72">
                  <c:v>7.5946292342796706</c:v>
                </c:pt>
                <c:pt idx="73">
                  <c:v>7.7713231909747034</c:v>
                </c:pt>
                <c:pt idx="74">
                  <c:v>7.94878345558352</c:v>
                </c:pt>
                <c:pt idx="75">
                  <c:v>8.1264567195166144</c:v>
                </c:pt>
                <c:pt idx="76">
                  <c:v>8.3039463633425719</c:v>
                </c:pt>
                <c:pt idx="77">
                  <c:v>8.4807970091956957</c:v>
                </c:pt>
                <c:pt idx="78">
                  <c:v>8.6558163505136463</c:v>
                </c:pt>
                <c:pt idx="79">
                  <c:v>8.8280973039671746</c:v>
                </c:pt>
                <c:pt idx="80">
                  <c:v>8.9969445614172532</c:v>
                </c:pt>
                <c:pt idx="81">
                  <c:v>9.1621341063331787</c:v>
                </c:pt>
                <c:pt idx="82">
                  <c:v>9.3269294800857878</c:v>
                </c:pt>
                <c:pt idx="83">
                  <c:v>9.4935549342395191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6BA-421E-A29E-B297653E276E}"/>
            </c:ext>
          </c:extLst>
        </c:ser>
        <c:ser>
          <c:idx val="8"/>
          <c:order val="8"/>
          <c:tx>
            <c:strRef>
              <c:f>'вместе-отн'!$J$1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'вместе-отн'!$J$2:$J$85</c:f>
              <c:numCache>
                <c:formatCode>0.00</c:formatCode>
                <c:ptCount val="84"/>
                <c:pt idx="0">
                  <c:v>0</c:v>
                </c:pt>
                <c:pt idx="1">
                  <c:v>2.3701052393358069E-2</c:v>
                </c:pt>
                <c:pt idx="2">
                  <c:v>5.032889372492888E-2</c:v>
                </c:pt>
                <c:pt idx="3">
                  <c:v>6.6802744514920187E-2</c:v>
                </c:pt>
                <c:pt idx="4">
                  <c:v>8.8552137183006252E-2</c:v>
                </c:pt>
                <c:pt idx="5">
                  <c:v>0.11054448013281504</c:v>
                </c:pt>
                <c:pt idx="6">
                  <c:v>0.13275139705170114</c:v>
                </c:pt>
                <c:pt idx="7">
                  <c:v>0.15523279348858199</c:v>
                </c:pt>
                <c:pt idx="8">
                  <c:v>0.17813545555454935</c:v>
                </c:pt>
                <c:pt idx="9">
                  <c:v>0.20151928879852066</c:v>
                </c:pt>
                <c:pt idx="10">
                  <c:v>0.22535591690785073</c:v>
                </c:pt>
                <c:pt idx="11">
                  <c:v>0.24979265148090191</c:v>
                </c:pt>
                <c:pt idx="12">
                  <c:v>0.27488904774174472</c:v>
                </c:pt>
                <c:pt idx="13">
                  <c:v>0.30070466091444947</c:v>
                </c:pt>
                <c:pt idx="14">
                  <c:v>0.3271053165824338</c:v>
                </c:pt>
                <c:pt idx="15">
                  <c:v>0.35397750949511719</c:v>
                </c:pt>
                <c:pt idx="16">
                  <c:v>0.38132264095188861</c:v>
                </c:pt>
                <c:pt idx="17">
                  <c:v>0.40940555653743838</c:v>
                </c:pt>
                <c:pt idx="18">
                  <c:v>0.4382281830384267</c:v>
                </c:pt>
                <c:pt idx="19">
                  <c:v>0.46788002845338417</c:v>
                </c:pt>
                <c:pt idx="20">
                  <c:v>0.4985378316678597</c:v>
                </c:pt>
                <c:pt idx="21">
                  <c:v>0.53020386979336265</c:v>
                </c:pt>
                <c:pt idx="22">
                  <c:v>0.56471892474093899</c:v>
                </c:pt>
                <c:pt idx="23">
                  <c:v>0.60077120511922688</c:v>
                </c:pt>
                <c:pt idx="24">
                  <c:v>0.63960961900946711</c:v>
                </c:pt>
                <c:pt idx="25">
                  <c:v>0.68056924985115574</c:v>
                </c:pt>
                <c:pt idx="26">
                  <c:v>0.72367181778483647</c:v>
                </c:pt>
                <c:pt idx="27">
                  <c:v>0.76867594899060032</c:v>
                </c:pt>
                <c:pt idx="28">
                  <c:v>0.81551560723469829</c:v>
                </c:pt>
                <c:pt idx="29">
                  <c:v>0.86412510660823005</c:v>
                </c:pt>
                <c:pt idx="30">
                  <c:v>0.91443806055259902</c:v>
                </c:pt>
                <c:pt idx="31">
                  <c:v>0.9661260395232989</c:v>
                </c:pt>
                <c:pt idx="32">
                  <c:v>1.0192104133360265</c:v>
                </c:pt>
                <c:pt idx="33">
                  <c:v>1.073800483343192</c:v>
                </c:pt>
                <c:pt idx="34">
                  <c:v>1.1300461885795152</c:v>
                </c:pt>
                <c:pt idx="35">
                  <c:v>1.1898860515884868</c:v>
                </c:pt>
                <c:pt idx="36">
                  <c:v>1.2527528964420482</c:v>
                </c:pt>
                <c:pt idx="37">
                  <c:v>1.3183687403737299</c:v>
                </c:pt>
                <c:pt idx="38">
                  <c:v>1.3865778639888302</c:v>
                </c:pt>
                <c:pt idx="39">
                  <c:v>1.4573624007201276</c:v>
                </c:pt>
                <c:pt idx="40">
                  <c:v>1.5312275189976785</c:v>
                </c:pt>
                <c:pt idx="41">
                  <c:v>1.6075026970634196</c:v>
                </c:pt>
                <c:pt idx="42">
                  <c:v>1.6864629399226168</c:v>
                </c:pt>
                <c:pt idx="43">
                  <c:v>1.7685062166019994</c:v>
                </c:pt>
                <c:pt idx="44">
                  <c:v>1.8534620940632727</c:v>
                </c:pt>
                <c:pt idx="45">
                  <c:v>1.9413967837026078</c:v>
                </c:pt>
                <c:pt idx="46">
                  <c:v>2.0315735523657699</c:v>
                </c:pt>
                <c:pt idx="47">
                  <c:v>2.123395971999936</c:v>
                </c:pt>
                <c:pt idx="48">
                  <c:v>2.2163989863700864</c:v>
                </c:pt>
                <c:pt idx="49">
                  <c:v>2.3105899522980176</c:v>
                </c:pt>
                <c:pt idx="50">
                  <c:v>2.4060429634889693</c:v>
                </c:pt>
                <c:pt idx="51">
                  <c:v>2.5018916665951423</c:v>
                </c:pt>
                <c:pt idx="52">
                  <c:v>2.5969726327980776</c:v>
                </c:pt>
                <c:pt idx="53">
                  <c:v>2.6905864385397966</c:v>
                </c:pt>
                <c:pt idx="54">
                  <c:v>2.7815298931316539</c:v>
                </c:pt>
                <c:pt idx="55">
                  <c:v>2.8708422352336762</c:v>
                </c:pt>
                <c:pt idx="56">
                  <c:v>2.9604336110767107</c:v>
                </c:pt>
                <c:pt idx="57">
                  <c:v>3.0508920409172422</c:v>
                </c:pt>
                <c:pt idx="58">
                  <c:v>3.1431288948459679</c:v>
                </c:pt>
                <c:pt idx="59">
                  <c:v>3.2373773140488851</c:v>
                </c:pt>
                <c:pt idx="60">
                  <c:v>3.3346455334370182</c:v>
                </c:pt>
                <c:pt idx="61">
                  <c:v>3.4348146177246504</c:v>
                </c:pt>
                <c:pt idx="62">
                  <c:v>3.5364347475305165</c:v>
                </c:pt>
                <c:pt idx="63">
                  <c:v>3.6405689836042718</c:v>
                </c:pt>
                <c:pt idx="64">
                  <c:v>3.7470384851112817</c:v>
                </c:pt>
                <c:pt idx="65">
                  <c:v>3.8557110044216252</c:v>
                </c:pt>
                <c:pt idx="66">
                  <c:v>3.9671605487978869</c:v>
                </c:pt>
                <c:pt idx="67">
                  <c:v>4.0794205697087769</c:v>
                </c:pt>
                <c:pt idx="68">
                  <c:v>4.189386313193566</c:v>
                </c:pt>
                <c:pt idx="69">
                  <c:v>4.2983219264643617</c:v>
                </c:pt>
                <c:pt idx="70">
                  <c:v>4.408547786148401</c:v>
                </c:pt>
                <c:pt idx="71">
                  <c:v>4.5200201016397479</c:v>
                </c:pt>
                <c:pt idx="72">
                  <c:v>4.6329926832903983</c:v>
                </c:pt>
                <c:pt idx="73">
                  <c:v>4.7476319354029011</c:v>
                </c:pt>
                <c:pt idx="74">
                  <c:v>4.8618422147396725</c:v>
                </c:pt>
                <c:pt idx="75">
                  <c:v>4.9765243816459908</c:v>
                </c:pt>
                <c:pt idx="76">
                  <c:v>5.09303209133249</c:v>
                </c:pt>
                <c:pt idx="77">
                  <c:v>5.2102227593091381</c:v>
                </c:pt>
                <c:pt idx="78">
                  <c:v>5.3269630846943601</c:v>
                </c:pt>
                <c:pt idx="79">
                  <c:v>5.4424890089958167</c:v>
                </c:pt>
                <c:pt idx="80">
                  <c:v>5.5584908496025651</c:v>
                </c:pt>
                <c:pt idx="81">
                  <c:v>5.6757904686067766</c:v>
                </c:pt>
                <c:pt idx="82">
                  <c:v>5.7922845156242255</c:v>
                </c:pt>
                <c:pt idx="83">
                  <c:v>5.9060274616144692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6BA-421E-A29E-B297653E276E}"/>
            </c:ext>
          </c:extLst>
        </c:ser>
        <c:ser>
          <c:idx val="9"/>
          <c:order val="9"/>
          <c:tx>
            <c:strRef>
              <c:f>'вместе-отн'!$K$1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'вместе-отн'!$K$2:$K$85</c:f>
              <c:numCache>
                <c:formatCode>0.00</c:formatCode>
                <c:ptCount val="84"/>
                <c:pt idx="0">
                  <c:v>0</c:v>
                </c:pt>
                <c:pt idx="1">
                  <c:v>1.7885620292267923E-2</c:v>
                </c:pt>
                <c:pt idx="2">
                  <c:v>3.4991424530856685E-2</c:v>
                </c:pt>
                <c:pt idx="3">
                  <c:v>5.3922650271305717E-2</c:v>
                </c:pt>
                <c:pt idx="4">
                  <c:v>7.0978305567535704E-2</c:v>
                </c:pt>
                <c:pt idx="5">
                  <c:v>9.1133165501539493E-2</c:v>
                </c:pt>
                <c:pt idx="6">
                  <c:v>0.11433958857807669</c:v>
                </c:pt>
                <c:pt idx="7">
                  <c:v>0.1380349638426126</c:v>
                </c:pt>
                <c:pt idx="8">
                  <c:v>0.16343038825311162</c:v>
                </c:pt>
                <c:pt idx="9">
                  <c:v>0.19047571286721565</c:v>
                </c:pt>
                <c:pt idx="10">
                  <c:v>0.21284966350059675</c:v>
                </c:pt>
                <c:pt idx="11">
                  <c:v>0.2367757238999828</c:v>
                </c:pt>
                <c:pt idx="12">
                  <c:v>0.26471119224095552</c:v>
                </c:pt>
                <c:pt idx="13">
                  <c:v>0.29284474890424561</c:v>
                </c:pt>
                <c:pt idx="14">
                  <c:v>0.3198499543644624</c:v>
                </c:pt>
                <c:pt idx="15">
                  <c:v>0.34825933021072575</c:v>
                </c:pt>
                <c:pt idx="16">
                  <c:v>0.37692195821590135</c:v>
                </c:pt>
                <c:pt idx="17">
                  <c:v>0.40845059827688224</c:v>
                </c:pt>
                <c:pt idx="18">
                  <c:v>0.43918688504859427</c:v>
                </c:pt>
                <c:pt idx="19">
                  <c:v>0.47173856353369503</c:v>
                </c:pt>
                <c:pt idx="20">
                  <c:v>0.50621345395825612</c:v>
                </c:pt>
                <c:pt idx="21">
                  <c:v>0.54271185420699464</c:v>
                </c:pt>
                <c:pt idx="22">
                  <c:v>0.58133907705886489</c:v>
                </c:pt>
                <c:pt idx="23">
                  <c:v>0.61969048072776145</c:v>
                </c:pt>
                <c:pt idx="24">
                  <c:v>0.65908247495060324</c:v>
                </c:pt>
                <c:pt idx="25">
                  <c:v>0.69953511930433376</c:v>
                </c:pt>
                <c:pt idx="26">
                  <c:v>0.7410709808130147</c:v>
                </c:pt>
                <c:pt idx="27">
                  <c:v>0.78623261085423701</c:v>
                </c:pt>
                <c:pt idx="28">
                  <c:v>0.83504508389918053</c:v>
                </c:pt>
                <c:pt idx="29">
                  <c:v>0.8800161479594395</c:v>
                </c:pt>
                <c:pt idx="30">
                  <c:v>0.92995195731322022</c:v>
                </c:pt>
                <c:pt idx="31">
                  <c:v>0.98488009387882025</c:v>
                </c:pt>
                <c:pt idx="32">
                  <c:v>1.0473355866924763</c:v>
                </c:pt>
                <c:pt idx="33">
                  <c:v>1.1173510325667229</c:v>
                </c:pt>
                <c:pt idx="34">
                  <c:v>1.191543885339458</c:v>
                </c:pt>
                <c:pt idx="35">
                  <c:v>1.2802272750067698</c:v>
                </c:pt>
                <c:pt idx="36">
                  <c:v>1.381332557696358</c:v>
                </c:pt>
                <c:pt idx="37">
                  <c:v>1.4930443416948336</c:v>
                </c:pt>
                <c:pt idx="38">
                  <c:v>1.6125467638887496</c:v>
                </c:pt>
                <c:pt idx="39">
                  <c:v>1.7389170837387042</c:v>
                </c:pt>
                <c:pt idx="40">
                  <c:v>1.8710269500416237</c:v>
                </c:pt>
                <c:pt idx="41">
                  <c:v>2.0056242038855401</c:v>
                </c:pt>
                <c:pt idx="42">
                  <c:v>2.1385765724200874</c:v>
                </c:pt>
                <c:pt idx="43">
                  <c:v>2.2648716688565034</c:v>
                </c:pt>
                <c:pt idx="44">
                  <c:v>2.3887846905308767</c:v>
                </c:pt>
                <c:pt idx="45">
                  <c:v>2.5168801339979741</c:v>
                </c:pt>
                <c:pt idx="46">
                  <c:v>2.6473451149915248</c:v>
                </c:pt>
                <c:pt idx="47">
                  <c:v>2.7782388694422435</c:v>
                </c:pt>
                <c:pt idx="48">
                  <c:v>2.9077485130838592</c:v>
                </c:pt>
                <c:pt idx="49">
                  <c:v>3.0359643140126167</c:v>
                </c:pt>
                <c:pt idx="50">
                  <c:v>3.1635206563493572</c:v>
                </c:pt>
                <c:pt idx="51">
                  <c:v>3.289208950583232</c:v>
                </c:pt>
                <c:pt idx="52">
                  <c:v>3.4134504478300549</c:v>
                </c:pt>
                <c:pt idx="53">
                  <c:v>3.5366663992056404</c:v>
                </c:pt>
                <c:pt idx="54">
                  <c:v>3.6573749034632854</c:v>
                </c:pt>
                <c:pt idx="55">
                  <c:v>3.7759445553293283</c:v>
                </c:pt>
                <c:pt idx="56">
                  <c:v>3.895015696618958</c:v>
                </c:pt>
                <c:pt idx="57">
                  <c:v>4.0178605458210885</c:v>
                </c:pt>
                <c:pt idx="58">
                  <c:v>4.1474955618186007</c:v>
                </c:pt>
                <c:pt idx="59">
                  <c:v>4.2852070649829992</c:v>
                </c:pt>
                <c:pt idx="60">
                  <c:v>4.4300597775392916</c:v>
                </c:pt>
                <c:pt idx="61">
                  <c:v>4.5814243302608739</c:v>
                </c:pt>
                <c:pt idx="62">
                  <c:v>4.738666339026909</c:v>
                </c:pt>
                <c:pt idx="63">
                  <c:v>4.9004067079225289</c:v>
                </c:pt>
                <c:pt idx="64">
                  <c:v>5.0671845380780924</c:v>
                </c:pt>
                <c:pt idx="65">
                  <c:v>5.2401833445332633</c:v>
                </c:pt>
                <c:pt idx="66">
                  <c:v>5.4185355505852382</c:v>
                </c:pt>
                <c:pt idx="67">
                  <c:v>5.6011178199251779</c:v>
                </c:pt>
                <c:pt idx="68">
                  <c:v>5.7869372034943778</c:v>
                </c:pt>
                <c:pt idx="69">
                  <c:v>5.974760037310813</c:v>
                </c:pt>
                <c:pt idx="70">
                  <c:v>6.1642152192010276</c:v>
                </c:pt>
                <c:pt idx="71">
                  <c:v>6.3551874065975946</c:v>
                </c:pt>
                <c:pt idx="72">
                  <c:v>6.5484338485301343</c:v>
                </c:pt>
                <c:pt idx="73">
                  <c:v>6.7465873644724823</c:v>
                </c:pt>
                <c:pt idx="74">
                  <c:v>6.9507938577575397</c:v>
                </c:pt>
                <c:pt idx="75">
                  <c:v>7.1597344112012671</c:v>
                </c:pt>
                <c:pt idx="76">
                  <c:v>7.3718594224847784</c:v>
                </c:pt>
                <c:pt idx="77">
                  <c:v>7.585862511659629</c:v>
                </c:pt>
                <c:pt idx="78">
                  <c:v>7.8006930583833984</c:v>
                </c:pt>
                <c:pt idx="79">
                  <c:v>8.0183871097158566</c:v>
                </c:pt>
                <c:pt idx="80">
                  <c:v>8.2384883102815358</c:v>
                </c:pt>
                <c:pt idx="81">
                  <c:v>8.4560344222340351</c:v>
                </c:pt>
                <c:pt idx="82">
                  <c:v>8.6664368173475221</c:v>
                </c:pt>
                <c:pt idx="83">
                  <c:v>8.8629780447930351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6BA-421E-A29E-B297653E276E}"/>
            </c:ext>
          </c:extLst>
        </c:ser>
        <c:ser>
          <c:idx val="10"/>
          <c:order val="10"/>
          <c:tx>
            <c:strRef>
              <c:f>'вместе-отн'!$L$1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'вместе-отн'!$L$2:$L$85</c:f>
              <c:numCache>
                <c:formatCode>0.00</c:formatCode>
                <c:ptCount val="84"/>
                <c:pt idx="0">
                  <c:v>0</c:v>
                </c:pt>
                <c:pt idx="1">
                  <c:v>2.9000245749321696E-2</c:v>
                </c:pt>
                <c:pt idx="2">
                  <c:v>5.8632574821174455E-2</c:v>
                </c:pt>
                <c:pt idx="3">
                  <c:v>8.8718426415605567E-2</c:v>
                </c:pt>
                <c:pt idx="4">
                  <c:v>0.11960433263722603</c:v>
                </c:pt>
                <c:pt idx="5">
                  <c:v>0.15149185905162676</c:v>
                </c:pt>
                <c:pt idx="6">
                  <c:v>0.18398517762782896</c:v>
                </c:pt>
                <c:pt idx="7">
                  <c:v>0.21705288503496178</c:v>
                </c:pt>
                <c:pt idx="8">
                  <c:v>0.25011548027195274</c:v>
                </c:pt>
                <c:pt idx="9">
                  <c:v>0.28314192516294123</c:v>
                </c:pt>
                <c:pt idx="10">
                  <c:v>0.31591823887199233</c:v>
                </c:pt>
                <c:pt idx="11">
                  <c:v>0.31427138977631697</c:v>
                </c:pt>
                <c:pt idx="12">
                  <c:v>0.3428024113376249</c:v>
                </c:pt>
                <c:pt idx="13">
                  <c:v>0.37044172436420131</c:v>
                </c:pt>
                <c:pt idx="14">
                  <c:v>0.4416341709137237</c:v>
                </c:pt>
                <c:pt idx="15">
                  <c:v>0.45421777771773009</c:v>
                </c:pt>
                <c:pt idx="16">
                  <c:v>0.46604259241069124</c:v>
                </c:pt>
                <c:pt idx="17">
                  <c:v>0.49150521642189715</c:v>
                </c:pt>
                <c:pt idx="18">
                  <c:v>0.50866859736292347</c:v>
                </c:pt>
                <c:pt idx="19">
                  <c:v>0.52718268668641177</c:v>
                </c:pt>
                <c:pt idx="20">
                  <c:v>0.5495758176824852</c:v>
                </c:pt>
                <c:pt idx="21">
                  <c:v>0.57417850164484063</c:v>
                </c:pt>
                <c:pt idx="22">
                  <c:v>0.59311178891995553</c:v>
                </c:pt>
                <c:pt idx="23">
                  <c:v>0.6160252658054608</c:v>
                </c:pt>
                <c:pt idx="24">
                  <c:v>0.64091788284585727</c:v>
                </c:pt>
                <c:pt idx="25">
                  <c:v>0.67067728586123443</c:v>
                </c:pt>
                <c:pt idx="26">
                  <c:v>0.76866006003878695</c:v>
                </c:pt>
                <c:pt idx="27">
                  <c:v>0.80688339103391082</c:v>
                </c:pt>
                <c:pt idx="28">
                  <c:v>0.84870386403380182</c:v>
                </c:pt>
                <c:pt idx="29">
                  <c:v>0.89558575062907053</c:v>
                </c:pt>
                <c:pt idx="30">
                  <c:v>0.9436974792984496</c:v>
                </c:pt>
                <c:pt idx="31">
                  <c:v>0.99194650625163616</c:v>
                </c:pt>
                <c:pt idx="32">
                  <c:v>1.0396054427084569</c:v>
                </c:pt>
                <c:pt idx="33">
                  <c:v>1.0864953627139489</c:v>
                </c:pt>
                <c:pt idx="34">
                  <c:v>1.1319334263991734</c:v>
                </c:pt>
                <c:pt idx="35">
                  <c:v>1.1810073385202386</c:v>
                </c:pt>
                <c:pt idx="36">
                  <c:v>1.2334253402240516</c:v>
                </c:pt>
                <c:pt idx="37">
                  <c:v>1.2886411596154623</c:v>
                </c:pt>
                <c:pt idx="38">
                  <c:v>1.3459259472942562</c:v>
                </c:pt>
                <c:pt idx="39">
                  <c:v>1.4037226822972486</c:v>
                </c:pt>
                <c:pt idx="40">
                  <c:v>1.4608829521175886</c:v>
                </c:pt>
                <c:pt idx="41">
                  <c:v>1.5171157282122048</c:v>
                </c:pt>
                <c:pt idx="42">
                  <c:v>1.5720931013820021</c:v>
                </c:pt>
                <c:pt idx="43">
                  <c:v>1.6253053152328429</c:v>
                </c:pt>
                <c:pt idx="44">
                  <c:v>1.6794077769983744</c:v>
                </c:pt>
                <c:pt idx="45">
                  <c:v>1.7370102495359792</c:v>
                </c:pt>
                <c:pt idx="46">
                  <c:v>1.7971392295886566</c:v>
                </c:pt>
                <c:pt idx="47">
                  <c:v>1.8579999802816296</c:v>
                </c:pt>
                <c:pt idx="48">
                  <c:v>1.9177418960235713</c:v>
                </c:pt>
                <c:pt idx="49">
                  <c:v>1.9758815115810737</c:v>
                </c:pt>
                <c:pt idx="50">
                  <c:v>2.0329986931102191</c:v>
                </c:pt>
                <c:pt idx="51">
                  <c:v>2.0893808176039768</c:v>
                </c:pt>
                <c:pt idx="52">
                  <c:v>2.1454971092503623</c:v>
                </c:pt>
                <c:pt idx="53">
                  <c:v>2.2014702601327776</c:v>
                </c:pt>
                <c:pt idx="54">
                  <c:v>2.2577534276187912</c:v>
                </c:pt>
                <c:pt idx="55">
                  <c:v>2.3130912087835847</c:v>
                </c:pt>
                <c:pt idx="56">
                  <c:v>2.3651360220670479</c:v>
                </c:pt>
                <c:pt idx="57">
                  <c:v>2.4123432617763401</c:v>
                </c:pt>
                <c:pt idx="58">
                  <c:v>2.4528404130195285</c:v>
                </c:pt>
                <c:pt idx="59">
                  <c:v>2.4870974302946474</c:v>
                </c:pt>
                <c:pt idx="60">
                  <c:v>2.5169141626466138</c:v>
                </c:pt>
                <c:pt idx="61">
                  <c:v>2.5426192495845448</c:v>
                </c:pt>
                <c:pt idx="62">
                  <c:v>2.5646702303361288</c:v>
                </c:pt>
                <c:pt idx="63">
                  <c:v>2.5836703409780966</c:v>
                </c:pt>
                <c:pt idx="64">
                  <c:v>2.6014464520261176</c:v>
                </c:pt>
                <c:pt idx="65">
                  <c:v>2.6210096316937017</c:v>
                </c:pt>
                <c:pt idx="66">
                  <c:v>2.6428692712199795</c:v>
                </c:pt>
                <c:pt idx="67">
                  <c:v>2.6662742467491163</c:v>
                </c:pt>
                <c:pt idx="68">
                  <c:v>2.6920260735283428</c:v>
                </c:pt>
                <c:pt idx="69">
                  <c:v>2.722709318719343</c:v>
                </c:pt>
                <c:pt idx="70">
                  <c:v>2.7583378582125002</c:v>
                </c:pt>
                <c:pt idx="71">
                  <c:v>2.7968164325597038</c:v>
                </c:pt>
                <c:pt idx="72">
                  <c:v>2.8351354341674813</c:v>
                </c:pt>
                <c:pt idx="73">
                  <c:v>2.8698477997402287</c:v>
                </c:pt>
                <c:pt idx="74">
                  <c:v>2.8993340668080303</c:v>
                </c:pt>
                <c:pt idx="75">
                  <c:v>2.9246553758303167</c:v>
                </c:pt>
                <c:pt idx="76">
                  <c:v>2.9465489747725355</c:v>
                </c:pt>
                <c:pt idx="77">
                  <c:v>2.9654223766259893</c:v>
                </c:pt>
                <c:pt idx="78">
                  <c:v>2.9820131945111359</c:v>
                </c:pt>
                <c:pt idx="79">
                  <c:v>2.9970725522838073</c:v>
                </c:pt>
                <c:pt idx="80">
                  <c:v>3.011294974773266</c:v>
                </c:pt>
                <c:pt idx="81">
                  <c:v>3.0249736814526447</c:v>
                </c:pt>
                <c:pt idx="82">
                  <c:v>3.0380739825959822</c:v>
                </c:pt>
                <c:pt idx="83">
                  <c:v>3.0503603532217438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6BA-421E-A29E-B297653E276E}"/>
            </c:ext>
          </c:extLst>
        </c:ser>
        <c:ser>
          <c:idx val="11"/>
          <c:order val="11"/>
          <c:tx>
            <c:strRef>
              <c:f>'вместе-отн'!$M$1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'вместе-отн'!$M$2:$M$85</c:f>
              <c:numCache>
                <c:formatCode>0.00</c:formatCode>
                <c:ptCount val="84"/>
                <c:pt idx="0">
                  <c:v>0</c:v>
                </c:pt>
                <c:pt idx="1">
                  <c:v>3.7756508796120691E-3</c:v>
                </c:pt>
                <c:pt idx="2">
                  <c:v>9.2955509401089209E-3</c:v>
                </c:pt>
                <c:pt idx="3">
                  <c:v>9.8013948642778903E-3</c:v>
                </c:pt>
                <c:pt idx="4">
                  <c:v>1.7276415304858794E-2</c:v>
                </c:pt>
                <c:pt idx="5">
                  <c:v>2.3162698929091174E-2</c:v>
                </c:pt>
                <c:pt idx="6">
                  <c:v>3.4753617857621322E-2</c:v>
                </c:pt>
                <c:pt idx="7">
                  <c:v>4.7234942825711057E-2</c:v>
                </c:pt>
                <c:pt idx="8">
                  <c:v>6.0628556693654856E-2</c:v>
                </c:pt>
                <c:pt idx="9">
                  <c:v>7.4750615995657466E-2</c:v>
                </c:pt>
                <c:pt idx="10">
                  <c:v>8.9520243326430826E-2</c:v>
                </c:pt>
                <c:pt idx="11">
                  <c:v>0.10475352662187154</c:v>
                </c:pt>
                <c:pt idx="12">
                  <c:v>0.14214941411213999</c:v>
                </c:pt>
                <c:pt idx="13">
                  <c:v>0.13549825935223025</c:v>
                </c:pt>
                <c:pt idx="14">
                  <c:v>0.15315416049767783</c:v>
                </c:pt>
                <c:pt idx="15">
                  <c:v>0.17067615774565081</c:v>
                </c:pt>
                <c:pt idx="16">
                  <c:v>0.18928015610779769</c:v>
                </c:pt>
                <c:pt idx="17">
                  <c:v>0.20901582075920633</c:v>
                </c:pt>
                <c:pt idx="18">
                  <c:v>0.22982998801107346</c:v>
                </c:pt>
                <c:pt idx="19">
                  <c:v>0.25187522050068667</c:v>
                </c:pt>
                <c:pt idx="20">
                  <c:v>0.27599013254496496</c:v>
                </c:pt>
                <c:pt idx="21">
                  <c:v>0.29944608924132265</c:v>
                </c:pt>
                <c:pt idx="22">
                  <c:v>0.32507105584252138</c:v>
                </c:pt>
                <c:pt idx="23">
                  <c:v>0.3482157820148819</c:v>
                </c:pt>
                <c:pt idx="24">
                  <c:v>0.38480440461504717</c:v>
                </c:pt>
                <c:pt idx="25">
                  <c:v>0.42178060765616099</c:v>
                </c:pt>
                <c:pt idx="26">
                  <c:v>0.46411948343553222</c:v>
                </c:pt>
                <c:pt idx="27">
                  <c:v>0.50918191784268729</c:v>
                </c:pt>
                <c:pt idx="28">
                  <c:v>0.55799846326070113</c:v>
                </c:pt>
                <c:pt idx="29">
                  <c:v>0.60775837261215293</c:v>
                </c:pt>
                <c:pt idx="30">
                  <c:v>0.66220210584458261</c:v>
                </c:pt>
                <c:pt idx="31">
                  <c:v>0.71769559898636381</c:v>
                </c:pt>
                <c:pt idx="32">
                  <c:v>0.77286866943085841</c:v>
                </c:pt>
                <c:pt idx="33">
                  <c:v>0.83609202572793251</c:v>
                </c:pt>
                <c:pt idx="34">
                  <c:v>0.89062418217954509</c:v>
                </c:pt>
                <c:pt idx="35">
                  <c:v>0.94988049831731791</c:v>
                </c:pt>
                <c:pt idx="36">
                  <c:v>1.0138711266908538</c:v>
                </c:pt>
                <c:pt idx="37">
                  <c:v>1.0826575999825483</c:v>
                </c:pt>
                <c:pt idx="38">
                  <c:v>1.1560100452618496</c:v>
                </c:pt>
                <c:pt idx="39">
                  <c:v>1.2334851802616051</c:v>
                </c:pt>
                <c:pt idx="40">
                  <c:v>1.3140366749878698</c:v>
                </c:pt>
                <c:pt idx="41">
                  <c:v>1.3962695142464625</c:v>
                </c:pt>
                <c:pt idx="42">
                  <c:v>1.4787268071692639</c:v>
                </c:pt>
                <c:pt idx="43">
                  <c:v>1.5599106410998944</c:v>
                </c:pt>
                <c:pt idx="44">
                  <c:v>1.6420798897268476</c:v>
                </c:pt>
                <c:pt idx="45">
                  <c:v>1.7280623125079613</c:v>
                </c:pt>
                <c:pt idx="46">
                  <c:v>1.8172216601353073</c:v>
                </c:pt>
                <c:pt idx="47">
                  <c:v>1.909436376406874</c:v>
                </c:pt>
                <c:pt idx="48">
                  <c:v>2.004735615603618</c:v>
                </c:pt>
                <c:pt idx="49">
                  <c:v>2.1031550488457684</c:v>
                </c:pt>
                <c:pt idx="50">
                  <c:v>2.2045899265168059</c:v>
                </c:pt>
                <c:pt idx="51">
                  <c:v>2.3087297726741247</c:v>
                </c:pt>
                <c:pt idx="52">
                  <c:v>2.4151168308075546</c:v>
                </c:pt>
                <c:pt idx="53">
                  <c:v>2.5233857463279836</c:v>
                </c:pt>
                <c:pt idx="54">
                  <c:v>2.6342418470396298</c:v>
                </c:pt>
                <c:pt idx="55">
                  <c:v>2.7479525291475926</c:v>
                </c:pt>
                <c:pt idx="56">
                  <c:v>2.8635251751331956</c:v>
                </c:pt>
                <c:pt idx="57">
                  <c:v>2.9798538430727266</c:v>
                </c:pt>
                <c:pt idx="58">
                  <c:v>3.0957503416710228</c:v>
                </c:pt>
                <c:pt idx="59">
                  <c:v>3.2118101728409831</c:v>
                </c:pt>
                <c:pt idx="60">
                  <c:v>3.3286533280915078</c:v>
                </c:pt>
                <c:pt idx="61">
                  <c:v>3.4452003444458246</c:v>
                </c:pt>
                <c:pt idx="62">
                  <c:v>3.5598333308066294</c:v>
                </c:pt>
                <c:pt idx="63">
                  <c:v>3.6705982643667667</c:v>
                </c:pt>
                <c:pt idx="64">
                  <c:v>3.7751473680304031</c:v>
                </c:pt>
                <c:pt idx="65">
                  <c:v>3.8748974026553986</c:v>
                </c:pt>
                <c:pt idx="66">
                  <c:v>3.9731999443804922</c:v>
                </c:pt>
                <c:pt idx="67">
                  <c:v>4.0718184499128416</c:v>
                </c:pt>
                <c:pt idx="68">
                  <c:v>4.1725953326122731</c:v>
                </c:pt>
                <c:pt idx="69">
                  <c:v>4.2758510151760722</c:v>
                </c:pt>
                <c:pt idx="70">
                  <c:v>4.3805985737451367</c:v>
                </c:pt>
                <c:pt idx="71">
                  <c:v>4.4866314588136786</c:v>
                </c:pt>
                <c:pt idx="72">
                  <c:v>4.5932769267738438</c:v>
                </c:pt>
                <c:pt idx="73">
                  <c:v>4.7013436144818987</c:v>
                </c:pt>
                <c:pt idx="74">
                  <c:v>4.811966343749277</c:v>
                </c:pt>
                <c:pt idx="75">
                  <c:v>4.9241347986938058</c:v>
                </c:pt>
                <c:pt idx="76">
                  <c:v>5.0367140889057396</c:v>
                </c:pt>
                <c:pt idx="77">
                  <c:v>5.1489327578118207</c:v>
                </c:pt>
                <c:pt idx="78">
                  <c:v>5.2600161247183097</c:v>
                </c:pt>
                <c:pt idx="79">
                  <c:v>5.3702967542230322</c:v>
                </c:pt>
                <c:pt idx="80">
                  <c:v>5.4800417681378555</c:v>
                </c:pt>
                <c:pt idx="81">
                  <c:v>5.5884504870102587</c:v>
                </c:pt>
                <c:pt idx="82">
                  <c:v>5.6945094394358913</c:v>
                </c:pt>
                <c:pt idx="83">
                  <c:v>5.7965845451167297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6BA-421E-A29E-B297653E276E}"/>
            </c:ext>
          </c:extLst>
        </c:ser>
        <c:ser>
          <c:idx val="12"/>
          <c:order val="12"/>
          <c:tx>
            <c:strRef>
              <c:f>'вместе-отн'!$N$1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'вместе-отн'!$N$2:$N$85</c:f>
              <c:numCache>
                <c:formatCode>0.00</c:formatCode>
                <c:ptCount val="84"/>
                <c:pt idx="0">
                  <c:v>0</c:v>
                </c:pt>
                <c:pt idx="1">
                  <c:v>1.7866965770950483E-2</c:v>
                </c:pt>
                <c:pt idx="2">
                  <c:v>3.6447552955829687E-2</c:v>
                </c:pt>
                <c:pt idx="3">
                  <c:v>5.3913106681445555E-2</c:v>
                </c:pt>
                <c:pt idx="4">
                  <c:v>6.7871673690000911E-2</c:v>
                </c:pt>
                <c:pt idx="5">
                  <c:v>8.1029068509307578E-2</c:v>
                </c:pt>
                <c:pt idx="6">
                  <c:v>9.5083445800288269E-2</c:v>
                </c:pt>
                <c:pt idx="7">
                  <c:v>0.10842915738160386</c:v>
                </c:pt>
                <c:pt idx="8">
                  <c:v>0.12193675530219039</c:v>
                </c:pt>
                <c:pt idx="9">
                  <c:v>0.13647679161098369</c:v>
                </c:pt>
                <c:pt idx="10">
                  <c:v>0.15127122073863108</c:v>
                </c:pt>
                <c:pt idx="11">
                  <c:v>0.16553869331293769</c:v>
                </c:pt>
                <c:pt idx="12">
                  <c:v>0.18097571209340502</c:v>
                </c:pt>
                <c:pt idx="13">
                  <c:v>0.19597662889869372</c:v>
                </c:pt>
                <c:pt idx="14">
                  <c:v>0.21108161549351379</c:v>
                </c:pt>
                <c:pt idx="15">
                  <c:v>0.22692995772784252</c:v>
                </c:pt>
                <c:pt idx="16">
                  <c:v>0.24289228116022921</c:v>
                </c:pt>
                <c:pt idx="17">
                  <c:v>0.26659376275061408</c:v>
                </c:pt>
                <c:pt idx="18">
                  <c:v>0.29327692640613967</c:v>
                </c:pt>
                <c:pt idx="19">
                  <c:v>0.32148149127052683</c:v>
                </c:pt>
                <c:pt idx="20">
                  <c:v>0.35140403361289008</c:v>
                </c:pt>
                <c:pt idx="21">
                  <c:v>0.38323782589950151</c:v>
                </c:pt>
                <c:pt idx="22">
                  <c:v>0.41717944439947585</c:v>
                </c:pt>
                <c:pt idx="23">
                  <c:v>0.45094596134881049</c:v>
                </c:pt>
                <c:pt idx="24">
                  <c:v>0.48741498902311498</c:v>
                </c:pt>
                <c:pt idx="25">
                  <c:v>0.52733649066758281</c:v>
                </c:pt>
                <c:pt idx="26">
                  <c:v>0.5685316083077423</c:v>
                </c:pt>
                <c:pt idx="27">
                  <c:v>0.61460479084450137</c:v>
                </c:pt>
                <c:pt idx="28">
                  <c:v>0.66503238552736099</c:v>
                </c:pt>
                <c:pt idx="29">
                  <c:v>0.71928908770440225</c:v>
                </c:pt>
                <c:pt idx="30">
                  <c:v>0.77602364201313878</c:v>
                </c:pt>
                <c:pt idx="31">
                  <c:v>0.82975669143968123</c:v>
                </c:pt>
                <c:pt idx="32">
                  <c:v>0.88574128250322515</c:v>
                </c:pt>
                <c:pt idx="33">
                  <c:v>0.94510731577582363</c:v>
                </c:pt>
                <c:pt idx="34">
                  <c:v>1.0087583813348355</c:v>
                </c:pt>
                <c:pt idx="35">
                  <c:v>1.084823486073645</c:v>
                </c:pt>
                <c:pt idx="36">
                  <c:v>1.172501457803004</c:v>
                </c:pt>
                <c:pt idx="37">
                  <c:v>1.270584756584066</c:v>
                </c:pt>
                <c:pt idx="38">
                  <c:v>1.3776114496591298</c:v>
                </c:pt>
                <c:pt idx="39">
                  <c:v>1.4919824964525414</c:v>
                </c:pt>
                <c:pt idx="40">
                  <c:v>1.6104106131362506</c:v>
                </c:pt>
                <c:pt idx="41">
                  <c:v>1.7280755513633967</c:v>
                </c:pt>
                <c:pt idx="42">
                  <c:v>1.8394186628518754</c:v>
                </c:pt>
                <c:pt idx="43">
                  <c:v>1.9378885065654821</c:v>
                </c:pt>
                <c:pt idx="44">
                  <c:v>2.0284226158519765</c:v>
                </c:pt>
                <c:pt idx="45">
                  <c:v>2.1208167661386637</c:v>
                </c:pt>
                <c:pt idx="46">
                  <c:v>2.215835787783528</c:v>
                </c:pt>
                <c:pt idx="47">
                  <c:v>2.31391908656459</c:v>
                </c:pt>
                <c:pt idx="48">
                  <c:v>2.4158331447412542</c:v>
                </c:pt>
                <c:pt idx="49">
                  <c:v>2.5217282853428435</c:v>
                </c:pt>
                <c:pt idx="50">
                  <c:v>2.6315186094954597</c:v>
                </c:pt>
                <c:pt idx="51">
                  <c:v>2.745042230859831</c:v>
                </c:pt>
                <c:pt idx="52">
                  <c:v>2.8623850483098567</c:v>
                </c:pt>
                <c:pt idx="53">
                  <c:v>2.9833851755062657</c:v>
                </c:pt>
                <c:pt idx="54">
                  <c:v>3.1083432585077055</c:v>
                </c:pt>
                <c:pt idx="55">
                  <c:v>3.2333244681290392</c:v>
                </c:pt>
                <c:pt idx="56">
                  <c:v>3.361976202708127</c:v>
                </c:pt>
                <c:pt idx="57">
                  <c:v>3.4982712851627866</c:v>
                </c:pt>
                <c:pt idx="58">
                  <c:v>3.6376768979934351</c:v>
                </c:pt>
                <c:pt idx="59">
                  <c:v>3.7811428845172239</c:v>
                </c:pt>
                <c:pt idx="60">
                  <c:v>3.9284990988877739</c:v>
                </c:pt>
                <c:pt idx="61">
                  <c:v>4.0767589033356844</c:v>
                </c:pt>
                <c:pt idx="62">
                  <c:v>4.2226052798073219</c:v>
                </c:pt>
                <c:pt idx="63">
                  <c:v>4.3710583567215036</c:v>
                </c:pt>
                <c:pt idx="64">
                  <c:v>4.52404590303669</c:v>
                </c:pt>
                <c:pt idx="65">
                  <c:v>4.6775273678767944</c:v>
                </c:pt>
                <c:pt idx="66">
                  <c:v>4.8298227674965268</c:v>
                </c:pt>
                <c:pt idx="67">
                  <c:v>4.9789977253317428</c:v>
                </c:pt>
                <c:pt idx="68">
                  <c:v>5.1254354825121453</c:v>
                </c:pt>
                <c:pt idx="69">
                  <c:v>5.269061703473783</c:v>
                </c:pt>
                <c:pt idx="70">
                  <c:v>5.4104297751927355</c:v>
                </c:pt>
                <c:pt idx="71">
                  <c:v>5.5532977734020736</c:v>
                </c:pt>
                <c:pt idx="72">
                  <c:v>5.7015807044698796</c:v>
                </c:pt>
                <c:pt idx="73">
                  <c:v>5.8557344931883835</c:v>
                </c:pt>
                <c:pt idx="74">
                  <c:v>6.0177397693615227</c:v>
                </c:pt>
                <c:pt idx="75">
                  <c:v>6.1859793214980101</c:v>
                </c:pt>
                <c:pt idx="76">
                  <c:v>6.3557848761817288</c:v>
                </c:pt>
                <c:pt idx="77">
                  <c:v>6.523063021691117</c:v>
                </c:pt>
                <c:pt idx="78">
                  <c:v>6.6833123266535939</c:v>
                </c:pt>
                <c:pt idx="79">
                  <c:v>6.8333446213263764</c:v>
                </c:pt>
                <c:pt idx="80">
                  <c:v>6.9750562885409249</c:v>
                </c:pt>
                <c:pt idx="81">
                  <c:v>7.109644956827557</c:v>
                </c:pt>
                <c:pt idx="82">
                  <c:v>7.2380538618977361</c:v>
                </c:pt>
                <c:pt idx="83">
                  <c:v>7.3615599235500024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6BA-421E-A29E-B297653E276E}"/>
            </c:ext>
          </c:extLst>
        </c:ser>
        <c:ser>
          <c:idx val="13"/>
          <c:order val="13"/>
          <c:tx>
            <c:strRef>
              <c:f>'вместе-отн'!$O$1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'вместе-отн'!$O$2:$O$85</c:f>
              <c:numCache>
                <c:formatCode>0.00</c:formatCode>
                <c:ptCount val="84"/>
                <c:pt idx="0">
                  <c:v>0</c:v>
                </c:pt>
                <c:pt idx="1">
                  <c:v>2.2879979657975724E-2</c:v>
                </c:pt>
                <c:pt idx="2">
                  <c:v>4.3461886290962815E-2</c:v>
                </c:pt>
                <c:pt idx="3">
                  <c:v>6.2945131707410784E-2</c:v>
                </c:pt>
                <c:pt idx="4">
                  <c:v>7.2713141475420517E-2</c:v>
                </c:pt>
                <c:pt idx="5">
                  <c:v>8.2243667705357293E-2</c:v>
                </c:pt>
                <c:pt idx="6">
                  <c:v>9.1683038637851988E-2</c:v>
                </c:pt>
                <c:pt idx="7">
                  <c:v>0.10118957663161976</c:v>
                </c:pt>
                <c:pt idx="8">
                  <c:v>0.11091200875090856</c:v>
                </c:pt>
                <c:pt idx="9">
                  <c:v>0.12100625853081648</c:v>
                </c:pt>
                <c:pt idx="10">
                  <c:v>0.13282286366765739</c:v>
                </c:pt>
                <c:pt idx="11">
                  <c:v>0.14411652525601459</c:v>
                </c:pt>
                <c:pt idx="12">
                  <c:v>0.15623778099220154</c:v>
                </c:pt>
                <c:pt idx="13">
                  <c:v>0.17293839101304731</c:v>
                </c:pt>
                <c:pt idx="14">
                  <c:v>0.20328590859042728</c:v>
                </c:pt>
                <c:pt idx="15">
                  <c:v>0.23567722388940471</c:v>
                </c:pt>
                <c:pt idx="16">
                  <c:v>0.26983647219403606</c:v>
                </c:pt>
                <c:pt idx="17">
                  <c:v>0.3054949852592288</c:v>
                </c:pt>
                <c:pt idx="18">
                  <c:v>0.34237689836903984</c:v>
                </c:pt>
                <c:pt idx="19">
                  <c:v>0.3802135432783762</c:v>
                </c:pt>
                <c:pt idx="20">
                  <c:v>0.41753204228646279</c:v>
                </c:pt>
                <c:pt idx="21">
                  <c:v>0.456462550765105</c:v>
                </c:pt>
                <c:pt idx="22">
                  <c:v>0.49552739336629315</c:v>
                </c:pt>
                <c:pt idx="23">
                  <c:v>0.53445790184493536</c:v>
                </c:pt>
                <c:pt idx="24">
                  <c:v>0.57485888920073602</c:v>
                </c:pt>
                <c:pt idx="25">
                  <c:v>0.61486886830698229</c:v>
                </c:pt>
                <c:pt idx="26">
                  <c:v>0.6592231169834315</c:v>
                </c:pt>
                <c:pt idx="27">
                  <c:v>0.70185980795018144</c:v>
                </c:pt>
                <c:pt idx="28">
                  <c:v>0.74751182020337237</c:v>
                </c:pt>
                <c:pt idx="29">
                  <c:v>0.79371316306483308</c:v>
                </c:pt>
                <c:pt idx="30">
                  <c:v>0.84040146712052421</c:v>
                </c:pt>
                <c:pt idx="31">
                  <c:v>0.88871137594123861</c:v>
                </c:pt>
                <c:pt idx="32">
                  <c:v>0.93737870948087054</c:v>
                </c:pt>
                <c:pt idx="33">
                  <c:v>0.98753571248659688</c:v>
                </c:pt>
                <c:pt idx="34">
                  <c:v>1.03983726380583</c:v>
                </c:pt>
                <c:pt idx="35">
                  <c:v>1.0985316800640965</c:v>
                </c:pt>
                <c:pt idx="36">
                  <c:v>1.1630048624154714</c:v>
                </c:pt>
                <c:pt idx="37">
                  <c:v>1.2325275684804176</c:v>
                </c:pt>
                <c:pt idx="38">
                  <c:v>1.306250614698552</c:v>
                </c:pt>
                <c:pt idx="39">
                  <c:v>1.3837518081133013</c:v>
                </c:pt>
                <c:pt idx="40">
                  <c:v>1.4640308392764187</c:v>
                </c:pt>
                <c:pt idx="41">
                  <c:v>1.5458427187307344</c:v>
                </c:pt>
                <c:pt idx="42">
                  <c:v>1.6272228099340085</c:v>
                </c:pt>
                <c:pt idx="43">
                  <c:v>1.7066838422437636</c:v>
                </c:pt>
                <c:pt idx="44">
                  <c:v>1.7859409745460826</c:v>
                </c:pt>
                <c:pt idx="45">
                  <c:v>1.8679615516550685</c:v>
                </c:pt>
                <c:pt idx="46">
                  <c:v>1.952654418273279</c:v>
                </c:pt>
                <c:pt idx="47">
                  <c:v>2.0398036802751931</c:v>
                </c:pt>
                <c:pt idx="48">
                  <c:v>2.1288360188163722</c:v>
                </c:pt>
                <c:pt idx="49">
                  <c:v>2.2202072103840278</c:v>
                </c:pt>
                <c:pt idx="50">
                  <c:v>2.3136102055551957</c:v>
                </c:pt>
                <c:pt idx="51">
                  <c:v>2.408824312557122</c:v>
                </c:pt>
                <c:pt idx="52">
                  <c:v>2.50574638197428</c:v>
                </c:pt>
                <c:pt idx="53">
                  <c:v>2.604158120857532</c:v>
                </c:pt>
                <c:pt idx="54">
                  <c:v>2.7042202503892092</c:v>
                </c:pt>
                <c:pt idx="55">
                  <c:v>2.8058751988025072</c:v>
                </c:pt>
                <c:pt idx="56">
                  <c:v>2.9088758872648857</c:v>
                </c:pt>
                <c:pt idx="57">
                  <c:v>3.0129752369438032</c:v>
                </c:pt>
                <c:pt idx="58">
                  <c:v>3.1182811949020204</c:v>
                </c:pt>
                <c:pt idx="59">
                  <c:v>3.2248897140842132</c:v>
                </c:pt>
                <c:pt idx="60">
                  <c:v>3.3329615156727144</c:v>
                </c:pt>
                <c:pt idx="61">
                  <c:v>3.4419952455315919</c:v>
                </c:pt>
                <c:pt idx="62">
                  <c:v>3.5517318307102199</c:v>
                </c:pt>
                <c:pt idx="63">
                  <c:v>3.6616651194254342</c:v>
                </c:pt>
                <c:pt idx="64">
                  <c:v>3.7722292987518919</c:v>
                </c:pt>
                <c:pt idx="65">
                  <c:v>3.8838369663517014</c:v>
                </c:pt>
                <c:pt idx="66">
                  <c:v>3.9964449433997569</c:v>
                </c:pt>
                <c:pt idx="67">
                  <c:v>4.1101227957809501</c:v>
                </c:pt>
                <c:pt idx="68">
                  <c:v>4.2243451811231783</c:v>
                </c:pt>
                <c:pt idx="69">
                  <c:v>4.3384380299900931</c:v>
                </c:pt>
                <c:pt idx="70">
                  <c:v>4.4523533659093584</c:v>
                </c:pt>
                <c:pt idx="71">
                  <c:v>4.5666812994907309</c:v>
                </c:pt>
                <c:pt idx="72">
                  <c:v>4.6823741637101168</c:v>
                </c:pt>
                <c:pt idx="73">
                  <c:v>4.8009863962712682</c:v>
                </c:pt>
                <c:pt idx="74">
                  <c:v>4.9229857677794815</c:v>
                </c:pt>
                <c:pt idx="75">
                  <c:v>5.0471944558388575</c:v>
                </c:pt>
                <c:pt idx="76">
                  <c:v>5.1738355510457676</c:v>
                </c:pt>
                <c:pt idx="77">
                  <c:v>5.3022853592598187</c:v>
                </c:pt>
                <c:pt idx="78">
                  <c:v>5.4322896051776208</c:v>
                </c:pt>
                <c:pt idx="79">
                  <c:v>5.5640234029232074</c:v>
                </c:pt>
                <c:pt idx="80">
                  <c:v>5.6982639713484504</c:v>
                </c:pt>
                <c:pt idx="81">
                  <c:v>5.8341957104236091</c:v>
                </c:pt>
                <c:pt idx="82">
                  <c:v>5.9712453013042408</c:v>
                </c:pt>
                <c:pt idx="83">
                  <c:v>6.1088442227931425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6BA-421E-A29E-B297653E276E}"/>
            </c:ext>
          </c:extLst>
        </c:ser>
        <c:ser>
          <c:idx val="14"/>
          <c:order val="14"/>
          <c:tx>
            <c:strRef>
              <c:f>'вместе-отн'!$P$1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'вместе-отн'!$P$2:$P$85</c:f>
              <c:numCache>
                <c:formatCode>0.00</c:formatCode>
                <c:ptCount val="84"/>
                <c:pt idx="0">
                  <c:v>0</c:v>
                </c:pt>
                <c:pt idx="1">
                  <c:v>1.3908334552315216E-2</c:v>
                </c:pt>
                <c:pt idx="2">
                  <c:v>2.8331626758692385E-2</c:v>
                </c:pt>
                <c:pt idx="3">
                  <c:v>4.3348986055842254E-2</c:v>
                </c:pt>
                <c:pt idx="4">
                  <c:v>6.5902638672872049E-2</c:v>
                </c:pt>
                <c:pt idx="5">
                  <c:v>9.0120574722594604E-2</c:v>
                </c:pt>
                <c:pt idx="6">
                  <c:v>0.11515497986440937</c:v>
                </c:pt>
                <c:pt idx="7">
                  <c:v>0.14164768537729233</c:v>
                </c:pt>
                <c:pt idx="8">
                  <c:v>0.16875087692064294</c:v>
                </c:pt>
                <c:pt idx="9">
                  <c:v>0.19635857770188592</c:v>
                </c:pt>
                <c:pt idx="10">
                  <c:v>0.22511560426175969</c:v>
                </c:pt>
                <c:pt idx="11">
                  <c:v>0.25417264962878283</c:v>
                </c:pt>
                <c:pt idx="12">
                  <c:v>0.28342373701037982</c:v>
                </c:pt>
                <c:pt idx="13">
                  <c:v>0.31351517557817066</c:v>
                </c:pt>
                <c:pt idx="14">
                  <c:v>0.3444305463924604</c:v>
                </c:pt>
                <c:pt idx="15">
                  <c:v>0.37554592974484979</c:v>
                </c:pt>
                <c:pt idx="16">
                  <c:v>0.40770316945241336</c:v>
                </c:pt>
                <c:pt idx="17">
                  <c:v>0.44025595634353198</c:v>
                </c:pt>
                <c:pt idx="18">
                  <c:v>0.47330131142549225</c:v>
                </c:pt>
                <c:pt idx="19">
                  <c:v>0.5084318718486831</c:v>
                </c:pt>
                <c:pt idx="20">
                  <c:v>0.54425053510817123</c:v>
                </c:pt>
                <c:pt idx="21">
                  <c:v>0.58160213028279384</c:v>
                </c:pt>
                <c:pt idx="22">
                  <c:v>0.6198388555700507</c:v>
                </c:pt>
                <c:pt idx="23">
                  <c:v>0.65905922460810973</c:v>
                </c:pt>
                <c:pt idx="24">
                  <c:v>0.70053495890787199</c:v>
                </c:pt>
                <c:pt idx="25">
                  <c:v>0.74454816570590987</c:v>
                </c:pt>
                <c:pt idx="26">
                  <c:v>0.79009131915732045</c:v>
                </c:pt>
                <c:pt idx="27">
                  <c:v>0.83764206114413153</c:v>
                </c:pt>
                <c:pt idx="28">
                  <c:v>0.88619137319055841</c:v>
                </c:pt>
                <c:pt idx="29">
                  <c:v>0.93547505963060362</c:v>
                </c:pt>
                <c:pt idx="30">
                  <c:v>0.98671857041784716</c:v>
                </c:pt>
                <c:pt idx="31">
                  <c:v>1.0381665716358341</c:v>
                </c:pt>
                <c:pt idx="32">
                  <c:v>1.0902996904283553</c:v>
                </c:pt>
                <c:pt idx="33">
                  <c:v>1.1421089083196261</c:v>
                </c:pt>
                <c:pt idx="34">
                  <c:v>1.1962973798357508</c:v>
                </c:pt>
                <c:pt idx="35">
                  <c:v>1.2557608088865275</c:v>
                </c:pt>
                <c:pt idx="36">
                  <c:v>1.3199439367840973</c:v>
                </c:pt>
                <c:pt idx="37">
                  <c:v>1.3882243364509419</c:v>
                </c:pt>
                <c:pt idx="38">
                  <c:v>1.4596780693715132</c:v>
                </c:pt>
                <c:pt idx="39">
                  <c:v>1.5333647780905673</c:v>
                </c:pt>
                <c:pt idx="40">
                  <c:v>1.6083008188573018</c:v>
                </c:pt>
                <c:pt idx="41">
                  <c:v>1.6833413437857301</c:v>
                </c:pt>
                <c:pt idx="42">
                  <c:v>1.757344490251628</c:v>
                </c:pt>
                <c:pt idx="43">
                  <c:v>1.8286414969296585</c:v>
                </c:pt>
                <c:pt idx="44">
                  <c:v>1.899435487000678</c:v>
                </c:pt>
                <c:pt idx="45">
                  <c:v>1.9729177052889884</c:v>
                </c:pt>
                <c:pt idx="46">
                  <c:v>2.0499105914102076</c:v>
                </c:pt>
                <c:pt idx="47">
                  <c:v>2.1297469393603778</c:v>
                </c:pt>
                <c:pt idx="48">
                  <c:v>2.2111609981521227</c:v>
                </c:pt>
                <c:pt idx="49">
                  <c:v>2.2940676878252075</c:v>
                </c:pt>
                <c:pt idx="50">
                  <c:v>2.3784058105134949</c:v>
                </c:pt>
                <c:pt idx="51">
                  <c:v>2.4637320548452291</c:v>
                </c:pt>
                <c:pt idx="52">
                  <c:v>2.5497553577985488</c:v>
                </c:pt>
                <c:pt idx="53">
                  <c:v>2.6361801784589485</c:v>
                </c:pt>
                <c:pt idx="54">
                  <c:v>2.723221455673341</c:v>
                </c:pt>
                <c:pt idx="55">
                  <c:v>2.8122285277584567</c:v>
                </c:pt>
                <c:pt idx="56">
                  <c:v>2.9047970171264472</c:v>
                </c:pt>
                <c:pt idx="57">
                  <c:v>3.0014732266798818</c:v>
                </c:pt>
                <c:pt idx="58">
                  <c:v>3.1018392197719855</c:v>
                </c:pt>
                <c:pt idx="59">
                  <c:v>3.2056875207102538</c:v>
                </c:pt>
                <c:pt idx="60">
                  <c:v>3.3131524662740048</c:v>
                </c:pt>
                <c:pt idx="61">
                  <c:v>3.4248326014466581</c:v>
                </c:pt>
                <c:pt idx="62">
                  <c:v>3.5417772457377934</c:v>
                </c:pt>
                <c:pt idx="63">
                  <c:v>3.6651849817451243</c:v>
                </c:pt>
                <c:pt idx="64">
                  <c:v>3.7969992148761564</c:v>
                </c:pt>
                <c:pt idx="65">
                  <c:v>3.9366811053827258</c:v>
                </c:pt>
                <c:pt idx="66">
                  <c:v>4.0820424563927888</c:v>
                </c:pt>
                <c:pt idx="67">
                  <c:v>4.2312652434928761</c:v>
                </c:pt>
                <c:pt idx="68">
                  <c:v>4.3829060926207317</c:v>
                </c:pt>
                <c:pt idx="69">
                  <c:v>4.5374620498598421</c:v>
                </c:pt>
                <c:pt idx="70">
                  <c:v>4.6956958495905718</c:v>
                </c:pt>
                <c:pt idx="71">
                  <c:v>4.85663728174005</c:v>
                </c:pt>
                <c:pt idx="72">
                  <c:v>5.0192370267986952</c:v>
                </c:pt>
                <c:pt idx="73">
                  <c:v>5.1820024538851692</c:v>
                </c:pt>
                <c:pt idx="74">
                  <c:v>5.3451634281551987</c:v>
                </c:pt>
                <c:pt idx="75">
                  <c:v>5.5089483221336266</c:v>
                </c:pt>
                <c:pt idx="76">
                  <c:v>5.6727854581929016</c:v>
                </c:pt>
                <c:pt idx="77">
                  <c:v>5.8363270533376719</c:v>
                </c:pt>
                <c:pt idx="78">
                  <c:v>5.9995268360106158</c:v>
                </c:pt>
                <c:pt idx="79">
                  <c:v>6.1620116484913989</c:v>
                </c:pt>
                <c:pt idx="80">
                  <c:v>6.3237934318270703</c:v>
                </c:pt>
                <c:pt idx="81">
                  <c:v>6.4846020198281087</c:v>
                </c:pt>
                <c:pt idx="82">
                  <c:v>6.6436478107582859</c:v>
                </c:pt>
                <c:pt idx="83">
                  <c:v>6.7989485908071847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6BA-421E-A29E-B297653E276E}"/>
            </c:ext>
          </c:extLst>
        </c:ser>
        <c:ser>
          <c:idx val="15"/>
          <c:order val="15"/>
          <c:tx>
            <c:strRef>
              <c:f>'вместе-отн'!$Q$1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'вместе-отн'!$Q$2:$Q$85</c:f>
              <c:numCache>
                <c:formatCode>0.00</c:formatCode>
                <c:ptCount val="84"/>
                <c:pt idx="0">
                  <c:v>0</c:v>
                </c:pt>
                <c:pt idx="1">
                  <c:v>1.6785600881658036E-2</c:v>
                </c:pt>
                <c:pt idx="2">
                  <c:v>3.3694587903558837E-2</c:v>
                </c:pt>
                <c:pt idx="3">
                  <c:v>5.0727624432047813E-2</c:v>
                </c:pt>
                <c:pt idx="4">
                  <c:v>6.7947288025706598E-2</c:v>
                </c:pt>
                <c:pt idx="5">
                  <c:v>8.5502836112248515E-2</c:v>
                </c:pt>
                <c:pt idx="6">
                  <c:v>0.10313887264869814</c:v>
                </c:pt>
                <c:pt idx="7">
                  <c:v>0.12082046034086424</c:v>
                </c:pt>
                <c:pt idx="8">
                  <c:v>0.13884478731148242</c:v>
                </c:pt>
                <c:pt idx="9">
                  <c:v>0.15728747732392723</c:v>
                </c:pt>
                <c:pt idx="10">
                  <c:v>0.17600369539278815</c:v>
                </c:pt>
                <c:pt idx="11">
                  <c:v>0.19440569893604875</c:v>
                </c:pt>
                <c:pt idx="12">
                  <c:v>0.2130117981915749</c:v>
                </c:pt>
                <c:pt idx="13">
                  <c:v>0.23145581493671052</c:v>
                </c:pt>
                <c:pt idx="14">
                  <c:v>0.25114585480060536</c:v>
                </c:pt>
                <c:pt idx="15">
                  <c:v>0.27049359763027847</c:v>
                </c:pt>
                <c:pt idx="16">
                  <c:v>0.28983227445323134</c:v>
                </c:pt>
                <c:pt idx="17">
                  <c:v>0.30905287206670473</c:v>
                </c:pt>
                <c:pt idx="18">
                  <c:v>0.32848906374243003</c:v>
                </c:pt>
                <c:pt idx="19">
                  <c:v>0.34946935114811017</c:v>
                </c:pt>
                <c:pt idx="20">
                  <c:v>0.37088967156289998</c:v>
                </c:pt>
                <c:pt idx="21">
                  <c:v>0.39264145402826989</c:v>
                </c:pt>
                <c:pt idx="22">
                  <c:v>0.41505792957172183</c:v>
                </c:pt>
                <c:pt idx="23">
                  <c:v>0.4380303061126114</c:v>
                </c:pt>
                <c:pt idx="24">
                  <c:v>0.46244948465279845</c:v>
                </c:pt>
                <c:pt idx="25">
                  <c:v>0.48769941897953029</c:v>
                </c:pt>
                <c:pt idx="26">
                  <c:v>0.51378895397741187</c:v>
                </c:pt>
                <c:pt idx="27">
                  <c:v>0.54094827776829413</c:v>
                </c:pt>
                <c:pt idx="28">
                  <c:v>0.56896467087742142</c:v>
                </c:pt>
                <c:pt idx="29">
                  <c:v>0.59806787918241411</c:v>
                </c:pt>
                <c:pt idx="30">
                  <c:v>0.62804584657486262</c:v>
                </c:pt>
                <c:pt idx="31">
                  <c:v>0.65901797899693704</c:v>
                </c:pt>
                <c:pt idx="32">
                  <c:v>0.69121358008202738</c:v>
                </c:pt>
                <c:pt idx="33">
                  <c:v>0.72486305907409987</c:v>
                </c:pt>
                <c:pt idx="34">
                  <c:v>0.76800995403313488</c:v>
                </c:pt>
                <c:pt idx="35">
                  <c:v>0.81280376650566022</c:v>
                </c:pt>
                <c:pt idx="36">
                  <c:v>0.8586452555596733</c:v>
                </c:pt>
                <c:pt idx="37">
                  <c:v>0.90523391624071192</c:v>
                </c:pt>
                <c:pt idx="38">
                  <c:v>0.95245763963640462</c:v>
                </c:pt>
                <c:pt idx="39">
                  <c:v>1.0008586171730509</c:v>
                </c:pt>
                <c:pt idx="40">
                  <c:v>1.051492928072514</c:v>
                </c:pt>
                <c:pt idx="41">
                  <c:v>1.1049250970947209</c:v>
                </c:pt>
                <c:pt idx="42">
                  <c:v>1.1618295466908188</c:v>
                </c:pt>
                <c:pt idx="43">
                  <c:v>1.2228373593773907</c:v>
                </c:pt>
                <c:pt idx="44">
                  <c:v>1.2876183998365467</c:v>
                </c:pt>
                <c:pt idx="45">
                  <c:v>1.3549074073255105</c:v>
                </c:pt>
                <c:pt idx="46">
                  <c:v>1.4243149857995379</c:v>
                </c:pt>
                <c:pt idx="47">
                  <c:v>1.495551023043578</c:v>
                </c:pt>
                <c:pt idx="48">
                  <c:v>1.5681485091504754</c:v>
                </c:pt>
                <c:pt idx="49">
                  <c:v>1.6420970513808193</c:v>
                </c:pt>
                <c:pt idx="50">
                  <c:v>1.7176907421477323</c:v>
                </c:pt>
                <c:pt idx="51">
                  <c:v>1.7950445649510836</c:v>
                </c:pt>
                <c:pt idx="52">
                  <c:v>1.8742191072504175</c:v>
                </c:pt>
                <c:pt idx="53">
                  <c:v>1.9513049300502301</c:v>
                </c:pt>
                <c:pt idx="54">
                  <c:v>2.0299195911540542</c:v>
                </c:pt>
                <c:pt idx="55">
                  <c:v>2.1136903777384872</c:v>
                </c:pt>
                <c:pt idx="56">
                  <c:v>2.1986300158234986</c:v>
                </c:pt>
                <c:pt idx="57">
                  <c:v>2.2845540895650704</c:v>
                </c:pt>
                <c:pt idx="58">
                  <c:v>2.3715771402188404</c:v>
                </c:pt>
                <c:pt idx="59">
                  <c:v>2.4602329565707319</c:v>
                </c:pt>
                <c:pt idx="60">
                  <c:v>2.5512227168478248</c:v>
                </c:pt>
                <c:pt idx="61">
                  <c:v>2.6444314375502498</c:v>
                </c:pt>
                <c:pt idx="62">
                  <c:v>2.7391132737836741</c:v>
                </c:pt>
                <c:pt idx="63">
                  <c:v>2.8348217799976472</c:v>
                </c:pt>
                <c:pt idx="64">
                  <c:v>2.9314455106461454</c:v>
                </c:pt>
                <c:pt idx="65">
                  <c:v>3.0292582149076992</c:v>
                </c:pt>
                <c:pt idx="66">
                  <c:v>3.1285325363502645</c:v>
                </c:pt>
                <c:pt idx="67">
                  <c:v>3.229032316554882</c:v>
                </c:pt>
                <c:pt idx="68">
                  <c:v>3.3303226083210911</c:v>
                </c:pt>
                <c:pt idx="69">
                  <c:v>3.4316113522324931</c:v>
                </c:pt>
                <c:pt idx="70">
                  <c:v>3.5329657694120895</c:v>
                </c:pt>
                <c:pt idx="71">
                  <c:v>3.6352250182867989</c:v>
                </c:pt>
                <c:pt idx="72">
                  <c:v>3.7378354090803363</c:v>
                </c:pt>
                <c:pt idx="73">
                  <c:v>3.84029831142308</c:v>
                </c:pt>
                <c:pt idx="74">
                  <c:v>3.9407058837056885</c:v>
                </c:pt>
                <c:pt idx="75">
                  <c:v>4.0400498586145197</c:v>
                </c:pt>
                <c:pt idx="76">
                  <c:v>4.1395720579481461</c:v>
                </c:pt>
                <c:pt idx="77">
                  <c:v>4.2387110526562513</c:v>
                </c:pt>
                <c:pt idx="78">
                  <c:v>4.3373819318466262</c:v>
                </c:pt>
                <c:pt idx="79">
                  <c:v>4.4353412400705121</c:v>
                </c:pt>
                <c:pt idx="80">
                  <c:v>4.5332483634752254</c:v>
                </c:pt>
                <c:pt idx="81">
                  <c:v>4.6307402195477261</c:v>
                </c:pt>
                <c:pt idx="82">
                  <c:v>4.725552517829076</c:v>
                </c:pt>
                <c:pt idx="83">
                  <c:v>4.8149451130685819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6BA-421E-A29E-B297653E276E}"/>
            </c:ext>
          </c:extLst>
        </c:ser>
        <c:ser>
          <c:idx val="17"/>
          <c:order val="17"/>
          <c:tx>
            <c:strRef>
              <c:f>'вместе-отн'!$S$1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'вместе-отн'!$S$2:$S$85</c:f>
              <c:numCache>
                <c:formatCode>0.00</c:formatCode>
                <c:ptCount val="84"/>
                <c:pt idx="0">
                  <c:v>0</c:v>
                </c:pt>
                <c:pt idx="1">
                  <c:v>1.2167999978810462E-2</c:v>
                </c:pt>
                <c:pt idx="2">
                  <c:v>2.5184457944824601E-2</c:v>
                </c:pt>
                <c:pt idx="3">
                  <c:v>3.8285673420486388E-2</c:v>
                </c:pt>
                <c:pt idx="4">
                  <c:v>5.5145354714592365E-2</c:v>
                </c:pt>
                <c:pt idx="5">
                  <c:v>7.223017314370006E-2</c:v>
                </c:pt>
                <c:pt idx="6">
                  <c:v>9.1213206632628108E-2</c:v>
                </c:pt>
                <c:pt idx="7">
                  <c:v>0.11199998587374838</c:v>
                </c:pt>
                <c:pt idx="8">
                  <c:v>0.13185090094584084</c:v>
                </c:pt>
                <c:pt idx="9">
                  <c:v>0.15067059965055174</c:v>
                </c:pt>
                <c:pt idx="10">
                  <c:v>0.17057537105689957</c:v>
                </c:pt>
                <c:pt idx="11">
                  <c:v>0.19411853514302391</c:v>
                </c:pt>
                <c:pt idx="12">
                  <c:v>0.2145865908322393</c:v>
                </c:pt>
                <c:pt idx="13">
                  <c:v>0.23674096780715548</c:v>
                </c:pt>
                <c:pt idx="14">
                  <c:v>0.25086721941512025</c:v>
                </c:pt>
                <c:pt idx="15">
                  <c:v>0.26721747276061381</c:v>
                </c:pt>
                <c:pt idx="16">
                  <c:v>0.28409039741560216</c:v>
                </c:pt>
                <c:pt idx="17">
                  <c:v>0.30110811614957234</c:v>
                </c:pt>
                <c:pt idx="18">
                  <c:v>0.31833419709475974</c:v>
                </c:pt>
                <c:pt idx="19">
                  <c:v>0.33627541952760032</c:v>
                </c:pt>
                <c:pt idx="20">
                  <c:v>0.35455390621758132</c:v>
                </c:pt>
                <c:pt idx="21">
                  <c:v>0.37323234240621272</c:v>
                </c:pt>
                <c:pt idx="22">
                  <c:v>0.39281750736993026</c:v>
                </c:pt>
                <c:pt idx="23">
                  <c:v>0.41293152387822096</c:v>
                </c:pt>
                <c:pt idx="24">
                  <c:v>0.43356114857020245</c:v>
                </c:pt>
                <c:pt idx="25">
                  <c:v>0.45467724605193349</c:v>
                </c:pt>
                <c:pt idx="26">
                  <c:v>0.47411055381086542</c:v>
                </c:pt>
                <c:pt idx="27">
                  <c:v>0.49940449020565159</c:v>
                </c:pt>
                <c:pt idx="28">
                  <c:v>0.52309244837075752</c:v>
                </c:pt>
                <c:pt idx="29">
                  <c:v>0.54697905694910043</c:v>
                </c:pt>
                <c:pt idx="30">
                  <c:v>0.5724274992208489</c:v>
                </c:pt>
                <c:pt idx="31">
                  <c:v>0.59815140339895256</c:v>
                </c:pt>
                <c:pt idx="32">
                  <c:v>0.62507162451010601</c:v>
                </c:pt>
                <c:pt idx="33">
                  <c:v>0.65675857264822191</c:v>
                </c:pt>
                <c:pt idx="34">
                  <c:v>0.69816173322044106</c:v>
                </c:pt>
                <c:pt idx="35">
                  <c:v>0.74841322464359905</c:v>
                </c:pt>
                <c:pt idx="36">
                  <c:v>0.80757043481485336</c:v>
                </c:pt>
                <c:pt idx="37">
                  <c:v>0.87551329059553606</c:v>
                </c:pt>
                <c:pt idx="38">
                  <c:v>0.95225326956507916</c:v>
                </c:pt>
                <c:pt idx="39">
                  <c:v>1.0434673590884329</c:v>
                </c:pt>
                <c:pt idx="40">
                  <c:v>1.1491440815861664</c:v>
                </c:pt>
                <c:pt idx="41">
                  <c:v>1.2594400883597037</c:v>
                </c:pt>
                <c:pt idx="42">
                  <c:v>1.3649084486462195</c:v>
                </c:pt>
                <c:pt idx="43">
                  <c:v>1.4564112434368113</c:v>
                </c:pt>
                <c:pt idx="44">
                  <c:v>1.5361618797803014</c:v>
                </c:pt>
                <c:pt idx="45">
                  <c:v>1.6128347590547065</c:v>
                </c:pt>
                <c:pt idx="46">
                  <c:v>1.6878636957982347</c:v>
                </c:pt>
                <c:pt idx="47">
                  <c:v>1.7643599969275403</c:v>
                </c:pt>
                <c:pt idx="48">
                  <c:v>1.8442448326613063</c:v>
                </c:pt>
                <c:pt idx="49">
                  <c:v>1.9274281481455322</c:v>
                </c:pt>
                <c:pt idx="50">
                  <c:v>2.0123145598392433</c:v>
                </c:pt>
                <c:pt idx="51">
                  <c:v>2.0981465474999625</c:v>
                </c:pt>
                <c:pt idx="52">
                  <c:v>2.1841665908852126</c:v>
                </c:pt>
                <c:pt idx="53">
                  <c:v>2.268644224173018</c:v>
                </c:pt>
                <c:pt idx="54">
                  <c:v>2.3520447307757166</c:v>
                </c:pt>
                <c:pt idx="55">
                  <c:v>2.4363457859184225</c:v>
                </c:pt>
                <c:pt idx="56">
                  <c:v>2.5213354958270169</c:v>
                </c:pt>
                <c:pt idx="57">
                  <c:v>2.6054343689935839</c:v>
                </c:pt>
                <c:pt idx="58">
                  <c:v>2.6872836365915829</c:v>
                </c:pt>
                <c:pt idx="59">
                  <c:v>2.7672320404575848</c:v>
                </c:pt>
                <c:pt idx="60">
                  <c:v>2.8467628370104259</c:v>
                </c:pt>
                <c:pt idx="61">
                  <c:v>2.9258592513263224</c:v>
                </c:pt>
                <c:pt idx="62">
                  <c:v>3.0005315002167494</c:v>
                </c:pt>
                <c:pt idx="63">
                  <c:v>3.061714061712296</c:v>
                </c:pt>
                <c:pt idx="64">
                  <c:v>3.1075131352067684</c:v>
                </c:pt>
                <c:pt idx="65">
                  <c:v>3.1610445656751507</c:v>
                </c:pt>
                <c:pt idx="66">
                  <c:v>3.2280674493198651</c:v>
                </c:pt>
                <c:pt idx="67">
                  <c:v>3.2972984426690495</c:v>
                </c:pt>
                <c:pt idx="68">
                  <c:v>3.3696840045804377</c:v>
                </c:pt>
                <c:pt idx="69">
                  <c:v>3.4427202569565161</c:v>
                </c:pt>
                <c:pt idx="70">
                  <c:v>3.5159375019313233</c:v>
                </c:pt>
                <c:pt idx="71">
                  <c:v>3.5909964569595187</c:v>
                </c:pt>
                <c:pt idx="72">
                  <c:v>3.6667767337104458</c:v>
                </c:pt>
                <c:pt idx="73">
                  <c:v>3.7429057522979443</c:v>
                </c:pt>
                <c:pt idx="74">
                  <c:v>3.8205197930857295</c:v>
                </c:pt>
                <c:pt idx="75">
                  <c:v>3.8994599357432129</c:v>
                </c:pt>
                <c:pt idx="76">
                  <c:v>3.9713687366628321</c:v>
                </c:pt>
                <c:pt idx="77">
                  <c:v>4.0309797526669922</c:v>
                </c:pt>
                <c:pt idx="78">
                  <c:v>4.0811473694712284</c:v>
                </c:pt>
                <c:pt idx="79">
                  <c:v>4.1234713850701414</c:v>
                </c:pt>
                <c:pt idx="80">
                  <c:v>4.1616934903583918</c:v>
                </c:pt>
                <c:pt idx="81">
                  <c:v>4.1962312926491405</c:v>
                </c:pt>
                <c:pt idx="82">
                  <c:v>4.2271492429653472</c:v>
                </c:pt>
                <c:pt idx="83">
                  <c:v>4.2542901867578751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6BA-421E-A29E-B297653E276E}"/>
            </c:ext>
          </c:extLst>
        </c:ser>
        <c:ser>
          <c:idx val="18"/>
          <c:order val="18"/>
          <c:tx>
            <c:strRef>
              <c:f>'вместе-отн'!$T$1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'вместе-отн'!$T$2:$T$85</c:f>
              <c:numCache>
                <c:formatCode>0.00</c:formatCode>
                <c:ptCount val="84"/>
                <c:pt idx="0">
                  <c:v>0</c:v>
                </c:pt>
                <c:pt idx="1">
                  <c:v>1.8280881444839858E-2</c:v>
                </c:pt>
                <c:pt idx="2">
                  <c:v>4.028863630908619E-2</c:v>
                </c:pt>
                <c:pt idx="3">
                  <c:v>5.6932282768156428E-2</c:v>
                </c:pt>
                <c:pt idx="4">
                  <c:v>7.3762854767583264E-2</c:v>
                </c:pt>
                <c:pt idx="5">
                  <c:v>9.0837084572533477E-2</c:v>
                </c:pt>
                <c:pt idx="6">
                  <c:v>0.10809314856070973</c:v>
                </c:pt>
                <c:pt idx="7">
                  <c:v>0.12546776843634988</c:v>
                </c:pt>
                <c:pt idx="8">
                  <c:v>0.14290057525062205</c:v>
                </c:pt>
                <c:pt idx="9">
                  <c:v>0.16578331620455322</c:v>
                </c:pt>
                <c:pt idx="10">
                  <c:v>0.18823547381260464</c:v>
                </c:pt>
                <c:pt idx="11">
                  <c:v>0.21092256118538444</c:v>
                </c:pt>
                <c:pt idx="12">
                  <c:v>0.23305541796769025</c:v>
                </c:pt>
                <c:pt idx="13">
                  <c:v>0.25529955727013065</c:v>
                </c:pt>
                <c:pt idx="14">
                  <c:v>0.2751340299764562</c:v>
                </c:pt>
                <c:pt idx="15">
                  <c:v>0.29482230799946763</c:v>
                </c:pt>
                <c:pt idx="16">
                  <c:v>0.31438475676768651</c:v>
                </c:pt>
                <c:pt idx="17">
                  <c:v>0.33384319638310012</c:v>
                </c:pt>
                <c:pt idx="18">
                  <c:v>0.35321799227422934</c:v>
                </c:pt>
                <c:pt idx="19">
                  <c:v>0.37034749967088021</c:v>
                </c:pt>
                <c:pt idx="20">
                  <c:v>0.38743482153702269</c:v>
                </c:pt>
                <c:pt idx="21">
                  <c:v>0.40450177797464359</c:v>
                </c:pt>
                <c:pt idx="22">
                  <c:v>0.42156800707553188</c:v>
                </c:pt>
                <c:pt idx="23">
                  <c:v>0.43865460160494152</c:v>
                </c:pt>
                <c:pt idx="24">
                  <c:v>0.45534988897204798</c:v>
                </c:pt>
                <c:pt idx="25">
                  <c:v>0.47196953331893221</c:v>
                </c:pt>
                <c:pt idx="26">
                  <c:v>0.48853462741084863</c:v>
                </c:pt>
                <c:pt idx="27">
                  <c:v>0.50542920504277111</c:v>
                </c:pt>
                <c:pt idx="28">
                  <c:v>0.52230996327676871</c:v>
                </c:pt>
                <c:pt idx="29">
                  <c:v>0.53956166324454724</c:v>
                </c:pt>
                <c:pt idx="30">
                  <c:v>0.5572046703746294</c:v>
                </c:pt>
                <c:pt idx="31">
                  <c:v>0.57489640906581596</c:v>
                </c:pt>
                <c:pt idx="32">
                  <c:v>0.59338458147953377</c:v>
                </c:pt>
                <c:pt idx="33">
                  <c:v>0.61232588467785187</c:v>
                </c:pt>
                <c:pt idx="34">
                  <c:v>0.63003071543023048</c:v>
                </c:pt>
                <c:pt idx="35">
                  <c:v>0.64936332579085176</c:v>
                </c:pt>
                <c:pt idx="36">
                  <c:v>0.67023134399463524</c:v>
                </c:pt>
                <c:pt idx="37">
                  <c:v>0.69250384942965892</c:v>
                </c:pt>
                <c:pt idx="38">
                  <c:v>0.71605210349419846</c:v>
                </c:pt>
                <c:pt idx="39">
                  <c:v>0.74094011182074926</c:v>
                </c:pt>
                <c:pt idx="40">
                  <c:v>0.76686602966515593</c:v>
                </c:pt>
                <c:pt idx="41">
                  <c:v>0.79313815979442559</c:v>
                </c:pt>
                <c:pt idx="42">
                  <c:v>0.81891715561878553</c:v>
                </c:pt>
                <c:pt idx="43">
                  <c:v>0.84336585255866181</c:v>
                </c:pt>
                <c:pt idx="44">
                  <c:v>0.86684791898050673</c:v>
                </c:pt>
                <c:pt idx="45">
                  <c:v>0.89014524187219402</c:v>
                </c:pt>
                <c:pt idx="46">
                  <c:v>0.91290069889786674</c:v>
                </c:pt>
                <c:pt idx="47">
                  <c:v>0.93468225203817967</c:v>
                </c:pt>
                <c:pt idx="48">
                  <c:v>0.95506077262071809</c:v>
                </c:pt>
                <c:pt idx="49">
                  <c:v>0.97478832682730632</c:v>
                </c:pt>
                <c:pt idx="50">
                  <c:v>0.9941318472389209</c:v>
                </c:pt>
                <c:pt idx="51">
                  <c:v>1.0117312141650285</c:v>
                </c:pt>
                <c:pt idx="52">
                  <c:v>1.0262997689251199</c:v>
                </c:pt>
                <c:pt idx="53">
                  <c:v>1.0368396055216498</c:v>
                </c:pt>
                <c:pt idx="54">
                  <c:v>1.044550829563911</c:v>
                </c:pt>
                <c:pt idx="55">
                  <c:v>1.0513172431901281</c:v>
                </c:pt>
                <c:pt idx="56">
                  <c:v>1.057969464949279</c:v>
                </c:pt>
                <c:pt idx="57">
                  <c:v>1.0653032012271626</c:v>
                </c:pt>
                <c:pt idx="58">
                  <c:v>1.0738959573897051</c:v>
                </c:pt>
                <c:pt idx="59">
                  <c:v>1.0845492585165677</c:v>
                </c:pt>
                <c:pt idx="60">
                  <c:v>1.0969161649861552</c:v>
                </c:pt>
                <c:pt idx="61">
                  <c:v>1.1098409387298811</c:v>
                </c:pt>
                <c:pt idx="62">
                  <c:v>1.1224624130559855</c:v>
                </c:pt>
                <c:pt idx="63">
                  <c:v>1.1339179665992427</c:v>
                </c:pt>
                <c:pt idx="64">
                  <c:v>1.1447087343686246</c:v>
                </c:pt>
                <c:pt idx="65">
                  <c:v>1.1561235570548392</c:v>
                </c:pt>
                <c:pt idx="66">
                  <c:v>1.1680402420867586</c:v>
                </c:pt>
                <c:pt idx="67">
                  <c:v>1.1801576720569593</c:v>
                </c:pt>
                <c:pt idx="68">
                  <c:v>1.1925369432510062</c:v>
                </c:pt>
                <c:pt idx="69">
                  <c:v>1.205282792158437</c:v>
                </c:pt>
                <c:pt idx="70">
                  <c:v>1.2184512237076865</c:v>
                </c:pt>
                <c:pt idx="71">
                  <c:v>1.2320487839293497</c:v>
                </c:pt>
                <c:pt idx="72">
                  <c:v>1.2459016393442623</c:v>
                </c:pt>
                <c:pt idx="73">
                  <c:v>1.2599792418096429</c:v>
                </c:pt>
                <c:pt idx="74">
                  <c:v>1.2745528879268653</c:v>
                </c:pt>
                <c:pt idx="75">
                  <c:v>1.2893461897374245</c:v>
                </c:pt>
                <c:pt idx="76">
                  <c:v>1.3040340277217126</c:v>
                </c:pt>
                <c:pt idx="77">
                  <c:v>1.3185102107167248</c:v>
                </c:pt>
                <c:pt idx="78">
                  <c:v>1.3325223528761443</c:v>
                </c:pt>
                <c:pt idx="79">
                  <c:v>1.3470967263300992</c:v>
                </c:pt>
                <c:pt idx="80">
                  <c:v>1.3623984365169592</c:v>
                </c:pt>
                <c:pt idx="81">
                  <c:v>1.3766324163799144</c:v>
                </c:pt>
                <c:pt idx="82">
                  <c:v>1.3882938062185834</c:v>
                </c:pt>
                <c:pt idx="83">
                  <c:v>1.3955497174660461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6BA-421E-A29E-B297653E276E}"/>
            </c:ext>
          </c:extLst>
        </c:ser>
        <c:ser>
          <c:idx val="19"/>
          <c:order val="19"/>
          <c:tx>
            <c:strRef>
              <c:f>'вместе-отн'!$U$1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'вместе-отн'!$U$2:$U$85</c:f>
              <c:numCache>
                <c:formatCode>0.00</c:formatCode>
                <c:ptCount val="84"/>
                <c:pt idx="0">
                  <c:v>0</c:v>
                </c:pt>
                <c:pt idx="1">
                  <c:v>1.2773155390167767E-2</c:v>
                </c:pt>
                <c:pt idx="2">
                  <c:v>2.5857436004471213E-2</c:v>
                </c:pt>
                <c:pt idx="3">
                  <c:v>3.926986304351332E-2</c:v>
                </c:pt>
                <c:pt idx="4">
                  <c:v>5.5679137532975043E-2</c:v>
                </c:pt>
                <c:pt idx="5">
                  <c:v>7.0343041370446668E-2</c:v>
                </c:pt>
                <c:pt idx="6">
                  <c:v>8.5207851182247829E-2</c:v>
                </c:pt>
                <c:pt idx="7">
                  <c:v>0.10054534810587534</c:v>
                </c:pt>
                <c:pt idx="8">
                  <c:v>0.11606924112790851</c:v>
                </c:pt>
                <c:pt idx="9">
                  <c:v>0.13191151431203929</c:v>
                </c:pt>
                <c:pt idx="10">
                  <c:v>0.14806491272030575</c:v>
                </c:pt>
                <c:pt idx="11">
                  <c:v>0.16438294241309293</c:v>
                </c:pt>
                <c:pt idx="12">
                  <c:v>0.18099786649016703</c:v>
                </c:pt>
                <c:pt idx="13">
                  <c:v>0.19790187194141584</c:v>
                </c:pt>
                <c:pt idx="14">
                  <c:v>0.21540999049603116</c:v>
                </c:pt>
                <c:pt idx="15">
                  <c:v>0.23320160970331227</c:v>
                </c:pt>
                <c:pt idx="16">
                  <c:v>0.25136378881880117</c:v>
                </c:pt>
                <c:pt idx="17">
                  <c:v>0.26970399295043257</c:v>
                </c:pt>
                <c:pt idx="18">
                  <c:v>0.28844852035540258</c:v>
                </c:pt>
                <c:pt idx="19">
                  <c:v>0.30782366929090799</c:v>
                </c:pt>
                <c:pt idx="20">
                  <c:v>0.32763746293703333</c:v>
                </c:pt>
                <c:pt idx="21">
                  <c:v>0.34811564147882423</c:v>
                </c:pt>
                <c:pt idx="22">
                  <c:v>0.36948506124562819</c:v>
                </c:pt>
                <c:pt idx="23">
                  <c:v>0.39169242634703272</c:v>
                </c:pt>
                <c:pt idx="24">
                  <c:v>0.4164984544191781</c:v>
                </c:pt>
                <c:pt idx="25">
                  <c:v>0.44381329584576656</c:v>
                </c:pt>
                <c:pt idx="26">
                  <c:v>0.47248341549085504</c:v>
                </c:pt>
                <c:pt idx="27">
                  <c:v>0.50233162544652754</c:v>
                </c:pt>
                <c:pt idx="28">
                  <c:v>0.53318129587701879</c:v>
                </c:pt>
                <c:pt idx="29">
                  <c:v>0.5647154418006084</c:v>
                </c:pt>
                <c:pt idx="30">
                  <c:v>0.59703619042091494</c:v>
                </c:pt>
                <c:pt idx="31">
                  <c:v>0.62968759679063857</c:v>
                </c:pt>
                <c:pt idx="32">
                  <c:v>0.66263199103959369</c:v>
                </c:pt>
                <c:pt idx="33">
                  <c:v>0.69583198233366805</c:v>
                </c:pt>
                <c:pt idx="34">
                  <c:v>0.73203133240284091</c:v>
                </c:pt>
                <c:pt idx="35">
                  <c:v>0.77341935829515673</c:v>
                </c:pt>
                <c:pt idx="36">
                  <c:v>0.81941510690151098</c:v>
                </c:pt>
                <c:pt idx="37">
                  <c:v>0.86946413353996865</c:v>
                </c:pt>
                <c:pt idx="38">
                  <c:v>0.92287331259909267</c:v>
                </c:pt>
                <c:pt idx="39">
                  <c:v>0.97921013816192226</c:v>
                </c:pt>
                <c:pt idx="40">
                  <c:v>1.0372624775166681</c:v>
                </c:pt>
                <c:pt idx="41">
                  <c:v>1.0952506385740586</c:v>
                </c:pt>
                <c:pt idx="42">
                  <c:v>1.1514233909245193</c:v>
                </c:pt>
                <c:pt idx="43">
                  <c:v>1.2039310044238376</c:v>
                </c:pt>
                <c:pt idx="44">
                  <c:v>1.2548497865094985</c:v>
                </c:pt>
                <c:pt idx="45">
                  <c:v>1.3071140805510177</c:v>
                </c:pt>
                <c:pt idx="46">
                  <c:v>1.3599730004693389</c:v>
                </c:pt>
                <c:pt idx="47">
                  <c:v>1.41252163227175</c:v>
                </c:pt>
                <c:pt idx="48">
                  <c:v>1.4638416682339193</c:v>
                </c:pt>
                <c:pt idx="49">
                  <c:v>1.5140207256835407</c:v>
                </c:pt>
                <c:pt idx="50">
                  <c:v>1.5635599534121369</c:v>
                </c:pt>
                <c:pt idx="51">
                  <c:v>1.6124671644298201</c:v>
                </c:pt>
                <c:pt idx="52">
                  <c:v>1.6608899688205088</c:v>
                </c:pt>
                <c:pt idx="53">
                  <c:v>1.7087524687716775</c:v>
                </c:pt>
                <c:pt idx="54">
                  <c:v>1.756099868127551</c:v>
                </c:pt>
                <c:pt idx="55">
                  <c:v>1.8031319567181563</c:v>
                </c:pt>
                <c:pt idx="56">
                  <c:v>1.8498264116574576</c:v>
                </c:pt>
                <c:pt idx="57">
                  <c:v>1.896006324073614</c:v>
                </c:pt>
                <c:pt idx="58">
                  <c:v>1.9417328028671514</c:v>
                </c:pt>
                <c:pt idx="59">
                  <c:v>1.9865884100691842</c:v>
                </c:pt>
                <c:pt idx="60">
                  <c:v>2.0305653326695992</c:v>
                </c:pt>
                <c:pt idx="61">
                  <c:v>2.0743606027848918</c:v>
                </c:pt>
                <c:pt idx="62">
                  <c:v>2.1187265016744954</c:v>
                </c:pt>
                <c:pt idx="63">
                  <c:v>2.1646809529416822</c:v>
                </c:pt>
                <c:pt idx="64">
                  <c:v>2.2123623584798784</c:v>
                </c:pt>
                <c:pt idx="65">
                  <c:v>2.2613661159796705</c:v>
                </c:pt>
                <c:pt idx="66">
                  <c:v>2.3119573097127435</c:v>
                </c:pt>
                <c:pt idx="67">
                  <c:v>2.3641630061784165</c:v>
                </c:pt>
                <c:pt idx="68">
                  <c:v>2.4178713119104316</c:v>
                </c:pt>
                <c:pt idx="69">
                  <c:v>2.4732075141066687</c:v>
                </c:pt>
                <c:pt idx="70">
                  <c:v>2.5305731456797123</c:v>
                </c:pt>
                <c:pt idx="71">
                  <c:v>2.5899001218271502</c:v>
                </c:pt>
                <c:pt idx="72">
                  <c:v>2.6508831770824322</c:v>
                </c:pt>
                <c:pt idx="73">
                  <c:v>2.7134553427874479</c:v>
                </c:pt>
                <c:pt idx="74">
                  <c:v>2.7779922014997633</c:v>
                </c:pt>
                <c:pt idx="75">
                  <c:v>2.8437269620840198</c:v>
                </c:pt>
                <c:pt idx="76">
                  <c:v>2.9092652812711544</c:v>
                </c:pt>
                <c:pt idx="77">
                  <c:v>2.9734790162080893</c:v>
                </c:pt>
                <c:pt idx="78">
                  <c:v>3.0352528597012194</c:v>
                </c:pt>
                <c:pt idx="79">
                  <c:v>3.0943758604774976</c:v>
                </c:pt>
                <c:pt idx="80">
                  <c:v>3.1512498304855843</c:v>
                </c:pt>
                <c:pt idx="81">
                  <c:v>3.2067319685492857</c:v>
                </c:pt>
                <c:pt idx="82">
                  <c:v>3.2608298086426402</c:v>
                </c:pt>
                <c:pt idx="83">
                  <c:v>3.3132146462687571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6BA-421E-A29E-B297653E276E}"/>
            </c:ext>
          </c:extLst>
        </c:ser>
        <c:ser>
          <c:idx val="20"/>
          <c:order val="20"/>
          <c:tx>
            <c:strRef>
              <c:f>'вместе-отн'!$V$1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'вместе-отн'!$V$2:$V$85</c:f>
              <c:numCache>
                <c:formatCode>0.00</c:formatCode>
                <c:ptCount val="84"/>
                <c:pt idx="0">
                  <c:v>0</c:v>
                </c:pt>
                <c:pt idx="1">
                  <c:v>1.2181347659449004E-2</c:v>
                </c:pt>
                <c:pt idx="2">
                  <c:v>2.4633930618796596E-2</c:v>
                </c:pt>
                <c:pt idx="3">
                  <c:v>3.7353817931667033E-2</c:v>
                </c:pt>
                <c:pt idx="4">
                  <c:v>5.5860713466767242E-2</c:v>
                </c:pt>
                <c:pt idx="5">
                  <c:v>7.8193074982802147E-2</c:v>
                </c:pt>
                <c:pt idx="6">
                  <c:v>9.9513872964916317E-2</c:v>
                </c:pt>
                <c:pt idx="7">
                  <c:v>0.12219084744652275</c:v>
                </c:pt>
                <c:pt idx="8">
                  <c:v>0.14531726013037649</c:v>
                </c:pt>
                <c:pt idx="9">
                  <c:v>0.16864218560618482</c:v>
                </c:pt>
                <c:pt idx="10">
                  <c:v>0.19256789071969083</c:v>
                </c:pt>
                <c:pt idx="11">
                  <c:v>0.21979165984210702</c:v>
                </c:pt>
                <c:pt idx="12">
                  <c:v>0.24744128148851829</c:v>
                </c:pt>
                <c:pt idx="13">
                  <c:v>0.27854030857929057</c:v>
                </c:pt>
                <c:pt idx="14">
                  <c:v>0.31032266518164264</c:v>
                </c:pt>
                <c:pt idx="15">
                  <c:v>0.34508271366331456</c:v>
                </c:pt>
                <c:pt idx="16">
                  <c:v>0.37803649228551772</c:v>
                </c:pt>
                <c:pt idx="17">
                  <c:v>0.41226324237560208</c:v>
                </c:pt>
                <c:pt idx="18">
                  <c:v>0.45116912896779926</c:v>
                </c:pt>
                <c:pt idx="19">
                  <c:v>0.48997019032332045</c:v>
                </c:pt>
                <c:pt idx="20">
                  <c:v>0.5281423002587875</c:v>
                </c:pt>
                <c:pt idx="21">
                  <c:v>0.56941985783077276</c:v>
                </c:pt>
                <c:pt idx="22">
                  <c:v>0.61098437448815801</c:v>
                </c:pt>
                <c:pt idx="23">
                  <c:v>0.65165591116061217</c:v>
                </c:pt>
                <c:pt idx="24">
                  <c:v>0.69313394699773978</c:v>
                </c:pt>
                <c:pt idx="25">
                  <c:v>0.73522127952304528</c:v>
                </c:pt>
                <c:pt idx="26">
                  <c:v>0.78208471189438877</c:v>
                </c:pt>
                <c:pt idx="27">
                  <c:v>0.83134012513512645</c:v>
                </c:pt>
                <c:pt idx="28">
                  <c:v>0.88060208995315636</c:v>
                </c:pt>
                <c:pt idx="29">
                  <c:v>0.93141743374717456</c:v>
                </c:pt>
                <c:pt idx="30">
                  <c:v>0.98631506535198343</c:v>
                </c:pt>
                <c:pt idx="31">
                  <c:v>1.0409447374455403</c:v>
                </c:pt>
                <c:pt idx="32">
                  <c:v>1.0978360140203756</c:v>
                </c:pt>
                <c:pt idx="33">
                  <c:v>1.1568965178366692</c:v>
                </c:pt>
                <c:pt idx="34">
                  <c:v>1.2159360566056279</c:v>
                </c:pt>
                <c:pt idx="35">
                  <c:v>1.2821862613424182</c:v>
                </c:pt>
                <c:pt idx="36">
                  <c:v>1.3548642185606186</c:v>
                </c:pt>
                <c:pt idx="37">
                  <c:v>1.4332544960199169</c:v>
                </c:pt>
                <c:pt idx="38">
                  <c:v>1.5164418383725882</c:v>
                </c:pt>
                <c:pt idx="39">
                  <c:v>1.6033537524158943</c:v>
                </c:pt>
                <c:pt idx="40">
                  <c:v>1.6926851639532217</c:v>
                </c:pt>
                <c:pt idx="41">
                  <c:v>1.78280079929243</c:v>
                </c:pt>
                <c:pt idx="42">
                  <c:v>1.8719343531955324</c:v>
                </c:pt>
                <c:pt idx="43">
                  <c:v>1.9579264257870084</c:v>
                </c:pt>
                <c:pt idx="44">
                  <c:v>2.0436328496085436</c:v>
                </c:pt>
                <c:pt idx="45">
                  <c:v>2.1331961869820164</c:v>
                </c:pt>
                <c:pt idx="46">
                  <c:v>2.2263058931437745</c:v>
                </c:pt>
                <c:pt idx="47">
                  <c:v>2.3228492809643924</c:v>
                </c:pt>
                <c:pt idx="48">
                  <c:v>2.4226140793396014</c:v>
                </c:pt>
                <c:pt idx="49">
                  <c:v>2.5257588364398735</c:v>
                </c:pt>
                <c:pt idx="50">
                  <c:v>2.6326019589216108</c:v>
                </c:pt>
                <c:pt idx="51">
                  <c:v>2.742782454876012</c:v>
                </c:pt>
                <c:pt idx="52">
                  <c:v>2.8560035378517381</c:v>
                </c:pt>
                <c:pt idx="53">
                  <c:v>2.9720011792839127</c:v>
                </c:pt>
                <c:pt idx="54">
                  <c:v>3.0908474465227505</c:v>
                </c:pt>
                <c:pt idx="55">
                  <c:v>3.2126687850099911</c:v>
                </c:pt>
                <c:pt idx="56">
                  <c:v>3.3373656107707932</c:v>
                </c:pt>
                <c:pt idx="57">
                  <c:v>3.4647059979690109</c:v>
                </c:pt>
                <c:pt idx="58">
                  <c:v>3.5944593310839581</c:v>
                </c:pt>
                <c:pt idx="59">
                  <c:v>3.726880466472303</c:v>
                </c:pt>
                <c:pt idx="60">
                  <c:v>3.8622340878566517</c:v>
                </c:pt>
                <c:pt idx="61">
                  <c:v>4.0002410980443548</c:v>
                </c:pt>
                <c:pt idx="62">
                  <c:v>4.1404933337701051</c:v>
                </c:pt>
                <c:pt idx="63">
                  <c:v>4.2829731057752154</c:v>
                </c:pt>
                <c:pt idx="64">
                  <c:v>4.4278913748484943</c:v>
                </c:pt>
                <c:pt idx="65">
                  <c:v>4.5753234841288046</c:v>
                </c:pt>
                <c:pt idx="66">
                  <c:v>4.7252923641366662</c:v>
                </c:pt>
                <c:pt idx="67">
                  <c:v>4.8775922953451056</c:v>
                </c:pt>
                <c:pt idx="68">
                  <c:v>5.0307413109706172</c:v>
                </c:pt>
                <c:pt idx="69">
                  <c:v>5.1840167720378689</c:v>
                </c:pt>
                <c:pt idx="70">
                  <c:v>5.3377272578373249</c:v>
                </c:pt>
                <c:pt idx="71">
                  <c:v>5.4910990270907725</c:v>
                </c:pt>
                <c:pt idx="72">
                  <c:v>5.6439145674321098</c:v>
                </c:pt>
                <c:pt idx="73">
                  <c:v>5.7958607134667668</c:v>
                </c:pt>
                <c:pt idx="74">
                  <c:v>5.9467094703049765</c:v>
                </c:pt>
                <c:pt idx="75">
                  <c:v>6.097612605234711</c:v>
                </c:pt>
                <c:pt idx="76">
                  <c:v>6.2462449634749575</c:v>
                </c:pt>
                <c:pt idx="77">
                  <c:v>6.3901798407966721</c:v>
                </c:pt>
                <c:pt idx="78">
                  <c:v>6.5301064631309993</c:v>
                </c:pt>
                <c:pt idx="79">
                  <c:v>6.66678153765519</c:v>
                </c:pt>
                <c:pt idx="80">
                  <c:v>6.8006610541487875</c:v>
                </c:pt>
                <c:pt idx="81">
                  <c:v>6.9320739017918562</c:v>
                </c:pt>
                <c:pt idx="82">
                  <c:v>7.0610567694172381</c:v>
                </c:pt>
                <c:pt idx="83">
                  <c:v>7.1875775542961975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6BA-421E-A29E-B297653E276E}"/>
            </c:ext>
          </c:extLst>
        </c:ser>
        <c:ser>
          <c:idx val="21"/>
          <c:order val="21"/>
          <c:tx>
            <c:strRef>
              <c:f>'вместе-отн'!$W$1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'вместе-отн'!$W$2:$W$85</c:f>
              <c:numCache>
                <c:formatCode>0.00</c:formatCode>
                <c:ptCount val="84"/>
                <c:pt idx="0">
                  <c:v>0</c:v>
                </c:pt>
                <c:pt idx="1">
                  <c:v>-1.0186813186813137E-2</c:v>
                </c:pt>
                <c:pt idx="2">
                  <c:v>-2.0274725274725292E-2</c:v>
                </c:pt>
                <c:pt idx="3">
                  <c:v>-3.0252747252747292E-2</c:v>
                </c:pt>
                <c:pt idx="4">
                  <c:v>-3.2054945054945105E-2</c:v>
                </c:pt>
                <c:pt idx="5">
                  <c:v>-3.3857142857142808E-2</c:v>
                </c:pt>
                <c:pt idx="6">
                  <c:v>-3.5659340659340621E-2</c:v>
                </c:pt>
                <c:pt idx="7">
                  <c:v>-1.7747252747252751E-2</c:v>
                </c:pt>
                <c:pt idx="8">
                  <c:v>4.8351648351641074E-4</c:v>
                </c:pt>
                <c:pt idx="9">
                  <c:v>1.9065934065934043E-2</c:v>
                </c:pt>
                <c:pt idx="10">
                  <c:v>2.8615384615384709E-2</c:v>
                </c:pt>
                <c:pt idx="11">
                  <c:v>5.040659340659337E-2</c:v>
                </c:pt>
                <c:pt idx="12">
                  <c:v>7.3857142857142843E-2</c:v>
                </c:pt>
                <c:pt idx="13">
                  <c:v>9.4131868131868135E-2</c:v>
                </c:pt>
                <c:pt idx="14">
                  <c:v>0.11287912087912089</c:v>
                </c:pt>
                <c:pt idx="15">
                  <c:v>0.12774725274725274</c:v>
                </c:pt>
                <c:pt idx="16">
                  <c:v>0.13898901098901106</c:v>
                </c:pt>
                <c:pt idx="17">
                  <c:v>0.11827472527472538</c:v>
                </c:pt>
                <c:pt idx="18">
                  <c:v>0.12175824175824168</c:v>
                </c:pt>
                <c:pt idx="19">
                  <c:v>0.13503296703296708</c:v>
                </c:pt>
                <c:pt idx="20">
                  <c:v>0.14857142857142858</c:v>
                </c:pt>
                <c:pt idx="21">
                  <c:v>0.16697802197802192</c:v>
                </c:pt>
                <c:pt idx="22">
                  <c:v>0.18563736263736264</c:v>
                </c:pt>
                <c:pt idx="23">
                  <c:v>0.20525274725274723</c:v>
                </c:pt>
                <c:pt idx="24">
                  <c:v>0.21964835164835161</c:v>
                </c:pt>
                <c:pt idx="25">
                  <c:v>0.18856043956043966</c:v>
                </c:pt>
                <c:pt idx="26">
                  <c:v>0.15827472527472519</c:v>
                </c:pt>
                <c:pt idx="27">
                  <c:v>0.1287582417582418</c:v>
                </c:pt>
                <c:pt idx="28">
                  <c:v>9.9989010989010918E-2</c:v>
                </c:pt>
                <c:pt idx="29">
                  <c:v>7.1956043956044047E-2</c:v>
                </c:pt>
                <c:pt idx="30">
                  <c:v>8.2516483516483552E-2</c:v>
                </c:pt>
                <c:pt idx="31">
                  <c:v>8.9659340659340669E-2</c:v>
                </c:pt>
                <c:pt idx="32">
                  <c:v>0.10167032967032963</c:v>
                </c:pt>
                <c:pt idx="33">
                  <c:v>0.12161538461538468</c:v>
                </c:pt>
                <c:pt idx="34">
                  <c:v>0.13845054945054946</c:v>
                </c:pt>
                <c:pt idx="35">
                  <c:v>0.15690109890109882</c:v>
                </c:pt>
                <c:pt idx="36">
                  <c:v>0.17636263736263746</c:v>
                </c:pt>
                <c:pt idx="37">
                  <c:v>0.19348351648351647</c:v>
                </c:pt>
                <c:pt idx="38">
                  <c:v>0.21624175824175818</c:v>
                </c:pt>
                <c:pt idx="39">
                  <c:v>0.23587912087912088</c:v>
                </c:pt>
                <c:pt idx="40">
                  <c:v>0.25482417582417582</c:v>
                </c:pt>
                <c:pt idx="41">
                  <c:v>0.27341758241758241</c:v>
                </c:pt>
                <c:pt idx="42">
                  <c:v>0.29248351648351645</c:v>
                </c:pt>
                <c:pt idx="43">
                  <c:v>0.30819780219780224</c:v>
                </c:pt>
                <c:pt idx="44">
                  <c:v>0.32709890109890116</c:v>
                </c:pt>
                <c:pt idx="45">
                  <c:v>0.34513186813186802</c:v>
                </c:pt>
                <c:pt idx="46">
                  <c:v>0.36096703296703292</c:v>
                </c:pt>
                <c:pt idx="47">
                  <c:v>0.37559340659340656</c:v>
                </c:pt>
                <c:pt idx="48">
                  <c:v>0.38801098901098907</c:v>
                </c:pt>
                <c:pt idx="49">
                  <c:v>0.39768131868131862</c:v>
                </c:pt>
                <c:pt idx="50">
                  <c:v>0.40687912087912093</c:v>
                </c:pt>
                <c:pt idx="51">
                  <c:v>0.41424175824175835</c:v>
                </c:pt>
                <c:pt idx="52">
                  <c:v>0.42174725274725278</c:v>
                </c:pt>
                <c:pt idx="53">
                  <c:v>0.42943956043956044</c:v>
                </c:pt>
                <c:pt idx="54">
                  <c:v>0.43630769230769229</c:v>
                </c:pt>
                <c:pt idx="55">
                  <c:v>0.44445054945054951</c:v>
                </c:pt>
                <c:pt idx="56">
                  <c:v>0.45285714285714285</c:v>
                </c:pt>
                <c:pt idx="57">
                  <c:v>0.46089010989010992</c:v>
                </c:pt>
                <c:pt idx="58">
                  <c:v>0.47005494505494516</c:v>
                </c:pt>
                <c:pt idx="59">
                  <c:v>0.48010989010989014</c:v>
                </c:pt>
                <c:pt idx="60">
                  <c:v>0.4906043956043955</c:v>
                </c:pt>
                <c:pt idx="61">
                  <c:v>0.50105494505494508</c:v>
                </c:pt>
                <c:pt idx="62">
                  <c:v>0.51154945054945045</c:v>
                </c:pt>
                <c:pt idx="63">
                  <c:v>0.51968131868131873</c:v>
                </c:pt>
                <c:pt idx="64">
                  <c:v>0.52778021978021972</c:v>
                </c:pt>
                <c:pt idx="65">
                  <c:v>0.53643956043956043</c:v>
                </c:pt>
                <c:pt idx="66">
                  <c:v>0.54687912087912083</c:v>
                </c:pt>
                <c:pt idx="67">
                  <c:v>0.55870329670329677</c:v>
                </c:pt>
                <c:pt idx="68">
                  <c:v>0.56948351648351658</c:v>
                </c:pt>
                <c:pt idx="69">
                  <c:v>0.58060439560439558</c:v>
                </c:pt>
                <c:pt idx="70">
                  <c:v>0.59467032967032973</c:v>
                </c:pt>
                <c:pt idx="71">
                  <c:v>0.60816483516483522</c:v>
                </c:pt>
                <c:pt idx="72">
                  <c:v>0.61562527472527462</c:v>
                </c:pt>
                <c:pt idx="73">
                  <c:v>0.62269340659340666</c:v>
                </c:pt>
                <c:pt idx="74">
                  <c:v>0.62938131868131886</c:v>
                </c:pt>
                <c:pt idx="75">
                  <c:v>0.63202967032967039</c:v>
                </c:pt>
                <c:pt idx="76">
                  <c:v>0.63254615384615387</c:v>
                </c:pt>
                <c:pt idx="77">
                  <c:v>0.63028461538461533</c:v>
                </c:pt>
                <c:pt idx="78">
                  <c:v>0.63142747252747244</c:v>
                </c:pt>
                <c:pt idx="79">
                  <c:v>0.62957802197802204</c:v>
                </c:pt>
                <c:pt idx="80">
                  <c:v>0.62668791208791208</c:v>
                </c:pt>
                <c:pt idx="81">
                  <c:v>0.62419890109890108</c:v>
                </c:pt>
                <c:pt idx="82">
                  <c:v>0.62131208791208792</c:v>
                </c:pt>
                <c:pt idx="83">
                  <c:v>0.61417692307692318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66BA-421E-A29E-B297653E2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389816"/>
        <c:axId val="782387192"/>
        <c:extLst>
          <c:ext xmlns:c15="http://schemas.microsoft.com/office/drawing/2012/chart" uri="{02D57815-91ED-43cb-92C2-25804820EDAC}">
            <c15:filteredScatterSeries>
              <c15:ser>
                <c:idx val="16"/>
                <c:order val="16"/>
                <c:tx>
                  <c:strRef>
                    <c:extLst>
                      <c:ext uri="{02D57815-91ED-43cb-92C2-25804820EDAC}">
                        <c15:formulaRef>
                          <c15:sqref>'вместе-отн'!$R$1</c15:sqref>
                        </c15:formulaRef>
                      </c:ext>
                    </c:extLst>
                    <c:strCache>
                      <c:ptCount val="1"/>
                      <c:pt idx="0">
                        <c:v>Пуэрто-Рико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'вместе-отн'!$A$2:$A$85</c15:sqref>
                        </c15:formulaRef>
                      </c:ext>
                    </c:extLst>
                    <c:numCache>
                      <c:formatCode>0</c:formatCode>
                      <c:ptCount val="84"/>
                      <c:pt idx="0">
                        <c:v>1917</c:v>
                      </c:pt>
                      <c:pt idx="1">
                        <c:v>1918</c:v>
                      </c:pt>
                      <c:pt idx="2">
                        <c:v>1919</c:v>
                      </c:pt>
                      <c:pt idx="3">
                        <c:v>1920</c:v>
                      </c:pt>
                      <c:pt idx="4">
                        <c:v>1921</c:v>
                      </c:pt>
                      <c:pt idx="5">
                        <c:v>1922</c:v>
                      </c:pt>
                      <c:pt idx="6">
                        <c:v>1923</c:v>
                      </c:pt>
                      <c:pt idx="7">
                        <c:v>1924</c:v>
                      </c:pt>
                      <c:pt idx="8">
                        <c:v>1925</c:v>
                      </c:pt>
                      <c:pt idx="9">
                        <c:v>1926</c:v>
                      </c:pt>
                      <c:pt idx="10">
                        <c:v>1927</c:v>
                      </c:pt>
                      <c:pt idx="11">
                        <c:v>1928</c:v>
                      </c:pt>
                      <c:pt idx="12">
                        <c:v>1929</c:v>
                      </c:pt>
                      <c:pt idx="13">
                        <c:v>1930</c:v>
                      </c:pt>
                      <c:pt idx="14">
                        <c:v>1931</c:v>
                      </c:pt>
                      <c:pt idx="15">
                        <c:v>1932</c:v>
                      </c:pt>
                      <c:pt idx="16">
                        <c:v>1933</c:v>
                      </c:pt>
                      <c:pt idx="17">
                        <c:v>1934</c:v>
                      </c:pt>
                      <c:pt idx="18">
                        <c:v>1935</c:v>
                      </c:pt>
                      <c:pt idx="19">
                        <c:v>1936</c:v>
                      </c:pt>
                      <c:pt idx="20">
                        <c:v>1937</c:v>
                      </c:pt>
                      <c:pt idx="21">
                        <c:v>1938</c:v>
                      </c:pt>
                      <c:pt idx="22">
                        <c:v>1939</c:v>
                      </c:pt>
                      <c:pt idx="23">
                        <c:v>1940</c:v>
                      </c:pt>
                      <c:pt idx="24">
                        <c:v>1941</c:v>
                      </c:pt>
                      <c:pt idx="25">
                        <c:v>1942</c:v>
                      </c:pt>
                      <c:pt idx="26">
                        <c:v>1943</c:v>
                      </c:pt>
                      <c:pt idx="27">
                        <c:v>1944</c:v>
                      </c:pt>
                      <c:pt idx="28">
                        <c:v>1945</c:v>
                      </c:pt>
                      <c:pt idx="29">
                        <c:v>1946</c:v>
                      </c:pt>
                      <c:pt idx="30">
                        <c:v>1947</c:v>
                      </c:pt>
                      <c:pt idx="31">
                        <c:v>1948</c:v>
                      </c:pt>
                      <c:pt idx="32">
                        <c:v>1949</c:v>
                      </c:pt>
                      <c:pt idx="33">
                        <c:v>1950</c:v>
                      </c:pt>
                      <c:pt idx="34">
                        <c:v>1951</c:v>
                      </c:pt>
                      <c:pt idx="35">
                        <c:v>1952</c:v>
                      </c:pt>
                      <c:pt idx="36">
                        <c:v>1953</c:v>
                      </c:pt>
                      <c:pt idx="37">
                        <c:v>1954</c:v>
                      </c:pt>
                      <c:pt idx="38">
                        <c:v>1955</c:v>
                      </c:pt>
                      <c:pt idx="39">
                        <c:v>1956</c:v>
                      </c:pt>
                      <c:pt idx="40">
                        <c:v>1957</c:v>
                      </c:pt>
                      <c:pt idx="41">
                        <c:v>1958</c:v>
                      </c:pt>
                      <c:pt idx="42">
                        <c:v>1959</c:v>
                      </c:pt>
                      <c:pt idx="43">
                        <c:v>1960</c:v>
                      </c:pt>
                      <c:pt idx="44">
                        <c:v>1961</c:v>
                      </c:pt>
                      <c:pt idx="45">
                        <c:v>1962</c:v>
                      </c:pt>
                      <c:pt idx="46">
                        <c:v>1963</c:v>
                      </c:pt>
                      <c:pt idx="47">
                        <c:v>1964</c:v>
                      </c:pt>
                      <c:pt idx="48">
                        <c:v>1965</c:v>
                      </c:pt>
                      <c:pt idx="49">
                        <c:v>1966</c:v>
                      </c:pt>
                      <c:pt idx="50">
                        <c:v>1967</c:v>
                      </c:pt>
                      <c:pt idx="51">
                        <c:v>1968</c:v>
                      </c:pt>
                      <c:pt idx="52">
                        <c:v>1969</c:v>
                      </c:pt>
                      <c:pt idx="53">
                        <c:v>1970</c:v>
                      </c:pt>
                      <c:pt idx="54">
                        <c:v>1971</c:v>
                      </c:pt>
                      <c:pt idx="55">
                        <c:v>1972</c:v>
                      </c:pt>
                      <c:pt idx="56">
                        <c:v>1973</c:v>
                      </c:pt>
                      <c:pt idx="57">
                        <c:v>1974</c:v>
                      </c:pt>
                      <c:pt idx="58">
                        <c:v>1975</c:v>
                      </c:pt>
                      <c:pt idx="59">
                        <c:v>1976</c:v>
                      </c:pt>
                      <c:pt idx="60">
                        <c:v>1977</c:v>
                      </c:pt>
                      <c:pt idx="61">
                        <c:v>1978</c:v>
                      </c:pt>
                      <c:pt idx="62">
                        <c:v>1979</c:v>
                      </c:pt>
                      <c:pt idx="63">
                        <c:v>1980</c:v>
                      </c:pt>
                      <c:pt idx="64">
                        <c:v>1981</c:v>
                      </c:pt>
                      <c:pt idx="65">
                        <c:v>1982</c:v>
                      </c:pt>
                      <c:pt idx="66">
                        <c:v>1983</c:v>
                      </c:pt>
                      <c:pt idx="67">
                        <c:v>1984</c:v>
                      </c:pt>
                      <c:pt idx="68">
                        <c:v>1985</c:v>
                      </c:pt>
                      <c:pt idx="69">
                        <c:v>1986</c:v>
                      </c:pt>
                      <c:pt idx="70">
                        <c:v>1987</c:v>
                      </c:pt>
                      <c:pt idx="71">
                        <c:v>1988</c:v>
                      </c:pt>
                      <c:pt idx="72">
                        <c:v>1989</c:v>
                      </c:pt>
                      <c:pt idx="73">
                        <c:v>1990</c:v>
                      </c:pt>
                      <c:pt idx="74">
                        <c:v>1991</c:v>
                      </c:pt>
                      <c:pt idx="75">
                        <c:v>1992</c:v>
                      </c:pt>
                      <c:pt idx="76">
                        <c:v>1993</c:v>
                      </c:pt>
                      <c:pt idx="77">
                        <c:v>1994</c:v>
                      </c:pt>
                      <c:pt idx="78">
                        <c:v>1995</c:v>
                      </c:pt>
                      <c:pt idx="79">
                        <c:v>1996</c:v>
                      </c:pt>
                      <c:pt idx="80">
                        <c:v>1997</c:v>
                      </c:pt>
                      <c:pt idx="81">
                        <c:v>1998</c:v>
                      </c:pt>
                      <c:pt idx="82">
                        <c:v>1999</c:v>
                      </c:pt>
                      <c:pt idx="83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'вместе-отн'!$R$2:$R$85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0</c:v>
                      </c:pt>
                      <c:pt idx="1">
                        <c:v>1.5491600720802134E-2</c:v>
                      </c:pt>
                      <c:pt idx="2">
                        <c:v>3.1473411353035718E-2</c:v>
                      </c:pt>
                      <c:pt idx="3">
                        <c:v>4.7992195342199562E-2</c:v>
                      </c:pt>
                      <c:pt idx="4">
                        <c:v>6.5088266003378026E-2</c:v>
                      </c:pt>
                      <c:pt idx="5">
                        <c:v>8.2770492265890505E-2</c:v>
                      </c:pt>
                      <c:pt idx="6">
                        <c:v>0.10103484279822772</c:v>
                      </c:pt>
                      <c:pt idx="7">
                        <c:v>0.11987567373627828</c:v>
                      </c:pt>
                      <c:pt idx="8">
                        <c:v>0.13928976001483528</c:v>
                      </c:pt>
                      <c:pt idx="9">
                        <c:v>0.15927226403608841</c:v>
                      </c:pt>
                      <c:pt idx="10">
                        <c:v>0.1798199607348312</c:v>
                      </c:pt>
                      <c:pt idx="11">
                        <c:v>0.20092720624695115</c:v>
                      </c:pt>
                      <c:pt idx="12">
                        <c:v>0.22258996924094032</c:v>
                      </c:pt>
                      <c:pt idx="13">
                        <c:v>0.24480502465159204</c:v>
                      </c:pt>
                      <c:pt idx="14">
                        <c:v>0.26792309832014416</c:v>
                      </c:pt>
                      <c:pt idx="15">
                        <c:v>0.29218607013710551</c:v>
                      </c:pt>
                      <c:pt idx="16">
                        <c:v>0.31742381791281837</c:v>
                      </c:pt>
                      <c:pt idx="17">
                        <c:v>0.34346702572392629</c:v>
                      </c:pt>
                      <c:pt idx="18">
                        <c:v>0.37014476511446959</c:v>
                      </c:pt>
                      <c:pt idx="19">
                        <c:v>0.39728852642739376</c:v>
                      </c:pt>
                      <c:pt idx="20">
                        <c:v>0.4247273812067387</c:v>
                      </c:pt>
                      <c:pt idx="21">
                        <c:v>0.45229201352914861</c:v>
                      </c:pt>
                      <c:pt idx="22">
                        <c:v>0.47981149493866315</c:v>
                      </c:pt>
                      <c:pt idx="23">
                        <c:v>0.50711731577822827</c:v>
                      </c:pt>
                      <c:pt idx="24">
                        <c:v>0.53619047235111283</c:v>
                      </c:pt>
                      <c:pt idx="25">
                        <c:v>0.56831212181071278</c:v>
                      </c:pt>
                      <c:pt idx="26">
                        <c:v>0.6022583519110527</c:v>
                      </c:pt>
                      <c:pt idx="27">
                        <c:v>0.63680766920506149</c:v>
                      </c:pt>
                      <c:pt idx="28">
                        <c:v>0.6707369677130659</c:v>
                      </c:pt>
                      <c:pt idx="29">
                        <c:v>0.70282394772169288</c:v>
                      </c:pt>
                      <c:pt idx="30">
                        <c:v>0.73184630951757068</c:v>
                      </c:pt>
                      <c:pt idx="31">
                        <c:v>0.75658094712102453</c:v>
                      </c:pt>
                      <c:pt idx="32">
                        <c:v>0.77580636708498418</c:v>
                      </c:pt>
                      <c:pt idx="33">
                        <c:v>0.78829865716347447</c:v>
                      </c:pt>
                      <c:pt idx="34">
                        <c:v>0.79528334213507379</c:v>
                      </c:pt>
                      <c:pt idx="35">
                        <c:v>0.79982100888102337</c:v>
                      </c:pt>
                      <c:pt idx="36">
                        <c:v>0.80344678843975359</c:v>
                      </c:pt>
                      <c:pt idx="37">
                        <c:v>0.80769339305079058</c:v>
                      </c:pt>
                      <c:pt idx="38">
                        <c:v>0.81409514748626299</c:v>
                      </c:pt>
                      <c:pt idx="39">
                        <c:v>0.82461853525600959</c:v>
                      </c:pt>
                      <c:pt idx="40">
                        <c:v>0.8396175072664751</c:v>
                      </c:pt>
                      <c:pt idx="41">
                        <c:v>0.8582083956509996</c:v>
                      </c:pt>
                      <c:pt idx="42">
                        <c:v>0.87950511374401819</c:v>
                      </c:pt>
                      <c:pt idx="43">
                        <c:v>0.90262479994517375</c:v>
                      </c:pt>
                      <c:pt idx="44">
                        <c:v>0.93222525467936812</c:v>
                      </c:pt>
                      <c:pt idx="45">
                        <c:v>0.97014234631556451</c:v>
                      </c:pt>
                      <c:pt idx="46">
                        <c:v>1.0112554775716873</c:v>
                      </c:pt>
                      <c:pt idx="47">
                        <c:v>1.0504440511656594</c:v>
                      </c:pt>
                      <c:pt idx="48">
                        <c:v>1.0825882760817072</c:v>
                      </c:pt>
                      <c:pt idx="49">
                        <c:v>1.1066899946383293</c:v>
                      </c:pt>
                      <c:pt idx="50">
                        <c:v>1.1268934156262471</c:v>
                      </c:pt>
                      <c:pt idx="51">
                        <c:v>1.1457931040043214</c:v>
                      </c:pt>
                      <c:pt idx="52">
                        <c:v>1.1659844309977143</c:v>
                      </c:pt>
                      <c:pt idx="53">
                        <c:v>1.1900603490326818</c:v>
                      </c:pt>
                      <c:pt idx="54">
                        <c:v>1.2197615870545881</c:v>
                      </c:pt>
                      <c:pt idx="55">
                        <c:v>1.2540786996537081</c:v>
                      </c:pt>
                      <c:pt idx="56">
                        <c:v>1.2914846184546294</c:v>
                      </c:pt>
                      <c:pt idx="57">
                        <c:v>1.3304530813482383</c:v>
                      </c:pt>
                      <c:pt idx="58">
                        <c:v>1.3694554074265191</c:v>
                      </c:pt>
                      <c:pt idx="59">
                        <c:v>1.4102153940424982</c:v>
                      </c:pt>
                      <c:pt idx="60">
                        <c:v>1.4538335946979926</c:v>
                      </c:pt>
                      <c:pt idx="61">
                        <c:v>1.4978508971728273</c:v>
                      </c:pt>
                      <c:pt idx="62">
                        <c:v>1.5398089955131278</c:v>
                      </c:pt>
                      <c:pt idx="63">
                        <c:v>1.5772463586998149</c:v>
                      </c:pt>
                      <c:pt idx="64">
                        <c:v>1.6102299068359289</c:v>
                      </c:pt>
                      <c:pt idx="65">
                        <c:v>1.6408228753875118</c:v>
                      </c:pt>
                      <c:pt idx="66">
                        <c:v>1.6695670753093035</c:v>
                      </c:pt>
                      <c:pt idx="67">
                        <c:v>1.6970027050234422</c:v>
                      </c:pt>
                      <c:pt idx="68">
                        <c:v>1.7236683504194596</c:v>
                      </c:pt>
                      <c:pt idx="69">
                        <c:v>1.7492165107213258</c:v>
                      </c:pt>
                      <c:pt idx="70">
                        <c:v>1.7733859556472908</c:v>
                      </c:pt>
                      <c:pt idx="71">
                        <c:v>1.7968491112929685</c:v>
                      </c:pt>
                      <c:pt idx="72">
                        <c:v>1.8202767912213722</c:v>
                      </c:pt>
                      <c:pt idx="73">
                        <c:v>1.8443430340607194</c:v>
                      </c:pt>
                      <c:pt idx="74">
                        <c:v>1.8694558105596699</c:v>
                      </c:pt>
                      <c:pt idx="75">
                        <c:v>1.8951700617196852</c:v>
                      </c:pt>
                      <c:pt idx="76">
                        <c:v>1.9208794752818905</c:v>
                      </c:pt>
                      <c:pt idx="77">
                        <c:v>1.9459753201885048</c:v>
                      </c:pt>
                      <c:pt idx="78">
                        <c:v>1.9698512841806517</c:v>
                      </c:pt>
                      <c:pt idx="79">
                        <c:v>1.9927702100726847</c:v>
                      </c:pt>
                      <c:pt idx="80">
                        <c:v>2.0151997323195876</c:v>
                      </c:pt>
                      <c:pt idx="81">
                        <c:v>2.0368342759930176</c:v>
                      </c:pt>
                      <c:pt idx="82">
                        <c:v>2.057369878697235</c:v>
                      </c:pt>
                      <c:pt idx="83">
                        <c:v>2.0765017717701979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10-66BA-421E-A29E-B297653E276E}"/>
                  </c:ext>
                </c:extLst>
              </c15:ser>
            </c15:filteredScatterSeries>
          </c:ext>
        </c:extLst>
      </c:scatterChart>
      <c:valAx>
        <c:axId val="782389816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2387192"/>
        <c:crosses val="autoZero"/>
        <c:crossBetween val="midCat"/>
      </c:valAx>
      <c:valAx>
        <c:axId val="782387192"/>
        <c:scaling>
          <c:orientation val="minMax"/>
          <c:max val="10"/>
          <c:min val="-1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2389816"/>
        <c:crosses val="max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165</xdr:row>
      <xdr:rowOff>180974</xdr:rowOff>
    </xdr:from>
    <xdr:to>
      <xdr:col>30</xdr:col>
      <xdr:colOff>0</xdr:colOff>
      <xdr:row>225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94A377-01EA-44DB-923B-2D72107F3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4762</xdr:colOff>
      <xdr:row>107</xdr:row>
      <xdr:rowOff>185736</xdr:rowOff>
    </xdr:from>
    <xdr:to>
      <xdr:col>30</xdr:col>
      <xdr:colOff>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08B135-A690-4C47-970D-6229F4917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0.11063</cdr:x>
      <cdr:y>0.07179</cdr:y>
    </cdr:from>
    <cdr:to>
      <cdr:x>0.56503</cdr:x>
      <cdr:y>0.18614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57B6B43-2DB4-41F1-8B6E-1858F8AC778D}"/>
            </a:ext>
          </a:extLst>
        </cdr:cNvPr>
        <cdr:cNvSpPr txBox="1"/>
      </cdr:nvSpPr>
      <cdr:spPr>
        <a:xfrm xmlns:a="http://schemas.openxmlformats.org/drawingml/2006/main">
          <a:off x="1952623" y="819150"/>
          <a:ext cx="8020051" cy="1304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3600" b="1"/>
            <a:t>Прирост численности населения стран</a:t>
          </a:r>
        </a:p>
        <a:p xmlns:a="http://schemas.openxmlformats.org/drawingml/2006/main">
          <a:r>
            <a:rPr lang="ru-RU" sz="3600" b="1"/>
            <a:t>сравнительно с 1917 годом (разы)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0.06236</cdr:x>
      <cdr:y>0.0577</cdr:y>
    </cdr:from>
    <cdr:to>
      <cdr:x>0.54696</cdr:x>
      <cdr:y>0.31304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268D55E-16F6-45E5-AE5B-6BAB91CFD801}"/>
            </a:ext>
          </a:extLst>
        </cdr:cNvPr>
        <cdr:cNvSpPr txBox="1"/>
      </cdr:nvSpPr>
      <cdr:spPr>
        <a:xfrm xmlns:a="http://schemas.openxmlformats.org/drawingml/2006/main">
          <a:off x="1166813" y="604838"/>
          <a:ext cx="9067800" cy="2676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0.06134</cdr:x>
      <cdr:y>0.05498</cdr:y>
    </cdr:from>
    <cdr:to>
      <cdr:x>0.43395</cdr:x>
      <cdr:y>0.29214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124FAD8-BD93-4EDB-9210-6A75AC948357}"/>
            </a:ext>
          </a:extLst>
        </cdr:cNvPr>
        <cdr:cNvSpPr txBox="1"/>
      </cdr:nvSpPr>
      <cdr:spPr>
        <a:xfrm xmlns:a="http://schemas.openxmlformats.org/drawingml/2006/main">
          <a:off x="1147763" y="576263"/>
          <a:ext cx="6972300" cy="24860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0.05828</cdr:x>
      <cdr:y>0.04316</cdr:y>
    </cdr:from>
    <cdr:to>
      <cdr:x>0.51285</cdr:x>
      <cdr:y>0.18855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FCF327FC-A6A0-48DC-A189-FF5ED33E8FE1}"/>
            </a:ext>
          </a:extLst>
        </cdr:cNvPr>
        <cdr:cNvSpPr txBox="1"/>
      </cdr:nvSpPr>
      <cdr:spPr>
        <a:xfrm xmlns:a="http://schemas.openxmlformats.org/drawingml/2006/main">
          <a:off x="1090613" y="452439"/>
          <a:ext cx="8505825" cy="1524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ru-RU" sz="3600" b="1">
              <a:effectLst/>
              <a:latin typeface="+mn-lt"/>
              <a:ea typeface="+mn-ea"/>
              <a:cs typeface="+mn-cs"/>
            </a:rPr>
            <a:t>Прирост численности населения стран</a:t>
          </a:r>
          <a:endParaRPr lang="ru-RU" sz="3600">
            <a:effectLst/>
          </a:endParaRPr>
        </a:p>
        <a:p xmlns:a="http://schemas.openxmlformats.org/drawingml/2006/main">
          <a:r>
            <a:rPr lang="ru-RU" sz="3600" b="1">
              <a:effectLst/>
              <a:latin typeface="+mn-lt"/>
              <a:ea typeface="+mn-ea"/>
              <a:cs typeface="+mn-cs"/>
            </a:rPr>
            <a:t>сравнительно с 1917 годом</a:t>
          </a:r>
          <a:r>
            <a:rPr lang="en-US" sz="3600" b="1">
              <a:effectLst/>
              <a:latin typeface="+mn-lt"/>
              <a:ea typeface="+mn-ea"/>
              <a:cs typeface="+mn-cs"/>
            </a:rPr>
            <a:t> (</a:t>
          </a:r>
          <a:r>
            <a:rPr lang="ru-RU" sz="3600" b="1">
              <a:effectLst/>
              <a:latin typeface="+mn-lt"/>
              <a:ea typeface="+mn-ea"/>
              <a:cs typeface="+mn-cs"/>
            </a:rPr>
            <a:t>разы)</a:t>
          </a:r>
          <a:endParaRPr lang="ru-RU" sz="36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107</xdr:row>
      <xdr:rowOff>185736</xdr:rowOff>
    </xdr:from>
    <xdr:to>
      <xdr:col>29</xdr:col>
      <xdr:colOff>0</xdr:colOff>
      <xdr:row>169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508CEB-352D-4ABE-8BF0-B0199406F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319086</xdr:colOff>
      <xdr:row>171</xdr:row>
      <xdr:rowOff>4761</xdr:rowOff>
    </xdr:from>
    <xdr:to>
      <xdr:col>28</xdr:col>
      <xdr:colOff>590549</xdr:colOff>
      <xdr:row>232</xdr:row>
      <xdr:rowOff>28574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C01287-BF7B-4D73-8295-2C14016AE5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3</xdr:col>
      <xdr:colOff>57150</xdr:colOff>
      <xdr:row>112</xdr:row>
      <xdr:rowOff>133350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6EC5CF6-324B-4BE0-8BC8-9E1B0281637A}"/>
            </a:ext>
          </a:extLst>
        </xdr:cNvPr>
        <xdr:cNvSpPr txBox="1"/>
      </xdr:nvSpPr>
      <xdr:spPr>
        <a:xfrm>
          <a:off x="1676400" y="22040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0.08127</cdr:x>
      <cdr:y>0.07025</cdr:y>
    </cdr:from>
    <cdr:to>
      <cdr:x>0.58711</cdr:x>
      <cdr:y>0.19681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45E1735-BCA8-451B-AA1C-C5237ACD9BB6}"/>
            </a:ext>
          </a:extLst>
        </cdr:cNvPr>
        <cdr:cNvSpPr txBox="1"/>
      </cdr:nvSpPr>
      <cdr:spPr>
        <a:xfrm xmlns:a="http://schemas.openxmlformats.org/drawingml/2006/main">
          <a:off x="1357314" y="671515"/>
          <a:ext cx="8448674" cy="12096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>
            <a:lnSpc>
              <a:spcPct val="90000"/>
            </a:lnSpc>
          </a:pPr>
          <a:r>
            <a:rPr lang="ru-RU" sz="3600" b="1"/>
            <a:t>Прирост численности населения стран</a:t>
          </a:r>
        </a:p>
        <a:p xmlns:a="http://schemas.openxmlformats.org/drawingml/2006/main">
          <a:pPr>
            <a:lnSpc>
              <a:spcPct val="90000"/>
            </a:lnSpc>
          </a:pPr>
          <a:r>
            <a:rPr lang="ru-RU" sz="3600" b="1"/>
            <a:t>сравнительно с 1917 годом (разы)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0.08692</cdr:x>
      <cdr:y>0.09455</cdr:y>
    </cdr:from>
    <cdr:to>
      <cdr:x>0.57823</cdr:x>
      <cdr:y>0.22361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0B57E8C-9A22-49BE-8638-A88C795F9C5C}"/>
            </a:ext>
          </a:extLst>
        </cdr:cNvPr>
        <cdr:cNvSpPr txBox="1"/>
      </cdr:nvSpPr>
      <cdr:spPr>
        <a:xfrm xmlns:a="http://schemas.openxmlformats.org/drawingml/2006/main">
          <a:off x="1452564" y="900113"/>
          <a:ext cx="8210550" cy="1228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>
            <a:lnSpc>
              <a:spcPct val="90000"/>
            </a:lnSpc>
          </a:pPr>
          <a:r>
            <a:rPr lang="ru-RU" sz="3600" b="1"/>
            <a:t>Прирост численности населения стран</a:t>
          </a:r>
          <a:br>
            <a:rPr lang="ru-RU" sz="3600" b="1"/>
          </a:br>
          <a:r>
            <a:rPr lang="ru-RU" sz="3600" b="1"/>
            <a:t>сравнительно с 1917 годом (разы)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C54"/>
  <sheetViews>
    <sheetView workbookViewId="0">
      <selection activeCell="S40" sqref="S40"/>
    </sheetView>
  </sheetViews>
  <sheetFormatPr defaultRowHeight="15" x14ac:dyDescent="0.25"/>
  <sheetData>
    <row r="1" spans="1:3" x14ac:dyDescent="0.25">
      <c r="A1" s="11" t="s">
        <v>31</v>
      </c>
    </row>
    <row r="2" spans="1:3" x14ac:dyDescent="0.25">
      <c r="A2" s="11"/>
    </row>
    <row r="3" spans="1:3" x14ac:dyDescent="0.25">
      <c r="A3" s="11"/>
      <c r="B3" t="s">
        <v>55</v>
      </c>
    </row>
    <row r="4" spans="1:3" x14ac:dyDescent="0.25">
      <c r="A4" s="11"/>
    </row>
    <row r="5" spans="1:3" x14ac:dyDescent="0.25">
      <c r="C5" t="s">
        <v>54</v>
      </c>
    </row>
    <row r="7" spans="1:3" x14ac:dyDescent="0.25">
      <c r="C7" s="1" t="s">
        <v>49</v>
      </c>
    </row>
    <row r="8" spans="1:3" x14ac:dyDescent="0.25">
      <c r="C8" s="1" t="s">
        <v>0</v>
      </c>
    </row>
    <row r="9" spans="1:3" x14ac:dyDescent="0.25">
      <c r="C9" t="s">
        <v>26</v>
      </c>
    </row>
    <row r="10" spans="1:3" x14ac:dyDescent="0.25">
      <c r="C10" t="s">
        <v>23</v>
      </c>
    </row>
    <row r="12" spans="1:3" x14ac:dyDescent="0.25">
      <c r="C12" t="s">
        <v>24</v>
      </c>
    </row>
    <row r="14" spans="1:3" x14ac:dyDescent="0.25">
      <c r="C14" t="s">
        <v>25</v>
      </c>
    </row>
    <row r="16" spans="1:3" x14ac:dyDescent="0.25">
      <c r="C16" t="s">
        <v>22</v>
      </c>
    </row>
    <row r="18" spans="1:3" x14ac:dyDescent="0.25">
      <c r="C18" t="s">
        <v>27</v>
      </c>
    </row>
    <row r="19" spans="1:3" x14ac:dyDescent="0.25">
      <c r="C19" t="s">
        <v>28</v>
      </c>
    </row>
    <row r="20" spans="1:3" x14ac:dyDescent="0.25">
      <c r="C20" t="s">
        <v>30</v>
      </c>
    </row>
    <row r="21" spans="1:3" x14ac:dyDescent="0.25">
      <c r="C21" t="s">
        <v>29</v>
      </c>
    </row>
    <row r="23" spans="1:3" x14ac:dyDescent="0.25">
      <c r="C23" s="1" t="s">
        <v>50</v>
      </c>
    </row>
    <row r="24" spans="1:3" x14ac:dyDescent="0.25">
      <c r="C24" t="s">
        <v>51</v>
      </c>
    </row>
    <row r="26" spans="1:3" x14ac:dyDescent="0.25">
      <c r="C26" t="s">
        <v>52</v>
      </c>
    </row>
    <row r="28" spans="1:3" x14ac:dyDescent="0.25">
      <c r="C28" t="s">
        <v>53</v>
      </c>
    </row>
    <row r="30" spans="1:3" x14ac:dyDescent="0.25">
      <c r="A30" s="11" t="s">
        <v>38</v>
      </c>
    </row>
    <row r="32" spans="1:3" x14ac:dyDescent="0.25">
      <c r="A32">
        <v>1917</v>
      </c>
      <c r="C32" t="s">
        <v>36</v>
      </c>
    </row>
    <row r="33" spans="1:3" x14ac:dyDescent="0.25">
      <c r="A33">
        <v>1920</v>
      </c>
    </row>
    <row r="34" spans="1:3" x14ac:dyDescent="0.25">
      <c r="A34">
        <v>1923</v>
      </c>
    </row>
    <row r="35" spans="1:3" x14ac:dyDescent="0.25">
      <c r="A35">
        <v>1926</v>
      </c>
    </row>
    <row r="37" spans="1:3" x14ac:dyDescent="0.25">
      <c r="A37">
        <v>1918</v>
      </c>
      <c r="C37" t="s">
        <v>37</v>
      </c>
    </row>
    <row r="38" spans="1:3" x14ac:dyDescent="0.25">
      <c r="A38">
        <v>1919</v>
      </c>
    </row>
    <row r="39" spans="1:3" x14ac:dyDescent="0.25">
      <c r="A39">
        <v>1921</v>
      </c>
    </row>
    <row r="40" spans="1:3" x14ac:dyDescent="0.25">
      <c r="A40">
        <v>1922</v>
      </c>
    </row>
    <row r="41" spans="1:3" x14ac:dyDescent="0.25">
      <c r="A41">
        <v>1924</v>
      </c>
    </row>
    <row r="42" spans="1:3" x14ac:dyDescent="0.25">
      <c r="A42">
        <v>1925</v>
      </c>
    </row>
    <row r="44" spans="1:3" x14ac:dyDescent="0.25">
      <c r="A44" t="s">
        <v>32</v>
      </c>
      <c r="C44" t="s">
        <v>33</v>
      </c>
    </row>
    <row r="45" spans="1:3" x14ac:dyDescent="0.25">
      <c r="C45" t="s">
        <v>34</v>
      </c>
    </row>
    <row r="46" spans="1:3" x14ac:dyDescent="0.25">
      <c r="C46" t="s">
        <v>43</v>
      </c>
    </row>
    <row r="48" spans="1:3" x14ac:dyDescent="0.25">
      <c r="A48" t="s">
        <v>44</v>
      </c>
      <c r="C48" t="s">
        <v>37</v>
      </c>
    </row>
    <row r="50" spans="1:3" x14ac:dyDescent="0.25">
      <c r="A50" t="s">
        <v>39</v>
      </c>
      <c r="C50" t="s">
        <v>35</v>
      </c>
    </row>
    <row r="52" spans="1:3" x14ac:dyDescent="0.25">
      <c r="A52" t="s">
        <v>40</v>
      </c>
      <c r="C52" t="s">
        <v>41</v>
      </c>
    </row>
    <row r="53" spans="1:3" x14ac:dyDescent="0.25">
      <c r="A53" t="s">
        <v>45</v>
      </c>
      <c r="C53" t="s">
        <v>47</v>
      </c>
    </row>
    <row r="54" spans="1:3" x14ac:dyDescent="0.25">
      <c r="A54" t="s">
        <v>46</v>
      </c>
      <c r="C54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V125"/>
  <sheetViews>
    <sheetView workbookViewId="0">
      <pane ySplit="1" topLeftCell="A77" activePane="bottomLeft" state="frozen"/>
      <selection pane="bottomLeft" activeCell="A2" sqref="A2:A125"/>
    </sheetView>
  </sheetViews>
  <sheetFormatPr defaultRowHeight="15" x14ac:dyDescent="0.25"/>
  <cols>
    <col min="1" max="1" width="6.5703125" bestFit="1" customWidth="1"/>
    <col min="2" max="2" width="10.7109375" style="2" bestFit="1" customWidth="1"/>
    <col min="3" max="3" width="8.85546875" style="2" bestFit="1" customWidth="1"/>
    <col min="4" max="4" width="9.7109375" style="2" bestFit="1" customWidth="1"/>
    <col min="5" max="5" width="7.5703125" style="2" bestFit="1" customWidth="1"/>
    <col min="6" max="6" width="10.42578125" style="2" bestFit="1" customWidth="1"/>
    <col min="7" max="7" width="11.140625" style="2" bestFit="1" customWidth="1"/>
    <col min="8" max="8" width="7.5703125" style="2" bestFit="1" customWidth="1"/>
    <col min="9" max="9" width="27.42578125" style="2" bestFit="1" customWidth="1"/>
    <col min="10" max="10" width="8.85546875" style="2" bestFit="1" customWidth="1"/>
    <col min="11" max="11" width="15.140625" style="2" bestFit="1" customWidth="1"/>
    <col min="12" max="12" width="10.7109375" style="2" bestFit="1" customWidth="1"/>
    <col min="13" max="13" width="8.5703125" style="2" bestFit="1" customWidth="1"/>
    <col min="14" max="14" width="9.5703125" style="2" bestFit="1" customWidth="1"/>
    <col min="15" max="15" width="9.140625" style="2" bestFit="1" customWidth="1"/>
    <col min="16" max="16" width="10.42578125" style="2" bestFit="1" customWidth="1"/>
    <col min="17" max="17" width="8.140625" style="2" bestFit="1" customWidth="1"/>
    <col min="18" max="18" width="9.42578125" style="2" bestFit="1" customWidth="1"/>
    <col min="19" max="19" width="6.7109375" style="2" bestFit="1" customWidth="1"/>
    <col min="20" max="20" width="8.28515625" style="2" bestFit="1" customWidth="1"/>
    <col min="21" max="21" width="12.140625" style="2" bestFit="1" customWidth="1"/>
    <col min="22" max="22" width="9.28515625" bestFit="1" customWidth="1"/>
  </cols>
  <sheetData>
    <row r="1" spans="1:22" x14ac:dyDescent="0.25">
      <c r="A1" s="14" t="s">
        <v>1</v>
      </c>
      <c r="B1" s="14" t="s">
        <v>2</v>
      </c>
      <c r="C1" s="14" t="s">
        <v>3</v>
      </c>
      <c r="D1" s="14" t="s">
        <v>4</v>
      </c>
      <c r="E1" s="14" t="s">
        <v>56</v>
      </c>
      <c r="F1" s="14" t="s">
        <v>13</v>
      </c>
      <c r="G1" s="14" t="s">
        <v>12</v>
      </c>
      <c r="H1" s="14" t="s">
        <v>14</v>
      </c>
      <c r="I1" s="15" t="s">
        <v>9</v>
      </c>
      <c r="J1" s="14" t="s">
        <v>6</v>
      </c>
      <c r="K1" s="14" t="s">
        <v>7</v>
      </c>
      <c r="L1" s="14" t="s">
        <v>8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57</v>
      </c>
      <c r="S1" s="14" t="s">
        <v>58</v>
      </c>
      <c r="T1" s="14" t="s">
        <v>20</v>
      </c>
      <c r="U1" s="14" t="s">
        <v>5</v>
      </c>
      <c r="V1" s="14" t="s">
        <v>10</v>
      </c>
    </row>
    <row r="2" spans="1:22" x14ac:dyDescent="0.25">
      <c r="A2" s="12">
        <v>1900</v>
      </c>
      <c r="B2" s="16">
        <v>4649.8590000000004</v>
      </c>
      <c r="C2" s="16">
        <v>1766.2260000000001</v>
      </c>
      <c r="D2" s="16">
        <v>18092</v>
      </c>
      <c r="E2" s="16">
        <v>2314.3000000000002</v>
      </c>
      <c r="F2" s="16">
        <v>1387.8989999999999</v>
      </c>
      <c r="G2" s="16">
        <v>1234.4839999999999</v>
      </c>
      <c r="H2" s="16">
        <v>504.995</v>
      </c>
      <c r="I2" s="16">
        <v>556.59199999999998</v>
      </c>
      <c r="J2" s="16">
        <v>4019.5880000000002</v>
      </c>
      <c r="K2" s="16">
        <v>283.43799999999999</v>
      </c>
      <c r="L2" s="16">
        <v>1612.8330000000001</v>
      </c>
      <c r="M2" s="16">
        <v>13603.5</v>
      </c>
      <c r="N2" s="16">
        <v>447.5</v>
      </c>
      <c r="O2" s="16">
        <v>296.24900000000002</v>
      </c>
      <c r="P2" s="16">
        <v>494.52800000000002</v>
      </c>
      <c r="Q2" s="16">
        <v>3198.2280000000001</v>
      </c>
      <c r="R2" s="16">
        <v>967.41200000000003</v>
      </c>
      <c r="S2" s="16">
        <v>875.5</v>
      </c>
      <c r="T2" s="16">
        <v>939.32399999999996</v>
      </c>
      <c r="U2" s="16">
        <v>2907.5</v>
      </c>
      <c r="V2" s="16">
        <v>1269.481</v>
      </c>
    </row>
    <row r="3" spans="1:22" x14ac:dyDescent="0.25">
      <c r="A3" s="12">
        <v>1901</v>
      </c>
      <c r="B3" s="16">
        <v>4794.4949999999999</v>
      </c>
      <c r="C3" s="16">
        <v>1780.722</v>
      </c>
      <c r="D3" s="16">
        <v>18494.026000000002</v>
      </c>
      <c r="E3" s="16">
        <v>2330.5830000000001</v>
      </c>
      <c r="F3" s="16">
        <v>1419.0930000000001</v>
      </c>
      <c r="G3" s="16">
        <v>1256.758</v>
      </c>
      <c r="H3" s="16">
        <v>518.6</v>
      </c>
      <c r="I3" s="16">
        <v>568.46699999999998</v>
      </c>
      <c r="J3" s="16">
        <v>4076.364</v>
      </c>
      <c r="K3" s="16">
        <v>289.29399999999998</v>
      </c>
      <c r="L3" s="16">
        <v>1658.5540000000001</v>
      </c>
      <c r="M3" s="16">
        <v>13772.682000000001</v>
      </c>
      <c r="N3" s="16">
        <v>456.81200000000001</v>
      </c>
      <c r="O3" s="16">
        <v>302.15600000000001</v>
      </c>
      <c r="P3" s="16">
        <v>508.16399999999999</v>
      </c>
      <c r="Q3" s="16">
        <v>3275.5450000000001</v>
      </c>
      <c r="R3" s="16">
        <v>981.57399999999996</v>
      </c>
      <c r="S3" s="16">
        <v>892.26099999999997</v>
      </c>
      <c r="T3" s="16">
        <v>952.33699999999999</v>
      </c>
      <c r="U3" s="16">
        <v>2943.5010000000002</v>
      </c>
      <c r="V3" s="16">
        <v>1282.7950000000001</v>
      </c>
    </row>
    <row r="4" spans="1:22" x14ac:dyDescent="0.25">
      <c r="A4" s="12">
        <v>1902</v>
      </c>
      <c r="B4" s="16">
        <v>4948.1049999999996</v>
      </c>
      <c r="C4" s="16">
        <v>1795.114</v>
      </c>
      <c r="D4" s="16">
        <v>18887.673999999999</v>
      </c>
      <c r="E4" s="16">
        <v>2347.625</v>
      </c>
      <c r="F4" s="16">
        <v>1450.154</v>
      </c>
      <c r="G4" s="16">
        <v>1279.567</v>
      </c>
      <c r="H4" s="16">
        <v>532.54300000000001</v>
      </c>
      <c r="I4" s="16">
        <v>579.96500000000003</v>
      </c>
      <c r="J4" s="16">
        <v>4133.7860000000001</v>
      </c>
      <c r="K4" s="16">
        <v>295.12299999999999</v>
      </c>
      <c r="L4" s="16">
        <v>1713.8979999999999</v>
      </c>
      <c r="M4" s="16">
        <v>13949.183000000001</v>
      </c>
      <c r="N4" s="16">
        <v>466.05399999999997</v>
      </c>
      <c r="O4" s="16">
        <v>307.59199999999998</v>
      </c>
      <c r="P4" s="16">
        <v>521.28800000000001</v>
      </c>
      <c r="Q4" s="16">
        <v>3353.3310000000001</v>
      </c>
      <c r="R4" s="16">
        <v>995.86199999999997</v>
      </c>
      <c r="S4" s="16">
        <v>909.39</v>
      </c>
      <c r="T4" s="16">
        <v>976.81100000000004</v>
      </c>
      <c r="U4" s="16">
        <v>2979.81</v>
      </c>
      <c r="V4" s="16">
        <v>1296.06</v>
      </c>
    </row>
    <row r="5" spans="1:22" x14ac:dyDescent="0.25">
      <c r="A5" s="12">
        <v>1903</v>
      </c>
      <c r="B5" s="16">
        <v>5096.9459999999999</v>
      </c>
      <c r="C5" s="16">
        <v>1810.338</v>
      </c>
      <c r="D5" s="16">
        <v>19286.591</v>
      </c>
      <c r="E5" s="16">
        <v>2364.9290000000001</v>
      </c>
      <c r="F5" s="16">
        <v>1480.7159999999999</v>
      </c>
      <c r="G5" s="16">
        <v>1301.8900000000001</v>
      </c>
      <c r="H5" s="16">
        <v>546.726</v>
      </c>
      <c r="I5" s="16">
        <v>591.23599999999999</v>
      </c>
      <c r="J5" s="16">
        <v>4192.0510000000004</v>
      </c>
      <c r="K5" s="16">
        <v>301.84199999999998</v>
      </c>
      <c r="L5" s="16">
        <v>1777.2660000000001</v>
      </c>
      <c r="M5" s="16">
        <v>14133.367</v>
      </c>
      <c r="N5" s="16">
        <v>475.27300000000002</v>
      </c>
      <c r="O5" s="16">
        <v>313.55900000000003</v>
      </c>
      <c r="P5" s="16">
        <v>534.50300000000004</v>
      </c>
      <c r="Q5" s="16">
        <v>3431.5859999999998</v>
      </c>
      <c r="R5" s="16">
        <v>1010.303</v>
      </c>
      <c r="S5" s="16">
        <v>925.86599999999999</v>
      </c>
      <c r="T5" s="16">
        <v>1003.273</v>
      </c>
      <c r="U5" s="16">
        <v>3016.0120000000002</v>
      </c>
      <c r="V5" s="16">
        <v>1309.3340000000001</v>
      </c>
    </row>
    <row r="6" spans="1:22" x14ac:dyDescent="0.25">
      <c r="A6" s="12">
        <v>1904</v>
      </c>
      <c r="B6" s="16">
        <v>5264.7780000000002</v>
      </c>
      <c r="C6" s="16">
        <v>1825.3330000000001</v>
      </c>
      <c r="D6" s="16">
        <v>19691.925999999999</v>
      </c>
      <c r="E6" s="16">
        <v>2382.0010000000002</v>
      </c>
      <c r="F6" s="16">
        <v>1511.9169999999999</v>
      </c>
      <c r="G6" s="16">
        <v>1324.713</v>
      </c>
      <c r="H6" s="16">
        <v>561.04999999999995</v>
      </c>
      <c r="I6" s="16">
        <v>602.43100000000004</v>
      </c>
      <c r="J6" s="16">
        <v>4251.3580000000002</v>
      </c>
      <c r="K6" s="16">
        <v>308.86599999999999</v>
      </c>
      <c r="L6" s="16">
        <v>1828.5619999999999</v>
      </c>
      <c r="M6" s="16">
        <v>14308.102000000001</v>
      </c>
      <c r="N6" s="16">
        <v>485.01299999999998</v>
      </c>
      <c r="O6" s="16">
        <v>319.55700000000002</v>
      </c>
      <c r="P6" s="16">
        <v>546.91399999999999</v>
      </c>
      <c r="Q6" s="16">
        <v>3510.3110000000001</v>
      </c>
      <c r="R6" s="16">
        <v>1024.925</v>
      </c>
      <c r="S6" s="16">
        <v>942.16700000000003</v>
      </c>
      <c r="T6" s="16">
        <v>1024.748</v>
      </c>
      <c r="U6" s="16">
        <v>3052.19</v>
      </c>
      <c r="V6" s="16">
        <v>1322.682</v>
      </c>
    </row>
    <row r="7" spans="1:22" x14ac:dyDescent="0.25">
      <c r="A7" s="12">
        <v>1905</v>
      </c>
      <c r="B7" s="16">
        <v>5466.8580000000002</v>
      </c>
      <c r="C7" s="16">
        <v>1841.0340000000001</v>
      </c>
      <c r="D7" s="16">
        <v>20104.325000000001</v>
      </c>
      <c r="E7" s="16">
        <v>2406.8440000000001</v>
      </c>
      <c r="F7" s="16">
        <v>1542.8920000000001</v>
      </c>
      <c r="G7" s="16">
        <v>1347.5160000000001</v>
      </c>
      <c r="H7" s="16">
        <v>575.41899999999998</v>
      </c>
      <c r="I7" s="16">
        <v>613.70100000000002</v>
      </c>
      <c r="J7" s="16">
        <v>4311.9049999999997</v>
      </c>
      <c r="K7" s="16">
        <v>316.11399999999998</v>
      </c>
      <c r="L7" s="16">
        <v>1887.69</v>
      </c>
      <c r="M7" s="16">
        <v>14484.251</v>
      </c>
      <c r="N7" s="16">
        <v>494.322</v>
      </c>
      <c r="O7" s="16">
        <v>325.58699999999999</v>
      </c>
      <c r="P7" s="16">
        <v>559.125</v>
      </c>
      <c r="Q7" s="16">
        <v>3589.5050000000001</v>
      </c>
      <c r="R7" s="16">
        <v>1039.7560000000001</v>
      </c>
      <c r="S7" s="16">
        <v>958.77300000000002</v>
      </c>
      <c r="T7" s="16">
        <v>1053.2639999999999</v>
      </c>
      <c r="U7" s="16">
        <v>3088.93</v>
      </c>
      <c r="V7" s="16">
        <v>1336.163</v>
      </c>
    </row>
    <row r="8" spans="1:22" x14ac:dyDescent="0.25">
      <c r="A8" s="12">
        <v>1906</v>
      </c>
      <c r="B8" s="16">
        <v>5696.4470000000001</v>
      </c>
      <c r="C8" s="16">
        <v>1856.38</v>
      </c>
      <c r="D8" s="16">
        <v>20523.934000000001</v>
      </c>
      <c r="E8" s="16">
        <v>2431.4639999999999</v>
      </c>
      <c r="F8" s="16">
        <v>1574.777</v>
      </c>
      <c r="G8" s="16">
        <v>1365.2840000000001</v>
      </c>
      <c r="H8" s="16">
        <v>587.23400000000004</v>
      </c>
      <c r="I8" s="16">
        <v>625.19500000000005</v>
      </c>
      <c r="J8" s="16">
        <v>4415.3879999999999</v>
      </c>
      <c r="K8" s="16">
        <v>323.00200000000001</v>
      </c>
      <c r="L8" s="16">
        <v>1952.05</v>
      </c>
      <c r="M8" s="16">
        <v>14652.68</v>
      </c>
      <c r="N8" s="16">
        <v>503.745</v>
      </c>
      <c r="O8" s="16">
        <v>331.65100000000001</v>
      </c>
      <c r="P8" s="16">
        <v>567.73900000000003</v>
      </c>
      <c r="Q8" s="16">
        <v>3669.1689999999999</v>
      </c>
      <c r="R8" s="16">
        <v>1054.8230000000001</v>
      </c>
      <c r="S8" s="16">
        <v>974.66300000000001</v>
      </c>
      <c r="T8" s="16">
        <v>1081.348</v>
      </c>
      <c r="U8" s="16">
        <v>3125.8150000000001</v>
      </c>
      <c r="V8" s="16">
        <v>1349.8409999999999</v>
      </c>
    </row>
    <row r="9" spans="1:22" x14ac:dyDescent="0.25">
      <c r="A9" s="12">
        <v>1907</v>
      </c>
      <c r="B9" s="16">
        <v>5959.8</v>
      </c>
      <c r="C9" s="16">
        <v>1872.307</v>
      </c>
      <c r="D9" s="16">
        <v>20951.902999999998</v>
      </c>
      <c r="E9" s="16">
        <v>2456.3649999999998</v>
      </c>
      <c r="F9" s="16">
        <v>1606.7090000000001</v>
      </c>
      <c r="G9" s="16">
        <v>1383.498</v>
      </c>
      <c r="H9" s="16">
        <v>598.39700000000005</v>
      </c>
      <c r="I9" s="16">
        <v>637.06500000000005</v>
      </c>
      <c r="J9" s="16">
        <v>4520.0079999999998</v>
      </c>
      <c r="K9" s="16">
        <v>330.44799999999998</v>
      </c>
      <c r="L9" s="16">
        <v>2019.547</v>
      </c>
      <c r="M9" s="16">
        <v>14810.254000000001</v>
      </c>
      <c r="N9" s="16">
        <v>511.32900000000001</v>
      </c>
      <c r="O9" s="16">
        <v>337.75</v>
      </c>
      <c r="P9" s="16">
        <v>576.86199999999997</v>
      </c>
      <c r="Q9" s="16">
        <v>3749.3009999999999</v>
      </c>
      <c r="R9" s="16">
        <v>1070.155</v>
      </c>
      <c r="S9" s="16">
        <v>990.31500000000005</v>
      </c>
      <c r="T9" s="16">
        <v>1112.5250000000001</v>
      </c>
      <c r="U9" s="16">
        <v>3162.931</v>
      </c>
      <c r="V9" s="16">
        <v>1363.7750000000001</v>
      </c>
    </row>
    <row r="10" spans="1:22" x14ac:dyDescent="0.25">
      <c r="A10" s="12">
        <v>1908</v>
      </c>
      <c r="B10" s="16">
        <v>6235.6779999999999</v>
      </c>
      <c r="C10" s="16">
        <v>1887.7529999999999</v>
      </c>
      <c r="D10" s="16">
        <v>21389.376</v>
      </c>
      <c r="E10" s="16">
        <v>2482.5509999999999</v>
      </c>
      <c r="F10" s="16">
        <v>1619.8240000000001</v>
      </c>
      <c r="G10" s="16">
        <v>1401.1410000000001</v>
      </c>
      <c r="H10" s="16">
        <v>609.81100000000004</v>
      </c>
      <c r="I10" s="16">
        <v>649.46199999999999</v>
      </c>
      <c r="J10" s="16">
        <v>4626.9610000000002</v>
      </c>
      <c r="K10" s="16">
        <v>337.86700000000002</v>
      </c>
      <c r="L10" s="16">
        <v>2088.5830000000001</v>
      </c>
      <c r="M10" s="16">
        <v>14952.838</v>
      </c>
      <c r="N10" s="16">
        <v>518.61800000000005</v>
      </c>
      <c r="O10" s="16">
        <v>343.88499999999999</v>
      </c>
      <c r="P10" s="16">
        <v>586.09500000000003</v>
      </c>
      <c r="Q10" s="16">
        <v>3829.9029999999998</v>
      </c>
      <c r="R10" s="16">
        <v>1085.778</v>
      </c>
      <c r="S10" s="16">
        <v>1006.21</v>
      </c>
      <c r="T10" s="16">
        <v>1081.3219999999999</v>
      </c>
      <c r="U10" s="16">
        <v>3201.86</v>
      </c>
      <c r="V10" s="16">
        <v>1378.028</v>
      </c>
    </row>
    <row r="11" spans="1:22" x14ac:dyDescent="0.25">
      <c r="A11" s="12">
        <v>1909</v>
      </c>
      <c r="B11" s="16">
        <v>6491.8389999999999</v>
      </c>
      <c r="C11" s="16">
        <v>1903.655</v>
      </c>
      <c r="D11" s="16">
        <v>21836.002</v>
      </c>
      <c r="E11" s="16">
        <v>2508.5279999999998</v>
      </c>
      <c r="F11" s="16">
        <v>1673.758</v>
      </c>
      <c r="G11" s="16">
        <v>1419.1959999999999</v>
      </c>
      <c r="H11" s="16">
        <v>620.37800000000004</v>
      </c>
      <c r="I11" s="16">
        <v>662.53399999999999</v>
      </c>
      <c r="J11" s="16">
        <v>4735.4459999999999</v>
      </c>
      <c r="K11" s="16">
        <v>344.67700000000002</v>
      </c>
      <c r="L11" s="16">
        <v>2158.0610000000001</v>
      </c>
      <c r="M11" s="16">
        <v>15077.299000000001</v>
      </c>
      <c r="N11" s="16">
        <v>526.66</v>
      </c>
      <c r="O11" s="16">
        <v>350.05700000000002</v>
      </c>
      <c r="P11" s="16">
        <v>595.54499999999996</v>
      </c>
      <c r="Q11" s="16">
        <v>3910.9740000000002</v>
      </c>
      <c r="R11" s="16">
        <v>1101.721</v>
      </c>
      <c r="S11" s="16">
        <v>1021.324</v>
      </c>
      <c r="T11" s="16">
        <v>1114.2670000000001</v>
      </c>
      <c r="U11" s="16">
        <v>3241.6889999999999</v>
      </c>
      <c r="V11" s="16">
        <v>1392.662</v>
      </c>
    </row>
    <row r="12" spans="1:22" x14ac:dyDescent="0.25">
      <c r="A12" s="12">
        <v>1910</v>
      </c>
      <c r="B12" s="16">
        <v>6784.54</v>
      </c>
      <c r="C12" s="16">
        <v>1918.951</v>
      </c>
      <c r="D12" s="16">
        <v>22293.928</v>
      </c>
      <c r="E12" s="16">
        <v>2534.8000000000002</v>
      </c>
      <c r="F12" s="16">
        <v>1708.6469999999999</v>
      </c>
      <c r="G12" s="16">
        <v>1437.1469999999999</v>
      </c>
      <c r="H12" s="16">
        <v>631</v>
      </c>
      <c r="I12" s="16">
        <v>676.43399999999997</v>
      </c>
      <c r="J12" s="16">
        <v>4846.6610000000001</v>
      </c>
      <c r="K12" s="16">
        <v>351.79399999999998</v>
      </c>
      <c r="L12" s="16">
        <v>2225.884</v>
      </c>
      <c r="M12" s="16">
        <v>15180</v>
      </c>
      <c r="N12" s="16">
        <v>534.5</v>
      </c>
      <c r="O12" s="16">
        <v>356.267</v>
      </c>
      <c r="P12" s="16">
        <v>605.31399999999996</v>
      </c>
      <c r="Q12" s="16">
        <v>3992.5149999999999</v>
      </c>
      <c r="R12" s="16">
        <v>1118.0119999999999</v>
      </c>
      <c r="S12" s="16">
        <v>1036.6389999999999</v>
      </c>
      <c r="T12" s="16">
        <v>1145.386</v>
      </c>
      <c r="U12" s="16">
        <v>3282.5</v>
      </c>
      <c r="V12" s="16">
        <v>1408.239</v>
      </c>
    </row>
    <row r="13" spans="1:22" x14ac:dyDescent="0.25">
      <c r="A13" s="12">
        <v>1911</v>
      </c>
      <c r="B13" s="16">
        <v>7026.0789999999997</v>
      </c>
      <c r="C13" s="16">
        <v>1934.693</v>
      </c>
      <c r="D13" s="16">
        <v>22762.396000000001</v>
      </c>
      <c r="E13" s="16">
        <v>2558.777</v>
      </c>
      <c r="F13" s="16">
        <v>1744.941</v>
      </c>
      <c r="G13" s="16">
        <v>1457.7149999999999</v>
      </c>
      <c r="H13" s="16">
        <v>640.12699999999995</v>
      </c>
      <c r="I13" s="16">
        <v>691.42700000000002</v>
      </c>
      <c r="J13" s="16">
        <v>4961.5119999999997</v>
      </c>
      <c r="K13" s="16">
        <v>358.72899999999998</v>
      </c>
      <c r="L13" s="16">
        <v>2293.4279999999999</v>
      </c>
      <c r="M13" s="16">
        <v>15273.984</v>
      </c>
      <c r="N13" s="16">
        <v>543.37099999999998</v>
      </c>
      <c r="O13" s="16">
        <v>362.517</v>
      </c>
      <c r="P13" s="16">
        <v>615.24099999999999</v>
      </c>
      <c r="Q13" s="16">
        <v>4074.5630000000001</v>
      </c>
      <c r="R13" s="16">
        <v>1134.57</v>
      </c>
      <c r="S13" s="16">
        <v>1051.0050000000001</v>
      </c>
      <c r="T13" s="16">
        <v>1181.1610000000001</v>
      </c>
      <c r="U13" s="16">
        <v>3323.6570000000002</v>
      </c>
      <c r="V13" s="16">
        <v>1423.7840000000001</v>
      </c>
    </row>
    <row r="14" spans="1:22" x14ac:dyDescent="0.25">
      <c r="A14" s="12">
        <v>1912</v>
      </c>
      <c r="B14" s="16">
        <v>7329.4340000000002</v>
      </c>
      <c r="C14" s="16">
        <v>1949.9770000000001</v>
      </c>
      <c r="D14" s="16">
        <v>23241.588</v>
      </c>
      <c r="E14" s="16">
        <v>2588.4189999999999</v>
      </c>
      <c r="F14" s="16">
        <v>1784.155</v>
      </c>
      <c r="G14" s="16">
        <v>1477.7670000000001</v>
      </c>
      <c r="H14" s="16">
        <v>648.84699999999998</v>
      </c>
      <c r="I14" s="16">
        <v>708.97699999999998</v>
      </c>
      <c r="J14" s="16">
        <v>5080.32</v>
      </c>
      <c r="K14" s="16">
        <v>365.072</v>
      </c>
      <c r="L14" s="16">
        <v>2363.1410000000001</v>
      </c>
      <c r="M14" s="16">
        <v>15367.037</v>
      </c>
      <c r="N14" s="16">
        <v>552.40499999999997</v>
      </c>
      <c r="O14" s="16">
        <v>371.80700000000002</v>
      </c>
      <c r="P14" s="16">
        <v>625.13300000000004</v>
      </c>
      <c r="Q14" s="16">
        <v>4150.6570000000002</v>
      </c>
      <c r="R14" s="16">
        <v>1151.336</v>
      </c>
      <c r="S14" s="16">
        <v>1064.8789999999999</v>
      </c>
      <c r="T14" s="16">
        <v>1218.058</v>
      </c>
      <c r="U14" s="16">
        <v>3365.5079999999998</v>
      </c>
      <c r="V14" s="16">
        <v>1439.7809999999999</v>
      </c>
    </row>
    <row r="15" spans="1:22" x14ac:dyDescent="0.25">
      <c r="A15" s="12">
        <v>1913</v>
      </c>
      <c r="B15" s="16">
        <v>7619.3879999999999</v>
      </c>
      <c r="C15" s="16">
        <v>1965.8050000000001</v>
      </c>
      <c r="D15" s="16">
        <v>23731.81</v>
      </c>
      <c r="E15" s="16">
        <v>2615.8020000000001</v>
      </c>
      <c r="F15" s="16">
        <v>1825.2719999999999</v>
      </c>
      <c r="G15" s="16">
        <v>1497.4970000000001</v>
      </c>
      <c r="H15" s="16">
        <v>656.77099999999996</v>
      </c>
      <c r="I15" s="16">
        <v>728.27800000000002</v>
      </c>
      <c r="J15" s="16">
        <v>5197.4080000000004</v>
      </c>
      <c r="K15" s="16">
        <v>371.863</v>
      </c>
      <c r="L15" s="16">
        <v>2425.5329999999999</v>
      </c>
      <c r="M15" s="16">
        <v>15303.638000000001</v>
      </c>
      <c r="N15" s="16">
        <v>562.49800000000005</v>
      </c>
      <c r="O15" s="16">
        <v>380.637</v>
      </c>
      <c r="P15" s="16">
        <v>635.04300000000001</v>
      </c>
      <c r="Q15" s="16">
        <v>4223.8</v>
      </c>
      <c r="R15" s="16">
        <v>1168.367</v>
      </c>
      <c r="S15" s="16">
        <v>1078.8989999999999</v>
      </c>
      <c r="T15" s="16">
        <v>1257.577</v>
      </c>
      <c r="U15" s="16">
        <v>3408.1109999999999</v>
      </c>
      <c r="V15" s="16">
        <v>1456.2239999999999</v>
      </c>
    </row>
    <row r="16" spans="1:22" x14ac:dyDescent="0.25">
      <c r="A16" s="12">
        <v>1914</v>
      </c>
      <c r="B16" s="16">
        <v>7803.2219999999998</v>
      </c>
      <c r="C16" s="16">
        <v>1981.174</v>
      </c>
      <c r="D16" s="16">
        <v>24231.87</v>
      </c>
      <c r="E16" s="16">
        <v>2643.5059999999999</v>
      </c>
      <c r="F16" s="16">
        <v>1867.7750000000001</v>
      </c>
      <c r="G16" s="16">
        <v>1513.1020000000001</v>
      </c>
      <c r="H16" s="16">
        <v>665.00699999999995</v>
      </c>
      <c r="I16" s="16">
        <v>749.02599999999995</v>
      </c>
      <c r="J16" s="16">
        <v>5319.598</v>
      </c>
      <c r="K16" s="16">
        <v>378.64299999999997</v>
      </c>
      <c r="L16" s="16">
        <v>2508.1120000000001</v>
      </c>
      <c r="M16" s="16">
        <v>15161.767</v>
      </c>
      <c r="N16" s="16">
        <v>572.54499999999996</v>
      </c>
      <c r="O16" s="16">
        <v>390.50900000000001</v>
      </c>
      <c r="P16" s="16">
        <v>643.52700000000004</v>
      </c>
      <c r="Q16" s="16">
        <v>4297.4920000000002</v>
      </c>
      <c r="R16" s="16">
        <v>1185.721</v>
      </c>
      <c r="S16" s="16">
        <v>1092.1990000000001</v>
      </c>
      <c r="T16" s="16">
        <v>1289.2180000000001</v>
      </c>
      <c r="U16" s="16">
        <v>3451.029</v>
      </c>
      <c r="V16" s="16">
        <v>1473.1079999999999</v>
      </c>
    </row>
    <row r="17" spans="1:22" x14ac:dyDescent="0.25">
      <c r="A17" s="12">
        <v>1915</v>
      </c>
      <c r="B17" s="16">
        <v>7985.2179999999998</v>
      </c>
      <c r="C17" s="16">
        <v>1997.086</v>
      </c>
      <c r="D17" s="16">
        <v>24743.074000000001</v>
      </c>
      <c r="E17" s="16">
        <v>2671.6080000000002</v>
      </c>
      <c r="F17" s="16">
        <v>1911.65</v>
      </c>
      <c r="G17" s="16">
        <v>1529.277</v>
      </c>
      <c r="H17" s="16">
        <v>673.16800000000001</v>
      </c>
      <c r="I17" s="16">
        <v>770.91700000000003</v>
      </c>
      <c r="J17" s="16">
        <v>5446.2089999999998</v>
      </c>
      <c r="K17" s="16">
        <v>385.45100000000002</v>
      </c>
      <c r="L17" s="16">
        <v>2583.3879999999999</v>
      </c>
      <c r="M17" s="16">
        <v>14941.403</v>
      </c>
      <c r="N17" s="16">
        <v>583.44100000000003</v>
      </c>
      <c r="O17" s="16">
        <v>398.92099999999999</v>
      </c>
      <c r="P17" s="16">
        <v>652.13800000000003</v>
      </c>
      <c r="Q17" s="16">
        <v>4371.7370000000001</v>
      </c>
      <c r="R17" s="16">
        <v>1203.453</v>
      </c>
      <c r="S17" s="16">
        <v>1105.4159999999999</v>
      </c>
      <c r="T17" s="16">
        <v>1317.482</v>
      </c>
      <c r="U17" s="16">
        <v>3494.32</v>
      </c>
      <c r="V17" s="16">
        <v>1490.4269999999999</v>
      </c>
    </row>
    <row r="18" spans="1:22" x14ac:dyDescent="0.25">
      <c r="A18" s="12">
        <v>1916</v>
      </c>
      <c r="B18" s="16">
        <v>8170.6589999999997</v>
      </c>
      <c r="C18" s="16">
        <v>2012.54</v>
      </c>
      <c r="D18" s="16">
        <v>25264.228999999999</v>
      </c>
      <c r="E18" s="16">
        <v>2700.1849999999999</v>
      </c>
      <c r="F18" s="16">
        <v>1954.3779999999999</v>
      </c>
      <c r="G18" s="16">
        <v>1545.2159999999999</v>
      </c>
      <c r="H18" s="16">
        <v>681.36099999999999</v>
      </c>
      <c r="I18" s="16">
        <v>793.64400000000001</v>
      </c>
      <c r="J18" s="16">
        <v>5576.0649999999996</v>
      </c>
      <c r="K18" s="16">
        <v>391.827</v>
      </c>
      <c r="L18" s="16">
        <v>2659.8679999999999</v>
      </c>
      <c r="M18" s="16">
        <v>14640.027</v>
      </c>
      <c r="N18" s="16">
        <v>594.08199999999999</v>
      </c>
      <c r="O18" s="16">
        <v>407.875</v>
      </c>
      <c r="P18" s="16">
        <v>660.93</v>
      </c>
      <c r="Q18" s="16">
        <v>4447.0349999999999</v>
      </c>
      <c r="R18" s="16">
        <v>1221.6220000000001</v>
      </c>
      <c r="S18" s="16">
        <v>1119.1849999999999</v>
      </c>
      <c r="T18" s="16">
        <v>1347.3689999999999</v>
      </c>
      <c r="U18" s="16">
        <v>3538.5459999999998</v>
      </c>
      <c r="V18" s="16">
        <v>1508.1759999999999</v>
      </c>
    </row>
    <row r="19" spans="1:22" x14ac:dyDescent="0.25">
      <c r="A19" s="12">
        <v>1917</v>
      </c>
      <c r="B19" s="16">
        <v>8352.3250000000007</v>
      </c>
      <c r="C19" s="16">
        <v>2028.537</v>
      </c>
      <c r="D19" s="16">
        <v>25796.143</v>
      </c>
      <c r="E19" s="16">
        <v>2729.8139999999999</v>
      </c>
      <c r="F19" s="16">
        <v>1997.943</v>
      </c>
      <c r="G19" s="16">
        <v>1561.615</v>
      </c>
      <c r="H19" s="16">
        <v>698.69899999999996</v>
      </c>
      <c r="I19" s="16">
        <v>816.904</v>
      </c>
      <c r="J19" s="16">
        <v>5708.9870000000001</v>
      </c>
      <c r="K19" s="16">
        <v>398.81200000000001</v>
      </c>
      <c r="L19" s="16">
        <v>2738.5630000000001</v>
      </c>
      <c r="M19" s="16">
        <v>14577.619000000001</v>
      </c>
      <c r="N19" s="16">
        <v>605.36300000000006</v>
      </c>
      <c r="O19" s="16">
        <v>416.87099999999998</v>
      </c>
      <c r="P19" s="16">
        <v>669.95799999999997</v>
      </c>
      <c r="Q19" s="16">
        <v>4522.3879999999999</v>
      </c>
      <c r="R19" s="16">
        <v>1240.2850000000001</v>
      </c>
      <c r="S19" s="16">
        <v>1132.643</v>
      </c>
      <c r="T19" s="16">
        <v>1374.8789999999999</v>
      </c>
      <c r="U19" s="16">
        <v>3583.7660000000001</v>
      </c>
      <c r="V19" s="16">
        <v>1526.35</v>
      </c>
    </row>
    <row r="20" spans="1:22" x14ac:dyDescent="0.25">
      <c r="A20" s="12">
        <v>1918</v>
      </c>
      <c r="B20" s="16">
        <v>8539</v>
      </c>
      <c r="C20" s="16">
        <v>2044.076</v>
      </c>
      <c r="D20" s="16">
        <v>26337.620999999999</v>
      </c>
      <c r="E20" s="16">
        <v>2759.5749999999998</v>
      </c>
      <c r="F20" s="16">
        <v>2040.83</v>
      </c>
      <c r="G20" s="16">
        <v>1578.67</v>
      </c>
      <c r="H20" s="16">
        <v>716.28899999999999</v>
      </c>
      <c r="I20" s="16">
        <v>840.39200000000005</v>
      </c>
      <c r="J20" s="16">
        <v>5844.2960000000003</v>
      </c>
      <c r="K20" s="16">
        <v>405.94499999999999</v>
      </c>
      <c r="L20" s="16">
        <v>2817.982</v>
      </c>
      <c r="M20" s="16">
        <v>14632.659</v>
      </c>
      <c r="N20" s="16">
        <v>616.17899999999997</v>
      </c>
      <c r="O20" s="16">
        <v>426.40899999999999</v>
      </c>
      <c r="P20" s="16">
        <v>679.27599999999995</v>
      </c>
      <c r="Q20" s="16">
        <v>4598.299</v>
      </c>
      <c r="R20" s="16">
        <v>1259.499</v>
      </c>
      <c r="S20" s="16">
        <v>1146.425</v>
      </c>
      <c r="T20" s="16">
        <v>1400.0129999999999</v>
      </c>
      <c r="U20" s="16">
        <v>3629.5419999999999</v>
      </c>
      <c r="V20" s="16">
        <v>1544.943</v>
      </c>
    </row>
    <row r="21" spans="1:22" x14ac:dyDescent="0.25">
      <c r="A21" s="12">
        <v>1919</v>
      </c>
      <c r="B21" s="16">
        <v>8739.4639999999999</v>
      </c>
      <c r="C21" s="16">
        <v>2060.1579999999999</v>
      </c>
      <c r="D21" s="16">
        <v>26889.971000000001</v>
      </c>
      <c r="E21" s="16">
        <v>2790.5439999999999</v>
      </c>
      <c r="F21" s="16">
        <v>2082.0210000000002</v>
      </c>
      <c r="G21" s="16">
        <v>1597.075</v>
      </c>
      <c r="H21" s="16">
        <v>734.74400000000003</v>
      </c>
      <c r="I21" s="16">
        <v>863.803</v>
      </c>
      <c r="J21" s="16">
        <v>5996.3140000000003</v>
      </c>
      <c r="K21" s="16">
        <v>412.767</v>
      </c>
      <c r="L21" s="16">
        <v>2899.1320000000001</v>
      </c>
      <c r="M21" s="16">
        <v>14713.126</v>
      </c>
      <c r="N21" s="16">
        <v>627.42700000000002</v>
      </c>
      <c r="O21" s="16">
        <v>434.98899999999998</v>
      </c>
      <c r="P21" s="16">
        <v>688.93899999999996</v>
      </c>
      <c r="Q21" s="16">
        <v>4674.768</v>
      </c>
      <c r="R21" s="16">
        <v>1279.3209999999999</v>
      </c>
      <c r="S21" s="16">
        <v>1161.1679999999999</v>
      </c>
      <c r="T21" s="16">
        <v>1430.271</v>
      </c>
      <c r="U21" s="16">
        <v>3676.433</v>
      </c>
      <c r="V21" s="16">
        <v>1563.95</v>
      </c>
    </row>
    <row r="22" spans="1:22" x14ac:dyDescent="0.25">
      <c r="A22" s="12">
        <v>1920</v>
      </c>
      <c r="B22" s="16">
        <v>8970.5</v>
      </c>
      <c r="C22" s="16">
        <v>2075.7820000000002</v>
      </c>
      <c r="D22" s="16">
        <v>27452</v>
      </c>
      <c r="E22" s="16">
        <v>2822.3</v>
      </c>
      <c r="F22" s="16">
        <v>2122</v>
      </c>
      <c r="G22" s="16">
        <v>1616.027</v>
      </c>
      <c r="H22" s="16">
        <v>753.17100000000005</v>
      </c>
      <c r="I22" s="16">
        <v>886.83299999999997</v>
      </c>
      <c r="J22" s="16">
        <v>6090.3630000000003</v>
      </c>
      <c r="K22" s="16">
        <v>420.31700000000001</v>
      </c>
      <c r="L22" s="16">
        <v>2981.5239999999999</v>
      </c>
      <c r="M22" s="16">
        <v>14720.5</v>
      </c>
      <c r="N22" s="16">
        <v>638</v>
      </c>
      <c r="O22" s="16">
        <v>443.11099999999999</v>
      </c>
      <c r="P22" s="16">
        <v>699</v>
      </c>
      <c r="Q22" s="16">
        <v>4751.7979999999998</v>
      </c>
      <c r="R22" s="16">
        <v>1299.809</v>
      </c>
      <c r="S22" s="16">
        <v>1176.0070000000001</v>
      </c>
      <c r="T22" s="16">
        <v>1453.154</v>
      </c>
      <c r="U22" s="16">
        <v>3724.5</v>
      </c>
      <c r="V22" s="16">
        <v>1583.365</v>
      </c>
    </row>
    <row r="23" spans="1:22" x14ac:dyDescent="0.25">
      <c r="A23" s="12">
        <v>1921</v>
      </c>
      <c r="B23" s="16">
        <v>9225.9079999999994</v>
      </c>
      <c r="C23" s="16">
        <v>2094.7750000000001</v>
      </c>
      <c r="D23" s="16">
        <v>28016.544999999998</v>
      </c>
      <c r="E23" s="16">
        <v>2855.9929999999999</v>
      </c>
      <c r="F23" s="16">
        <v>2151.8710000000001</v>
      </c>
      <c r="G23" s="16">
        <v>1652.8230000000001</v>
      </c>
      <c r="H23" s="16">
        <v>772.11099999999999</v>
      </c>
      <c r="I23" s="16">
        <v>919.23</v>
      </c>
      <c r="J23" s="16">
        <v>6214.53</v>
      </c>
      <c r="K23" s="16">
        <v>427.11900000000003</v>
      </c>
      <c r="L23" s="16">
        <v>3066.107</v>
      </c>
      <c r="M23" s="16">
        <v>14829.468000000001</v>
      </c>
      <c r="N23" s="16">
        <v>646.45000000000005</v>
      </c>
      <c r="O23" s="16">
        <v>447.18299999999999</v>
      </c>
      <c r="P23" s="16">
        <v>714.11</v>
      </c>
      <c r="Q23" s="16">
        <v>4829.6719999999996</v>
      </c>
      <c r="R23" s="16">
        <v>1321.0129999999999</v>
      </c>
      <c r="S23" s="16">
        <v>1195.1030000000001</v>
      </c>
      <c r="T23" s="16">
        <v>1476.2940000000001</v>
      </c>
      <c r="U23" s="16">
        <v>3783.3069999999998</v>
      </c>
      <c r="V23" s="16">
        <v>1611.6130000000001</v>
      </c>
    </row>
    <row r="24" spans="1:22" x14ac:dyDescent="0.25">
      <c r="A24" s="12">
        <v>1922</v>
      </c>
      <c r="B24" s="16">
        <v>9521.7360000000008</v>
      </c>
      <c r="C24" s="16">
        <v>2113.5419999999999</v>
      </c>
      <c r="D24" s="16">
        <v>28590.197</v>
      </c>
      <c r="E24" s="16">
        <v>2891.6840000000002</v>
      </c>
      <c r="F24" s="16">
        <v>2180.7539999999999</v>
      </c>
      <c r="G24" s="16">
        <v>1692.3320000000001</v>
      </c>
      <c r="H24" s="16">
        <v>791.50400000000002</v>
      </c>
      <c r="I24" s="16">
        <v>952.471</v>
      </c>
      <c r="J24" s="16">
        <v>6340.0839999999998</v>
      </c>
      <c r="K24" s="16">
        <v>435.15699999999998</v>
      </c>
      <c r="L24" s="16">
        <v>3153.433</v>
      </c>
      <c r="M24" s="16">
        <v>14915.276</v>
      </c>
      <c r="N24" s="16">
        <v>654.41499999999996</v>
      </c>
      <c r="O24" s="16">
        <v>451.15600000000001</v>
      </c>
      <c r="P24" s="16">
        <v>730.33500000000004</v>
      </c>
      <c r="Q24" s="16">
        <v>4909.0649999999996</v>
      </c>
      <c r="R24" s="16">
        <v>1342.944</v>
      </c>
      <c r="S24" s="16">
        <v>1214.454</v>
      </c>
      <c r="T24" s="16">
        <v>1499.769</v>
      </c>
      <c r="U24" s="16">
        <v>3835.8589999999999</v>
      </c>
      <c r="V24" s="16">
        <v>1645.7</v>
      </c>
    </row>
    <row r="25" spans="1:22" x14ac:dyDescent="0.25">
      <c r="A25" s="12">
        <v>1923</v>
      </c>
      <c r="B25" s="16">
        <v>9857.893</v>
      </c>
      <c r="C25" s="16">
        <v>2132.6990000000001</v>
      </c>
      <c r="D25" s="16">
        <v>29174.646000000001</v>
      </c>
      <c r="E25" s="16">
        <v>2928.8110000000001</v>
      </c>
      <c r="F25" s="16">
        <v>2209.404</v>
      </c>
      <c r="G25" s="16">
        <v>1734.1010000000001</v>
      </c>
      <c r="H25" s="16">
        <v>811.31600000000003</v>
      </c>
      <c r="I25" s="16">
        <v>986.58699999999999</v>
      </c>
      <c r="J25" s="16">
        <v>6466.8630000000003</v>
      </c>
      <c r="K25" s="16">
        <v>444.41199999999998</v>
      </c>
      <c r="L25" s="16">
        <v>3242.4180000000001</v>
      </c>
      <c r="M25" s="16">
        <v>15084.244000000001</v>
      </c>
      <c r="N25" s="16">
        <v>662.923</v>
      </c>
      <c r="O25" s="16">
        <v>455.09100000000001</v>
      </c>
      <c r="P25" s="16">
        <v>747.10699999999997</v>
      </c>
      <c r="Q25" s="16">
        <v>4988.8220000000001</v>
      </c>
      <c r="R25" s="16">
        <v>1365.597</v>
      </c>
      <c r="S25" s="16">
        <v>1235.9549999999999</v>
      </c>
      <c r="T25" s="16">
        <v>1523.4939999999999</v>
      </c>
      <c r="U25" s="16">
        <v>3889.1309999999999</v>
      </c>
      <c r="V25" s="16">
        <v>1678.2429999999999</v>
      </c>
    </row>
    <row r="26" spans="1:22" x14ac:dyDescent="0.25">
      <c r="A26" s="12">
        <v>1924</v>
      </c>
      <c r="B26" s="16">
        <v>10175.785</v>
      </c>
      <c r="C26" s="16">
        <v>2151.3620000000001</v>
      </c>
      <c r="D26" s="16">
        <v>29771.079000000002</v>
      </c>
      <c r="E26" s="16">
        <v>2966.3139999999999</v>
      </c>
      <c r="F26" s="16">
        <v>2236.578</v>
      </c>
      <c r="G26" s="16">
        <v>1780.1780000000001</v>
      </c>
      <c r="H26" s="16">
        <v>832.01099999999997</v>
      </c>
      <c r="I26" s="16">
        <v>1021.6079999999999</v>
      </c>
      <c r="J26" s="16">
        <v>6595.2089999999998</v>
      </c>
      <c r="K26" s="16">
        <v>453.86200000000002</v>
      </c>
      <c r="L26" s="16">
        <v>3332.9760000000001</v>
      </c>
      <c r="M26" s="16">
        <v>15266.191999999999</v>
      </c>
      <c r="N26" s="16">
        <v>671.00199999999995</v>
      </c>
      <c r="O26" s="16">
        <v>459.05399999999997</v>
      </c>
      <c r="P26" s="16">
        <v>764.85599999999999</v>
      </c>
      <c r="Q26" s="16">
        <v>5068.7849999999999</v>
      </c>
      <c r="R26" s="16">
        <v>1388.9649999999999</v>
      </c>
      <c r="S26" s="16">
        <v>1259.499</v>
      </c>
      <c r="T26" s="16">
        <v>1547.3820000000001</v>
      </c>
      <c r="U26" s="16">
        <v>3944.0970000000002</v>
      </c>
      <c r="V26" s="16">
        <v>1712.856</v>
      </c>
    </row>
    <row r="27" spans="1:22" x14ac:dyDescent="0.25">
      <c r="A27" s="12">
        <v>1925</v>
      </c>
      <c r="B27" s="16">
        <v>10476.319</v>
      </c>
      <c r="C27" s="16">
        <v>2170.6480000000001</v>
      </c>
      <c r="D27" s="16">
        <v>30379.187000000002</v>
      </c>
      <c r="E27" s="16">
        <v>3005.1309999999999</v>
      </c>
      <c r="F27" s="16">
        <v>2264.5340000000001</v>
      </c>
      <c r="G27" s="16">
        <v>1821.1130000000001</v>
      </c>
      <c r="H27" s="16">
        <v>852.55399999999997</v>
      </c>
      <c r="I27" s="16">
        <v>1057.567</v>
      </c>
      <c r="J27" s="16">
        <v>6725.96</v>
      </c>
      <c r="K27" s="16">
        <v>463.99</v>
      </c>
      <c r="L27" s="16">
        <v>3423.52</v>
      </c>
      <c r="M27" s="16">
        <v>15461.439</v>
      </c>
      <c r="N27" s="16">
        <v>679.17899999999997</v>
      </c>
      <c r="O27" s="16">
        <v>463.10700000000003</v>
      </c>
      <c r="P27" s="16">
        <v>783.01400000000001</v>
      </c>
      <c r="Q27" s="16">
        <v>5150.2979999999998</v>
      </c>
      <c r="R27" s="16">
        <v>1413.0440000000001</v>
      </c>
      <c r="S27" s="16">
        <v>1281.9829999999999</v>
      </c>
      <c r="T27" s="16">
        <v>1571.35</v>
      </c>
      <c r="U27" s="16">
        <v>3999.7310000000002</v>
      </c>
      <c r="V27" s="16">
        <v>1748.155</v>
      </c>
    </row>
    <row r="28" spans="1:22" x14ac:dyDescent="0.25">
      <c r="A28" s="12">
        <v>1926</v>
      </c>
      <c r="B28" s="16">
        <v>10786.903</v>
      </c>
      <c r="C28" s="16">
        <v>2190.174</v>
      </c>
      <c r="D28" s="16">
        <v>30999.156999999999</v>
      </c>
      <c r="E28" s="16">
        <v>3044.701</v>
      </c>
      <c r="F28" s="16">
        <v>2294.5259999999998</v>
      </c>
      <c r="G28" s="16">
        <v>1862.453</v>
      </c>
      <c r="H28" s="16">
        <v>873.41099999999994</v>
      </c>
      <c r="I28" s="16">
        <v>1094.4960000000001</v>
      </c>
      <c r="J28" s="16">
        <v>6859.4579999999996</v>
      </c>
      <c r="K28" s="16">
        <v>474.77600000000001</v>
      </c>
      <c r="L28" s="16">
        <v>3513.9650000000001</v>
      </c>
      <c r="M28" s="16">
        <v>15667.305</v>
      </c>
      <c r="N28" s="16">
        <v>687.98099999999999</v>
      </c>
      <c r="O28" s="16">
        <v>467.315</v>
      </c>
      <c r="P28" s="16">
        <v>801.51</v>
      </c>
      <c r="Q28" s="16">
        <v>5233.7030000000004</v>
      </c>
      <c r="R28" s="16">
        <v>1437.828</v>
      </c>
      <c r="S28" s="16">
        <v>1303.299</v>
      </c>
      <c r="T28" s="16">
        <v>1602.8109999999999</v>
      </c>
      <c r="U28" s="16">
        <v>4056.5059999999999</v>
      </c>
      <c r="V28" s="16">
        <v>1783.7570000000001</v>
      </c>
    </row>
    <row r="29" spans="1:22" x14ac:dyDescent="0.25">
      <c r="A29" s="12">
        <v>1927</v>
      </c>
      <c r="B29" s="16">
        <v>11103.941999999999</v>
      </c>
      <c r="C29" s="16">
        <v>2210.5549999999998</v>
      </c>
      <c r="D29" s="16">
        <v>31631.679</v>
      </c>
      <c r="E29" s="16">
        <v>3086.4639999999999</v>
      </c>
      <c r="F29" s="16">
        <v>2325.3130000000001</v>
      </c>
      <c r="G29" s="16">
        <v>1904.748</v>
      </c>
      <c r="H29" s="16">
        <v>888.54700000000003</v>
      </c>
      <c r="I29" s="16">
        <v>1132.425</v>
      </c>
      <c r="J29" s="16">
        <v>6995.5410000000002</v>
      </c>
      <c r="K29" s="16">
        <v>483.69900000000001</v>
      </c>
      <c r="L29" s="16">
        <v>3603.7249999999999</v>
      </c>
      <c r="M29" s="16">
        <v>15882.611000000001</v>
      </c>
      <c r="N29" s="16">
        <v>696.93700000000001</v>
      </c>
      <c r="O29" s="16">
        <v>472.24099999999999</v>
      </c>
      <c r="P29" s="16">
        <v>820.77599999999995</v>
      </c>
      <c r="Q29" s="16">
        <v>5318.3450000000003</v>
      </c>
      <c r="R29" s="16">
        <v>1463.3130000000001</v>
      </c>
      <c r="S29" s="16">
        <v>1325.8440000000001</v>
      </c>
      <c r="T29" s="16">
        <v>1633.68</v>
      </c>
      <c r="U29" s="16">
        <v>4114.3959999999997</v>
      </c>
      <c r="V29" s="16">
        <v>1820.2760000000001</v>
      </c>
    </row>
    <row r="30" spans="1:22" x14ac:dyDescent="0.25">
      <c r="A30" s="12">
        <v>1928</v>
      </c>
      <c r="B30" s="16">
        <v>11410.844999999999</v>
      </c>
      <c r="C30" s="16">
        <v>2231.4090000000001</v>
      </c>
      <c r="D30" s="16">
        <v>32276.940999999999</v>
      </c>
      <c r="E30" s="16">
        <v>3130.8589999999999</v>
      </c>
      <c r="F30" s="16">
        <v>2356.15</v>
      </c>
      <c r="G30" s="16">
        <v>1953.0440000000001</v>
      </c>
      <c r="H30" s="16">
        <v>905.42700000000002</v>
      </c>
      <c r="I30" s="16">
        <v>1171.8869999999999</v>
      </c>
      <c r="J30" s="16">
        <v>7135.05</v>
      </c>
      <c r="K30" s="16">
        <v>493.24099999999999</v>
      </c>
      <c r="L30" s="16">
        <v>3599.2150000000001</v>
      </c>
      <c r="M30" s="16">
        <v>16104.675999999999</v>
      </c>
      <c r="N30" s="16">
        <v>705.57399999999996</v>
      </c>
      <c r="O30" s="16">
        <v>476.94900000000001</v>
      </c>
      <c r="P30" s="16">
        <v>840.24300000000005</v>
      </c>
      <c r="Q30" s="16">
        <v>5401.5659999999998</v>
      </c>
      <c r="R30" s="16">
        <v>1489.492</v>
      </c>
      <c r="S30" s="16">
        <v>1352.51</v>
      </c>
      <c r="T30" s="16">
        <v>1664.8720000000001</v>
      </c>
      <c r="U30" s="16">
        <v>4172.8760000000002</v>
      </c>
      <c r="V30" s="16">
        <v>1861.829</v>
      </c>
    </row>
    <row r="31" spans="1:22" x14ac:dyDescent="0.25">
      <c r="A31" s="12">
        <v>1929</v>
      </c>
      <c r="B31" s="16">
        <v>11708.018</v>
      </c>
      <c r="C31" s="16">
        <v>2252.8519999999999</v>
      </c>
      <c r="D31" s="16">
        <v>32935.131999999998</v>
      </c>
      <c r="E31" s="16">
        <v>3175.8249999999998</v>
      </c>
      <c r="F31" s="16">
        <v>2388.2930000000001</v>
      </c>
      <c r="G31" s="16">
        <v>1994.3920000000001</v>
      </c>
      <c r="H31" s="16">
        <v>922.01499999999999</v>
      </c>
      <c r="I31" s="16">
        <v>1211.912</v>
      </c>
      <c r="J31" s="16">
        <v>7278.3249999999998</v>
      </c>
      <c r="K31" s="16">
        <v>504.38200000000001</v>
      </c>
      <c r="L31" s="16">
        <v>3677.3490000000002</v>
      </c>
      <c r="M31" s="16">
        <v>16649.819</v>
      </c>
      <c r="N31" s="16">
        <v>714.91899999999998</v>
      </c>
      <c r="O31" s="16">
        <v>482.00200000000001</v>
      </c>
      <c r="P31" s="16">
        <v>859.84</v>
      </c>
      <c r="Q31" s="16">
        <v>5485.71</v>
      </c>
      <c r="R31" s="16">
        <v>1516.36</v>
      </c>
      <c r="S31" s="16">
        <v>1375.693</v>
      </c>
      <c r="T31" s="16">
        <v>1695.3019999999999</v>
      </c>
      <c r="U31" s="16">
        <v>4232.42</v>
      </c>
      <c r="V31" s="16">
        <v>1904.0319999999999</v>
      </c>
    </row>
    <row r="32" spans="1:22" x14ac:dyDescent="0.25">
      <c r="A32" s="12">
        <v>1930</v>
      </c>
      <c r="B32" s="16">
        <v>11991.369000000001</v>
      </c>
      <c r="C32" s="16">
        <v>2275</v>
      </c>
      <c r="D32" s="16">
        <v>33606.942000000003</v>
      </c>
      <c r="E32" s="16">
        <v>3221.8</v>
      </c>
      <c r="F32" s="16">
        <v>2421</v>
      </c>
      <c r="G32" s="16">
        <v>2035.838</v>
      </c>
      <c r="H32" s="16">
        <v>940.27800000000002</v>
      </c>
      <c r="I32" s="16">
        <v>1253.5340000000001</v>
      </c>
      <c r="J32" s="16">
        <v>7425.7060000000001</v>
      </c>
      <c r="K32" s="16">
        <v>515.60199999999998</v>
      </c>
      <c r="L32" s="16">
        <v>3753.0410000000002</v>
      </c>
      <c r="M32" s="16">
        <v>16552.861000000001</v>
      </c>
      <c r="N32" s="16">
        <v>724</v>
      </c>
      <c r="O32" s="16">
        <v>488.964</v>
      </c>
      <c r="P32" s="16">
        <v>880</v>
      </c>
      <c r="Q32" s="16">
        <v>5569.1210000000001</v>
      </c>
      <c r="R32" s="16">
        <v>1543.913</v>
      </c>
      <c r="S32" s="16">
        <v>1400.7860000000001</v>
      </c>
      <c r="T32" s="16">
        <v>1725.885</v>
      </c>
      <c r="U32" s="16">
        <v>4293</v>
      </c>
      <c r="V32" s="16">
        <v>1951.5</v>
      </c>
    </row>
    <row r="33" spans="1:22" x14ac:dyDescent="0.25">
      <c r="A33" s="12">
        <v>1931</v>
      </c>
      <c r="B33" s="16">
        <v>12233.664000000001</v>
      </c>
      <c r="C33" s="16">
        <v>2298.7629999999999</v>
      </c>
      <c r="D33" s="16">
        <v>34287.497000000003</v>
      </c>
      <c r="E33" s="16">
        <v>3268.0390000000002</v>
      </c>
      <c r="F33" s="16">
        <v>2457.971</v>
      </c>
      <c r="G33" s="16">
        <v>2080.4929999999999</v>
      </c>
      <c r="H33" s="16">
        <v>958.90200000000004</v>
      </c>
      <c r="I33" s="16">
        <v>1296.327</v>
      </c>
      <c r="J33" s="16">
        <v>7576.4269999999997</v>
      </c>
      <c r="K33" s="16">
        <v>526.37199999999996</v>
      </c>
      <c r="L33" s="16">
        <v>3948.0059999999999</v>
      </c>
      <c r="M33" s="16">
        <v>16810.241999999998</v>
      </c>
      <c r="N33" s="16">
        <v>733.14400000000001</v>
      </c>
      <c r="O33" s="16">
        <v>501.61500000000001</v>
      </c>
      <c r="P33" s="16">
        <v>900.71199999999999</v>
      </c>
      <c r="Q33" s="16">
        <v>5658.1670000000004</v>
      </c>
      <c r="R33" s="16">
        <v>1572.586</v>
      </c>
      <c r="S33" s="16">
        <v>1416.7860000000001</v>
      </c>
      <c r="T33" s="16">
        <v>1753.155</v>
      </c>
      <c r="U33" s="16">
        <v>4355.7449999999999</v>
      </c>
      <c r="V33" s="16">
        <v>2000.011</v>
      </c>
    </row>
    <row r="34" spans="1:22" x14ac:dyDescent="0.25">
      <c r="A34" s="12">
        <v>1932</v>
      </c>
      <c r="B34" s="16">
        <v>12463.203</v>
      </c>
      <c r="C34" s="16">
        <v>2323.835</v>
      </c>
      <c r="D34" s="16">
        <v>34973.703999999998</v>
      </c>
      <c r="E34" s="16">
        <v>3315.0120000000002</v>
      </c>
      <c r="F34" s="16">
        <v>2496.0880000000002</v>
      </c>
      <c r="G34" s="16">
        <v>2120.9</v>
      </c>
      <c r="H34" s="16">
        <v>978.553</v>
      </c>
      <c r="I34" s="16">
        <v>1340.3409999999999</v>
      </c>
      <c r="J34" s="16">
        <v>7729.84</v>
      </c>
      <c r="K34" s="16">
        <v>537.702</v>
      </c>
      <c r="L34" s="16">
        <v>3982.4670000000001</v>
      </c>
      <c r="M34" s="16">
        <v>17065.670999999998</v>
      </c>
      <c r="N34" s="16">
        <v>742.73800000000006</v>
      </c>
      <c r="O34" s="16">
        <v>515.11800000000005</v>
      </c>
      <c r="P34" s="16">
        <v>921.55799999999999</v>
      </c>
      <c r="Q34" s="16">
        <v>5745.665</v>
      </c>
      <c r="R34" s="16">
        <v>1602.6790000000001</v>
      </c>
      <c r="S34" s="16">
        <v>1435.3050000000001</v>
      </c>
      <c r="T34" s="16">
        <v>1780.2239999999999</v>
      </c>
      <c r="U34" s="16">
        <v>4419.5060000000003</v>
      </c>
      <c r="V34" s="16">
        <v>2053.067</v>
      </c>
    </row>
    <row r="35" spans="1:22" x14ac:dyDescent="0.25">
      <c r="A35" s="12">
        <v>1933</v>
      </c>
      <c r="B35" s="16">
        <v>12677.94</v>
      </c>
      <c r="C35" s="16">
        <v>2350.5120000000002</v>
      </c>
      <c r="D35" s="16">
        <v>35670.165000000001</v>
      </c>
      <c r="E35" s="16">
        <v>3361.982</v>
      </c>
      <c r="F35" s="16">
        <v>2534.6329999999998</v>
      </c>
      <c r="G35" s="16">
        <v>2157.7570000000001</v>
      </c>
      <c r="H35" s="16">
        <v>997.16300000000001</v>
      </c>
      <c r="I35" s="16">
        <v>1385.568</v>
      </c>
      <c r="J35" s="16">
        <v>7885.9530000000004</v>
      </c>
      <c r="K35" s="16">
        <v>549.13300000000004</v>
      </c>
      <c r="L35" s="16">
        <v>4014.85</v>
      </c>
      <c r="M35" s="16">
        <v>17336.873</v>
      </c>
      <c r="N35" s="16">
        <v>752.40099999999995</v>
      </c>
      <c r="O35" s="16">
        <v>529.35799999999995</v>
      </c>
      <c r="P35" s="16">
        <v>943.10199999999998</v>
      </c>
      <c r="Q35" s="16">
        <v>5833.1220000000003</v>
      </c>
      <c r="R35" s="16">
        <v>1633.981</v>
      </c>
      <c r="S35" s="16">
        <v>1454.4159999999999</v>
      </c>
      <c r="T35" s="16">
        <v>1807.12</v>
      </c>
      <c r="U35" s="16">
        <v>4484.5950000000003</v>
      </c>
      <c r="V35" s="16">
        <v>2103.366</v>
      </c>
    </row>
    <row r="36" spans="1:22" x14ac:dyDescent="0.25">
      <c r="A36" s="12">
        <v>1934</v>
      </c>
      <c r="B36" s="16">
        <v>12888.329</v>
      </c>
      <c r="C36" s="16">
        <v>2378.0909999999999</v>
      </c>
      <c r="D36" s="16">
        <v>36380.483</v>
      </c>
      <c r="E36" s="16">
        <v>3410.212</v>
      </c>
      <c r="F36" s="16">
        <v>2574.386</v>
      </c>
      <c r="G36" s="16">
        <v>2188.7620000000002</v>
      </c>
      <c r="H36" s="16">
        <v>1015.164</v>
      </c>
      <c r="I36" s="16">
        <v>1432</v>
      </c>
      <c r="J36" s="16">
        <v>8046.2780000000002</v>
      </c>
      <c r="K36" s="16">
        <v>561.70699999999999</v>
      </c>
      <c r="L36" s="16">
        <v>4084.5810000000001</v>
      </c>
      <c r="M36" s="16">
        <v>17624.572</v>
      </c>
      <c r="N36" s="16">
        <v>766.74900000000002</v>
      </c>
      <c r="O36" s="16">
        <v>544.22299999999996</v>
      </c>
      <c r="P36" s="16">
        <v>964.91099999999994</v>
      </c>
      <c r="Q36" s="16">
        <v>5920.0450000000001</v>
      </c>
      <c r="R36" s="16">
        <v>1666.2819999999999</v>
      </c>
      <c r="S36" s="16">
        <v>1473.691</v>
      </c>
      <c r="T36" s="16">
        <v>1833.873</v>
      </c>
      <c r="U36" s="16">
        <v>4550.3220000000001</v>
      </c>
      <c r="V36" s="16">
        <v>2155.6080000000002</v>
      </c>
    </row>
    <row r="37" spans="1:22" x14ac:dyDescent="0.25">
      <c r="A37" s="12">
        <v>1935</v>
      </c>
      <c r="B37" s="16">
        <v>13095.325999999999</v>
      </c>
      <c r="C37" s="16">
        <v>2406.3670000000002</v>
      </c>
      <c r="D37" s="16">
        <v>37108.260999999999</v>
      </c>
      <c r="E37" s="16">
        <v>3458.9650000000001</v>
      </c>
      <c r="F37" s="16">
        <v>2614.6289999999999</v>
      </c>
      <c r="G37" s="16">
        <v>2218.614</v>
      </c>
      <c r="H37" s="16">
        <v>1034.9880000000001</v>
      </c>
      <c r="I37" s="16">
        <v>1478.626</v>
      </c>
      <c r="J37" s="16">
        <v>8210.8259999999991</v>
      </c>
      <c r="K37" s="16">
        <v>573.96500000000003</v>
      </c>
      <c r="L37" s="16">
        <v>4131.5839999999998</v>
      </c>
      <c r="M37" s="16">
        <v>17927.992999999999</v>
      </c>
      <c r="N37" s="16">
        <v>782.90200000000004</v>
      </c>
      <c r="O37" s="16">
        <v>559.59799999999996</v>
      </c>
      <c r="P37" s="16">
        <v>987.05</v>
      </c>
      <c r="Q37" s="16">
        <v>6007.9430000000002</v>
      </c>
      <c r="R37" s="16">
        <v>1699.37</v>
      </c>
      <c r="S37" s="16">
        <v>1493.202</v>
      </c>
      <c r="T37" s="16">
        <v>1860.511</v>
      </c>
      <c r="U37" s="16">
        <v>4617.4979999999996</v>
      </c>
      <c r="V37" s="16">
        <v>2214.9920000000002</v>
      </c>
    </row>
    <row r="38" spans="1:22" x14ac:dyDescent="0.25">
      <c r="A38" s="12">
        <v>1936</v>
      </c>
      <c r="B38" s="16">
        <v>13310.384</v>
      </c>
      <c r="C38" s="16">
        <v>2435.136</v>
      </c>
      <c r="D38" s="16">
        <v>37857.101000000002</v>
      </c>
      <c r="E38" s="16">
        <v>3532.0050000000001</v>
      </c>
      <c r="F38" s="16">
        <v>2657.6410000000001</v>
      </c>
      <c r="G38" s="16">
        <v>2256.5100000000002</v>
      </c>
      <c r="H38" s="16">
        <v>1053.567</v>
      </c>
      <c r="I38" s="16">
        <v>1520.9380000000001</v>
      </c>
      <c r="J38" s="16">
        <v>8380.1080000000002</v>
      </c>
      <c r="K38" s="16">
        <v>586.947</v>
      </c>
      <c r="L38" s="16">
        <v>4182.2860000000001</v>
      </c>
      <c r="M38" s="16">
        <v>18249.36</v>
      </c>
      <c r="N38" s="16">
        <v>799.976</v>
      </c>
      <c r="O38" s="16">
        <v>575.37099999999998</v>
      </c>
      <c r="P38" s="16">
        <v>1010.586</v>
      </c>
      <c r="Q38" s="16">
        <v>6102.8239999999996</v>
      </c>
      <c r="R38" s="16">
        <v>1733.0360000000001</v>
      </c>
      <c r="S38" s="16">
        <v>1513.5229999999999</v>
      </c>
      <c r="T38" s="16">
        <v>1884.0619999999999</v>
      </c>
      <c r="U38" s="16">
        <v>4686.9340000000002</v>
      </c>
      <c r="V38" s="16">
        <v>2274.2159999999999</v>
      </c>
    </row>
    <row r="39" spans="1:22" x14ac:dyDescent="0.25">
      <c r="A39" s="12">
        <v>1937</v>
      </c>
      <c r="B39" s="16">
        <v>13533.459000000001</v>
      </c>
      <c r="C39" s="16">
        <v>2464.694</v>
      </c>
      <c r="D39" s="16">
        <v>38630.607000000004</v>
      </c>
      <c r="E39" s="16">
        <v>3606.596</v>
      </c>
      <c r="F39" s="16">
        <v>2700.703</v>
      </c>
      <c r="G39" s="16">
        <v>2292.1509999999998</v>
      </c>
      <c r="H39" s="16">
        <v>1073.3330000000001</v>
      </c>
      <c r="I39" s="16">
        <v>1564.9280000000001</v>
      </c>
      <c r="J39" s="16">
        <v>8555.1329999999998</v>
      </c>
      <c r="K39" s="16">
        <v>600.69600000000003</v>
      </c>
      <c r="L39" s="16">
        <v>4243.6109999999999</v>
      </c>
      <c r="M39" s="16">
        <v>18600.898000000001</v>
      </c>
      <c r="N39" s="16">
        <v>818.09</v>
      </c>
      <c r="O39" s="16">
        <v>590.928</v>
      </c>
      <c r="P39" s="16">
        <v>1034.5830000000001</v>
      </c>
      <c r="Q39" s="16">
        <v>6199.6949999999997</v>
      </c>
      <c r="R39" s="16">
        <v>1767.068</v>
      </c>
      <c r="S39" s="16">
        <v>1534.2260000000001</v>
      </c>
      <c r="T39" s="16">
        <v>1907.5550000000001</v>
      </c>
      <c r="U39" s="16">
        <v>4757.942</v>
      </c>
      <c r="V39" s="16">
        <v>2332.48</v>
      </c>
    </row>
    <row r="40" spans="1:22" x14ac:dyDescent="0.25">
      <c r="A40" s="12">
        <v>1938</v>
      </c>
      <c r="B40" s="16">
        <v>13759.004999999999</v>
      </c>
      <c r="C40" s="16">
        <v>2494.3359999999998</v>
      </c>
      <c r="D40" s="16">
        <v>39433.381000000001</v>
      </c>
      <c r="E40" s="16">
        <v>3683</v>
      </c>
      <c r="F40" s="16">
        <v>2744.0970000000002</v>
      </c>
      <c r="G40" s="16">
        <v>2330.232</v>
      </c>
      <c r="H40" s="16">
        <v>1095.2170000000001</v>
      </c>
      <c r="I40" s="16">
        <v>1609.586</v>
      </c>
      <c r="J40" s="16">
        <v>8735.9140000000007</v>
      </c>
      <c r="K40" s="16">
        <v>615.25199999999995</v>
      </c>
      <c r="L40" s="16">
        <v>4310.9870000000001</v>
      </c>
      <c r="M40" s="16">
        <v>18942.830000000002</v>
      </c>
      <c r="N40" s="16">
        <v>837.36099999999999</v>
      </c>
      <c r="O40" s="16">
        <v>607.15700000000004</v>
      </c>
      <c r="P40" s="16">
        <v>1059.607</v>
      </c>
      <c r="Q40" s="16">
        <v>6298.0649999999996</v>
      </c>
      <c r="R40" s="16">
        <v>1801.2560000000001</v>
      </c>
      <c r="S40" s="16">
        <v>1555.3820000000001</v>
      </c>
      <c r="T40" s="16">
        <v>1931.02</v>
      </c>
      <c r="U40" s="16">
        <v>4831.3310000000001</v>
      </c>
      <c r="V40" s="16">
        <v>2395.4839999999999</v>
      </c>
    </row>
    <row r="41" spans="1:22" x14ac:dyDescent="0.25">
      <c r="A41" s="12">
        <v>1939</v>
      </c>
      <c r="B41" s="16">
        <v>13980.976000000001</v>
      </c>
      <c r="C41" s="16">
        <v>2523.8589999999999</v>
      </c>
      <c r="D41" s="16">
        <v>40268.525999999998</v>
      </c>
      <c r="E41" s="16">
        <v>3761.48</v>
      </c>
      <c r="F41" s="16">
        <v>2786.6019999999999</v>
      </c>
      <c r="G41" s="16">
        <v>2363.9540000000002</v>
      </c>
      <c r="H41" s="16">
        <v>1118.152</v>
      </c>
      <c r="I41" s="16">
        <v>1654.904</v>
      </c>
      <c r="J41" s="16">
        <v>8932.9599999999991</v>
      </c>
      <c r="K41" s="16">
        <v>630.65700000000004</v>
      </c>
      <c r="L41" s="16">
        <v>4362.8370000000004</v>
      </c>
      <c r="M41" s="16">
        <v>19316.381000000001</v>
      </c>
      <c r="N41" s="16">
        <v>857.90800000000002</v>
      </c>
      <c r="O41" s="16">
        <v>623.44200000000001</v>
      </c>
      <c r="P41" s="16">
        <v>1085.2239999999999</v>
      </c>
      <c r="Q41" s="16">
        <v>6399.4409999999998</v>
      </c>
      <c r="R41" s="16">
        <v>1835.3879999999999</v>
      </c>
      <c r="S41" s="16">
        <v>1577.5650000000001</v>
      </c>
      <c r="T41" s="16">
        <v>1954.4839999999999</v>
      </c>
      <c r="U41" s="16">
        <v>4907.9139999999998</v>
      </c>
      <c r="V41" s="16">
        <v>2458.9259999999999</v>
      </c>
    </row>
    <row r="42" spans="1:22" x14ac:dyDescent="0.25">
      <c r="A42" s="12">
        <v>1940</v>
      </c>
      <c r="B42" s="16">
        <v>14160.826999999999</v>
      </c>
      <c r="C42" s="16">
        <v>2553.558</v>
      </c>
      <c r="D42" s="16">
        <v>41139.644999999997</v>
      </c>
      <c r="E42" s="16">
        <v>3842.3</v>
      </c>
      <c r="F42" s="16">
        <v>2828.5</v>
      </c>
      <c r="G42" s="16">
        <v>2405.5140000000001</v>
      </c>
      <c r="H42" s="16">
        <v>1141.07</v>
      </c>
      <c r="I42" s="16">
        <v>1744.374</v>
      </c>
      <c r="J42" s="16">
        <v>9138.7819999999992</v>
      </c>
      <c r="K42" s="16">
        <v>645.952</v>
      </c>
      <c r="L42" s="16">
        <v>4425.5870000000004</v>
      </c>
      <c r="M42" s="16">
        <v>19653.776000000002</v>
      </c>
      <c r="N42" s="16">
        <v>878.34900000000005</v>
      </c>
      <c r="O42" s="16">
        <v>639.67100000000005</v>
      </c>
      <c r="P42" s="16">
        <v>1111.5</v>
      </c>
      <c r="Q42" s="16">
        <v>6503.3310000000001</v>
      </c>
      <c r="R42" s="16">
        <v>1869.2550000000001</v>
      </c>
      <c r="S42" s="16">
        <v>1600.347</v>
      </c>
      <c r="T42" s="16">
        <v>1977.9760000000001</v>
      </c>
      <c r="U42" s="16">
        <v>4987.5</v>
      </c>
      <c r="V42" s="16">
        <v>2521.0050000000001</v>
      </c>
    </row>
    <row r="43" spans="1:22" x14ac:dyDescent="0.25">
      <c r="A43" s="12">
        <v>1941</v>
      </c>
      <c r="B43" s="16">
        <v>14407.373</v>
      </c>
      <c r="C43" s="16">
        <v>2582.7530000000002</v>
      </c>
      <c r="D43" s="16">
        <v>42113.133000000002</v>
      </c>
      <c r="E43" s="16">
        <v>3930.9929999999999</v>
      </c>
      <c r="F43" s="16">
        <v>2872.578</v>
      </c>
      <c r="G43" s="16">
        <v>2447.384</v>
      </c>
      <c r="H43" s="16">
        <v>1164.28</v>
      </c>
      <c r="I43" s="16">
        <v>1793.1279999999999</v>
      </c>
      <c r="J43" s="16">
        <v>9360.51</v>
      </c>
      <c r="K43" s="16">
        <v>661.66200000000003</v>
      </c>
      <c r="L43" s="16">
        <v>4493.7569999999996</v>
      </c>
      <c r="M43" s="16">
        <v>20187.151000000002</v>
      </c>
      <c r="N43" s="16">
        <v>900.42600000000004</v>
      </c>
      <c r="O43" s="16">
        <v>656.51300000000003</v>
      </c>
      <c r="P43" s="16">
        <v>1139.287</v>
      </c>
      <c r="Q43" s="16">
        <v>6613.7640000000001</v>
      </c>
      <c r="R43" s="16">
        <v>1905.3140000000001</v>
      </c>
      <c r="S43" s="16">
        <v>1623.713</v>
      </c>
      <c r="T43" s="16">
        <v>2000.93</v>
      </c>
      <c r="U43" s="16">
        <v>5076.3990000000003</v>
      </c>
      <c r="V43" s="16">
        <v>2584.3150000000001</v>
      </c>
    </row>
    <row r="44" spans="1:22" x14ac:dyDescent="0.25">
      <c r="A44" s="12">
        <v>1942</v>
      </c>
      <c r="B44" s="16">
        <v>14661.746999999999</v>
      </c>
      <c r="C44" s="16">
        <v>2612.0619999999999</v>
      </c>
      <c r="D44" s="16">
        <v>43147.535000000003</v>
      </c>
      <c r="E44" s="16">
        <v>4031.0810000000001</v>
      </c>
      <c r="F44" s="16">
        <v>2921.4450000000002</v>
      </c>
      <c r="G44" s="16">
        <v>2487.5889999999999</v>
      </c>
      <c r="H44" s="16">
        <v>1186.752</v>
      </c>
      <c r="I44" s="16">
        <v>1843.299</v>
      </c>
      <c r="J44" s="16">
        <v>9594.348</v>
      </c>
      <c r="K44" s="16">
        <v>677.79499999999996</v>
      </c>
      <c r="L44" s="16">
        <v>4575.2550000000001</v>
      </c>
      <c r="M44" s="16">
        <v>20726.175999999999</v>
      </c>
      <c r="N44" s="16">
        <v>924.59299999999996</v>
      </c>
      <c r="O44" s="16">
        <v>673.19200000000001</v>
      </c>
      <c r="P44" s="16">
        <v>1168.7739999999999</v>
      </c>
      <c r="Q44" s="16">
        <v>6727.9539999999997</v>
      </c>
      <c r="R44" s="16">
        <v>1945.154</v>
      </c>
      <c r="S44" s="16">
        <v>1647.63</v>
      </c>
      <c r="T44" s="16">
        <v>2023.78</v>
      </c>
      <c r="U44" s="16">
        <v>5174.2889999999998</v>
      </c>
      <c r="V44" s="16">
        <v>2648.5549999999998</v>
      </c>
    </row>
    <row r="45" spans="1:22" x14ac:dyDescent="0.25">
      <c r="A45" s="12">
        <v>1943</v>
      </c>
      <c r="B45" s="16">
        <v>14923.373</v>
      </c>
      <c r="C45" s="16">
        <v>2641.223</v>
      </c>
      <c r="D45" s="16">
        <v>44188.671999999999</v>
      </c>
      <c r="E45" s="16">
        <v>4135.3140000000003</v>
      </c>
      <c r="F45" s="16">
        <v>2961.3670000000002</v>
      </c>
      <c r="G45" s="16">
        <v>2523.4090000000001</v>
      </c>
      <c r="H45" s="16">
        <v>1206.1590000000001</v>
      </c>
      <c r="I45" s="16">
        <v>1895.376</v>
      </c>
      <c r="J45" s="16">
        <v>9840.42</v>
      </c>
      <c r="K45" s="16">
        <v>694.36</v>
      </c>
      <c r="L45" s="16">
        <v>4843.5870000000004</v>
      </c>
      <c r="M45" s="16">
        <v>21343.376</v>
      </c>
      <c r="N45" s="16">
        <v>949.53099999999995</v>
      </c>
      <c r="O45" s="16">
        <v>691.68200000000002</v>
      </c>
      <c r="P45" s="16">
        <v>1199.2860000000001</v>
      </c>
      <c r="Q45" s="16">
        <v>6845.9409999999998</v>
      </c>
      <c r="R45" s="16">
        <v>1987.2570000000001</v>
      </c>
      <c r="S45" s="16">
        <v>1669.6410000000001</v>
      </c>
      <c r="T45" s="16">
        <v>2046.5550000000001</v>
      </c>
      <c r="U45" s="16">
        <v>5277.0360000000001</v>
      </c>
      <c r="V45" s="16">
        <v>2720.085</v>
      </c>
    </row>
    <row r="46" spans="1:22" x14ac:dyDescent="0.25">
      <c r="A46" s="12">
        <v>1944</v>
      </c>
      <c r="B46" s="16">
        <v>15196.179</v>
      </c>
      <c r="C46" s="16">
        <v>2670.4749999999999</v>
      </c>
      <c r="D46" s="16">
        <v>45224.368999999999</v>
      </c>
      <c r="E46" s="16">
        <v>4244.4390000000003</v>
      </c>
      <c r="F46" s="16">
        <v>3006.11</v>
      </c>
      <c r="G46" s="16">
        <v>2562.6219999999998</v>
      </c>
      <c r="H46" s="16">
        <v>1228.671</v>
      </c>
      <c r="I46" s="16">
        <v>1948.348</v>
      </c>
      <c r="J46" s="16">
        <v>10097.348</v>
      </c>
      <c r="K46" s="16">
        <v>712.37099999999998</v>
      </c>
      <c r="L46" s="16">
        <v>4948.2640000000001</v>
      </c>
      <c r="M46" s="16">
        <v>22000.278999999999</v>
      </c>
      <c r="N46" s="16">
        <v>977.42200000000003</v>
      </c>
      <c r="O46" s="16">
        <v>709.45600000000002</v>
      </c>
      <c r="P46" s="16">
        <v>1231.143</v>
      </c>
      <c r="Q46" s="16">
        <v>6968.7659999999996</v>
      </c>
      <c r="R46" s="16">
        <v>2030.1079999999999</v>
      </c>
      <c r="S46" s="16">
        <v>1698.29</v>
      </c>
      <c r="T46" s="16">
        <v>2069.7829999999999</v>
      </c>
      <c r="U46" s="16">
        <v>5384.0050000000001</v>
      </c>
      <c r="V46" s="16">
        <v>2795.2660000000001</v>
      </c>
    </row>
    <row r="47" spans="1:22" x14ac:dyDescent="0.25">
      <c r="A47" s="12">
        <v>1945</v>
      </c>
      <c r="B47" s="16">
        <v>15476.59</v>
      </c>
      <c r="C47" s="16">
        <v>2700.558</v>
      </c>
      <c r="D47" s="16">
        <v>46374.947</v>
      </c>
      <c r="E47" s="16">
        <v>4358.2049999999999</v>
      </c>
      <c r="F47" s="16">
        <v>3051.9380000000001</v>
      </c>
      <c r="G47" s="16">
        <v>2607.0070000000001</v>
      </c>
      <c r="H47" s="16">
        <v>1251.46</v>
      </c>
      <c r="I47" s="16">
        <v>2003.703</v>
      </c>
      <c r="J47" s="16">
        <v>10364.754999999999</v>
      </c>
      <c r="K47" s="16">
        <v>731.83799999999997</v>
      </c>
      <c r="L47" s="16">
        <v>5062.7920000000004</v>
      </c>
      <c r="M47" s="16">
        <v>22711.907999999999</v>
      </c>
      <c r="N47" s="16">
        <v>1007.949</v>
      </c>
      <c r="O47" s="16">
        <v>728.48699999999997</v>
      </c>
      <c r="P47" s="16">
        <v>1263.6690000000001</v>
      </c>
      <c r="Q47" s="16">
        <v>7095.4669999999996</v>
      </c>
      <c r="R47" s="16">
        <v>2072.19</v>
      </c>
      <c r="S47" s="16">
        <v>1725.12</v>
      </c>
      <c r="T47" s="16">
        <v>2092.9920000000002</v>
      </c>
      <c r="U47" s="16">
        <v>5494.5630000000001</v>
      </c>
      <c r="V47" s="16">
        <v>2870.4569999999999</v>
      </c>
    </row>
    <row r="48" spans="1:22" x14ac:dyDescent="0.25">
      <c r="A48" s="12">
        <v>1946</v>
      </c>
      <c r="B48" s="16">
        <v>15762.535</v>
      </c>
      <c r="C48" s="16">
        <v>2731.212</v>
      </c>
      <c r="D48" s="16">
        <v>47601.228999999999</v>
      </c>
      <c r="E48" s="16">
        <v>4476.8609999999999</v>
      </c>
      <c r="F48" s="16">
        <v>3098.616</v>
      </c>
      <c r="G48" s="16">
        <v>2655.3409999999999</v>
      </c>
      <c r="H48" s="16">
        <v>1275.6969999999999</v>
      </c>
      <c r="I48" s="16">
        <v>2059.9299999999998</v>
      </c>
      <c r="J48" s="16">
        <v>10642.266</v>
      </c>
      <c r="K48" s="16">
        <v>749.77300000000002</v>
      </c>
      <c r="L48" s="16">
        <v>5191.1809999999996</v>
      </c>
      <c r="M48" s="16">
        <v>23437.289000000001</v>
      </c>
      <c r="N48" s="16">
        <v>1040.7940000000001</v>
      </c>
      <c r="O48" s="16">
        <v>747.74699999999996</v>
      </c>
      <c r="P48" s="16">
        <v>1296.6869999999999</v>
      </c>
      <c r="Q48" s="16">
        <v>7227.0829999999996</v>
      </c>
      <c r="R48" s="16">
        <v>2111.9870000000001</v>
      </c>
      <c r="S48" s="16">
        <v>1752.175</v>
      </c>
      <c r="T48" s="16">
        <v>2116.7109999999998</v>
      </c>
      <c r="U48" s="16">
        <v>5607.5739999999996</v>
      </c>
      <c r="V48" s="16">
        <v>2948.0189999999998</v>
      </c>
    </row>
    <row r="49" spans="1:22" x14ac:dyDescent="0.25">
      <c r="A49" s="12">
        <v>1947</v>
      </c>
      <c r="B49" s="16">
        <v>16056.438</v>
      </c>
      <c r="C49" s="16">
        <v>2762.6750000000002</v>
      </c>
      <c r="D49" s="16">
        <v>48886.538999999997</v>
      </c>
      <c r="E49" s="16">
        <v>4615.6549999999997</v>
      </c>
      <c r="F49" s="16">
        <v>3146.4110000000001</v>
      </c>
      <c r="G49" s="16">
        <v>2708.904</v>
      </c>
      <c r="H49" s="16">
        <v>1304.0530000000001</v>
      </c>
      <c r="I49" s="16">
        <v>2118.0169999999998</v>
      </c>
      <c r="J49" s="16">
        <v>10929.502</v>
      </c>
      <c r="K49" s="16">
        <v>769.68799999999999</v>
      </c>
      <c r="L49" s="16">
        <v>5322.9380000000001</v>
      </c>
      <c r="M49" s="16">
        <v>24230.949000000001</v>
      </c>
      <c r="N49" s="16">
        <v>1075.1389999999999</v>
      </c>
      <c r="O49" s="16">
        <v>767.21</v>
      </c>
      <c r="P49" s="16">
        <v>1331.018</v>
      </c>
      <c r="Q49" s="16">
        <v>7362.6549999999997</v>
      </c>
      <c r="R49" s="16">
        <v>2147.9830000000002</v>
      </c>
      <c r="S49" s="16">
        <v>1780.999</v>
      </c>
      <c r="T49" s="16">
        <v>2140.9679999999998</v>
      </c>
      <c r="U49" s="16">
        <v>5723.4040000000005</v>
      </c>
      <c r="V49" s="16">
        <v>3031.8119999999999</v>
      </c>
    </row>
    <row r="50" spans="1:22" x14ac:dyDescent="0.25">
      <c r="A50" s="12">
        <v>1948</v>
      </c>
      <c r="B50" s="16">
        <v>16386.226999999999</v>
      </c>
      <c r="C50" s="16">
        <v>2795.6869999999999</v>
      </c>
      <c r="D50" s="16">
        <v>50229.2</v>
      </c>
      <c r="E50" s="16">
        <v>4748.8370000000004</v>
      </c>
      <c r="F50" s="16">
        <v>3195.5859999999998</v>
      </c>
      <c r="G50" s="16">
        <v>2767.4740000000002</v>
      </c>
      <c r="H50" s="16">
        <v>1333.201</v>
      </c>
      <c r="I50" s="16">
        <v>2177.4520000000002</v>
      </c>
      <c r="J50" s="16">
        <v>11224.588</v>
      </c>
      <c r="K50" s="16">
        <v>791.59400000000005</v>
      </c>
      <c r="L50" s="16">
        <v>5455.0709999999999</v>
      </c>
      <c r="M50" s="16">
        <v>25039.912</v>
      </c>
      <c r="N50" s="16">
        <v>1107.6669999999999</v>
      </c>
      <c r="O50" s="16">
        <v>787.34900000000005</v>
      </c>
      <c r="P50" s="16">
        <v>1365.4860000000001</v>
      </c>
      <c r="Q50" s="16">
        <v>7502.723</v>
      </c>
      <c r="R50" s="16">
        <v>2178.6610000000001</v>
      </c>
      <c r="S50" s="16">
        <v>1810.135</v>
      </c>
      <c r="T50" s="16">
        <v>2165.2919999999999</v>
      </c>
      <c r="U50" s="16">
        <v>5840.4189999999999</v>
      </c>
      <c r="V50" s="16">
        <v>3115.1959999999999</v>
      </c>
    </row>
    <row r="51" spans="1:22" x14ac:dyDescent="0.25">
      <c r="A51" s="12">
        <v>1949</v>
      </c>
      <c r="B51" s="16">
        <v>16740.828000000001</v>
      </c>
      <c r="C51" s="16">
        <v>2815.4870000000001</v>
      </c>
      <c r="D51" s="16">
        <v>51626.033000000003</v>
      </c>
      <c r="E51" s="16">
        <v>4888.1530000000002</v>
      </c>
      <c r="F51" s="16">
        <v>3246.9059999999999</v>
      </c>
      <c r="G51" s="16">
        <v>2831.83</v>
      </c>
      <c r="H51" s="16">
        <v>1364.8109999999999</v>
      </c>
      <c r="I51" s="16">
        <v>2239.2260000000001</v>
      </c>
      <c r="J51" s="16">
        <v>11527.646000000001</v>
      </c>
      <c r="K51" s="16">
        <v>816.50199999999995</v>
      </c>
      <c r="L51" s="16">
        <v>5585.5879999999997</v>
      </c>
      <c r="M51" s="16">
        <v>25844.204000000002</v>
      </c>
      <c r="N51" s="16">
        <v>1141.558</v>
      </c>
      <c r="O51" s="16">
        <v>807.63699999999994</v>
      </c>
      <c r="P51" s="16">
        <v>1400.413</v>
      </c>
      <c r="Q51" s="16">
        <v>7648.3239999999996</v>
      </c>
      <c r="R51" s="16">
        <v>2202.5059999999999</v>
      </c>
      <c r="S51" s="16">
        <v>1840.626</v>
      </c>
      <c r="T51" s="16">
        <v>2190.7109999999998</v>
      </c>
      <c r="U51" s="16">
        <v>5958.4840000000004</v>
      </c>
      <c r="V51" s="16">
        <v>3202.0320000000002</v>
      </c>
    </row>
    <row r="52" spans="1:22" x14ac:dyDescent="0.25">
      <c r="A52" s="12">
        <v>1950</v>
      </c>
      <c r="B52" s="16">
        <v>17110.168000000001</v>
      </c>
      <c r="C52" s="16">
        <v>2863.3150000000001</v>
      </c>
      <c r="D52" s="16">
        <v>53076.362000000001</v>
      </c>
      <c r="E52" s="16">
        <v>5033.8540000000003</v>
      </c>
      <c r="F52" s="16">
        <v>3300.6390000000001</v>
      </c>
      <c r="G52" s="16">
        <v>2897.2489999999998</v>
      </c>
      <c r="H52" s="16">
        <v>1399.056</v>
      </c>
      <c r="I52" s="16">
        <v>2303.8249999999998</v>
      </c>
      <c r="J52" s="16">
        <v>11839.3</v>
      </c>
      <c r="K52" s="16">
        <v>844.42499999999995</v>
      </c>
      <c r="L52" s="16">
        <v>5713.9989999999998</v>
      </c>
      <c r="M52" s="16">
        <v>26765.85</v>
      </c>
      <c r="N52" s="16">
        <v>1177.4960000000001</v>
      </c>
      <c r="O52" s="16">
        <v>828.54600000000005</v>
      </c>
      <c r="P52" s="16">
        <v>1435.123</v>
      </c>
      <c r="Q52" s="16">
        <v>7800.5</v>
      </c>
      <c r="R52" s="16">
        <v>2218</v>
      </c>
      <c r="S52" s="16">
        <v>1876.5160000000001</v>
      </c>
      <c r="T52" s="16">
        <v>2216.7530000000002</v>
      </c>
      <c r="U52" s="16">
        <v>6077.4650000000001</v>
      </c>
      <c r="V52" s="16">
        <v>3292.1790000000001</v>
      </c>
    </row>
    <row r="53" spans="1:22" x14ac:dyDescent="0.25">
      <c r="A53" s="12">
        <v>1951</v>
      </c>
      <c r="B53" s="16">
        <v>17448.163</v>
      </c>
      <c r="C53" s="16">
        <v>2910.183</v>
      </c>
      <c r="D53" s="16">
        <v>54672.067999999999</v>
      </c>
      <c r="E53" s="16">
        <v>5238.7669999999998</v>
      </c>
      <c r="F53" s="16">
        <v>3349.692</v>
      </c>
      <c r="G53" s="16">
        <v>2968.31</v>
      </c>
      <c r="H53" s="16">
        <v>1437.8589999999999</v>
      </c>
      <c r="I53" s="16">
        <v>2376.1480000000001</v>
      </c>
      <c r="J53" s="16">
        <v>12160.406000000001</v>
      </c>
      <c r="K53" s="16">
        <v>874.01400000000001</v>
      </c>
      <c r="L53" s="16">
        <v>5838.4340000000002</v>
      </c>
      <c r="M53" s="16">
        <v>27560.798999999999</v>
      </c>
      <c r="N53" s="16">
        <v>1216.028</v>
      </c>
      <c r="O53" s="16">
        <v>850.34900000000005</v>
      </c>
      <c r="P53" s="16">
        <v>1471.4269999999999</v>
      </c>
      <c r="Q53" s="16">
        <v>7995.6270000000004</v>
      </c>
      <c r="R53" s="16">
        <v>2226.663</v>
      </c>
      <c r="S53" s="16">
        <v>1923.4110000000001</v>
      </c>
      <c r="T53" s="16">
        <v>2241.0949999999998</v>
      </c>
      <c r="U53" s="16">
        <v>6207.1949999999997</v>
      </c>
      <c r="V53" s="16">
        <v>3382.2939999999999</v>
      </c>
    </row>
    <row r="54" spans="1:22" x14ac:dyDescent="0.25">
      <c r="A54" s="12">
        <v>1952</v>
      </c>
      <c r="B54" s="16">
        <v>17796.096000000001</v>
      </c>
      <c r="C54" s="16">
        <v>2965.3580000000002</v>
      </c>
      <c r="D54" s="16">
        <v>56407.053</v>
      </c>
      <c r="E54" s="16">
        <v>5479.59</v>
      </c>
      <c r="F54" s="16">
        <v>3399.8679999999999</v>
      </c>
      <c r="G54" s="16">
        <v>3056.3319999999999</v>
      </c>
      <c r="H54" s="16">
        <v>1484.3030000000001</v>
      </c>
      <c r="I54" s="16">
        <v>2456.6529999999998</v>
      </c>
      <c r="J54" s="16">
        <v>12502.031000000001</v>
      </c>
      <c r="K54" s="16">
        <v>909.38199999999995</v>
      </c>
      <c r="L54" s="16">
        <v>5972.826</v>
      </c>
      <c r="M54" s="16">
        <v>28424.615000000002</v>
      </c>
      <c r="N54" s="16">
        <v>1262.075</v>
      </c>
      <c r="O54" s="16">
        <v>874.81700000000001</v>
      </c>
      <c r="P54" s="16">
        <v>1511.2650000000001</v>
      </c>
      <c r="Q54" s="16">
        <v>8198.2019999999993</v>
      </c>
      <c r="R54" s="16">
        <v>2232.2910000000002</v>
      </c>
      <c r="S54" s="16">
        <v>1980.328</v>
      </c>
      <c r="T54" s="16">
        <v>2267.6750000000002</v>
      </c>
      <c r="U54" s="16">
        <v>6355.52</v>
      </c>
      <c r="V54" s="16">
        <v>3483.415</v>
      </c>
    </row>
    <row r="55" spans="1:22" x14ac:dyDescent="0.25">
      <c r="A55" s="12">
        <v>1953</v>
      </c>
      <c r="B55" s="16">
        <v>18147.52</v>
      </c>
      <c r="C55" s="16">
        <v>3026.8850000000002</v>
      </c>
      <c r="D55" s="16">
        <v>58250.58</v>
      </c>
      <c r="E55" s="16">
        <v>5747.7479999999996</v>
      </c>
      <c r="F55" s="16">
        <v>3451.018</v>
      </c>
      <c r="G55" s="16">
        <v>3157.2820000000002</v>
      </c>
      <c r="H55" s="16">
        <v>1536.8420000000001</v>
      </c>
      <c r="I55" s="16">
        <v>2544.5929999999998</v>
      </c>
      <c r="J55" s="16">
        <v>12860.937</v>
      </c>
      <c r="K55" s="16">
        <v>949.70399999999995</v>
      </c>
      <c r="L55" s="16">
        <v>6116.3760000000002</v>
      </c>
      <c r="M55" s="16">
        <v>29357.446</v>
      </c>
      <c r="N55" s="16">
        <v>1315.152</v>
      </c>
      <c r="O55" s="16">
        <v>901.69399999999996</v>
      </c>
      <c r="P55" s="16">
        <v>1554.2650000000001</v>
      </c>
      <c r="Q55" s="16">
        <v>8405.5149999999994</v>
      </c>
      <c r="R55" s="16">
        <v>2236.788</v>
      </c>
      <c r="S55" s="16">
        <v>2047.3320000000001</v>
      </c>
      <c r="T55" s="16">
        <v>2296.366</v>
      </c>
      <c r="U55" s="16">
        <v>6520.3580000000002</v>
      </c>
      <c r="V55" s="16">
        <v>3594.3470000000002</v>
      </c>
    </row>
    <row r="56" spans="1:22" x14ac:dyDescent="0.25">
      <c r="A56" s="12">
        <v>1954</v>
      </c>
      <c r="B56" s="16">
        <v>18496.684000000001</v>
      </c>
      <c r="C56" s="16">
        <v>3092.808</v>
      </c>
      <c r="D56" s="16">
        <v>60172.161</v>
      </c>
      <c r="E56" s="16">
        <v>6034.4690000000001</v>
      </c>
      <c r="F56" s="16">
        <v>3502.942</v>
      </c>
      <c r="G56" s="16">
        <v>3267.5279999999998</v>
      </c>
      <c r="H56" s="16">
        <v>1593.779</v>
      </c>
      <c r="I56" s="16">
        <v>2638.924</v>
      </c>
      <c r="J56" s="16">
        <v>13235.537</v>
      </c>
      <c r="K56" s="16">
        <v>994.25599999999997</v>
      </c>
      <c r="L56" s="16">
        <v>6267.5879999999997</v>
      </c>
      <c r="M56" s="16">
        <v>30360.188999999998</v>
      </c>
      <c r="N56" s="16">
        <v>1374.528</v>
      </c>
      <c r="O56" s="16">
        <v>930.67600000000004</v>
      </c>
      <c r="P56" s="16">
        <v>1600.01</v>
      </c>
      <c r="Q56" s="16">
        <v>8616.2070000000003</v>
      </c>
      <c r="R56" s="16">
        <v>2242.0549999999998</v>
      </c>
      <c r="S56" s="16">
        <v>2124.2869999999998</v>
      </c>
      <c r="T56" s="16">
        <v>2326.9879999999998</v>
      </c>
      <c r="U56" s="16">
        <v>6699.7219999999998</v>
      </c>
      <c r="V56" s="16">
        <v>3713.998</v>
      </c>
    </row>
    <row r="57" spans="1:22" x14ac:dyDescent="0.25">
      <c r="A57" s="12">
        <v>1955</v>
      </c>
      <c r="B57" s="16">
        <v>18837.841</v>
      </c>
      <c r="C57" s="16">
        <v>3160.873</v>
      </c>
      <c r="D57" s="16">
        <v>62141.953999999998</v>
      </c>
      <c r="E57" s="16">
        <v>6330.3789999999999</v>
      </c>
      <c r="F57" s="16">
        <v>3555.6410000000001</v>
      </c>
      <c r="G57" s="16">
        <v>3383.59</v>
      </c>
      <c r="H57" s="16">
        <v>1653.32</v>
      </c>
      <c r="I57" s="16">
        <v>2738.5990000000002</v>
      </c>
      <c r="J57" s="16">
        <v>13624.941999999999</v>
      </c>
      <c r="K57" s="16">
        <v>1041.915</v>
      </c>
      <c r="L57" s="16">
        <v>6424.4660000000003</v>
      </c>
      <c r="M57" s="16">
        <v>31429.492999999999</v>
      </c>
      <c r="N57" s="16">
        <v>1439.318</v>
      </c>
      <c r="O57" s="16">
        <v>961.40899999999999</v>
      </c>
      <c r="P57" s="16">
        <v>1647.8810000000001</v>
      </c>
      <c r="Q57" s="16">
        <v>8829.7710000000006</v>
      </c>
      <c r="R57" s="16">
        <v>2249.9949999999999</v>
      </c>
      <c r="S57" s="16">
        <v>2211.2060000000001</v>
      </c>
      <c r="T57" s="16">
        <v>2359.364</v>
      </c>
      <c r="U57" s="16">
        <v>6891.1279999999997</v>
      </c>
      <c r="V57" s="16">
        <v>3840.971</v>
      </c>
    </row>
    <row r="58" spans="1:22" x14ac:dyDescent="0.25">
      <c r="A58" s="12">
        <v>1956</v>
      </c>
      <c r="B58" s="16">
        <v>19172.988000000001</v>
      </c>
      <c r="C58" s="16">
        <v>3230.8020000000001</v>
      </c>
      <c r="D58" s="16">
        <v>64149.118000000002</v>
      </c>
      <c r="E58" s="16">
        <v>6633.5540000000001</v>
      </c>
      <c r="F58" s="16">
        <v>3610.3339999999998</v>
      </c>
      <c r="G58" s="16">
        <v>3503.3850000000002</v>
      </c>
      <c r="H58" s="16">
        <v>1714.884</v>
      </c>
      <c r="I58" s="16">
        <v>2843.047</v>
      </c>
      <c r="J58" s="16">
        <v>14029.05</v>
      </c>
      <c r="K58" s="16">
        <v>1092.3130000000001</v>
      </c>
      <c r="L58" s="16">
        <v>6582.7460000000001</v>
      </c>
      <c r="M58" s="16">
        <v>32558.896000000001</v>
      </c>
      <c r="N58" s="16">
        <v>1508.5540000000001</v>
      </c>
      <c r="O58" s="16">
        <v>993.71699999999998</v>
      </c>
      <c r="P58" s="16">
        <v>1697.248</v>
      </c>
      <c r="Q58" s="16">
        <v>9048.6589999999997</v>
      </c>
      <c r="R58" s="16">
        <v>2263.047</v>
      </c>
      <c r="S58" s="16">
        <v>2314.5189999999998</v>
      </c>
      <c r="T58" s="16">
        <v>2393.5819999999999</v>
      </c>
      <c r="U58" s="16">
        <v>7093.0259999999998</v>
      </c>
      <c r="V58" s="16">
        <v>3973.6289999999999</v>
      </c>
    </row>
    <row r="59" spans="1:22" x14ac:dyDescent="0.25">
      <c r="A59" s="12">
        <v>1957</v>
      </c>
      <c r="B59" s="16">
        <v>19505.736000000001</v>
      </c>
      <c r="C59" s="16">
        <v>3303.1219999999998</v>
      </c>
      <c r="D59" s="16">
        <v>66201.475000000006</v>
      </c>
      <c r="E59" s="16">
        <v>6945.4769999999999</v>
      </c>
      <c r="F59" s="16">
        <v>3667.8560000000002</v>
      </c>
      <c r="G59" s="16">
        <v>3626.8009999999999</v>
      </c>
      <c r="H59" s="16">
        <v>1778.3219999999999</v>
      </c>
      <c r="I59" s="16">
        <v>2951.5189999999998</v>
      </c>
      <c r="J59" s="16">
        <v>14450.745000000001</v>
      </c>
      <c r="K59" s="16">
        <v>1145</v>
      </c>
      <c r="L59" s="16">
        <v>6739.2830000000004</v>
      </c>
      <c r="M59" s="16">
        <v>33733.144999999997</v>
      </c>
      <c r="N59" s="16">
        <v>1580.2460000000001</v>
      </c>
      <c r="O59" s="16">
        <v>1027.183</v>
      </c>
      <c r="P59" s="16">
        <v>1747.452</v>
      </c>
      <c r="Q59" s="16">
        <v>9277.6470000000008</v>
      </c>
      <c r="R59" s="16">
        <v>2281.65</v>
      </c>
      <c r="S59" s="16">
        <v>2434.2130000000002</v>
      </c>
      <c r="T59" s="16">
        <v>2429.2269999999999</v>
      </c>
      <c r="U59" s="16">
        <v>7301.0720000000001</v>
      </c>
      <c r="V59" s="16">
        <v>4109.9799999999996</v>
      </c>
    </row>
    <row r="60" spans="1:22" x14ac:dyDescent="0.25">
      <c r="A60" s="12">
        <v>1958</v>
      </c>
      <c r="B60" s="16">
        <v>19836.677</v>
      </c>
      <c r="C60" s="16">
        <v>3377.1060000000002</v>
      </c>
      <c r="D60" s="16">
        <v>68295.165999999997</v>
      </c>
      <c r="E60" s="16">
        <v>7260.7839999999997</v>
      </c>
      <c r="F60" s="16">
        <v>3728.8380000000002</v>
      </c>
      <c r="G60" s="16">
        <v>3751.7559999999999</v>
      </c>
      <c r="H60" s="16">
        <v>1842.5619999999999</v>
      </c>
      <c r="I60" s="16">
        <v>3062.0279999999998</v>
      </c>
      <c r="J60" s="16">
        <v>14886.199000000001</v>
      </c>
      <c r="K60" s="16">
        <v>1198.6790000000001</v>
      </c>
      <c r="L60" s="16">
        <v>6893.28</v>
      </c>
      <c r="M60" s="16">
        <v>34931.904000000002</v>
      </c>
      <c r="N60" s="16">
        <v>1651.4760000000001</v>
      </c>
      <c r="O60" s="16">
        <v>1061.288</v>
      </c>
      <c r="P60" s="16">
        <v>1797.7260000000001</v>
      </c>
      <c r="Q60" s="16">
        <v>9519.2880000000005</v>
      </c>
      <c r="R60" s="16">
        <v>2304.7080000000001</v>
      </c>
      <c r="S60" s="16">
        <v>2559.1390000000001</v>
      </c>
      <c r="T60" s="16">
        <v>2465.348</v>
      </c>
      <c r="U60" s="16">
        <v>7508.8879999999999</v>
      </c>
      <c r="V60" s="16">
        <v>4247.5280000000002</v>
      </c>
    </row>
    <row r="61" spans="1:22" x14ac:dyDescent="0.25">
      <c r="A61" s="12">
        <v>1959</v>
      </c>
      <c r="B61" s="16">
        <v>20169.954000000002</v>
      </c>
      <c r="C61" s="16">
        <v>3451.9810000000002</v>
      </c>
      <c r="D61" s="16">
        <v>70425.282999999996</v>
      </c>
      <c r="E61" s="16">
        <v>7571.5110000000004</v>
      </c>
      <c r="F61" s="16">
        <v>3793.9589999999998</v>
      </c>
      <c r="G61" s="16">
        <v>3877.5210000000002</v>
      </c>
      <c r="H61" s="16">
        <v>1906.133</v>
      </c>
      <c r="I61" s="16">
        <v>3172.6350000000002</v>
      </c>
      <c r="J61" s="16">
        <v>15336.982</v>
      </c>
      <c r="K61" s="16">
        <v>1251.702</v>
      </c>
      <c r="L61" s="16">
        <v>7043.8389999999999</v>
      </c>
      <c r="M61" s="16">
        <v>36133.934999999998</v>
      </c>
      <c r="N61" s="16">
        <v>1718.8789999999999</v>
      </c>
      <c r="O61" s="16">
        <v>1095.213</v>
      </c>
      <c r="P61" s="16">
        <v>1847.3050000000001</v>
      </c>
      <c r="Q61" s="16">
        <v>9776.6319999999996</v>
      </c>
      <c r="R61" s="16">
        <v>2331.1219999999998</v>
      </c>
      <c r="S61" s="16">
        <v>2678.5970000000002</v>
      </c>
      <c r="T61" s="16">
        <v>2500.7910000000002</v>
      </c>
      <c r="U61" s="16">
        <v>7710.1980000000003</v>
      </c>
      <c r="V61" s="16">
        <v>4383.5770000000002</v>
      </c>
    </row>
    <row r="62" spans="1:22" x14ac:dyDescent="0.25">
      <c r="A62" s="12">
        <v>1960</v>
      </c>
      <c r="B62" s="16">
        <v>20505.208999999999</v>
      </c>
      <c r="C62" s="16">
        <v>3526.8690000000001</v>
      </c>
      <c r="D62" s="16">
        <v>72581.014999999999</v>
      </c>
      <c r="E62" s="16">
        <v>7869.5439999999999</v>
      </c>
      <c r="F62" s="16">
        <v>3863.8980000000001</v>
      </c>
      <c r="G62" s="16">
        <v>4003.0650000000001</v>
      </c>
      <c r="H62" s="16">
        <v>1967.662</v>
      </c>
      <c r="I62" s="16">
        <v>3281.0529999999999</v>
      </c>
      <c r="J62" s="16">
        <v>15805.366</v>
      </c>
      <c r="K62" s="16">
        <v>1302.07</v>
      </c>
      <c r="L62" s="16">
        <v>7189.5640000000003</v>
      </c>
      <c r="M62" s="16">
        <v>37317.402000000002</v>
      </c>
      <c r="N62" s="16">
        <v>1778.489</v>
      </c>
      <c r="O62" s="16">
        <v>1128.338</v>
      </c>
      <c r="P62" s="16">
        <v>1895.0709999999999</v>
      </c>
      <c r="Q62" s="16">
        <v>10052.532999999999</v>
      </c>
      <c r="R62" s="16">
        <v>2359.797</v>
      </c>
      <c r="S62" s="16">
        <v>2782.2370000000001</v>
      </c>
      <c r="T62" s="16">
        <v>2534.4050000000002</v>
      </c>
      <c r="U62" s="16">
        <v>7898.3729999999996</v>
      </c>
      <c r="V62" s="16">
        <v>4514.8310000000001</v>
      </c>
    </row>
    <row r="63" spans="1:22" x14ac:dyDescent="0.25">
      <c r="A63" s="12">
        <v>1961</v>
      </c>
      <c r="B63" s="16">
        <v>20842.994999999999</v>
      </c>
      <c r="C63" s="16">
        <v>3602.48</v>
      </c>
      <c r="D63" s="16">
        <v>74789.436000000002</v>
      </c>
      <c r="E63" s="16">
        <v>8162.45</v>
      </c>
      <c r="F63" s="16">
        <v>3937.7350000000001</v>
      </c>
      <c r="G63" s="16">
        <v>4134.8919999999998</v>
      </c>
      <c r="H63" s="16">
        <v>2028.6</v>
      </c>
      <c r="I63" s="16">
        <v>3389.232</v>
      </c>
      <c r="J63" s="16">
        <v>16290.378000000001</v>
      </c>
      <c r="K63" s="16">
        <v>1351.4880000000001</v>
      </c>
      <c r="L63" s="16">
        <v>7337.7269999999999</v>
      </c>
      <c r="M63" s="16">
        <v>38515.233999999997</v>
      </c>
      <c r="N63" s="16">
        <v>1833.2950000000001</v>
      </c>
      <c r="O63" s="16">
        <v>1161.3779999999999</v>
      </c>
      <c r="P63" s="16">
        <v>1942.5</v>
      </c>
      <c r="Q63" s="16">
        <v>10345.498</v>
      </c>
      <c r="R63" s="16">
        <v>2396.5100000000002</v>
      </c>
      <c r="S63" s="16">
        <v>2872.5659999999998</v>
      </c>
      <c r="T63" s="16">
        <v>2566.69</v>
      </c>
      <c r="U63" s="16">
        <v>8080.8540000000003</v>
      </c>
      <c r="V63" s="16">
        <v>4645.6490000000003</v>
      </c>
    </row>
    <row r="64" spans="1:22" x14ac:dyDescent="0.25">
      <c r="A64" s="12">
        <v>1962</v>
      </c>
      <c r="B64" s="16">
        <v>21182.971000000001</v>
      </c>
      <c r="C64" s="16">
        <v>3680.317</v>
      </c>
      <c r="D64" s="16">
        <v>77070.892000000007</v>
      </c>
      <c r="E64" s="16">
        <v>8461.9809999999998</v>
      </c>
      <c r="F64" s="16">
        <v>4013.9059999999999</v>
      </c>
      <c r="G64" s="16">
        <v>4277.8890000000001</v>
      </c>
      <c r="H64" s="16">
        <v>2091.817</v>
      </c>
      <c r="I64" s="16">
        <v>3500.1390000000001</v>
      </c>
      <c r="J64" s="16">
        <v>16792.396000000001</v>
      </c>
      <c r="K64" s="16">
        <v>1402.5740000000001</v>
      </c>
      <c r="L64" s="16">
        <v>7495.4750000000004</v>
      </c>
      <c r="M64" s="16">
        <v>39768.652999999998</v>
      </c>
      <c r="N64" s="16">
        <v>1889.2270000000001</v>
      </c>
      <c r="O64" s="16">
        <v>1195.57</v>
      </c>
      <c r="P64" s="16">
        <v>1991.73</v>
      </c>
      <c r="Q64" s="16">
        <v>10649.805</v>
      </c>
      <c r="R64" s="16">
        <v>2443.538</v>
      </c>
      <c r="S64" s="16">
        <v>2959.4090000000001</v>
      </c>
      <c r="T64" s="16">
        <v>2598.721</v>
      </c>
      <c r="U64" s="16">
        <v>8268.1569999999992</v>
      </c>
      <c r="V64" s="16">
        <v>4782.3540000000003</v>
      </c>
    </row>
    <row r="65" spans="1:22" x14ac:dyDescent="0.25">
      <c r="A65" s="12">
        <v>1963</v>
      </c>
      <c r="B65" s="16">
        <v>21524.135999999999</v>
      </c>
      <c r="C65" s="16">
        <v>3760.5720000000001</v>
      </c>
      <c r="D65" s="16">
        <v>79402.080000000002</v>
      </c>
      <c r="E65" s="16">
        <v>8767.7939999999999</v>
      </c>
      <c r="F65" s="16">
        <v>4090.5529999999999</v>
      </c>
      <c r="G65" s="16">
        <v>4426.5240000000003</v>
      </c>
      <c r="H65" s="16">
        <v>2157.3180000000002</v>
      </c>
      <c r="I65" s="16">
        <v>3613.2649999999999</v>
      </c>
      <c r="J65" s="16">
        <v>17307.214</v>
      </c>
      <c r="K65" s="16">
        <v>1454.605</v>
      </c>
      <c r="L65" s="16">
        <v>7660.1419999999998</v>
      </c>
      <c r="M65" s="16">
        <v>41068.383999999998</v>
      </c>
      <c r="N65" s="16">
        <v>1946.748</v>
      </c>
      <c r="O65" s="16">
        <v>1230.876</v>
      </c>
      <c r="P65" s="16">
        <v>2043.3119999999999</v>
      </c>
      <c r="Q65" s="16">
        <v>10963.692999999999</v>
      </c>
      <c r="R65" s="16">
        <v>2494.5300000000002</v>
      </c>
      <c r="S65" s="16">
        <v>3044.39</v>
      </c>
      <c r="T65" s="16">
        <v>2630.0070000000001</v>
      </c>
      <c r="U65" s="16">
        <v>8457.5910000000003</v>
      </c>
      <c r="V65" s="16">
        <v>4924.4719999999998</v>
      </c>
    </row>
    <row r="66" spans="1:22" x14ac:dyDescent="0.25">
      <c r="A66" s="12">
        <v>1964</v>
      </c>
      <c r="B66" s="16">
        <v>21864.741000000002</v>
      </c>
      <c r="C66" s="16">
        <v>3843.3870000000002</v>
      </c>
      <c r="D66" s="16">
        <v>81754.751999999993</v>
      </c>
      <c r="E66" s="16">
        <v>9079.348</v>
      </c>
      <c r="F66" s="16">
        <v>4168.7160000000003</v>
      </c>
      <c r="G66" s="16">
        <v>4575.6660000000002</v>
      </c>
      <c r="H66" s="16">
        <v>2225.2109999999998</v>
      </c>
      <c r="I66" s="16">
        <v>3728.2530000000002</v>
      </c>
      <c r="J66" s="16">
        <v>17831.427</v>
      </c>
      <c r="K66" s="16">
        <v>1506.807</v>
      </c>
      <c r="L66" s="16">
        <v>7826.8130000000001</v>
      </c>
      <c r="M66" s="16">
        <v>42412.654999999999</v>
      </c>
      <c r="N66" s="16">
        <v>2006.124</v>
      </c>
      <c r="O66" s="16">
        <v>1267.2059999999999</v>
      </c>
      <c r="P66" s="16">
        <v>2096.799</v>
      </c>
      <c r="Q66" s="16">
        <v>11285.85</v>
      </c>
      <c r="R66" s="16">
        <v>2543.1350000000002</v>
      </c>
      <c r="S66" s="16">
        <v>3131.0329999999999</v>
      </c>
      <c r="T66" s="16">
        <v>2659.9540000000002</v>
      </c>
      <c r="U66" s="16">
        <v>8645.9130000000005</v>
      </c>
      <c r="V66" s="16">
        <v>5071.8310000000001</v>
      </c>
    </row>
    <row r="67" spans="1:22" x14ac:dyDescent="0.25">
      <c r="A67" s="12">
        <v>1965</v>
      </c>
      <c r="B67" s="16">
        <v>22203.584999999999</v>
      </c>
      <c r="C67" s="16">
        <v>3928.8519999999999</v>
      </c>
      <c r="D67" s="16">
        <v>84096.955000000002</v>
      </c>
      <c r="E67" s="16">
        <v>9395.7489999999998</v>
      </c>
      <c r="F67" s="16">
        <v>4249.5360000000001</v>
      </c>
      <c r="G67" s="16">
        <v>4720.4830000000002</v>
      </c>
      <c r="H67" s="16">
        <v>2295.5</v>
      </c>
      <c r="I67" s="16">
        <v>3843.7440000000001</v>
      </c>
      <c r="J67" s="16">
        <v>18362.38</v>
      </c>
      <c r="K67" s="16">
        <v>1558.4570000000001</v>
      </c>
      <c r="L67" s="16">
        <v>7990.42</v>
      </c>
      <c r="M67" s="16">
        <v>43801.891000000003</v>
      </c>
      <c r="N67" s="16">
        <v>2067.819</v>
      </c>
      <c r="O67" s="16">
        <v>1304.3209999999999</v>
      </c>
      <c r="P67" s="16">
        <v>2151.3429999999998</v>
      </c>
      <c r="Q67" s="16">
        <v>11614.164000000001</v>
      </c>
      <c r="R67" s="16">
        <v>2583.0030000000002</v>
      </c>
      <c r="S67" s="16">
        <v>3221.5140000000001</v>
      </c>
      <c r="T67" s="16">
        <v>2687.9720000000002</v>
      </c>
      <c r="U67" s="16">
        <v>8829.8320000000003</v>
      </c>
      <c r="V67" s="16">
        <v>5224.107</v>
      </c>
    </row>
    <row r="68" spans="1:22" x14ac:dyDescent="0.25">
      <c r="A68" s="12">
        <v>1966</v>
      </c>
      <c r="B68" s="16">
        <v>22539.327000000001</v>
      </c>
      <c r="C68" s="16">
        <v>4017.19</v>
      </c>
      <c r="D68" s="16">
        <v>86419.664999999994</v>
      </c>
      <c r="E68" s="16">
        <v>9715.5560000000005</v>
      </c>
      <c r="F68" s="16">
        <v>4331.7060000000001</v>
      </c>
      <c r="G68" s="16">
        <v>4859.0730000000003</v>
      </c>
      <c r="H68" s="16">
        <v>2368.4070000000002</v>
      </c>
      <c r="I68" s="16">
        <v>3961.06</v>
      </c>
      <c r="J68" s="16">
        <v>18900.115000000002</v>
      </c>
      <c r="K68" s="16">
        <v>1609.5909999999999</v>
      </c>
      <c r="L68" s="16">
        <v>8149.6390000000001</v>
      </c>
      <c r="M68" s="16">
        <v>45236.612000000001</v>
      </c>
      <c r="N68" s="16">
        <v>2131.924</v>
      </c>
      <c r="O68" s="16">
        <v>1342.4110000000001</v>
      </c>
      <c r="P68" s="16">
        <v>2206.8870000000002</v>
      </c>
      <c r="Q68" s="16">
        <v>11948.588</v>
      </c>
      <c r="R68" s="16">
        <v>2612.8960000000002</v>
      </c>
      <c r="S68" s="16">
        <v>3315.7310000000002</v>
      </c>
      <c r="T68" s="16">
        <v>2715.0949999999998</v>
      </c>
      <c r="U68" s="16">
        <v>9009.6620000000003</v>
      </c>
      <c r="V68" s="16">
        <v>5381.5420000000004</v>
      </c>
    </row>
    <row r="69" spans="1:22" x14ac:dyDescent="0.25">
      <c r="A69" s="12">
        <v>1967</v>
      </c>
      <c r="B69" s="16">
        <v>22874.517</v>
      </c>
      <c r="C69" s="16">
        <v>4108.5450000000001</v>
      </c>
      <c r="D69" s="16">
        <v>88733.273000000001</v>
      </c>
      <c r="E69" s="16">
        <v>10039.128000000001</v>
      </c>
      <c r="F69" s="16">
        <v>4415.6580000000004</v>
      </c>
      <c r="G69" s="16">
        <v>4994.9340000000002</v>
      </c>
      <c r="H69" s="16">
        <v>2444.04</v>
      </c>
      <c r="I69" s="16">
        <v>4081.482</v>
      </c>
      <c r="J69" s="16">
        <v>19445.055</v>
      </c>
      <c r="K69" s="16">
        <v>1660.462</v>
      </c>
      <c r="L69" s="16">
        <v>8306.0580000000009</v>
      </c>
      <c r="M69" s="16">
        <v>46715.290999999997</v>
      </c>
      <c r="N69" s="16">
        <v>2198.3870000000002</v>
      </c>
      <c r="O69" s="16">
        <v>1381.348</v>
      </c>
      <c r="P69" s="16">
        <v>2263.39</v>
      </c>
      <c r="Q69" s="16">
        <v>12290.451999999999</v>
      </c>
      <c r="R69" s="16">
        <v>2637.9540000000002</v>
      </c>
      <c r="S69" s="16">
        <v>3411.877</v>
      </c>
      <c r="T69" s="16">
        <v>2741.69</v>
      </c>
      <c r="U69" s="16">
        <v>9187.1990000000005</v>
      </c>
      <c r="V69" s="16">
        <v>5544.6220000000003</v>
      </c>
    </row>
    <row r="70" spans="1:22" x14ac:dyDescent="0.25">
      <c r="A70" s="12">
        <v>1968</v>
      </c>
      <c r="B70" s="16">
        <v>23214.545999999998</v>
      </c>
      <c r="C70" s="16">
        <v>4203.0169999999998</v>
      </c>
      <c r="D70" s="16">
        <v>91044.221999999994</v>
      </c>
      <c r="E70" s="16">
        <v>10368.65</v>
      </c>
      <c r="F70" s="16">
        <v>4501.0609999999997</v>
      </c>
      <c r="G70" s="16">
        <v>5130.1319999999996</v>
      </c>
      <c r="H70" s="16">
        <v>2522.52</v>
      </c>
      <c r="I70" s="16">
        <v>4203.24</v>
      </c>
      <c r="J70" s="16">
        <v>19992.254000000001</v>
      </c>
      <c r="K70" s="16">
        <v>1710.588</v>
      </c>
      <c r="L70" s="16">
        <v>8460.4639999999999</v>
      </c>
      <c r="M70" s="16">
        <v>48233.402000000002</v>
      </c>
      <c r="N70" s="16">
        <v>2267.11</v>
      </c>
      <c r="O70" s="16">
        <v>1421.04</v>
      </c>
      <c r="P70" s="16">
        <v>2320.5549999999998</v>
      </c>
      <c r="Q70" s="16">
        <v>12640.276</v>
      </c>
      <c r="R70" s="16">
        <v>2661.395</v>
      </c>
      <c r="S70" s="16">
        <v>3509.0940000000001</v>
      </c>
      <c r="T70" s="16">
        <v>2765.8870000000002</v>
      </c>
      <c r="U70" s="16">
        <v>9362.4709999999995</v>
      </c>
      <c r="V70" s="16">
        <v>5712.7960000000003</v>
      </c>
    </row>
    <row r="71" spans="1:22" x14ac:dyDescent="0.25">
      <c r="A71" s="12">
        <v>1969</v>
      </c>
      <c r="B71" s="16">
        <v>23563.752</v>
      </c>
      <c r="C71" s="16">
        <v>4300.5050000000001</v>
      </c>
      <c r="D71" s="16">
        <v>93367.754000000001</v>
      </c>
      <c r="E71" s="16">
        <v>10706.057000000001</v>
      </c>
      <c r="F71" s="16">
        <v>4587.335</v>
      </c>
      <c r="G71" s="16">
        <v>5266.2860000000001</v>
      </c>
      <c r="H71" s="16">
        <v>2603.7170000000001</v>
      </c>
      <c r="I71" s="16">
        <v>4326.2659999999996</v>
      </c>
      <c r="J71" s="16">
        <v>20535.07</v>
      </c>
      <c r="K71" s="16">
        <v>1760.1369999999999</v>
      </c>
      <c r="L71" s="16">
        <v>8614.1419999999998</v>
      </c>
      <c r="M71" s="16">
        <v>49784.271999999997</v>
      </c>
      <c r="N71" s="16">
        <v>2338.145</v>
      </c>
      <c r="O71" s="16">
        <v>1461.444</v>
      </c>
      <c r="P71" s="16">
        <v>2378.1869999999999</v>
      </c>
      <c r="Q71" s="16">
        <v>12998.334000000001</v>
      </c>
      <c r="R71" s="16">
        <v>2686.4380000000001</v>
      </c>
      <c r="S71" s="16">
        <v>3606.5239999999999</v>
      </c>
      <c r="T71" s="16">
        <v>2785.9169999999999</v>
      </c>
      <c r="U71" s="16">
        <v>9536.0069999999996</v>
      </c>
      <c r="V71" s="16">
        <v>5885.6109999999999</v>
      </c>
    </row>
    <row r="72" spans="1:22" x14ac:dyDescent="0.25">
      <c r="A72" s="12">
        <v>1970</v>
      </c>
      <c r="B72" s="16">
        <v>23928.774000000001</v>
      </c>
      <c r="C72" s="16">
        <v>4400.8090000000002</v>
      </c>
      <c r="D72" s="16">
        <v>95716.464000000007</v>
      </c>
      <c r="E72" s="16">
        <v>11054.534</v>
      </c>
      <c r="F72" s="16">
        <v>4674.049</v>
      </c>
      <c r="G72" s="16">
        <v>5406.3130000000001</v>
      </c>
      <c r="H72" s="16">
        <v>2687.75</v>
      </c>
      <c r="I72" s="16">
        <v>4450.8410000000003</v>
      </c>
      <c r="J72" s="16">
        <v>21069.51</v>
      </c>
      <c r="K72" s="16">
        <v>1809.277</v>
      </c>
      <c r="L72" s="16">
        <v>8767.4279999999999</v>
      </c>
      <c r="M72" s="16">
        <v>51362.574999999997</v>
      </c>
      <c r="N72" s="16">
        <v>2411.3939999999998</v>
      </c>
      <c r="O72" s="16">
        <v>1502.4690000000001</v>
      </c>
      <c r="P72" s="16">
        <v>2436.0880000000002</v>
      </c>
      <c r="Q72" s="16">
        <v>13346.946</v>
      </c>
      <c r="R72" s="16">
        <v>2716.299</v>
      </c>
      <c r="S72" s="16">
        <v>3702.2069999999999</v>
      </c>
      <c r="T72" s="16">
        <v>2800.4079999999999</v>
      </c>
      <c r="U72" s="16">
        <v>9707.5349999999999</v>
      </c>
      <c r="V72" s="16">
        <v>6062.6639999999998</v>
      </c>
    </row>
    <row r="73" spans="1:22" x14ac:dyDescent="0.25">
      <c r="A73" s="12">
        <v>1971</v>
      </c>
      <c r="B73" s="16">
        <v>24313.350999999999</v>
      </c>
      <c r="C73" s="16">
        <v>4504.415</v>
      </c>
      <c r="D73" s="16">
        <v>98088.357000000004</v>
      </c>
      <c r="E73" s="16">
        <v>11416.28</v>
      </c>
      <c r="F73" s="16">
        <v>4760.5780000000004</v>
      </c>
      <c r="G73" s="16">
        <v>5551.2719999999999</v>
      </c>
      <c r="H73" s="16">
        <v>2775.16</v>
      </c>
      <c r="I73" s="16">
        <v>4577.107</v>
      </c>
      <c r="J73" s="16">
        <v>21588.705000000002</v>
      </c>
      <c r="K73" s="16">
        <v>1857.4169999999999</v>
      </c>
      <c r="L73" s="16">
        <v>8921.5630000000001</v>
      </c>
      <c r="M73" s="16">
        <v>52978.593000000001</v>
      </c>
      <c r="N73" s="16">
        <v>2487.0390000000002</v>
      </c>
      <c r="O73" s="16">
        <v>1544.182</v>
      </c>
      <c r="P73" s="16">
        <v>2494.402</v>
      </c>
      <c r="Q73" s="16">
        <v>13702.472</v>
      </c>
      <c r="R73" s="16">
        <v>2753.1370000000002</v>
      </c>
      <c r="S73" s="16">
        <v>3796.67</v>
      </c>
      <c r="T73" s="16">
        <v>2811.01</v>
      </c>
      <c r="U73" s="16">
        <v>9877.2170000000006</v>
      </c>
      <c r="V73" s="16">
        <v>6244.0649999999996</v>
      </c>
    </row>
    <row r="74" spans="1:22" x14ac:dyDescent="0.25">
      <c r="A74" s="12">
        <v>1972</v>
      </c>
      <c r="B74" s="16">
        <v>24715.019</v>
      </c>
      <c r="C74" s="16">
        <v>4611.3779999999997</v>
      </c>
      <c r="D74" s="16">
        <v>100485.599</v>
      </c>
      <c r="E74" s="16">
        <v>11789.938</v>
      </c>
      <c r="F74" s="16">
        <v>4847.393</v>
      </c>
      <c r="G74" s="16">
        <v>5700.4690000000001</v>
      </c>
      <c r="H74" s="16">
        <v>2866.201</v>
      </c>
      <c r="I74" s="16">
        <v>4705.32</v>
      </c>
      <c r="J74" s="16">
        <v>22098.588</v>
      </c>
      <c r="K74" s="16">
        <v>1904.704</v>
      </c>
      <c r="L74" s="16">
        <v>9073.1090000000004</v>
      </c>
      <c r="M74" s="16">
        <v>54636.224000000002</v>
      </c>
      <c r="N74" s="16">
        <v>2562.6979999999999</v>
      </c>
      <c r="O74" s="16">
        <v>1586.559</v>
      </c>
      <c r="P74" s="16">
        <v>2554.0329999999999</v>
      </c>
      <c r="Q74" s="16">
        <v>14081.316000000001</v>
      </c>
      <c r="R74" s="16">
        <v>2795.7</v>
      </c>
      <c r="S74" s="16">
        <v>3892.1529999999998</v>
      </c>
      <c r="T74" s="16">
        <v>2820.3130000000001</v>
      </c>
      <c r="U74" s="16">
        <v>10045.769</v>
      </c>
      <c r="V74" s="16">
        <v>6430.0069999999996</v>
      </c>
    </row>
    <row r="75" spans="1:22" x14ac:dyDescent="0.25">
      <c r="A75" s="12">
        <v>1973</v>
      </c>
      <c r="B75" s="16">
        <v>25131.042000000001</v>
      </c>
      <c r="C75" s="16">
        <v>4721.2259999999997</v>
      </c>
      <c r="D75" s="16">
        <v>102919.16800000001</v>
      </c>
      <c r="E75" s="16">
        <v>12174.737999999999</v>
      </c>
      <c r="F75" s="16">
        <v>4935.5590000000002</v>
      </c>
      <c r="G75" s="16">
        <v>5853.6670000000004</v>
      </c>
      <c r="H75" s="16">
        <v>2959.6089999999999</v>
      </c>
      <c r="I75" s="16">
        <v>4835.2510000000002</v>
      </c>
      <c r="J75" s="16">
        <v>22610.063999999998</v>
      </c>
      <c r="K75" s="16">
        <v>1952.191</v>
      </c>
      <c r="L75" s="16">
        <v>9215.6370000000006</v>
      </c>
      <c r="M75" s="16">
        <v>56320.998</v>
      </c>
      <c r="N75" s="16">
        <v>2640.5790000000002</v>
      </c>
      <c r="O75" s="16">
        <v>1629.4970000000001</v>
      </c>
      <c r="P75" s="16">
        <v>2616.0500000000002</v>
      </c>
      <c r="Q75" s="16">
        <v>14465.446</v>
      </c>
      <c r="R75" s="16">
        <v>2842.0940000000001</v>
      </c>
      <c r="S75" s="16">
        <v>3988.4160000000002</v>
      </c>
      <c r="T75" s="16">
        <v>2829.4589999999998</v>
      </c>
      <c r="U75" s="16">
        <v>10213.111000000001</v>
      </c>
      <c r="V75" s="16">
        <v>6620.3379999999997</v>
      </c>
    </row>
    <row r="76" spans="1:22" x14ac:dyDescent="0.25">
      <c r="A76" s="12">
        <v>1974</v>
      </c>
      <c r="B76" s="16">
        <v>25555.034</v>
      </c>
      <c r="C76" s="16">
        <v>4833.7359999999999</v>
      </c>
      <c r="D76" s="16">
        <v>105392.54399999999</v>
      </c>
      <c r="E76" s="16">
        <v>12570.108</v>
      </c>
      <c r="F76" s="16">
        <v>5026.4920000000002</v>
      </c>
      <c r="G76" s="16">
        <v>6008.1310000000003</v>
      </c>
      <c r="H76" s="16">
        <v>3053.4679999999998</v>
      </c>
      <c r="I76" s="16">
        <v>4966.3209999999999</v>
      </c>
      <c r="J76" s="16">
        <v>23126.49</v>
      </c>
      <c r="K76" s="16">
        <v>2001.183</v>
      </c>
      <c r="L76" s="16">
        <v>9344.9169999999995</v>
      </c>
      <c r="M76" s="16">
        <v>58016.792999999998</v>
      </c>
      <c r="N76" s="16">
        <v>2723.087</v>
      </c>
      <c r="O76" s="16">
        <v>1672.893</v>
      </c>
      <c r="P76" s="16">
        <v>2680.819</v>
      </c>
      <c r="Q76" s="16">
        <v>14854.028</v>
      </c>
      <c r="R76" s="16">
        <v>2890.4259999999999</v>
      </c>
      <c r="S76" s="16">
        <v>4083.67</v>
      </c>
      <c r="T76" s="16">
        <v>2839.5419999999999</v>
      </c>
      <c r="U76" s="16">
        <v>10378.609</v>
      </c>
      <c r="V76" s="16">
        <v>6814.7039999999997</v>
      </c>
    </row>
    <row r="77" spans="1:22" x14ac:dyDescent="0.25">
      <c r="A77" s="12">
        <v>1975</v>
      </c>
      <c r="B77" s="16">
        <v>25972.86</v>
      </c>
      <c r="C77" s="16">
        <v>4948.1850000000004</v>
      </c>
      <c r="D77" s="16">
        <v>107918.655</v>
      </c>
      <c r="E77" s="16">
        <v>12975.227000000001</v>
      </c>
      <c r="F77" s="16">
        <v>5121.4570000000003</v>
      </c>
      <c r="G77" s="16">
        <v>6161.4750000000004</v>
      </c>
      <c r="H77" s="16">
        <v>3150.4650000000001</v>
      </c>
      <c r="I77" s="16">
        <v>5097.8540000000003</v>
      </c>
      <c r="J77" s="16">
        <v>23653.069</v>
      </c>
      <c r="K77" s="16">
        <v>2052.8829999999998</v>
      </c>
      <c r="L77" s="16">
        <v>9455.8209999999999</v>
      </c>
      <c r="M77" s="16">
        <v>59706.288</v>
      </c>
      <c r="N77" s="16">
        <v>2807.4780000000001</v>
      </c>
      <c r="O77" s="16">
        <v>1716.7919999999999</v>
      </c>
      <c r="P77" s="16">
        <v>2748.06</v>
      </c>
      <c r="Q77" s="16">
        <v>15247.58</v>
      </c>
      <c r="R77" s="16">
        <v>2938.8</v>
      </c>
      <c r="S77" s="16">
        <v>4176.3760000000002</v>
      </c>
      <c r="T77" s="16">
        <v>2851.3560000000002</v>
      </c>
      <c r="U77" s="16">
        <v>10542.482</v>
      </c>
      <c r="V77" s="16">
        <v>7012.7529999999997</v>
      </c>
    </row>
    <row r="78" spans="1:22" x14ac:dyDescent="0.25">
      <c r="A78" s="12">
        <v>1976</v>
      </c>
      <c r="B78" s="16">
        <v>26381.978999999999</v>
      </c>
      <c r="C78" s="16">
        <v>5065.5739999999996</v>
      </c>
      <c r="D78" s="16">
        <v>110514.25900000001</v>
      </c>
      <c r="E78" s="16">
        <v>13395.328</v>
      </c>
      <c r="F78" s="16">
        <v>5220.6229999999996</v>
      </c>
      <c r="G78" s="16">
        <v>6307.2510000000002</v>
      </c>
      <c r="H78" s="16">
        <v>3251.8670000000002</v>
      </c>
      <c r="I78" s="16">
        <v>5229.9970000000003</v>
      </c>
      <c r="J78" s="16">
        <v>24191.132000000001</v>
      </c>
      <c r="K78" s="16">
        <v>2107.8040000000001</v>
      </c>
      <c r="L78" s="16">
        <v>9549.6360000000004</v>
      </c>
      <c r="M78" s="16">
        <v>61398.163999999997</v>
      </c>
      <c r="N78" s="16">
        <v>2894.3270000000002</v>
      </c>
      <c r="O78" s="16">
        <v>1761.2339999999999</v>
      </c>
      <c r="P78" s="16">
        <v>2817.634</v>
      </c>
      <c r="Q78" s="16">
        <v>15648.516</v>
      </c>
      <c r="R78" s="16">
        <v>2989.3539999999998</v>
      </c>
      <c r="S78" s="16">
        <v>4266.9290000000001</v>
      </c>
      <c r="T78" s="16">
        <v>2866.0030000000002</v>
      </c>
      <c r="U78" s="16">
        <v>10703.234</v>
      </c>
      <c r="V78" s="16">
        <v>7214.8739999999998</v>
      </c>
    </row>
    <row r="79" spans="1:22" x14ac:dyDescent="0.25">
      <c r="A79" s="12">
        <v>1977</v>
      </c>
      <c r="B79" s="16">
        <v>26794.258000000002</v>
      </c>
      <c r="C79" s="16">
        <v>5186.1419999999998</v>
      </c>
      <c r="D79" s="16">
        <v>113176.66099999999</v>
      </c>
      <c r="E79" s="16">
        <v>13831.93</v>
      </c>
      <c r="F79" s="16">
        <v>5323.2929999999997</v>
      </c>
      <c r="G79" s="16">
        <v>6455.6930000000002</v>
      </c>
      <c r="H79" s="16">
        <v>3355.4920000000002</v>
      </c>
      <c r="I79" s="16">
        <v>5363.0389999999998</v>
      </c>
      <c r="J79" s="16">
        <v>24746.435000000001</v>
      </c>
      <c r="K79" s="16">
        <v>2165.5729999999999</v>
      </c>
      <c r="L79" s="16">
        <v>9631.2909999999993</v>
      </c>
      <c r="M79" s="16">
        <v>63101.459000000003</v>
      </c>
      <c r="N79" s="16">
        <v>2983.5309999999999</v>
      </c>
      <c r="O79" s="16">
        <v>1806.2860000000001</v>
      </c>
      <c r="P79" s="16">
        <v>2889.6309999999999</v>
      </c>
      <c r="Q79" s="16">
        <v>16060.007</v>
      </c>
      <c r="R79" s="16">
        <v>3043.453</v>
      </c>
      <c r="S79" s="16">
        <v>4357.009</v>
      </c>
      <c r="T79" s="16">
        <v>2883.0059999999999</v>
      </c>
      <c r="U79" s="16">
        <v>10860.837</v>
      </c>
      <c r="V79" s="16">
        <v>7421.4709999999995</v>
      </c>
    </row>
    <row r="80" spans="1:22" x14ac:dyDescent="0.25">
      <c r="A80" s="12">
        <v>1978</v>
      </c>
      <c r="B80" s="16">
        <v>27211.969000000001</v>
      </c>
      <c r="C80" s="16">
        <v>5308.6790000000001</v>
      </c>
      <c r="D80" s="16">
        <v>115897.481</v>
      </c>
      <c r="E80" s="16">
        <v>14278.621999999999</v>
      </c>
      <c r="F80" s="16">
        <v>5429.5780000000004</v>
      </c>
      <c r="G80" s="16">
        <v>6615.4620000000004</v>
      </c>
      <c r="H80" s="16">
        <v>3461.4470000000001</v>
      </c>
      <c r="I80" s="16">
        <v>5497.1090000000004</v>
      </c>
      <c r="J80" s="16">
        <v>25318.298999999999</v>
      </c>
      <c r="K80" s="16">
        <v>2225.9389999999999</v>
      </c>
      <c r="L80" s="16">
        <v>9701.6859999999997</v>
      </c>
      <c r="M80" s="16">
        <v>64800.436999999998</v>
      </c>
      <c r="N80" s="16">
        <v>3073.2820000000002</v>
      </c>
      <c r="O80" s="16">
        <v>1851.739</v>
      </c>
      <c r="P80" s="16">
        <v>2964.4520000000002</v>
      </c>
      <c r="Q80" s="16">
        <v>16481.532999999999</v>
      </c>
      <c r="R80" s="16">
        <v>3098.047</v>
      </c>
      <c r="S80" s="16">
        <v>4446.5969999999998</v>
      </c>
      <c r="T80" s="16">
        <v>2900.7759999999998</v>
      </c>
      <c r="U80" s="16">
        <v>11017.789000000001</v>
      </c>
      <c r="V80" s="16">
        <v>7632.1180000000004</v>
      </c>
    </row>
    <row r="81" spans="1:22" x14ac:dyDescent="0.25">
      <c r="A81" s="12">
        <v>1979</v>
      </c>
      <c r="B81" s="16">
        <v>27635.284</v>
      </c>
      <c r="C81" s="16">
        <v>5432.5219999999999</v>
      </c>
      <c r="D81" s="16">
        <v>118666.04</v>
      </c>
      <c r="E81" s="16">
        <v>14728.64</v>
      </c>
      <c r="F81" s="16">
        <v>5539.4390000000003</v>
      </c>
      <c r="G81" s="16">
        <v>6780.1719999999996</v>
      </c>
      <c r="H81" s="16">
        <v>3570.04</v>
      </c>
      <c r="I81" s="16">
        <v>5632.1890000000003</v>
      </c>
      <c r="J81" s="16">
        <v>25898.447</v>
      </c>
      <c r="K81" s="16">
        <v>2288.6489999999999</v>
      </c>
      <c r="L81" s="16">
        <v>9762.0740000000005</v>
      </c>
      <c r="M81" s="16">
        <v>66471.513000000006</v>
      </c>
      <c r="N81" s="16">
        <v>3161.5720000000001</v>
      </c>
      <c r="O81" s="16">
        <v>1897.4849999999999</v>
      </c>
      <c r="P81" s="16">
        <v>3042.8</v>
      </c>
      <c r="Q81" s="16">
        <v>16909.721000000001</v>
      </c>
      <c r="R81" s="16">
        <v>3150.087</v>
      </c>
      <c r="S81" s="16">
        <v>4531.174</v>
      </c>
      <c r="T81" s="16">
        <v>2918.1289999999999</v>
      </c>
      <c r="U81" s="16">
        <v>11176.786</v>
      </c>
      <c r="V81" s="16">
        <v>7846.192</v>
      </c>
    </row>
    <row r="82" spans="1:22" x14ac:dyDescent="0.25">
      <c r="A82" s="12">
        <v>1980</v>
      </c>
      <c r="B82" s="16">
        <v>28066.525000000001</v>
      </c>
      <c r="C82" s="16">
        <v>5557.0129999999999</v>
      </c>
      <c r="D82" s="16">
        <v>121472.558</v>
      </c>
      <c r="E82" s="16">
        <v>15174.772999999999</v>
      </c>
      <c r="F82" s="16">
        <v>5652.8879999999999</v>
      </c>
      <c r="G82" s="16">
        <v>6950.6350000000002</v>
      </c>
      <c r="H82" s="16">
        <v>3681.5309999999999</v>
      </c>
      <c r="I82" s="16">
        <v>5768.4589999999998</v>
      </c>
      <c r="J82" s="16">
        <v>26492.948</v>
      </c>
      <c r="K82" s="16">
        <v>2353.1529999999998</v>
      </c>
      <c r="L82" s="16">
        <v>9814.107</v>
      </c>
      <c r="M82" s="16">
        <v>68086.202000000005</v>
      </c>
      <c r="N82" s="16">
        <v>3251.44</v>
      </c>
      <c r="O82" s="16">
        <v>1943.3130000000001</v>
      </c>
      <c r="P82" s="16">
        <v>3125.4780000000001</v>
      </c>
      <c r="Q82" s="16">
        <v>17342.552</v>
      </c>
      <c r="R82" s="16">
        <v>3196.52</v>
      </c>
      <c r="S82" s="16">
        <v>4600.4719999999998</v>
      </c>
      <c r="T82" s="16">
        <v>2933.8789999999999</v>
      </c>
      <c r="U82" s="16">
        <v>11341.476000000001</v>
      </c>
      <c r="V82" s="16">
        <v>8063.6660000000002</v>
      </c>
    </row>
    <row r="83" spans="1:22" x14ac:dyDescent="0.25">
      <c r="A83" s="12">
        <v>1981</v>
      </c>
      <c r="B83" s="16">
        <v>28508.591</v>
      </c>
      <c r="C83" s="16">
        <v>5681.3990000000003</v>
      </c>
      <c r="D83" s="16">
        <v>124325.48299999999</v>
      </c>
      <c r="E83" s="16">
        <v>15614.535</v>
      </c>
      <c r="F83" s="16">
        <v>5771.6369999999997</v>
      </c>
      <c r="G83" s="16">
        <v>7126</v>
      </c>
      <c r="H83" s="16">
        <v>3796.0010000000002</v>
      </c>
      <c r="I83" s="16">
        <v>5905.32</v>
      </c>
      <c r="J83" s="16">
        <v>27100.780999999999</v>
      </c>
      <c r="K83" s="16">
        <v>2419.6660000000002</v>
      </c>
      <c r="L83" s="16">
        <v>9862.7880000000005</v>
      </c>
      <c r="M83" s="16">
        <v>69610.278999999995</v>
      </c>
      <c r="N83" s="16">
        <v>3344.0529999999999</v>
      </c>
      <c r="O83" s="16">
        <v>1989.404</v>
      </c>
      <c r="P83" s="16">
        <v>3213.788</v>
      </c>
      <c r="Q83" s="16">
        <v>17779.522000000001</v>
      </c>
      <c r="R83" s="16">
        <v>3237.4290000000001</v>
      </c>
      <c r="S83" s="16">
        <v>4652.3459999999995</v>
      </c>
      <c r="T83" s="16">
        <v>2948.7150000000001</v>
      </c>
      <c r="U83" s="16">
        <v>11512.355</v>
      </c>
      <c r="V83" s="16">
        <v>8284.8619999999992</v>
      </c>
    </row>
    <row r="84" spans="1:22" x14ac:dyDescent="0.25">
      <c r="A84" s="12">
        <v>1982</v>
      </c>
      <c r="B84" s="16">
        <v>28959.071</v>
      </c>
      <c r="C84" s="16">
        <v>5805.84</v>
      </c>
      <c r="D84" s="16">
        <v>127217.29300000001</v>
      </c>
      <c r="E84" s="16">
        <v>16052.043</v>
      </c>
      <c r="F84" s="16">
        <v>5896.3879999999999</v>
      </c>
      <c r="G84" s="16">
        <v>7298.9040000000005</v>
      </c>
      <c r="H84" s="16">
        <v>3913.3229999999999</v>
      </c>
      <c r="I84" s="16">
        <v>6042.174</v>
      </c>
      <c r="J84" s="16">
        <v>27721.190999999999</v>
      </c>
      <c r="K84" s="16">
        <v>2488.66</v>
      </c>
      <c r="L84" s="16">
        <v>9916.3629999999994</v>
      </c>
      <c r="M84" s="16">
        <v>71064.396999999997</v>
      </c>
      <c r="N84" s="16">
        <v>3436.9650000000001</v>
      </c>
      <c r="O84" s="16">
        <v>2035.93</v>
      </c>
      <c r="P84" s="16">
        <v>3307.3690000000001</v>
      </c>
      <c r="Q84" s="16">
        <v>18221.868999999999</v>
      </c>
      <c r="R84" s="16">
        <v>3275.373</v>
      </c>
      <c r="S84" s="16">
        <v>4712.9780000000001</v>
      </c>
      <c r="T84" s="16">
        <v>2964.4090000000001</v>
      </c>
      <c r="U84" s="16">
        <v>11687.973</v>
      </c>
      <c r="V84" s="16">
        <v>8509.8950000000004</v>
      </c>
    </row>
    <row r="85" spans="1:22" x14ac:dyDescent="0.25">
      <c r="A85" s="12">
        <v>1983</v>
      </c>
      <c r="B85" s="16">
        <v>29415.993999999999</v>
      </c>
      <c r="C85" s="16">
        <v>5931.3419999999996</v>
      </c>
      <c r="D85" s="16">
        <v>130124.037</v>
      </c>
      <c r="E85" s="16">
        <v>16491.087</v>
      </c>
      <c r="F85" s="16">
        <v>6025.41</v>
      </c>
      <c r="G85" s="16">
        <v>7481.3159999999998</v>
      </c>
      <c r="H85" s="16">
        <v>4033.444</v>
      </c>
      <c r="I85" s="16">
        <v>6180.1530000000002</v>
      </c>
      <c r="J85" s="16">
        <v>28357.455000000002</v>
      </c>
      <c r="K85" s="16">
        <v>2559.7890000000002</v>
      </c>
      <c r="L85" s="16">
        <v>9976.2270000000008</v>
      </c>
      <c r="M85" s="16">
        <v>72497.414000000004</v>
      </c>
      <c r="N85" s="16">
        <v>3529.1590000000001</v>
      </c>
      <c r="O85" s="16">
        <v>2082.873</v>
      </c>
      <c r="P85" s="16">
        <v>3404.7550000000001</v>
      </c>
      <c r="Q85" s="16">
        <v>18670.826000000001</v>
      </c>
      <c r="R85" s="16">
        <v>3311.0239999999999</v>
      </c>
      <c r="S85" s="16">
        <v>4788.8909999999996</v>
      </c>
      <c r="T85" s="16">
        <v>2980.7930000000001</v>
      </c>
      <c r="U85" s="16">
        <v>11869.28</v>
      </c>
      <c r="V85" s="16">
        <v>8738.7999999999993</v>
      </c>
    </row>
    <row r="86" spans="1:22" x14ac:dyDescent="0.25">
      <c r="A86" s="12">
        <v>1984</v>
      </c>
      <c r="B86" s="16">
        <v>29877.042000000001</v>
      </c>
      <c r="C86" s="16">
        <v>6059.2120000000004</v>
      </c>
      <c r="D86" s="16">
        <v>133018.16099999999</v>
      </c>
      <c r="E86" s="16">
        <v>16935.654999999999</v>
      </c>
      <c r="F86" s="16">
        <v>6156.9210000000003</v>
      </c>
      <c r="G86" s="16">
        <v>7680.857</v>
      </c>
      <c r="H86" s="16">
        <v>4155.9579999999996</v>
      </c>
      <c r="I86" s="16">
        <v>6319.2889999999998</v>
      </c>
      <c r="J86" s="16">
        <v>28998.346000000001</v>
      </c>
      <c r="K86" s="16">
        <v>2632.605</v>
      </c>
      <c r="L86" s="16">
        <v>10040.323</v>
      </c>
      <c r="M86" s="16">
        <v>73935.036999999997</v>
      </c>
      <c r="N86" s="16">
        <v>3619.4639999999999</v>
      </c>
      <c r="O86" s="16">
        <v>2130.2620000000002</v>
      </c>
      <c r="P86" s="16">
        <v>3504.7280000000001</v>
      </c>
      <c r="Q86" s="16">
        <v>19125.325000000001</v>
      </c>
      <c r="R86" s="16">
        <v>3345.0520000000001</v>
      </c>
      <c r="S86" s="16">
        <v>4867.3050000000003</v>
      </c>
      <c r="T86" s="16">
        <v>2997.453</v>
      </c>
      <c r="U86" s="16">
        <v>12056.373</v>
      </c>
      <c r="V86" s="16">
        <v>8971.2630000000008</v>
      </c>
    </row>
    <row r="87" spans="1:22" x14ac:dyDescent="0.25">
      <c r="A87" s="12">
        <v>1985</v>
      </c>
      <c r="B87" s="16">
        <v>30339.192999999999</v>
      </c>
      <c r="C87" s="16">
        <v>6190.2060000000001</v>
      </c>
      <c r="D87" s="16">
        <v>135867.56099999999</v>
      </c>
      <c r="E87" s="16">
        <v>17389.287</v>
      </c>
      <c r="F87" s="16">
        <v>6289.54</v>
      </c>
      <c r="G87" s="16">
        <v>7884.7960000000003</v>
      </c>
      <c r="H87" s="16">
        <v>4280.41</v>
      </c>
      <c r="I87" s="16">
        <v>6458.4620000000004</v>
      </c>
      <c r="J87" s="16">
        <v>29626.138999999999</v>
      </c>
      <c r="K87" s="16">
        <v>2706.712</v>
      </c>
      <c r="L87" s="16">
        <v>10110.846</v>
      </c>
      <c r="M87" s="16">
        <v>75404.123999999996</v>
      </c>
      <c r="N87" s="16">
        <v>3708.1120000000001</v>
      </c>
      <c r="O87" s="16">
        <v>2177.8780000000002</v>
      </c>
      <c r="P87" s="16">
        <v>3606.3209999999999</v>
      </c>
      <c r="Q87" s="16">
        <v>19583.399000000001</v>
      </c>
      <c r="R87" s="16">
        <v>3378.125</v>
      </c>
      <c r="S87" s="16">
        <v>4949.2920000000004</v>
      </c>
      <c r="T87" s="16">
        <v>3014.473</v>
      </c>
      <c r="U87" s="16">
        <v>12248.851000000001</v>
      </c>
      <c r="V87" s="16">
        <v>9205.0220000000008</v>
      </c>
    </row>
    <row r="88" spans="1:22" x14ac:dyDescent="0.25">
      <c r="A88" s="12">
        <v>1986</v>
      </c>
      <c r="B88" s="16">
        <v>30804.008000000002</v>
      </c>
      <c r="C88" s="16">
        <v>6324.7250000000004</v>
      </c>
      <c r="D88" s="16">
        <v>138662.891</v>
      </c>
      <c r="E88" s="16">
        <v>17855.986000000001</v>
      </c>
      <c r="F88" s="16">
        <v>6423.3540000000003</v>
      </c>
      <c r="G88" s="16">
        <v>8089.759</v>
      </c>
      <c r="H88" s="16">
        <v>4407.4840000000004</v>
      </c>
      <c r="I88" s="16">
        <v>6597.5709999999999</v>
      </c>
      <c r="J88" s="16">
        <v>30248.050999999999</v>
      </c>
      <c r="K88" s="16">
        <v>2781.6179999999999</v>
      </c>
      <c r="L88" s="16">
        <v>10194.874</v>
      </c>
      <c r="M88" s="16">
        <v>76909.346000000005</v>
      </c>
      <c r="N88" s="16">
        <v>3795.058</v>
      </c>
      <c r="O88" s="16">
        <v>2225.44</v>
      </c>
      <c r="P88" s="16">
        <v>3709.8670000000002</v>
      </c>
      <c r="Q88" s="16">
        <v>20041.466</v>
      </c>
      <c r="R88" s="16">
        <v>3409.8119999999999</v>
      </c>
      <c r="S88" s="16">
        <v>5032.0159999999996</v>
      </c>
      <c r="T88" s="16">
        <v>3031.9969999999998</v>
      </c>
      <c r="U88" s="16">
        <v>12447.163</v>
      </c>
      <c r="V88" s="16">
        <v>9438.9740000000002</v>
      </c>
    </row>
    <row r="89" spans="1:22" x14ac:dyDescent="0.25">
      <c r="A89" s="12">
        <v>1987</v>
      </c>
      <c r="B89" s="16">
        <v>31273.366000000002</v>
      </c>
      <c r="C89" s="16">
        <v>6463.0039999999999</v>
      </c>
      <c r="D89" s="16">
        <v>141413.48699999999</v>
      </c>
      <c r="E89" s="16">
        <v>18333.393</v>
      </c>
      <c r="F89" s="16">
        <v>6559.6750000000002</v>
      </c>
      <c r="G89" s="16">
        <v>8297.5759999999991</v>
      </c>
      <c r="H89" s="16">
        <v>4537.4840000000004</v>
      </c>
      <c r="I89" s="16">
        <v>6737.2160000000003</v>
      </c>
      <c r="J89" s="16">
        <v>30877.329000000002</v>
      </c>
      <c r="K89" s="16">
        <v>2857.1750000000002</v>
      </c>
      <c r="L89" s="16">
        <v>10292.445</v>
      </c>
      <c r="M89" s="16">
        <v>78436.316000000006</v>
      </c>
      <c r="N89" s="16">
        <v>3880.6370000000002</v>
      </c>
      <c r="O89" s="16">
        <v>2272.9279999999999</v>
      </c>
      <c r="P89" s="16">
        <v>3815.877</v>
      </c>
      <c r="Q89" s="16">
        <v>20499.830000000002</v>
      </c>
      <c r="R89" s="16">
        <v>3439.7890000000002</v>
      </c>
      <c r="S89" s="16">
        <v>5114.9449999999997</v>
      </c>
      <c r="T89" s="16">
        <v>3050.1019999999999</v>
      </c>
      <c r="U89" s="16">
        <v>12652.748</v>
      </c>
      <c r="V89" s="16">
        <v>9673.59</v>
      </c>
    </row>
    <row r="90" spans="1:22" x14ac:dyDescent="0.25">
      <c r="A90" s="12">
        <v>1988</v>
      </c>
      <c r="B90" s="16">
        <v>31747.909</v>
      </c>
      <c r="C90" s="16">
        <v>6605.1239999999998</v>
      </c>
      <c r="D90" s="16">
        <v>144119.37</v>
      </c>
      <c r="E90" s="16">
        <v>18815.91</v>
      </c>
      <c r="F90" s="16">
        <v>6698.4080000000004</v>
      </c>
      <c r="G90" s="16">
        <v>8511.6540000000005</v>
      </c>
      <c r="H90" s="16">
        <v>4670.0559999999996</v>
      </c>
      <c r="I90" s="16">
        <v>6878.1019999999999</v>
      </c>
      <c r="J90" s="16">
        <v>31513.723000000002</v>
      </c>
      <c r="K90" s="16">
        <v>2933.337</v>
      </c>
      <c r="L90" s="16">
        <v>10397.821</v>
      </c>
      <c r="M90" s="16">
        <v>79982.023000000001</v>
      </c>
      <c r="N90" s="16">
        <v>3967.1239999999998</v>
      </c>
      <c r="O90" s="16">
        <v>2320.5880000000002</v>
      </c>
      <c r="P90" s="16">
        <v>3923.701</v>
      </c>
      <c r="Q90" s="16">
        <v>20962.286</v>
      </c>
      <c r="R90" s="16">
        <v>3468.89</v>
      </c>
      <c r="S90" s="16">
        <v>5199.96</v>
      </c>
      <c r="T90" s="16">
        <v>3068.797</v>
      </c>
      <c r="U90" s="16">
        <v>12865.361999999999</v>
      </c>
      <c r="V90" s="16">
        <v>9907.6890000000003</v>
      </c>
    </row>
    <row r="91" spans="1:22" x14ac:dyDescent="0.25">
      <c r="A91" s="12">
        <v>1989</v>
      </c>
      <c r="B91" s="16">
        <v>32222.323</v>
      </c>
      <c r="C91" s="16">
        <v>6750.7650000000003</v>
      </c>
      <c r="D91" s="16">
        <v>146778.96100000001</v>
      </c>
      <c r="E91" s="16">
        <v>19299.082999999999</v>
      </c>
      <c r="F91" s="16">
        <v>6839.16</v>
      </c>
      <c r="G91" s="16">
        <v>8731.6959999999999</v>
      </c>
      <c r="H91" s="16">
        <v>4804.8969999999999</v>
      </c>
      <c r="I91" s="16">
        <v>7020.9870000000001</v>
      </c>
      <c r="J91" s="16">
        <v>32158.682000000001</v>
      </c>
      <c r="K91" s="16">
        <v>3010.4059999999999</v>
      </c>
      <c r="L91" s="16">
        <v>10502.76</v>
      </c>
      <c r="M91" s="16">
        <v>81536.66</v>
      </c>
      <c r="N91" s="16">
        <v>4056.8890000000001</v>
      </c>
      <c r="O91" s="16">
        <v>2368.817</v>
      </c>
      <c r="P91" s="16">
        <v>4032.636</v>
      </c>
      <c r="Q91" s="16">
        <v>21426.33</v>
      </c>
      <c r="R91" s="16">
        <v>3497.9470000000001</v>
      </c>
      <c r="S91" s="16">
        <v>5285.7920000000004</v>
      </c>
      <c r="T91" s="16">
        <v>3087.8429999999998</v>
      </c>
      <c r="U91" s="16">
        <v>13083.911</v>
      </c>
      <c r="V91" s="16">
        <v>10140.939</v>
      </c>
    </row>
    <row r="92" spans="1:22" x14ac:dyDescent="0.25">
      <c r="A92" s="12">
        <v>1990</v>
      </c>
      <c r="B92" s="16">
        <v>32691.35</v>
      </c>
      <c r="C92" s="16">
        <v>6899.4070000000002</v>
      </c>
      <c r="D92" s="16">
        <v>149393.88099999999</v>
      </c>
      <c r="E92" s="16">
        <v>19778.914000000001</v>
      </c>
      <c r="F92" s="16">
        <v>6981.4849999999997</v>
      </c>
      <c r="G92" s="16">
        <v>8957.5079999999998</v>
      </c>
      <c r="H92" s="16">
        <v>4942.1019999999999</v>
      </c>
      <c r="I92" s="16">
        <v>7165.3289999999997</v>
      </c>
      <c r="J92" s="16">
        <v>32813.156000000003</v>
      </c>
      <c r="K92" s="16">
        <v>3089.4319999999998</v>
      </c>
      <c r="L92" s="16">
        <v>10597.822</v>
      </c>
      <c r="M92" s="16">
        <v>83112.014999999999</v>
      </c>
      <c r="N92" s="16">
        <v>4150.2079999999996</v>
      </c>
      <c r="O92" s="16">
        <v>2418.2629999999999</v>
      </c>
      <c r="P92" s="16">
        <v>4141.6819999999998</v>
      </c>
      <c r="Q92" s="16">
        <v>21889.706999999999</v>
      </c>
      <c r="R92" s="16">
        <v>3527.7959999999998</v>
      </c>
      <c r="S92" s="16">
        <v>5372.0190000000002</v>
      </c>
      <c r="T92" s="16">
        <v>3107.1979999999999</v>
      </c>
      <c r="U92" s="16">
        <v>13308.155000000001</v>
      </c>
      <c r="V92" s="16">
        <v>10372.861999999999</v>
      </c>
    </row>
    <row r="93" spans="1:22" x14ac:dyDescent="0.25">
      <c r="A93" s="12">
        <v>1991</v>
      </c>
      <c r="B93" s="16">
        <v>33152.957999999999</v>
      </c>
      <c r="C93" s="16">
        <v>7051.9120000000003</v>
      </c>
      <c r="D93" s="16">
        <v>151941.899</v>
      </c>
      <c r="E93" s="16">
        <v>20254.891</v>
      </c>
      <c r="F93" s="16">
        <v>7124.49</v>
      </c>
      <c r="G93" s="16">
        <v>9185.6239999999998</v>
      </c>
      <c r="H93" s="16">
        <v>5082.2280000000001</v>
      </c>
      <c r="I93" s="16">
        <v>7310.2969999999996</v>
      </c>
      <c r="J93" s="16">
        <v>33465.180999999997</v>
      </c>
      <c r="K93" s="16">
        <v>3170.8719999999998</v>
      </c>
      <c r="L93" s="16">
        <v>10678.572</v>
      </c>
      <c r="M93" s="16">
        <v>84724.630999999994</v>
      </c>
      <c r="N93" s="16">
        <v>4248.28</v>
      </c>
      <c r="O93" s="16">
        <v>2469.1210000000001</v>
      </c>
      <c r="P93" s="16">
        <v>4250.9930000000004</v>
      </c>
      <c r="Q93" s="16">
        <v>22343.789000000001</v>
      </c>
      <c r="R93" s="16">
        <v>3558.9430000000002</v>
      </c>
      <c r="S93" s="16">
        <v>5459.9279999999999</v>
      </c>
      <c r="T93" s="16">
        <v>3127.2350000000001</v>
      </c>
      <c r="U93" s="16">
        <v>13539.44</v>
      </c>
      <c r="V93" s="16">
        <v>10603.11</v>
      </c>
    </row>
    <row r="94" spans="1:22" x14ac:dyDescent="0.25">
      <c r="A94" s="12">
        <v>1992</v>
      </c>
      <c r="B94" s="16">
        <v>33608.012999999999</v>
      </c>
      <c r="C94" s="16">
        <v>7207.3980000000001</v>
      </c>
      <c r="D94" s="16">
        <v>154440.25700000001</v>
      </c>
      <c r="E94" s="16">
        <v>20728.285</v>
      </c>
      <c r="F94" s="16">
        <v>7267.6049999999996</v>
      </c>
      <c r="G94" s="16">
        <v>9417.3870000000006</v>
      </c>
      <c r="H94" s="16">
        <v>5225.5</v>
      </c>
      <c r="I94" s="16">
        <v>7455.4390000000003</v>
      </c>
      <c r="J94" s="16">
        <v>34119.9</v>
      </c>
      <c r="K94" s="16">
        <v>3254.2</v>
      </c>
      <c r="L94" s="16">
        <v>10747.915999999999</v>
      </c>
      <c r="M94" s="16">
        <v>86359.78</v>
      </c>
      <c r="N94" s="16">
        <v>4350.1260000000002</v>
      </c>
      <c r="O94" s="16">
        <v>2520.9</v>
      </c>
      <c r="P94" s="16">
        <v>4360.7219999999998</v>
      </c>
      <c r="Q94" s="16">
        <v>22793.061000000002</v>
      </c>
      <c r="R94" s="16">
        <v>3590.8359999999998</v>
      </c>
      <c r="S94" s="16">
        <v>5549.3389999999999</v>
      </c>
      <c r="T94" s="16">
        <v>3147.5740000000001</v>
      </c>
      <c r="U94" s="16">
        <v>13775.018</v>
      </c>
      <c r="V94" s="16">
        <v>10833.441000000001</v>
      </c>
    </row>
    <row r="95" spans="1:22" x14ac:dyDescent="0.25">
      <c r="A95" s="12">
        <v>1993</v>
      </c>
      <c r="B95" s="16">
        <v>34059.300000000003</v>
      </c>
      <c r="C95" s="16">
        <v>7364.2809999999999</v>
      </c>
      <c r="D95" s="16">
        <v>156906.40599999999</v>
      </c>
      <c r="E95" s="16">
        <v>21199.337</v>
      </c>
      <c r="F95" s="16">
        <v>7411.1469999999999</v>
      </c>
      <c r="G95" s="16">
        <v>9655.6170000000002</v>
      </c>
      <c r="H95" s="16">
        <v>5371.0469999999996</v>
      </c>
      <c r="I95" s="16">
        <v>7600.4309999999996</v>
      </c>
      <c r="J95" s="16">
        <v>34785.040999999997</v>
      </c>
      <c r="K95" s="16">
        <v>3338.7979999999998</v>
      </c>
      <c r="L95" s="16">
        <v>10807.873</v>
      </c>
      <c r="M95" s="16">
        <v>88000.918000000005</v>
      </c>
      <c r="N95" s="16">
        <v>4452.92</v>
      </c>
      <c r="O95" s="16">
        <v>2573.6930000000002</v>
      </c>
      <c r="P95" s="16">
        <v>4470.4859999999999</v>
      </c>
      <c r="Q95" s="16">
        <v>23243.138999999999</v>
      </c>
      <c r="R95" s="16">
        <v>3622.723</v>
      </c>
      <c r="S95" s="16">
        <v>5630.7860000000001</v>
      </c>
      <c r="T95" s="16">
        <v>3167.768</v>
      </c>
      <c r="U95" s="16">
        <v>14009.892</v>
      </c>
      <c r="V95" s="16">
        <v>11060.306</v>
      </c>
    </row>
    <row r="96" spans="1:22" x14ac:dyDescent="0.25">
      <c r="A96" s="12">
        <v>1994</v>
      </c>
      <c r="B96" s="16">
        <v>34508.803999999996</v>
      </c>
      <c r="C96" s="16">
        <v>7521.5749999999998</v>
      </c>
      <c r="D96" s="16">
        <v>159349.39799999999</v>
      </c>
      <c r="E96" s="16">
        <v>21668.289000000001</v>
      </c>
      <c r="F96" s="16">
        <v>7554.933</v>
      </c>
      <c r="G96" s="16">
        <v>9899.4840000000004</v>
      </c>
      <c r="H96" s="16">
        <v>5518.0460000000003</v>
      </c>
      <c r="I96" s="16">
        <v>7744.9009999999998</v>
      </c>
      <c r="J96" s="16">
        <v>35454.080999999998</v>
      </c>
      <c r="K96" s="16">
        <v>3424.145</v>
      </c>
      <c r="L96" s="16">
        <v>10859.558999999999</v>
      </c>
      <c r="M96" s="16">
        <v>89636.798999999999</v>
      </c>
      <c r="N96" s="16">
        <v>4554.1840000000002</v>
      </c>
      <c r="O96" s="16">
        <v>2627.24</v>
      </c>
      <c r="P96" s="16">
        <v>4580.0519999999997</v>
      </c>
      <c r="Q96" s="16">
        <v>23691.484</v>
      </c>
      <c r="R96" s="16">
        <v>3653.8490000000002</v>
      </c>
      <c r="S96" s="16">
        <v>5698.3040000000001</v>
      </c>
      <c r="T96" s="16">
        <v>3187.6709999999998</v>
      </c>
      <c r="U96" s="16">
        <v>14240.019</v>
      </c>
      <c r="V96" s="16">
        <v>11280.001</v>
      </c>
    </row>
    <row r="97" spans="1:22" x14ac:dyDescent="0.25">
      <c r="A97" s="12">
        <v>1995</v>
      </c>
      <c r="B97" s="16">
        <v>34952.758999999998</v>
      </c>
      <c r="C97" s="16">
        <v>7678.1970000000001</v>
      </c>
      <c r="D97" s="16">
        <v>161811.58499999999</v>
      </c>
      <c r="E97" s="16">
        <v>22136.031999999999</v>
      </c>
      <c r="F97" s="16">
        <v>7699.58</v>
      </c>
      <c r="G97" s="16">
        <v>10148.357</v>
      </c>
      <c r="H97" s="16">
        <v>5665.7749999999996</v>
      </c>
      <c r="I97" s="16">
        <v>7887.875</v>
      </c>
      <c r="J97" s="16">
        <v>36120.550000000003</v>
      </c>
      <c r="K97" s="16">
        <v>3509.8220000000001</v>
      </c>
      <c r="L97" s="16">
        <v>10904.994000000001</v>
      </c>
      <c r="M97" s="16">
        <v>91256.13</v>
      </c>
      <c r="N97" s="16">
        <v>4651.1930000000002</v>
      </c>
      <c r="O97" s="16">
        <v>2681.4349999999999</v>
      </c>
      <c r="P97" s="16">
        <v>4689.3890000000001</v>
      </c>
      <c r="Q97" s="16">
        <v>24137.712</v>
      </c>
      <c r="R97" s="16">
        <v>3683.462</v>
      </c>
      <c r="S97" s="16">
        <v>5755.1260000000002</v>
      </c>
      <c r="T97" s="16">
        <v>3206.9360000000001</v>
      </c>
      <c r="U97" s="16">
        <v>14461.402</v>
      </c>
      <c r="V97" s="16">
        <v>11493.578</v>
      </c>
    </row>
    <row r="98" spans="1:22" x14ac:dyDescent="0.25">
      <c r="A98" s="12">
        <v>1996</v>
      </c>
      <c r="B98" s="16">
        <v>35388.803</v>
      </c>
      <c r="C98" s="16">
        <v>7834.241</v>
      </c>
      <c r="D98" s="16">
        <v>164303.05900000001</v>
      </c>
      <c r="E98" s="16">
        <v>22603.282999999999</v>
      </c>
      <c r="F98" s="16">
        <v>7846.0510000000004</v>
      </c>
      <c r="G98" s="16">
        <v>10399.498</v>
      </c>
      <c r="H98" s="16">
        <v>5813.5640000000003</v>
      </c>
      <c r="I98" s="16">
        <v>8028.6120000000001</v>
      </c>
      <c r="J98" s="16">
        <v>36780.086000000003</v>
      </c>
      <c r="K98" s="16">
        <v>3596.6410000000001</v>
      </c>
      <c r="L98" s="16">
        <v>10946.235000000001</v>
      </c>
      <c r="M98" s="16">
        <v>92863.759000000005</v>
      </c>
      <c r="N98" s="16">
        <v>4742.0169999999998</v>
      </c>
      <c r="O98" s="16">
        <v>2736.3510000000001</v>
      </c>
      <c r="P98" s="16">
        <v>4798.2470000000003</v>
      </c>
      <c r="Q98" s="16">
        <v>24580.722000000002</v>
      </c>
      <c r="R98" s="16">
        <v>3711.8879999999999</v>
      </c>
      <c r="S98" s="16">
        <v>5803.0640000000003</v>
      </c>
      <c r="T98" s="16">
        <v>3226.9740000000002</v>
      </c>
      <c r="U98" s="16">
        <v>14673.285</v>
      </c>
      <c r="V98" s="16">
        <v>11702.191999999999</v>
      </c>
    </row>
    <row r="99" spans="1:22" x14ac:dyDescent="0.25">
      <c r="A99" s="12">
        <v>1997</v>
      </c>
      <c r="B99" s="16">
        <v>35819.019999999997</v>
      </c>
      <c r="C99" s="16">
        <v>7990.2690000000002</v>
      </c>
      <c r="D99" s="16">
        <v>166809.215</v>
      </c>
      <c r="E99" s="16">
        <v>23070.517</v>
      </c>
      <c r="F99" s="16">
        <v>7993.9059999999999</v>
      </c>
      <c r="G99" s="16">
        <v>10654.433000000001</v>
      </c>
      <c r="H99" s="16">
        <v>5961.5420000000004</v>
      </c>
      <c r="I99" s="16">
        <v>8166.5439999999999</v>
      </c>
      <c r="J99" s="16">
        <v>37442.339</v>
      </c>
      <c r="K99" s="16">
        <v>3684.42</v>
      </c>
      <c r="L99" s="16">
        <v>10985.183999999999</v>
      </c>
      <c r="M99" s="16">
        <v>94463.58</v>
      </c>
      <c r="N99" s="16">
        <v>4827.8040000000001</v>
      </c>
      <c r="O99" s="16">
        <v>2792.3119999999999</v>
      </c>
      <c r="P99" s="16">
        <v>4906.634</v>
      </c>
      <c r="Q99" s="16">
        <v>25023.495999999999</v>
      </c>
      <c r="R99" s="16">
        <v>3739.7069999999999</v>
      </c>
      <c r="S99" s="16">
        <v>5846.3559999999998</v>
      </c>
      <c r="T99" s="16">
        <v>3248.0120000000002</v>
      </c>
      <c r="U99" s="16">
        <v>14877.108</v>
      </c>
      <c r="V99" s="16">
        <v>11906.539000000001</v>
      </c>
    </row>
    <row r="100" spans="1:22" x14ac:dyDescent="0.25">
      <c r="A100" s="12">
        <v>1998</v>
      </c>
      <c r="B100" s="16">
        <v>36241.235999999997</v>
      </c>
      <c r="C100" s="16">
        <v>8146.424</v>
      </c>
      <c r="D100" s="16">
        <v>169336.785</v>
      </c>
      <c r="E100" s="16">
        <v>23537.363000000001</v>
      </c>
      <c r="F100" s="16">
        <v>8142.4260000000004</v>
      </c>
      <c r="G100" s="16">
        <v>10915.925999999999</v>
      </c>
      <c r="H100" s="16">
        <v>6106.607</v>
      </c>
      <c r="I100" s="16">
        <v>8301.4879999999994</v>
      </c>
      <c r="J100" s="16">
        <v>38112.000999999997</v>
      </c>
      <c r="K100" s="16">
        <v>3771.18</v>
      </c>
      <c r="L100" s="16">
        <v>11022.644</v>
      </c>
      <c r="M100" s="16">
        <v>96043.921000000002</v>
      </c>
      <c r="N100" s="16">
        <v>4909.2790000000005</v>
      </c>
      <c r="O100" s="16">
        <v>2848.9780000000001</v>
      </c>
      <c r="P100" s="16">
        <v>5014.3689999999997</v>
      </c>
      <c r="Q100" s="16">
        <v>25464.392</v>
      </c>
      <c r="R100" s="16">
        <v>3766.54</v>
      </c>
      <c r="S100" s="16">
        <v>5885.4750000000004</v>
      </c>
      <c r="T100" s="16">
        <v>3267.5819999999999</v>
      </c>
      <c r="U100" s="16">
        <v>15075.942999999999</v>
      </c>
      <c r="V100" s="16">
        <v>12107.120999999999</v>
      </c>
    </row>
    <row r="101" spans="1:22" x14ac:dyDescent="0.25">
      <c r="A101" s="12">
        <v>1999</v>
      </c>
      <c r="B101" s="16">
        <v>36655.627999999997</v>
      </c>
      <c r="C101" s="16">
        <v>8303.5949999999993</v>
      </c>
      <c r="D101" s="16">
        <v>171841.49600000001</v>
      </c>
      <c r="E101" s="16">
        <v>24001.948</v>
      </c>
      <c r="F101" s="16">
        <v>8291.2939999999999</v>
      </c>
      <c r="G101" s="16">
        <v>11182.941999999999</v>
      </c>
      <c r="H101" s="16">
        <v>6253.4089999999997</v>
      </c>
      <c r="I101" s="16">
        <v>8436.11</v>
      </c>
      <c r="J101" s="16">
        <v>38777.063999999998</v>
      </c>
      <c r="K101" s="16">
        <v>3855.0909999999999</v>
      </c>
      <c r="L101" s="16">
        <v>11058.52</v>
      </c>
      <c r="M101" s="16">
        <v>97590.008000000002</v>
      </c>
      <c r="N101" s="16">
        <v>4987.0129999999999</v>
      </c>
      <c r="O101" s="16">
        <v>2906.11</v>
      </c>
      <c r="P101" s="16">
        <v>5120.9229999999998</v>
      </c>
      <c r="Q101" s="16">
        <v>25893.17</v>
      </c>
      <c r="R101" s="16">
        <v>3792.01</v>
      </c>
      <c r="S101" s="16">
        <v>5920.4939999999997</v>
      </c>
      <c r="T101" s="16">
        <v>3283.6149999999998</v>
      </c>
      <c r="U101" s="16">
        <v>15269.816999999999</v>
      </c>
      <c r="V101" s="16">
        <v>12303.994000000001</v>
      </c>
    </row>
    <row r="102" spans="1:22" x14ac:dyDescent="0.25">
      <c r="A102" s="12">
        <v>2000</v>
      </c>
      <c r="B102" s="16">
        <v>37059.972999999998</v>
      </c>
      <c r="C102" s="16">
        <v>8461.4740000000002</v>
      </c>
      <c r="D102" s="16">
        <v>174262.179</v>
      </c>
      <c r="E102" s="16">
        <v>24464.101999999999</v>
      </c>
      <c r="F102" s="16">
        <v>8440.6919999999991</v>
      </c>
      <c r="G102" s="16">
        <v>11450.695</v>
      </c>
      <c r="H102" s="16">
        <v>6406.6980000000003</v>
      </c>
      <c r="I102" s="16">
        <v>8572.2270000000008</v>
      </c>
      <c r="J102" s="16">
        <v>39426.421000000002</v>
      </c>
      <c r="K102" s="16">
        <v>3933.4740000000002</v>
      </c>
      <c r="L102" s="16">
        <v>11092.166999999999</v>
      </c>
      <c r="M102" s="16">
        <v>99078.02</v>
      </c>
      <c r="N102" s="16">
        <v>5061.7790000000005</v>
      </c>
      <c r="O102" s="16">
        <v>2963.471</v>
      </c>
      <c r="P102" s="16">
        <v>5224.9679999999998</v>
      </c>
      <c r="Q102" s="16">
        <v>26297.437999999998</v>
      </c>
      <c r="R102" s="16">
        <v>3815.739</v>
      </c>
      <c r="S102" s="16">
        <v>5951.2349999999997</v>
      </c>
      <c r="T102" s="16">
        <v>3293.5909999999999</v>
      </c>
      <c r="U102" s="16">
        <v>15457.552</v>
      </c>
      <c r="V102" s="16">
        <v>12497.109</v>
      </c>
    </row>
    <row r="103" spans="1:22" x14ac:dyDescent="0.25">
      <c r="A103" s="12">
        <v>2001</v>
      </c>
      <c r="B103" s="16">
        <v>37449.665999999997</v>
      </c>
      <c r="C103" s="16">
        <v>8620.3520000000008</v>
      </c>
      <c r="D103" s="16">
        <v>176621.41</v>
      </c>
      <c r="E103" s="16">
        <v>24979.9</v>
      </c>
      <c r="F103" s="16">
        <v>8588.893</v>
      </c>
      <c r="G103" s="16">
        <v>11723.785</v>
      </c>
      <c r="H103" s="16">
        <v>6562.05</v>
      </c>
      <c r="I103" s="16">
        <v>8707.9419999999991</v>
      </c>
      <c r="J103" s="16">
        <v>40066.012999999999</v>
      </c>
      <c r="K103" s="16">
        <v>4005.8209999999999</v>
      </c>
      <c r="L103" s="16">
        <v>11124.285</v>
      </c>
      <c r="M103" s="16">
        <v>100497.31</v>
      </c>
      <c r="N103" s="16">
        <v>5132.2709999999997</v>
      </c>
      <c r="O103" s="16">
        <v>3020.9969999999998</v>
      </c>
      <c r="P103" s="16">
        <v>5323.68</v>
      </c>
      <c r="Q103" s="16">
        <v>26672.735000000001</v>
      </c>
      <c r="R103" s="16">
        <v>3837.915</v>
      </c>
      <c r="S103" s="16">
        <v>5976.9139999999998</v>
      </c>
      <c r="T103" s="16">
        <v>3298.2730000000001</v>
      </c>
      <c r="U103" s="16">
        <v>15640.251</v>
      </c>
      <c r="V103" s="16">
        <v>12688.124</v>
      </c>
    </row>
    <row r="104" spans="1:22" x14ac:dyDescent="0.25">
      <c r="A104" s="12">
        <v>2002</v>
      </c>
      <c r="B104" s="16">
        <v>37828.108999999997</v>
      </c>
      <c r="C104" s="16">
        <v>8780.8799999999992</v>
      </c>
      <c r="D104" s="16">
        <v>178937.81</v>
      </c>
      <c r="E104" s="16">
        <v>25435.7</v>
      </c>
      <c r="F104" s="16">
        <v>8735.3169999999991</v>
      </c>
      <c r="G104" s="16">
        <v>12006.165999999999</v>
      </c>
      <c r="H104" s="16">
        <v>6717.8739999999998</v>
      </c>
      <c r="I104" s="16">
        <v>8841.7960000000003</v>
      </c>
      <c r="J104" s="16">
        <v>40702.618000000002</v>
      </c>
      <c r="K104" s="16">
        <v>4073.6</v>
      </c>
      <c r="L104" s="16">
        <v>11155.361000000001</v>
      </c>
      <c r="M104" s="16">
        <v>101867.315</v>
      </c>
      <c r="N104" s="16">
        <v>5199.0140000000001</v>
      </c>
      <c r="O104" s="16">
        <v>3078.9490000000001</v>
      </c>
      <c r="P104" s="16">
        <v>5415.9139999999998</v>
      </c>
      <c r="Q104" s="16">
        <v>27022</v>
      </c>
      <c r="R104" s="16">
        <v>3858.9749999999999</v>
      </c>
      <c r="S104" s="16">
        <v>5997.366</v>
      </c>
      <c r="T104" s="16">
        <v>3300.9250000000002</v>
      </c>
      <c r="U104" s="16">
        <v>15816.786</v>
      </c>
      <c r="V104" s="16">
        <v>12878.72</v>
      </c>
    </row>
    <row r="105" spans="1:22" x14ac:dyDescent="0.25">
      <c r="A105" s="12">
        <v>2003</v>
      </c>
      <c r="B105" s="16">
        <v>38196.936999999998</v>
      </c>
      <c r="C105" s="16">
        <v>8943.1360000000004</v>
      </c>
      <c r="D105" s="16">
        <v>181185.769</v>
      </c>
      <c r="E105" s="16">
        <v>25892.7</v>
      </c>
      <c r="F105" s="16">
        <v>8881.9429999999993</v>
      </c>
      <c r="G105" s="16">
        <v>12294.385</v>
      </c>
      <c r="H105" s="16">
        <v>6873.9350000000004</v>
      </c>
      <c r="I105" s="16">
        <v>8973.9069999999992</v>
      </c>
      <c r="J105" s="16">
        <v>41337.057000000001</v>
      </c>
      <c r="K105" s="16">
        <v>4137.8670000000002</v>
      </c>
      <c r="L105" s="16">
        <v>11184.156000000001</v>
      </c>
      <c r="M105" s="16">
        <v>103206.43399999999</v>
      </c>
      <c r="N105" s="16">
        <v>5264.0290000000005</v>
      </c>
      <c r="O105" s="16">
        <v>3137.268</v>
      </c>
      <c r="P105" s="16">
        <v>5503.9769999999999</v>
      </c>
      <c r="Q105" s="16">
        <v>27351.370999999999</v>
      </c>
      <c r="R105" s="16">
        <v>3878.91</v>
      </c>
      <c r="S105" s="16">
        <v>6013.5889999999999</v>
      </c>
      <c r="T105" s="16">
        <v>3302.328</v>
      </c>
      <c r="U105" s="16">
        <v>15987.558999999999</v>
      </c>
      <c r="V105" s="16">
        <v>13069.914000000001</v>
      </c>
    </row>
    <row r="106" spans="1:22" x14ac:dyDescent="0.25">
      <c r="A106" s="12">
        <v>2004</v>
      </c>
      <c r="B106" s="16">
        <v>38562.436999999998</v>
      </c>
      <c r="C106" s="16">
        <v>9106.902</v>
      </c>
      <c r="D106" s="16">
        <v>183349.08</v>
      </c>
      <c r="E106" s="16">
        <v>26340.799999999999</v>
      </c>
      <c r="F106" s="16">
        <v>9028.7019999999993</v>
      </c>
      <c r="G106" s="16">
        <v>12587.793</v>
      </c>
      <c r="H106" s="16">
        <v>7030.701</v>
      </c>
      <c r="I106" s="16">
        <v>9103.7430000000004</v>
      </c>
      <c r="J106" s="16">
        <v>41967.404000000002</v>
      </c>
      <c r="K106" s="16">
        <v>4200.2780000000002</v>
      </c>
      <c r="L106" s="16">
        <v>11208.582</v>
      </c>
      <c r="M106" s="16">
        <v>104533.519</v>
      </c>
      <c r="N106" s="16">
        <v>5329.1859999999997</v>
      </c>
      <c r="O106" s="16">
        <v>3195.998</v>
      </c>
      <c r="P106" s="16">
        <v>5590.4279999999999</v>
      </c>
      <c r="Q106" s="16">
        <v>27666.633000000002</v>
      </c>
      <c r="R106" s="16">
        <v>3897.7139999999999</v>
      </c>
      <c r="S106" s="16">
        <v>6027.03</v>
      </c>
      <c r="T106" s="16">
        <v>3303.6149999999998</v>
      </c>
      <c r="U106" s="16">
        <v>16154.921</v>
      </c>
      <c r="V106" s="16">
        <v>13261.174000000001</v>
      </c>
    </row>
    <row r="107" spans="1:22" x14ac:dyDescent="0.25">
      <c r="A107" s="12">
        <v>2005</v>
      </c>
      <c r="B107" s="16">
        <v>38934.195</v>
      </c>
      <c r="C107" s="16">
        <v>9271.4079999999994</v>
      </c>
      <c r="D107" s="16">
        <v>185417.084</v>
      </c>
      <c r="E107" s="16">
        <v>26785.8</v>
      </c>
      <c r="F107" s="16">
        <v>9178.0249999999996</v>
      </c>
      <c r="G107" s="16">
        <v>12883.036</v>
      </c>
      <c r="H107" s="16">
        <v>7188.6409999999996</v>
      </c>
      <c r="I107" s="16">
        <v>9231.0229999999992</v>
      </c>
      <c r="J107" s="16">
        <v>42587.281000000003</v>
      </c>
      <c r="K107" s="16">
        <v>4262.3389999999999</v>
      </c>
      <c r="L107" s="16">
        <v>11225.700999999999</v>
      </c>
      <c r="M107" s="16">
        <v>105872.82</v>
      </c>
      <c r="N107" s="16">
        <v>5398.7039999999997</v>
      </c>
      <c r="O107" s="16">
        <v>3254.8310000000001</v>
      </c>
      <c r="P107" s="16">
        <v>5675.924</v>
      </c>
      <c r="Q107" s="16">
        <v>27967.171999999999</v>
      </c>
      <c r="R107" s="16">
        <v>3915.3789999999999</v>
      </c>
      <c r="S107" s="16">
        <v>6039.19</v>
      </c>
      <c r="T107" s="16">
        <v>3305.569</v>
      </c>
      <c r="U107" s="16">
        <v>16321.523999999999</v>
      </c>
      <c r="V107" s="16">
        <v>13452.918</v>
      </c>
    </row>
    <row r="108" spans="1:22" x14ac:dyDescent="0.25">
      <c r="A108" s="12">
        <v>2006</v>
      </c>
      <c r="B108" s="16">
        <v>39309.305</v>
      </c>
      <c r="C108" s="16">
        <v>9437.4840000000004</v>
      </c>
      <c r="D108" s="16">
        <v>187384.149</v>
      </c>
      <c r="E108" s="16">
        <v>27224.7</v>
      </c>
      <c r="F108" s="16">
        <v>9332.2279999999992</v>
      </c>
      <c r="G108" s="16">
        <v>13181.115</v>
      </c>
      <c r="H108" s="16">
        <v>7347.6760000000004</v>
      </c>
      <c r="I108" s="16">
        <v>9356.1589999999997</v>
      </c>
      <c r="J108" s="16">
        <v>43195.983999999997</v>
      </c>
      <c r="K108" s="16">
        <v>4323.7929999999997</v>
      </c>
      <c r="L108" s="16">
        <v>11235.83</v>
      </c>
      <c r="M108" s="16">
        <v>107240.298</v>
      </c>
      <c r="N108" s="16">
        <v>5472.2830000000004</v>
      </c>
      <c r="O108" s="16">
        <v>3313.7260000000001</v>
      </c>
      <c r="P108" s="16">
        <v>5760.0429999999997</v>
      </c>
      <c r="Q108" s="16">
        <v>28250.026000000002</v>
      </c>
      <c r="R108" s="16">
        <v>3932.0940000000001</v>
      </c>
      <c r="S108" s="16">
        <v>6050.6319999999996</v>
      </c>
      <c r="T108" s="16">
        <v>3309.5889999999999</v>
      </c>
      <c r="U108" s="16">
        <v>16487.484</v>
      </c>
      <c r="V108" s="16">
        <v>13645.008</v>
      </c>
    </row>
    <row r="109" spans="1:22" x14ac:dyDescent="0.25">
      <c r="A109" s="12">
        <v>2007</v>
      </c>
      <c r="B109" s="16">
        <v>39678.112999999998</v>
      </c>
      <c r="C109" s="16">
        <v>9605.0149999999994</v>
      </c>
      <c r="D109" s="16">
        <v>189264.326</v>
      </c>
      <c r="E109" s="16">
        <v>27649.4</v>
      </c>
      <c r="F109" s="16">
        <v>9489.1530000000002</v>
      </c>
      <c r="G109" s="16">
        <v>13485.556</v>
      </c>
      <c r="H109" s="16">
        <v>7507.8770000000004</v>
      </c>
      <c r="I109" s="16">
        <v>9480.41</v>
      </c>
      <c r="J109" s="16">
        <v>43796.351999999999</v>
      </c>
      <c r="K109" s="16">
        <v>4384.1030000000001</v>
      </c>
      <c r="L109" s="16">
        <v>11241.733</v>
      </c>
      <c r="M109" s="16">
        <v>108652.004</v>
      </c>
      <c r="N109" s="16">
        <v>5546.2259999999997</v>
      </c>
      <c r="O109" s="16">
        <v>3372.8710000000001</v>
      </c>
      <c r="P109" s="16">
        <v>5842.9160000000002</v>
      </c>
      <c r="Q109" s="16">
        <v>28519.379000000001</v>
      </c>
      <c r="R109" s="16">
        <v>3948.0050000000001</v>
      </c>
      <c r="S109" s="16">
        <v>6068.1679999999997</v>
      </c>
      <c r="T109" s="16">
        <v>3316.7759999999998</v>
      </c>
      <c r="U109" s="16">
        <v>16653.737000000001</v>
      </c>
      <c r="V109" s="16">
        <v>13836.892</v>
      </c>
    </row>
    <row r="110" spans="1:22" x14ac:dyDescent="0.25">
      <c r="A110" s="12">
        <v>2008</v>
      </c>
      <c r="B110" s="16">
        <v>40052.910000000003</v>
      </c>
      <c r="C110" s="16">
        <v>9772.482</v>
      </c>
      <c r="D110" s="16">
        <v>191060.48699999999</v>
      </c>
      <c r="E110" s="16">
        <v>28053.7</v>
      </c>
      <c r="F110" s="16">
        <v>9647.9230000000007</v>
      </c>
      <c r="G110" s="16">
        <v>13793.047</v>
      </c>
      <c r="H110" s="16">
        <v>7669.0780000000004</v>
      </c>
      <c r="I110" s="16">
        <v>9605.6859999999997</v>
      </c>
      <c r="J110" s="16">
        <v>44385.118000000002</v>
      </c>
      <c r="K110" s="16">
        <v>4444.2150000000001</v>
      </c>
      <c r="L110" s="16">
        <v>11245.171</v>
      </c>
      <c r="M110" s="16">
        <v>110101.59699999999</v>
      </c>
      <c r="N110" s="16">
        <v>5621.0110000000004</v>
      </c>
      <c r="O110" s="16">
        <v>3432.2289999999998</v>
      </c>
      <c r="P110" s="16">
        <v>5925.7219999999998</v>
      </c>
      <c r="Q110" s="16">
        <v>28777.284</v>
      </c>
      <c r="R110" s="16">
        <v>3963.04</v>
      </c>
      <c r="S110" s="16">
        <v>6092.4139999999998</v>
      </c>
      <c r="T110" s="16">
        <v>3325.9250000000002</v>
      </c>
      <c r="U110" s="16">
        <v>16821.57</v>
      </c>
      <c r="V110" s="16">
        <v>14030.231</v>
      </c>
    </row>
    <row r="111" spans="1:22" x14ac:dyDescent="0.25">
      <c r="A111" s="12">
        <v>2009</v>
      </c>
      <c r="B111" s="16">
        <v>40439.788</v>
      </c>
      <c r="C111" s="16">
        <v>9939.7170000000006</v>
      </c>
      <c r="D111" s="16">
        <v>192775.65</v>
      </c>
      <c r="E111" s="16">
        <v>28438.3</v>
      </c>
      <c r="F111" s="16">
        <v>9808.2080000000005</v>
      </c>
      <c r="G111" s="16">
        <v>14102.474</v>
      </c>
      <c r="H111" s="16">
        <v>7830.866</v>
      </c>
      <c r="I111" s="16">
        <v>9732.5460000000003</v>
      </c>
      <c r="J111" s="16">
        <v>44965.665000000001</v>
      </c>
      <c r="K111" s="16">
        <v>4503.3720000000003</v>
      </c>
      <c r="L111" s="16">
        <v>11247.648999999999</v>
      </c>
      <c r="M111" s="16">
        <v>111555.539</v>
      </c>
      <c r="N111" s="16">
        <v>5697.0649999999996</v>
      </c>
      <c r="O111" s="16">
        <v>3491.759</v>
      </c>
      <c r="P111" s="16">
        <v>6010.0919999999996</v>
      </c>
      <c r="Q111" s="16">
        <v>29029.898000000001</v>
      </c>
      <c r="R111" s="16">
        <v>3977.1289999999999</v>
      </c>
      <c r="S111" s="16">
        <v>6117.1350000000002</v>
      </c>
      <c r="T111" s="16">
        <v>3335.9760000000001</v>
      </c>
      <c r="U111" s="16">
        <v>16989.919000000002</v>
      </c>
      <c r="V111" s="16">
        <v>14226.585999999999</v>
      </c>
    </row>
    <row r="112" spans="1:22" x14ac:dyDescent="0.25">
      <c r="A112" s="12">
        <v>2010</v>
      </c>
      <c r="B112" s="16">
        <v>40829.337</v>
      </c>
      <c r="C112" s="16">
        <v>10106.653</v>
      </c>
      <c r="D112" s="16">
        <v>194427.636</v>
      </c>
      <c r="E112" s="16">
        <v>28813.1</v>
      </c>
      <c r="F112" s="16">
        <v>9946.2289999999994</v>
      </c>
      <c r="G112" s="16">
        <v>14416.924000000001</v>
      </c>
      <c r="H112" s="16">
        <v>7992.5770000000002</v>
      </c>
      <c r="I112" s="16">
        <v>9859.5490000000009</v>
      </c>
      <c r="J112" s="16">
        <v>45538.175999999999</v>
      </c>
      <c r="K112" s="16">
        <v>4559.7700000000004</v>
      </c>
      <c r="L112" s="16">
        <v>11250.078</v>
      </c>
      <c r="M112" s="16">
        <v>112993.791</v>
      </c>
      <c r="N112" s="16">
        <v>5775.2160000000003</v>
      </c>
      <c r="O112" s="16">
        <v>3551.174</v>
      </c>
      <c r="P112" s="16">
        <v>6098.8090000000002</v>
      </c>
      <c r="Q112" s="16">
        <v>29290.626</v>
      </c>
      <c r="R112" s="16">
        <v>3990.1990000000001</v>
      </c>
      <c r="S112" s="16">
        <v>6143.0469999999996</v>
      </c>
      <c r="T112" s="16">
        <v>3345.922</v>
      </c>
      <c r="U112" s="16">
        <v>17157.471000000001</v>
      </c>
      <c r="V112" s="16">
        <v>14424.92</v>
      </c>
    </row>
    <row r="113" spans="1:22" x14ac:dyDescent="0.25">
      <c r="A113" s="12">
        <v>2011</v>
      </c>
      <c r="B113" s="16">
        <v>41225.038999999997</v>
      </c>
      <c r="C113" s="16">
        <v>10273.419</v>
      </c>
      <c r="D113" s="16">
        <v>196046.266</v>
      </c>
      <c r="E113" s="16">
        <v>29185.200000000001</v>
      </c>
      <c r="F113" s="16">
        <v>10083.742</v>
      </c>
      <c r="G113" s="16">
        <v>14739.596</v>
      </c>
      <c r="H113" s="16">
        <v>8154.8190000000004</v>
      </c>
      <c r="I113" s="16">
        <v>9985.7279999999992</v>
      </c>
      <c r="J113" s="16">
        <v>46094.722999999998</v>
      </c>
      <c r="K113" s="16">
        <v>4613.6710000000003</v>
      </c>
      <c r="L113" s="16">
        <v>11253.453</v>
      </c>
      <c r="M113" s="16">
        <v>114416.883</v>
      </c>
      <c r="N113" s="16">
        <v>5856.3010000000004</v>
      </c>
      <c r="O113" s="16">
        <v>3610.7809999999999</v>
      </c>
      <c r="P113" s="16">
        <v>6192.277</v>
      </c>
      <c r="Q113" s="16">
        <v>29568.686000000002</v>
      </c>
      <c r="R113" s="16">
        <v>4002.634</v>
      </c>
      <c r="S113" s="16">
        <v>6170.973</v>
      </c>
      <c r="T113" s="16">
        <v>3355.357</v>
      </c>
      <c r="U113" s="16">
        <v>17323.276999999998</v>
      </c>
      <c r="V113" s="16">
        <v>14625.1</v>
      </c>
    </row>
    <row r="114" spans="1:22" x14ac:dyDescent="0.25">
      <c r="A114" s="12">
        <v>2012</v>
      </c>
      <c r="B114" s="16">
        <v>41616.889000000003</v>
      </c>
      <c r="C114" s="16">
        <v>10439.951999999999</v>
      </c>
      <c r="D114" s="16">
        <v>197649.071</v>
      </c>
      <c r="E114" s="16">
        <v>29553.8</v>
      </c>
      <c r="F114" s="16">
        <v>10243.848</v>
      </c>
      <c r="G114" s="16">
        <v>15069.897999999999</v>
      </c>
      <c r="H114" s="16">
        <v>8318.3389999999999</v>
      </c>
      <c r="I114" s="16">
        <v>10110.824000000001</v>
      </c>
      <c r="J114" s="16">
        <v>46635.24</v>
      </c>
      <c r="K114" s="16">
        <v>4666.5940000000001</v>
      </c>
      <c r="L114" s="16">
        <v>11255.6</v>
      </c>
      <c r="M114" s="16">
        <v>115809.545</v>
      </c>
      <c r="N114" s="16">
        <v>5939.9269999999997</v>
      </c>
      <c r="O114" s="16">
        <v>3670.5949999999998</v>
      </c>
      <c r="P114" s="16">
        <v>6288.58</v>
      </c>
      <c r="Q114" s="16">
        <v>29862.100999999999</v>
      </c>
      <c r="R114" s="16">
        <v>4014.6170000000002</v>
      </c>
      <c r="S114" s="16">
        <v>6201.0110000000004</v>
      </c>
      <c r="T114" s="16">
        <v>3365.22</v>
      </c>
      <c r="U114" s="16">
        <v>17486.772000000001</v>
      </c>
      <c r="V114" s="16">
        <v>14825.222</v>
      </c>
    </row>
    <row r="115" spans="1:22" x14ac:dyDescent="0.25">
      <c r="A115" s="12">
        <v>2013</v>
      </c>
      <c r="B115" s="16">
        <v>42003.748</v>
      </c>
      <c r="C115" s="16">
        <v>10605.869000000001</v>
      </c>
      <c r="D115" s="16">
        <v>199233.78400000001</v>
      </c>
      <c r="E115" s="16">
        <v>29912.2</v>
      </c>
      <c r="F115" s="16">
        <v>10403.385</v>
      </c>
      <c r="G115" s="16">
        <v>15403.174000000001</v>
      </c>
      <c r="H115" s="16">
        <v>8482.2029999999995</v>
      </c>
      <c r="I115" s="16">
        <v>10234.290999999999</v>
      </c>
      <c r="J115" s="16">
        <v>47162.150999999998</v>
      </c>
      <c r="K115" s="16">
        <v>4717.9620000000004</v>
      </c>
      <c r="L115" s="16">
        <v>11254.314</v>
      </c>
      <c r="M115" s="16">
        <v>117166.86599999999</v>
      </c>
      <c r="N115" s="16">
        <v>6024.7020000000002</v>
      </c>
      <c r="O115" s="16">
        <v>3730.3069999999998</v>
      </c>
      <c r="P115" s="16">
        <v>6386.1570000000002</v>
      </c>
      <c r="Q115" s="16">
        <v>30166.681</v>
      </c>
      <c r="R115" s="16">
        <v>4025.7759999999998</v>
      </c>
      <c r="S115" s="16">
        <v>6232.3530000000001</v>
      </c>
      <c r="T115" s="16">
        <v>3375.9160000000002</v>
      </c>
      <c r="U115" s="16">
        <v>17649.29</v>
      </c>
      <c r="V115" s="16">
        <v>15020.941999999999</v>
      </c>
    </row>
    <row r="116" spans="1:22" x14ac:dyDescent="0.25">
      <c r="A116" s="12">
        <v>2014</v>
      </c>
      <c r="B116" s="16">
        <v>42399.576000000001</v>
      </c>
      <c r="C116" s="16">
        <v>10770.786</v>
      </c>
      <c r="D116" s="16">
        <v>200793.93799999999</v>
      </c>
      <c r="E116" s="16">
        <v>30254.1</v>
      </c>
      <c r="F116" s="16">
        <v>10562.241</v>
      </c>
      <c r="G116" s="16">
        <v>15735.671</v>
      </c>
      <c r="H116" s="16">
        <v>8645.4789999999994</v>
      </c>
      <c r="I116" s="16">
        <v>10355.828</v>
      </c>
      <c r="J116" s="16">
        <v>47674.23</v>
      </c>
      <c r="K116" s="16">
        <v>4768.6509999999998</v>
      </c>
      <c r="L116" s="16">
        <v>11248.993</v>
      </c>
      <c r="M116" s="16">
        <v>118468.43700000001</v>
      </c>
      <c r="N116" s="16">
        <v>6109.3339999999998</v>
      </c>
      <c r="O116" s="16">
        <v>3790.2089999999998</v>
      </c>
      <c r="P116" s="16">
        <v>6484.35</v>
      </c>
      <c r="Q116" s="16">
        <v>30486.339</v>
      </c>
      <c r="R116" s="16">
        <v>4035.74</v>
      </c>
      <c r="S116" s="16">
        <v>6263.9970000000003</v>
      </c>
      <c r="T116" s="16">
        <v>3387.3040000000001</v>
      </c>
      <c r="U116" s="16">
        <v>17814.719000000001</v>
      </c>
      <c r="V116" s="16">
        <v>15213.817999999999</v>
      </c>
    </row>
    <row r="117" spans="1:22" x14ac:dyDescent="0.25">
      <c r="A117" s="12">
        <v>2015</v>
      </c>
      <c r="B117" s="16">
        <v>42798.084999999999</v>
      </c>
      <c r="C117" s="16">
        <v>10934.519</v>
      </c>
      <c r="D117" s="16">
        <v>202315.66899999999</v>
      </c>
      <c r="E117" s="16">
        <v>30574</v>
      </c>
      <c r="F117" s="16">
        <v>10720.554</v>
      </c>
      <c r="G117" s="16">
        <v>16064.834999999999</v>
      </c>
      <c r="H117" s="16">
        <v>8807.6839999999993</v>
      </c>
      <c r="I117" s="16">
        <v>10474.938</v>
      </c>
      <c r="J117" s="16">
        <v>48177.400999999998</v>
      </c>
      <c r="K117" s="16">
        <v>4819.7359999999999</v>
      </c>
      <c r="L117" s="16">
        <v>11243.981</v>
      </c>
      <c r="M117" s="16">
        <v>119677.546</v>
      </c>
      <c r="N117" s="16">
        <v>6192.5789999999997</v>
      </c>
      <c r="O117" s="16">
        <v>3850.4459999999999</v>
      </c>
      <c r="P117" s="16">
        <v>6582.95</v>
      </c>
      <c r="Q117" s="16">
        <v>30827.134999999998</v>
      </c>
      <c r="R117" s="16">
        <v>4044.1350000000002</v>
      </c>
      <c r="S117" s="16">
        <v>6294.2370000000001</v>
      </c>
      <c r="T117" s="16">
        <v>3399.1379999999999</v>
      </c>
      <c r="U117" s="16">
        <v>17981.043000000001</v>
      </c>
      <c r="V117" s="16">
        <v>15408.306</v>
      </c>
    </row>
    <row r="118" spans="1:22" x14ac:dyDescent="0.25">
      <c r="A118" s="12">
        <v>2016</v>
      </c>
      <c r="B118" s="16">
        <v>43179.366999999998</v>
      </c>
      <c r="C118" s="16">
        <v>11097.22</v>
      </c>
      <c r="D118" s="16">
        <v>203787.625</v>
      </c>
      <c r="E118" s="16">
        <v>30765.7</v>
      </c>
      <c r="F118" s="16">
        <v>10878.053</v>
      </c>
      <c r="G118" s="16">
        <v>16396.741999999998</v>
      </c>
      <c r="H118" s="16">
        <v>8969.2759999999998</v>
      </c>
      <c r="I118" s="16">
        <v>10591.567999999999</v>
      </c>
      <c r="J118" s="16">
        <v>48708.623</v>
      </c>
      <c r="K118" s="16">
        <v>4870.4160000000002</v>
      </c>
      <c r="L118" s="16">
        <v>11238.664000000001</v>
      </c>
      <c r="M118" s="16">
        <v>120818.478</v>
      </c>
      <c r="N118" s="16">
        <v>6274.7219999999998</v>
      </c>
      <c r="O118" s="16">
        <v>3911.0839999999998</v>
      </c>
      <c r="P118" s="16">
        <v>6681.4669999999996</v>
      </c>
      <c r="Q118" s="16">
        <v>31201.238000000001</v>
      </c>
      <c r="R118" s="16">
        <v>4051.9059999999999</v>
      </c>
      <c r="S118" s="16">
        <v>6323.2209999999995</v>
      </c>
      <c r="T118" s="16">
        <v>3411.018</v>
      </c>
      <c r="U118" s="16">
        <v>18163.547999999999</v>
      </c>
      <c r="V118" s="16">
        <v>15607.1</v>
      </c>
    </row>
    <row r="119" spans="1:22" x14ac:dyDescent="0.25">
      <c r="A119" s="12">
        <v>2017</v>
      </c>
      <c r="B119" s="16">
        <v>43541.951000000001</v>
      </c>
      <c r="C119" s="16">
        <v>11258.931</v>
      </c>
      <c r="D119" s="16">
        <v>205209.60200000001</v>
      </c>
      <c r="E119" s="16">
        <v>30565.3</v>
      </c>
      <c r="F119" s="16">
        <v>11034.829</v>
      </c>
      <c r="G119" s="16">
        <v>16729.93</v>
      </c>
      <c r="H119" s="16">
        <v>9130.7090000000007</v>
      </c>
      <c r="I119" s="16">
        <v>10706.616</v>
      </c>
      <c r="J119" s="16">
        <v>49349.754000000001</v>
      </c>
      <c r="K119" s="16">
        <v>4919.8950000000004</v>
      </c>
      <c r="L119" s="16">
        <v>11228.239</v>
      </c>
      <c r="M119" s="16">
        <v>121933.106</v>
      </c>
      <c r="N119" s="16">
        <v>6356.518</v>
      </c>
      <c r="O119" s="16">
        <v>3971.7809999999999</v>
      </c>
      <c r="P119" s="16">
        <v>6779.4639999999999</v>
      </c>
      <c r="Q119" s="16">
        <v>31600.159</v>
      </c>
      <c r="R119" s="16">
        <v>4059.6109999999999</v>
      </c>
      <c r="S119" s="16">
        <v>6350.7579999999998</v>
      </c>
      <c r="T119" s="16">
        <v>3422.078</v>
      </c>
      <c r="U119" s="16">
        <v>18380.603999999999</v>
      </c>
      <c r="V119" s="16">
        <v>15814.421</v>
      </c>
    </row>
    <row r="120" spans="1:22" x14ac:dyDescent="0.25">
      <c r="A120" s="12">
        <v>2018</v>
      </c>
      <c r="B120" s="16">
        <v>43891.152000000002</v>
      </c>
      <c r="C120" s="16">
        <v>11419.404</v>
      </c>
      <c r="D120" s="16">
        <v>206566.48</v>
      </c>
      <c r="E120" s="16">
        <v>29807.599999999999</v>
      </c>
      <c r="F120" s="16">
        <v>11190.764999999999</v>
      </c>
      <c r="G120" s="16">
        <v>17053.008999999998</v>
      </c>
      <c r="H120" s="16">
        <v>9292.0930000000008</v>
      </c>
      <c r="I120" s="16">
        <v>10820.56</v>
      </c>
      <c r="J120" s="16">
        <v>50086.741999999998</v>
      </c>
      <c r="K120" s="16">
        <v>4968.62</v>
      </c>
      <c r="L120" s="16">
        <v>11215.668</v>
      </c>
      <c r="M120" s="16">
        <v>123046.724</v>
      </c>
      <c r="N120" s="16">
        <v>6437.8249999999998</v>
      </c>
      <c r="O120" s="16">
        <v>4032.069</v>
      </c>
      <c r="P120" s="16">
        <v>6876.5410000000002</v>
      </c>
      <c r="Q120" s="16">
        <v>32055.897000000001</v>
      </c>
      <c r="R120" s="16">
        <v>4066.297</v>
      </c>
      <c r="S120" s="16">
        <v>6375.6080000000002</v>
      </c>
      <c r="T120" s="16">
        <v>3431.7089999999998</v>
      </c>
      <c r="U120" s="16">
        <v>18617.191999999999</v>
      </c>
      <c r="V120" s="16">
        <v>16039.808000000001</v>
      </c>
    </row>
    <row r="121" spans="1:22" x14ac:dyDescent="0.25">
      <c r="A121" s="12">
        <v>2019</v>
      </c>
      <c r="B121" s="16">
        <v>44213.832000000002</v>
      </c>
      <c r="C121" s="16">
        <v>11578.439</v>
      </c>
      <c r="D121" s="16">
        <v>207868.03899999999</v>
      </c>
      <c r="E121" s="16">
        <v>28938.1</v>
      </c>
      <c r="F121" s="16">
        <v>11345.546</v>
      </c>
      <c r="G121" s="16">
        <v>17365.539000000001</v>
      </c>
      <c r="H121" s="16">
        <v>9453.0859999999993</v>
      </c>
      <c r="I121" s="16">
        <v>10931.679</v>
      </c>
      <c r="J121" s="16">
        <v>50813.783000000003</v>
      </c>
      <c r="K121" s="16">
        <v>5015.8419999999996</v>
      </c>
      <c r="L121" s="16">
        <v>11200.864</v>
      </c>
      <c r="M121" s="16">
        <v>124152.376</v>
      </c>
      <c r="N121" s="16">
        <v>6518.05</v>
      </c>
      <c r="O121" s="16">
        <v>4090.9279999999999</v>
      </c>
      <c r="P121" s="16">
        <v>6972.4979999999996</v>
      </c>
      <c r="Q121" s="16">
        <v>32499.505000000001</v>
      </c>
      <c r="R121" s="16">
        <v>4071.011</v>
      </c>
      <c r="S121" s="16">
        <v>6398.8280000000004</v>
      </c>
      <c r="T121" s="16">
        <v>3439.5010000000002</v>
      </c>
      <c r="U121" s="16">
        <v>18836.847000000002</v>
      </c>
      <c r="V121" s="16">
        <v>16265.2</v>
      </c>
    </row>
    <row r="122" spans="1:22" x14ac:dyDescent="0.25">
      <c r="A122" s="12">
        <v>2020</v>
      </c>
      <c r="B122" s="16">
        <v>44482.906000000003</v>
      </c>
      <c r="C122" s="16">
        <v>11727.187</v>
      </c>
      <c r="D122" s="16">
        <v>209067.60699999999</v>
      </c>
      <c r="E122" s="16">
        <v>28444.1</v>
      </c>
      <c r="F122" s="16">
        <v>11497.706</v>
      </c>
      <c r="G122" s="16">
        <v>17674.830000000002</v>
      </c>
      <c r="H122" s="16">
        <v>9611.5460000000003</v>
      </c>
      <c r="I122" s="16">
        <v>11042.799000000001</v>
      </c>
      <c r="J122" s="16">
        <v>51454.123</v>
      </c>
      <c r="K122" s="16">
        <v>5059.2569999999996</v>
      </c>
      <c r="L122" s="16">
        <v>11184.838</v>
      </c>
      <c r="M122" s="16">
        <v>125163.257</v>
      </c>
      <c r="N122" s="16">
        <v>6596.1040000000003</v>
      </c>
      <c r="O122" s="16">
        <v>4145.4369999999999</v>
      </c>
      <c r="P122" s="16">
        <v>7068.1329999999998</v>
      </c>
      <c r="Q122" s="16">
        <v>32859.580999999998</v>
      </c>
      <c r="R122" s="16">
        <v>4072.8029999999999</v>
      </c>
      <c r="S122" s="16">
        <v>6427.03</v>
      </c>
      <c r="T122" s="16">
        <v>3446.4929999999999</v>
      </c>
      <c r="U122" s="16">
        <v>18988.401000000002</v>
      </c>
      <c r="V122" s="16">
        <v>16447.638999999999</v>
      </c>
    </row>
    <row r="123" spans="1:22" x14ac:dyDescent="0.25">
      <c r="A123" s="12">
        <v>2021</v>
      </c>
      <c r="B123" s="16">
        <v>44699.696000000004</v>
      </c>
      <c r="C123" s="16">
        <v>11862.968000000001</v>
      </c>
      <c r="D123" s="16">
        <v>210081.06299999999</v>
      </c>
      <c r="E123" s="16">
        <v>28237.8</v>
      </c>
      <c r="F123" s="16">
        <v>11645.495999999999</v>
      </c>
      <c r="G123" s="16">
        <v>17977.419000000002</v>
      </c>
      <c r="H123" s="16">
        <v>9766.0030000000006</v>
      </c>
      <c r="I123" s="16">
        <v>11153.264999999999</v>
      </c>
      <c r="J123" s="16">
        <v>52007.404000000002</v>
      </c>
      <c r="K123" s="16">
        <v>5098.1279999999997</v>
      </c>
      <c r="L123" s="16">
        <v>11154.347</v>
      </c>
      <c r="M123" s="16">
        <v>126065.887</v>
      </c>
      <c r="N123" s="16">
        <v>6672.0460000000003</v>
      </c>
      <c r="O123" s="16">
        <v>4196.5039999999999</v>
      </c>
      <c r="P123" s="16">
        <v>7159.018</v>
      </c>
      <c r="Q123" s="16">
        <v>33181.512000000002</v>
      </c>
      <c r="R123" s="16">
        <v>4072.8150000000001</v>
      </c>
      <c r="S123" s="16">
        <v>6459.6490000000003</v>
      </c>
      <c r="T123" s="16">
        <v>3451.136</v>
      </c>
      <c r="U123" s="16">
        <v>19094.521000000001</v>
      </c>
      <c r="V123" s="16">
        <v>16594.731</v>
      </c>
    </row>
    <row r="124" spans="1:22" x14ac:dyDescent="0.25">
      <c r="A124" s="12">
        <v>2022</v>
      </c>
      <c r="B124" s="16">
        <v>44901.58</v>
      </c>
      <c r="C124" s="16">
        <v>12007.199000000001</v>
      </c>
      <c r="D124" s="16">
        <v>211004.45800000001</v>
      </c>
      <c r="E124" s="16">
        <v>28213</v>
      </c>
      <c r="F124" s="16">
        <v>11792.097</v>
      </c>
      <c r="G124" s="16">
        <v>18283.587</v>
      </c>
      <c r="H124" s="16">
        <v>9921.3940000000002</v>
      </c>
      <c r="I124" s="16">
        <v>11258.73</v>
      </c>
      <c r="J124" s="16">
        <v>52552.142999999996</v>
      </c>
      <c r="K124" s="16">
        <v>5135.1049999999996</v>
      </c>
      <c r="L124" s="16">
        <v>11118.74</v>
      </c>
      <c r="M124" s="16">
        <v>127014.602</v>
      </c>
      <c r="N124" s="16">
        <v>6750.4979999999996</v>
      </c>
      <c r="O124" s="16">
        <v>4249.0479999999998</v>
      </c>
      <c r="P124" s="16">
        <v>7247.2240000000002</v>
      </c>
      <c r="Q124" s="16">
        <v>33503.010999999999</v>
      </c>
      <c r="R124" s="16">
        <v>4072.8229999999999</v>
      </c>
      <c r="S124" s="16">
        <v>6494.2020000000002</v>
      </c>
      <c r="T124" s="16">
        <v>3453.8829999999998</v>
      </c>
      <c r="U124" s="16">
        <v>19204.635999999999</v>
      </c>
      <c r="V124" s="16">
        <v>16744.171999999999</v>
      </c>
    </row>
    <row r="125" spans="1:22" x14ac:dyDescent="0.25">
      <c r="A125" s="12">
        <v>2023</v>
      </c>
      <c r="B125" s="16">
        <v>45118</v>
      </c>
      <c r="C125" s="16">
        <v>12163.937</v>
      </c>
      <c r="D125" s="16">
        <v>211944.31400000001</v>
      </c>
      <c r="E125" s="16">
        <v>28300.9</v>
      </c>
      <c r="F125" s="16">
        <v>11940.736999999999</v>
      </c>
      <c r="G125" s="16">
        <v>18602.863000000001</v>
      </c>
      <c r="H125" s="16">
        <v>10079.164000000001</v>
      </c>
      <c r="I125" s="16">
        <v>11359.839</v>
      </c>
      <c r="J125" s="16">
        <v>53108.557000000001</v>
      </c>
      <c r="K125" s="16">
        <v>5172.7780000000002</v>
      </c>
      <c r="L125" s="16">
        <v>11093.55</v>
      </c>
      <c r="M125" s="16">
        <v>128028.875</v>
      </c>
      <c r="N125" s="16">
        <v>6831.4629999999997</v>
      </c>
      <c r="O125" s="16">
        <v>4302.6400000000003</v>
      </c>
      <c r="P125" s="16">
        <v>7338.4250000000002</v>
      </c>
      <c r="Q125" s="16">
        <v>33848.114999999998</v>
      </c>
      <c r="R125" s="16">
        <v>4072.83</v>
      </c>
      <c r="S125" s="16">
        <v>6531.3379999999997</v>
      </c>
      <c r="T125" s="16">
        <v>3457.9369999999999</v>
      </c>
      <c r="U125" s="16">
        <v>19317.324000000001</v>
      </c>
      <c r="V125" s="16">
        <v>16900.483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3635-0CEC-4DC1-A61E-A6907BF5D4F1}">
  <dimension ref="A4:P109"/>
  <sheetViews>
    <sheetView topLeftCell="A66" workbookViewId="0">
      <selection activeCell="B4" sqref="B4:B109"/>
    </sheetView>
  </sheetViews>
  <sheetFormatPr defaultRowHeight="15" x14ac:dyDescent="0.25"/>
  <cols>
    <col min="1" max="1" width="9.140625" style="9"/>
    <col min="2" max="2" width="9.140625" style="7"/>
    <col min="5" max="5" width="13.5703125" customWidth="1"/>
  </cols>
  <sheetData>
    <row r="4" spans="1:2" x14ac:dyDescent="0.25">
      <c r="A4" s="9">
        <f t="shared" ref="A4:A12" si="0">A5-1</f>
        <v>1917</v>
      </c>
      <c r="B4" s="7">
        <v>91000</v>
      </c>
    </row>
    <row r="5" spans="1:2" x14ac:dyDescent="0.25">
      <c r="A5" s="9">
        <f t="shared" si="0"/>
        <v>1918</v>
      </c>
      <c r="B5" s="8">
        <v>90073</v>
      </c>
    </row>
    <row r="6" spans="1:2" x14ac:dyDescent="0.25">
      <c r="A6" s="9">
        <f t="shared" si="0"/>
        <v>1919</v>
      </c>
      <c r="B6" s="8">
        <v>89155</v>
      </c>
    </row>
    <row r="7" spans="1:2" x14ac:dyDescent="0.25">
      <c r="A7" s="9">
        <f t="shared" si="0"/>
        <v>1920</v>
      </c>
      <c r="B7" s="7">
        <v>88247</v>
      </c>
    </row>
    <row r="8" spans="1:2" x14ac:dyDescent="0.25">
      <c r="A8" s="9">
        <f t="shared" si="0"/>
        <v>1921</v>
      </c>
      <c r="B8" s="8">
        <v>88083</v>
      </c>
    </row>
    <row r="9" spans="1:2" x14ac:dyDescent="0.25">
      <c r="A9" s="9">
        <f t="shared" si="0"/>
        <v>1922</v>
      </c>
      <c r="B9" s="8">
        <v>87919</v>
      </c>
    </row>
    <row r="10" spans="1:2" x14ac:dyDescent="0.25">
      <c r="A10" s="9">
        <f t="shared" si="0"/>
        <v>1923</v>
      </c>
      <c r="B10" s="7">
        <v>87755</v>
      </c>
    </row>
    <row r="11" spans="1:2" x14ac:dyDescent="0.25">
      <c r="A11" s="9">
        <f t="shared" si="0"/>
        <v>1924</v>
      </c>
      <c r="B11" s="8">
        <v>89385</v>
      </c>
    </row>
    <row r="12" spans="1:2" x14ac:dyDescent="0.25">
      <c r="A12" s="9">
        <f t="shared" si="0"/>
        <v>1925</v>
      </c>
      <c r="B12" s="8">
        <v>91044</v>
      </c>
    </row>
    <row r="13" spans="1:2" x14ac:dyDescent="0.25">
      <c r="A13" s="9">
        <f>A14-1</f>
        <v>1926</v>
      </c>
      <c r="B13" s="7">
        <v>92735</v>
      </c>
    </row>
    <row r="14" spans="1:2" x14ac:dyDescent="0.25">
      <c r="A14" s="9">
        <v>1927</v>
      </c>
      <c r="B14" s="7">
        <v>93604</v>
      </c>
    </row>
    <row r="15" spans="1:2" x14ac:dyDescent="0.25">
      <c r="A15" s="9">
        <v>1928</v>
      </c>
      <c r="B15" s="7">
        <v>95587</v>
      </c>
    </row>
    <row r="16" spans="1:2" x14ac:dyDescent="0.25">
      <c r="A16" s="9">
        <v>1929</v>
      </c>
      <c r="B16" s="7">
        <v>97721</v>
      </c>
    </row>
    <row r="17" spans="1:5" x14ac:dyDescent="0.25">
      <c r="A17" s="9">
        <v>1930</v>
      </c>
      <c r="B17" s="7">
        <v>99566</v>
      </c>
    </row>
    <row r="18" spans="1:5" x14ac:dyDescent="0.25">
      <c r="A18" s="9">
        <v>1931</v>
      </c>
      <c r="B18" s="7">
        <v>101272</v>
      </c>
    </row>
    <row r="19" spans="1:5" x14ac:dyDescent="0.25">
      <c r="A19" s="9">
        <v>1932</v>
      </c>
      <c r="B19" s="7">
        <v>102625</v>
      </c>
    </row>
    <row r="20" spans="1:5" x14ac:dyDescent="0.25">
      <c r="A20" s="9">
        <v>1933</v>
      </c>
      <c r="B20" s="7">
        <v>103648</v>
      </c>
    </row>
    <row r="21" spans="1:5" x14ac:dyDescent="0.25">
      <c r="A21" s="9">
        <v>1934</v>
      </c>
      <c r="B21" s="7">
        <v>101763</v>
      </c>
    </row>
    <row r="22" spans="1:5" x14ac:dyDescent="0.25">
      <c r="A22" s="9">
        <v>1935</v>
      </c>
      <c r="B22" s="7">
        <v>102080</v>
      </c>
    </row>
    <row r="23" spans="1:5" x14ac:dyDescent="0.25">
      <c r="A23" s="9">
        <v>1936</v>
      </c>
      <c r="B23" s="7">
        <v>103288</v>
      </c>
    </row>
    <row r="24" spans="1:5" x14ac:dyDescent="0.25">
      <c r="A24" s="9">
        <v>1937</v>
      </c>
      <c r="B24" s="7">
        <v>104520</v>
      </c>
    </row>
    <row r="25" spans="1:5" x14ac:dyDescent="0.25">
      <c r="A25" s="9">
        <v>1938</v>
      </c>
      <c r="B25" s="7">
        <v>106195</v>
      </c>
    </row>
    <row r="26" spans="1:5" x14ac:dyDescent="0.25">
      <c r="A26" s="9">
        <v>1939</v>
      </c>
      <c r="B26" s="7">
        <v>107893</v>
      </c>
    </row>
    <row r="27" spans="1:5" x14ac:dyDescent="0.25">
      <c r="A27" s="9">
        <v>1940</v>
      </c>
      <c r="B27" s="7">
        <v>109678</v>
      </c>
    </row>
    <row r="28" spans="1:5" x14ac:dyDescent="0.25">
      <c r="A28" s="9">
        <v>1941</v>
      </c>
      <c r="B28" s="7">
        <v>110988</v>
      </c>
      <c r="E28" s="5"/>
    </row>
    <row r="29" spans="1:5" x14ac:dyDescent="0.25">
      <c r="A29" s="9">
        <f>A28+1</f>
        <v>1942</v>
      </c>
      <c r="B29" s="6">
        <v>108159</v>
      </c>
    </row>
    <row r="30" spans="1:5" x14ac:dyDescent="0.25">
      <c r="A30" s="9">
        <f t="shared" ref="A30:A32" si="1">A29+1</f>
        <v>1943</v>
      </c>
      <c r="B30" s="6">
        <v>105403</v>
      </c>
    </row>
    <row r="31" spans="1:5" x14ac:dyDescent="0.25">
      <c r="A31" s="9">
        <f t="shared" si="1"/>
        <v>1944</v>
      </c>
      <c r="B31" s="6">
        <v>102717</v>
      </c>
    </row>
    <row r="32" spans="1:5" x14ac:dyDescent="0.25">
      <c r="A32" s="9">
        <f t="shared" si="1"/>
        <v>1945</v>
      </c>
      <c r="B32" s="6">
        <v>100099</v>
      </c>
    </row>
    <row r="33" spans="1:5" x14ac:dyDescent="0.25">
      <c r="A33" s="9">
        <v>1946</v>
      </c>
      <c r="B33" s="7">
        <v>97548</v>
      </c>
      <c r="E33" s="5"/>
    </row>
    <row r="34" spans="1:5" x14ac:dyDescent="0.25">
      <c r="A34" s="9">
        <v>1947</v>
      </c>
      <c r="B34" s="7">
        <v>98509</v>
      </c>
    </row>
    <row r="35" spans="1:5" x14ac:dyDescent="0.25">
      <c r="A35" s="9">
        <v>1948</v>
      </c>
      <c r="B35" s="7">
        <v>99159</v>
      </c>
    </row>
    <row r="36" spans="1:5" x14ac:dyDescent="0.25">
      <c r="A36" s="9">
        <v>1949</v>
      </c>
      <c r="B36" s="7">
        <v>100252</v>
      </c>
    </row>
    <row r="37" spans="1:5" x14ac:dyDescent="0.25">
      <c r="A37" s="9">
        <v>1950</v>
      </c>
      <c r="B37" s="7">
        <v>102067</v>
      </c>
    </row>
    <row r="38" spans="1:5" x14ac:dyDescent="0.25">
      <c r="A38" s="9">
        <v>1951</v>
      </c>
      <c r="B38" s="7">
        <v>103599</v>
      </c>
    </row>
    <row r="39" spans="1:5" x14ac:dyDescent="0.25">
      <c r="A39" s="9">
        <v>1952</v>
      </c>
      <c r="B39" s="7">
        <v>105278</v>
      </c>
    </row>
    <row r="40" spans="1:5" x14ac:dyDescent="0.25">
      <c r="A40" s="9">
        <v>1953</v>
      </c>
      <c r="B40" s="7">
        <v>107049</v>
      </c>
    </row>
    <row r="41" spans="1:5" x14ac:dyDescent="0.25">
      <c r="A41" s="9">
        <v>1954</v>
      </c>
      <c r="B41" s="7">
        <v>108607</v>
      </c>
    </row>
    <row r="42" spans="1:5" x14ac:dyDescent="0.25">
      <c r="A42" s="9">
        <v>1955</v>
      </c>
      <c r="B42" s="7">
        <v>110678</v>
      </c>
    </row>
    <row r="43" spans="1:5" x14ac:dyDescent="0.25">
      <c r="A43" s="9">
        <v>1956</v>
      </c>
      <c r="B43" s="7">
        <v>112465</v>
      </c>
    </row>
    <row r="44" spans="1:5" x14ac:dyDescent="0.25">
      <c r="A44" s="9">
        <v>1957</v>
      </c>
      <c r="B44" s="7">
        <v>114189</v>
      </c>
    </row>
    <row r="45" spans="1:5" x14ac:dyDescent="0.25">
      <c r="A45" s="9">
        <v>1958</v>
      </c>
      <c r="B45" s="7">
        <v>115881</v>
      </c>
    </row>
    <row r="46" spans="1:5" x14ac:dyDescent="0.25">
      <c r="A46" s="9">
        <v>1959</v>
      </c>
      <c r="B46" s="7">
        <v>117616</v>
      </c>
    </row>
    <row r="47" spans="1:5" x14ac:dyDescent="0.25">
      <c r="A47" s="9">
        <f>A46+1</f>
        <v>1960</v>
      </c>
      <c r="B47" s="7">
        <v>119046</v>
      </c>
    </row>
    <row r="48" spans="1:5" x14ac:dyDescent="0.25">
      <c r="A48" s="9">
        <f t="shared" ref="A48:A87" si="2">A47+1</f>
        <v>1961</v>
      </c>
      <c r="B48" s="7">
        <v>120766</v>
      </c>
    </row>
    <row r="49" spans="1:2" x14ac:dyDescent="0.25">
      <c r="A49" s="9">
        <f t="shared" si="2"/>
        <v>1962</v>
      </c>
      <c r="B49" s="7">
        <v>122407</v>
      </c>
    </row>
    <row r="50" spans="1:2" x14ac:dyDescent="0.25">
      <c r="A50" s="9">
        <f t="shared" si="2"/>
        <v>1963</v>
      </c>
      <c r="B50" s="7">
        <v>123848</v>
      </c>
    </row>
    <row r="51" spans="1:2" x14ac:dyDescent="0.25">
      <c r="A51" s="9">
        <f t="shared" si="2"/>
        <v>1964</v>
      </c>
      <c r="B51" s="7">
        <v>125179</v>
      </c>
    </row>
    <row r="52" spans="1:2" x14ac:dyDescent="0.25">
      <c r="A52" s="9">
        <f t="shared" si="2"/>
        <v>1965</v>
      </c>
      <c r="B52" s="7">
        <v>126309</v>
      </c>
    </row>
    <row r="53" spans="1:2" x14ac:dyDescent="0.25">
      <c r="A53" s="9">
        <f t="shared" si="2"/>
        <v>1966</v>
      </c>
      <c r="B53" s="7">
        <v>127189</v>
      </c>
    </row>
    <row r="54" spans="1:2" x14ac:dyDescent="0.25">
      <c r="A54" s="9">
        <f t="shared" si="2"/>
        <v>1967</v>
      </c>
      <c r="B54" s="7">
        <v>128026</v>
      </c>
    </row>
    <row r="55" spans="1:2" x14ac:dyDescent="0.25">
      <c r="A55" s="9">
        <f t="shared" si="2"/>
        <v>1968</v>
      </c>
      <c r="B55" s="7">
        <v>128696</v>
      </c>
    </row>
    <row r="56" spans="1:2" x14ac:dyDescent="0.25">
      <c r="A56" s="9">
        <f t="shared" si="2"/>
        <v>1969</v>
      </c>
      <c r="B56" s="7">
        <v>129379</v>
      </c>
    </row>
    <row r="57" spans="1:2" x14ac:dyDescent="0.25">
      <c r="A57" s="9">
        <f t="shared" si="2"/>
        <v>1970</v>
      </c>
      <c r="B57" s="7">
        <v>130079</v>
      </c>
    </row>
    <row r="58" spans="1:2" x14ac:dyDescent="0.25">
      <c r="A58" s="9">
        <f t="shared" si="2"/>
        <v>1971</v>
      </c>
      <c r="B58" s="7">
        <v>130704</v>
      </c>
    </row>
    <row r="59" spans="1:2" x14ac:dyDescent="0.25">
      <c r="A59" s="9">
        <f t="shared" si="2"/>
        <v>1972</v>
      </c>
      <c r="B59" s="7">
        <v>131445</v>
      </c>
    </row>
    <row r="60" spans="1:2" x14ac:dyDescent="0.25">
      <c r="A60" s="9">
        <f t="shared" si="2"/>
        <v>1973</v>
      </c>
      <c r="B60" s="7">
        <v>132210</v>
      </c>
    </row>
    <row r="61" spans="1:2" x14ac:dyDescent="0.25">
      <c r="A61" s="9">
        <f t="shared" si="2"/>
        <v>1974</v>
      </c>
      <c r="B61" s="7">
        <v>132941</v>
      </c>
    </row>
    <row r="62" spans="1:2" x14ac:dyDescent="0.25">
      <c r="A62" s="9">
        <f t="shared" si="2"/>
        <v>1975</v>
      </c>
      <c r="B62" s="7">
        <v>133775</v>
      </c>
    </row>
    <row r="63" spans="1:2" x14ac:dyDescent="0.25">
      <c r="A63" s="9">
        <f t="shared" si="2"/>
        <v>1976</v>
      </c>
      <c r="B63" s="7">
        <v>134690</v>
      </c>
    </row>
    <row r="64" spans="1:2" x14ac:dyDescent="0.25">
      <c r="A64" s="9">
        <f t="shared" si="2"/>
        <v>1977</v>
      </c>
      <c r="B64" s="7">
        <v>135645</v>
      </c>
    </row>
    <row r="65" spans="1:16" x14ac:dyDescent="0.25">
      <c r="A65" s="9">
        <f t="shared" si="2"/>
        <v>1978</v>
      </c>
      <c r="B65" s="7">
        <v>136596</v>
      </c>
    </row>
    <row r="66" spans="1:16" x14ac:dyDescent="0.25">
      <c r="A66" s="9">
        <f t="shared" si="2"/>
        <v>1979</v>
      </c>
      <c r="B66" s="7">
        <v>137551</v>
      </c>
    </row>
    <row r="67" spans="1:16" x14ac:dyDescent="0.25">
      <c r="A67" s="9">
        <f t="shared" si="2"/>
        <v>1980</v>
      </c>
      <c r="B67" s="7">
        <v>138291</v>
      </c>
    </row>
    <row r="68" spans="1:16" x14ac:dyDescent="0.25">
      <c r="A68" s="9">
        <f t="shared" si="2"/>
        <v>1981</v>
      </c>
      <c r="B68" s="7">
        <v>139028</v>
      </c>
    </row>
    <row r="69" spans="1:16" x14ac:dyDescent="0.25">
      <c r="A69" s="9">
        <f t="shared" si="2"/>
        <v>1982</v>
      </c>
      <c r="B69" s="7">
        <v>139816</v>
      </c>
    </row>
    <row r="70" spans="1:16" x14ac:dyDescent="0.25">
      <c r="A70" s="9">
        <f t="shared" si="2"/>
        <v>1983</v>
      </c>
      <c r="B70" s="7">
        <v>140766</v>
      </c>
    </row>
    <row r="71" spans="1:16" x14ac:dyDescent="0.25">
      <c r="A71" s="9">
        <f t="shared" si="2"/>
        <v>1984</v>
      </c>
      <c r="B71" s="7">
        <v>141842</v>
      </c>
    </row>
    <row r="72" spans="1:16" x14ac:dyDescent="0.25">
      <c r="A72" s="9">
        <f t="shared" si="2"/>
        <v>1985</v>
      </c>
      <c r="B72" s="7">
        <v>142823</v>
      </c>
    </row>
    <row r="73" spans="1:16" x14ac:dyDescent="0.25">
      <c r="A73" s="9">
        <f t="shared" si="2"/>
        <v>1986</v>
      </c>
      <c r="B73" s="7">
        <v>143835</v>
      </c>
    </row>
    <row r="74" spans="1:16" x14ac:dyDescent="0.25">
      <c r="A74" s="9">
        <f t="shared" si="2"/>
        <v>1987</v>
      </c>
      <c r="B74" s="7">
        <v>145115</v>
      </c>
    </row>
    <row r="75" spans="1:16" x14ac:dyDescent="0.25">
      <c r="A75" s="9">
        <f t="shared" si="2"/>
        <v>1988</v>
      </c>
      <c r="B75" s="7">
        <v>146343</v>
      </c>
    </row>
    <row r="76" spans="1:16" x14ac:dyDescent="0.25">
      <c r="A76" s="9">
        <f t="shared" si="2"/>
        <v>1989</v>
      </c>
      <c r="B76" s="7">
        <v>147021.9</v>
      </c>
    </row>
    <row r="77" spans="1:16" x14ac:dyDescent="0.25">
      <c r="A77" s="9">
        <f t="shared" si="2"/>
        <v>1990</v>
      </c>
      <c r="B77" s="7">
        <v>147665.1</v>
      </c>
      <c r="E77" s="5"/>
      <c r="F77" s="5"/>
      <c r="G77" s="5"/>
      <c r="P77" s="5"/>
    </row>
    <row r="78" spans="1:16" x14ac:dyDescent="0.25">
      <c r="A78" s="9">
        <f t="shared" si="2"/>
        <v>1991</v>
      </c>
      <c r="B78" s="7">
        <v>148273.70000000001</v>
      </c>
      <c r="E78" s="5"/>
      <c r="F78" s="5"/>
      <c r="G78" s="5"/>
      <c r="P78" s="5"/>
    </row>
    <row r="79" spans="1:16" x14ac:dyDescent="0.25">
      <c r="A79" s="9">
        <f t="shared" si="2"/>
        <v>1992</v>
      </c>
      <c r="B79" s="7">
        <v>148514.70000000001</v>
      </c>
      <c r="E79" s="5"/>
      <c r="F79" s="5"/>
      <c r="G79" s="5"/>
      <c r="P79" s="5"/>
    </row>
    <row r="80" spans="1:16" x14ac:dyDescent="0.25">
      <c r="A80" s="9">
        <f t="shared" si="2"/>
        <v>1993</v>
      </c>
      <c r="B80" s="7">
        <v>148561.70000000001</v>
      </c>
      <c r="E80" s="5"/>
      <c r="F80" s="5"/>
      <c r="G80" s="5"/>
      <c r="P80" s="5"/>
    </row>
    <row r="81" spans="1:16" x14ac:dyDescent="0.25">
      <c r="A81" s="9">
        <f t="shared" si="2"/>
        <v>1994</v>
      </c>
      <c r="B81" s="7">
        <v>148355.9</v>
      </c>
      <c r="E81" s="5"/>
      <c r="F81" s="5"/>
      <c r="G81" s="5"/>
      <c r="P81" s="5"/>
    </row>
    <row r="82" spans="1:16" x14ac:dyDescent="0.25">
      <c r="A82" s="9">
        <f t="shared" si="2"/>
        <v>1995</v>
      </c>
      <c r="B82" s="7">
        <v>148459.9</v>
      </c>
      <c r="E82" s="5"/>
      <c r="F82" s="5"/>
      <c r="G82" s="5"/>
      <c r="P82" s="5"/>
    </row>
    <row r="83" spans="1:16" x14ac:dyDescent="0.25">
      <c r="A83" s="9">
        <f t="shared" si="2"/>
        <v>1996</v>
      </c>
      <c r="B83" s="7">
        <v>148291.6</v>
      </c>
      <c r="E83" s="5"/>
      <c r="F83" s="5"/>
      <c r="G83" s="5"/>
      <c r="P83" s="5"/>
    </row>
    <row r="84" spans="1:16" x14ac:dyDescent="0.25">
      <c r="A84" s="9">
        <f t="shared" si="2"/>
        <v>1997</v>
      </c>
      <c r="B84" s="7">
        <v>148028.6</v>
      </c>
      <c r="E84" s="5"/>
      <c r="F84" s="5"/>
      <c r="G84" s="5"/>
      <c r="P84" s="5"/>
    </row>
    <row r="85" spans="1:16" x14ac:dyDescent="0.25">
      <c r="A85" s="9">
        <f t="shared" si="2"/>
        <v>1998</v>
      </c>
      <c r="B85" s="7">
        <v>147802.1</v>
      </c>
      <c r="E85" s="5"/>
      <c r="F85" s="5"/>
      <c r="G85" s="5"/>
      <c r="P85" s="5"/>
    </row>
    <row r="86" spans="1:16" x14ac:dyDescent="0.25">
      <c r="A86" s="9">
        <f t="shared" si="2"/>
        <v>1999</v>
      </c>
      <c r="B86" s="7">
        <v>147539.4</v>
      </c>
      <c r="E86" s="5"/>
      <c r="F86" s="5"/>
      <c r="G86" s="5"/>
      <c r="P86" s="5"/>
    </row>
    <row r="87" spans="1:16" x14ac:dyDescent="0.25">
      <c r="A87" s="9">
        <f t="shared" si="2"/>
        <v>2000</v>
      </c>
      <c r="B87" s="7">
        <v>146890.1</v>
      </c>
      <c r="E87" s="5"/>
      <c r="F87" s="5"/>
      <c r="G87" s="5"/>
      <c r="P87" s="5"/>
    </row>
    <row r="88" spans="1:16" x14ac:dyDescent="0.25">
      <c r="A88" s="9">
        <f>A87+1</f>
        <v>2001</v>
      </c>
      <c r="B88" s="5">
        <v>146303.6</v>
      </c>
      <c r="E88" s="5"/>
      <c r="F88" s="5"/>
      <c r="G88" s="5"/>
      <c r="P88" s="5"/>
    </row>
    <row r="89" spans="1:16" x14ac:dyDescent="0.25">
      <c r="A89" s="9">
        <f t="shared" ref="A89:A109" si="3">A88+1</f>
        <v>2002</v>
      </c>
      <c r="B89" s="5">
        <v>145649.29999999999</v>
      </c>
      <c r="E89" s="5"/>
      <c r="F89" s="5"/>
      <c r="G89" s="5"/>
      <c r="P89" s="5"/>
    </row>
    <row r="90" spans="1:16" x14ac:dyDescent="0.25">
      <c r="A90" s="9">
        <f t="shared" si="3"/>
        <v>2003</v>
      </c>
      <c r="B90" s="5">
        <v>144963.6</v>
      </c>
      <c r="E90" s="5"/>
      <c r="F90" s="5"/>
      <c r="G90" s="5"/>
      <c r="P90" s="5"/>
    </row>
    <row r="91" spans="1:16" x14ac:dyDescent="0.25">
      <c r="A91" s="9">
        <f t="shared" si="3"/>
        <v>2004</v>
      </c>
      <c r="B91" s="5">
        <v>144333.6</v>
      </c>
      <c r="E91" s="5"/>
      <c r="F91" s="5"/>
      <c r="G91" s="5"/>
      <c r="P91" s="5"/>
    </row>
    <row r="92" spans="1:16" x14ac:dyDescent="0.25">
      <c r="A92" s="9">
        <f t="shared" si="3"/>
        <v>2005</v>
      </c>
      <c r="B92" s="5">
        <v>143801</v>
      </c>
      <c r="E92" s="5"/>
      <c r="F92" s="5"/>
      <c r="G92" s="5"/>
      <c r="P92" s="5"/>
    </row>
    <row r="93" spans="1:16" x14ac:dyDescent="0.25">
      <c r="A93" s="9">
        <f t="shared" si="3"/>
        <v>2006</v>
      </c>
      <c r="B93" s="5">
        <v>143236.6</v>
      </c>
      <c r="E93" s="5"/>
      <c r="F93" s="5"/>
      <c r="G93" s="5"/>
      <c r="P93" s="5"/>
    </row>
    <row r="94" spans="1:16" x14ac:dyDescent="0.25">
      <c r="A94" s="9">
        <f t="shared" si="3"/>
        <v>2007</v>
      </c>
      <c r="B94" s="5">
        <v>142862.70000000001</v>
      </c>
      <c r="E94" s="5"/>
      <c r="F94" s="5"/>
      <c r="G94" s="5"/>
      <c r="P94" s="5"/>
    </row>
    <row r="95" spans="1:16" x14ac:dyDescent="0.25">
      <c r="A95" s="9">
        <f t="shared" si="3"/>
        <v>2008</v>
      </c>
      <c r="B95" s="5">
        <v>142747.5</v>
      </c>
      <c r="E95" s="5"/>
      <c r="F95" s="5"/>
      <c r="G95" s="5"/>
      <c r="P95" s="5"/>
    </row>
    <row r="96" spans="1:16" x14ac:dyDescent="0.25">
      <c r="A96" s="9">
        <f t="shared" si="3"/>
        <v>2009</v>
      </c>
      <c r="B96" s="5">
        <v>142737.20000000001</v>
      </c>
      <c r="E96" s="5"/>
      <c r="F96" s="5"/>
      <c r="G96" s="5"/>
      <c r="P96" s="5"/>
    </row>
    <row r="97" spans="1:16" x14ac:dyDescent="0.25">
      <c r="A97" s="9">
        <f t="shared" si="3"/>
        <v>2010</v>
      </c>
      <c r="B97" s="5">
        <v>142833.5</v>
      </c>
      <c r="E97" s="5"/>
      <c r="F97" s="5"/>
      <c r="G97" s="5"/>
      <c r="P97" s="5"/>
    </row>
    <row r="98" spans="1:16" x14ac:dyDescent="0.25">
      <c r="A98" s="9">
        <f t="shared" si="3"/>
        <v>2011</v>
      </c>
      <c r="B98" s="5">
        <v>142865.4</v>
      </c>
      <c r="E98" s="5"/>
      <c r="F98" s="5"/>
      <c r="G98" s="5"/>
      <c r="P98" s="5"/>
    </row>
    <row r="99" spans="1:16" x14ac:dyDescent="0.25">
      <c r="A99" s="9">
        <f t="shared" si="3"/>
        <v>2012</v>
      </c>
      <c r="B99" s="5">
        <v>143171</v>
      </c>
      <c r="E99" s="5"/>
      <c r="F99" s="5"/>
      <c r="G99" s="5"/>
      <c r="P99" s="5"/>
    </row>
    <row r="100" spans="1:16" x14ac:dyDescent="0.25">
      <c r="A100" s="9">
        <f t="shared" si="3"/>
        <v>2013</v>
      </c>
      <c r="B100" s="5">
        <v>143585.9</v>
      </c>
      <c r="E100" s="5"/>
      <c r="F100" s="5"/>
      <c r="G100" s="5"/>
      <c r="P100" s="5"/>
    </row>
    <row r="101" spans="1:16" x14ac:dyDescent="0.25">
      <c r="A101" s="9">
        <f t="shared" si="3"/>
        <v>2014</v>
      </c>
      <c r="B101" s="5">
        <v>144025.29999999999</v>
      </c>
      <c r="E101" s="5"/>
      <c r="F101" s="5"/>
      <c r="G101" s="5"/>
      <c r="I101" s="5"/>
      <c r="P101" s="5"/>
    </row>
    <row r="102" spans="1:16" x14ac:dyDescent="0.25">
      <c r="A102" s="9">
        <f t="shared" si="3"/>
        <v>2015</v>
      </c>
      <c r="B102" s="5">
        <v>144439.06299999999</v>
      </c>
      <c r="E102" s="5"/>
      <c r="F102" s="5"/>
      <c r="G102" s="5"/>
      <c r="I102" s="5"/>
      <c r="P102" s="5"/>
    </row>
    <row r="103" spans="1:16" x14ac:dyDescent="0.25">
      <c r="A103" s="9">
        <f t="shared" si="3"/>
        <v>2016</v>
      </c>
      <c r="B103" s="5">
        <v>144828.182</v>
      </c>
      <c r="E103" s="5"/>
      <c r="F103" s="5"/>
      <c r="G103" s="5"/>
      <c r="I103" s="5"/>
      <c r="P103" s="5"/>
    </row>
    <row r="104" spans="1:16" x14ac:dyDescent="0.25">
      <c r="A104" s="9">
        <f t="shared" si="3"/>
        <v>2017</v>
      </c>
      <c r="B104" s="5">
        <v>145154.45499999999</v>
      </c>
      <c r="E104" s="5"/>
      <c r="F104" s="5"/>
      <c r="G104" s="5"/>
      <c r="I104" s="5"/>
    </row>
    <row r="105" spans="1:16" x14ac:dyDescent="0.25">
      <c r="A105" s="9">
        <f t="shared" si="3"/>
        <v>2018</v>
      </c>
      <c r="B105" s="5">
        <v>145345.77499999999</v>
      </c>
      <c r="E105" s="5"/>
      <c r="F105" s="5"/>
      <c r="G105" s="5"/>
      <c r="I105" s="5"/>
    </row>
    <row r="106" spans="1:16" x14ac:dyDescent="0.25">
      <c r="A106" s="9">
        <f t="shared" si="3"/>
        <v>2019</v>
      </c>
      <c r="B106" s="7">
        <v>145425.78899999999</v>
      </c>
      <c r="E106" s="5"/>
      <c r="F106" s="5"/>
      <c r="G106" s="5"/>
      <c r="I106" s="5"/>
    </row>
    <row r="107" spans="1:16" x14ac:dyDescent="0.25">
      <c r="A107" s="9">
        <f t="shared" si="3"/>
        <v>2020</v>
      </c>
      <c r="B107" s="7">
        <v>145349.31400000001</v>
      </c>
      <c r="E107" s="5"/>
      <c r="F107" s="5"/>
      <c r="G107" s="5"/>
      <c r="I107" s="5"/>
    </row>
    <row r="108" spans="1:16" x14ac:dyDescent="0.25">
      <c r="A108" s="9">
        <f t="shared" si="3"/>
        <v>2021</v>
      </c>
      <c r="B108" s="7">
        <v>144996.05300000001</v>
      </c>
      <c r="E108" s="5"/>
      <c r="F108" s="5"/>
      <c r="G108" s="5"/>
      <c r="I108" s="5"/>
    </row>
    <row r="109" spans="1:16" x14ac:dyDescent="0.25">
      <c r="A109" s="9">
        <f t="shared" si="3"/>
        <v>2022</v>
      </c>
      <c r="B109" s="7">
        <v>144491.94399999999</v>
      </c>
      <c r="E109" s="5"/>
      <c r="F109" s="5"/>
      <c r="G109" s="5"/>
      <c r="I109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AE3E-62EC-4D9E-B2C5-BC59172276FB}">
  <dimension ref="A1:W107"/>
  <sheetViews>
    <sheetView workbookViewId="0">
      <selection sqref="A1:W1"/>
    </sheetView>
  </sheetViews>
  <sheetFormatPr defaultRowHeight="15" x14ac:dyDescent="0.25"/>
  <cols>
    <col min="1" max="1" width="9.140625" style="10"/>
  </cols>
  <sheetData>
    <row r="1" spans="1:23" ht="60" x14ac:dyDescent="0.25">
      <c r="A1" s="14" t="s">
        <v>1</v>
      </c>
      <c r="B1" s="14" t="s">
        <v>2</v>
      </c>
      <c r="C1" s="14" t="s">
        <v>3</v>
      </c>
      <c r="D1" s="14" t="s">
        <v>4</v>
      </c>
      <c r="E1" s="14" t="s">
        <v>56</v>
      </c>
      <c r="F1" s="14" t="s">
        <v>13</v>
      </c>
      <c r="G1" s="14" t="s">
        <v>12</v>
      </c>
      <c r="H1" s="14" t="s">
        <v>14</v>
      </c>
      <c r="I1" s="15" t="s">
        <v>9</v>
      </c>
      <c r="J1" s="14" t="s">
        <v>6</v>
      </c>
      <c r="K1" s="14" t="s">
        <v>7</v>
      </c>
      <c r="L1" s="14" t="s">
        <v>8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57</v>
      </c>
      <c r="S1" s="14" t="s">
        <v>58</v>
      </c>
      <c r="T1" s="14" t="s">
        <v>20</v>
      </c>
      <c r="U1" s="14" t="s">
        <v>5</v>
      </c>
      <c r="V1" s="14" t="s">
        <v>10</v>
      </c>
      <c r="W1" s="14" t="s">
        <v>42</v>
      </c>
    </row>
    <row r="2" spans="1:23" x14ac:dyDescent="0.25">
      <c r="A2" s="12">
        <v>1917</v>
      </c>
      <c r="B2" s="13">
        <v>8352.3250000000007</v>
      </c>
      <c r="C2" s="13">
        <v>2028.537</v>
      </c>
      <c r="D2" s="13">
        <v>25796.143</v>
      </c>
      <c r="E2" s="13">
        <v>2729.8139999999999</v>
      </c>
      <c r="F2" s="13">
        <v>1997.943</v>
      </c>
      <c r="G2" s="13">
        <v>1561.615</v>
      </c>
      <c r="H2" s="13">
        <v>698.69899999999996</v>
      </c>
      <c r="I2" s="13">
        <v>816.904</v>
      </c>
      <c r="J2" s="13">
        <v>5708.9870000000001</v>
      </c>
      <c r="K2" s="13">
        <v>398.81200000000001</v>
      </c>
      <c r="L2" s="13">
        <v>2738.5630000000001</v>
      </c>
      <c r="M2" s="13">
        <v>14577.619000000001</v>
      </c>
      <c r="N2" s="13">
        <v>605.36300000000006</v>
      </c>
      <c r="O2" s="13">
        <v>416.87099999999998</v>
      </c>
      <c r="P2" s="13">
        <v>669.95799999999997</v>
      </c>
      <c r="Q2" s="13">
        <v>4522.3879999999999</v>
      </c>
      <c r="R2" s="13">
        <v>1240.2850000000001</v>
      </c>
      <c r="S2" s="13">
        <v>1132.643</v>
      </c>
      <c r="T2" s="13">
        <v>1374.8789999999999</v>
      </c>
      <c r="U2" s="13">
        <v>3583.7660000000001</v>
      </c>
      <c r="V2" s="13">
        <v>1526.35</v>
      </c>
      <c r="W2" s="7">
        <v>91000</v>
      </c>
    </row>
    <row r="3" spans="1:23" x14ac:dyDescent="0.25">
      <c r="A3" s="12">
        <v>1918</v>
      </c>
      <c r="B3" s="13">
        <v>8539</v>
      </c>
      <c r="C3" s="13">
        <v>2044.076</v>
      </c>
      <c r="D3" s="13">
        <v>26337.620999999999</v>
      </c>
      <c r="E3" s="13">
        <v>2759.5749999999998</v>
      </c>
      <c r="F3" s="13">
        <v>2040.83</v>
      </c>
      <c r="G3" s="13">
        <v>1578.67</v>
      </c>
      <c r="H3" s="13">
        <v>716.28899999999999</v>
      </c>
      <c r="I3" s="13">
        <v>840.39200000000005</v>
      </c>
      <c r="J3" s="13">
        <v>5844.2960000000003</v>
      </c>
      <c r="K3" s="13">
        <v>405.94499999999999</v>
      </c>
      <c r="L3" s="13">
        <v>2817.982</v>
      </c>
      <c r="M3" s="13">
        <v>14632.659</v>
      </c>
      <c r="N3" s="13">
        <v>616.17899999999997</v>
      </c>
      <c r="O3" s="13">
        <v>426.40899999999999</v>
      </c>
      <c r="P3" s="13">
        <v>679.27599999999995</v>
      </c>
      <c r="Q3" s="13">
        <v>4598.299</v>
      </c>
      <c r="R3" s="13">
        <v>1259.499</v>
      </c>
      <c r="S3" s="13">
        <v>1146.425</v>
      </c>
      <c r="T3" s="13">
        <v>1400.0129999999999</v>
      </c>
      <c r="U3" s="13">
        <v>3629.5419999999999</v>
      </c>
      <c r="V3" s="13">
        <v>1544.943</v>
      </c>
      <c r="W3" s="8">
        <v>90073</v>
      </c>
    </row>
    <row r="4" spans="1:23" x14ac:dyDescent="0.25">
      <c r="A4" s="12">
        <v>1919</v>
      </c>
      <c r="B4" s="13">
        <v>8739.4639999999999</v>
      </c>
      <c r="C4" s="13">
        <v>2060.1579999999999</v>
      </c>
      <c r="D4" s="13">
        <v>26889.971000000001</v>
      </c>
      <c r="E4" s="13">
        <v>2790.5439999999999</v>
      </c>
      <c r="F4" s="13">
        <v>2082.0210000000002</v>
      </c>
      <c r="G4" s="13">
        <v>1597.075</v>
      </c>
      <c r="H4" s="13">
        <v>734.74400000000003</v>
      </c>
      <c r="I4" s="13">
        <v>863.803</v>
      </c>
      <c r="J4" s="13">
        <v>5996.3140000000003</v>
      </c>
      <c r="K4" s="13">
        <v>412.767</v>
      </c>
      <c r="L4" s="13">
        <v>2899.1320000000001</v>
      </c>
      <c r="M4" s="13">
        <v>14713.126</v>
      </c>
      <c r="N4" s="13">
        <v>627.42700000000002</v>
      </c>
      <c r="O4" s="13">
        <v>434.98899999999998</v>
      </c>
      <c r="P4" s="13">
        <v>688.93899999999996</v>
      </c>
      <c r="Q4" s="13">
        <v>4674.768</v>
      </c>
      <c r="R4" s="13">
        <v>1279.3209999999999</v>
      </c>
      <c r="S4" s="13">
        <v>1161.1679999999999</v>
      </c>
      <c r="T4" s="13">
        <v>1430.271</v>
      </c>
      <c r="U4" s="13">
        <v>3676.433</v>
      </c>
      <c r="V4" s="13">
        <v>1563.95</v>
      </c>
      <c r="W4" s="8">
        <v>89155</v>
      </c>
    </row>
    <row r="5" spans="1:23" x14ac:dyDescent="0.25">
      <c r="A5" s="12">
        <v>1920</v>
      </c>
      <c r="B5" s="13">
        <v>8970.5</v>
      </c>
      <c r="C5" s="13">
        <v>2075.7820000000002</v>
      </c>
      <c r="D5" s="13">
        <v>27452</v>
      </c>
      <c r="E5" s="13">
        <v>2822.3</v>
      </c>
      <c r="F5" s="13">
        <v>2122</v>
      </c>
      <c r="G5" s="13">
        <v>1616.027</v>
      </c>
      <c r="H5" s="13">
        <v>753.17100000000005</v>
      </c>
      <c r="I5" s="13">
        <v>886.83299999999997</v>
      </c>
      <c r="J5" s="13">
        <v>6090.3630000000003</v>
      </c>
      <c r="K5" s="13">
        <v>420.31700000000001</v>
      </c>
      <c r="L5" s="13">
        <v>2981.5239999999999</v>
      </c>
      <c r="M5" s="13">
        <v>14720.5</v>
      </c>
      <c r="N5" s="13">
        <v>638</v>
      </c>
      <c r="O5" s="13">
        <v>443.11099999999999</v>
      </c>
      <c r="P5" s="13">
        <v>699</v>
      </c>
      <c r="Q5" s="13">
        <v>4751.7979999999998</v>
      </c>
      <c r="R5" s="13">
        <v>1299.809</v>
      </c>
      <c r="S5" s="13">
        <v>1176.0070000000001</v>
      </c>
      <c r="T5" s="13">
        <v>1453.154</v>
      </c>
      <c r="U5" s="13">
        <v>3724.5</v>
      </c>
      <c r="V5" s="13">
        <v>1583.365</v>
      </c>
      <c r="W5" s="7">
        <v>88247</v>
      </c>
    </row>
    <row r="6" spans="1:23" x14ac:dyDescent="0.25">
      <c r="A6" s="12">
        <v>1921</v>
      </c>
      <c r="B6" s="13">
        <v>9225.9079999999994</v>
      </c>
      <c r="C6" s="13">
        <v>2094.7750000000001</v>
      </c>
      <c r="D6" s="13">
        <v>28016.544999999998</v>
      </c>
      <c r="E6" s="13">
        <v>2855.9929999999999</v>
      </c>
      <c r="F6" s="13">
        <v>2151.8710000000001</v>
      </c>
      <c r="G6" s="13">
        <v>1652.8230000000001</v>
      </c>
      <c r="H6" s="13">
        <v>772.11099999999999</v>
      </c>
      <c r="I6" s="13">
        <v>919.23</v>
      </c>
      <c r="J6" s="13">
        <v>6214.53</v>
      </c>
      <c r="K6" s="13">
        <v>427.11900000000003</v>
      </c>
      <c r="L6" s="13">
        <v>3066.107</v>
      </c>
      <c r="M6" s="13">
        <v>14829.468000000001</v>
      </c>
      <c r="N6" s="13">
        <v>646.45000000000005</v>
      </c>
      <c r="O6" s="13">
        <v>447.18299999999999</v>
      </c>
      <c r="P6" s="13">
        <v>714.11</v>
      </c>
      <c r="Q6" s="13">
        <v>4829.6719999999996</v>
      </c>
      <c r="R6" s="13">
        <v>1321.0129999999999</v>
      </c>
      <c r="S6" s="13">
        <v>1195.1030000000001</v>
      </c>
      <c r="T6" s="13">
        <v>1476.2940000000001</v>
      </c>
      <c r="U6" s="13">
        <v>3783.3069999999998</v>
      </c>
      <c r="V6" s="13">
        <v>1611.6130000000001</v>
      </c>
      <c r="W6" s="8">
        <v>88083</v>
      </c>
    </row>
    <row r="7" spans="1:23" x14ac:dyDescent="0.25">
      <c r="A7" s="12">
        <v>1922</v>
      </c>
      <c r="B7" s="13">
        <v>9521.7360000000008</v>
      </c>
      <c r="C7" s="13">
        <v>2113.5419999999999</v>
      </c>
      <c r="D7" s="13">
        <v>28590.197</v>
      </c>
      <c r="E7" s="13">
        <v>2891.6840000000002</v>
      </c>
      <c r="F7" s="13">
        <v>2180.7539999999999</v>
      </c>
      <c r="G7" s="13">
        <v>1692.3320000000001</v>
      </c>
      <c r="H7" s="13">
        <v>791.50400000000002</v>
      </c>
      <c r="I7" s="13">
        <v>952.471</v>
      </c>
      <c r="J7" s="13">
        <v>6340.0839999999998</v>
      </c>
      <c r="K7" s="13">
        <v>435.15699999999998</v>
      </c>
      <c r="L7" s="13">
        <v>3153.433</v>
      </c>
      <c r="M7" s="13">
        <v>14915.276</v>
      </c>
      <c r="N7" s="13">
        <v>654.41499999999996</v>
      </c>
      <c r="O7" s="13">
        <v>451.15600000000001</v>
      </c>
      <c r="P7" s="13">
        <v>730.33500000000004</v>
      </c>
      <c r="Q7" s="13">
        <v>4909.0649999999996</v>
      </c>
      <c r="R7" s="13">
        <v>1342.944</v>
      </c>
      <c r="S7" s="13">
        <v>1214.454</v>
      </c>
      <c r="T7" s="13">
        <v>1499.769</v>
      </c>
      <c r="U7" s="13">
        <v>3835.8589999999999</v>
      </c>
      <c r="V7" s="13">
        <v>1645.7</v>
      </c>
      <c r="W7" s="8">
        <v>87919</v>
      </c>
    </row>
    <row r="8" spans="1:23" x14ac:dyDescent="0.25">
      <c r="A8" s="12">
        <v>1923</v>
      </c>
      <c r="B8" s="13">
        <v>9857.893</v>
      </c>
      <c r="C8" s="13">
        <v>2132.6990000000001</v>
      </c>
      <c r="D8" s="13">
        <v>29174.646000000001</v>
      </c>
      <c r="E8" s="13">
        <v>2928.8110000000001</v>
      </c>
      <c r="F8" s="13">
        <v>2209.404</v>
      </c>
      <c r="G8" s="13">
        <v>1734.1010000000001</v>
      </c>
      <c r="H8" s="13">
        <v>811.31600000000003</v>
      </c>
      <c r="I8" s="13">
        <v>986.58699999999999</v>
      </c>
      <c r="J8" s="13">
        <v>6466.8630000000003</v>
      </c>
      <c r="K8" s="13">
        <v>444.41199999999998</v>
      </c>
      <c r="L8" s="13">
        <v>3242.4180000000001</v>
      </c>
      <c r="M8" s="13">
        <v>15084.244000000001</v>
      </c>
      <c r="N8" s="13">
        <v>662.923</v>
      </c>
      <c r="O8" s="13">
        <v>455.09100000000001</v>
      </c>
      <c r="P8" s="13">
        <v>747.10699999999997</v>
      </c>
      <c r="Q8" s="13">
        <v>4988.8220000000001</v>
      </c>
      <c r="R8" s="13">
        <v>1365.597</v>
      </c>
      <c r="S8" s="13">
        <v>1235.9549999999999</v>
      </c>
      <c r="T8" s="13">
        <v>1523.4939999999999</v>
      </c>
      <c r="U8" s="13">
        <v>3889.1309999999999</v>
      </c>
      <c r="V8" s="13">
        <v>1678.2429999999999</v>
      </c>
      <c r="W8" s="7">
        <v>87755</v>
      </c>
    </row>
    <row r="9" spans="1:23" x14ac:dyDescent="0.25">
      <c r="A9" s="12">
        <v>1924</v>
      </c>
      <c r="B9" s="13">
        <v>10175.785</v>
      </c>
      <c r="C9" s="13">
        <v>2151.3620000000001</v>
      </c>
      <c r="D9" s="13">
        <v>29771.079000000002</v>
      </c>
      <c r="E9" s="13">
        <v>2966.3139999999999</v>
      </c>
      <c r="F9" s="13">
        <v>2236.578</v>
      </c>
      <c r="G9" s="13">
        <v>1780.1780000000001</v>
      </c>
      <c r="H9" s="13">
        <v>832.01099999999997</v>
      </c>
      <c r="I9" s="13">
        <v>1021.6079999999999</v>
      </c>
      <c r="J9" s="13">
        <v>6595.2089999999998</v>
      </c>
      <c r="K9" s="13">
        <v>453.86200000000002</v>
      </c>
      <c r="L9" s="13">
        <v>3332.9760000000001</v>
      </c>
      <c r="M9" s="13">
        <v>15266.191999999999</v>
      </c>
      <c r="N9" s="13">
        <v>671.00199999999995</v>
      </c>
      <c r="O9" s="13">
        <v>459.05399999999997</v>
      </c>
      <c r="P9" s="13">
        <v>764.85599999999999</v>
      </c>
      <c r="Q9" s="13">
        <v>5068.7849999999999</v>
      </c>
      <c r="R9" s="13">
        <v>1388.9649999999999</v>
      </c>
      <c r="S9" s="13">
        <v>1259.499</v>
      </c>
      <c r="T9" s="13">
        <v>1547.3820000000001</v>
      </c>
      <c r="U9" s="13">
        <v>3944.0970000000002</v>
      </c>
      <c r="V9" s="13">
        <v>1712.856</v>
      </c>
      <c r="W9" s="8">
        <v>89385</v>
      </c>
    </row>
    <row r="10" spans="1:23" x14ac:dyDescent="0.25">
      <c r="A10" s="12">
        <v>1925</v>
      </c>
      <c r="B10" s="13">
        <v>10476.319</v>
      </c>
      <c r="C10" s="13">
        <v>2170.6480000000001</v>
      </c>
      <c r="D10" s="13">
        <v>30379.187000000002</v>
      </c>
      <c r="E10" s="13">
        <v>3005.1309999999999</v>
      </c>
      <c r="F10" s="13">
        <v>2264.5340000000001</v>
      </c>
      <c r="G10" s="13">
        <v>1821.1130000000001</v>
      </c>
      <c r="H10" s="13">
        <v>852.55399999999997</v>
      </c>
      <c r="I10" s="13">
        <v>1057.567</v>
      </c>
      <c r="J10" s="13">
        <v>6725.96</v>
      </c>
      <c r="K10" s="13">
        <v>463.99</v>
      </c>
      <c r="L10" s="13">
        <v>3423.52</v>
      </c>
      <c r="M10" s="13">
        <v>15461.439</v>
      </c>
      <c r="N10" s="13">
        <v>679.17899999999997</v>
      </c>
      <c r="O10" s="13">
        <v>463.10700000000003</v>
      </c>
      <c r="P10" s="13">
        <v>783.01400000000001</v>
      </c>
      <c r="Q10" s="13">
        <v>5150.2979999999998</v>
      </c>
      <c r="R10" s="13">
        <v>1413.0440000000001</v>
      </c>
      <c r="S10" s="13">
        <v>1281.9829999999999</v>
      </c>
      <c r="T10" s="13">
        <v>1571.35</v>
      </c>
      <c r="U10" s="13">
        <v>3999.7310000000002</v>
      </c>
      <c r="V10" s="13">
        <v>1748.155</v>
      </c>
      <c r="W10" s="8">
        <v>91044</v>
      </c>
    </row>
    <row r="11" spans="1:23" x14ac:dyDescent="0.25">
      <c r="A11" s="12">
        <v>1926</v>
      </c>
      <c r="B11" s="13">
        <v>10786.903</v>
      </c>
      <c r="C11" s="13">
        <v>2190.174</v>
      </c>
      <c r="D11" s="13">
        <v>30999.156999999999</v>
      </c>
      <c r="E11" s="13">
        <v>3044.701</v>
      </c>
      <c r="F11" s="13">
        <v>2294.5259999999998</v>
      </c>
      <c r="G11" s="13">
        <v>1862.453</v>
      </c>
      <c r="H11" s="13">
        <v>873.41099999999994</v>
      </c>
      <c r="I11" s="13">
        <v>1094.4960000000001</v>
      </c>
      <c r="J11" s="13">
        <v>6859.4579999999996</v>
      </c>
      <c r="K11" s="13">
        <v>474.77600000000001</v>
      </c>
      <c r="L11" s="13">
        <v>3513.9650000000001</v>
      </c>
      <c r="M11" s="13">
        <v>15667.305</v>
      </c>
      <c r="N11" s="13">
        <v>687.98099999999999</v>
      </c>
      <c r="O11" s="13">
        <v>467.315</v>
      </c>
      <c r="P11" s="13">
        <v>801.51</v>
      </c>
      <c r="Q11" s="13">
        <v>5233.7030000000004</v>
      </c>
      <c r="R11" s="13">
        <v>1437.828</v>
      </c>
      <c r="S11" s="13">
        <v>1303.299</v>
      </c>
      <c r="T11" s="13">
        <v>1602.8109999999999</v>
      </c>
      <c r="U11" s="13">
        <v>4056.5059999999999</v>
      </c>
      <c r="V11" s="13">
        <v>1783.7570000000001</v>
      </c>
      <c r="W11" s="7">
        <v>92735</v>
      </c>
    </row>
    <row r="12" spans="1:23" x14ac:dyDescent="0.25">
      <c r="A12" s="12">
        <v>1927</v>
      </c>
      <c r="B12" s="13">
        <v>11103.941999999999</v>
      </c>
      <c r="C12" s="13">
        <v>2210.5549999999998</v>
      </c>
      <c r="D12" s="13">
        <v>31631.679</v>
      </c>
      <c r="E12" s="13">
        <v>3086.4639999999999</v>
      </c>
      <c r="F12" s="13">
        <v>2325.3130000000001</v>
      </c>
      <c r="G12" s="13">
        <v>1904.748</v>
      </c>
      <c r="H12" s="13">
        <v>888.54700000000003</v>
      </c>
      <c r="I12" s="13">
        <v>1132.425</v>
      </c>
      <c r="J12" s="13">
        <v>6995.5410000000002</v>
      </c>
      <c r="K12" s="13">
        <v>483.69900000000001</v>
      </c>
      <c r="L12" s="13">
        <v>3603.7249999999999</v>
      </c>
      <c r="M12" s="13">
        <v>15882.611000000001</v>
      </c>
      <c r="N12" s="13">
        <v>696.93700000000001</v>
      </c>
      <c r="O12" s="13">
        <v>472.24099999999999</v>
      </c>
      <c r="P12" s="13">
        <v>820.77599999999995</v>
      </c>
      <c r="Q12" s="13">
        <v>5318.3450000000003</v>
      </c>
      <c r="R12" s="13">
        <v>1463.3130000000001</v>
      </c>
      <c r="S12" s="13">
        <v>1325.8440000000001</v>
      </c>
      <c r="T12" s="13">
        <v>1633.68</v>
      </c>
      <c r="U12" s="13">
        <v>4114.3959999999997</v>
      </c>
      <c r="V12" s="13">
        <v>1820.2760000000001</v>
      </c>
      <c r="W12" s="7">
        <v>93604</v>
      </c>
    </row>
    <row r="13" spans="1:23" x14ac:dyDescent="0.25">
      <c r="A13" s="12">
        <v>1928</v>
      </c>
      <c r="B13" s="13">
        <v>11410.844999999999</v>
      </c>
      <c r="C13" s="13">
        <v>2231.4090000000001</v>
      </c>
      <c r="D13" s="13">
        <v>32276.940999999999</v>
      </c>
      <c r="E13" s="13">
        <v>3130.8589999999999</v>
      </c>
      <c r="F13" s="13">
        <v>2356.15</v>
      </c>
      <c r="G13" s="13">
        <v>1953.0440000000001</v>
      </c>
      <c r="H13" s="13">
        <v>905.42700000000002</v>
      </c>
      <c r="I13" s="13">
        <v>1171.8869999999999</v>
      </c>
      <c r="J13" s="13">
        <v>7135.05</v>
      </c>
      <c r="K13" s="13">
        <v>493.24099999999999</v>
      </c>
      <c r="L13" s="13">
        <v>3599.2150000000001</v>
      </c>
      <c r="M13" s="13">
        <v>16104.675999999999</v>
      </c>
      <c r="N13" s="13">
        <v>705.57399999999996</v>
      </c>
      <c r="O13" s="13">
        <v>476.94900000000001</v>
      </c>
      <c r="P13" s="13">
        <v>840.24300000000005</v>
      </c>
      <c r="Q13" s="13">
        <v>5401.5659999999998</v>
      </c>
      <c r="R13" s="13">
        <v>1489.492</v>
      </c>
      <c r="S13" s="13">
        <v>1352.51</v>
      </c>
      <c r="T13" s="13">
        <v>1664.8720000000001</v>
      </c>
      <c r="U13" s="13">
        <v>4172.8760000000002</v>
      </c>
      <c r="V13" s="13">
        <v>1861.829</v>
      </c>
      <c r="W13" s="7">
        <v>95587</v>
      </c>
    </row>
    <row r="14" spans="1:23" x14ac:dyDescent="0.25">
      <c r="A14" s="12">
        <v>1929</v>
      </c>
      <c r="B14" s="13">
        <v>11708.018</v>
      </c>
      <c r="C14" s="13">
        <v>2252.8519999999999</v>
      </c>
      <c r="D14" s="13">
        <v>32935.131999999998</v>
      </c>
      <c r="E14" s="13">
        <v>3175.8249999999998</v>
      </c>
      <c r="F14" s="13">
        <v>2388.2930000000001</v>
      </c>
      <c r="G14" s="13">
        <v>1994.3920000000001</v>
      </c>
      <c r="H14" s="13">
        <v>922.01499999999999</v>
      </c>
      <c r="I14" s="13">
        <v>1211.912</v>
      </c>
      <c r="J14" s="13">
        <v>7278.3249999999998</v>
      </c>
      <c r="K14" s="13">
        <v>504.38200000000001</v>
      </c>
      <c r="L14" s="13">
        <v>3677.3490000000002</v>
      </c>
      <c r="M14" s="13">
        <v>16649.819</v>
      </c>
      <c r="N14" s="13">
        <v>714.91899999999998</v>
      </c>
      <c r="O14" s="13">
        <v>482.00200000000001</v>
      </c>
      <c r="P14" s="13">
        <v>859.84</v>
      </c>
      <c r="Q14" s="13">
        <v>5485.71</v>
      </c>
      <c r="R14" s="13">
        <v>1516.36</v>
      </c>
      <c r="S14" s="13">
        <v>1375.693</v>
      </c>
      <c r="T14" s="13">
        <v>1695.3019999999999</v>
      </c>
      <c r="U14" s="13">
        <v>4232.42</v>
      </c>
      <c r="V14" s="13">
        <v>1904.0319999999999</v>
      </c>
      <c r="W14" s="7">
        <v>97721</v>
      </c>
    </row>
    <row r="15" spans="1:23" x14ac:dyDescent="0.25">
      <c r="A15" s="12">
        <v>1930</v>
      </c>
      <c r="B15" s="13">
        <v>11991.369000000001</v>
      </c>
      <c r="C15" s="13">
        <v>2275</v>
      </c>
      <c r="D15" s="13">
        <v>33606.942000000003</v>
      </c>
      <c r="E15" s="13">
        <v>3221.8</v>
      </c>
      <c r="F15" s="13">
        <v>2421</v>
      </c>
      <c r="G15" s="13">
        <v>2035.838</v>
      </c>
      <c r="H15" s="13">
        <v>940.27800000000002</v>
      </c>
      <c r="I15" s="13">
        <v>1253.5340000000001</v>
      </c>
      <c r="J15" s="13">
        <v>7425.7060000000001</v>
      </c>
      <c r="K15" s="13">
        <v>515.60199999999998</v>
      </c>
      <c r="L15" s="13">
        <v>3753.0410000000002</v>
      </c>
      <c r="M15" s="13">
        <v>16552.861000000001</v>
      </c>
      <c r="N15" s="13">
        <v>724</v>
      </c>
      <c r="O15" s="13">
        <v>488.964</v>
      </c>
      <c r="P15" s="13">
        <v>880</v>
      </c>
      <c r="Q15" s="13">
        <v>5569.1210000000001</v>
      </c>
      <c r="R15" s="13">
        <v>1543.913</v>
      </c>
      <c r="S15" s="13">
        <v>1400.7860000000001</v>
      </c>
      <c r="T15" s="13">
        <v>1725.885</v>
      </c>
      <c r="U15" s="13">
        <v>4293</v>
      </c>
      <c r="V15" s="13">
        <v>1951.5</v>
      </c>
      <c r="W15" s="7">
        <v>99566</v>
      </c>
    </row>
    <row r="16" spans="1:23" x14ac:dyDescent="0.25">
      <c r="A16" s="12">
        <v>1931</v>
      </c>
      <c r="B16" s="13">
        <v>12233.664000000001</v>
      </c>
      <c r="C16" s="13">
        <v>2298.7629999999999</v>
      </c>
      <c r="D16" s="13">
        <v>34287.497000000003</v>
      </c>
      <c r="E16" s="13">
        <v>3268.0390000000002</v>
      </c>
      <c r="F16" s="13">
        <v>2457.971</v>
      </c>
      <c r="G16" s="13">
        <v>2080.4929999999999</v>
      </c>
      <c r="H16" s="13">
        <v>958.90200000000004</v>
      </c>
      <c r="I16" s="13">
        <v>1296.327</v>
      </c>
      <c r="J16" s="13">
        <v>7576.4269999999997</v>
      </c>
      <c r="K16" s="13">
        <v>526.37199999999996</v>
      </c>
      <c r="L16" s="13">
        <v>3948.0059999999999</v>
      </c>
      <c r="M16" s="13">
        <v>16810.241999999998</v>
      </c>
      <c r="N16" s="13">
        <v>733.14400000000001</v>
      </c>
      <c r="O16" s="13">
        <v>501.61500000000001</v>
      </c>
      <c r="P16" s="13">
        <v>900.71199999999999</v>
      </c>
      <c r="Q16" s="13">
        <v>5658.1670000000004</v>
      </c>
      <c r="R16" s="13">
        <v>1572.586</v>
      </c>
      <c r="S16" s="13">
        <v>1416.7860000000001</v>
      </c>
      <c r="T16" s="13">
        <v>1753.155</v>
      </c>
      <c r="U16" s="13">
        <v>4355.7449999999999</v>
      </c>
      <c r="V16" s="13">
        <v>2000.011</v>
      </c>
      <c r="W16" s="7">
        <v>101272</v>
      </c>
    </row>
    <row r="17" spans="1:23" x14ac:dyDescent="0.25">
      <c r="A17" s="12">
        <v>1932</v>
      </c>
      <c r="B17" s="13">
        <v>12463.203</v>
      </c>
      <c r="C17" s="13">
        <v>2323.835</v>
      </c>
      <c r="D17" s="13">
        <v>34973.703999999998</v>
      </c>
      <c r="E17" s="13">
        <v>3315.0120000000002</v>
      </c>
      <c r="F17" s="13">
        <v>2496.0880000000002</v>
      </c>
      <c r="G17" s="13">
        <v>2120.9</v>
      </c>
      <c r="H17" s="13">
        <v>978.553</v>
      </c>
      <c r="I17" s="13">
        <v>1340.3409999999999</v>
      </c>
      <c r="J17" s="13">
        <v>7729.84</v>
      </c>
      <c r="K17" s="13">
        <v>537.702</v>
      </c>
      <c r="L17" s="13">
        <v>3982.4670000000001</v>
      </c>
      <c r="M17" s="13">
        <v>17065.670999999998</v>
      </c>
      <c r="N17" s="13">
        <v>742.73800000000006</v>
      </c>
      <c r="O17" s="13">
        <v>515.11800000000005</v>
      </c>
      <c r="P17" s="13">
        <v>921.55799999999999</v>
      </c>
      <c r="Q17" s="13">
        <v>5745.665</v>
      </c>
      <c r="R17" s="13">
        <v>1602.6790000000001</v>
      </c>
      <c r="S17" s="13">
        <v>1435.3050000000001</v>
      </c>
      <c r="T17" s="13">
        <v>1780.2239999999999</v>
      </c>
      <c r="U17" s="13">
        <v>4419.5060000000003</v>
      </c>
      <c r="V17" s="13">
        <v>2053.067</v>
      </c>
      <c r="W17" s="7">
        <v>102625</v>
      </c>
    </row>
    <row r="18" spans="1:23" x14ac:dyDescent="0.25">
      <c r="A18" s="12">
        <v>1933</v>
      </c>
      <c r="B18" s="13">
        <v>12677.94</v>
      </c>
      <c r="C18" s="13">
        <v>2350.5120000000002</v>
      </c>
      <c r="D18" s="13">
        <v>35670.165000000001</v>
      </c>
      <c r="E18" s="13">
        <v>3361.982</v>
      </c>
      <c r="F18" s="13">
        <v>2534.6329999999998</v>
      </c>
      <c r="G18" s="13">
        <v>2157.7570000000001</v>
      </c>
      <c r="H18" s="13">
        <v>997.16300000000001</v>
      </c>
      <c r="I18" s="13">
        <v>1385.568</v>
      </c>
      <c r="J18" s="13">
        <v>7885.9530000000004</v>
      </c>
      <c r="K18" s="13">
        <v>549.13300000000004</v>
      </c>
      <c r="L18" s="13">
        <v>4014.85</v>
      </c>
      <c r="M18" s="13">
        <v>17336.873</v>
      </c>
      <c r="N18" s="13">
        <v>752.40099999999995</v>
      </c>
      <c r="O18" s="13">
        <v>529.35799999999995</v>
      </c>
      <c r="P18" s="13">
        <v>943.10199999999998</v>
      </c>
      <c r="Q18" s="13">
        <v>5833.1220000000003</v>
      </c>
      <c r="R18" s="13">
        <v>1633.981</v>
      </c>
      <c r="S18" s="13">
        <v>1454.4159999999999</v>
      </c>
      <c r="T18" s="13">
        <v>1807.12</v>
      </c>
      <c r="U18" s="13">
        <v>4484.5950000000003</v>
      </c>
      <c r="V18" s="13">
        <v>2103.366</v>
      </c>
      <c r="W18" s="7">
        <v>103648</v>
      </c>
    </row>
    <row r="19" spans="1:23" x14ac:dyDescent="0.25">
      <c r="A19" s="12">
        <v>1934</v>
      </c>
      <c r="B19" s="13">
        <v>12888.329</v>
      </c>
      <c r="C19" s="13">
        <v>2378.0909999999999</v>
      </c>
      <c r="D19" s="13">
        <v>36380.483</v>
      </c>
      <c r="E19" s="13">
        <v>3410.212</v>
      </c>
      <c r="F19" s="13">
        <v>2574.386</v>
      </c>
      <c r="G19" s="13">
        <v>2188.7620000000002</v>
      </c>
      <c r="H19" s="13">
        <v>1015.164</v>
      </c>
      <c r="I19" s="13">
        <v>1432</v>
      </c>
      <c r="J19" s="13">
        <v>8046.2780000000002</v>
      </c>
      <c r="K19" s="13">
        <v>561.70699999999999</v>
      </c>
      <c r="L19" s="13">
        <v>4084.5810000000001</v>
      </c>
      <c r="M19" s="13">
        <v>17624.572</v>
      </c>
      <c r="N19" s="13">
        <v>766.74900000000002</v>
      </c>
      <c r="O19" s="13">
        <v>544.22299999999996</v>
      </c>
      <c r="P19" s="13">
        <v>964.91099999999994</v>
      </c>
      <c r="Q19" s="13">
        <v>5920.0450000000001</v>
      </c>
      <c r="R19" s="13">
        <v>1666.2819999999999</v>
      </c>
      <c r="S19" s="13">
        <v>1473.691</v>
      </c>
      <c r="T19" s="13">
        <v>1833.873</v>
      </c>
      <c r="U19" s="13">
        <v>4550.3220000000001</v>
      </c>
      <c r="V19" s="13">
        <v>2155.6080000000002</v>
      </c>
      <c r="W19" s="7">
        <v>101763</v>
      </c>
    </row>
    <row r="20" spans="1:23" x14ac:dyDescent="0.25">
      <c r="A20" s="12">
        <v>1935</v>
      </c>
      <c r="B20" s="13">
        <v>13095.325999999999</v>
      </c>
      <c r="C20" s="13">
        <v>2406.3670000000002</v>
      </c>
      <c r="D20" s="13">
        <v>37108.260999999999</v>
      </c>
      <c r="E20" s="13">
        <v>3458.9650000000001</v>
      </c>
      <c r="F20" s="13">
        <v>2614.6289999999999</v>
      </c>
      <c r="G20" s="13">
        <v>2218.614</v>
      </c>
      <c r="H20" s="13">
        <v>1034.9880000000001</v>
      </c>
      <c r="I20" s="13">
        <v>1478.626</v>
      </c>
      <c r="J20" s="13">
        <v>8210.8259999999991</v>
      </c>
      <c r="K20" s="13">
        <v>573.96500000000003</v>
      </c>
      <c r="L20" s="13">
        <v>4131.5839999999998</v>
      </c>
      <c r="M20" s="13">
        <v>17927.992999999999</v>
      </c>
      <c r="N20" s="13">
        <v>782.90200000000004</v>
      </c>
      <c r="O20" s="13">
        <v>559.59799999999996</v>
      </c>
      <c r="P20" s="13">
        <v>987.05</v>
      </c>
      <c r="Q20" s="13">
        <v>6007.9430000000002</v>
      </c>
      <c r="R20" s="13">
        <v>1699.37</v>
      </c>
      <c r="S20" s="13">
        <v>1493.202</v>
      </c>
      <c r="T20" s="13">
        <v>1860.511</v>
      </c>
      <c r="U20" s="13">
        <v>4617.4979999999996</v>
      </c>
      <c r="V20" s="13">
        <v>2214.9920000000002</v>
      </c>
      <c r="W20" s="7">
        <v>102080</v>
      </c>
    </row>
    <row r="21" spans="1:23" x14ac:dyDescent="0.25">
      <c r="A21" s="12">
        <v>1936</v>
      </c>
      <c r="B21" s="13">
        <v>13310.384</v>
      </c>
      <c r="C21" s="13">
        <v>2435.136</v>
      </c>
      <c r="D21" s="13">
        <v>37857.101000000002</v>
      </c>
      <c r="E21" s="13">
        <v>3532.0050000000001</v>
      </c>
      <c r="F21" s="13">
        <v>2657.6410000000001</v>
      </c>
      <c r="G21" s="13">
        <v>2256.5100000000002</v>
      </c>
      <c r="H21" s="13">
        <v>1053.567</v>
      </c>
      <c r="I21" s="13">
        <v>1520.9380000000001</v>
      </c>
      <c r="J21" s="13">
        <v>8380.1080000000002</v>
      </c>
      <c r="K21" s="13">
        <v>586.947</v>
      </c>
      <c r="L21" s="13">
        <v>4182.2860000000001</v>
      </c>
      <c r="M21" s="13">
        <v>18249.36</v>
      </c>
      <c r="N21" s="13">
        <v>799.976</v>
      </c>
      <c r="O21" s="13">
        <v>575.37099999999998</v>
      </c>
      <c r="P21" s="13">
        <v>1010.586</v>
      </c>
      <c r="Q21" s="13">
        <v>6102.8239999999996</v>
      </c>
      <c r="R21" s="13">
        <v>1733.0360000000001</v>
      </c>
      <c r="S21" s="13">
        <v>1513.5229999999999</v>
      </c>
      <c r="T21" s="13">
        <v>1884.0619999999999</v>
      </c>
      <c r="U21" s="13">
        <v>4686.9340000000002</v>
      </c>
      <c r="V21" s="13">
        <v>2274.2159999999999</v>
      </c>
      <c r="W21" s="7">
        <v>103288</v>
      </c>
    </row>
    <row r="22" spans="1:23" x14ac:dyDescent="0.25">
      <c r="A22" s="12">
        <v>1937</v>
      </c>
      <c r="B22" s="13">
        <v>13533.459000000001</v>
      </c>
      <c r="C22" s="13">
        <v>2464.694</v>
      </c>
      <c r="D22" s="13">
        <v>38630.607000000004</v>
      </c>
      <c r="E22" s="13">
        <v>3606.596</v>
      </c>
      <c r="F22" s="13">
        <v>2700.703</v>
      </c>
      <c r="G22" s="13">
        <v>2292.1509999999998</v>
      </c>
      <c r="H22" s="13">
        <v>1073.3330000000001</v>
      </c>
      <c r="I22" s="13">
        <v>1564.9280000000001</v>
      </c>
      <c r="J22" s="13">
        <v>8555.1329999999998</v>
      </c>
      <c r="K22" s="13">
        <v>600.69600000000003</v>
      </c>
      <c r="L22" s="13">
        <v>4243.6109999999999</v>
      </c>
      <c r="M22" s="13">
        <v>18600.898000000001</v>
      </c>
      <c r="N22" s="13">
        <v>818.09</v>
      </c>
      <c r="O22" s="13">
        <v>590.928</v>
      </c>
      <c r="P22" s="13">
        <v>1034.5830000000001</v>
      </c>
      <c r="Q22" s="13">
        <v>6199.6949999999997</v>
      </c>
      <c r="R22" s="13">
        <v>1767.068</v>
      </c>
      <c r="S22" s="13">
        <v>1534.2260000000001</v>
      </c>
      <c r="T22" s="13">
        <v>1907.5550000000001</v>
      </c>
      <c r="U22" s="13">
        <v>4757.942</v>
      </c>
      <c r="V22" s="13">
        <v>2332.48</v>
      </c>
      <c r="W22" s="7">
        <v>104520</v>
      </c>
    </row>
    <row r="23" spans="1:23" x14ac:dyDescent="0.25">
      <c r="A23" s="12">
        <v>1938</v>
      </c>
      <c r="B23" s="13">
        <v>13759.004999999999</v>
      </c>
      <c r="C23" s="13">
        <v>2494.3359999999998</v>
      </c>
      <c r="D23" s="13">
        <v>39433.381000000001</v>
      </c>
      <c r="E23" s="13">
        <v>3683</v>
      </c>
      <c r="F23" s="13">
        <v>2744.0970000000002</v>
      </c>
      <c r="G23" s="13">
        <v>2330.232</v>
      </c>
      <c r="H23" s="13">
        <v>1095.2170000000001</v>
      </c>
      <c r="I23" s="13">
        <v>1609.586</v>
      </c>
      <c r="J23" s="13">
        <v>8735.9140000000007</v>
      </c>
      <c r="K23" s="13">
        <v>615.25199999999995</v>
      </c>
      <c r="L23" s="13">
        <v>4310.9870000000001</v>
      </c>
      <c r="M23" s="13">
        <v>18942.830000000002</v>
      </c>
      <c r="N23" s="13">
        <v>837.36099999999999</v>
      </c>
      <c r="O23" s="13">
        <v>607.15700000000004</v>
      </c>
      <c r="P23" s="13">
        <v>1059.607</v>
      </c>
      <c r="Q23" s="13">
        <v>6298.0649999999996</v>
      </c>
      <c r="R23" s="13">
        <v>1801.2560000000001</v>
      </c>
      <c r="S23" s="13">
        <v>1555.3820000000001</v>
      </c>
      <c r="T23" s="13">
        <v>1931.02</v>
      </c>
      <c r="U23" s="13">
        <v>4831.3310000000001</v>
      </c>
      <c r="V23" s="13">
        <v>2395.4839999999999</v>
      </c>
      <c r="W23" s="7">
        <v>106195</v>
      </c>
    </row>
    <row r="24" spans="1:23" x14ac:dyDescent="0.25">
      <c r="A24" s="12">
        <v>1939</v>
      </c>
      <c r="B24" s="13">
        <v>13980.976000000001</v>
      </c>
      <c r="C24" s="13">
        <v>2523.8589999999999</v>
      </c>
      <c r="D24" s="13">
        <v>40268.525999999998</v>
      </c>
      <c r="E24" s="13">
        <v>3761.48</v>
      </c>
      <c r="F24" s="13">
        <v>2786.6019999999999</v>
      </c>
      <c r="G24" s="13">
        <v>2363.9540000000002</v>
      </c>
      <c r="H24" s="13">
        <v>1118.152</v>
      </c>
      <c r="I24" s="13">
        <v>1654.904</v>
      </c>
      <c r="J24" s="13">
        <v>8932.9599999999991</v>
      </c>
      <c r="K24" s="13">
        <v>630.65700000000004</v>
      </c>
      <c r="L24" s="13">
        <v>4362.8370000000004</v>
      </c>
      <c r="M24" s="13">
        <v>19316.381000000001</v>
      </c>
      <c r="N24" s="13">
        <v>857.90800000000002</v>
      </c>
      <c r="O24" s="13">
        <v>623.44200000000001</v>
      </c>
      <c r="P24" s="13">
        <v>1085.2239999999999</v>
      </c>
      <c r="Q24" s="13">
        <v>6399.4409999999998</v>
      </c>
      <c r="R24" s="13">
        <v>1835.3879999999999</v>
      </c>
      <c r="S24" s="13">
        <v>1577.5650000000001</v>
      </c>
      <c r="T24" s="13">
        <v>1954.4839999999999</v>
      </c>
      <c r="U24" s="13">
        <v>4907.9139999999998</v>
      </c>
      <c r="V24" s="13">
        <v>2458.9259999999999</v>
      </c>
      <c r="W24" s="7">
        <v>107893</v>
      </c>
    </row>
    <row r="25" spans="1:23" x14ac:dyDescent="0.25">
      <c r="A25" s="12">
        <v>1940</v>
      </c>
      <c r="B25" s="13">
        <v>14160.826999999999</v>
      </c>
      <c r="C25" s="13">
        <v>2553.558</v>
      </c>
      <c r="D25" s="13">
        <v>41139.644999999997</v>
      </c>
      <c r="E25" s="13">
        <v>3842.3</v>
      </c>
      <c r="F25" s="13">
        <v>2828.5</v>
      </c>
      <c r="G25" s="13">
        <v>2405.5140000000001</v>
      </c>
      <c r="H25" s="13">
        <v>1141.07</v>
      </c>
      <c r="I25" s="13">
        <v>1744.374</v>
      </c>
      <c r="J25" s="13">
        <v>9138.7819999999992</v>
      </c>
      <c r="K25" s="13">
        <v>645.952</v>
      </c>
      <c r="L25" s="13">
        <v>4425.5870000000004</v>
      </c>
      <c r="M25" s="13">
        <v>19653.776000000002</v>
      </c>
      <c r="N25" s="13">
        <v>878.34900000000005</v>
      </c>
      <c r="O25" s="13">
        <v>639.67100000000005</v>
      </c>
      <c r="P25" s="13">
        <v>1111.5</v>
      </c>
      <c r="Q25" s="13">
        <v>6503.3310000000001</v>
      </c>
      <c r="R25" s="13">
        <v>1869.2550000000001</v>
      </c>
      <c r="S25" s="13">
        <v>1600.347</v>
      </c>
      <c r="T25" s="13">
        <v>1977.9760000000001</v>
      </c>
      <c r="U25" s="13">
        <v>4987.5</v>
      </c>
      <c r="V25" s="13">
        <v>2521.0050000000001</v>
      </c>
      <c r="W25" s="7">
        <v>109678</v>
      </c>
    </row>
    <row r="26" spans="1:23" x14ac:dyDescent="0.25">
      <c r="A26" s="12">
        <v>1941</v>
      </c>
      <c r="B26" s="13">
        <v>14407.373</v>
      </c>
      <c r="C26" s="13">
        <v>2582.7530000000002</v>
      </c>
      <c r="D26" s="13">
        <v>42113.133000000002</v>
      </c>
      <c r="E26" s="13">
        <v>3930.9929999999999</v>
      </c>
      <c r="F26" s="13">
        <v>2872.578</v>
      </c>
      <c r="G26" s="13">
        <v>2447.384</v>
      </c>
      <c r="H26" s="13">
        <v>1164.28</v>
      </c>
      <c r="I26" s="13">
        <v>1793.1279999999999</v>
      </c>
      <c r="J26" s="13">
        <v>9360.51</v>
      </c>
      <c r="K26" s="13">
        <v>661.66200000000003</v>
      </c>
      <c r="L26" s="13">
        <v>4493.7569999999996</v>
      </c>
      <c r="M26" s="13">
        <v>20187.151000000002</v>
      </c>
      <c r="N26" s="13">
        <v>900.42600000000004</v>
      </c>
      <c r="O26" s="13">
        <v>656.51300000000003</v>
      </c>
      <c r="P26" s="13">
        <v>1139.287</v>
      </c>
      <c r="Q26" s="13">
        <v>6613.7640000000001</v>
      </c>
      <c r="R26" s="13">
        <v>1905.3140000000001</v>
      </c>
      <c r="S26" s="13">
        <v>1623.713</v>
      </c>
      <c r="T26" s="13">
        <v>2000.93</v>
      </c>
      <c r="U26" s="13">
        <v>5076.3990000000003</v>
      </c>
      <c r="V26" s="13">
        <v>2584.3150000000001</v>
      </c>
      <c r="W26" s="7">
        <v>110988</v>
      </c>
    </row>
    <row r="27" spans="1:23" x14ac:dyDescent="0.25">
      <c r="A27" s="12">
        <v>1942</v>
      </c>
      <c r="B27" s="13">
        <v>14661.746999999999</v>
      </c>
      <c r="C27" s="13">
        <v>2612.0619999999999</v>
      </c>
      <c r="D27" s="13">
        <v>43147.535000000003</v>
      </c>
      <c r="E27" s="13">
        <v>4031.0810000000001</v>
      </c>
      <c r="F27" s="13">
        <v>2921.4450000000002</v>
      </c>
      <c r="G27" s="13">
        <v>2487.5889999999999</v>
      </c>
      <c r="H27" s="13">
        <v>1186.752</v>
      </c>
      <c r="I27" s="13">
        <v>1843.299</v>
      </c>
      <c r="J27" s="13">
        <v>9594.348</v>
      </c>
      <c r="K27" s="13">
        <v>677.79499999999996</v>
      </c>
      <c r="L27" s="13">
        <v>4575.2550000000001</v>
      </c>
      <c r="M27" s="13">
        <v>20726.175999999999</v>
      </c>
      <c r="N27" s="13">
        <v>924.59299999999996</v>
      </c>
      <c r="O27" s="13">
        <v>673.19200000000001</v>
      </c>
      <c r="P27" s="13">
        <v>1168.7739999999999</v>
      </c>
      <c r="Q27" s="13">
        <v>6727.9539999999997</v>
      </c>
      <c r="R27" s="13">
        <v>1945.154</v>
      </c>
      <c r="S27" s="13">
        <v>1647.63</v>
      </c>
      <c r="T27" s="13">
        <v>2023.78</v>
      </c>
      <c r="U27" s="13">
        <v>5174.2889999999998</v>
      </c>
      <c r="V27" s="13">
        <v>2648.5549999999998</v>
      </c>
      <c r="W27" s="6">
        <v>108159</v>
      </c>
    </row>
    <row r="28" spans="1:23" x14ac:dyDescent="0.25">
      <c r="A28" s="12">
        <v>1943</v>
      </c>
      <c r="B28" s="13">
        <v>14923.373</v>
      </c>
      <c r="C28" s="13">
        <v>2641.223</v>
      </c>
      <c r="D28" s="13">
        <v>44188.671999999999</v>
      </c>
      <c r="E28" s="13">
        <v>4135.3140000000003</v>
      </c>
      <c r="F28" s="13">
        <v>2961.3670000000002</v>
      </c>
      <c r="G28" s="13">
        <v>2523.4090000000001</v>
      </c>
      <c r="H28" s="13">
        <v>1206.1590000000001</v>
      </c>
      <c r="I28" s="13">
        <v>1895.376</v>
      </c>
      <c r="J28" s="13">
        <v>9840.42</v>
      </c>
      <c r="K28" s="13">
        <v>694.36</v>
      </c>
      <c r="L28" s="13">
        <v>4843.5870000000004</v>
      </c>
      <c r="M28" s="13">
        <v>21343.376</v>
      </c>
      <c r="N28" s="13">
        <v>949.53099999999995</v>
      </c>
      <c r="O28" s="13">
        <v>691.68200000000002</v>
      </c>
      <c r="P28" s="13">
        <v>1199.2860000000001</v>
      </c>
      <c r="Q28" s="13">
        <v>6845.9409999999998</v>
      </c>
      <c r="R28" s="13">
        <v>1987.2570000000001</v>
      </c>
      <c r="S28" s="13">
        <v>1669.6410000000001</v>
      </c>
      <c r="T28" s="13">
        <v>2046.5550000000001</v>
      </c>
      <c r="U28" s="13">
        <v>5277.0360000000001</v>
      </c>
      <c r="V28" s="13">
        <v>2720.085</v>
      </c>
      <c r="W28" s="6">
        <v>105403</v>
      </c>
    </row>
    <row r="29" spans="1:23" x14ac:dyDescent="0.25">
      <c r="A29" s="12">
        <v>1944</v>
      </c>
      <c r="B29" s="13">
        <v>15196.179</v>
      </c>
      <c r="C29" s="13">
        <v>2670.4749999999999</v>
      </c>
      <c r="D29" s="13">
        <v>45224.368999999999</v>
      </c>
      <c r="E29" s="13">
        <v>4244.4390000000003</v>
      </c>
      <c r="F29" s="13">
        <v>3006.11</v>
      </c>
      <c r="G29" s="13">
        <v>2562.6219999999998</v>
      </c>
      <c r="H29" s="13">
        <v>1228.671</v>
      </c>
      <c r="I29" s="13">
        <v>1948.348</v>
      </c>
      <c r="J29" s="13">
        <v>10097.348</v>
      </c>
      <c r="K29" s="13">
        <v>712.37099999999998</v>
      </c>
      <c r="L29" s="13">
        <v>4948.2640000000001</v>
      </c>
      <c r="M29" s="13">
        <v>22000.278999999999</v>
      </c>
      <c r="N29" s="13">
        <v>977.42200000000003</v>
      </c>
      <c r="O29" s="13">
        <v>709.45600000000002</v>
      </c>
      <c r="P29" s="13">
        <v>1231.143</v>
      </c>
      <c r="Q29" s="13">
        <v>6968.7659999999996</v>
      </c>
      <c r="R29" s="13">
        <v>2030.1079999999999</v>
      </c>
      <c r="S29" s="13">
        <v>1698.29</v>
      </c>
      <c r="T29" s="13">
        <v>2069.7829999999999</v>
      </c>
      <c r="U29" s="13">
        <v>5384.0050000000001</v>
      </c>
      <c r="V29" s="13">
        <v>2795.2660000000001</v>
      </c>
      <c r="W29" s="6">
        <v>102717</v>
      </c>
    </row>
    <row r="30" spans="1:23" x14ac:dyDescent="0.25">
      <c r="A30" s="12">
        <v>1945</v>
      </c>
      <c r="B30" s="13">
        <v>15476.59</v>
      </c>
      <c r="C30" s="13">
        <v>2700.558</v>
      </c>
      <c r="D30" s="13">
        <v>46374.947</v>
      </c>
      <c r="E30" s="13">
        <v>4358.2049999999999</v>
      </c>
      <c r="F30" s="13">
        <v>3051.9380000000001</v>
      </c>
      <c r="G30" s="13">
        <v>2607.0070000000001</v>
      </c>
      <c r="H30" s="13">
        <v>1251.46</v>
      </c>
      <c r="I30" s="13">
        <v>2003.703</v>
      </c>
      <c r="J30" s="13">
        <v>10364.754999999999</v>
      </c>
      <c r="K30" s="13">
        <v>731.83799999999997</v>
      </c>
      <c r="L30" s="13">
        <v>5062.7920000000004</v>
      </c>
      <c r="M30" s="13">
        <v>22711.907999999999</v>
      </c>
      <c r="N30" s="13">
        <v>1007.949</v>
      </c>
      <c r="O30" s="13">
        <v>728.48699999999997</v>
      </c>
      <c r="P30" s="13">
        <v>1263.6690000000001</v>
      </c>
      <c r="Q30" s="13">
        <v>7095.4669999999996</v>
      </c>
      <c r="R30" s="13">
        <v>2072.19</v>
      </c>
      <c r="S30" s="13">
        <v>1725.12</v>
      </c>
      <c r="T30" s="13">
        <v>2092.9920000000002</v>
      </c>
      <c r="U30" s="13">
        <v>5494.5630000000001</v>
      </c>
      <c r="V30" s="13">
        <v>2870.4569999999999</v>
      </c>
      <c r="W30" s="6">
        <v>100099</v>
      </c>
    </row>
    <row r="31" spans="1:23" x14ac:dyDescent="0.25">
      <c r="A31" s="12">
        <v>1946</v>
      </c>
      <c r="B31" s="13">
        <v>15762.535</v>
      </c>
      <c r="C31" s="13">
        <v>2731.212</v>
      </c>
      <c r="D31" s="13">
        <v>47601.228999999999</v>
      </c>
      <c r="E31" s="13">
        <v>4476.8609999999999</v>
      </c>
      <c r="F31" s="13">
        <v>3098.616</v>
      </c>
      <c r="G31" s="13">
        <v>2655.3409999999999</v>
      </c>
      <c r="H31" s="13">
        <v>1275.6969999999999</v>
      </c>
      <c r="I31" s="13">
        <v>2059.9299999999998</v>
      </c>
      <c r="J31" s="13">
        <v>10642.266</v>
      </c>
      <c r="K31" s="13">
        <v>749.77300000000002</v>
      </c>
      <c r="L31" s="13">
        <v>5191.1809999999996</v>
      </c>
      <c r="M31" s="13">
        <v>23437.289000000001</v>
      </c>
      <c r="N31" s="13">
        <v>1040.7940000000001</v>
      </c>
      <c r="O31" s="13">
        <v>747.74699999999996</v>
      </c>
      <c r="P31" s="13">
        <v>1296.6869999999999</v>
      </c>
      <c r="Q31" s="13">
        <v>7227.0829999999996</v>
      </c>
      <c r="R31" s="13">
        <v>2111.9870000000001</v>
      </c>
      <c r="S31" s="13">
        <v>1752.175</v>
      </c>
      <c r="T31" s="13">
        <v>2116.7109999999998</v>
      </c>
      <c r="U31" s="13">
        <v>5607.5739999999996</v>
      </c>
      <c r="V31" s="13">
        <v>2948.0189999999998</v>
      </c>
      <c r="W31" s="7">
        <v>97548</v>
      </c>
    </row>
    <row r="32" spans="1:23" x14ac:dyDescent="0.25">
      <c r="A32" s="12">
        <v>1947</v>
      </c>
      <c r="B32" s="13">
        <v>16056.438</v>
      </c>
      <c r="C32" s="13">
        <v>2762.6750000000002</v>
      </c>
      <c r="D32" s="13">
        <v>48886.538999999997</v>
      </c>
      <c r="E32" s="13">
        <v>4615.6549999999997</v>
      </c>
      <c r="F32" s="13">
        <v>3146.4110000000001</v>
      </c>
      <c r="G32" s="13">
        <v>2708.904</v>
      </c>
      <c r="H32" s="13">
        <v>1304.0530000000001</v>
      </c>
      <c r="I32" s="13">
        <v>2118.0169999999998</v>
      </c>
      <c r="J32" s="13">
        <v>10929.502</v>
      </c>
      <c r="K32" s="13">
        <v>769.68799999999999</v>
      </c>
      <c r="L32" s="13">
        <v>5322.9380000000001</v>
      </c>
      <c r="M32" s="13">
        <v>24230.949000000001</v>
      </c>
      <c r="N32" s="13">
        <v>1075.1389999999999</v>
      </c>
      <c r="O32" s="13">
        <v>767.21</v>
      </c>
      <c r="P32" s="13">
        <v>1331.018</v>
      </c>
      <c r="Q32" s="13">
        <v>7362.6549999999997</v>
      </c>
      <c r="R32" s="13">
        <v>2147.9830000000002</v>
      </c>
      <c r="S32" s="13">
        <v>1780.999</v>
      </c>
      <c r="T32" s="13">
        <v>2140.9679999999998</v>
      </c>
      <c r="U32" s="13">
        <v>5723.4040000000005</v>
      </c>
      <c r="V32" s="13">
        <v>3031.8119999999999</v>
      </c>
      <c r="W32" s="7">
        <v>98509</v>
      </c>
    </row>
    <row r="33" spans="1:23" x14ac:dyDescent="0.25">
      <c r="A33" s="12">
        <v>1948</v>
      </c>
      <c r="B33" s="13">
        <v>16386.226999999999</v>
      </c>
      <c r="C33" s="13">
        <v>2795.6869999999999</v>
      </c>
      <c r="D33" s="13">
        <v>50229.2</v>
      </c>
      <c r="E33" s="13">
        <v>4748.8370000000004</v>
      </c>
      <c r="F33" s="13">
        <v>3195.5859999999998</v>
      </c>
      <c r="G33" s="13">
        <v>2767.4740000000002</v>
      </c>
      <c r="H33" s="13">
        <v>1333.201</v>
      </c>
      <c r="I33" s="13">
        <v>2177.4520000000002</v>
      </c>
      <c r="J33" s="13">
        <v>11224.588</v>
      </c>
      <c r="K33" s="13">
        <v>791.59400000000005</v>
      </c>
      <c r="L33" s="13">
        <v>5455.0709999999999</v>
      </c>
      <c r="M33" s="13">
        <v>25039.912</v>
      </c>
      <c r="N33" s="13">
        <v>1107.6669999999999</v>
      </c>
      <c r="O33" s="13">
        <v>787.34900000000005</v>
      </c>
      <c r="P33" s="13">
        <v>1365.4860000000001</v>
      </c>
      <c r="Q33" s="13">
        <v>7502.723</v>
      </c>
      <c r="R33" s="13">
        <v>2178.6610000000001</v>
      </c>
      <c r="S33" s="13">
        <v>1810.135</v>
      </c>
      <c r="T33" s="13">
        <v>2165.2919999999999</v>
      </c>
      <c r="U33" s="13">
        <v>5840.4189999999999</v>
      </c>
      <c r="V33" s="13">
        <v>3115.1959999999999</v>
      </c>
      <c r="W33" s="7">
        <v>99159</v>
      </c>
    </row>
    <row r="34" spans="1:23" x14ac:dyDescent="0.25">
      <c r="A34" s="12">
        <v>1949</v>
      </c>
      <c r="B34" s="13">
        <v>16740.828000000001</v>
      </c>
      <c r="C34" s="13">
        <v>2815.4870000000001</v>
      </c>
      <c r="D34" s="13">
        <v>51626.033000000003</v>
      </c>
      <c r="E34" s="13">
        <v>4888.1530000000002</v>
      </c>
      <c r="F34" s="13">
        <v>3246.9059999999999</v>
      </c>
      <c r="G34" s="13">
        <v>2831.83</v>
      </c>
      <c r="H34" s="13">
        <v>1364.8109999999999</v>
      </c>
      <c r="I34" s="13">
        <v>2239.2260000000001</v>
      </c>
      <c r="J34" s="13">
        <v>11527.646000000001</v>
      </c>
      <c r="K34" s="13">
        <v>816.50199999999995</v>
      </c>
      <c r="L34" s="13">
        <v>5585.5879999999997</v>
      </c>
      <c r="M34" s="13">
        <v>25844.204000000002</v>
      </c>
      <c r="N34" s="13">
        <v>1141.558</v>
      </c>
      <c r="O34" s="13">
        <v>807.63699999999994</v>
      </c>
      <c r="P34" s="13">
        <v>1400.413</v>
      </c>
      <c r="Q34" s="13">
        <v>7648.3239999999996</v>
      </c>
      <c r="R34" s="13">
        <v>2202.5059999999999</v>
      </c>
      <c r="S34" s="13">
        <v>1840.626</v>
      </c>
      <c r="T34" s="13">
        <v>2190.7109999999998</v>
      </c>
      <c r="U34" s="13">
        <v>5958.4840000000004</v>
      </c>
      <c r="V34" s="13">
        <v>3202.0320000000002</v>
      </c>
      <c r="W34" s="7">
        <v>100252</v>
      </c>
    </row>
    <row r="35" spans="1:23" x14ac:dyDescent="0.25">
      <c r="A35" s="12">
        <v>1950</v>
      </c>
      <c r="B35" s="13">
        <v>17110.168000000001</v>
      </c>
      <c r="C35" s="13">
        <v>2863.3150000000001</v>
      </c>
      <c r="D35" s="13">
        <v>53076.362000000001</v>
      </c>
      <c r="E35" s="13">
        <v>5033.8540000000003</v>
      </c>
      <c r="F35" s="13">
        <v>3300.6390000000001</v>
      </c>
      <c r="G35" s="13">
        <v>2897.2489999999998</v>
      </c>
      <c r="H35" s="13">
        <v>1399.056</v>
      </c>
      <c r="I35" s="13">
        <v>2303.8249999999998</v>
      </c>
      <c r="J35" s="13">
        <v>11839.3</v>
      </c>
      <c r="K35" s="13">
        <v>844.42499999999995</v>
      </c>
      <c r="L35" s="13">
        <v>5713.9989999999998</v>
      </c>
      <c r="M35" s="13">
        <v>26765.85</v>
      </c>
      <c r="N35" s="13">
        <v>1177.4960000000001</v>
      </c>
      <c r="O35" s="13">
        <v>828.54600000000005</v>
      </c>
      <c r="P35" s="13">
        <v>1435.123</v>
      </c>
      <c r="Q35" s="13">
        <v>7800.5</v>
      </c>
      <c r="R35" s="13">
        <v>2218</v>
      </c>
      <c r="S35" s="13">
        <v>1876.5160000000001</v>
      </c>
      <c r="T35" s="13">
        <v>2216.7530000000002</v>
      </c>
      <c r="U35" s="13">
        <v>6077.4650000000001</v>
      </c>
      <c r="V35" s="13">
        <v>3292.1790000000001</v>
      </c>
      <c r="W35" s="7">
        <v>102067</v>
      </c>
    </row>
    <row r="36" spans="1:23" x14ac:dyDescent="0.25">
      <c r="A36" s="12">
        <v>1951</v>
      </c>
      <c r="B36" s="13">
        <v>17448.163</v>
      </c>
      <c r="C36" s="13">
        <v>2910.183</v>
      </c>
      <c r="D36" s="13">
        <v>54672.067999999999</v>
      </c>
      <c r="E36" s="13">
        <v>5238.7669999999998</v>
      </c>
      <c r="F36" s="13">
        <v>3349.692</v>
      </c>
      <c r="G36" s="13">
        <v>2968.31</v>
      </c>
      <c r="H36" s="13">
        <v>1437.8589999999999</v>
      </c>
      <c r="I36" s="13">
        <v>2376.1480000000001</v>
      </c>
      <c r="J36" s="13">
        <v>12160.406000000001</v>
      </c>
      <c r="K36" s="13">
        <v>874.01400000000001</v>
      </c>
      <c r="L36" s="13">
        <v>5838.4340000000002</v>
      </c>
      <c r="M36" s="13">
        <v>27560.798999999999</v>
      </c>
      <c r="N36" s="13">
        <v>1216.028</v>
      </c>
      <c r="O36" s="13">
        <v>850.34900000000005</v>
      </c>
      <c r="P36" s="13">
        <v>1471.4269999999999</v>
      </c>
      <c r="Q36" s="13">
        <v>7995.6270000000004</v>
      </c>
      <c r="R36" s="13">
        <v>2226.663</v>
      </c>
      <c r="S36" s="13">
        <v>1923.4110000000001</v>
      </c>
      <c r="T36" s="13">
        <v>2241.0949999999998</v>
      </c>
      <c r="U36" s="13">
        <v>6207.1949999999997</v>
      </c>
      <c r="V36" s="13">
        <v>3382.2939999999999</v>
      </c>
      <c r="W36" s="7">
        <v>103599</v>
      </c>
    </row>
    <row r="37" spans="1:23" x14ac:dyDescent="0.25">
      <c r="A37" s="12">
        <v>1952</v>
      </c>
      <c r="B37" s="13">
        <v>17796.096000000001</v>
      </c>
      <c r="C37" s="13">
        <v>2965.3580000000002</v>
      </c>
      <c r="D37" s="13">
        <v>56407.053</v>
      </c>
      <c r="E37" s="13">
        <v>5479.59</v>
      </c>
      <c r="F37" s="13">
        <v>3399.8679999999999</v>
      </c>
      <c r="G37" s="13">
        <v>3056.3319999999999</v>
      </c>
      <c r="H37" s="13">
        <v>1484.3030000000001</v>
      </c>
      <c r="I37" s="13">
        <v>2456.6529999999998</v>
      </c>
      <c r="J37" s="13">
        <v>12502.031000000001</v>
      </c>
      <c r="K37" s="13">
        <v>909.38199999999995</v>
      </c>
      <c r="L37" s="13">
        <v>5972.826</v>
      </c>
      <c r="M37" s="13">
        <v>28424.615000000002</v>
      </c>
      <c r="N37" s="13">
        <v>1262.075</v>
      </c>
      <c r="O37" s="13">
        <v>874.81700000000001</v>
      </c>
      <c r="P37" s="13">
        <v>1511.2650000000001</v>
      </c>
      <c r="Q37" s="13">
        <v>8198.2019999999993</v>
      </c>
      <c r="R37" s="13">
        <v>2232.2910000000002</v>
      </c>
      <c r="S37" s="13">
        <v>1980.328</v>
      </c>
      <c r="T37" s="13">
        <v>2267.6750000000002</v>
      </c>
      <c r="U37" s="13">
        <v>6355.52</v>
      </c>
      <c r="V37" s="13">
        <v>3483.415</v>
      </c>
      <c r="W37" s="7">
        <v>105278</v>
      </c>
    </row>
    <row r="38" spans="1:23" x14ac:dyDescent="0.25">
      <c r="A38" s="12">
        <v>1953</v>
      </c>
      <c r="B38" s="13">
        <v>18147.52</v>
      </c>
      <c r="C38" s="13">
        <v>3026.8850000000002</v>
      </c>
      <c r="D38" s="13">
        <v>58250.58</v>
      </c>
      <c r="E38" s="13">
        <v>5747.7479999999996</v>
      </c>
      <c r="F38" s="13">
        <v>3451.018</v>
      </c>
      <c r="G38" s="13">
        <v>3157.2820000000002</v>
      </c>
      <c r="H38" s="13">
        <v>1536.8420000000001</v>
      </c>
      <c r="I38" s="13">
        <v>2544.5929999999998</v>
      </c>
      <c r="J38" s="13">
        <v>12860.937</v>
      </c>
      <c r="K38" s="13">
        <v>949.70399999999995</v>
      </c>
      <c r="L38" s="13">
        <v>6116.3760000000002</v>
      </c>
      <c r="M38" s="13">
        <v>29357.446</v>
      </c>
      <c r="N38" s="13">
        <v>1315.152</v>
      </c>
      <c r="O38" s="13">
        <v>901.69399999999996</v>
      </c>
      <c r="P38" s="13">
        <v>1554.2650000000001</v>
      </c>
      <c r="Q38" s="13">
        <v>8405.5149999999994</v>
      </c>
      <c r="R38" s="13">
        <v>2236.788</v>
      </c>
      <c r="S38" s="13">
        <v>2047.3320000000001</v>
      </c>
      <c r="T38" s="13">
        <v>2296.366</v>
      </c>
      <c r="U38" s="13">
        <v>6520.3580000000002</v>
      </c>
      <c r="V38" s="13">
        <v>3594.3470000000002</v>
      </c>
      <c r="W38" s="7">
        <v>107049</v>
      </c>
    </row>
    <row r="39" spans="1:23" x14ac:dyDescent="0.25">
      <c r="A39" s="12">
        <v>1954</v>
      </c>
      <c r="B39" s="13">
        <v>18496.684000000001</v>
      </c>
      <c r="C39" s="13">
        <v>3092.808</v>
      </c>
      <c r="D39" s="13">
        <v>60172.161</v>
      </c>
      <c r="E39" s="13">
        <v>6034.4690000000001</v>
      </c>
      <c r="F39" s="13">
        <v>3502.942</v>
      </c>
      <c r="G39" s="13">
        <v>3267.5279999999998</v>
      </c>
      <c r="H39" s="13">
        <v>1593.779</v>
      </c>
      <c r="I39" s="13">
        <v>2638.924</v>
      </c>
      <c r="J39" s="13">
        <v>13235.537</v>
      </c>
      <c r="K39" s="13">
        <v>994.25599999999997</v>
      </c>
      <c r="L39" s="13">
        <v>6267.5879999999997</v>
      </c>
      <c r="M39" s="13">
        <v>30360.188999999998</v>
      </c>
      <c r="N39" s="13">
        <v>1374.528</v>
      </c>
      <c r="O39" s="13">
        <v>930.67600000000004</v>
      </c>
      <c r="P39" s="13">
        <v>1600.01</v>
      </c>
      <c r="Q39" s="13">
        <v>8616.2070000000003</v>
      </c>
      <c r="R39" s="13">
        <v>2242.0549999999998</v>
      </c>
      <c r="S39" s="13">
        <v>2124.2869999999998</v>
      </c>
      <c r="T39" s="13">
        <v>2326.9879999999998</v>
      </c>
      <c r="U39" s="13">
        <v>6699.7219999999998</v>
      </c>
      <c r="V39" s="13">
        <v>3713.998</v>
      </c>
      <c r="W39" s="7">
        <v>108607</v>
      </c>
    </row>
    <row r="40" spans="1:23" x14ac:dyDescent="0.25">
      <c r="A40" s="12">
        <v>1955</v>
      </c>
      <c r="B40" s="13">
        <v>18837.841</v>
      </c>
      <c r="C40" s="13">
        <v>3160.873</v>
      </c>
      <c r="D40" s="13">
        <v>62141.953999999998</v>
      </c>
      <c r="E40" s="13">
        <v>6330.3789999999999</v>
      </c>
      <c r="F40" s="13">
        <v>3555.6410000000001</v>
      </c>
      <c r="G40" s="13">
        <v>3383.59</v>
      </c>
      <c r="H40" s="13">
        <v>1653.32</v>
      </c>
      <c r="I40" s="13">
        <v>2738.5990000000002</v>
      </c>
      <c r="J40" s="13">
        <v>13624.941999999999</v>
      </c>
      <c r="K40" s="13">
        <v>1041.915</v>
      </c>
      <c r="L40" s="13">
        <v>6424.4660000000003</v>
      </c>
      <c r="M40" s="13">
        <v>31429.492999999999</v>
      </c>
      <c r="N40" s="13">
        <v>1439.318</v>
      </c>
      <c r="O40" s="13">
        <v>961.40899999999999</v>
      </c>
      <c r="P40" s="13">
        <v>1647.8810000000001</v>
      </c>
      <c r="Q40" s="13">
        <v>8829.7710000000006</v>
      </c>
      <c r="R40" s="13">
        <v>2249.9949999999999</v>
      </c>
      <c r="S40" s="13">
        <v>2211.2060000000001</v>
      </c>
      <c r="T40" s="13">
        <v>2359.364</v>
      </c>
      <c r="U40" s="13">
        <v>6891.1279999999997</v>
      </c>
      <c r="V40" s="13">
        <v>3840.971</v>
      </c>
      <c r="W40" s="7">
        <v>110678</v>
      </c>
    </row>
    <row r="41" spans="1:23" x14ac:dyDescent="0.25">
      <c r="A41" s="12">
        <v>1956</v>
      </c>
      <c r="B41" s="13">
        <v>19172.988000000001</v>
      </c>
      <c r="C41" s="13">
        <v>3230.8020000000001</v>
      </c>
      <c r="D41" s="13">
        <v>64149.118000000002</v>
      </c>
      <c r="E41" s="13">
        <v>6633.5540000000001</v>
      </c>
      <c r="F41" s="13">
        <v>3610.3339999999998</v>
      </c>
      <c r="G41" s="13">
        <v>3503.3850000000002</v>
      </c>
      <c r="H41" s="13">
        <v>1714.884</v>
      </c>
      <c r="I41" s="13">
        <v>2843.047</v>
      </c>
      <c r="J41" s="13">
        <v>14029.05</v>
      </c>
      <c r="K41" s="13">
        <v>1092.3130000000001</v>
      </c>
      <c r="L41" s="13">
        <v>6582.7460000000001</v>
      </c>
      <c r="M41" s="13">
        <v>32558.896000000001</v>
      </c>
      <c r="N41" s="13">
        <v>1508.5540000000001</v>
      </c>
      <c r="O41" s="13">
        <v>993.71699999999998</v>
      </c>
      <c r="P41" s="13">
        <v>1697.248</v>
      </c>
      <c r="Q41" s="13">
        <v>9048.6589999999997</v>
      </c>
      <c r="R41" s="13">
        <v>2263.047</v>
      </c>
      <c r="S41" s="13">
        <v>2314.5189999999998</v>
      </c>
      <c r="T41" s="13">
        <v>2393.5819999999999</v>
      </c>
      <c r="U41" s="13">
        <v>7093.0259999999998</v>
      </c>
      <c r="V41" s="13">
        <v>3973.6289999999999</v>
      </c>
      <c r="W41" s="7">
        <v>112465</v>
      </c>
    </row>
    <row r="42" spans="1:23" x14ac:dyDescent="0.25">
      <c r="A42" s="12">
        <v>1957</v>
      </c>
      <c r="B42" s="13">
        <v>19505.736000000001</v>
      </c>
      <c r="C42" s="13">
        <v>3303.1219999999998</v>
      </c>
      <c r="D42" s="13">
        <v>66201.475000000006</v>
      </c>
      <c r="E42" s="13">
        <v>6945.4769999999999</v>
      </c>
      <c r="F42" s="13">
        <v>3667.8560000000002</v>
      </c>
      <c r="G42" s="13">
        <v>3626.8009999999999</v>
      </c>
      <c r="H42" s="13">
        <v>1778.3219999999999</v>
      </c>
      <c r="I42" s="13">
        <v>2951.5189999999998</v>
      </c>
      <c r="J42" s="13">
        <v>14450.745000000001</v>
      </c>
      <c r="K42" s="13">
        <v>1145</v>
      </c>
      <c r="L42" s="13">
        <v>6739.2830000000004</v>
      </c>
      <c r="M42" s="13">
        <v>33733.144999999997</v>
      </c>
      <c r="N42" s="13">
        <v>1580.2460000000001</v>
      </c>
      <c r="O42" s="13">
        <v>1027.183</v>
      </c>
      <c r="P42" s="13">
        <v>1747.452</v>
      </c>
      <c r="Q42" s="13">
        <v>9277.6470000000008</v>
      </c>
      <c r="R42" s="13">
        <v>2281.65</v>
      </c>
      <c r="S42" s="13">
        <v>2434.2130000000002</v>
      </c>
      <c r="T42" s="13">
        <v>2429.2269999999999</v>
      </c>
      <c r="U42" s="13">
        <v>7301.0720000000001</v>
      </c>
      <c r="V42" s="13">
        <v>4109.9799999999996</v>
      </c>
      <c r="W42" s="7">
        <v>114189</v>
      </c>
    </row>
    <row r="43" spans="1:23" x14ac:dyDescent="0.25">
      <c r="A43" s="12">
        <v>1958</v>
      </c>
      <c r="B43" s="13">
        <v>19836.677</v>
      </c>
      <c r="C43" s="13">
        <v>3377.1060000000002</v>
      </c>
      <c r="D43" s="13">
        <v>68295.165999999997</v>
      </c>
      <c r="E43" s="13">
        <v>7260.7839999999997</v>
      </c>
      <c r="F43" s="13">
        <v>3728.8380000000002</v>
      </c>
      <c r="G43" s="13">
        <v>3751.7559999999999</v>
      </c>
      <c r="H43" s="13">
        <v>1842.5619999999999</v>
      </c>
      <c r="I43" s="13">
        <v>3062.0279999999998</v>
      </c>
      <c r="J43" s="13">
        <v>14886.199000000001</v>
      </c>
      <c r="K43" s="13">
        <v>1198.6790000000001</v>
      </c>
      <c r="L43" s="13">
        <v>6893.28</v>
      </c>
      <c r="M43" s="13">
        <v>34931.904000000002</v>
      </c>
      <c r="N43" s="13">
        <v>1651.4760000000001</v>
      </c>
      <c r="O43" s="13">
        <v>1061.288</v>
      </c>
      <c r="P43" s="13">
        <v>1797.7260000000001</v>
      </c>
      <c r="Q43" s="13">
        <v>9519.2880000000005</v>
      </c>
      <c r="R43" s="13">
        <v>2304.7080000000001</v>
      </c>
      <c r="S43" s="13">
        <v>2559.1390000000001</v>
      </c>
      <c r="T43" s="13">
        <v>2465.348</v>
      </c>
      <c r="U43" s="13">
        <v>7508.8879999999999</v>
      </c>
      <c r="V43" s="13">
        <v>4247.5280000000002</v>
      </c>
      <c r="W43" s="7">
        <v>115881</v>
      </c>
    </row>
    <row r="44" spans="1:23" x14ac:dyDescent="0.25">
      <c r="A44" s="12">
        <v>1959</v>
      </c>
      <c r="B44" s="13">
        <v>20169.954000000002</v>
      </c>
      <c r="C44" s="13">
        <v>3451.9810000000002</v>
      </c>
      <c r="D44" s="13">
        <v>70425.282999999996</v>
      </c>
      <c r="E44" s="13">
        <v>7571.5110000000004</v>
      </c>
      <c r="F44" s="13">
        <v>3793.9589999999998</v>
      </c>
      <c r="G44" s="13">
        <v>3877.5210000000002</v>
      </c>
      <c r="H44" s="13">
        <v>1906.133</v>
      </c>
      <c r="I44" s="13">
        <v>3172.6350000000002</v>
      </c>
      <c r="J44" s="13">
        <v>15336.982</v>
      </c>
      <c r="K44" s="13">
        <v>1251.702</v>
      </c>
      <c r="L44" s="13">
        <v>7043.8389999999999</v>
      </c>
      <c r="M44" s="13">
        <v>36133.934999999998</v>
      </c>
      <c r="N44" s="13">
        <v>1718.8789999999999</v>
      </c>
      <c r="O44" s="13">
        <v>1095.213</v>
      </c>
      <c r="P44" s="13">
        <v>1847.3050000000001</v>
      </c>
      <c r="Q44" s="13">
        <v>9776.6319999999996</v>
      </c>
      <c r="R44" s="13">
        <v>2331.1219999999998</v>
      </c>
      <c r="S44" s="13">
        <v>2678.5970000000002</v>
      </c>
      <c r="T44" s="13">
        <v>2500.7910000000002</v>
      </c>
      <c r="U44" s="13">
        <v>7710.1980000000003</v>
      </c>
      <c r="V44" s="13">
        <v>4383.5770000000002</v>
      </c>
      <c r="W44" s="7">
        <v>117616</v>
      </c>
    </row>
    <row r="45" spans="1:23" x14ac:dyDescent="0.25">
      <c r="A45" s="12">
        <v>1960</v>
      </c>
      <c r="B45" s="13">
        <v>20505.208999999999</v>
      </c>
      <c r="C45" s="13">
        <v>3526.8690000000001</v>
      </c>
      <c r="D45" s="13">
        <v>72581.014999999999</v>
      </c>
      <c r="E45" s="13">
        <v>7869.5439999999999</v>
      </c>
      <c r="F45" s="13">
        <v>3863.8980000000001</v>
      </c>
      <c r="G45" s="13">
        <v>4003.0650000000001</v>
      </c>
      <c r="H45" s="13">
        <v>1967.662</v>
      </c>
      <c r="I45" s="13">
        <v>3281.0529999999999</v>
      </c>
      <c r="J45" s="13">
        <v>15805.366</v>
      </c>
      <c r="K45" s="13">
        <v>1302.07</v>
      </c>
      <c r="L45" s="13">
        <v>7189.5640000000003</v>
      </c>
      <c r="M45" s="13">
        <v>37317.402000000002</v>
      </c>
      <c r="N45" s="13">
        <v>1778.489</v>
      </c>
      <c r="O45" s="13">
        <v>1128.338</v>
      </c>
      <c r="P45" s="13">
        <v>1895.0709999999999</v>
      </c>
      <c r="Q45" s="13">
        <v>10052.532999999999</v>
      </c>
      <c r="R45" s="13">
        <v>2359.797</v>
      </c>
      <c r="S45" s="13">
        <v>2782.2370000000001</v>
      </c>
      <c r="T45" s="13">
        <v>2534.4050000000002</v>
      </c>
      <c r="U45" s="13">
        <v>7898.3729999999996</v>
      </c>
      <c r="V45" s="13">
        <v>4514.8310000000001</v>
      </c>
      <c r="W45" s="7">
        <v>119046</v>
      </c>
    </row>
    <row r="46" spans="1:23" x14ac:dyDescent="0.25">
      <c r="A46" s="12">
        <v>1961</v>
      </c>
      <c r="B46" s="13">
        <v>20842.994999999999</v>
      </c>
      <c r="C46" s="13">
        <v>3602.48</v>
      </c>
      <c r="D46" s="13">
        <v>74789.436000000002</v>
      </c>
      <c r="E46" s="13">
        <v>8162.45</v>
      </c>
      <c r="F46" s="13">
        <v>3937.7350000000001</v>
      </c>
      <c r="G46" s="13">
        <v>4134.8919999999998</v>
      </c>
      <c r="H46" s="13">
        <v>2028.6</v>
      </c>
      <c r="I46" s="13">
        <v>3389.232</v>
      </c>
      <c r="J46" s="13">
        <v>16290.378000000001</v>
      </c>
      <c r="K46" s="13">
        <v>1351.4880000000001</v>
      </c>
      <c r="L46" s="13">
        <v>7337.7269999999999</v>
      </c>
      <c r="M46" s="13">
        <v>38515.233999999997</v>
      </c>
      <c r="N46" s="13">
        <v>1833.2950000000001</v>
      </c>
      <c r="O46" s="13">
        <v>1161.3779999999999</v>
      </c>
      <c r="P46" s="13">
        <v>1942.5</v>
      </c>
      <c r="Q46" s="13">
        <v>10345.498</v>
      </c>
      <c r="R46" s="13">
        <v>2396.5100000000002</v>
      </c>
      <c r="S46" s="13">
        <v>2872.5659999999998</v>
      </c>
      <c r="T46" s="13">
        <v>2566.69</v>
      </c>
      <c r="U46" s="13">
        <v>8080.8540000000003</v>
      </c>
      <c r="V46" s="13">
        <v>4645.6490000000003</v>
      </c>
      <c r="W46" s="7">
        <v>120766</v>
      </c>
    </row>
    <row r="47" spans="1:23" x14ac:dyDescent="0.25">
      <c r="A47" s="12">
        <v>1962</v>
      </c>
      <c r="B47" s="13">
        <v>21182.971000000001</v>
      </c>
      <c r="C47" s="13">
        <v>3680.317</v>
      </c>
      <c r="D47" s="13">
        <v>77070.892000000007</v>
      </c>
      <c r="E47" s="13">
        <v>8461.9809999999998</v>
      </c>
      <c r="F47" s="13">
        <v>4013.9059999999999</v>
      </c>
      <c r="G47" s="13">
        <v>4277.8890000000001</v>
      </c>
      <c r="H47" s="13">
        <v>2091.817</v>
      </c>
      <c r="I47" s="13">
        <v>3500.1390000000001</v>
      </c>
      <c r="J47" s="13">
        <v>16792.396000000001</v>
      </c>
      <c r="K47" s="13">
        <v>1402.5740000000001</v>
      </c>
      <c r="L47" s="13">
        <v>7495.4750000000004</v>
      </c>
      <c r="M47" s="13">
        <v>39768.652999999998</v>
      </c>
      <c r="N47" s="13">
        <v>1889.2270000000001</v>
      </c>
      <c r="O47" s="13">
        <v>1195.57</v>
      </c>
      <c r="P47" s="13">
        <v>1991.73</v>
      </c>
      <c r="Q47" s="13">
        <v>10649.805</v>
      </c>
      <c r="R47" s="13">
        <v>2443.538</v>
      </c>
      <c r="S47" s="13">
        <v>2959.4090000000001</v>
      </c>
      <c r="T47" s="13">
        <v>2598.721</v>
      </c>
      <c r="U47" s="13">
        <v>8268.1569999999992</v>
      </c>
      <c r="V47" s="13">
        <v>4782.3540000000003</v>
      </c>
      <c r="W47" s="7">
        <v>122407</v>
      </c>
    </row>
    <row r="48" spans="1:23" x14ac:dyDescent="0.25">
      <c r="A48" s="12">
        <v>1963</v>
      </c>
      <c r="B48" s="13">
        <v>21524.135999999999</v>
      </c>
      <c r="C48" s="13">
        <v>3760.5720000000001</v>
      </c>
      <c r="D48" s="13">
        <v>79402.080000000002</v>
      </c>
      <c r="E48" s="13">
        <v>8767.7939999999999</v>
      </c>
      <c r="F48" s="13">
        <v>4090.5529999999999</v>
      </c>
      <c r="G48" s="13">
        <v>4426.5240000000003</v>
      </c>
      <c r="H48" s="13">
        <v>2157.3180000000002</v>
      </c>
      <c r="I48" s="13">
        <v>3613.2649999999999</v>
      </c>
      <c r="J48" s="13">
        <v>17307.214</v>
      </c>
      <c r="K48" s="13">
        <v>1454.605</v>
      </c>
      <c r="L48" s="13">
        <v>7660.1419999999998</v>
      </c>
      <c r="M48" s="13">
        <v>41068.383999999998</v>
      </c>
      <c r="N48" s="13">
        <v>1946.748</v>
      </c>
      <c r="O48" s="13">
        <v>1230.876</v>
      </c>
      <c r="P48" s="13">
        <v>2043.3119999999999</v>
      </c>
      <c r="Q48" s="13">
        <v>10963.692999999999</v>
      </c>
      <c r="R48" s="13">
        <v>2494.5300000000002</v>
      </c>
      <c r="S48" s="13">
        <v>3044.39</v>
      </c>
      <c r="T48" s="13">
        <v>2630.0070000000001</v>
      </c>
      <c r="U48" s="13">
        <v>8457.5910000000003</v>
      </c>
      <c r="V48" s="13">
        <v>4924.4719999999998</v>
      </c>
      <c r="W48" s="7">
        <v>123848</v>
      </c>
    </row>
    <row r="49" spans="1:23" x14ac:dyDescent="0.25">
      <c r="A49" s="12">
        <v>1964</v>
      </c>
      <c r="B49" s="13">
        <v>21864.741000000002</v>
      </c>
      <c r="C49" s="13">
        <v>3843.3870000000002</v>
      </c>
      <c r="D49" s="13">
        <v>81754.751999999993</v>
      </c>
      <c r="E49" s="13">
        <v>9079.348</v>
      </c>
      <c r="F49" s="13">
        <v>4168.7160000000003</v>
      </c>
      <c r="G49" s="13">
        <v>4575.6660000000002</v>
      </c>
      <c r="H49" s="13">
        <v>2225.2109999999998</v>
      </c>
      <c r="I49" s="13">
        <v>3728.2530000000002</v>
      </c>
      <c r="J49" s="13">
        <v>17831.427</v>
      </c>
      <c r="K49" s="13">
        <v>1506.807</v>
      </c>
      <c r="L49" s="13">
        <v>7826.8130000000001</v>
      </c>
      <c r="M49" s="13">
        <v>42412.654999999999</v>
      </c>
      <c r="N49" s="13">
        <v>2006.124</v>
      </c>
      <c r="O49" s="13">
        <v>1267.2059999999999</v>
      </c>
      <c r="P49" s="13">
        <v>2096.799</v>
      </c>
      <c r="Q49" s="13">
        <v>11285.85</v>
      </c>
      <c r="R49" s="13">
        <v>2543.1350000000002</v>
      </c>
      <c r="S49" s="13">
        <v>3131.0329999999999</v>
      </c>
      <c r="T49" s="13">
        <v>2659.9540000000002</v>
      </c>
      <c r="U49" s="13">
        <v>8645.9130000000005</v>
      </c>
      <c r="V49" s="13">
        <v>5071.8310000000001</v>
      </c>
      <c r="W49" s="7">
        <v>125179</v>
      </c>
    </row>
    <row r="50" spans="1:23" x14ac:dyDescent="0.25">
      <c r="A50" s="12">
        <v>1965</v>
      </c>
      <c r="B50" s="13">
        <v>22203.584999999999</v>
      </c>
      <c r="C50" s="13">
        <v>3928.8519999999999</v>
      </c>
      <c r="D50" s="13">
        <v>84096.955000000002</v>
      </c>
      <c r="E50" s="13">
        <v>9395.7489999999998</v>
      </c>
      <c r="F50" s="13">
        <v>4249.5360000000001</v>
      </c>
      <c r="G50" s="13">
        <v>4720.4830000000002</v>
      </c>
      <c r="H50" s="13">
        <v>2295.5</v>
      </c>
      <c r="I50" s="13">
        <v>3843.7440000000001</v>
      </c>
      <c r="J50" s="13">
        <v>18362.38</v>
      </c>
      <c r="K50" s="13">
        <v>1558.4570000000001</v>
      </c>
      <c r="L50" s="13">
        <v>7990.42</v>
      </c>
      <c r="M50" s="13">
        <v>43801.891000000003</v>
      </c>
      <c r="N50" s="13">
        <v>2067.819</v>
      </c>
      <c r="O50" s="13">
        <v>1304.3209999999999</v>
      </c>
      <c r="P50" s="13">
        <v>2151.3429999999998</v>
      </c>
      <c r="Q50" s="13">
        <v>11614.164000000001</v>
      </c>
      <c r="R50" s="13">
        <v>2583.0030000000002</v>
      </c>
      <c r="S50" s="13">
        <v>3221.5140000000001</v>
      </c>
      <c r="T50" s="13">
        <v>2687.9720000000002</v>
      </c>
      <c r="U50" s="13">
        <v>8829.8320000000003</v>
      </c>
      <c r="V50" s="13">
        <v>5224.107</v>
      </c>
      <c r="W50" s="7">
        <v>126309</v>
      </c>
    </row>
    <row r="51" spans="1:23" x14ac:dyDescent="0.25">
      <c r="A51" s="12">
        <v>1966</v>
      </c>
      <c r="B51" s="13">
        <v>22539.327000000001</v>
      </c>
      <c r="C51" s="13">
        <v>4017.19</v>
      </c>
      <c r="D51" s="13">
        <v>86419.664999999994</v>
      </c>
      <c r="E51" s="13">
        <v>9715.5560000000005</v>
      </c>
      <c r="F51" s="13">
        <v>4331.7060000000001</v>
      </c>
      <c r="G51" s="13">
        <v>4859.0730000000003</v>
      </c>
      <c r="H51" s="13">
        <v>2368.4070000000002</v>
      </c>
      <c r="I51" s="13">
        <v>3961.06</v>
      </c>
      <c r="J51" s="13">
        <v>18900.115000000002</v>
      </c>
      <c r="K51" s="13">
        <v>1609.5909999999999</v>
      </c>
      <c r="L51" s="13">
        <v>8149.6390000000001</v>
      </c>
      <c r="M51" s="13">
        <v>45236.612000000001</v>
      </c>
      <c r="N51" s="13">
        <v>2131.924</v>
      </c>
      <c r="O51" s="13">
        <v>1342.4110000000001</v>
      </c>
      <c r="P51" s="13">
        <v>2206.8870000000002</v>
      </c>
      <c r="Q51" s="13">
        <v>11948.588</v>
      </c>
      <c r="R51" s="13">
        <v>2612.8960000000002</v>
      </c>
      <c r="S51" s="13">
        <v>3315.7310000000002</v>
      </c>
      <c r="T51" s="13">
        <v>2715.0949999999998</v>
      </c>
      <c r="U51" s="13">
        <v>9009.6620000000003</v>
      </c>
      <c r="V51" s="13">
        <v>5381.5420000000004</v>
      </c>
      <c r="W51" s="7">
        <v>127189</v>
      </c>
    </row>
    <row r="52" spans="1:23" x14ac:dyDescent="0.25">
      <c r="A52" s="12">
        <v>1967</v>
      </c>
      <c r="B52" s="13">
        <v>22874.517</v>
      </c>
      <c r="C52" s="13">
        <v>4108.5450000000001</v>
      </c>
      <c r="D52" s="13">
        <v>88733.273000000001</v>
      </c>
      <c r="E52" s="13">
        <v>10039.128000000001</v>
      </c>
      <c r="F52" s="13">
        <v>4415.6580000000004</v>
      </c>
      <c r="G52" s="13">
        <v>4994.9340000000002</v>
      </c>
      <c r="H52" s="13">
        <v>2444.04</v>
      </c>
      <c r="I52" s="13">
        <v>4081.482</v>
      </c>
      <c r="J52" s="13">
        <v>19445.055</v>
      </c>
      <c r="K52" s="13">
        <v>1660.462</v>
      </c>
      <c r="L52" s="13">
        <v>8306.0580000000009</v>
      </c>
      <c r="M52" s="13">
        <v>46715.290999999997</v>
      </c>
      <c r="N52" s="13">
        <v>2198.3870000000002</v>
      </c>
      <c r="O52" s="13">
        <v>1381.348</v>
      </c>
      <c r="P52" s="13">
        <v>2263.39</v>
      </c>
      <c r="Q52" s="13">
        <v>12290.451999999999</v>
      </c>
      <c r="R52" s="13">
        <v>2637.9540000000002</v>
      </c>
      <c r="S52" s="13">
        <v>3411.877</v>
      </c>
      <c r="T52" s="13">
        <v>2741.69</v>
      </c>
      <c r="U52" s="13">
        <v>9187.1990000000005</v>
      </c>
      <c r="V52" s="13">
        <v>5544.6220000000003</v>
      </c>
      <c r="W52" s="7">
        <v>128026</v>
      </c>
    </row>
    <row r="53" spans="1:23" x14ac:dyDescent="0.25">
      <c r="A53" s="12">
        <v>1968</v>
      </c>
      <c r="B53" s="13">
        <v>23214.545999999998</v>
      </c>
      <c r="C53" s="13">
        <v>4203.0169999999998</v>
      </c>
      <c r="D53" s="13">
        <v>91044.221999999994</v>
      </c>
      <c r="E53" s="13">
        <v>10368.65</v>
      </c>
      <c r="F53" s="13">
        <v>4501.0609999999997</v>
      </c>
      <c r="G53" s="13">
        <v>5130.1319999999996</v>
      </c>
      <c r="H53" s="13">
        <v>2522.52</v>
      </c>
      <c r="I53" s="13">
        <v>4203.24</v>
      </c>
      <c r="J53" s="13">
        <v>19992.254000000001</v>
      </c>
      <c r="K53" s="13">
        <v>1710.588</v>
      </c>
      <c r="L53" s="13">
        <v>8460.4639999999999</v>
      </c>
      <c r="M53" s="13">
        <v>48233.402000000002</v>
      </c>
      <c r="N53" s="13">
        <v>2267.11</v>
      </c>
      <c r="O53" s="13">
        <v>1421.04</v>
      </c>
      <c r="P53" s="13">
        <v>2320.5549999999998</v>
      </c>
      <c r="Q53" s="13">
        <v>12640.276</v>
      </c>
      <c r="R53" s="13">
        <v>2661.395</v>
      </c>
      <c r="S53" s="13">
        <v>3509.0940000000001</v>
      </c>
      <c r="T53" s="13">
        <v>2765.8870000000002</v>
      </c>
      <c r="U53" s="13">
        <v>9362.4709999999995</v>
      </c>
      <c r="V53" s="13">
        <v>5712.7960000000003</v>
      </c>
      <c r="W53" s="7">
        <v>128696</v>
      </c>
    </row>
    <row r="54" spans="1:23" x14ac:dyDescent="0.25">
      <c r="A54" s="12">
        <v>1969</v>
      </c>
      <c r="B54" s="13">
        <v>23563.752</v>
      </c>
      <c r="C54" s="13">
        <v>4300.5050000000001</v>
      </c>
      <c r="D54" s="13">
        <v>93367.754000000001</v>
      </c>
      <c r="E54" s="13">
        <v>10706.057000000001</v>
      </c>
      <c r="F54" s="13">
        <v>4587.335</v>
      </c>
      <c r="G54" s="13">
        <v>5266.2860000000001</v>
      </c>
      <c r="H54" s="13">
        <v>2603.7170000000001</v>
      </c>
      <c r="I54" s="13">
        <v>4326.2659999999996</v>
      </c>
      <c r="J54" s="13">
        <v>20535.07</v>
      </c>
      <c r="K54" s="13">
        <v>1760.1369999999999</v>
      </c>
      <c r="L54" s="13">
        <v>8614.1419999999998</v>
      </c>
      <c r="M54" s="13">
        <v>49784.271999999997</v>
      </c>
      <c r="N54" s="13">
        <v>2338.145</v>
      </c>
      <c r="O54" s="13">
        <v>1461.444</v>
      </c>
      <c r="P54" s="13">
        <v>2378.1869999999999</v>
      </c>
      <c r="Q54" s="13">
        <v>12998.334000000001</v>
      </c>
      <c r="R54" s="13">
        <v>2686.4380000000001</v>
      </c>
      <c r="S54" s="13">
        <v>3606.5239999999999</v>
      </c>
      <c r="T54" s="13">
        <v>2785.9169999999999</v>
      </c>
      <c r="U54" s="13">
        <v>9536.0069999999996</v>
      </c>
      <c r="V54" s="13">
        <v>5885.6109999999999</v>
      </c>
      <c r="W54" s="7">
        <v>129379</v>
      </c>
    </row>
    <row r="55" spans="1:23" x14ac:dyDescent="0.25">
      <c r="A55" s="12">
        <v>1970</v>
      </c>
      <c r="B55" s="13">
        <v>23928.774000000001</v>
      </c>
      <c r="C55" s="13">
        <v>4400.8090000000002</v>
      </c>
      <c r="D55" s="13">
        <v>95716.464000000007</v>
      </c>
      <c r="E55" s="13">
        <v>11054.534</v>
      </c>
      <c r="F55" s="13">
        <v>4674.049</v>
      </c>
      <c r="G55" s="13">
        <v>5406.3130000000001</v>
      </c>
      <c r="H55" s="13">
        <v>2687.75</v>
      </c>
      <c r="I55" s="13">
        <v>4450.8410000000003</v>
      </c>
      <c r="J55" s="13">
        <v>21069.51</v>
      </c>
      <c r="K55" s="13">
        <v>1809.277</v>
      </c>
      <c r="L55" s="13">
        <v>8767.4279999999999</v>
      </c>
      <c r="M55" s="13">
        <v>51362.574999999997</v>
      </c>
      <c r="N55" s="13">
        <v>2411.3939999999998</v>
      </c>
      <c r="O55" s="13">
        <v>1502.4690000000001</v>
      </c>
      <c r="P55" s="13">
        <v>2436.0880000000002</v>
      </c>
      <c r="Q55" s="13">
        <v>13346.946</v>
      </c>
      <c r="R55" s="13">
        <v>2716.299</v>
      </c>
      <c r="S55" s="13">
        <v>3702.2069999999999</v>
      </c>
      <c r="T55" s="13">
        <v>2800.4079999999999</v>
      </c>
      <c r="U55" s="13">
        <v>9707.5349999999999</v>
      </c>
      <c r="V55" s="13">
        <v>6062.6639999999998</v>
      </c>
      <c r="W55" s="7">
        <v>130079</v>
      </c>
    </row>
    <row r="56" spans="1:23" x14ac:dyDescent="0.25">
      <c r="A56" s="12">
        <v>1971</v>
      </c>
      <c r="B56" s="13">
        <v>24313.350999999999</v>
      </c>
      <c r="C56" s="13">
        <v>4504.415</v>
      </c>
      <c r="D56" s="13">
        <v>98088.357000000004</v>
      </c>
      <c r="E56" s="13">
        <v>11416.28</v>
      </c>
      <c r="F56" s="13">
        <v>4760.5780000000004</v>
      </c>
      <c r="G56" s="13">
        <v>5551.2719999999999</v>
      </c>
      <c r="H56" s="13">
        <v>2775.16</v>
      </c>
      <c r="I56" s="13">
        <v>4577.107</v>
      </c>
      <c r="J56" s="13">
        <v>21588.705000000002</v>
      </c>
      <c r="K56" s="13">
        <v>1857.4169999999999</v>
      </c>
      <c r="L56" s="13">
        <v>8921.5630000000001</v>
      </c>
      <c r="M56" s="13">
        <v>52978.593000000001</v>
      </c>
      <c r="N56" s="13">
        <v>2487.0390000000002</v>
      </c>
      <c r="O56" s="13">
        <v>1544.182</v>
      </c>
      <c r="P56" s="13">
        <v>2494.402</v>
      </c>
      <c r="Q56" s="13">
        <v>13702.472</v>
      </c>
      <c r="R56" s="13">
        <v>2753.1370000000002</v>
      </c>
      <c r="S56" s="13">
        <v>3796.67</v>
      </c>
      <c r="T56" s="13">
        <v>2811.01</v>
      </c>
      <c r="U56" s="13">
        <v>9877.2170000000006</v>
      </c>
      <c r="V56" s="13">
        <v>6244.0649999999996</v>
      </c>
      <c r="W56" s="7">
        <v>130704</v>
      </c>
    </row>
    <row r="57" spans="1:23" x14ac:dyDescent="0.25">
      <c r="A57" s="12">
        <v>1972</v>
      </c>
      <c r="B57" s="13">
        <v>24715.019</v>
      </c>
      <c r="C57" s="13">
        <v>4611.3779999999997</v>
      </c>
      <c r="D57" s="13">
        <v>100485.599</v>
      </c>
      <c r="E57" s="13">
        <v>11789.938</v>
      </c>
      <c r="F57" s="13">
        <v>4847.393</v>
      </c>
      <c r="G57" s="13">
        <v>5700.4690000000001</v>
      </c>
      <c r="H57" s="13">
        <v>2866.201</v>
      </c>
      <c r="I57" s="13">
        <v>4705.32</v>
      </c>
      <c r="J57" s="13">
        <v>22098.588</v>
      </c>
      <c r="K57" s="13">
        <v>1904.704</v>
      </c>
      <c r="L57" s="13">
        <v>9073.1090000000004</v>
      </c>
      <c r="M57" s="13">
        <v>54636.224000000002</v>
      </c>
      <c r="N57" s="13">
        <v>2562.6979999999999</v>
      </c>
      <c r="O57" s="13">
        <v>1586.559</v>
      </c>
      <c r="P57" s="13">
        <v>2554.0329999999999</v>
      </c>
      <c r="Q57" s="13">
        <v>14081.316000000001</v>
      </c>
      <c r="R57" s="13">
        <v>2795.7</v>
      </c>
      <c r="S57" s="13">
        <v>3892.1529999999998</v>
      </c>
      <c r="T57" s="13">
        <v>2820.3130000000001</v>
      </c>
      <c r="U57" s="13">
        <v>10045.769</v>
      </c>
      <c r="V57" s="13">
        <v>6430.0069999999996</v>
      </c>
      <c r="W57" s="7">
        <v>131445</v>
      </c>
    </row>
    <row r="58" spans="1:23" x14ac:dyDescent="0.25">
      <c r="A58" s="12">
        <v>1973</v>
      </c>
      <c r="B58" s="13">
        <v>25131.042000000001</v>
      </c>
      <c r="C58" s="13">
        <v>4721.2259999999997</v>
      </c>
      <c r="D58" s="13">
        <v>102919.16800000001</v>
      </c>
      <c r="E58" s="13">
        <v>12174.737999999999</v>
      </c>
      <c r="F58" s="13">
        <v>4935.5590000000002</v>
      </c>
      <c r="G58" s="13">
        <v>5853.6670000000004</v>
      </c>
      <c r="H58" s="13">
        <v>2959.6089999999999</v>
      </c>
      <c r="I58" s="13">
        <v>4835.2510000000002</v>
      </c>
      <c r="J58" s="13">
        <v>22610.063999999998</v>
      </c>
      <c r="K58" s="13">
        <v>1952.191</v>
      </c>
      <c r="L58" s="13">
        <v>9215.6370000000006</v>
      </c>
      <c r="M58" s="13">
        <v>56320.998</v>
      </c>
      <c r="N58" s="13">
        <v>2640.5790000000002</v>
      </c>
      <c r="O58" s="13">
        <v>1629.4970000000001</v>
      </c>
      <c r="P58" s="13">
        <v>2616.0500000000002</v>
      </c>
      <c r="Q58" s="13">
        <v>14465.446</v>
      </c>
      <c r="R58" s="13">
        <v>2842.0940000000001</v>
      </c>
      <c r="S58" s="13">
        <v>3988.4160000000002</v>
      </c>
      <c r="T58" s="13">
        <v>2829.4589999999998</v>
      </c>
      <c r="U58" s="13">
        <v>10213.111000000001</v>
      </c>
      <c r="V58" s="13">
        <v>6620.3379999999997</v>
      </c>
      <c r="W58" s="7">
        <v>132210</v>
      </c>
    </row>
    <row r="59" spans="1:23" x14ac:dyDescent="0.25">
      <c r="A59" s="12">
        <v>1974</v>
      </c>
      <c r="B59" s="13">
        <v>25555.034</v>
      </c>
      <c r="C59" s="13">
        <v>4833.7359999999999</v>
      </c>
      <c r="D59" s="13">
        <v>105392.54399999999</v>
      </c>
      <c r="E59" s="13">
        <v>12570.108</v>
      </c>
      <c r="F59" s="13">
        <v>5026.4920000000002</v>
      </c>
      <c r="G59" s="13">
        <v>6008.1310000000003</v>
      </c>
      <c r="H59" s="13">
        <v>3053.4679999999998</v>
      </c>
      <c r="I59" s="13">
        <v>4966.3209999999999</v>
      </c>
      <c r="J59" s="13">
        <v>23126.49</v>
      </c>
      <c r="K59" s="13">
        <v>2001.183</v>
      </c>
      <c r="L59" s="13">
        <v>9344.9169999999995</v>
      </c>
      <c r="M59" s="13">
        <v>58016.792999999998</v>
      </c>
      <c r="N59" s="13">
        <v>2723.087</v>
      </c>
      <c r="O59" s="13">
        <v>1672.893</v>
      </c>
      <c r="P59" s="13">
        <v>2680.819</v>
      </c>
      <c r="Q59" s="13">
        <v>14854.028</v>
      </c>
      <c r="R59" s="13">
        <v>2890.4259999999999</v>
      </c>
      <c r="S59" s="13">
        <v>4083.67</v>
      </c>
      <c r="T59" s="13">
        <v>2839.5419999999999</v>
      </c>
      <c r="U59" s="13">
        <v>10378.609</v>
      </c>
      <c r="V59" s="13">
        <v>6814.7039999999997</v>
      </c>
      <c r="W59" s="7">
        <v>132941</v>
      </c>
    </row>
    <row r="60" spans="1:23" x14ac:dyDescent="0.25">
      <c r="A60" s="12">
        <v>1975</v>
      </c>
      <c r="B60" s="13">
        <v>25972.86</v>
      </c>
      <c r="C60" s="13">
        <v>4948.1850000000004</v>
      </c>
      <c r="D60" s="13">
        <v>107918.655</v>
      </c>
      <c r="E60" s="13">
        <v>12975.227000000001</v>
      </c>
      <c r="F60" s="13">
        <v>5121.4570000000003</v>
      </c>
      <c r="G60" s="13">
        <v>6161.4750000000004</v>
      </c>
      <c r="H60" s="13">
        <v>3150.4650000000001</v>
      </c>
      <c r="I60" s="13">
        <v>5097.8540000000003</v>
      </c>
      <c r="J60" s="13">
        <v>23653.069</v>
      </c>
      <c r="K60" s="13">
        <v>2052.8829999999998</v>
      </c>
      <c r="L60" s="13">
        <v>9455.8209999999999</v>
      </c>
      <c r="M60" s="13">
        <v>59706.288</v>
      </c>
      <c r="N60" s="13">
        <v>2807.4780000000001</v>
      </c>
      <c r="O60" s="13">
        <v>1716.7919999999999</v>
      </c>
      <c r="P60" s="13">
        <v>2748.06</v>
      </c>
      <c r="Q60" s="13">
        <v>15247.58</v>
      </c>
      <c r="R60" s="13">
        <v>2938.8</v>
      </c>
      <c r="S60" s="13">
        <v>4176.3760000000002</v>
      </c>
      <c r="T60" s="13">
        <v>2851.3560000000002</v>
      </c>
      <c r="U60" s="13">
        <v>10542.482</v>
      </c>
      <c r="V60" s="13">
        <v>7012.7529999999997</v>
      </c>
      <c r="W60" s="7">
        <v>133775</v>
      </c>
    </row>
    <row r="61" spans="1:23" x14ac:dyDescent="0.25">
      <c r="A61" s="12">
        <v>1976</v>
      </c>
      <c r="B61" s="13">
        <v>26381.978999999999</v>
      </c>
      <c r="C61" s="13">
        <v>5065.5739999999996</v>
      </c>
      <c r="D61" s="13">
        <v>110514.25900000001</v>
      </c>
      <c r="E61" s="13">
        <v>13395.328</v>
      </c>
      <c r="F61" s="13">
        <v>5220.6229999999996</v>
      </c>
      <c r="G61" s="13">
        <v>6307.2510000000002</v>
      </c>
      <c r="H61" s="13">
        <v>3251.8670000000002</v>
      </c>
      <c r="I61" s="13">
        <v>5229.9970000000003</v>
      </c>
      <c r="J61" s="13">
        <v>24191.132000000001</v>
      </c>
      <c r="K61" s="13">
        <v>2107.8040000000001</v>
      </c>
      <c r="L61" s="13">
        <v>9549.6360000000004</v>
      </c>
      <c r="M61" s="13">
        <v>61398.163999999997</v>
      </c>
      <c r="N61" s="13">
        <v>2894.3270000000002</v>
      </c>
      <c r="O61" s="13">
        <v>1761.2339999999999</v>
      </c>
      <c r="P61" s="13">
        <v>2817.634</v>
      </c>
      <c r="Q61" s="13">
        <v>15648.516</v>
      </c>
      <c r="R61" s="13">
        <v>2989.3539999999998</v>
      </c>
      <c r="S61" s="13">
        <v>4266.9290000000001</v>
      </c>
      <c r="T61" s="13">
        <v>2866.0030000000002</v>
      </c>
      <c r="U61" s="13">
        <v>10703.234</v>
      </c>
      <c r="V61" s="13">
        <v>7214.8739999999998</v>
      </c>
      <c r="W61" s="7">
        <v>134690</v>
      </c>
    </row>
    <row r="62" spans="1:23" x14ac:dyDescent="0.25">
      <c r="A62" s="12">
        <v>1977</v>
      </c>
      <c r="B62" s="13">
        <v>26794.258000000002</v>
      </c>
      <c r="C62" s="13">
        <v>5186.1419999999998</v>
      </c>
      <c r="D62" s="13">
        <v>113176.66099999999</v>
      </c>
      <c r="E62" s="13">
        <v>13831.93</v>
      </c>
      <c r="F62" s="13">
        <v>5323.2929999999997</v>
      </c>
      <c r="G62" s="13">
        <v>6455.6930000000002</v>
      </c>
      <c r="H62" s="13">
        <v>3355.4920000000002</v>
      </c>
      <c r="I62" s="13">
        <v>5363.0389999999998</v>
      </c>
      <c r="J62" s="13">
        <v>24746.435000000001</v>
      </c>
      <c r="K62" s="13">
        <v>2165.5729999999999</v>
      </c>
      <c r="L62" s="13">
        <v>9631.2909999999993</v>
      </c>
      <c r="M62" s="13">
        <v>63101.459000000003</v>
      </c>
      <c r="N62" s="13">
        <v>2983.5309999999999</v>
      </c>
      <c r="O62" s="13">
        <v>1806.2860000000001</v>
      </c>
      <c r="P62" s="13">
        <v>2889.6309999999999</v>
      </c>
      <c r="Q62" s="13">
        <v>16060.007</v>
      </c>
      <c r="R62" s="13">
        <v>3043.453</v>
      </c>
      <c r="S62" s="13">
        <v>4357.009</v>
      </c>
      <c r="T62" s="13">
        <v>2883.0059999999999</v>
      </c>
      <c r="U62" s="13">
        <v>10860.837</v>
      </c>
      <c r="V62" s="13">
        <v>7421.4709999999995</v>
      </c>
      <c r="W62" s="7">
        <v>135645</v>
      </c>
    </row>
    <row r="63" spans="1:23" x14ac:dyDescent="0.25">
      <c r="A63" s="12">
        <v>1978</v>
      </c>
      <c r="B63" s="13">
        <v>27211.969000000001</v>
      </c>
      <c r="C63" s="13">
        <v>5308.6790000000001</v>
      </c>
      <c r="D63" s="13">
        <v>115897.481</v>
      </c>
      <c r="E63" s="13">
        <v>14278.621999999999</v>
      </c>
      <c r="F63" s="13">
        <v>5429.5780000000004</v>
      </c>
      <c r="G63" s="13">
        <v>6615.4620000000004</v>
      </c>
      <c r="H63" s="13">
        <v>3461.4470000000001</v>
      </c>
      <c r="I63" s="13">
        <v>5497.1090000000004</v>
      </c>
      <c r="J63" s="13">
        <v>25318.298999999999</v>
      </c>
      <c r="K63" s="13">
        <v>2225.9389999999999</v>
      </c>
      <c r="L63" s="13">
        <v>9701.6859999999997</v>
      </c>
      <c r="M63" s="13">
        <v>64800.436999999998</v>
      </c>
      <c r="N63" s="13">
        <v>3073.2820000000002</v>
      </c>
      <c r="O63" s="13">
        <v>1851.739</v>
      </c>
      <c r="P63" s="13">
        <v>2964.4520000000002</v>
      </c>
      <c r="Q63" s="13">
        <v>16481.532999999999</v>
      </c>
      <c r="R63" s="13">
        <v>3098.047</v>
      </c>
      <c r="S63" s="13">
        <v>4446.5969999999998</v>
      </c>
      <c r="T63" s="13">
        <v>2900.7759999999998</v>
      </c>
      <c r="U63" s="13">
        <v>11017.789000000001</v>
      </c>
      <c r="V63" s="13">
        <v>7632.1180000000004</v>
      </c>
      <c r="W63" s="7">
        <v>136596</v>
      </c>
    </row>
    <row r="64" spans="1:23" x14ac:dyDescent="0.25">
      <c r="A64" s="12">
        <v>1979</v>
      </c>
      <c r="B64" s="13">
        <v>27635.284</v>
      </c>
      <c r="C64" s="13">
        <v>5432.5219999999999</v>
      </c>
      <c r="D64" s="13">
        <v>118666.04</v>
      </c>
      <c r="E64" s="13">
        <v>14728.64</v>
      </c>
      <c r="F64" s="13">
        <v>5539.4390000000003</v>
      </c>
      <c r="G64" s="13">
        <v>6780.1719999999996</v>
      </c>
      <c r="H64" s="13">
        <v>3570.04</v>
      </c>
      <c r="I64" s="13">
        <v>5632.1890000000003</v>
      </c>
      <c r="J64" s="13">
        <v>25898.447</v>
      </c>
      <c r="K64" s="13">
        <v>2288.6489999999999</v>
      </c>
      <c r="L64" s="13">
        <v>9762.0740000000005</v>
      </c>
      <c r="M64" s="13">
        <v>66471.513000000006</v>
      </c>
      <c r="N64" s="13">
        <v>3161.5720000000001</v>
      </c>
      <c r="O64" s="13">
        <v>1897.4849999999999</v>
      </c>
      <c r="P64" s="13">
        <v>3042.8</v>
      </c>
      <c r="Q64" s="13">
        <v>16909.721000000001</v>
      </c>
      <c r="R64" s="13">
        <v>3150.087</v>
      </c>
      <c r="S64" s="13">
        <v>4531.174</v>
      </c>
      <c r="T64" s="13">
        <v>2918.1289999999999</v>
      </c>
      <c r="U64" s="13">
        <v>11176.786</v>
      </c>
      <c r="V64" s="13">
        <v>7846.192</v>
      </c>
      <c r="W64" s="7">
        <v>137551</v>
      </c>
    </row>
    <row r="65" spans="1:23" x14ac:dyDescent="0.25">
      <c r="A65" s="12">
        <v>1980</v>
      </c>
      <c r="B65" s="13">
        <v>28066.525000000001</v>
      </c>
      <c r="C65" s="13">
        <v>5557.0129999999999</v>
      </c>
      <c r="D65" s="13">
        <v>121472.558</v>
      </c>
      <c r="E65" s="13">
        <v>15174.772999999999</v>
      </c>
      <c r="F65" s="13">
        <v>5652.8879999999999</v>
      </c>
      <c r="G65" s="13">
        <v>6950.6350000000002</v>
      </c>
      <c r="H65" s="13">
        <v>3681.5309999999999</v>
      </c>
      <c r="I65" s="13">
        <v>5768.4589999999998</v>
      </c>
      <c r="J65" s="13">
        <v>26492.948</v>
      </c>
      <c r="K65" s="13">
        <v>2353.1529999999998</v>
      </c>
      <c r="L65" s="13">
        <v>9814.107</v>
      </c>
      <c r="M65" s="13">
        <v>68086.202000000005</v>
      </c>
      <c r="N65" s="13">
        <v>3251.44</v>
      </c>
      <c r="O65" s="13">
        <v>1943.3130000000001</v>
      </c>
      <c r="P65" s="13">
        <v>3125.4780000000001</v>
      </c>
      <c r="Q65" s="13">
        <v>17342.552</v>
      </c>
      <c r="R65" s="13">
        <v>3196.52</v>
      </c>
      <c r="S65" s="13">
        <v>4600.4719999999998</v>
      </c>
      <c r="T65" s="13">
        <v>2933.8789999999999</v>
      </c>
      <c r="U65" s="13">
        <v>11341.476000000001</v>
      </c>
      <c r="V65" s="13">
        <v>8063.6660000000002</v>
      </c>
      <c r="W65" s="7">
        <v>138291</v>
      </c>
    </row>
    <row r="66" spans="1:23" x14ac:dyDescent="0.25">
      <c r="A66" s="12">
        <v>1981</v>
      </c>
      <c r="B66" s="13">
        <v>28508.591</v>
      </c>
      <c r="C66" s="13">
        <v>5681.3990000000003</v>
      </c>
      <c r="D66" s="13">
        <v>124325.48299999999</v>
      </c>
      <c r="E66" s="13">
        <v>15614.535</v>
      </c>
      <c r="F66" s="13">
        <v>5771.6369999999997</v>
      </c>
      <c r="G66" s="13">
        <v>7126</v>
      </c>
      <c r="H66" s="13">
        <v>3796.0010000000002</v>
      </c>
      <c r="I66" s="13">
        <v>5905.32</v>
      </c>
      <c r="J66" s="13">
        <v>27100.780999999999</v>
      </c>
      <c r="K66" s="13">
        <v>2419.6660000000002</v>
      </c>
      <c r="L66" s="13">
        <v>9862.7880000000005</v>
      </c>
      <c r="M66" s="13">
        <v>69610.278999999995</v>
      </c>
      <c r="N66" s="13">
        <v>3344.0529999999999</v>
      </c>
      <c r="O66" s="13">
        <v>1989.404</v>
      </c>
      <c r="P66" s="13">
        <v>3213.788</v>
      </c>
      <c r="Q66" s="13">
        <v>17779.522000000001</v>
      </c>
      <c r="R66" s="13">
        <v>3237.4290000000001</v>
      </c>
      <c r="S66" s="13">
        <v>4652.3459999999995</v>
      </c>
      <c r="T66" s="13">
        <v>2948.7150000000001</v>
      </c>
      <c r="U66" s="13">
        <v>11512.355</v>
      </c>
      <c r="V66" s="13">
        <v>8284.8619999999992</v>
      </c>
      <c r="W66" s="7">
        <v>139028</v>
      </c>
    </row>
    <row r="67" spans="1:23" x14ac:dyDescent="0.25">
      <c r="A67" s="12">
        <v>1982</v>
      </c>
      <c r="B67" s="13">
        <v>28959.071</v>
      </c>
      <c r="C67" s="13">
        <v>5805.84</v>
      </c>
      <c r="D67" s="13">
        <v>127217.29300000001</v>
      </c>
      <c r="E67" s="13">
        <v>16052.043</v>
      </c>
      <c r="F67" s="13">
        <v>5896.3879999999999</v>
      </c>
      <c r="G67" s="13">
        <v>7298.9040000000005</v>
      </c>
      <c r="H67" s="13">
        <v>3913.3229999999999</v>
      </c>
      <c r="I67" s="13">
        <v>6042.174</v>
      </c>
      <c r="J67" s="13">
        <v>27721.190999999999</v>
      </c>
      <c r="K67" s="13">
        <v>2488.66</v>
      </c>
      <c r="L67" s="13">
        <v>9916.3629999999994</v>
      </c>
      <c r="M67" s="13">
        <v>71064.396999999997</v>
      </c>
      <c r="N67" s="13">
        <v>3436.9650000000001</v>
      </c>
      <c r="O67" s="13">
        <v>2035.93</v>
      </c>
      <c r="P67" s="13">
        <v>3307.3690000000001</v>
      </c>
      <c r="Q67" s="13">
        <v>18221.868999999999</v>
      </c>
      <c r="R67" s="13">
        <v>3275.373</v>
      </c>
      <c r="S67" s="13">
        <v>4712.9780000000001</v>
      </c>
      <c r="T67" s="13">
        <v>2964.4090000000001</v>
      </c>
      <c r="U67" s="13">
        <v>11687.973</v>
      </c>
      <c r="V67" s="13">
        <v>8509.8950000000004</v>
      </c>
      <c r="W67" s="7">
        <v>139816</v>
      </c>
    </row>
    <row r="68" spans="1:23" x14ac:dyDescent="0.25">
      <c r="A68" s="12">
        <v>1983</v>
      </c>
      <c r="B68" s="13">
        <v>29415.993999999999</v>
      </c>
      <c r="C68" s="13">
        <v>5931.3419999999996</v>
      </c>
      <c r="D68" s="13">
        <v>130124.037</v>
      </c>
      <c r="E68" s="13">
        <v>16491.087</v>
      </c>
      <c r="F68" s="13">
        <v>6025.41</v>
      </c>
      <c r="G68" s="13">
        <v>7481.3159999999998</v>
      </c>
      <c r="H68" s="13">
        <v>4033.444</v>
      </c>
      <c r="I68" s="13">
        <v>6180.1530000000002</v>
      </c>
      <c r="J68" s="13">
        <v>28357.455000000002</v>
      </c>
      <c r="K68" s="13">
        <v>2559.7890000000002</v>
      </c>
      <c r="L68" s="13">
        <v>9976.2270000000008</v>
      </c>
      <c r="M68" s="13">
        <v>72497.414000000004</v>
      </c>
      <c r="N68" s="13">
        <v>3529.1590000000001</v>
      </c>
      <c r="O68" s="13">
        <v>2082.873</v>
      </c>
      <c r="P68" s="13">
        <v>3404.7550000000001</v>
      </c>
      <c r="Q68" s="13">
        <v>18670.826000000001</v>
      </c>
      <c r="R68" s="13">
        <v>3311.0239999999999</v>
      </c>
      <c r="S68" s="13">
        <v>4788.8909999999996</v>
      </c>
      <c r="T68" s="13">
        <v>2980.7930000000001</v>
      </c>
      <c r="U68" s="13">
        <v>11869.28</v>
      </c>
      <c r="V68" s="13">
        <v>8738.7999999999993</v>
      </c>
      <c r="W68" s="7">
        <v>140766</v>
      </c>
    </row>
    <row r="69" spans="1:23" x14ac:dyDescent="0.25">
      <c r="A69" s="12">
        <v>1984</v>
      </c>
      <c r="B69" s="13">
        <v>29877.042000000001</v>
      </c>
      <c r="C69" s="13">
        <v>6059.2120000000004</v>
      </c>
      <c r="D69" s="13">
        <v>133018.16099999999</v>
      </c>
      <c r="E69" s="13">
        <v>16935.654999999999</v>
      </c>
      <c r="F69" s="13">
        <v>6156.9210000000003</v>
      </c>
      <c r="G69" s="13">
        <v>7680.857</v>
      </c>
      <c r="H69" s="13">
        <v>4155.9579999999996</v>
      </c>
      <c r="I69" s="13">
        <v>6319.2889999999998</v>
      </c>
      <c r="J69" s="13">
        <v>28998.346000000001</v>
      </c>
      <c r="K69" s="13">
        <v>2632.605</v>
      </c>
      <c r="L69" s="13">
        <v>10040.323</v>
      </c>
      <c r="M69" s="13">
        <v>73935.036999999997</v>
      </c>
      <c r="N69" s="13">
        <v>3619.4639999999999</v>
      </c>
      <c r="O69" s="13">
        <v>2130.2620000000002</v>
      </c>
      <c r="P69" s="13">
        <v>3504.7280000000001</v>
      </c>
      <c r="Q69" s="13">
        <v>19125.325000000001</v>
      </c>
      <c r="R69" s="13">
        <v>3345.0520000000001</v>
      </c>
      <c r="S69" s="13">
        <v>4867.3050000000003</v>
      </c>
      <c r="T69" s="13">
        <v>2997.453</v>
      </c>
      <c r="U69" s="13">
        <v>12056.373</v>
      </c>
      <c r="V69" s="13">
        <v>8971.2630000000008</v>
      </c>
      <c r="W69" s="7">
        <v>141842</v>
      </c>
    </row>
    <row r="70" spans="1:23" x14ac:dyDescent="0.25">
      <c r="A70" s="12">
        <v>1985</v>
      </c>
      <c r="B70" s="13">
        <v>30339.192999999999</v>
      </c>
      <c r="C70" s="13">
        <v>6190.2060000000001</v>
      </c>
      <c r="D70" s="13">
        <v>135867.56099999999</v>
      </c>
      <c r="E70" s="13">
        <v>17389.287</v>
      </c>
      <c r="F70" s="13">
        <v>6289.54</v>
      </c>
      <c r="G70" s="13">
        <v>7884.7960000000003</v>
      </c>
      <c r="H70" s="13">
        <v>4280.41</v>
      </c>
      <c r="I70" s="13">
        <v>6458.4620000000004</v>
      </c>
      <c r="J70" s="13">
        <v>29626.138999999999</v>
      </c>
      <c r="K70" s="13">
        <v>2706.712</v>
      </c>
      <c r="L70" s="13">
        <v>10110.846</v>
      </c>
      <c r="M70" s="13">
        <v>75404.123999999996</v>
      </c>
      <c r="N70" s="13">
        <v>3708.1120000000001</v>
      </c>
      <c r="O70" s="13">
        <v>2177.8780000000002</v>
      </c>
      <c r="P70" s="13">
        <v>3606.3209999999999</v>
      </c>
      <c r="Q70" s="13">
        <v>19583.399000000001</v>
      </c>
      <c r="R70" s="13">
        <v>3378.125</v>
      </c>
      <c r="S70" s="13">
        <v>4949.2920000000004</v>
      </c>
      <c r="T70" s="13">
        <v>3014.473</v>
      </c>
      <c r="U70" s="13">
        <v>12248.851000000001</v>
      </c>
      <c r="V70" s="13">
        <v>9205.0220000000008</v>
      </c>
      <c r="W70" s="7">
        <v>142823</v>
      </c>
    </row>
    <row r="71" spans="1:23" x14ac:dyDescent="0.25">
      <c r="A71" s="12">
        <v>1986</v>
      </c>
      <c r="B71" s="13">
        <v>30804.008000000002</v>
      </c>
      <c r="C71" s="13">
        <v>6324.7250000000004</v>
      </c>
      <c r="D71" s="13">
        <v>138662.891</v>
      </c>
      <c r="E71" s="13">
        <v>17855.986000000001</v>
      </c>
      <c r="F71" s="13">
        <v>6423.3540000000003</v>
      </c>
      <c r="G71" s="13">
        <v>8089.759</v>
      </c>
      <c r="H71" s="13">
        <v>4407.4840000000004</v>
      </c>
      <c r="I71" s="13">
        <v>6597.5709999999999</v>
      </c>
      <c r="J71" s="13">
        <v>30248.050999999999</v>
      </c>
      <c r="K71" s="13">
        <v>2781.6179999999999</v>
      </c>
      <c r="L71" s="13">
        <v>10194.874</v>
      </c>
      <c r="M71" s="13">
        <v>76909.346000000005</v>
      </c>
      <c r="N71" s="13">
        <v>3795.058</v>
      </c>
      <c r="O71" s="13">
        <v>2225.44</v>
      </c>
      <c r="P71" s="13">
        <v>3709.8670000000002</v>
      </c>
      <c r="Q71" s="13">
        <v>20041.466</v>
      </c>
      <c r="R71" s="13">
        <v>3409.8119999999999</v>
      </c>
      <c r="S71" s="13">
        <v>5032.0159999999996</v>
      </c>
      <c r="T71" s="13">
        <v>3031.9969999999998</v>
      </c>
      <c r="U71" s="13">
        <v>12447.163</v>
      </c>
      <c r="V71" s="13">
        <v>9438.9740000000002</v>
      </c>
      <c r="W71" s="7">
        <v>143835</v>
      </c>
    </row>
    <row r="72" spans="1:23" x14ac:dyDescent="0.25">
      <c r="A72" s="12">
        <v>1987</v>
      </c>
      <c r="B72" s="13">
        <v>31273.366000000002</v>
      </c>
      <c r="C72" s="13">
        <v>6463.0039999999999</v>
      </c>
      <c r="D72" s="13">
        <v>141413.48699999999</v>
      </c>
      <c r="E72" s="13">
        <v>18333.393</v>
      </c>
      <c r="F72" s="13">
        <v>6559.6750000000002</v>
      </c>
      <c r="G72" s="13">
        <v>8297.5759999999991</v>
      </c>
      <c r="H72" s="13">
        <v>4537.4840000000004</v>
      </c>
      <c r="I72" s="13">
        <v>6737.2160000000003</v>
      </c>
      <c r="J72" s="13">
        <v>30877.329000000002</v>
      </c>
      <c r="K72" s="13">
        <v>2857.1750000000002</v>
      </c>
      <c r="L72" s="13">
        <v>10292.445</v>
      </c>
      <c r="M72" s="13">
        <v>78436.316000000006</v>
      </c>
      <c r="N72" s="13">
        <v>3880.6370000000002</v>
      </c>
      <c r="O72" s="13">
        <v>2272.9279999999999</v>
      </c>
      <c r="P72" s="13">
        <v>3815.877</v>
      </c>
      <c r="Q72" s="13">
        <v>20499.830000000002</v>
      </c>
      <c r="R72" s="13">
        <v>3439.7890000000002</v>
      </c>
      <c r="S72" s="13">
        <v>5114.9449999999997</v>
      </c>
      <c r="T72" s="13">
        <v>3050.1019999999999</v>
      </c>
      <c r="U72" s="13">
        <v>12652.748</v>
      </c>
      <c r="V72" s="13">
        <v>9673.59</v>
      </c>
      <c r="W72" s="7">
        <v>145115</v>
      </c>
    </row>
    <row r="73" spans="1:23" x14ac:dyDescent="0.25">
      <c r="A73" s="12">
        <v>1988</v>
      </c>
      <c r="B73" s="13">
        <v>31747.909</v>
      </c>
      <c r="C73" s="13">
        <v>6605.1239999999998</v>
      </c>
      <c r="D73" s="13">
        <v>144119.37</v>
      </c>
      <c r="E73" s="13">
        <v>18815.91</v>
      </c>
      <c r="F73" s="13">
        <v>6698.4080000000004</v>
      </c>
      <c r="G73" s="13">
        <v>8511.6540000000005</v>
      </c>
      <c r="H73" s="13">
        <v>4670.0559999999996</v>
      </c>
      <c r="I73" s="13">
        <v>6878.1019999999999</v>
      </c>
      <c r="J73" s="13">
        <v>31513.723000000002</v>
      </c>
      <c r="K73" s="13">
        <v>2933.337</v>
      </c>
      <c r="L73" s="13">
        <v>10397.821</v>
      </c>
      <c r="M73" s="13">
        <v>79982.023000000001</v>
      </c>
      <c r="N73" s="13">
        <v>3967.1239999999998</v>
      </c>
      <c r="O73" s="13">
        <v>2320.5880000000002</v>
      </c>
      <c r="P73" s="13">
        <v>3923.701</v>
      </c>
      <c r="Q73" s="13">
        <v>20962.286</v>
      </c>
      <c r="R73" s="13">
        <v>3468.89</v>
      </c>
      <c r="S73" s="13">
        <v>5199.96</v>
      </c>
      <c r="T73" s="13">
        <v>3068.797</v>
      </c>
      <c r="U73" s="13">
        <v>12865.361999999999</v>
      </c>
      <c r="V73" s="13">
        <v>9907.6890000000003</v>
      </c>
      <c r="W73" s="7">
        <v>146343</v>
      </c>
    </row>
    <row r="74" spans="1:23" x14ac:dyDescent="0.25">
      <c r="A74" s="12">
        <v>1989</v>
      </c>
      <c r="B74" s="13">
        <v>32222.323</v>
      </c>
      <c r="C74" s="13">
        <v>6750.7650000000003</v>
      </c>
      <c r="D74" s="13">
        <v>146778.96100000001</v>
      </c>
      <c r="E74" s="13">
        <v>19299.082999999999</v>
      </c>
      <c r="F74" s="13">
        <v>6839.16</v>
      </c>
      <c r="G74" s="13">
        <v>8731.6959999999999</v>
      </c>
      <c r="H74" s="13">
        <v>4804.8969999999999</v>
      </c>
      <c r="I74" s="13">
        <v>7020.9870000000001</v>
      </c>
      <c r="J74" s="13">
        <v>32158.682000000001</v>
      </c>
      <c r="K74" s="13">
        <v>3010.4059999999999</v>
      </c>
      <c r="L74" s="13">
        <v>10502.76</v>
      </c>
      <c r="M74" s="13">
        <v>81536.66</v>
      </c>
      <c r="N74" s="13">
        <v>4056.8890000000001</v>
      </c>
      <c r="O74" s="13">
        <v>2368.817</v>
      </c>
      <c r="P74" s="13">
        <v>4032.636</v>
      </c>
      <c r="Q74" s="13">
        <v>21426.33</v>
      </c>
      <c r="R74" s="13">
        <v>3497.9470000000001</v>
      </c>
      <c r="S74" s="13">
        <v>5285.7920000000004</v>
      </c>
      <c r="T74" s="13">
        <v>3087.8429999999998</v>
      </c>
      <c r="U74" s="13">
        <v>13083.911</v>
      </c>
      <c r="V74" s="13">
        <v>10140.939</v>
      </c>
      <c r="W74" s="7">
        <v>147021.9</v>
      </c>
    </row>
    <row r="75" spans="1:23" x14ac:dyDescent="0.25">
      <c r="A75" s="12">
        <v>1990</v>
      </c>
      <c r="B75" s="13">
        <v>32691.35</v>
      </c>
      <c r="C75" s="13">
        <v>6899.4070000000002</v>
      </c>
      <c r="D75" s="13">
        <v>149393.88099999999</v>
      </c>
      <c r="E75" s="13">
        <v>19778.914000000001</v>
      </c>
      <c r="F75" s="13">
        <v>6981.4849999999997</v>
      </c>
      <c r="G75" s="13">
        <v>8957.5079999999998</v>
      </c>
      <c r="H75" s="13">
        <v>4942.1019999999999</v>
      </c>
      <c r="I75" s="13">
        <v>7165.3289999999997</v>
      </c>
      <c r="J75" s="13">
        <v>32813.156000000003</v>
      </c>
      <c r="K75" s="13">
        <v>3089.4319999999998</v>
      </c>
      <c r="L75" s="13">
        <v>10597.822</v>
      </c>
      <c r="M75" s="13">
        <v>83112.014999999999</v>
      </c>
      <c r="N75" s="13">
        <v>4150.2079999999996</v>
      </c>
      <c r="O75" s="13">
        <v>2418.2629999999999</v>
      </c>
      <c r="P75" s="13">
        <v>4141.6819999999998</v>
      </c>
      <c r="Q75" s="13">
        <v>21889.706999999999</v>
      </c>
      <c r="R75" s="13">
        <v>3527.7959999999998</v>
      </c>
      <c r="S75" s="13">
        <v>5372.0190000000002</v>
      </c>
      <c r="T75" s="13">
        <v>3107.1979999999999</v>
      </c>
      <c r="U75" s="13">
        <v>13308.155000000001</v>
      </c>
      <c r="V75" s="13">
        <v>10372.861999999999</v>
      </c>
      <c r="W75" s="7">
        <v>147665.1</v>
      </c>
    </row>
    <row r="76" spans="1:23" x14ac:dyDescent="0.25">
      <c r="A76" s="12">
        <v>1991</v>
      </c>
      <c r="B76" s="13">
        <v>33152.957999999999</v>
      </c>
      <c r="C76" s="13">
        <v>7051.9120000000003</v>
      </c>
      <c r="D76" s="13">
        <v>151941.899</v>
      </c>
      <c r="E76" s="13">
        <v>20254.891</v>
      </c>
      <c r="F76" s="13">
        <v>7124.49</v>
      </c>
      <c r="G76" s="13">
        <v>9185.6239999999998</v>
      </c>
      <c r="H76" s="13">
        <v>5082.2280000000001</v>
      </c>
      <c r="I76" s="13">
        <v>7310.2969999999996</v>
      </c>
      <c r="J76" s="13">
        <v>33465.180999999997</v>
      </c>
      <c r="K76" s="13">
        <v>3170.8719999999998</v>
      </c>
      <c r="L76" s="13">
        <v>10678.572</v>
      </c>
      <c r="M76" s="13">
        <v>84724.630999999994</v>
      </c>
      <c r="N76" s="13">
        <v>4248.28</v>
      </c>
      <c r="O76" s="13">
        <v>2469.1210000000001</v>
      </c>
      <c r="P76" s="13">
        <v>4250.9930000000004</v>
      </c>
      <c r="Q76" s="13">
        <v>22343.789000000001</v>
      </c>
      <c r="R76" s="13">
        <v>3558.9430000000002</v>
      </c>
      <c r="S76" s="13">
        <v>5459.9279999999999</v>
      </c>
      <c r="T76" s="13">
        <v>3127.2350000000001</v>
      </c>
      <c r="U76" s="13">
        <v>13539.44</v>
      </c>
      <c r="V76" s="13">
        <v>10603.11</v>
      </c>
      <c r="W76" s="7">
        <v>148273.70000000001</v>
      </c>
    </row>
    <row r="77" spans="1:23" x14ac:dyDescent="0.25">
      <c r="A77" s="12">
        <v>1992</v>
      </c>
      <c r="B77" s="13">
        <v>33608.012999999999</v>
      </c>
      <c r="C77" s="13">
        <v>7207.3980000000001</v>
      </c>
      <c r="D77" s="13">
        <v>154440.25700000001</v>
      </c>
      <c r="E77" s="13">
        <v>20728.285</v>
      </c>
      <c r="F77" s="13">
        <v>7267.6049999999996</v>
      </c>
      <c r="G77" s="13">
        <v>9417.3870000000006</v>
      </c>
      <c r="H77" s="13">
        <v>5225.5</v>
      </c>
      <c r="I77" s="13">
        <v>7455.4390000000003</v>
      </c>
      <c r="J77" s="13">
        <v>34119.9</v>
      </c>
      <c r="K77" s="13">
        <v>3254.2</v>
      </c>
      <c r="L77" s="13">
        <v>10747.915999999999</v>
      </c>
      <c r="M77" s="13">
        <v>86359.78</v>
      </c>
      <c r="N77" s="13">
        <v>4350.1260000000002</v>
      </c>
      <c r="O77" s="13">
        <v>2520.9</v>
      </c>
      <c r="P77" s="13">
        <v>4360.7219999999998</v>
      </c>
      <c r="Q77" s="13">
        <v>22793.061000000002</v>
      </c>
      <c r="R77" s="13">
        <v>3590.8359999999998</v>
      </c>
      <c r="S77" s="13">
        <v>5549.3389999999999</v>
      </c>
      <c r="T77" s="13">
        <v>3147.5740000000001</v>
      </c>
      <c r="U77" s="13">
        <v>13775.018</v>
      </c>
      <c r="V77" s="13">
        <v>10833.441000000001</v>
      </c>
      <c r="W77" s="7">
        <v>148514.70000000001</v>
      </c>
    </row>
    <row r="78" spans="1:23" x14ac:dyDescent="0.25">
      <c r="A78" s="12">
        <v>1993</v>
      </c>
      <c r="B78" s="13">
        <v>34059.300000000003</v>
      </c>
      <c r="C78" s="13">
        <v>7364.2809999999999</v>
      </c>
      <c r="D78" s="13">
        <v>156906.40599999999</v>
      </c>
      <c r="E78" s="13">
        <v>21199.337</v>
      </c>
      <c r="F78" s="13">
        <v>7411.1469999999999</v>
      </c>
      <c r="G78" s="13">
        <v>9655.6170000000002</v>
      </c>
      <c r="H78" s="13">
        <v>5371.0469999999996</v>
      </c>
      <c r="I78" s="13">
        <v>7600.4309999999996</v>
      </c>
      <c r="J78" s="13">
        <v>34785.040999999997</v>
      </c>
      <c r="K78" s="13">
        <v>3338.7979999999998</v>
      </c>
      <c r="L78" s="13">
        <v>10807.873</v>
      </c>
      <c r="M78" s="13">
        <v>88000.918000000005</v>
      </c>
      <c r="N78" s="13">
        <v>4452.92</v>
      </c>
      <c r="O78" s="13">
        <v>2573.6930000000002</v>
      </c>
      <c r="P78" s="13">
        <v>4470.4859999999999</v>
      </c>
      <c r="Q78" s="13">
        <v>23243.138999999999</v>
      </c>
      <c r="R78" s="13">
        <v>3622.723</v>
      </c>
      <c r="S78" s="13">
        <v>5630.7860000000001</v>
      </c>
      <c r="T78" s="13">
        <v>3167.768</v>
      </c>
      <c r="U78" s="13">
        <v>14009.892</v>
      </c>
      <c r="V78" s="13">
        <v>11060.306</v>
      </c>
      <c r="W78" s="7">
        <v>148561.70000000001</v>
      </c>
    </row>
    <row r="79" spans="1:23" x14ac:dyDescent="0.25">
      <c r="A79" s="12">
        <v>1994</v>
      </c>
      <c r="B79" s="13">
        <v>34508.803999999996</v>
      </c>
      <c r="C79" s="13">
        <v>7521.5749999999998</v>
      </c>
      <c r="D79" s="13">
        <v>159349.39799999999</v>
      </c>
      <c r="E79" s="13">
        <v>21668.289000000001</v>
      </c>
      <c r="F79" s="13">
        <v>7554.933</v>
      </c>
      <c r="G79" s="13">
        <v>9899.4840000000004</v>
      </c>
      <c r="H79" s="13">
        <v>5518.0460000000003</v>
      </c>
      <c r="I79" s="13">
        <v>7744.9009999999998</v>
      </c>
      <c r="J79" s="13">
        <v>35454.080999999998</v>
      </c>
      <c r="K79" s="13">
        <v>3424.145</v>
      </c>
      <c r="L79" s="13">
        <v>10859.558999999999</v>
      </c>
      <c r="M79" s="13">
        <v>89636.798999999999</v>
      </c>
      <c r="N79" s="13">
        <v>4554.1840000000002</v>
      </c>
      <c r="O79" s="13">
        <v>2627.24</v>
      </c>
      <c r="P79" s="13">
        <v>4580.0519999999997</v>
      </c>
      <c r="Q79" s="13">
        <v>23691.484</v>
      </c>
      <c r="R79" s="13">
        <v>3653.8490000000002</v>
      </c>
      <c r="S79" s="13">
        <v>5698.3040000000001</v>
      </c>
      <c r="T79" s="13">
        <v>3187.6709999999998</v>
      </c>
      <c r="U79" s="13">
        <v>14240.019</v>
      </c>
      <c r="V79" s="13">
        <v>11280.001</v>
      </c>
      <c r="W79" s="7">
        <v>148355.9</v>
      </c>
    </row>
    <row r="80" spans="1:23" x14ac:dyDescent="0.25">
      <c r="A80" s="12">
        <v>1995</v>
      </c>
      <c r="B80" s="13">
        <v>34952.758999999998</v>
      </c>
      <c r="C80" s="13">
        <v>7678.1970000000001</v>
      </c>
      <c r="D80" s="13">
        <v>161811.58499999999</v>
      </c>
      <c r="E80" s="13">
        <v>22136.031999999999</v>
      </c>
      <c r="F80" s="13">
        <v>7699.58</v>
      </c>
      <c r="G80" s="13">
        <v>10148.357</v>
      </c>
      <c r="H80" s="13">
        <v>5665.7749999999996</v>
      </c>
      <c r="I80" s="13">
        <v>7887.875</v>
      </c>
      <c r="J80" s="13">
        <v>36120.550000000003</v>
      </c>
      <c r="K80" s="13">
        <v>3509.8220000000001</v>
      </c>
      <c r="L80" s="13">
        <v>10904.994000000001</v>
      </c>
      <c r="M80" s="13">
        <v>91256.13</v>
      </c>
      <c r="N80" s="13">
        <v>4651.1930000000002</v>
      </c>
      <c r="O80" s="13">
        <v>2681.4349999999999</v>
      </c>
      <c r="P80" s="13">
        <v>4689.3890000000001</v>
      </c>
      <c r="Q80" s="13">
        <v>24137.712</v>
      </c>
      <c r="R80" s="13">
        <v>3683.462</v>
      </c>
      <c r="S80" s="13">
        <v>5755.1260000000002</v>
      </c>
      <c r="T80" s="13">
        <v>3206.9360000000001</v>
      </c>
      <c r="U80" s="13">
        <v>14461.402</v>
      </c>
      <c r="V80" s="13">
        <v>11493.578</v>
      </c>
      <c r="W80" s="7">
        <v>148459.9</v>
      </c>
    </row>
    <row r="81" spans="1:23" x14ac:dyDescent="0.25">
      <c r="A81" s="12">
        <v>1996</v>
      </c>
      <c r="B81" s="13">
        <v>35388.803</v>
      </c>
      <c r="C81" s="13">
        <v>7834.241</v>
      </c>
      <c r="D81" s="13">
        <v>164303.05900000001</v>
      </c>
      <c r="E81" s="13">
        <v>22603.282999999999</v>
      </c>
      <c r="F81" s="13">
        <v>7846.0510000000004</v>
      </c>
      <c r="G81" s="13">
        <v>10399.498</v>
      </c>
      <c r="H81" s="13">
        <v>5813.5640000000003</v>
      </c>
      <c r="I81" s="13">
        <v>8028.6120000000001</v>
      </c>
      <c r="J81" s="13">
        <v>36780.086000000003</v>
      </c>
      <c r="K81" s="13">
        <v>3596.6410000000001</v>
      </c>
      <c r="L81" s="13">
        <v>10946.235000000001</v>
      </c>
      <c r="M81" s="13">
        <v>92863.759000000005</v>
      </c>
      <c r="N81" s="13">
        <v>4742.0169999999998</v>
      </c>
      <c r="O81" s="13">
        <v>2736.3510000000001</v>
      </c>
      <c r="P81" s="13">
        <v>4798.2470000000003</v>
      </c>
      <c r="Q81" s="13">
        <v>24580.722000000002</v>
      </c>
      <c r="R81" s="13">
        <v>3711.8879999999999</v>
      </c>
      <c r="S81" s="13">
        <v>5803.0640000000003</v>
      </c>
      <c r="T81" s="13">
        <v>3226.9740000000002</v>
      </c>
      <c r="U81" s="13">
        <v>14673.285</v>
      </c>
      <c r="V81" s="13">
        <v>11702.191999999999</v>
      </c>
      <c r="W81" s="7">
        <v>148291.6</v>
      </c>
    </row>
    <row r="82" spans="1:23" x14ac:dyDescent="0.25">
      <c r="A82" s="12">
        <v>1997</v>
      </c>
      <c r="B82" s="13">
        <v>35819.019999999997</v>
      </c>
      <c r="C82" s="13">
        <v>7990.2690000000002</v>
      </c>
      <c r="D82" s="13">
        <v>166809.215</v>
      </c>
      <c r="E82" s="13">
        <v>23070.517</v>
      </c>
      <c r="F82" s="13">
        <v>7993.9059999999999</v>
      </c>
      <c r="G82" s="13">
        <v>10654.433000000001</v>
      </c>
      <c r="H82" s="13">
        <v>5961.5420000000004</v>
      </c>
      <c r="I82" s="13">
        <v>8166.5439999999999</v>
      </c>
      <c r="J82" s="13">
        <v>37442.339</v>
      </c>
      <c r="K82" s="13">
        <v>3684.42</v>
      </c>
      <c r="L82" s="13">
        <v>10985.183999999999</v>
      </c>
      <c r="M82" s="13">
        <v>94463.58</v>
      </c>
      <c r="N82" s="13">
        <v>4827.8040000000001</v>
      </c>
      <c r="O82" s="13">
        <v>2792.3119999999999</v>
      </c>
      <c r="P82" s="13">
        <v>4906.634</v>
      </c>
      <c r="Q82" s="13">
        <v>25023.495999999999</v>
      </c>
      <c r="R82" s="13">
        <v>3739.7069999999999</v>
      </c>
      <c r="S82" s="13">
        <v>5846.3559999999998</v>
      </c>
      <c r="T82" s="13">
        <v>3248.0120000000002</v>
      </c>
      <c r="U82" s="13">
        <v>14877.108</v>
      </c>
      <c r="V82" s="13">
        <v>11906.539000000001</v>
      </c>
      <c r="W82" s="7">
        <v>148028.6</v>
      </c>
    </row>
    <row r="83" spans="1:23" x14ac:dyDescent="0.25">
      <c r="A83" s="12">
        <v>1998</v>
      </c>
      <c r="B83" s="13">
        <v>36241.235999999997</v>
      </c>
      <c r="C83" s="13">
        <v>8146.424</v>
      </c>
      <c r="D83" s="13">
        <v>169336.785</v>
      </c>
      <c r="E83" s="13">
        <v>23537.363000000001</v>
      </c>
      <c r="F83" s="13">
        <v>8142.4260000000004</v>
      </c>
      <c r="G83" s="13">
        <v>10915.925999999999</v>
      </c>
      <c r="H83" s="13">
        <v>6106.607</v>
      </c>
      <c r="I83" s="13">
        <v>8301.4879999999994</v>
      </c>
      <c r="J83" s="13">
        <v>38112.000999999997</v>
      </c>
      <c r="K83" s="13">
        <v>3771.18</v>
      </c>
      <c r="L83" s="13">
        <v>11022.644</v>
      </c>
      <c r="M83" s="13">
        <v>96043.921000000002</v>
      </c>
      <c r="N83" s="13">
        <v>4909.2790000000005</v>
      </c>
      <c r="O83" s="13">
        <v>2848.9780000000001</v>
      </c>
      <c r="P83" s="13">
        <v>5014.3689999999997</v>
      </c>
      <c r="Q83" s="13">
        <v>25464.392</v>
      </c>
      <c r="R83" s="13">
        <v>3766.54</v>
      </c>
      <c r="S83" s="13">
        <v>5885.4750000000004</v>
      </c>
      <c r="T83" s="13">
        <v>3267.5819999999999</v>
      </c>
      <c r="U83" s="13">
        <v>15075.942999999999</v>
      </c>
      <c r="V83" s="13">
        <v>12107.120999999999</v>
      </c>
      <c r="W83" s="7">
        <v>147802.1</v>
      </c>
    </row>
    <row r="84" spans="1:23" x14ac:dyDescent="0.25">
      <c r="A84" s="12">
        <v>1999</v>
      </c>
      <c r="B84" s="13">
        <v>36655.627999999997</v>
      </c>
      <c r="C84" s="13">
        <v>8303.5949999999993</v>
      </c>
      <c r="D84" s="13">
        <v>171841.49600000001</v>
      </c>
      <c r="E84" s="13">
        <v>24001.948</v>
      </c>
      <c r="F84" s="13">
        <v>8291.2939999999999</v>
      </c>
      <c r="G84" s="13">
        <v>11182.941999999999</v>
      </c>
      <c r="H84" s="13">
        <v>6253.4089999999997</v>
      </c>
      <c r="I84" s="13">
        <v>8436.11</v>
      </c>
      <c r="J84" s="13">
        <v>38777.063999999998</v>
      </c>
      <c r="K84" s="13">
        <v>3855.0909999999999</v>
      </c>
      <c r="L84" s="13">
        <v>11058.52</v>
      </c>
      <c r="M84" s="13">
        <v>97590.008000000002</v>
      </c>
      <c r="N84" s="13">
        <v>4987.0129999999999</v>
      </c>
      <c r="O84" s="13">
        <v>2906.11</v>
      </c>
      <c r="P84" s="13">
        <v>5120.9229999999998</v>
      </c>
      <c r="Q84" s="13">
        <v>25893.17</v>
      </c>
      <c r="R84" s="13">
        <v>3792.01</v>
      </c>
      <c r="S84" s="13">
        <v>5920.4939999999997</v>
      </c>
      <c r="T84" s="13">
        <v>3283.6149999999998</v>
      </c>
      <c r="U84" s="13">
        <v>15269.816999999999</v>
      </c>
      <c r="V84" s="13">
        <v>12303.994000000001</v>
      </c>
      <c r="W84" s="7">
        <v>147539.4</v>
      </c>
    </row>
    <row r="85" spans="1:23" x14ac:dyDescent="0.25">
      <c r="A85" s="12">
        <v>2000</v>
      </c>
      <c r="B85" s="13">
        <v>37059.972999999998</v>
      </c>
      <c r="C85" s="13">
        <v>8461.4740000000002</v>
      </c>
      <c r="D85" s="13">
        <v>174262.179</v>
      </c>
      <c r="E85" s="13">
        <v>24464.101999999999</v>
      </c>
      <c r="F85" s="13">
        <v>8440.6919999999991</v>
      </c>
      <c r="G85" s="13">
        <v>11450.695</v>
      </c>
      <c r="H85" s="13">
        <v>6406.6980000000003</v>
      </c>
      <c r="I85" s="13">
        <v>8572.2270000000008</v>
      </c>
      <c r="J85" s="13">
        <v>39426.421000000002</v>
      </c>
      <c r="K85" s="13">
        <v>3933.4740000000002</v>
      </c>
      <c r="L85" s="13">
        <v>11092.166999999999</v>
      </c>
      <c r="M85" s="13">
        <v>99078.02</v>
      </c>
      <c r="N85" s="13">
        <v>5061.7790000000005</v>
      </c>
      <c r="O85" s="13">
        <v>2963.471</v>
      </c>
      <c r="P85" s="13">
        <v>5224.9679999999998</v>
      </c>
      <c r="Q85" s="13">
        <v>26297.437999999998</v>
      </c>
      <c r="R85" s="13">
        <v>3815.739</v>
      </c>
      <c r="S85" s="13">
        <v>5951.2349999999997</v>
      </c>
      <c r="T85" s="13">
        <v>3293.5909999999999</v>
      </c>
      <c r="U85" s="13">
        <v>15457.552</v>
      </c>
      <c r="V85" s="13">
        <v>12497.109</v>
      </c>
      <c r="W85" s="7">
        <v>146890.1</v>
      </c>
    </row>
    <row r="86" spans="1:23" x14ac:dyDescent="0.25">
      <c r="A86" s="12">
        <v>2001</v>
      </c>
      <c r="B86" s="13">
        <v>37449.665999999997</v>
      </c>
      <c r="C86" s="13">
        <v>8620.3520000000008</v>
      </c>
      <c r="D86" s="13">
        <v>176621.41</v>
      </c>
      <c r="E86" s="13">
        <v>24979.9</v>
      </c>
      <c r="F86" s="13">
        <v>8588.893</v>
      </c>
      <c r="G86" s="13">
        <v>11723.785</v>
      </c>
      <c r="H86" s="13">
        <v>6562.05</v>
      </c>
      <c r="I86" s="13">
        <v>8707.9419999999991</v>
      </c>
      <c r="J86" s="13">
        <v>40066.012999999999</v>
      </c>
      <c r="K86" s="13">
        <v>4005.8209999999999</v>
      </c>
      <c r="L86" s="13">
        <v>11124.285</v>
      </c>
      <c r="M86" s="13">
        <v>100497.31</v>
      </c>
      <c r="N86" s="13">
        <v>5132.2709999999997</v>
      </c>
      <c r="O86" s="13">
        <v>3020.9969999999998</v>
      </c>
      <c r="P86" s="13">
        <v>5323.68</v>
      </c>
      <c r="Q86" s="13">
        <v>26672.735000000001</v>
      </c>
      <c r="R86" s="13">
        <v>3837.915</v>
      </c>
      <c r="S86" s="13">
        <v>5976.9139999999998</v>
      </c>
      <c r="T86" s="13">
        <v>3298.2730000000001</v>
      </c>
      <c r="U86" s="13">
        <v>15640.251</v>
      </c>
      <c r="V86" s="13">
        <v>12688.124</v>
      </c>
      <c r="W86" s="5">
        <v>146303.6</v>
      </c>
    </row>
    <row r="87" spans="1:23" x14ac:dyDescent="0.25">
      <c r="A87" s="12">
        <v>2002</v>
      </c>
      <c r="B87" s="13">
        <v>37828.108999999997</v>
      </c>
      <c r="C87" s="13">
        <v>8780.8799999999992</v>
      </c>
      <c r="D87" s="13">
        <v>178937.81</v>
      </c>
      <c r="E87" s="13">
        <v>25435.7</v>
      </c>
      <c r="F87" s="13">
        <v>8735.3169999999991</v>
      </c>
      <c r="G87" s="13">
        <v>12006.165999999999</v>
      </c>
      <c r="H87" s="13">
        <v>6717.8739999999998</v>
      </c>
      <c r="I87" s="13">
        <v>8841.7960000000003</v>
      </c>
      <c r="J87" s="13">
        <v>40702.618000000002</v>
      </c>
      <c r="K87" s="13">
        <v>4073.6</v>
      </c>
      <c r="L87" s="13">
        <v>11155.361000000001</v>
      </c>
      <c r="M87" s="13">
        <v>101867.315</v>
      </c>
      <c r="N87" s="13">
        <v>5199.0140000000001</v>
      </c>
      <c r="O87" s="13">
        <v>3078.9490000000001</v>
      </c>
      <c r="P87" s="13">
        <v>5415.9139999999998</v>
      </c>
      <c r="Q87" s="13">
        <v>27022</v>
      </c>
      <c r="R87" s="13">
        <v>3858.9749999999999</v>
      </c>
      <c r="S87" s="13">
        <v>5997.366</v>
      </c>
      <c r="T87" s="13">
        <v>3300.9250000000002</v>
      </c>
      <c r="U87" s="13">
        <v>15816.786</v>
      </c>
      <c r="V87" s="13">
        <v>12878.72</v>
      </c>
      <c r="W87" s="5">
        <v>145649.29999999999</v>
      </c>
    </row>
    <row r="88" spans="1:23" x14ac:dyDescent="0.25">
      <c r="A88" s="12">
        <v>2003</v>
      </c>
      <c r="B88" s="13">
        <v>38196.936999999998</v>
      </c>
      <c r="C88" s="13">
        <v>8943.1360000000004</v>
      </c>
      <c r="D88" s="13">
        <v>181185.769</v>
      </c>
      <c r="E88" s="13">
        <v>25892.7</v>
      </c>
      <c r="F88" s="13">
        <v>8881.9429999999993</v>
      </c>
      <c r="G88" s="13">
        <v>12294.385</v>
      </c>
      <c r="H88" s="13">
        <v>6873.9350000000004</v>
      </c>
      <c r="I88" s="13">
        <v>8973.9069999999992</v>
      </c>
      <c r="J88" s="13">
        <v>41337.057000000001</v>
      </c>
      <c r="K88" s="13">
        <v>4137.8670000000002</v>
      </c>
      <c r="L88" s="13">
        <v>11184.156000000001</v>
      </c>
      <c r="M88" s="13">
        <v>103206.43399999999</v>
      </c>
      <c r="N88" s="13">
        <v>5264.0290000000005</v>
      </c>
      <c r="O88" s="13">
        <v>3137.268</v>
      </c>
      <c r="P88" s="13">
        <v>5503.9769999999999</v>
      </c>
      <c r="Q88" s="13">
        <v>27351.370999999999</v>
      </c>
      <c r="R88" s="13">
        <v>3878.91</v>
      </c>
      <c r="S88" s="13">
        <v>6013.5889999999999</v>
      </c>
      <c r="T88" s="13">
        <v>3302.328</v>
      </c>
      <c r="U88" s="13">
        <v>15987.558999999999</v>
      </c>
      <c r="V88" s="13">
        <v>13069.914000000001</v>
      </c>
      <c r="W88" s="5">
        <v>144963.6</v>
      </c>
    </row>
    <row r="89" spans="1:23" x14ac:dyDescent="0.25">
      <c r="A89" s="12">
        <v>2004</v>
      </c>
      <c r="B89" s="13">
        <v>38562.436999999998</v>
      </c>
      <c r="C89" s="13">
        <v>9106.902</v>
      </c>
      <c r="D89" s="13">
        <v>183349.08</v>
      </c>
      <c r="E89" s="13">
        <v>26340.799999999999</v>
      </c>
      <c r="F89" s="13">
        <v>9028.7019999999993</v>
      </c>
      <c r="G89" s="13">
        <v>12587.793</v>
      </c>
      <c r="H89" s="13">
        <v>7030.701</v>
      </c>
      <c r="I89" s="13">
        <v>9103.7430000000004</v>
      </c>
      <c r="J89" s="13">
        <v>41967.404000000002</v>
      </c>
      <c r="K89" s="13">
        <v>4200.2780000000002</v>
      </c>
      <c r="L89" s="13">
        <v>11208.582</v>
      </c>
      <c r="M89" s="13">
        <v>104533.519</v>
      </c>
      <c r="N89" s="13">
        <v>5329.1859999999997</v>
      </c>
      <c r="O89" s="13">
        <v>3195.998</v>
      </c>
      <c r="P89" s="13">
        <v>5590.4279999999999</v>
      </c>
      <c r="Q89" s="13">
        <v>27666.633000000002</v>
      </c>
      <c r="R89" s="13">
        <v>3897.7139999999999</v>
      </c>
      <c r="S89" s="13">
        <v>6027.03</v>
      </c>
      <c r="T89" s="13">
        <v>3303.6149999999998</v>
      </c>
      <c r="U89" s="13">
        <v>16154.921</v>
      </c>
      <c r="V89" s="13">
        <v>13261.174000000001</v>
      </c>
      <c r="W89" s="5">
        <v>144333.6</v>
      </c>
    </row>
    <row r="90" spans="1:23" x14ac:dyDescent="0.25">
      <c r="A90" s="12">
        <v>2005</v>
      </c>
      <c r="B90" s="13">
        <v>38934.195</v>
      </c>
      <c r="C90" s="13">
        <v>9271.4079999999994</v>
      </c>
      <c r="D90" s="13">
        <v>185417.084</v>
      </c>
      <c r="E90" s="13">
        <v>26785.8</v>
      </c>
      <c r="F90" s="13">
        <v>9178.0249999999996</v>
      </c>
      <c r="G90" s="13">
        <v>12883.036</v>
      </c>
      <c r="H90" s="13">
        <v>7188.6409999999996</v>
      </c>
      <c r="I90" s="13">
        <v>9231.0229999999992</v>
      </c>
      <c r="J90" s="13">
        <v>42587.281000000003</v>
      </c>
      <c r="K90" s="13">
        <v>4262.3389999999999</v>
      </c>
      <c r="L90" s="13">
        <v>11225.700999999999</v>
      </c>
      <c r="M90" s="13">
        <v>105872.82</v>
      </c>
      <c r="N90" s="13">
        <v>5398.7039999999997</v>
      </c>
      <c r="O90" s="13">
        <v>3254.8310000000001</v>
      </c>
      <c r="P90" s="13">
        <v>5675.924</v>
      </c>
      <c r="Q90" s="13">
        <v>27967.171999999999</v>
      </c>
      <c r="R90" s="13">
        <v>3915.3789999999999</v>
      </c>
      <c r="S90" s="13">
        <v>6039.19</v>
      </c>
      <c r="T90" s="13">
        <v>3305.569</v>
      </c>
      <c r="U90" s="13">
        <v>16321.523999999999</v>
      </c>
      <c r="V90" s="13">
        <v>13452.918</v>
      </c>
      <c r="W90" s="5">
        <v>143801</v>
      </c>
    </row>
    <row r="91" spans="1:23" x14ac:dyDescent="0.25">
      <c r="A91" s="12">
        <v>2006</v>
      </c>
      <c r="B91" s="13">
        <v>39309.305</v>
      </c>
      <c r="C91" s="13">
        <v>9437.4840000000004</v>
      </c>
      <c r="D91" s="13">
        <v>187384.149</v>
      </c>
      <c r="E91" s="13">
        <v>27224.7</v>
      </c>
      <c r="F91" s="13">
        <v>9332.2279999999992</v>
      </c>
      <c r="G91" s="13">
        <v>13181.115</v>
      </c>
      <c r="H91" s="13">
        <v>7347.6760000000004</v>
      </c>
      <c r="I91" s="13">
        <v>9356.1589999999997</v>
      </c>
      <c r="J91" s="13">
        <v>43195.983999999997</v>
      </c>
      <c r="K91" s="13">
        <v>4323.7929999999997</v>
      </c>
      <c r="L91" s="13">
        <v>11235.83</v>
      </c>
      <c r="M91" s="13">
        <v>107240.298</v>
      </c>
      <c r="N91" s="13">
        <v>5472.2830000000004</v>
      </c>
      <c r="O91" s="13">
        <v>3313.7260000000001</v>
      </c>
      <c r="P91" s="13">
        <v>5760.0429999999997</v>
      </c>
      <c r="Q91" s="13">
        <v>28250.026000000002</v>
      </c>
      <c r="R91" s="13">
        <v>3932.0940000000001</v>
      </c>
      <c r="S91" s="13">
        <v>6050.6319999999996</v>
      </c>
      <c r="T91" s="13">
        <v>3309.5889999999999</v>
      </c>
      <c r="U91" s="13">
        <v>16487.484</v>
      </c>
      <c r="V91" s="13">
        <v>13645.008</v>
      </c>
      <c r="W91" s="5">
        <v>143236.6</v>
      </c>
    </row>
    <row r="92" spans="1:23" x14ac:dyDescent="0.25">
      <c r="A92" s="12">
        <v>2007</v>
      </c>
      <c r="B92" s="13">
        <v>39678.112999999998</v>
      </c>
      <c r="C92" s="13">
        <v>9605.0149999999994</v>
      </c>
      <c r="D92" s="13">
        <v>189264.326</v>
      </c>
      <c r="E92" s="13">
        <v>27649.4</v>
      </c>
      <c r="F92" s="13">
        <v>9489.1530000000002</v>
      </c>
      <c r="G92" s="13">
        <v>13485.556</v>
      </c>
      <c r="H92" s="13">
        <v>7507.8770000000004</v>
      </c>
      <c r="I92" s="13">
        <v>9480.41</v>
      </c>
      <c r="J92" s="13">
        <v>43796.351999999999</v>
      </c>
      <c r="K92" s="13">
        <v>4384.1030000000001</v>
      </c>
      <c r="L92" s="13">
        <v>11241.733</v>
      </c>
      <c r="M92" s="13">
        <v>108652.004</v>
      </c>
      <c r="N92" s="13">
        <v>5546.2259999999997</v>
      </c>
      <c r="O92" s="13">
        <v>3372.8710000000001</v>
      </c>
      <c r="P92" s="13">
        <v>5842.9160000000002</v>
      </c>
      <c r="Q92" s="13">
        <v>28519.379000000001</v>
      </c>
      <c r="R92" s="13">
        <v>3948.0050000000001</v>
      </c>
      <c r="S92" s="13">
        <v>6068.1679999999997</v>
      </c>
      <c r="T92" s="13">
        <v>3316.7759999999998</v>
      </c>
      <c r="U92" s="13">
        <v>16653.737000000001</v>
      </c>
      <c r="V92" s="13">
        <v>13836.892</v>
      </c>
      <c r="W92" s="5">
        <v>142862.70000000001</v>
      </c>
    </row>
    <row r="93" spans="1:23" x14ac:dyDescent="0.25">
      <c r="A93" s="12">
        <v>2008</v>
      </c>
      <c r="B93" s="13">
        <v>40052.910000000003</v>
      </c>
      <c r="C93" s="13">
        <v>9772.482</v>
      </c>
      <c r="D93" s="13">
        <v>191060.48699999999</v>
      </c>
      <c r="E93" s="13">
        <v>28053.7</v>
      </c>
      <c r="F93" s="13">
        <v>9647.9230000000007</v>
      </c>
      <c r="G93" s="13">
        <v>13793.047</v>
      </c>
      <c r="H93" s="13">
        <v>7669.0780000000004</v>
      </c>
      <c r="I93" s="13">
        <v>9605.6859999999997</v>
      </c>
      <c r="J93" s="13">
        <v>44385.118000000002</v>
      </c>
      <c r="K93" s="13">
        <v>4444.2150000000001</v>
      </c>
      <c r="L93" s="13">
        <v>11245.171</v>
      </c>
      <c r="M93" s="13">
        <v>110101.59699999999</v>
      </c>
      <c r="N93" s="13">
        <v>5621.0110000000004</v>
      </c>
      <c r="O93" s="13">
        <v>3432.2289999999998</v>
      </c>
      <c r="P93" s="13">
        <v>5925.7219999999998</v>
      </c>
      <c r="Q93" s="13">
        <v>28777.284</v>
      </c>
      <c r="R93" s="13">
        <v>3963.04</v>
      </c>
      <c r="S93" s="13">
        <v>6092.4139999999998</v>
      </c>
      <c r="T93" s="13">
        <v>3325.9250000000002</v>
      </c>
      <c r="U93" s="13">
        <v>16821.57</v>
      </c>
      <c r="V93" s="13">
        <v>14030.231</v>
      </c>
      <c r="W93" s="5">
        <v>142747.5</v>
      </c>
    </row>
    <row r="94" spans="1:23" x14ac:dyDescent="0.25">
      <c r="A94" s="12">
        <v>2009</v>
      </c>
      <c r="B94" s="13">
        <v>40439.788</v>
      </c>
      <c r="C94" s="13">
        <v>9939.7170000000006</v>
      </c>
      <c r="D94" s="13">
        <v>192775.65</v>
      </c>
      <c r="E94" s="13">
        <v>28438.3</v>
      </c>
      <c r="F94" s="13">
        <v>9808.2080000000005</v>
      </c>
      <c r="G94" s="13">
        <v>14102.474</v>
      </c>
      <c r="H94" s="13">
        <v>7830.866</v>
      </c>
      <c r="I94" s="13">
        <v>9732.5460000000003</v>
      </c>
      <c r="J94" s="13">
        <v>44965.665000000001</v>
      </c>
      <c r="K94" s="13">
        <v>4503.3720000000003</v>
      </c>
      <c r="L94" s="13">
        <v>11247.648999999999</v>
      </c>
      <c r="M94" s="13">
        <v>111555.539</v>
      </c>
      <c r="N94" s="13">
        <v>5697.0649999999996</v>
      </c>
      <c r="O94" s="13">
        <v>3491.759</v>
      </c>
      <c r="P94" s="13">
        <v>6010.0919999999996</v>
      </c>
      <c r="Q94" s="13">
        <v>29029.898000000001</v>
      </c>
      <c r="R94" s="13">
        <v>3977.1289999999999</v>
      </c>
      <c r="S94" s="13">
        <v>6117.1350000000002</v>
      </c>
      <c r="T94" s="13">
        <v>3335.9760000000001</v>
      </c>
      <c r="U94" s="13">
        <v>16989.919000000002</v>
      </c>
      <c r="V94" s="13">
        <v>14226.585999999999</v>
      </c>
      <c r="W94" s="5">
        <v>142737.20000000001</v>
      </c>
    </row>
    <row r="95" spans="1:23" x14ac:dyDescent="0.25">
      <c r="A95" s="12">
        <v>2010</v>
      </c>
      <c r="B95" s="13">
        <v>40829.337</v>
      </c>
      <c r="C95" s="13">
        <v>10106.653</v>
      </c>
      <c r="D95" s="13">
        <v>194427.636</v>
      </c>
      <c r="E95" s="13">
        <v>28813.1</v>
      </c>
      <c r="F95" s="13">
        <v>9946.2289999999994</v>
      </c>
      <c r="G95" s="13">
        <v>14416.924000000001</v>
      </c>
      <c r="H95" s="13">
        <v>7992.5770000000002</v>
      </c>
      <c r="I95" s="13">
        <v>9859.5490000000009</v>
      </c>
      <c r="J95" s="13">
        <v>45538.175999999999</v>
      </c>
      <c r="K95" s="13">
        <v>4559.7700000000004</v>
      </c>
      <c r="L95" s="13">
        <v>11250.078</v>
      </c>
      <c r="M95" s="13">
        <v>112993.791</v>
      </c>
      <c r="N95" s="13">
        <v>5775.2160000000003</v>
      </c>
      <c r="O95" s="13">
        <v>3551.174</v>
      </c>
      <c r="P95" s="13">
        <v>6098.8090000000002</v>
      </c>
      <c r="Q95" s="13">
        <v>29290.626</v>
      </c>
      <c r="R95" s="13">
        <v>3990.1990000000001</v>
      </c>
      <c r="S95" s="13">
        <v>6143.0469999999996</v>
      </c>
      <c r="T95" s="13">
        <v>3345.922</v>
      </c>
      <c r="U95" s="13">
        <v>17157.471000000001</v>
      </c>
      <c r="V95" s="13">
        <v>14424.92</v>
      </c>
      <c r="W95" s="5">
        <v>142833.5</v>
      </c>
    </row>
    <row r="96" spans="1:23" x14ac:dyDescent="0.25">
      <c r="A96" s="12">
        <v>2011</v>
      </c>
      <c r="B96" s="13">
        <v>41225.038999999997</v>
      </c>
      <c r="C96" s="13">
        <v>10273.419</v>
      </c>
      <c r="D96" s="13">
        <v>196046.266</v>
      </c>
      <c r="E96" s="13">
        <v>29185.200000000001</v>
      </c>
      <c r="F96" s="13">
        <v>10083.742</v>
      </c>
      <c r="G96" s="13">
        <v>14739.596</v>
      </c>
      <c r="H96" s="13">
        <v>8154.8190000000004</v>
      </c>
      <c r="I96" s="13">
        <v>9985.7279999999992</v>
      </c>
      <c r="J96" s="13">
        <v>46094.722999999998</v>
      </c>
      <c r="K96" s="13">
        <v>4613.6710000000003</v>
      </c>
      <c r="L96" s="13">
        <v>11253.453</v>
      </c>
      <c r="M96" s="13">
        <v>114416.883</v>
      </c>
      <c r="N96" s="13">
        <v>5856.3010000000004</v>
      </c>
      <c r="O96" s="13">
        <v>3610.7809999999999</v>
      </c>
      <c r="P96" s="13">
        <v>6192.277</v>
      </c>
      <c r="Q96" s="13">
        <v>29568.686000000002</v>
      </c>
      <c r="R96" s="13">
        <v>4002.634</v>
      </c>
      <c r="S96" s="13">
        <v>6170.973</v>
      </c>
      <c r="T96" s="13">
        <v>3355.357</v>
      </c>
      <c r="U96" s="13">
        <v>17323.276999999998</v>
      </c>
      <c r="V96" s="13">
        <v>14625.1</v>
      </c>
      <c r="W96" s="5">
        <v>142865.4</v>
      </c>
    </row>
    <row r="97" spans="1:23" x14ac:dyDescent="0.25">
      <c r="A97" s="12">
        <v>2012</v>
      </c>
      <c r="B97" s="13">
        <v>41616.889000000003</v>
      </c>
      <c r="C97" s="13">
        <v>10439.951999999999</v>
      </c>
      <c r="D97" s="13">
        <v>197649.071</v>
      </c>
      <c r="E97" s="13">
        <v>29553.8</v>
      </c>
      <c r="F97" s="13">
        <v>10243.848</v>
      </c>
      <c r="G97" s="13">
        <v>15069.897999999999</v>
      </c>
      <c r="H97" s="13">
        <v>8318.3389999999999</v>
      </c>
      <c r="I97" s="13">
        <v>10110.824000000001</v>
      </c>
      <c r="J97" s="13">
        <v>46635.24</v>
      </c>
      <c r="K97" s="13">
        <v>4666.5940000000001</v>
      </c>
      <c r="L97" s="13">
        <v>11255.6</v>
      </c>
      <c r="M97" s="13">
        <v>115809.545</v>
      </c>
      <c r="N97" s="13">
        <v>5939.9269999999997</v>
      </c>
      <c r="O97" s="13">
        <v>3670.5949999999998</v>
      </c>
      <c r="P97" s="13">
        <v>6288.58</v>
      </c>
      <c r="Q97" s="13">
        <v>29862.100999999999</v>
      </c>
      <c r="R97" s="13">
        <v>4014.6170000000002</v>
      </c>
      <c r="S97" s="13">
        <v>6201.0110000000004</v>
      </c>
      <c r="T97" s="13">
        <v>3365.22</v>
      </c>
      <c r="U97" s="13">
        <v>17486.772000000001</v>
      </c>
      <c r="V97" s="13">
        <v>14825.222</v>
      </c>
      <c r="W97" s="5">
        <v>143171</v>
      </c>
    </row>
    <row r="98" spans="1:23" x14ac:dyDescent="0.25">
      <c r="A98" s="12">
        <v>2013</v>
      </c>
      <c r="B98" s="13">
        <v>42003.748</v>
      </c>
      <c r="C98" s="13">
        <v>10605.869000000001</v>
      </c>
      <c r="D98" s="13">
        <v>199233.78400000001</v>
      </c>
      <c r="E98" s="13">
        <v>29912.2</v>
      </c>
      <c r="F98" s="13">
        <v>10403.385</v>
      </c>
      <c r="G98" s="13">
        <v>15403.174000000001</v>
      </c>
      <c r="H98" s="13">
        <v>8482.2029999999995</v>
      </c>
      <c r="I98" s="13">
        <v>10234.290999999999</v>
      </c>
      <c r="J98" s="13">
        <v>47162.150999999998</v>
      </c>
      <c r="K98" s="13">
        <v>4717.9620000000004</v>
      </c>
      <c r="L98" s="13">
        <v>11254.314</v>
      </c>
      <c r="M98" s="13">
        <v>117166.86599999999</v>
      </c>
      <c r="N98" s="13">
        <v>6024.7020000000002</v>
      </c>
      <c r="O98" s="13">
        <v>3730.3069999999998</v>
      </c>
      <c r="P98" s="13">
        <v>6386.1570000000002</v>
      </c>
      <c r="Q98" s="13">
        <v>30166.681</v>
      </c>
      <c r="R98" s="13">
        <v>4025.7759999999998</v>
      </c>
      <c r="S98" s="13">
        <v>6232.3530000000001</v>
      </c>
      <c r="T98" s="13">
        <v>3375.9160000000002</v>
      </c>
      <c r="U98" s="13">
        <v>17649.29</v>
      </c>
      <c r="V98" s="13">
        <v>15020.941999999999</v>
      </c>
      <c r="W98" s="5">
        <v>143585.9</v>
      </c>
    </row>
    <row r="99" spans="1:23" x14ac:dyDescent="0.25">
      <c r="A99" s="12">
        <v>2014</v>
      </c>
      <c r="B99" s="13">
        <v>42399.576000000001</v>
      </c>
      <c r="C99" s="13">
        <v>10770.786</v>
      </c>
      <c r="D99" s="13">
        <v>200793.93799999999</v>
      </c>
      <c r="E99" s="13">
        <v>30254.1</v>
      </c>
      <c r="F99" s="13">
        <v>10562.241</v>
      </c>
      <c r="G99" s="13">
        <v>15735.671</v>
      </c>
      <c r="H99" s="13">
        <v>8645.4789999999994</v>
      </c>
      <c r="I99" s="13">
        <v>10355.828</v>
      </c>
      <c r="J99" s="13">
        <v>47674.23</v>
      </c>
      <c r="K99" s="13">
        <v>4768.6509999999998</v>
      </c>
      <c r="L99" s="13">
        <v>11248.993</v>
      </c>
      <c r="M99" s="13">
        <v>118468.43700000001</v>
      </c>
      <c r="N99" s="13">
        <v>6109.3339999999998</v>
      </c>
      <c r="O99" s="13">
        <v>3790.2089999999998</v>
      </c>
      <c r="P99" s="13">
        <v>6484.35</v>
      </c>
      <c r="Q99" s="13">
        <v>30486.339</v>
      </c>
      <c r="R99" s="13">
        <v>4035.74</v>
      </c>
      <c r="S99" s="13">
        <v>6263.9970000000003</v>
      </c>
      <c r="T99" s="13">
        <v>3387.3040000000001</v>
      </c>
      <c r="U99" s="13">
        <v>17814.719000000001</v>
      </c>
      <c r="V99" s="13">
        <v>15213.817999999999</v>
      </c>
      <c r="W99" s="5">
        <v>144025.29999999999</v>
      </c>
    </row>
    <row r="100" spans="1:23" x14ac:dyDescent="0.25">
      <c r="A100" s="12">
        <v>2015</v>
      </c>
      <c r="B100" s="13">
        <v>42798.084999999999</v>
      </c>
      <c r="C100" s="13">
        <v>10934.519</v>
      </c>
      <c r="D100" s="13">
        <v>202315.66899999999</v>
      </c>
      <c r="E100" s="13">
        <v>30574</v>
      </c>
      <c r="F100" s="13">
        <v>10720.554</v>
      </c>
      <c r="G100" s="13">
        <v>16064.834999999999</v>
      </c>
      <c r="H100" s="13">
        <v>8807.6839999999993</v>
      </c>
      <c r="I100" s="13">
        <v>10474.938</v>
      </c>
      <c r="J100" s="13">
        <v>48177.400999999998</v>
      </c>
      <c r="K100" s="13">
        <v>4819.7359999999999</v>
      </c>
      <c r="L100" s="13">
        <v>11243.981</v>
      </c>
      <c r="M100" s="13">
        <v>119677.546</v>
      </c>
      <c r="N100" s="13">
        <v>6192.5789999999997</v>
      </c>
      <c r="O100" s="13">
        <v>3850.4459999999999</v>
      </c>
      <c r="P100" s="13">
        <v>6582.95</v>
      </c>
      <c r="Q100" s="13">
        <v>30827.134999999998</v>
      </c>
      <c r="R100" s="13">
        <v>4044.1350000000002</v>
      </c>
      <c r="S100" s="13">
        <v>6294.2370000000001</v>
      </c>
      <c r="T100" s="13">
        <v>3399.1379999999999</v>
      </c>
      <c r="U100" s="13">
        <v>17981.043000000001</v>
      </c>
      <c r="V100" s="13">
        <v>15408.306</v>
      </c>
      <c r="W100" s="5">
        <v>144439.06299999999</v>
      </c>
    </row>
    <row r="101" spans="1:23" x14ac:dyDescent="0.25">
      <c r="A101" s="12">
        <v>2016</v>
      </c>
      <c r="B101" s="13">
        <v>43179.366999999998</v>
      </c>
      <c r="C101" s="13">
        <v>11097.22</v>
      </c>
      <c r="D101" s="13">
        <v>203787.625</v>
      </c>
      <c r="E101" s="13">
        <v>30765.7</v>
      </c>
      <c r="F101" s="13">
        <v>10878.053</v>
      </c>
      <c r="G101" s="13">
        <v>16396.741999999998</v>
      </c>
      <c r="H101" s="13">
        <v>8969.2759999999998</v>
      </c>
      <c r="I101" s="13">
        <v>10591.567999999999</v>
      </c>
      <c r="J101" s="13">
        <v>48708.623</v>
      </c>
      <c r="K101" s="13">
        <v>4870.4160000000002</v>
      </c>
      <c r="L101" s="13">
        <v>11238.664000000001</v>
      </c>
      <c r="M101" s="13">
        <v>120818.478</v>
      </c>
      <c r="N101" s="13">
        <v>6274.7219999999998</v>
      </c>
      <c r="O101" s="13">
        <v>3911.0839999999998</v>
      </c>
      <c r="P101" s="13">
        <v>6681.4669999999996</v>
      </c>
      <c r="Q101" s="13">
        <v>31201.238000000001</v>
      </c>
      <c r="R101" s="13">
        <v>4051.9059999999999</v>
      </c>
      <c r="S101" s="13">
        <v>6323.2209999999995</v>
      </c>
      <c r="T101" s="13">
        <v>3411.018</v>
      </c>
      <c r="U101" s="13">
        <v>18163.547999999999</v>
      </c>
      <c r="V101" s="13">
        <v>15607.1</v>
      </c>
      <c r="W101" s="5">
        <v>144828.182</v>
      </c>
    </row>
    <row r="102" spans="1:23" x14ac:dyDescent="0.25">
      <c r="A102" s="12">
        <v>2017</v>
      </c>
      <c r="B102" s="13">
        <v>43541.951000000001</v>
      </c>
      <c r="C102" s="13">
        <v>11258.931</v>
      </c>
      <c r="D102" s="13">
        <v>205209.60200000001</v>
      </c>
      <c r="E102" s="13">
        <v>30565.3</v>
      </c>
      <c r="F102" s="13">
        <v>11034.829</v>
      </c>
      <c r="G102" s="13">
        <v>16729.93</v>
      </c>
      <c r="H102" s="13">
        <v>9130.7090000000007</v>
      </c>
      <c r="I102" s="13">
        <v>10706.616</v>
      </c>
      <c r="J102" s="13">
        <v>49349.754000000001</v>
      </c>
      <c r="K102" s="13">
        <v>4919.8950000000004</v>
      </c>
      <c r="L102" s="13">
        <v>11228.239</v>
      </c>
      <c r="M102" s="13">
        <v>121933.106</v>
      </c>
      <c r="N102" s="13">
        <v>6356.518</v>
      </c>
      <c r="O102" s="13">
        <v>3971.7809999999999</v>
      </c>
      <c r="P102" s="13">
        <v>6779.4639999999999</v>
      </c>
      <c r="Q102" s="13">
        <v>31600.159</v>
      </c>
      <c r="R102" s="13">
        <v>4059.6109999999999</v>
      </c>
      <c r="S102" s="13">
        <v>6350.7579999999998</v>
      </c>
      <c r="T102" s="13">
        <v>3422.078</v>
      </c>
      <c r="U102" s="13">
        <v>18380.603999999999</v>
      </c>
      <c r="V102" s="13">
        <v>15814.421</v>
      </c>
      <c r="W102" s="5">
        <v>145154.45499999999</v>
      </c>
    </row>
    <row r="103" spans="1:23" x14ac:dyDescent="0.25">
      <c r="A103" s="12">
        <v>2018</v>
      </c>
      <c r="B103" s="13">
        <v>43891.152000000002</v>
      </c>
      <c r="C103" s="13">
        <v>11419.404</v>
      </c>
      <c r="D103" s="13">
        <v>206566.48</v>
      </c>
      <c r="E103" s="13">
        <v>29807.599999999999</v>
      </c>
      <c r="F103" s="13">
        <v>11190.764999999999</v>
      </c>
      <c r="G103" s="13">
        <v>17053.008999999998</v>
      </c>
      <c r="H103" s="13">
        <v>9292.0930000000008</v>
      </c>
      <c r="I103" s="13">
        <v>10820.56</v>
      </c>
      <c r="J103" s="13">
        <v>50086.741999999998</v>
      </c>
      <c r="K103" s="13">
        <v>4968.62</v>
      </c>
      <c r="L103" s="13">
        <v>11215.668</v>
      </c>
      <c r="M103" s="13">
        <v>123046.724</v>
      </c>
      <c r="N103" s="13">
        <v>6437.8249999999998</v>
      </c>
      <c r="O103" s="13">
        <v>4032.069</v>
      </c>
      <c r="P103" s="13">
        <v>6876.5410000000002</v>
      </c>
      <c r="Q103" s="13">
        <v>32055.897000000001</v>
      </c>
      <c r="R103" s="13">
        <v>4066.297</v>
      </c>
      <c r="S103" s="13">
        <v>6375.6080000000002</v>
      </c>
      <c r="T103" s="13">
        <v>3431.7089999999998</v>
      </c>
      <c r="U103" s="13">
        <v>18617.191999999999</v>
      </c>
      <c r="V103" s="13">
        <v>16039.808000000001</v>
      </c>
      <c r="W103" s="5">
        <v>145345.77499999999</v>
      </c>
    </row>
    <row r="104" spans="1:23" x14ac:dyDescent="0.25">
      <c r="A104" s="12">
        <v>2019</v>
      </c>
      <c r="B104" s="13">
        <v>44213.832000000002</v>
      </c>
      <c r="C104" s="13">
        <v>11578.439</v>
      </c>
      <c r="D104" s="13">
        <v>207868.03899999999</v>
      </c>
      <c r="E104" s="13">
        <v>28938.1</v>
      </c>
      <c r="F104" s="13">
        <v>11345.546</v>
      </c>
      <c r="G104" s="13">
        <v>17365.539000000001</v>
      </c>
      <c r="H104" s="13">
        <v>9453.0859999999993</v>
      </c>
      <c r="I104" s="13">
        <v>10931.679</v>
      </c>
      <c r="J104" s="13">
        <v>50813.783000000003</v>
      </c>
      <c r="K104" s="13">
        <v>5015.8419999999996</v>
      </c>
      <c r="L104" s="13">
        <v>11200.864</v>
      </c>
      <c r="M104" s="13">
        <v>124152.376</v>
      </c>
      <c r="N104" s="13">
        <v>6518.05</v>
      </c>
      <c r="O104" s="13">
        <v>4090.9279999999999</v>
      </c>
      <c r="P104" s="13">
        <v>6972.4979999999996</v>
      </c>
      <c r="Q104" s="13">
        <v>32499.505000000001</v>
      </c>
      <c r="R104" s="13">
        <v>4071.011</v>
      </c>
      <c r="S104" s="13">
        <v>6398.8280000000004</v>
      </c>
      <c r="T104" s="13">
        <v>3439.5010000000002</v>
      </c>
      <c r="U104" s="13">
        <v>18836.847000000002</v>
      </c>
      <c r="V104" s="13">
        <v>16265.2</v>
      </c>
      <c r="W104" s="7">
        <v>145425.78899999999</v>
      </c>
    </row>
    <row r="105" spans="1:23" x14ac:dyDescent="0.25">
      <c r="A105" s="12">
        <v>2020</v>
      </c>
      <c r="B105" s="13">
        <v>44482.906000000003</v>
      </c>
      <c r="C105" s="13">
        <v>11727.187</v>
      </c>
      <c r="D105" s="13">
        <v>209067.60699999999</v>
      </c>
      <c r="E105" s="13">
        <v>28444.1</v>
      </c>
      <c r="F105" s="13">
        <v>11497.706</v>
      </c>
      <c r="G105" s="13">
        <v>17674.830000000002</v>
      </c>
      <c r="H105" s="13">
        <v>9611.5460000000003</v>
      </c>
      <c r="I105" s="13">
        <v>11042.799000000001</v>
      </c>
      <c r="J105" s="13">
        <v>51454.123</v>
      </c>
      <c r="K105" s="13">
        <v>5059.2569999999996</v>
      </c>
      <c r="L105" s="13">
        <v>11184.838</v>
      </c>
      <c r="M105" s="13">
        <v>125163.257</v>
      </c>
      <c r="N105" s="13">
        <v>6596.1040000000003</v>
      </c>
      <c r="O105" s="13">
        <v>4145.4369999999999</v>
      </c>
      <c r="P105" s="13">
        <v>7068.1329999999998</v>
      </c>
      <c r="Q105" s="13">
        <v>32859.580999999998</v>
      </c>
      <c r="R105" s="13">
        <v>4072.8029999999999</v>
      </c>
      <c r="S105" s="13">
        <v>6427.03</v>
      </c>
      <c r="T105" s="13">
        <v>3446.4929999999999</v>
      </c>
      <c r="U105" s="13">
        <v>18988.401000000002</v>
      </c>
      <c r="V105" s="13">
        <v>16447.638999999999</v>
      </c>
      <c r="W105" s="7">
        <v>145349.31400000001</v>
      </c>
    </row>
    <row r="106" spans="1:23" x14ac:dyDescent="0.25">
      <c r="A106" s="12">
        <v>2021</v>
      </c>
      <c r="B106" s="13">
        <v>44699.696000000004</v>
      </c>
      <c r="C106" s="13">
        <v>11862.968000000001</v>
      </c>
      <c r="D106" s="13">
        <v>210081.06299999999</v>
      </c>
      <c r="E106" s="13">
        <v>28237.8</v>
      </c>
      <c r="F106" s="13">
        <v>11645.495999999999</v>
      </c>
      <c r="G106" s="13">
        <v>17977.419000000002</v>
      </c>
      <c r="H106" s="13">
        <v>9766.0030000000006</v>
      </c>
      <c r="I106" s="13">
        <v>11153.264999999999</v>
      </c>
      <c r="J106" s="13">
        <v>52007.404000000002</v>
      </c>
      <c r="K106" s="13">
        <v>5098.1279999999997</v>
      </c>
      <c r="L106" s="13">
        <v>11154.347</v>
      </c>
      <c r="M106" s="13">
        <v>126065.887</v>
      </c>
      <c r="N106" s="13">
        <v>6672.0460000000003</v>
      </c>
      <c r="O106" s="13">
        <v>4196.5039999999999</v>
      </c>
      <c r="P106" s="13">
        <v>7159.018</v>
      </c>
      <c r="Q106" s="13">
        <v>33181.512000000002</v>
      </c>
      <c r="R106" s="13">
        <v>4072.8150000000001</v>
      </c>
      <c r="S106" s="13">
        <v>6459.6490000000003</v>
      </c>
      <c r="T106" s="13">
        <v>3451.136</v>
      </c>
      <c r="U106" s="13">
        <v>19094.521000000001</v>
      </c>
      <c r="V106" s="13">
        <v>16594.731</v>
      </c>
      <c r="W106" s="7">
        <v>144996.05300000001</v>
      </c>
    </row>
    <row r="107" spans="1:23" x14ac:dyDescent="0.25">
      <c r="A107" s="12">
        <v>2022</v>
      </c>
      <c r="B107" s="13">
        <v>44901.58</v>
      </c>
      <c r="C107" s="13">
        <v>12007.199000000001</v>
      </c>
      <c r="D107" s="13">
        <v>211004.45800000001</v>
      </c>
      <c r="E107" s="13">
        <v>28213</v>
      </c>
      <c r="F107" s="13">
        <v>11792.097</v>
      </c>
      <c r="G107" s="13">
        <v>18283.587</v>
      </c>
      <c r="H107" s="13">
        <v>9921.3940000000002</v>
      </c>
      <c r="I107" s="13">
        <v>11258.73</v>
      </c>
      <c r="J107" s="13">
        <v>52552.142999999996</v>
      </c>
      <c r="K107" s="13">
        <v>5135.1049999999996</v>
      </c>
      <c r="L107" s="13">
        <v>11118.74</v>
      </c>
      <c r="M107" s="13">
        <v>127014.602</v>
      </c>
      <c r="N107" s="13">
        <v>6750.4979999999996</v>
      </c>
      <c r="O107" s="13">
        <v>4249.0479999999998</v>
      </c>
      <c r="P107" s="13">
        <v>7247.2240000000002</v>
      </c>
      <c r="Q107" s="13">
        <v>33503.010999999999</v>
      </c>
      <c r="R107" s="13">
        <v>4072.8229999999999</v>
      </c>
      <c r="S107" s="13">
        <v>6494.2020000000002</v>
      </c>
      <c r="T107" s="13">
        <v>3453.8829999999998</v>
      </c>
      <c r="U107" s="13">
        <v>19204.635999999999</v>
      </c>
      <c r="V107" s="13">
        <v>16744.171999999999</v>
      </c>
      <c r="W107" s="7">
        <v>144491.94399999999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3D8E6-5AE4-4E88-B07F-9A809409663F}">
  <dimension ref="A1:V111"/>
  <sheetViews>
    <sheetView workbookViewId="0">
      <selection activeCell="B2" sqref="B2:V107"/>
    </sheetView>
  </sheetViews>
  <sheetFormatPr defaultRowHeight="15" x14ac:dyDescent="0.25"/>
  <cols>
    <col min="1" max="1" width="5" style="10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5.7109375" bestFit="1" customWidth="1"/>
    <col min="6" max="6" width="10.28515625" bestFit="1" customWidth="1"/>
    <col min="7" max="7" width="11" bestFit="1" customWidth="1"/>
    <col min="8" max="8" width="5.285156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5.5703125" bestFit="1" customWidth="1"/>
    <col min="20" max="20" width="8.140625" bestFit="1" customWidth="1"/>
    <col min="21" max="21" width="12" bestFit="1" customWidth="1"/>
    <col min="22" max="22" width="7.140625" bestFit="1" customWidth="1"/>
  </cols>
  <sheetData>
    <row r="1" spans="1:22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42</v>
      </c>
    </row>
    <row r="2" spans="1:22" x14ac:dyDescent="0.25">
      <c r="A2" s="12">
        <v>1917</v>
      </c>
      <c r="B2" s="2" t="e">
        <f>('вместе-абс'!#REF! - 'вместе-абс'!#REF!) / 'вместе-абс'!#REF!</f>
        <v>#REF!</v>
      </c>
      <c r="C2" s="2" t="e">
        <f>('вместе-абс'!#REF! - 'вместе-абс'!#REF!) / 'вместе-абс'!#REF!</f>
        <v>#REF!</v>
      </c>
      <c r="D2" s="2" t="e">
        <f>('вместе-абс'!#REF! - 'вместе-абс'!#REF!) / 'вместе-абс'!#REF!</f>
        <v>#REF!</v>
      </c>
      <c r="E2" s="2" t="e">
        <f>('вместе-абс'!#REF! - 'вместе-абс'!#REF!) / 'вместе-абс'!#REF!</f>
        <v>#REF!</v>
      </c>
      <c r="F2" s="2" t="e">
        <f>('вместе-абс'!#REF! - 'вместе-абс'!#REF!) / 'вместе-абс'!#REF!</f>
        <v>#REF!</v>
      </c>
      <c r="G2" s="2" t="e">
        <f>('вместе-абс'!#REF! - 'вместе-абс'!#REF!) / 'вместе-абс'!#REF!</f>
        <v>#REF!</v>
      </c>
      <c r="H2" s="2" t="e">
        <f>('вместе-абс'!#REF! - 'вместе-абс'!#REF!) / 'вместе-абс'!#REF!</f>
        <v>#REF!</v>
      </c>
      <c r="I2" s="2" t="e">
        <f>('вместе-абс'!#REF! - 'вместе-абс'!#REF!) / 'вместе-абс'!#REF!</f>
        <v>#REF!</v>
      </c>
      <c r="J2" s="2" t="e">
        <f>('вместе-абс'!#REF! - 'вместе-абс'!#REF!) / 'вместе-абс'!#REF!</f>
        <v>#REF!</v>
      </c>
      <c r="K2" s="2" t="e">
        <f>('вместе-абс'!#REF! - 'вместе-абс'!#REF!) / 'вместе-абс'!#REF!</f>
        <v>#REF!</v>
      </c>
      <c r="L2" s="2" t="e">
        <f>('вместе-абс'!#REF! - 'вместе-абс'!#REF!) / 'вместе-абс'!#REF!</f>
        <v>#REF!</v>
      </c>
      <c r="M2" s="2" t="e">
        <f>('вместе-абс'!#REF! - 'вместе-абс'!#REF!) / 'вместе-абс'!#REF!</f>
        <v>#REF!</v>
      </c>
      <c r="N2" s="2" t="e">
        <f>('вместе-абс'!#REF! - 'вместе-абс'!#REF!) / 'вместе-абс'!#REF!</f>
        <v>#REF!</v>
      </c>
      <c r="O2" s="2" t="e">
        <f>('вместе-абс'!#REF! - 'вместе-абс'!#REF!) / 'вместе-абс'!#REF!</f>
        <v>#REF!</v>
      </c>
      <c r="P2" s="2" t="e">
        <f>('вместе-абс'!#REF! - 'вместе-абс'!#REF!) / 'вместе-абс'!#REF!</f>
        <v>#REF!</v>
      </c>
      <c r="Q2" s="2" t="e">
        <f>('вместе-абс'!#REF! - 'вместе-абс'!#REF!) / 'вместе-абс'!#REF!</f>
        <v>#REF!</v>
      </c>
      <c r="R2" s="2" t="e">
        <f>('вместе-абс'!#REF! - 'вместе-абс'!#REF!) / 'вместе-абс'!#REF!</f>
        <v>#REF!</v>
      </c>
      <c r="S2" s="2" t="e">
        <f>('вместе-абс'!#REF! - 'вместе-абс'!#REF!) / 'вместе-абс'!#REF!</f>
        <v>#REF!</v>
      </c>
      <c r="T2" s="2" t="e">
        <f>('вместе-абс'!#REF! - 'вместе-абс'!#REF!) / 'вместе-абс'!#REF!</f>
        <v>#REF!</v>
      </c>
      <c r="U2" s="2" t="e">
        <f>('вместе-абс'!#REF! - 'вместе-абс'!#REF!) / 'вместе-абс'!#REF!</f>
        <v>#REF!</v>
      </c>
      <c r="V2" s="2" t="e">
        <f>('вместе-абс'!#REF! - 'вместе-абс'!#REF!) / 'вместе-абс'!#REF!</f>
        <v>#REF!</v>
      </c>
    </row>
    <row r="3" spans="1:22" x14ac:dyDescent="0.25">
      <c r="A3" s="12">
        <f t="shared" ref="A3:A35" si="0">A2+1</f>
        <v>1918</v>
      </c>
      <c r="B3" s="2" t="e">
        <f>('вместе-абс'!#REF! - 'вместе-абс'!#REF!) / 'вместе-абс'!#REF!</f>
        <v>#REF!</v>
      </c>
      <c r="C3" s="2" t="e">
        <f>('вместе-абс'!#REF! - 'вместе-абс'!#REF!) / 'вместе-абс'!#REF!</f>
        <v>#REF!</v>
      </c>
      <c r="D3" s="2" t="e">
        <f>('вместе-абс'!#REF! - 'вместе-абс'!#REF!) / 'вместе-абс'!#REF!</f>
        <v>#REF!</v>
      </c>
      <c r="E3" s="2" t="e">
        <f>('вместе-абс'!#REF! - 'вместе-абс'!#REF!) / 'вместе-абс'!#REF!</f>
        <v>#REF!</v>
      </c>
      <c r="F3" s="2" t="e">
        <f>('вместе-абс'!#REF! - 'вместе-абс'!#REF!) / 'вместе-абс'!#REF!</f>
        <v>#REF!</v>
      </c>
      <c r="G3" s="2" t="e">
        <f>('вместе-абс'!#REF! - 'вместе-абс'!#REF!) / 'вместе-абс'!#REF!</f>
        <v>#REF!</v>
      </c>
      <c r="H3" s="2" t="e">
        <f>('вместе-абс'!#REF! - 'вместе-абс'!#REF!) / 'вместе-абс'!#REF!</f>
        <v>#REF!</v>
      </c>
      <c r="I3" s="2" t="e">
        <f>('вместе-абс'!#REF! - 'вместе-абс'!#REF!) / 'вместе-абс'!#REF!</f>
        <v>#REF!</v>
      </c>
      <c r="J3" s="2" t="e">
        <f>('вместе-абс'!#REF! - 'вместе-абс'!#REF!) / 'вместе-абс'!#REF!</f>
        <v>#REF!</v>
      </c>
      <c r="K3" s="2" t="e">
        <f>('вместе-абс'!#REF! - 'вместе-абс'!#REF!) / 'вместе-абс'!#REF!</f>
        <v>#REF!</v>
      </c>
      <c r="L3" s="2" t="e">
        <f>('вместе-абс'!#REF! - 'вместе-абс'!#REF!) / 'вместе-абс'!#REF!</f>
        <v>#REF!</v>
      </c>
      <c r="M3" s="2" t="e">
        <f>('вместе-абс'!#REF! - 'вместе-абс'!#REF!) / 'вместе-абс'!#REF!</f>
        <v>#REF!</v>
      </c>
      <c r="N3" s="2" t="e">
        <f>('вместе-абс'!#REF! - 'вместе-абс'!#REF!) / 'вместе-абс'!#REF!</f>
        <v>#REF!</v>
      </c>
      <c r="O3" s="2" t="e">
        <f>('вместе-абс'!#REF! - 'вместе-абс'!#REF!) / 'вместе-абс'!#REF!</f>
        <v>#REF!</v>
      </c>
      <c r="P3" s="2" t="e">
        <f>('вместе-абс'!#REF! - 'вместе-абс'!#REF!) / 'вместе-абс'!#REF!</f>
        <v>#REF!</v>
      </c>
      <c r="Q3" s="2" t="e">
        <f>('вместе-абс'!#REF! - 'вместе-абс'!#REF!) / 'вместе-абс'!#REF!</f>
        <v>#REF!</v>
      </c>
      <c r="R3" s="2" t="e">
        <f>('вместе-абс'!#REF! - 'вместе-абс'!#REF!) / 'вместе-абс'!#REF!</f>
        <v>#REF!</v>
      </c>
      <c r="S3" s="2" t="e">
        <f>('вместе-абс'!#REF! - 'вместе-абс'!#REF!) / 'вместе-абс'!#REF!</f>
        <v>#REF!</v>
      </c>
      <c r="T3" s="2" t="e">
        <f>('вместе-абс'!#REF! - 'вместе-абс'!#REF!) / 'вместе-абс'!#REF!</f>
        <v>#REF!</v>
      </c>
      <c r="U3" s="2" t="e">
        <f>('вместе-абс'!#REF! - 'вместе-абс'!#REF!) / 'вместе-абс'!#REF!</f>
        <v>#REF!</v>
      </c>
      <c r="V3" s="2" t="e">
        <f>('вместе-абс'!#REF! - 'вместе-абс'!#REF!) / 'вместе-абс'!#REF!</f>
        <v>#REF!</v>
      </c>
    </row>
    <row r="4" spans="1:22" x14ac:dyDescent="0.25">
      <c r="A4" s="12">
        <f t="shared" si="0"/>
        <v>1919</v>
      </c>
      <c r="B4" s="2" t="e">
        <f>('вместе-абс'!#REF! - 'вместе-абс'!#REF!) / 'вместе-абс'!#REF!</f>
        <v>#REF!</v>
      </c>
      <c r="C4" s="2" t="e">
        <f>('вместе-абс'!#REF! - 'вместе-абс'!#REF!) / 'вместе-абс'!#REF!</f>
        <v>#REF!</v>
      </c>
      <c r="D4" s="2" t="e">
        <f>('вместе-абс'!#REF! - 'вместе-абс'!#REF!) / 'вместе-абс'!#REF!</f>
        <v>#REF!</v>
      </c>
      <c r="E4" s="2" t="e">
        <f>('вместе-абс'!#REF! - 'вместе-абс'!#REF!) / 'вместе-абс'!#REF!</f>
        <v>#REF!</v>
      </c>
      <c r="F4" s="2" t="e">
        <f>('вместе-абс'!#REF! - 'вместе-абс'!#REF!) / 'вместе-абс'!#REF!</f>
        <v>#REF!</v>
      </c>
      <c r="G4" s="2" t="e">
        <f>('вместе-абс'!#REF! - 'вместе-абс'!#REF!) / 'вместе-абс'!#REF!</f>
        <v>#REF!</v>
      </c>
      <c r="H4" s="2" t="e">
        <f>('вместе-абс'!#REF! - 'вместе-абс'!#REF!) / 'вместе-абс'!#REF!</f>
        <v>#REF!</v>
      </c>
      <c r="I4" s="2" t="e">
        <f>('вместе-абс'!#REF! - 'вместе-абс'!#REF!) / 'вместе-абс'!#REF!</f>
        <v>#REF!</v>
      </c>
      <c r="J4" s="2" t="e">
        <f>('вместе-абс'!#REF! - 'вместе-абс'!#REF!) / 'вместе-абс'!#REF!</f>
        <v>#REF!</v>
      </c>
      <c r="K4" s="2" t="e">
        <f>('вместе-абс'!#REF! - 'вместе-абс'!#REF!) / 'вместе-абс'!#REF!</f>
        <v>#REF!</v>
      </c>
      <c r="L4" s="2" t="e">
        <f>('вместе-абс'!#REF! - 'вместе-абс'!#REF!) / 'вместе-абс'!#REF!</f>
        <v>#REF!</v>
      </c>
      <c r="M4" s="2" t="e">
        <f>('вместе-абс'!#REF! - 'вместе-абс'!#REF!) / 'вместе-абс'!#REF!</f>
        <v>#REF!</v>
      </c>
      <c r="N4" s="2" t="e">
        <f>('вместе-абс'!#REF! - 'вместе-абс'!#REF!) / 'вместе-абс'!#REF!</f>
        <v>#REF!</v>
      </c>
      <c r="O4" s="2" t="e">
        <f>('вместе-абс'!#REF! - 'вместе-абс'!#REF!) / 'вместе-абс'!#REF!</f>
        <v>#REF!</v>
      </c>
      <c r="P4" s="2" t="e">
        <f>('вместе-абс'!#REF! - 'вместе-абс'!#REF!) / 'вместе-абс'!#REF!</f>
        <v>#REF!</v>
      </c>
      <c r="Q4" s="2" t="e">
        <f>('вместе-абс'!#REF! - 'вместе-абс'!#REF!) / 'вместе-абс'!#REF!</f>
        <v>#REF!</v>
      </c>
      <c r="R4" s="2" t="e">
        <f>('вместе-абс'!#REF! - 'вместе-абс'!#REF!) / 'вместе-абс'!#REF!</f>
        <v>#REF!</v>
      </c>
      <c r="S4" s="2" t="e">
        <f>('вместе-абс'!#REF! - 'вместе-абс'!#REF!) / 'вместе-абс'!#REF!</f>
        <v>#REF!</v>
      </c>
      <c r="T4" s="2" t="e">
        <f>('вместе-абс'!#REF! - 'вместе-абс'!#REF!) / 'вместе-абс'!#REF!</f>
        <v>#REF!</v>
      </c>
      <c r="U4" s="2" t="e">
        <f>('вместе-абс'!#REF! - 'вместе-абс'!#REF!) / 'вместе-абс'!#REF!</f>
        <v>#REF!</v>
      </c>
      <c r="V4" s="2" t="e">
        <f>('вместе-абс'!#REF! - 'вместе-абс'!#REF!) / 'вместе-абс'!#REF!</f>
        <v>#REF!</v>
      </c>
    </row>
    <row r="5" spans="1:22" x14ac:dyDescent="0.25">
      <c r="A5" s="12">
        <f t="shared" si="0"/>
        <v>1920</v>
      </c>
      <c r="B5" s="2" t="e">
        <f>('вместе-абс'!#REF! - 'вместе-абс'!#REF!) / 'вместе-абс'!#REF!</f>
        <v>#REF!</v>
      </c>
      <c r="C5" s="2" t="e">
        <f>('вместе-абс'!#REF! - 'вместе-абс'!#REF!) / 'вместе-абс'!#REF!</f>
        <v>#REF!</v>
      </c>
      <c r="D5" s="2" t="e">
        <f>('вместе-абс'!#REF! - 'вместе-абс'!#REF!) / 'вместе-абс'!#REF!</f>
        <v>#REF!</v>
      </c>
      <c r="E5" s="2" t="e">
        <f>('вместе-абс'!#REF! - 'вместе-абс'!#REF!) / 'вместе-абс'!#REF!</f>
        <v>#REF!</v>
      </c>
      <c r="F5" s="2" t="e">
        <f>('вместе-абс'!#REF! - 'вместе-абс'!#REF!) / 'вместе-абс'!#REF!</f>
        <v>#REF!</v>
      </c>
      <c r="G5" s="2" t="e">
        <f>('вместе-абс'!#REF! - 'вместе-абс'!#REF!) / 'вместе-абс'!#REF!</f>
        <v>#REF!</v>
      </c>
      <c r="H5" s="2" t="e">
        <f>('вместе-абс'!#REF! - 'вместе-абс'!#REF!) / 'вместе-абс'!#REF!</f>
        <v>#REF!</v>
      </c>
      <c r="I5" s="2" t="e">
        <f>('вместе-абс'!#REF! - 'вместе-абс'!#REF!) / 'вместе-абс'!#REF!</f>
        <v>#REF!</v>
      </c>
      <c r="J5" s="2" t="e">
        <f>('вместе-абс'!#REF! - 'вместе-абс'!#REF!) / 'вместе-абс'!#REF!</f>
        <v>#REF!</v>
      </c>
      <c r="K5" s="2" t="e">
        <f>('вместе-абс'!#REF! - 'вместе-абс'!#REF!) / 'вместе-абс'!#REF!</f>
        <v>#REF!</v>
      </c>
      <c r="L5" s="2" t="e">
        <f>('вместе-абс'!#REF! - 'вместе-абс'!#REF!) / 'вместе-абс'!#REF!</f>
        <v>#REF!</v>
      </c>
      <c r="M5" s="2" t="e">
        <f>('вместе-абс'!#REF! - 'вместе-абс'!#REF!) / 'вместе-абс'!#REF!</f>
        <v>#REF!</v>
      </c>
      <c r="N5" s="2" t="e">
        <f>('вместе-абс'!#REF! - 'вместе-абс'!#REF!) / 'вместе-абс'!#REF!</f>
        <v>#REF!</v>
      </c>
      <c r="O5" s="2" t="e">
        <f>('вместе-абс'!#REF! - 'вместе-абс'!#REF!) / 'вместе-абс'!#REF!</f>
        <v>#REF!</v>
      </c>
      <c r="P5" s="2" t="e">
        <f>('вместе-абс'!#REF! - 'вместе-абс'!#REF!) / 'вместе-абс'!#REF!</f>
        <v>#REF!</v>
      </c>
      <c r="Q5" s="2" t="e">
        <f>('вместе-абс'!#REF! - 'вместе-абс'!#REF!) / 'вместе-абс'!#REF!</f>
        <v>#REF!</v>
      </c>
      <c r="R5" s="2" t="e">
        <f>('вместе-абс'!#REF! - 'вместе-абс'!#REF!) / 'вместе-абс'!#REF!</f>
        <v>#REF!</v>
      </c>
      <c r="S5" s="2" t="e">
        <f>('вместе-абс'!#REF! - 'вместе-абс'!#REF!) / 'вместе-абс'!#REF!</f>
        <v>#REF!</v>
      </c>
      <c r="T5" s="2" t="e">
        <f>('вместе-абс'!#REF! - 'вместе-абс'!#REF!) / 'вместе-абс'!#REF!</f>
        <v>#REF!</v>
      </c>
      <c r="U5" s="2" t="e">
        <f>('вместе-абс'!#REF! - 'вместе-абс'!#REF!) / 'вместе-абс'!#REF!</f>
        <v>#REF!</v>
      </c>
      <c r="V5" s="2" t="e">
        <f>('вместе-абс'!#REF! - 'вместе-абс'!#REF!) / 'вместе-абс'!#REF!</f>
        <v>#REF!</v>
      </c>
    </row>
    <row r="6" spans="1:22" x14ac:dyDescent="0.25">
      <c r="A6" s="12">
        <f t="shared" si="0"/>
        <v>1921</v>
      </c>
      <c r="B6" s="2" t="e">
        <f>('вместе-абс'!#REF! - 'вместе-абс'!#REF!) / 'вместе-абс'!#REF!</f>
        <v>#REF!</v>
      </c>
      <c r="C6" s="2" t="e">
        <f>('вместе-абс'!#REF! - 'вместе-абс'!#REF!) / 'вместе-абс'!#REF!</f>
        <v>#REF!</v>
      </c>
      <c r="D6" s="2" t="e">
        <f>('вместе-абс'!#REF! - 'вместе-абс'!#REF!) / 'вместе-абс'!#REF!</f>
        <v>#REF!</v>
      </c>
      <c r="E6" s="2" t="e">
        <f>('вместе-абс'!#REF! - 'вместе-абс'!#REF!) / 'вместе-абс'!#REF!</f>
        <v>#REF!</v>
      </c>
      <c r="F6" s="2" t="e">
        <f>('вместе-абс'!#REF! - 'вместе-абс'!#REF!) / 'вместе-абс'!#REF!</f>
        <v>#REF!</v>
      </c>
      <c r="G6" s="2" t="e">
        <f>('вместе-абс'!#REF! - 'вместе-абс'!#REF!) / 'вместе-абс'!#REF!</f>
        <v>#REF!</v>
      </c>
      <c r="H6" s="2" t="e">
        <f>('вместе-абс'!#REF! - 'вместе-абс'!#REF!) / 'вместе-абс'!#REF!</f>
        <v>#REF!</v>
      </c>
      <c r="I6" s="2" t="e">
        <f>('вместе-абс'!#REF! - 'вместе-абс'!#REF!) / 'вместе-абс'!#REF!</f>
        <v>#REF!</v>
      </c>
      <c r="J6" s="2" t="e">
        <f>('вместе-абс'!#REF! - 'вместе-абс'!#REF!) / 'вместе-абс'!#REF!</f>
        <v>#REF!</v>
      </c>
      <c r="K6" s="2" t="e">
        <f>('вместе-абс'!#REF! - 'вместе-абс'!#REF!) / 'вместе-абс'!#REF!</f>
        <v>#REF!</v>
      </c>
      <c r="L6" s="2" t="e">
        <f>('вместе-абс'!#REF! - 'вместе-абс'!#REF!) / 'вместе-абс'!#REF!</f>
        <v>#REF!</v>
      </c>
      <c r="M6" s="2" t="e">
        <f>('вместе-абс'!#REF! - 'вместе-абс'!#REF!) / 'вместе-абс'!#REF!</f>
        <v>#REF!</v>
      </c>
      <c r="N6" s="2" t="e">
        <f>('вместе-абс'!#REF! - 'вместе-абс'!#REF!) / 'вместе-абс'!#REF!</f>
        <v>#REF!</v>
      </c>
      <c r="O6" s="2" t="e">
        <f>('вместе-абс'!#REF! - 'вместе-абс'!#REF!) / 'вместе-абс'!#REF!</f>
        <v>#REF!</v>
      </c>
      <c r="P6" s="2" t="e">
        <f>('вместе-абс'!#REF! - 'вместе-абс'!#REF!) / 'вместе-абс'!#REF!</f>
        <v>#REF!</v>
      </c>
      <c r="Q6" s="2" t="e">
        <f>('вместе-абс'!#REF! - 'вместе-абс'!#REF!) / 'вместе-абс'!#REF!</f>
        <v>#REF!</v>
      </c>
      <c r="R6" s="2" t="e">
        <f>('вместе-абс'!#REF! - 'вместе-абс'!#REF!) / 'вместе-абс'!#REF!</f>
        <v>#REF!</v>
      </c>
      <c r="S6" s="2" t="e">
        <f>('вместе-абс'!#REF! - 'вместе-абс'!#REF!) / 'вместе-абс'!#REF!</f>
        <v>#REF!</v>
      </c>
      <c r="T6" s="2" t="e">
        <f>('вместе-абс'!#REF! - 'вместе-абс'!#REF!) / 'вместе-абс'!#REF!</f>
        <v>#REF!</v>
      </c>
      <c r="U6" s="2" t="e">
        <f>('вместе-абс'!#REF! - 'вместе-абс'!#REF!) / 'вместе-абс'!#REF!</f>
        <v>#REF!</v>
      </c>
      <c r="V6" s="2" t="e">
        <f>('вместе-абс'!#REF! - 'вместе-абс'!#REF!) / 'вместе-абс'!#REF!</f>
        <v>#REF!</v>
      </c>
    </row>
    <row r="7" spans="1:22" x14ac:dyDescent="0.25">
      <c r="A7" s="12">
        <f t="shared" si="0"/>
        <v>1922</v>
      </c>
      <c r="B7" s="2" t="e">
        <f>('вместе-абс'!#REF! - 'вместе-абс'!#REF!) / 'вместе-абс'!#REF!</f>
        <v>#REF!</v>
      </c>
      <c r="C7" s="2" t="e">
        <f>('вместе-абс'!#REF! - 'вместе-абс'!#REF!) / 'вместе-абс'!#REF!</f>
        <v>#REF!</v>
      </c>
      <c r="D7" s="2" t="e">
        <f>('вместе-абс'!#REF! - 'вместе-абс'!#REF!) / 'вместе-абс'!#REF!</f>
        <v>#REF!</v>
      </c>
      <c r="E7" s="2" t="e">
        <f>('вместе-абс'!#REF! - 'вместе-абс'!#REF!) / 'вместе-абс'!#REF!</f>
        <v>#REF!</v>
      </c>
      <c r="F7" s="2" t="e">
        <f>('вместе-абс'!#REF! - 'вместе-абс'!#REF!) / 'вместе-абс'!#REF!</f>
        <v>#REF!</v>
      </c>
      <c r="G7" s="2" t="e">
        <f>('вместе-абс'!#REF! - 'вместе-абс'!#REF!) / 'вместе-абс'!#REF!</f>
        <v>#REF!</v>
      </c>
      <c r="H7" s="2" t="e">
        <f>('вместе-абс'!#REF! - 'вместе-абс'!#REF!) / 'вместе-абс'!#REF!</f>
        <v>#REF!</v>
      </c>
      <c r="I7" s="2" t="e">
        <f>('вместе-абс'!#REF! - 'вместе-абс'!#REF!) / 'вместе-абс'!#REF!</f>
        <v>#REF!</v>
      </c>
      <c r="J7" s="2" t="e">
        <f>('вместе-абс'!#REF! - 'вместе-абс'!#REF!) / 'вместе-абс'!#REF!</f>
        <v>#REF!</v>
      </c>
      <c r="K7" s="2" t="e">
        <f>('вместе-абс'!#REF! - 'вместе-абс'!#REF!) / 'вместе-абс'!#REF!</f>
        <v>#REF!</v>
      </c>
      <c r="L7" s="2" t="e">
        <f>('вместе-абс'!#REF! - 'вместе-абс'!#REF!) / 'вместе-абс'!#REF!</f>
        <v>#REF!</v>
      </c>
      <c r="M7" s="2" t="e">
        <f>('вместе-абс'!#REF! - 'вместе-абс'!#REF!) / 'вместе-абс'!#REF!</f>
        <v>#REF!</v>
      </c>
      <c r="N7" s="2" t="e">
        <f>('вместе-абс'!#REF! - 'вместе-абс'!#REF!) / 'вместе-абс'!#REF!</f>
        <v>#REF!</v>
      </c>
      <c r="O7" s="2" t="e">
        <f>('вместе-абс'!#REF! - 'вместе-абс'!#REF!) / 'вместе-абс'!#REF!</f>
        <v>#REF!</v>
      </c>
      <c r="P7" s="2" t="e">
        <f>('вместе-абс'!#REF! - 'вместе-абс'!#REF!) / 'вместе-абс'!#REF!</f>
        <v>#REF!</v>
      </c>
      <c r="Q7" s="2" t="e">
        <f>('вместе-абс'!#REF! - 'вместе-абс'!#REF!) / 'вместе-абс'!#REF!</f>
        <v>#REF!</v>
      </c>
      <c r="R7" s="2" t="e">
        <f>('вместе-абс'!#REF! - 'вместе-абс'!#REF!) / 'вместе-абс'!#REF!</f>
        <v>#REF!</v>
      </c>
      <c r="S7" s="2" t="e">
        <f>('вместе-абс'!#REF! - 'вместе-абс'!#REF!) / 'вместе-абс'!#REF!</f>
        <v>#REF!</v>
      </c>
      <c r="T7" s="2" t="e">
        <f>('вместе-абс'!#REF! - 'вместе-абс'!#REF!) / 'вместе-абс'!#REF!</f>
        <v>#REF!</v>
      </c>
      <c r="U7" s="2" t="e">
        <f>('вместе-абс'!#REF! - 'вместе-абс'!#REF!) / 'вместе-абс'!#REF!</f>
        <v>#REF!</v>
      </c>
      <c r="V7" s="2" t="e">
        <f>('вместе-абс'!#REF! - 'вместе-абс'!#REF!) / 'вместе-абс'!#REF!</f>
        <v>#REF!</v>
      </c>
    </row>
    <row r="8" spans="1:22" x14ac:dyDescent="0.25">
      <c r="A8" s="12">
        <f t="shared" si="0"/>
        <v>1923</v>
      </c>
      <c r="B8" s="2" t="e">
        <f>('вместе-абс'!#REF! - 'вместе-абс'!#REF!) / 'вместе-абс'!#REF!</f>
        <v>#REF!</v>
      </c>
      <c r="C8" s="2" t="e">
        <f>('вместе-абс'!#REF! - 'вместе-абс'!#REF!) / 'вместе-абс'!#REF!</f>
        <v>#REF!</v>
      </c>
      <c r="D8" s="2" t="e">
        <f>('вместе-абс'!#REF! - 'вместе-абс'!#REF!) / 'вместе-абс'!#REF!</f>
        <v>#REF!</v>
      </c>
      <c r="E8" s="2" t="e">
        <f>('вместе-абс'!#REF! - 'вместе-абс'!#REF!) / 'вместе-абс'!#REF!</f>
        <v>#REF!</v>
      </c>
      <c r="F8" s="2" t="e">
        <f>('вместе-абс'!#REF! - 'вместе-абс'!#REF!) / 'вместе-абс'!#REF!</f>
        <v>#REF!</v>
      </c>
      <c r="G8" s="2" t="e">
        <f>('вместе-абс'!#REF! - 'вместе-абс'!#REF!) / 'вместе-абс'!#REF!</f>
        <v>#REF!</v>
      </c>
      <c r="H8" s="2" t="e">
        <f>('вместе-абс'!#REF! - 'вместе-абс'!#REF!) / 'вместе-абс'!#REF!</f>
        <v>#REF!</v>
      </c>
      <c r="I8" s="2" t="e">
        <f>('вместе-абс'!#REF! - 'вместе-абс'!#REF!) / 'вместе-абс'!#REF!</f>
        <v>#REF!</v>
      </c>
      <c r="J8" s="2" t="e">
        <f>('вместе-абс'!#REF! - 'вместе-абс'!#REF!) / 'вместе-абс'!#REF!</f>
        <v>#REF!</v>
      </c>
      <c r="K8" s="2" t="e">
        <f>('вместе-абс'!#REF! - 'вместе-абс'!#REF!) / 'вместе-абс'!#REF!</f>
        <v>#REF!</v>
      </c>
      <c r="L8" s="2" t="e">
        <f>('вместе-абс'!#REF! - 'вместе-абс'!#REF!) / 'вместе-абс'!#REF!</f>
        <v>#REF!</v>
      </c>
      <c r="M8" s="2" t="e">
        <f>('вместе-абс'!#REF! - 'вместе-абс'!#REF!) / 'вместе-абс'!#REF!</f>
        <v>#REF!</v>
      </c>
      <c r="N8" s="2" t="e">
        <f>('вместе-абс'!#REF! - 'вместе-абс'!#REF!) / 'вместе-абс'!#REF!</f>
        <v>#REF!</v>
      </c>
      <c r="O8" s="2" t="e">
        <f>('вместе-абс'!#REF! - 'вместе-абс'!#REF!) / 'вместе-абс'!#REF!</f>
        <v>#REF!</v>
      </c>
      <c r="P8" s="2" t="e">
        <f>('вместе-абс'!#REF! - 'вместе-абс'!#REF!) / 'вместе-абс'!#REF!</f>
        <v>#REF!</v>
      </c>
      <c r="Q8" s="2" t="e">
        <f>('вместе-абс'!#REF! - 'вместе-абс'!#REF!) / 'вместе-абс'!#REF!</f>
        <v>#REF!</v>
      </c>
      <c r="R8" s="2" t="e">
        <f>('вместе-абс'!#REF! - 'вместе-абс'!#REF!) / 'вместе-абс'!#REF!</f>
        <v>#REF!</v>
      </c>
      <c r="S8" s="2" t="e">
        <f>('вместе-абс'!#REF! - 'вместе-абс'!#REF!) / 'вместе-абс'!#REF!</f>
        <v>#REF!</v>
      </c>
      <c r="T8" s="2" t="e">
        <f>('вместе-абс'!#REF! - 'вместе-абс'!#REF!) / 'вместе-абс'!#REF!</f>
        <v>#REF!</v>
      </c>
      <c r="U8" s="2" t="e">
        <f>('вместе-абс'!#REF! - 'вместе-абс'!#REF!) / 'вместе-абс'!#REF!</f>
        <v>#REF!</v>
      </c>
      <c r="V8" s="2" t="e">
        <f>('вместе-абс'!#REF! - 'вместе-абс'!#REF!) / 'вместе-абс'!#REF!</f>
        <v>#REF!</v>
      </c>
    </row>
    <row r="9" spans="1:22" x14ac:dyDescent="0.25">
      <c r="A9" s="12">
        <f t="shared" si="0"/>
        <v>1924</v>
      </c>
      <c r="B9" s="2" t="e">
        <f>('вместе-абс'!#REF! - 'вместе-абс'!#REF!) / 'вместе-абс'!#REF!</f>
        <v>#REF!</v>
      </c>
      <c r="C9" s="2" t="e">
        <f>('вместе-абс'!#REF! - 'вместе-абс'!#REF!) / 'вместе-абс'!#REF!</f>
        <v>#REF!</v>
      </c>
      <c r="D9" s="2" t="e">
        <f>('вместе-абс'!#REF! - 'вместе-абс'!#REF!) / 'вместе-абс'!#REF!</f>
        <v>#REF!</v>
      </c>
      <c r="E9" s="2" t="e">
        <f>('вместе-абс'!#REF! - 'вместе-абс'!#REF!) / 'вместе-абс'!#REF!</f>
        <v>#REF!</v>
      </c>
      <c r="F9" s="2" t="e">
        <f>('вместе-абс'!#REF! - 'вместе-абс'!#REF!) / 'вместе-абс'!#REF!</f>
        <v>#REF!</v>
      </c>
      <c r="G9" s="2" t="e">
        <f>('вместе-абс'!#REF! - 'вместе-абс'!#REF!) / 'вместе-абс'!#REF!</f>
        <v>#REF!</v>
      </c>
      <c r="H9" s="2" t="e">
        <f>('вместе-абс'!#REF! - 'вместе-абс'!#REF!) / 'вместе-абс'!#REF!</f>
        <v>#REF!</v>
      </c>
      <c r="I9" s="2" t="e">
        <f>('вместе-абс'!#REF! - 'вместе-абс'!#REF!) / 'вместе-абс'!#REF!</f>
        <v>#REF!</v>
      </c>
      <c r="J9" s="2" t="e">
        <f>('вместе-абс'!#REF! - 'вместе-абс'!#REF!) / 'вместе-абс'!#REF!</f>
        <v>#REF!</v>
      </c>
      <c r="K9" s="2" t="e">
        <f>('вместе-абс'!#REF! - 'вместе-абс'!#REF!) / 'вместе-абс'!#REF!</f>
        <v>#REF!</v>
      </c>
      <c r="L9" s="2" t="e">
        <f>('вместе-абс'!#REF! - 'вместе-абс'!#REF!) / 'вместе-абс'!#REF!</f>
        <v>#REF!</v>
      </c>
      <c r="M9" s="2" t="e">
        <f>('вместе-абс'!#REF! - 'вместе-абс'!#REF!) / 'вместе-абс'!#REF!</f>
        <v>#REF!</v>
      </c>
      <c r="N9" s="2" t="e">
        <f>('вместе-абс'!#REF! - 'вместе-абс'!#REF!) / 'вместе-абс'!#REF!</f>
        <v>#REF!</v>
      </c>
      <c r="O9" s="2" t="e">
        <f>('вместе-абс'!#REF! - 'вместе-абс'!#REF!) / 'вместе-абс'!#REF!</f>
        <v>#REF!</v>
      </c>
      <c r="P9" s="2" t="e">
        <f>('вместе-абс'!#REF! - 'вместе-абс'!#REF!) / 'вместе-абс'!#REF!</f>
        <v>#REF!</v>
      </c>
      <c r="Q9" s="2" t="e">
        <f>('вместе-абс'!#REF! - 'вместе-абс'!#REF!) / 'вместе-абс'!#REF!</f>
        <v>#REF!</v>
      </c>
      <c r="R9" s="2" t="e">
        <f>('вместе-абс'!#REF! - 'вместе-абс'!#REF!) / 'вместе-абс'!#REF!</f>
        <v>#REF!</v>
      </c>
      <c r="S9" s="2" t="e">
        <f>('вместе-абс'!#REF! - 'вместе-абс'!#REF!) / 'вместе-абс'!#REF!</f>
        <v>#REF!</v>
      </c>
      <c r="T9" s="2" t="e">
        <f>('вместе-абс'!#REF! - 'вместе-абс'!#REF!) / 'вместе-абс'!#REF!</f>
        <v>#REF!</v>
      </c>
      <c r="U9" s="2" t="e">
        <f>('вместе-абс'!#REF! - 'вместе-абс'!#REF!) / 'вместе-абс'!#REF!</f>
        <v>#REF!</v>
      </c>
      <c r="V9" s="2" t="e">
        <f>('вместе-абс'!#REF! - 'вместе-абс'!#REF!) / 'вместе-абс'!#REF!</f>
        <v>#REF!</v>
      </c>
    </row>
    <row r="10" spans="1:22" x14ac:dyDescent="0.25">
      <c r="A10" s="12">
        <f t="shared" si="0"/>
        <v>1925</v>
      </c>
      <c r="B10" s="2" t="e">
        <f>('вместе-абс'!#REF! - 'вместе-абс'!#REF!) / 'вместе-абс'!#REF!</f>
        <v>#REF!</v>
      </c>
      <c r="C10" s="2" t="e">
        <f>('вместе-абс'!#REF! - 'вместе-абс'!#REF!) / 'вместе-абс'!#REF!</f>
        <v>#REF!</v>
      </c>
      <c r="D10" s="2" t="e">
        <f>('вместе-абс'!#REF! - 'вместе-абс'!#REF!) / 'вместе-абс'!#REF!</f>
        <v>#REF!</v>
      </c>
      <c r="E10" s="2" t="e">
        <f>('вместе-абс'!#REF! - 'вместе-абс'!#REF!) / 'вместе-абс'!#REF!</f>
        <v>#REF!</v>
      </c>
      <c r="F10" s="2" t="e">
        <f>('вместе-абс'!#REF! - 'вместе-абс'!#REF!) / 'вместе-абс'!#REF!</f>
        <v>#REF!</v>
      </c>
      <c r="G10" s="2" t="e">
        <f>('вместе-абс'!#REF! - 'вместе-абс'!#REF!) / 'вместе-абс'!#REF!</f>
        <v>#REF!</v>
      </c>
      <c r="H10" s="2" t="e">
        <f>('вместе-абс'!#REF! - 'вместе-абс'!#REF!) / 'вместе-абс'!#REF!</f>
        <v>#REF!</v>
      </c>
      <c r="I10" s="2" t="e">
        <f>('вместе-абс'!#REF! - 'вместе-абс'!#REF!) / 'вместе-абс'!#REF!</f>
        <v>#REF!</v>
      </c>
      <c r="J10" s="2" t="e">
        <f>('вместе-абс'!#REF! - 'вместе-абс'!#REF!) / 'вместе-абс'!#REF!</f>
        <v>#REF!</v>
      </c>
      <c r="K10" s="2" t="e">
        <f>('вместе-абс'!#REF! - 'вместе-абс'!#REF!) / 'вместе-абс'!#REF!</f>
        <v>#REF!</v>
      </c>
      <c r="L10" s="2" t="e">
        <f>('вместе-абс'!#REF! - 'вместе-абс'!#REF!) / 'вместе-абс'!#REF!</f>
        <v>#REF!</v>
      </c>
      <c r="M10" s="2" t="e">
        <f>('вместе-абс'!#REF! - 'вместе-абс'!#REF!) / 'вместе-абс'!#REF!</f>
        <v>#REF!</v>
      </c>
      <c r="N10" s="2" t="e">
        <f>('вместе-абс'!#REF! - 'вместе-абс'!#REF!) / 'вместе-абс'!#REF!</f>
        <v>#REF!</v>
      </c>
      <c r="O10" s="2" t="e">
        <f>('вместе-абс'!#REF! - 'вместе-абс'!#REF!) / 'вместе-абс'!#REF!</f>
        <v>#REF!</v>
      </c>
      <c r="P10" s="2" t="e">
        <f>('вместе-абс'!#REF! - 'вместе-абс'!#REF!) / 'вместе-абс'!#REF!</f>
        <v>#REF!</v>
      </c>
      <c r="Q10" s="2" t="e">
        <f>('вместе-абс'!#REF! - 'вместе-абс'!#REF!) / 'вместе-абс'!#REF!</f>
        <v>#REF!</v>
      </c>
      <c r="R10" s="2" t="e">
        <f>('вместе-абс'!#REF! - 'вместе-абс'!#REF!) / 'вместе-абс'!#REF!</f>
        <v>#REF!</v>
      </c>
      <c r="S10" s="2" t="e">
        <f>('вместе-абс'!#REF! - 'вместе-абс'!#REF!) / 'вместе-абс'!#REF!</f>
        <v>#REF!</v>
      </c>
      <c r="T10" s="2" t="e">
        <f>('вместе-абс'!#REF! - 'вместе-абс'!#REF!) / 'вместе-абс'!#REF!</f>
        <v>#REF!</v>
      </c>
      <c r="U10" s="2" t="e">
        <f>('вместе-абс'!#REF! - 'вместе-абс'!#REF!) / 'вместе-абс'!#REF!</f>
        <v>#REF!</v>
      </c>
      <c r="V10" s="2" t="e">
        <f>('вместе-абс'!#REF! - 'вместе-абс'!#REF!) / 'вместе-абс'!#REF!</f>
        <v>#REF!</v>
      </c>
    </row>
    <row r="11" spans="1:22" x14ac:dyDescent="0.25">
      <c r="A11" s="12">
        <f t="shared" si="0"/>
        <v>1926</v>
      </c>
      <c r="B11" s="2" t="e">
        <f>('вместе-абс'!#REF! - 'вместе-абс'!#REF!) / 'вместе-абс'!#REF!</f>
        <v>#REF!</v>
      </c>
      <c r="C11" s="2" t="e">
        <f>('вместе-абс'!#REF! - 'вместе-абс'!#REF!) / 'вместе-абс'!#REF!</f>
        <v>#REF!</v>
      </c>
      <c r="D11" s="2" t="e">
        <f>('вместе-абс'!#REF! - 'вместе-абс'!#REF!) / 'вместе-абс'!#REF!</f>
        <v>#REF!</v>
      </c>
      <c r="E11" s="2" t="e">
        <f>('вместе-абс'!#REF! - 'вместе-абс'!#REF!) / 'вместе-абс'!#REF!</f>
        <v>#REF!</v>
      </c>
      <c r="F11" s="2" t="e">
        <f>('вместе-абс'!#REF! - 'вместе-абс'!#REF!) / 'вместе-абс'!#REF!</f>
        <v>#REF!</v>
      </c>
      <c r="G11" s="2" t="e">
        <f>('вместе-абс'!#REF! - 'вместе-абс'!#REF!) / 'вместе-абс'!#REF!</f>
        <v>#REF!</v>
      </c>
      <c r="H11" s="2" t="e">
        <f>('вместе-абс'!#REF! - 'вместе-абс'!#REF!) / 'вместе-абс'!#REF!</f>
        <v>#REF!</v>
      </c>
      <c r="I11" s="2" t="e">
        <f>('вместе-абс'!#REF! - 'вместе-абс'!#REF!) / 'вместе-абс'!#REF!</f>
        <v>#REF!</v>
      </c>
      <c r="J11" s="2" t="e">
        <f>('вместе-абс'!#REF! - 'вместе-абс'!#REF!) / 'вместе-абс'!#REF!</f>
        <v>#REF!</v>
      </c>
      <c r="K11" s="2" t="e">
        <f>('вместе-абс'!#REF! - 'вместе-абс'!#REF!) / 'вместе-абс'!#REF!</f>
        <v>#REF!</v>
      </c>
      <c r="L11" s="2" t="e">
        <f>('вместе-абс'!#REF! - 'вместе-абс'!#REF!) / 'вместе-абс'!#REF!</f>
        <v>#REF!</v>
      </c>
      <c r="M11" s="2" t="e">
        <f>('вместе-абс'!#REF! - 'вместе-абс'!#REF!) / 'вместе-абс'!#REF!</f>
        <v>#REF!</v>
      </c>
      <c r="N11" s="2" t="e">
        <f>('вместе-абс'!#REF! - 'вместе-абс'!#REF!) / 'вместе-абс'!#REF!</f>
        <v>#REF!</v>
      </c>
      <c r="O11" s="2" t="e">
        <f>('вместе-абс'!#REF! - 'вместе-абс'!#REF!) / 'вместе-абс'!#REF!</f>
        <v>#REF!</v>
      </c>
      <c r="P11" s="2" t="e">
        <f>('вместе-абс'!#REF! - 'вместе-абс'!#REF!) / 'вместе-абс'!#REF!</f>
        <v>#REF!</v>
      </c>
      <c r="Q11" s="2" t="e">
        <f>('вместе-абс'!#REF! - 'вместе-абс'!#REF!) / 'вместе-абс'!#REF!</f>
        <v>#REF!</v>
      </c>
      <c r="R11" s="2" t="e">
        <f>('вместе-абс'!#REF! - 'вместе-абс'!#REF!) / 'вместе-абс'!#REF!</f>
        <v>#REF!</v>
      </c>
      <c r="S11" s="2" t="e">
        <f>('вместе-абс'!#REF! - 'вместе-абс'!#REF!) / 'вместе-абс'!#REF!</f>
        <v>#REF!</v>
      </c>
      <c r="T11" s="2" t="e">
        <f>('вместе-абс'!#REF! - 'вместе-абс'!#REF!) / 'вместе-абс'!#REF!</f>
        <v>#REF!</v>
      </c>
      <c r="U11" s="2" t="e">
        <f>('вместе-абс'!#REF! - 'вместе-абс'!#REF!) / 'вместе-абс'!#REF!</f>
        <v>#REF!</v>
      </c>
      <c r="V11" s="2" t="e">
        <f>('вместе-абс'!#REF! - 'вместе-абс'!#REF!) / 'вместе-абс'!#REF!</f>
        <v>#REF!</v>
      </c>
    </row>
    <row r="12" spans="1:22" x14ac:dyDescent="0.25">
      <c r="A12" s="12">
        <f t="shared" si="0"/>
        <v>1927</v>
      </c>
      <c r="B12" s="2" t="e">
        <f>('вместе-абс'!#REF! - 'вместе-абс'!#REF!) / 'вместе-абс'!#REF!</f>
        <v>#REF!</v>
      </c>
      <c r="C12" s="2" t="e">
        <f>('вместе-абс'!#REF! - 'вместе-абс'!#REF!) / 'вместе-абс'!#REF!</f>
        <v>#REF!</v>
      </c>
      <c r="D12" s="2" t="e">
        <f>('вместе-абс'!#REF! - 'вместе-абс'!#REF!) / 'вместе-абс'!#REF!</f>
        <v>#REF!</v>
      </c>
      <c r="E12" s="2" t="e">
        <f>('вместе-абс'!#REF! - 'вместе-абс'!#REF!) / 'вместе-абс'!#REF!</f>
        <v>#REF!</v>
      </c>
      <c r="F12" s="2" t="e">
        <f>('вместе-абс'!#REF! - 'вместе-абс'!#REF!) / 'вместе-абс'!#REF!</f>
        <v>#REF!</v>
      </c>
      <c r="G12" s="2" t="e">
        <f>('вместе-абс'!#REF! - 'вместе-абс'!#REF!) / 'вместе-абс'!#REF!</f>
        <v>#REF!</v>
      </c>
      <c r="H12" s="2" t="e">
        <f>('вместе-абс'!#REF! - 'вместе-абс'!#REF!) / 'вместе-абс'!#REF!</f>
        <v>#REF!</v>
      </c>
      <c r="I12" s="2" t="e">
        <f>('вместе-абс'!#REF! - 'вместе-абс'!#REF!) / 'вместе-абс'!#REF!</f>
        <v>#REF!</v>
      </c>
      <c r="J12" s="2" t="e">
        <f>('вместе-абс'!#REF! - 'вместе-абс'!#REF!) / 'вместе-абс'!#REF!</f>
        <v>#REF!</v>
      </c>
      <c r="K12" s="2" t="e">
        <f>('вместе-абс'!#REF! - 'вместе-абс'!#REF!) / 'вместе-абс'!#REF!</f>
        <v>#REF!</v>
      </c>
      <c r="L12" s="2" t="e">
        <f>('вместе-абс'!#REF! - 'вместе-абс'!#REF!) / 'вместе-абс'!#REF!</f>
        <v>#REF!</v>
      </c>
      <c r="M12" s="2" t="e">
        <f>('вместе-абс'!#REF! - 'вместе-абс'!#REF!) / 'вместе-абс'!#REF!</f>
        <v>#REF!</v>
      </c>
      <c r="N12" s="2" t="e">
        <f>('вместе-абс'!#REF! - 'вместе-абс'!#REF!) / 'вместе-абс'!#REF!</f>
        <v>#REF!</v>
      </c>
      <c r="O12" s="2" t="e">
        <f>('вместе-абс'!#REF! - 'вместе-абс'!#REF!) / 'вместе-абс'!#REF!</f>
        <v>#REF!</v>
      </c>
      <c r="P12" s="2" t="e">
        <f>('вместе-абс'!#REF! - 'вместе-абс'!#REF!) / 'вместе-абс'!#REF!</f>
        <v>#REF!</v>
      </c>
      <c r="Q12" s="2" t="e">
        <f>('вместе-абс'!#REF! - 'вместе-абс'!#REF!) / 'вместе-абс'!#REF!</f>
        <v>#REF!</v>
      </c>
      <c r="R12" s="2" t="e">
        <f>('вместе-абс'!#REF! - 'вместе-абс'!#REF!) / 'вместе-абс'!#REF!</f>
        <v>#REF!</v>
      </c>
      <c r="S12" s="2" t="e">
        <f>('вместе-абс'!#REF! - 'вместе-абс'!#REF!) / 'вместе-абс'!#REF!</f>
        <v>#REF!</v>
      </c>
      <c r="T12" s="2" t="e">
        <f>('вместе-абс'!#REF! - 'вместе-абс'!#REF!) / 'вместе-абс'!#REF!</f>
        <v>#REF!</v>
      </c>
      <c r="U12" s="2" t="e">
        <f>('вместе-абс'!#REF! - 'вместе-абс'!#REF!) / 'вместе-абс'!#REF!</f>
        <v>#REF!</v>
      </c>
      <c r="V12" s="2" t="e">
        <f>('вместе-абс'!#REF! - 'вместе-абс'!#REF!) / 'вместе-абс'!#REF!</f>
        <v>#REF!</v>
      </c>
    </row>
    <row r="13" spans="1:22" x14ac:dyDescent="0.25">
      <c r="A13" s="12">
        <f t="shared" si="0"/>
        <v>1928</v>
      </c>
      <c r="B13" s="2" t="e">
        <f>('вместе-абс'!#REF! - 'вместе-абс'!#REF!) / 'вместе-абс'!#REF!</f>
        <v>#REF!</v>
      </c>
      <c r="C13" s="2" t="e">
        <f>('вместе-абс'!#REF! - 'вместе-абс'!#REF!) / 'вместе-абс'!#REF!</f>
        <v>#REF!</v>
      </c>
      <c r="D13" s="2" t="e">
        <f>('вместе-абс'!#REF! - 'вместе-абс'!#REF!) / 'вместе-абс'!#REF!</f>
        <v>#REF!</v>
      </c>
      <c r="E13" s="2" t="e">
        <f>('вместе-абс'!#REF! - 'вместе-абс'!#REF!) / 'вместе-абс'!#REF!</f>
        <v>#REF!</v>
      </c>
      <c r="F13" s="2" t="e">
        <f>('вместе-абс'!#REF! - 'вместе-абс'!#REF!) / 'вместе-абс'!#REF!</f>
        <v>#REF!</v>
      </c>
      <c r="G13" s="2" t="e">
        <f>('вместе-абс'!#REF! - 'вместе-абс'!#REF!) / 'вместе-абс'!#REF!</f>
        <v>#REF!</v>
      </c>
      <c r="H13" s="2" t="e">
        <f>('вместе-абс'!#REF! - 'вместе-абс'!#REF!) / 'вместе-абс'!#REF!</f>
        <v>#REF!</v>
      </c>
      <c r="I13" s="2" t="e">
        <f>('вместе-абс'!#REF! - 'вместе-абс'!#REF!) / 'вместе-абс'!#REF!</f>
        <v>#REF!</v>
      </c>
      <c r="J13" s="2" t="e">
        <f>('вместе-абс'!#REF! - 'вместе-абс'!#REF!) / 'вместе-абс'!#REF!</f>
        <v>#REF!</v>
      </c>
      <c r="K13" s="2" t="e">
        <f>('вместе-абс'!#REF! - 'вместе-абс'!#REF!) / 'вместе-абс'!#REF!</f>
        <v>#REF!</v>
      </c>
      <c r="L13" s="2" t="e">
        <f>('вместе-абс'!#REF! - 'вместе-абс'!#REF!) / 'вместе-абс'!#REF!</f>
        <v>#REF!</v>
      </c>
      <c r="M13" s="2" t="e">
        <f>('вместе-абс'!#REF! - 'вместе-абс'!#REF!) / 'вместе-абс'!#REF!</f>
        <v>#REF!</v>
      </c>
      <c r="N13" s="2" t="e">
        <f>('вместе-абс'!#REF! - 'вместе-абс'!#REF!) / 'вместе-абс'!#REF!</f>
        <v>#REF!</v>
      </c>
      <c r="O13" s="2" t="e">
        <f>('вместе-абс'!#REF! - 'вместе-абс'!#REF!) / 'вместе-абс'!#REF!</f>
        <v>#REF!</v>
      </c>
      <c r="P13" s="2" t="e">
        <f>('вместе-абс'!#REF! - 'вместе-абс'!#REF!) / 'вместе-абс'!#REF!</f>
        <v>#REF!</v>
      </c>
      <c r="Q13" s="2" t="e">
        <f>('вместе-абс'!#REF! - 'вместе-абс'!#REF!) / 'вместе-абс'!#REF!</f>
        <v>#REF!</v>
      </c>
      <c r="R13" s="2" t="e">
        <f>('вместе-абс'!#REF! - 'вместе-абс'!#REF!) / 'вместе-абс'!#REF!</f>
        <v>#REF!</v>
      </c>
      <c r="S13" s="2" t="e">
        <f>('вместе-абс'!#REF! - 'вместе-абс'!#REF!) / 'вместе-абс'!#REF!</f>
        <v>#REF!</v>
      </c>
      <c r="T13" s="2" t="e">
        <f>('вместе-абс'!#REF! - 'вместе-абс'!#REF!) / 'вместе-абс'!#REF!</f>
        <v>#REF!</v>
      </c>
      <c r="U13" s="2" t="e">
        <f>('вместе-абс'!#REF! - 'вместе-абс'!#REF!) / 'вместе-абс'!#REF!</f>
        <v>#REF!</v>
      </c>
      <c r="V13" s="2" t="e">
        <f>('вместе-абс'!#REF! - 'вместе-абс'!#REF!) / 'вместе-абс'!#REF!</f>
        <v>#REF!</v>
      </c>
    </row>
    <row r="14" spans="1:22" x14ac:dyDescent="0.25">
      <c r="A14" s="12">
        <f t="shared" si="0"/>
        <v>1929</v>
      </c>
      <c r="B14" s="2" t="e">
        <f>('вместе-абс'!#REF! - 'вместе-абс'!#REF!) / 'вместе-абс'!#REF!</f>
        <v>#REF!</v>
      </c>
      <c r="C14" s="2" t="e">
        <f>('вместе-абс'!#REF! - 'вместе-абс'!#REF!) / 'вместе-абс'!#REF!</f>
        <v>#REF!</v>
      </c>
      <c r="D14" s="2" t="e">
        <f>('вместе-абс'!#REF! - 'вместе-абс'!#REF!) / 'вместе-абс'!#REF!</f>
        <v>#REF!</v>
      </c>
      <c r="E14" s="2" t="e">
        <f>('вместе-абс'!#REF! - 'вместе-абс'!#REF!) / 'вместе-абс'!#REF!</f>
        <v>#REF!</v>
      </c>
      <c r="F14" s="2" t="e">
        <f>('вместе-абс'!#REF! - 'вместе-абс'!#REF!) / 'вместе-абс'!#REF!</f>
        <v>#REF!</v>
      </c>
      <c r="G14" s="2" t="e">
        <f>('вместе-абс'!#REF! - 'вместе-абс'!#REF!) / 'вместе-абс'!#REF!</f>
        <v>#REF!</v>
      </c>
      <c r="H14" s="2" t="e">
        <f>('вместе-абс'!#REF! - 'вместе-абс'!#REF!) / 'вместе-абс'!#REF!</f>
        <v>#REF!</v>
      </c>
      <c r="I14" s="2" t="e">
        <f>('вместе-абс'!#REF! - 'вместе-абс'!#REF!) / 'вместе-абс'!#REF!</f>
        <v>#REF!</v>
      </c>
      <c r="J14" s="2" t="e">
        <f>('вместе-абс'!#REF! - 'вместе-абс'!#REF!) / 'вместе-абс'!#REF!</f>
        <v>#REF!</v>
      </c>
      <c r="K14" s="2" t="e">
        <f>('вместе-абс'!#REF! - 'вместе-абс'!#REF!) / 'вместе-абс'!#REF!</f>
        <v>#REF!</v>
      </c>
      <c r="L14" s="2" t="e">
        <f>('вместе-абс'!#REF! - 'вместе-абс'!#REF!) / 'вместе-абс'!#REF!</f>
        <v>#REF!</v>
      </c>
      <c r="M14" s="2" t="e">
        <f>('вместе-абс'!#REF! - 'вместе-абс'!#REF!) / 'вместе-абс'!#REF!</f>
        <v>#REF!</v>
      </c>
      <c r="N14" s="2" t="e">
        <f>('вместе-абс'!#REF! - 'вместе-абс'!#REF!) / 'вместе-абс'!#REF!</f>
        <v>#REF!</v>
      </c>
      <c r="O14" s="2" t="e">
        <f>('вместе-абс'!#REF! - 'вместе-абс'!#REF!) / 'вместе-абс'!#REF!</f>
        <v>#REF!</v>
      </c>
      <c r="P14" s="2" t="e">
        <f>('вместе-абс'!#REF! - 'вместе-абс'!#REF!) / 'вместе-абс'!#REF!</f>
        <v>#REF!</v>
      </c>
      <c r="Q14" s="2" t="e">
        <f>('вместе-абс'!#REF! - 'вместе-абс'!#REF!) / 'вместе-абс'!#REF!</f>
        <v>#REF!</v>
      </c>
      <c r="R14" s="2" t="e">
        <f>('вместе-абс'!#REF! - 'вместе-абс'!#REF!) / 'вместе-абс'!#REF!</f>
        <v>#REF!</v>
      </c>
      <c r="S14" s="2" t="e">
        <f>('вместе-абс'!#REF! - 'вместе-абс'!#REF!) / 'вместе-абс'!#REF!</f>
        <v>#REF!</v>
      </c>
      <c r="T14" s="2" t="e">
        <f>('вместе-абс'!#REF! - 'вместе-абс'!#REF!) / 'вместе-абс'!#REF!</f>
        <v>#REF!</v>
      </c>
      <c r="U14" s="2" t="e">
        <f>('вместе-абс'!#REF! - 'вместе-абс'!#REF!) / 'вместе-абс'!#REF!</f>
        <v>#REF!</v>
      </c>
      <c r="V14" s="2" t="e">
        <f>('вместе-абс'!#REF! - 'вместе-абс'!#REF!) / 'вместе-абс'!#REF!</f>
        <v>#REF!</v>
      </c>
    </row>
    <row r="15" spans="1:22" x14ac:dyDescent="0.25">
      <c r="A15" s="12">
        <f t="shared" si="0"/>
        <v>1930</v>
      </c>
      <c r="B15" s="2" t="e">
        <f>('вместе-абс'!#REF! - 'вместе-абс'!#REF!) / 'вместе-абс'!#REF!</f>
        <v>#REF!</v>
      </c>
      <c r="C15" s="2" t="e">
        <f>('вместе-абс'!#REF! - 'вместе-абс'!#REF!) / 'вместе-абс'!#REF!</f>
        <v>#REF!</v>
      </c>
      <c r="D15" s="2" t="e">
        <f>('вместе-абс'!#REF! - 'вместе-абс'!#REF!) / 'вместе-абс'!#REF!</f>
        <v>#REF!</v>
      </c>
      <c r="E15" s="2" t="e">
        <f>('вместе-абс'!#REF! - 'вместе-абс'!#REF!) / 'вместе-абс'!#REF!</f>
        <v>#REF!</v>
      </c>
      <c r="F15" s="2" t="e">
        <f>('вместе-абс'!#REF! - 'вместе-абс'!#REF!) / 'вместе-абс'!#REF!</f>
        <v>#REF!</v>
      </c>
      <c r="G15" s="2" t="e">
        <f>('вместе-абс'!#REF! - 'вместе-абс'!#REF!) / 'вместе-абс'!#REF!</f>
        <v>#REF!</v>
      </c>
      <c r="H15" s="2" t="e">
        <f>('вместе-абс'!#REF! - 'вместе-абс'!#REF!) / 'вместе-абс'!#REF!</f>
        <v>#REF!</v>
      </c>
      <c r="I15" s="2" t="e">
        <f>('вместе-абс'!#REF! - 'вместе-абс'!#REF!) / 'вместе-абс'!#REF!</f>
        <v>#REF!</v>
      </c>
      <c r="J15" s="2" t="e">
        <f>('вместе-абс'!#REF! - 'вместе-абс'!#REF!) / 'вместе-абс'!#REF!</f>
        <v>#REF!</v>
      </c>
      <c r="K15" s="2" t="e">
        <f>('вместе-абс'!#REF! - 'вместе-абс'!#REF!) / 'вместе-абс'!#REF!</f>
        <v>#REF!</v>
      </c>
      <c r="L15" s="2" t="e">
        <f>('вместе-абс'!#REF! - 'вместе-абс'!#REF!) / 'вместе-абс'!#REF!</f>
        <v>#REF!</v>
      </c>
      <c r="M15" s="2" t="e">
        <f>('вместе-абс'!#REF! - 'вместе-абс'!#REF!) / 'вместе-абс'!#REF!</f>
        <v>#REF!</v>
      </c>
      <c r="N15" s="2" t="e">
        <f>('вместе-абс'!#REF! - 'вместе-абс'!#REF!) / 'вместе-абс'!#REF!</f>
        <v>#REF!</v>
      </c>
      <c r="O15" s="2" t="e">
        <f>('вместе-абс'!#REF! - 'вместе-абс'!#REF!) / 'вместе-абс'!#REF!</f>
        <v>#REF!</v>
      </c>
      <c r="P15" s="2" t="e">
        <f>('вместе-абс'!#REF! - 'вместе-абс'!#REF!) / 'вместе-абс'!#REF!</f>
        <v>#REF!</v>
      </c>
      <c r="Q15" s="2" t="e">
        <f>('вместе-абс'!#REF! - 'вместе-абс'!#REF!) / 'вместе-абс'!#REF!</f>
        <v>#REF!</v>
      </c>
      <c r="R15" s="2" t="e">
        <f>('вместе-абс'!#REF! - 'вместе-абс'!#REF!) / 'вместе-абс'!#REF!</f>
        <v>#REF!</v>
      </c>
      <c r="S15" s="2" t="e">
        <f>('вместе-абс'!#REF! - 'вместе-абс'!#REF!) / 'вместе-абс'!#REF!</f>
        <v>#REF!</v>
      </c>
      <c r="T15" s="2" t="e">
        <f>('вместе-абс'!#REF! - 'вместе-абс'!#REF!) / 'вместе-абс'!#REF!</f>
        <v>#REF!</v>
      </c>
      <c r="U15" s="2" t="e">
        <f>('вместе-абс'!#REF! - 'вместе-абс'!#REF!) / 'вместе-абс'!#REF!</f>
        <v>#REF!</v>
      </c>
      <c r="V15" s="2" t="e">
        <f>('вместе-абс'!#REF! - 'вместе-абс'!#REF!) / 'вместе-абс'!#REF!</f>
        <v>#REF!</v>
      </c>
    </row>
    <row r="16" spans="1:22" x14ac:dyDescent="0.25">
      <c r="A16" s="12">
        <f t="shared" si="0"/>
        <v>1931</v>
      </c>
      <c r="B16" s="2" t="e">
        <f>('вместе-абс'!#REF! - 'вместе-абс'!#REF!) / 'вместе-абс'!#REF!</f>
        <v>#REF!</v>
      </c>
      <c r="C16" s="2" t="e">
        <f>('вместе-абс'!#REF! - 'вместе-абс'!#REF!) / 'вместе-абс'!#REF!</f>
        <v>#REF!</v>
      </c>
      <c r="D16" s="2" t="e">
        <f>('вместе-абс'!#REF! - 'вместе-абс'!#REF!) / 'вместе-абс'!#REF!</f>
        <v>#REF!</v>
      </c>
      <c r="E16" s="2" t="e">
        <f>('вместе-абс'!#REF! - 'вместе-абс'!#REF!) / 'вместе-абс'!#REF!</f>
        <v>#REF!</v>
      </c>
      <c r="F16" s="2" t="e">
        <f>('вместе-абс'!#REF! - 'вместе-абс'!#REF!) / 'вместе-абс'!#REF!</f>
        <v>#REF!</v>
      </c>
      <c r="G16" s="2" t="e">
        <f>('вместе-абс'!#REF! - 'вместе-абс'!#REF!) / 'вместе-абс'!#REF!</f>
        <v>#REF!</v>
      </c>
      <c r="H16" s="2" t="e">
        <f>('вместе-абс'!#REF! - 'вместе-абс'!#REF!) / 'вместе-абс'!#REF!</f>
        <v>#REF!</v>
      </c>
      <c r="I16" s="2" t="e">
        <f>('вместе-абс'!#REF! - 'вместе-абс'!#REF!) / 'вместе-абс'!#REF!</f>
        <v>#REF!</v>
      </c>
      <c r="J16" s="2" t="e">
        <f>('вместе-абс'!#REF! - 'вместе-абс'!#REF!) / 'вместе-абс'!#REF!</f>
        <v>#REF!</v>
      </c>
      <c r="K16" s="2" t="e">
        <f>('вместе-абс'!#REF! - 'вместе-абс'!#REF!) / 'вместе-абс'!#REF!</f>
        <v>#REF!</v>
      </c>
      <c r="L16" s="2" t="e">
        <f>('вместе-абс'!#REF! - 'вместе-абс'!#REF!) / 'вместе-абс'!#REF!</f>
        <v>#REF!</v>
      </c>
      <c r="M16" s="2" t="e">
        <f>('вместе-абс'!#REF! - 'вместе-абс'!#REF!) / 'вместе-абс'!#REF!</f>
        <v>#REF!</v>
      </c>
      <c r="N16" s="2" t="e">
        <f>('вместе-абс'!#REF! - 'вместе-абс'!#REF!) / 'вместе-абс'!#REF!</f>
        <v>#REF!</v>
      </c>
      <c r="O16" s="2" t="e">
        <f>('вместе-абс'!#REF! - 'вместе-абс'!#REF!) / 'вместе-абс'!#REF!</f>
        <v>#REF!</v>
      </c>
      <c r="P16" s="2" t="e">
        <f>('вместе-абс'!#REF! - 'вместе-абс'!#REF!) / 'вместе-абс'!#REF!</f>
        <v>#REF!</v>
      </c>
      <c r="Q16" s="2" t="e">
        <f>('вместе-абс'!#REF! - 'вместе-абс'!#REF!) / 'вместе-абс'!#REF!</f>
        <v>#REF!</v>
      </c>
      <c r="R16" s="2" t="e">
        <f>('вместе-абс'!#REF! - 'вместе-абс'!#REF!) / 'вместе-абс'!#REF!</f>
        <v>#REF!</v>
      </c>
      <c r="S16" s="2" t="e">
        <f>('вместе-абс'!#REF! - 'вместе-абс'!#REF!) / 'вместе-абс'!#REF!</f>
        <v>#REF!</v>
      </c>
      <c r="T16" s="2" t="e">
        <f>('вместе-абс'!#REF! - 'вместе-абс'!#REF!) / 'вместе-абс'!#REF!</f>
        <v>#REF!</v>
      </c>
      <c r="U16" s="2" t="e">
        <f>('вместе-абс'!#REF! - 'вместе-абс'!#REF!) / 'вместе-абс'!#REF!</f>
        <v>#REF!</v>
      </c>
      <c r="V16" s="2" t="e">
        <f>('вместе-абс'!#REF! - 'вместе-абс'!#REF!) / 'вместе-абс'!#REF!</f>
        <v>#REF!</v>
      </c>
    </row>
    <row r="17" spans="1:22" x14ac:dyDescent="0.25">
      <c r="A17" s="12">
        <f t="shared" si="0"/>
        <v>1932</v>
      </c>
      <c r="B17" s="2" t="e">
        <f>('вместе-абс'!#REF! - 'вместе-абс'!#REF!) / 'вместе-абс'!#REF!</f>
        <v>#REF!</v>
      </c>
      <c r="C17" s="2" t="e">
        <f>('вместе-абс'!#REF! - 'вместе-абс'!#REF!) / 'вместе-абс'!#REF!</f>
        <v>#REF!</v>
      </c>
      <c r="D17" s="2" t="e">
        <f>('вместе-абс'!#REF! - 'вместе-абс'!#REF!) / 'вместе-абс'!#REF!</f>
        <v>#REF!</v>
      </c>
      <c r="E17" s="2" t="e">
        <f>('вместе-абс'!#REF! - 'вместе-абс'!#REF!) / 'вместе-абс'!#REF!</f>
        <v>#REF!</v>
      </c>
      <c r="F17" s="2" t="e">
        <f>('вместе-абс'!#REF! - 'вместе-абс'!#REF!) / 'вместе-абс'!#REF!</f>
        <v>#REF!</v>
      </c>
      <c r="G17" s="2" t="e">
        <f>('вместе-абс'!#REF! - 'вместе-абс'!#REF!) / 'вместе-абс'!#REF!</f>
        <v>#REF!</v>
      </c>
      <c r="H17" s="2" t="e">
        <f>('вместе-абс'!#REF! - 'вместе-абс'!#REF!) / 'вместе-абс'!#REF!</f>
        <v>#REF!</v>
      </c>
      <c r="I17" s="2" t="e">
        <f>('вместе-абс'!#REF! - 'вместе-абс'!#REF!) / 'вместе-абс'!#REF!</f>
        <v>#REF!</v>
      </c>
      <c r="J17" s="2" t="e">
        <f>('вместе-абс'!#REF! - 'вместе-абс'!#REF!) / 'вместе-абс'!#REF!</f>
        <v>#REF!</v>
      </c>
      <c r="K17" s="2" t="e">
        <f>('вместе-абс'!#REF! - 'вместе-абс'!#REF!) / 'вместе-абс'!#REF!</f>
        <v>#REF!</v>
      </c>
      <c r="L17" s="2" t="e">
        <f>('вместе-абс'!#REF! - 'вместе-абс'!#REF!) / 'вместе-абс'!#REF!</f>
        <v>#REF!</v>
      </c>
      <c r="M17" s="2" t="e">
        <f>('вместе-абс'!#REF! - 'вместе-абс'!#REF!) / 'вместе-абс'!#REF!</f>
        <v>#REF!</v>
      </c>
      <c r="N17" s="2" t="e">
        <f>('вместе-абс'!#REF! - 'вместе-абс'!#REF!) / 'вместе-абс'!#REF!</f>
        <v>#REF!</v>
      </c>
      <c r="O17" s="2" t="e">
        <f>('вместе-абс'!#REF! - 'вместе-абс'!#REF!) / 'вместе-абс'!#REF!</f>
        <v>#REF!</v>
      </c>
      <c r="P17" s="2" t="e">
        <f>('вместе-абс'!#REF! - 'вместе-абс'!#REF!) / 'вместе-абс'!#REF!</f>
        <v>#REF!</v>
      </c>
      <c r="Q17" s="2" t="e">
        <f>('вместе-абс'!#REF! - 'вместе-абс'!#REF!) / 'вместе-абс'!#REF!</f>
        <v>#REF!</v>
      </c>
      <c r="R17" s="2" t="e">
        <f>('вместе-абс'!#REF! - 'вместе-абс'!#REF!) / 'вместе-абс'!#REF!</f>
        <v>#REF!</v>
      </c>
      <c r="S17" s="2" t="e">
        <f>('вместе-абс'!#REF! - 'вместе-абс'!#REF!) / 'вместе-абс'!#REF!</f>
        <v>#REF!</v>
      </c>
      <c r="T17" s="2" t="e">
        <f>('вместе-абс'!#REF! - 'вместе-абс'!#REF!) / 'вместе-абс'!#REF!</f>
        <v>#REF!</v>
      </c>
      <c r="U17" s="2" t="e">
        <f>('вместе-абс'!#REF! - 'вместе-абс'!#REF!) / 'вместе-абс'!#REF!</f>
        <v>#REF!</v>
      </c>
      <c r="V17" s="2" t="e">
        <f>('вместе-абс'!#REF! - 'вместе-абс'!#REF!) / 'вместе-абс'!#REF!</f>
        <v>#REF!</v>
      </c>
    </row>
    <row r="18" spans="1:22" x14ac:dyDescent="0.25">
      <c r="A18" s="12">
        <f t="shared" si="0"/>
        <v>1933</v>
      </c>
      <c r="B18" s="2" t="e">
        <f>('вместе-абс'!#REF! - 'вместе-абс'!#REF!) / 'вместе-абс'!#REF!</f>
        <v>#REF!</v>
      </c>
      <c r="C18" s="2" t="e">
        <f>('вместе-абс'!#REF! - 'вместе-абс'!#REF!) / 'вместе-абс'!#REF!</f>
        <v>#REF!</v>
      </c>
      <c r="D18" s="2" t="e">
        <f>('вместе-абс'!#REF! - 'вместе-абс'!#REF!) / 'вместе-абс'!#REF!</f>
        <v>#REF!</v>
      </c>
      <c r="E18" s="2" t="e">
        <f>('вместе-абс'!#REF! - 'вместе-абс'!#REF!) / 'вместе-абс'!#REF!</f>
        <v>#REF!</v>
      </c>
      <c r="F18" s="2" t="e">
        <f>('вместе-абс'!#REF! - 'вместе-абс'!#REF!) / 'вместе-абс'!#REF!</f>
        <v>#REF!</v>
      </c>
      <c r="G18" s="2" t="e">
        <f>('вместе-абс'!#REF! - 'вместе-абс'!#REF!) / 'вместе-абс'!#REF!</f>
        <v>#REF!</v>
      </c>
      <c r="H18" s="2" t="e">
        <f>('вместе-абс'!#REF! - 'вместе-абс'!#REF!) / 'вместе-абс'!#REF!</f>
        <v>#REF!</v>
      </c>
      <c r="I18" s="2" t="e">
        <f>('вместе-абс'!#REF! - 'вместе-абс'!#REF!) / 'вместе-абс'!#REF!</f>
        <v>#REF!</v>
      </c>
      <c r="J18" s="2" t="e">
        <f>('вместе-абс'!#REF! - 'вместе-абс'!#REF!) / 'вместе-абс'!#REF!</f>
        <v>#REF!</v>
      </c>
      <c r="K18" s="2" t="e">
        <f>('вместе-абс'!#REF! - 'вместе-абс'!#REF!) / 'вместе-абс'!#REF!</f>
        <v>#REF!</v>
      </c>
      <c r="L18" s="2" t="e">
        <f>('вместе-абс'!#REF! - 'вместе-абс'!#REF!) / 'вместе-абс'!#REF!</f>
        <v>#REF!</v>
      </c>
      <c r="M18" s="2" t="e">
        <f>('вместе-абс'!#REF! - 'вместе-абс'!#REF!) / 'вместе-абс'!#REF!</f>
        <v>#REF!</v>
      </c>
      <c r="N18" s="2" t="e">
        <f>('вместе-абс'!#REF! - 'вместе-абс'!#REF!) / 'вместе-абс'!#REF!</f>
        <v>#REF!</v>
      </c>
      <c r="O18" s="2" t="e">
        <f>('вместе-абс'!#REF! - 'вместе-абс'!#REF!) / 'вместе-абс'!#REF!</f>
        <v>#REF!</v>
      </c>
      <c r="P18" s="2" t="e">
        <f>('вместе-абс'!#REF! - 'вместе-абс'!#REF!) / 'вместе-абс'!#REF!</f>
        <v>#REF!</v>
      </c>
      <c r="Q18" s="2" t="e">
        <f>('вместе-абс'!#REF! - 'вместе-абс'!#REF!) / 'вместе-абс'!#REF!</f>
        <v>#REF!</v>
      </c>
      <c r="R18" s="2" t="e">
        <f>('вместе-абс'!#REF! - 'вместе-абс'!#REF!) / 'вместе-абс'!#REF!</f>
        <v>#REF!</v>
      </c>
      <c r="S18" s="2" t="e">
        <f>('вместе-абс'!#REF! - 'вместе-абс'!#REF!) / 'вместе-абс'!#REF!</f>
        <v>#REF!</v>
      </c>
      <c r="T18" s="2" t="e">
        <f>('вместе-абс'!#REF! - 'вместе-абс'!#REF!) / 'вместе-абс'!#REF!</f>
        <v>#REF!</v>
      </c>
      <c r="U18" s="2" t="e">
        <f>('вместе-абс'!#REF! - 'вместе-абс'!#REF!) / 'вместе-абс'!#REF!</f>
        <v>#REF!</v>
      </c>
      <c r="V18" s="2" t="e">
        <f>('вместе-абс'!#REF! - 'вместе-абс'!#REF!) / 'вместе-абс'!#REF!</f>
        <v>#REF!</v>
      </c>
    </row>
    <row r="19" spans="1:22" x14ac:dyDescent="0.25">
      <c r="A19" s="12">
        <f t="shared" si="0"/>
        <v>1934</v>
      </c>
      <c r="B19" s="2" t="e">
        <f>('вместе-абс'!B2 - 'вместе-абс'!#REF!) / 'вместе-абс'!#REF!</f>
        <v>#REF!</v>
      </c>
      <c r="C19" s="2" t="e">
        <f>('вместе-абс'!C2 - 'вместе-абс'!#REF!) / 'вместе-абс'!#REF!</f>
        <v>#REF!</v>
      </c>
      <c r="D19" s="2" t="e">
        <f>('вместе-абс'!D2 - 'вместе-абс'!#REF!) / 'вместе-абс'!#REF!</f>
        <v>#REF!</v>
      </c>
      <c r="E19" s="2" t="e">
        <f>('вместе-абс'!E2 - 'вместе-абс'!#REF!) / 'вместе-абс'!#REF!</f>
        <v>#REF!</v>
      </c>
      <c r="F19" s="2" t="e">
        <f>('вместе-абс'!F2 - 'вместе-абс'!#REF!) / 'вместе-абс'!#REF!</f>
        <v>#REF!</v>
      </c>
      <c r="G19" s="2" t="e">
        <f>('вместе-абс'!G2 - 'вместе-абс'!#REF!) / 'вместе-абс'!#REF!</f>
        <v>#REF!</v>
      </c>
      <c r="H19" s="2" t="e">
        <f>('вместе-абс'!H2 - 'вместе-абс'!#REF!) / 'вместе-абс'!#REF!</f>
        <v>#REF!</v>
      </c>
      <c r="I19" s="2" t="e">
        <f>('вместе-абс'!I2 - 'вместе-абс'!#REF!) / 'вместе-абс'!#REF!</f>
        <v>#REF!</v>
      </c>
      <c r="J19" s="2" t="e">
        <f>('вместе-абс'!J2 - 'вместе-абс'!#REF!) / 'вместе-абс'!#REF!</f>
        <v>#REF!</v>
      </c>
      <c r="K19" s="2" t="e">
        <f>('вместе-абс'!K2 - 'вместе-абс'!#REF!) / 'вместе-абс'!#REF!</f>
        <v>#REF!</v>
      </c>
      <c r="L19" s="2" t="e">
        <f>('вместе-абс'!L2 - 'вместе-абс'!#REF!) / 'вместе-абс'!#REF!</f>
        <v>#REF!</v>
      </c>
      <c r="M19" s="2" t="e">
        <f>('вместе-абс'!M2 - 'вместе-абс'!#REF!) / 'вместе-абс'!#REF!</f>
        <v>#REF!</v>
      </c>
      <c r="N19" s="2" t="e">
        <f>('вместе-абс'!N2 - 'вместе-абс'!#REF!) / 'вместе-абс'!#REF!</f>
        <v>#REF!</v>
      </c>
      <c r="O19" s="2" t="e">
        <f>('вместе-абс'!O2 - 'вместе-абс'!#REF!) / 'вместе-абс'!#REF!</f>
        <v>#REF!</v>
      </c>
      <c r="P19" s="2" t="e">
        <f>('вместе-абс'!P2 - 'вместе-абс'!#REF!) / 'вместе-абс'!#REF!</f>
        <v>#REF!</v>
      </c>
      <c r="Q19" s="2" t="e">
        <f>('вместе-абс'!Q2 - 'вместе-абс'!#REF!) / 'вместе-абс'!#REF!</f>
        <v>#REF!</v>
      </c>
      <c r="R19" s="2" t="e">
        <f>('вместе-абс'!R2 - 'вместе-абс'!#REF!) / 'вместе-абс'!#REF!</f>
        <v>#REF!</v>
      </c>
      <c r="S19" s="2" t="e">
        <f>('вместе-абс'!S2 - 'вместе-абс'!#REF!) / 'вместе-абс'!#REF!</f>
        <v>#REF!</v>
      </c>
      <c r="T19" s="2" t="e">
        <f>('вместе-абс'!T2 - 'вместе-абс'!#REF!) / 'вместе-абс'!#REF!</f>
        <v>#REF!</v>
      </c>
      <c r="U19" s="2" t="e">
        <f>('вместе-абс'!U2 - 'вместе-абс'!#REF!) / 'вместе-абс'!#REF!</f>
        <v>#REF!</v>
      </c>
      <c r="V19" s="2" t="e">
        <f>('вместе-абс'!V2 - 'вместе-абс'!#REF!) / 'вместе-абс'!#REF!</f>
        <v>#REF!</v>
      </c>
    </row>
    <row r="20" spans="1:22" x14ac:dyDescent="0.25">
      <c r="A20" s="12">
        <f t="shared" si="0"/>
        <v>1935</v>
      </c>
      <c r="B20" s="2" t="e">
        <f>('вместе-абс'!B3 - 'вместе-абс'!#REF!) / 'вместе-абс'!#REF!</f>
        <v>#REF!</v>
      </c>
      <c r="C20" s="2" t="e">
        <f>('вместе-абс'!C3 - 'вместе-абс'!#REF!) / 'вместе-абс'!#REF!</f>
        <v>#REF!</v>
      </c>
      <c r="D20" s="2" t="e">
        <f>('вместе-абс'!D3 - 'вместе-абс'!#REF!) / 'вместе-абс'!#REF!</f>
        <v>#REF!</v>
      </c>
      <c r="E20" s="2" t="e">
        <f>('вместе-абс'!E3 - 'вместе-абс'!#REF!) / 'вместе-абс'!#REF!</f>
        <v>#REF!</v>
      </c>
      <c r="F20" s="2" t="e">
        <f>('вместе-абс'!F3 - 'вместе-абс'!#REF!) / 'вместе-абс'!#REF!</f>
        <v>#REF!</v>
      </c>
      <c r="G20" s="2" t="e">
        <f>('вместе-абс'!G3 - 'вместе-абс'!#REF!) / 'вместе-абс'!#REF!</f>
        <v>#REF!</v>
      </c>
      <c r="H20" s="2" t="e">
        <f>('вместе-абс'!H3 - 'вместе-абс'!#REF!) / 'вместе-абс'!#REF!</f>
        <v>#REF!</v>
      </c>
      <c r="I20" s="2" t="e">
        <f>('вместе-абс'!I3 - 'вместе-абс'!#REF!) / 'вместе-абс'!#REF!</f>
        <v>#REF!</v>
      </c>
      <c r="J20" s="2" t="e">
        <f>('вместе-абс'!J3 - 'вместе-абс'!#REF!) / 'вместе-абс'!#REF!</f>
        <v>#REF!</v>
      </c>
      <c r="K20" s="2" t="e">
        <f>('вместе-абс'!K3 - 'вместе-абс'!#REF!) / 'вместе-абс'!#REF!</f>
        <v>#REF!</v>
      </c>
      <c r="L20" s="2" t="e">
        <f>('вместе-абс'!L3 - 'вместе-абс'!#REF!) / 'вместе-абс'!#REF!</f>
        <v>#REF!</v>
      </c>
      <c r="M20" s="2" t="e">
        <f>('вместе-абс'!M3 - 'вместе-абс'!#REF!) / 'вместе-абс'!#REF!</f>
        <v>#REF!</v>
      </c>
      <c r="N20" s="2" t="e">
        <f>('вместе-абс'!N3 - 'вместе-абс'!#REF!) / 'вместе-абс'!#REF!</f>
        <v>#REF!</v>
      </c>
      <c r="O20" s="2" t="e">
        <f>('вместе-абс'!O3 - 'вместе-абс'!#REF!) / 'вместе-абс'!#REF!</f>
        <v>#REF!</v>
      </c>
      <c r="P20" s="2" t="e">
        <f>('вместе-абс'!P3 - 'вместе-абс'!#REF!) / 'вместе-абс'!#REF!</f>
        <v>#REF!</v>
      </c>
      <c r="Q20" s="2" t="e">
        <f>('вместе-абс'!Q3 - 'вместе-абс'!#REF!) / 'вместе-абс'!#REF!</f>
        <v>#REF!</v>
      </c>
      <c r="R20" s="2" t="e">
        <f>('вместе-абс'!R3 - 'вместе-абс'!#REF!) / 'вместе-абс'!#REF!</f>
        <v>#REF!</v>
      </c>
      <c r="S20" s="2" t="e">
        <f>('вместе-абс'!S3 - 'вместе-абс'!#REF!) / 'вместе-абс'!#REF!</f>
        <v>#REF!</v>
      </c>
      <c r="T20" s="2" t="e">
        <f>('вместе-абс'!T3 - 'вместе-абс'!#REF!) / 'вместе-абс'!#REF!</f>
        <v>#REF!</v>
      </c>
      <c r="U20" s="2" t="e">
        <f>('вместе-абс'!U3 - 'вместе-абс'!#REF!) / 'вместе-абс'!#REF!</f>
        <v>#REF!</v>
      </c>
      <c r="V20" s="2" t="e">
        <f>('вместе-абс'!V3 - 'вместе-абс'!#REF!) / 'вместе-абс'!#REF!</f>
        <v>#REF!</v>
      </c>
    </row>
    <row r="21" spans="1:22" x14ac:dyDescent="0.25">
      <c r="A21" s="12">
        <f t="shared" si="0"/>
        <v>1936</v>
      </c>
      <c r="B21" s="2" t="e">
        <f>('вместе-абс'!B4 - 'вместе-абс'!#REF!) / 'вместе-абс'!#REF!</f>
        <v>#REF!</v>
      </c>
      <c r="C21" s="2" t="e">
        <f>('вместе-абс'!C4 - 'вместе-абс'!#REF!) / 'вместе-абс'!#REF!</f>
        <v>#REF!</v>
      </c>
      <c r="D21" s="2" t="e">
        <f>('вместе-абс'!D4 - 'вместе-абс'!#REF!) / 'вместе-абс'!#REF!</f>
        <v>#REF!</v>
      </c>
      <c r="E21" s="2" t="e">
        <f>('вместе-абс'!E4 - 'вместе-абс'!#REF!) / 'вместе-абс'!#REF!</f>
        <v>#REF!</v>
      </c>
      <c r="F21" s="2" t="e">
        <f>('вместе-абс'!F4 - 'вместе-абс'!#REF!) / 'вместе-абс'!#REF!</f>
        <v>#REF!</v>
      </c>
      <c r="G21" s="2" t="e">
        <f>('вместе-абс'!G4 - 'вместе-абс'!#REF!) / 'вместе-абс'!#REF!</f>
        <v>#REF!</v>
      </c>
      <c r="H21" s="2" t="e">
        <f>('вместе-абс'!H4 - 'вместе-абс'!#REF!) / 'вместе-абс'!#REF!</f>
        <v>#REF!</v>
      </c>
      <c r="I21" s="2" t="e">
        <f>('вместе-абс'!I4 - 'вместе-абс'!#REF!) / 'вместе-абс'!#REF!</f>
        <v>#REF!</v>
      </c>
      <c r="J21" s="2" t="e">
        <f>('вместе-абс'!J4 - 'вместе-абс'!#REF!) / 'вместе-абс'!#REF!</f>
        <v>#REF!</v>
      </c>
      <c r="K21" s="2" t="e">
        <f>('вместе-абс'!K4 - 'вместе-абс'!#REF!) / 'вместе-абс'!#REF!</f>
        <v>#REF!</v>
      </c>
      <c r="L21" s="2" t="e">
        <f>('вместе-абс'!L4 - 'вместе-абс'!#REF!) / 'вместе-абс'!#REF!</f>
        <v>#REF!</v>
      </c>
      <c r="M21" s="2" t="e">
        <f>('вместе-абс'!M4 - 'вместе-абс'!#REF!) / 'вместе-абс'!#REF!</f>
        <v>#REF!</v>
      </c>
      <c r="N21" s="2" t="e">
        <f>('вместе-абс'!N4 - 'вместе-абс'!#REF!) / 'вместе-абс'!#REF!</f>
        <v>#REF!</v>
      </c>
      <c r="O21" s="2" t="e">
        <f>('вместе-абс'!O4 - 'вместе-абс'!#REF!) / 'вместе-абс'!#REF!</f>
        <v>#REF!</v>
      </c>
      <c r="P21" s="2" t="e">
        <f>('вместе-абс'!P4 - 'вместе-абс'!#REF!) / 'вместе-абс'!#REF!</f>
        <v>#REF!</v>
      </c>
      <c r="Q21" s="2" t="e">
        <f>('вместе-абс'!Q4 - 'вместе-абс'!#REF!) / 'вместе-абс'!#REF!</f>
        <v>#REF!</v>
      </c>
      <c r="R21" s="2" t="e">
        <f>('вместе-абс'!R4 - 'вместе-абс'!#REF!) / 'вместе-абс'!#REF!</f>
        <v>#REF!</v>
      </c>
      <c r="S21" s="2" t="e">
        <f>('вместе-абс'!S4 - 'вместе-абс'!#REF!) / 'вместе-абс'!#REF!</f>
        <v>#REF!</v>
      </c>
      <c r="T21" s="2" t="e">
        <f>('вместе-абс'!T4 - 'вместе-абс'!#REF!) / 'вместе-абс'!#REF!</f>
        <v>#REF!</v>
      </c>
      <c r="U21" s="2" t="e">
        <f>('вместе-абс'!U4 - 'вместе-абс'!#REF!) / 'вместе-абс'!#REF!</f>
        <v>#REF!</v>
      </c>
      <c r="V21" s="2" t="e">
        <f>('вместе-абс'!V4 - 'вместе-абс'!#REF!) / 'вместе-абс'!#REF!</f>
        <v>#REF!</v>
      </c>
    </row>
    <row r="22" spans="1:22" x14ac:dyDescent="0.25">
      <c r="A22" s="12">
        <f t="shared" si="0"/>
        <v>1937</v>
      </c>
      <c r="B22" s="2" t="e">
        <f>('вместе-абс'!B5 - 'вместе-абс'!#REF!) / 'вместе-абс'!#REF!</f>
        <v>#REF!</v>
      </c>
      <c r="C22" s="2" t="e">
        <f>('вместе-абс'!C5 - 'вместе-абс'!#REF!) / 'вместе-абс'!#REF!</f>
        <v>#REF!</v>
      </c>
      <c r="D22" s="2" t="e">
        <f>('вместе-абс'!D5 - 'вместе-абс'!#REF!) / 'вместе-абс'!#REF!</f>
        <v>#REF!</v>
      </c>
      <c r="E22" s="2" t="e">
        <f>('вместе-абс'!E5 - 'вместе-абс'!#REF!) / 'вместе-абс'!#REF!</f>
        <v>#REF!</v>
      </c>
      <c r="F22" s="2" t="e">
        <f>('вместе-абс'!F5 - 'вместе-абс'!#REF!) / 'вместе-абс'!#REF!</f>
        <v>#REF!</v>
      </c>
      <c r="G22" s="2" t="e">
        <f>('вместе-абс'!G5 - 'вместе-абс'!#REF!) / 'вместе-абс'!#REF!</f>
        <v>#REF!</v>
      </c>
      <c r="H22" s="2" t="e">
        <f>('вместе-абс'!H5 - 'вместе-абс'!#REF!) / 'вместе-абс'!#REF!</f>
        <v>#REF!</v>
      </c>
      <c r="I22" s="2" t="e">
        <f>('вместе-абс'!I5 - 'вместе-абс'!#REF!) / 'вместе-абс'!#REF!</f>
        <v>#REF!</v>
      </c>
      <c r="J22" s="2" t="e">
        <f>('вместе-абс'!J5 - 'вместе-абс'!#REF!) / 'вместе-абс'!#REF!</f>
        <v>#REF!</v>
      </c>
      <c r="K22" s="2" t="e">
        <f>('вместе-абс'!K5 - 'вместе-абс'!#REF!) / 'вместе-абс'!#REF!</f>
        <v>#REF!</v>
      </c>
      <c r="L22" s="2" t="e">
        <f>('вместе-абс'!L5 - 'вместе-абс'!#REF!) / 'вместе-абс'!#REF!</f>
        <v>#REF!</v>
      </c>
      <c r="M22" s="2" t="e">
        <f>('вместе-абс'!M5 - 'вместе-абс'!#REF!) / 'вместе-абс'!#REF!</f>
        <v>#REF!</v>
      </c>
      <c r="N22" s="2" t="e">
        <f>('вместе-абс'!N5 - 'вместе-абс'!#REF!) / 'вместе-абс'!#REF!</f>
        <v>#REF!</v>
      </c>
      <c r="O22" s="2" t="e">
        <f>('вместе-абс'!O5 - 'вместе-абс'!#REF!) / 'вместе-абс'!#REF!</f>
        <v>#REF!</v>
      </c>
      <c r="P22" s="2" t="e">
        <f>('вместе-абс'!P5 - 'вместе-абс'!#REF!) / 'вместе-абс'!#REF!</f>
        <v>#REF!</v>
      </c>
      <c r="Q22" s="2" t="e">
        <f>('вместе-абс'!Q5 - 'вместе-абс'!#REF!) / 'вместе-абс'!#REF!</f>
        <v>#REF!</v>
      </c>
      <c r="R22" s="2" t="e">
        <f>('вместе-абс'!R5 - 'вместе-абс'!#REF!) / 'вместе-абс'!#REF!</f>
        <v>#REF!</v>
      </c>
      <c r="S22" s="2" t="e">
        <f>('вместе-абс'!S5 - 'вместе-абс'!#REF!) / 'вместе-абс'!#REF!</f>
        <v>#REF!</v>
      </c>
      <c r="T22" s="2" t="e">
        <f>('вместе-абс'!T5 - 'вместе-абс'!#REF!) / 'вместе-абс'!#REF!</f>
        <v>#REF!</v>
      </c>
      <c r="U22" s="2" t="e">
        <f>('вместе-абс'!U5 - 'вместе-абс'!#REF!) / 'вместе-абс'!#REF!</f>
        <v>#REF!</v>
      </c>
      <c r="V22" s="2" t="e">
        <f>('вместе-абс'!V5 - 'вместе-абс'!#REF!) / 'вместе-абс'!#REF!</f>
        <v>#REF!</v>
      </c>
    </row>
    <row r="23" spans="1:22" x14ac:dyDescent="0.25">
      <c r="A23" s="12">
        <f t="shared" si="0"/>
        <v>1938</v>
      </c>
      <c r="B23" s="2" t="e">
        <f>('вместе-абс'!B6 - 'вместе-абс'!#REF!) / 'вместе-абс'!#REF!</f>
        <v>#REF!</v>
      </c>
      <c r="C23" s="2" t="e">
        <f>('вместе-абс'!C6 - 'вместе-абс'!#REF!) / 'вместе-абс'!#REF!</f>
        <v>#REF!</v>
      </c>
      <c r="D23" s="2" t="e">
        <f>('вместе-абс'!D6 - 'вместе-абс'!#REF!) / 'вместе-абс'!#REF!</f>
        <v>#REF!</v>
      </c>
      <c r="E23" s="2" t="e">
        <f>('вместе-абс'!E6 - 'вместе-абс'!#REF!) / 'вместе-абс'!#REF!</f>
        <v>#REF!</v>
      </c>
      <c r="F23" s="2" t="e">
        <f>('вместе-абс'!F6 - 'вместе-абс'!#REF!) / 'вместе-абс'!#REF!</f>
        <v>#REF!</v>
      </c>
      <c r="G23" s="2" t="e">
        <f>('вместе-абс'!G6 - 'вместе-абс'!#REF!) / 'вместе-абс'!#REF!</f>
        <v>#REF!</v>
      </c>
      <c r="H23" s="2" t="e">
        <f>('вместе-абс'!H6 - 'вместе-абс'!#REF!) / 'вместе-абс'!#REF!</f>
        <v>#REF!</v>
      </c>
      <c r="I23" s="2" t="e">
        <f>('вместе-абс'!I6 - 'вместе-абс'!#REF!) / 'вместе-абс'!#REF!</f>
        <v>#REF!</v>
      </c>
      <c r="J23" s="2" t="e">
        <f>('вместе-абс'!J6 - 'вместе-абс'!#REF!) / 'вместе-абс'!#REF!</f>
        <v>#REF!</v>
      </c>
      <c r="K23" s="2" t="e">
        <f>('вместе-абс'!K6 - 'вместе-абс'!#REF!) / 'вместе-абс'!#REF!</f>
        <v>#REF!</v>
      </c>
      <c r="L23" s="2" t="e">
        <f>('вместе-абс'!L6 - 'вместе-абс'!#REF!) / 'вместе-абс'!#REF!</f>
        <v>#REF!</v>
      </c>
      <c r="M23" s="2" t="e">
        <f>('вместе-абс'!M6 - 'вместе-абс'!#REF!) / 'вместе-абс'!#REF!</f>
        <v>#REF!</v>
      </c>
      <c r="N23" s="2" t="e">
        <f>('вместе-абс'!N6 - 'вместе-абс'!#REF!) / 'вместе-абс'!#REF!</f>
        <v>#REF!</v>
      </c>
      <c r="O23" s="2" t="e">
        <f>('вместе-абс'!O6 - 'вместе-абс'!#REF!) / 'вместе-абс'!#REF!</f>
        <v>#REF!</v>
      </c>
      <c r="P23" s="2" t="e">
        <f>('вместе-абс'!P6 - 'вместе-абс'!#REF!) / 'вместе-абс'!#REF!</f>
        <v>#REF!</v>
      </c>
      <c r="Q23" s="2" t="e">
        <f>('вместе-абс'!Q6 - 'вместе-абс'!#REF!) / 'вместе-абс'!#REF!</f>
        <v>#REF!</v>
      </c>
      <c r="R23" s="2" t="e">
        <f>('вместе-абс'!R6 - 'вместе-абс'!#REF!) / 'вместе-абс'!#REF!</f>
        <v>#REF!</v>
      </c>
      <c r="S23" s="2" t="e">
        <f>('вместе-абс'!S6 - 'вместе-абс'!#REF!) / 'вместе-абс'!#REF!</f>
        <v>#REF!</v>
      </c>
      <c r="T23" s="2" t="e">
        <f>('вместе-абс'!T6 - 'вместе-абс'!#REF!) / 'вместе-абс'!#REF!</f>
        <v>#REF!</v>
      </c>
      <c r="U23" s="2" t="e">
        <f>('вместе-абс'!U6 - 'вместе-абс'!#REF!) / 'вместе-абс'!#REF!</f>
        <v>#REF!</v>
      </c>
      <c r="V23" s="2" t="e">
        <f>('вместе-абс'!V6 - 'вместе-абс'!#REF!) / 'вместе-абс'!#REF!</f>
        <v>#REF!</v>
      </c>
    </row>
    <row r="24" spans="1:22" x14ac:dyDescent="0.25">
      <c r="A24" s="12">
        <f t="shared" si="0"/>
        <v>1939</v>
      </c>
      <c r="B24" s="2" t="e">
        <f>('вместе-абс'!B7 - 'вместе-абс'!#REF!) / 'вместе-абс'!#REF!</f>
        <v>#REF!</v>
      </c>
      <c r="C24" s="2" t="e">
        <f>('вместе-абс'!C7 - 'вместе-абс'!#REF!) / 'вместе-абс'!#REF!</f>
        <v>#REF!</v>
      </c>
      <c r="D24" s="2" t="e">
        <f>('вместе-абс'!D7 - 'вместе-абс'!#REF!) / 'вместе-абс'!#REF!</f>
        <v>#REF!</v>
      </c>
      <c r="E24" s="2" t="e">
        <f>('вместе-абс'!E7 - 'вместе-абс'!#REF!) / 'вместе-абс'!#REF!</f>
        <v>#REF!</v>
      </c>
      <c r="F24" s="2" t="e">
        <f>('вместе-абс'!F7 - 'вместе-абс'!#REF!) / 'вместе-абс'!#REF!</f>
        <v>#REF!</v>
      </c>
      <c r="G24" s="2" t="e">
        <f>('вместе-абс'!G7 - 'вместе-абс'!#REF!) / 'вместе-абс'!#REF!</f>
        <v>#REF!</v>
      </c>
      <c r="H24" s="2" t="e">
        <f>('вместе-абс'!H7 - 'вместе-абс'!#REF!) / 'вместе-абс'!#REF!</f>
        <v>#REF!</v>
      </c>
      <c r="I24" s="2" t="e">
        <f>('вместе-абс'!I7 - 'вместе-абс'!#REF!) / 'вместе-абс'!#REF!</f>
        <v>#REF!</v>
      </c>
      <c r="J24" s="2" t="e">
        <f>('вместе-абс'!J7 - 'вместе-абс'!#REF!) / 'вместе-абс'!#REF!</f>
        <v>#REF!</v>
      </c>
      <c r="K24" s="2" t="e">
        <f>('вместе-абс'!K7 - 'вместе-абс'!#REF!) / 'вместе-абс'!#REF!</f>
        <v>#REF!</v>
      </c>
      <c r="L24" s="2" t="e">
        <f>('вместе-абс'!L7 - 'вместе-абс'!#REF!) / 'вместе-абс'!#REF!</f>
        <v>#REF!</v>
      </c>
      <c r="M24" s="2" t="e">
        <f>('вместе-абс'!M7 - 'вместе-абс'!#REF!) / 'вместе-абс'!#REF!</f>
        <v>#REF!</v>
      </c>
      <c r="N24" s="2" t="e">
        <f>('вместе-абс'!N7 - 'вместе-абс'!#REF!) / 'вместе-абс'!#REF!</f>
        <v>#REF!</v>
      </c>
      <c r="O24" s="2" t="e">
        <f>('вместе-абс'!O7 - 'вместе-абс'!#REF!) / 'вместе-абс'!#REF!</f>
        <v>#REF!</v>
      </c>
      <c r="P24" s="2" t="e">
        <f>('вместе-абс'!P7 - 'вместе-абс'!#REF!) / 'вместе-абс'!#REF!</f>
        <v>#REF!</v>
      </c>
      <c r="Q24" s="2" t="e">
        <f>('вместе-абс'!Q7 - 'вместе-абс'!#REF!) / 'вместе-абс'!#REF!</f>
        <v>#REF!</v>
      </c>
      <c r="R24" s="2" t="e">
        <f>('вместе-абс'!R7 - 'вместе-абс'!#REF!) / 'вместе-абс'!#REF!</f>
        <v>#REF!</v>
      </c>
      <c r="S24" s="2" t="e">
        <f>('вместе-абс'!S7 - 'вместе-абс'!#REF!) / 'вместе-абс'!#REF!</f>
        <v>#REF!</v>
      </c>
      <c r="T24" s="2" t="e">
        <f>('вместе-абс'!T7 - 'вместе-абс'!#REF!) / 'вместе-абс'!#REF!</f>
        <v>#REF!</v>
      </c>
      <c r="U24" s="2" t="e">
        <f>('вместе-абс'!U7 - 'вместе-абс'!#REF!) / 'вместе-абс'!#REF!</f>
        <v>#REF!</v>
      </c>
      <c r="V24" s="2" t="e">
        <f>('вместе-абс'!V7 - 'вместе-абс'!#REF!) / 'вместе-абс'!#REF!</f>
        <v>#REF!</v>
      </c>
    </row>
    <row r="25" spans="1:22" x14ac:dyDescent="0.25">
      <c r="A25" s="12">
        <f t="shared" si="0"/>
        <v>1940</v>
      </c>
      <c r="B25" s="2" t="e">
        <f>('вместе-абс'!B8 - 'вместе-абс'!#REF!) / 'вместе-абс'!#REF!</f>
        <v>#REF!</v>
      </c>
      <c r="C25" s="2" t="e">
        <f>('вместе-абс'!C8 - 'вместе-абс'!#REF!) / 'вместе-абс'!#REF!</f>
        <v>#REF!</v>
      </c>
      <c r="D25" s="2" t="e">
        <f>('вместе-абс'!D8 - 'вместе-абс'!#REF!) / 'вместе-абс'!#REF!</f>
        <v>#REF!</v>
      </c>
      <c r="E25" s="2" t="e">
        <f>('вместе-абс'!E8 - 'вместе-абс'!#REF!) / 'вместе-абс'!#REF!</f>
        <v>#REF!</v>
      </c>
      <c r="F25" s="2" t="e">
        <f>('вместе-абс'!F8 - 'вместе-абс'!#REF!) / 'вместе-абс'!#REF!</f>
        <v>#REF!</v>
      </c>
      <c r="G25" s="2" t="e">
        <f>('вместе-абс'!G8 - 'вместе-абс'!#REF!) / 'вместе-абс'!#REF!</f>
        <v>#REF!</v>
      </c>
      <c r="H25" s="2" t="e">
        <f>('вместе-абс'!H8 - 'вместе-абс'!#REF!) / 'вместе-абс'!#REF!</f>
        <v>#REF!</v>
      </c>
      <c r="I25" s="2" t="e">
        <f>('вместе-абс'!I8 - 'вместе-абс'!#REF!) / 'вместе-абс'!#REF!</f>
        <v>#REF!</v>
      </c>
      <c r="J25" s="2" t="e">
        <f>('вместе-абс'!J8 - 'вместе-абс'!#REF!) / 'вместе-абс'!#REF!</f>
        <v>#REF!</v>
      </c>
      <c r="K25" s="2" t="e">
        <f>('вместе-абс'!K8 - 'вместе-абс'!#REF!) / 'вместе-абс'!#REF!</f>
        <v>#REF!</v>
      </c>
      <c r="L25" s="2" t="e">
        <f>('вместе-абс'!L8 - 'вместе-абс'!#REF!) / 'вместе-абс'!#REF!</f>
        <v>#REF!</v>
      </c>
      <c r="M25" s="2" t="e">
        <f>('вместе-абс'!M8 - 'вместе-абс'!#REF!) / 'вместе-абс'!#REF!</f>
        <v>#REF!</v>
      </c>
      <c r="N25" s="2" t="e">
        <f>('вместе-абс'!N8 - 'вместе-абс'!#REF!) / 'вместе-абс'!#REF!</f>
        <v>#REF!</v>
      </c>
      <c r="O25" s="2" t="e">
        <f>('вместе-абс'!O8 - 'вместе-абс'!#REF!) / 'вместе-абс'!#REF!</f>
        <v>#REF!</v>
      </c>
      <c r="P25" s="2" t="e">
        <f>('вместе-абс'!P8 - 'вместе-абс'!#REF!) / 'вместе-абс'!#REF!</f>
        <v>#REF!</v>
      </c>
      <c r="Q25" s="2" t="e">
        <f>('вместе-абс'!Q8 - 'вместе-абс'!#REF!) / 'вместе-абс'!#REF!</f>
        <v>#REF!</v>
      </c>
      <c r="R25" s="2" t="e">
        <f>('вместе-абс'!R8 - 'вместе-абс'!#REF!) / 'вместе-абс'!#REF!</f>
        <v>#REF!</v>
      </c>
      <c r="S25" s="2" t="e">
        <f>('вместе-абс'!S8 - 'вместе-абс'!#REF!) / 'вместе-абс'!#REF!</f>
        <v>#REF!</v>
      </c>
      <c r="T25" s="2" t="e">
        <f>('вместе-абс'!T8 - 'вместе-абс'!#REF!) / 'вместе-абс'!#REF!</f>
        <v>#REF!</v>
      </c>
      <c r="U25" s="2" t="e">
        <f>('вместе-абс'!U8 - 'вместе-абс'!#REF!) / 'вместе-абс'!#REF!</f>
        <v>#REF!</v>
      </c>
      <c r="V25" s="2" t="e">
        <f>('вместе-абс'!V8 - 'вместе-абс'!#REF!) / 'вместе-абс'!#REF!</f>
        <v>#REF!</v>
      </c>
    </row>
    <row r="26" spans="1:22" x14ac:dyDescent="0.25">
      <c r="A26" s="12">
        <f t="shared" si="0"/>
        <v>1941</v>
      </c>
      <c r="B26" s="2" t="e">
        <f>('вместе-абс'!B9 - 'вместе-абс'!#REF!) / 'вместе-абс'!#REF!</f>
        <v>#REF!</v>
      </c>
      <c r="C26" s="2" t="e">
        <f>('вместе-абс'!C9 - 'вместе-абс'!#REF!) / 'вместе-абс'!#REF!</f>
        <v>#REF!</v>
      </c>
      <c r="D26" s="2" t="e">
        <f>('вместе-абс'!D9 - 'вместе-абс'!#REF!) / 'вместе-абс'!#REF!</f>
        <v>#REF!</v>
      </c>
      <c r="E26" s="2" t="e">
        <f>('вместе-абс'!E9 - 'вместе-абс'!#REF!) / 'вместе-абс'!#REF!</f>
        <v>#REF!</v>
      </c>
      <c r="F26" s="2" t="e">
        <f>('вместе-абс'!F9 - 'вместе-абс'!#REF!) / 'вместе-абс'!#REF!</f>
        <v>#REF!</v>
      </c>
      <c r="G26" s="2" t="e">
        <f>('вместе-абс'!G9 - 'вместе-абс'!#REF!) / 'вместе-абс'!#REF!</f>
        <v>#REF!</v>
      </c>
      <c r="H26" s="2" t="e">
        <f>('вместе-абс'!H9 - 'вместе-абс'!#REF!) / 'вместе-абс'!#REF!</f>
        <v>#REF!</v>
      </c>
      <c r="I26" s="2" t="e">
        <f>('вместе-абс'!I9 - 'вместе-абс'!#REF!) / 'вместе-абс'!#REF!</f>
        <v>#REF!</v>
      </c>
      <c r="J26" s="2" t="e">
        <f>('вместе-абс'!J9 - 'вместе-абс'!#REF!) / 'вместе-абс'!#REF!</f>
        <v>#REF!</v>
      </c>
      <c r="K26" s="2" t="e">
        <f>('вместе-абс'!K9 - 'вместе-абс'!#REF!) / 'вместе-абс'!#REF!</f>
        <v>#REF!</v>
      </c>
      <c r="L26" s="2" t="e">
        <f>('вместе-абс'!L9 - 'вместе-абс'!#REF!) / 'вместе-абс'!#REF!</f>
        <v>#REF!</v>
      </c>
      <c r="M26" s="2" t="e">
        <f>('вместе-абс'!M9 - 'вместе-абс'!#REF!) / 'вместе-абс'!#REF!</f>
        <v>#REF!</v>
      </c>
      <c r="N26" s="2" t="e">
        <f>('вместе-абс'!N9 - 'вместе-абс'!#REF!) / 'вместе-абс'!#REF!</f>
        <v>#REF!</v>
      </c>
      <c r="O26" s="2" t="e">
        <f>('вместе-абс'!O9 - 'вместе-абс'!#REF!) / 'вместе-абс'!#REF!</f>
        <v>#REF!</v>
      </c>
      <c r="P26" s="2" t="e">
        <f>('вместе-абс'!P9 - 'вместе-абс'!#REF!) / 'вместе-абс'!#REF!</f>
        <v>#REF!</v>
      </c>
      <c r="Q26" s="2" t="e">
        <f>('вместе-абс'!Q9 - 'вместе-абс'!#REF!) / 'вместе-абс'!#REF!</f>
        <v>#REF!</v>
      </c>
      <c r="R26" s="2" t="e">
        <f>('вместе-абс'!R9 - 'вместе-абс'!#REF!) / 'вместе-абс'!#REF!</f>
        <v>#REF!</v>
      </c>
      <c r="S26" s="2" t="e">
        <f>('вместе-абс'!S9 - 'вместе-абс'!#REF!) / 'вместе-абс'!#REF!</f>
        <v>#REF!</v>
      </c>
      <c r="T26" s="2" t="e">
        <f>('вместе-абс'!T9 - 'вместе-абс'!#REF!) / 'вместе-абс'!#REF!</f>
        <v>#REF!</v>
      </c>
      <c r="U26" s="2" t="e">
        <f>('вместе-абс'!U9 - 'вместе-абс'!#REF!) / 'вместе-абс'!#REF!</f>
        <v>#REF!</v>
      </c>
      <c r="V26" s="2" t="e">
        <f>('вместе-абс'!V9 - 'вместе-абс'!#REF!) / 'вместе-абс'!#REF!</f>
        <v>#REF!</v>
      </c>
    </row>
    <row r="27" spans="1:22" x14ac:dyDescent="0.25">
      <c r="A27" s="12">
        <f t="shared" si="0"/>
        <v>1942</v>
      </c>
      <c r="B27" s="2" t="e">
        <f>('вместе-абс'!B10 - 'вместе-абс'!#REF!) / 'вместе-абс'!#REF!</f>
        <v>#REF!</v>
      </c>
      <c r="C27" s="2" t="e">
        <f>('вместе-абс'!C10 - 'вместе-абс'!#REF!) / 'вместе-абс'!#REF!</f>
        <v>#REF!</v>
      </c>
      <c r="D27" s="2" t="e">
        <f>('вместе-абс'!D10 - 'вместе-абс'!#REF!) / 'вместе-абс'!#REF!</f>
        <v>#REF!</v>
      </c>
      <c r="E27" s="2" t="e">
        <f>('вместе-абс'!E10 - 'вместе-абс'!#REF!) / 'вместе-абс'!#REF!</f>
        <v>#REF!</v>
      </c>
      <c r="F27" s="2" t="e">
        <f>('вместе-абс'!F10 - 'вместе-абс'!#REF!) / 'вместе-абс'!#REF!</f>
        <v>#REF!</v>
      </c>
      <c r="G27" s="2" t="e">
        <f>('вместе-абс'!G10 - 'вместе-абс'!#REF!) / 'вместе-абс'!#REF!</f>
        <v>#REF!</v>
      </c>
      <c r="H27" s="2" t="e">
        <f>('вместе-абс'!H10 - 'вместе-абс'!#REF!) / 'вместе-абс'!#REF!</f>
        <v>#REF!</v>
      </c>
      <c r="I27" s="2" t="e">
        <f>('вместе-абс'!I10 - 'вместе-абс'!#REF!) / 'вместе-абс'!#REF!</f>
        <v>#REF!</v>
      </c>
      <c r="J27" s="2" t="e">
        <f>('вместе-абс'!J10 - 'вместе-абс'!#REF!) / 'вместе-абс'!#REF!</f>
        <v>#REF!</v>
      </c>
      <c r="K27" s="2" t="e">
        <f>('вместе-абс'!K10 - 'вместе-абс'!#REF!) / 'вместе-абс'!#REF!</f>
        <v>#REF!</v>
      </c>
      <c r="L27" s="2" t="e">
        <f>('вместе-абс'!L10 - 'вместе-абс'!#REF!) / 'вместе-абс'!#REF!</f>
        <v>#REF!</v>
      </c>
      <c r="M27" s="2" t="e">
        <f>('вместе-абс'!M10 - 'вместе-абс'!#REF!) / 'вместе-абс'!#REF!</f>
        <v>#REF!</v>
      </c>
      <c r="N27" s="2" t="e">
        <f>('вместе-абс'!N10 - 'вместе-абс'!#REF!) / 'вместе-абс'!#REF!</f>
        <v>#REF!</v>
      </c>
      <c r="O27" s="2" t="e">
        <f>('вместе-абс'!O10 - 'вместе-абс'!#REF!) / 'вместе-абс'!#REF!</f>
        <v>#REF!</v>
      </c>
      <c r="P27" s="2" t="e">
        <f>('вместе-абс'!P10 - 'вместе-абс'!#REF!) / 'вместе-абс'!#REF!</f>
        <v>#REF!</v>
      </c>
      <c r="Q27" s="2" t="e">
        <f>('вместе-абс'!Q10 - 'вместе-абс'!#REF!) / 'вместе-абс'!#REF!</f>
        <v>#REF!</v>
      </c>
      <c r="R27" s="2" t="e">
        <f>('вместе-абс'!R10 - 'вместе-абс'!#REF!) / 'вместе-абс'!#REF!</f>
        <v>#REF!</v>
      </c>
      <c r="S27" s="2" t="e">
        <f>('вместе-абс'!S10 - 'вместе-абс'!#REF!) / 'вместе-абс'!#REF!</f>
        <v>#REF!</v>
      </c>
      <c r="T27" s="2" t="e">
        <f>('вместе-абс'!T10 - 'вместе-абс'!#REF!) / 'вместе-абс'!#REF!</f>
        <v>#REF!</v>
      </c>
      <c r="U27" s="2" t="e">
        <f>('вместе-абс'!U10 - 'вместе-абс'!#REF!) / 'вместе-абс'!#REF!</f>
        <v>#REF!</v>
      </c>
      <c r="V27" s="2" t="e">
        <f>('вместе-абс'!V10 - 'вместе-абс'!#REF!) / 'вместе-абс'!#REF!</f>
        <v>#REF!</v>
      </c>
    </row>
    <row r="28" spans="1:22" x14ac:dyDescent="0.25">
      <c r="A28" s="12">
        <f t="shared" si="0"/>
        <v>1943</v>
      </c>
      <c r="B28" s="2" t="e">
        <f>('вместе-абс'!B11 - 'вместе-абс'!#REF!) / 'вместе-абс'!#REF!</f>
        <v>#REF!</v>
      </c>
      <c r="C28" s="2" t="e">
        <f>('вместе-абс'!C11 - 'вместе-абс'!#REF!) / 'вместе-абс'!#REF!</f>
        <v>#REF!</v>
      </c>
      <c r="D28" s="2" t="e">
        <f>('вместе-абс'!D11 - 'вместе-абс'!#REF!) / 'вместе-абс'!#REF!</f>
        <v>#REF!</v>
      </c>
      <c r="E28" s="2" t="e">
        <f>('вместе-абс'!E11 - 'вместе-абс'!#REF!) / 'вместе-абс'!#REF!</f>
        <v>#REF!</v>
      </c>
      <c r="F28" s="2" t="e">
        <f>('вместе-абс'!F11 - 'вместе-абс'!#REF!) / 'вместе-абс'!#REF!</f>
        <v>#REF!</v>
      </c>
      <c r="G28" s="2" t="e">
        <f>('вместе-абс'!G11 - 'вместе-абс'!#REF!) / 'вместе-абс'!#REF!</f>
        <v>#REF!</v>
      </c>
      <c r="H28" s="2" t="e">
        <f>('вместе-абс'!H11 - 'вместе-абс'!#REF!) / 'вместе-абс'!#REF!</f>
        <v>#REF!</v>
      </c>
      <c r="I28" s="2" t="e">
        <f>('вместе-абс'!I11 - 'вместе-абс'!#REF!) / 'вместе-абс'!#REF!</f>
        <v>#REF!</v>
      </c>
      <c r="J28" s="2" t="e">
        <f>('вместе-абс'!J11 - 'вместе-абс'!#REF!) / 'вместе-абс'!#REF!</f>
        <v>#REF!</v>
      </c>
      <c r="K28" s="2" t="e">
        <f>('вместе-абс'!K11 - 'вместе-абс'!#REF!) / 'вместе-абс'!#REF!</f>
        <v>#REF!</v>
      </c>
      <c r="L28" s="2" t="e">
        <f>('вместе-абс'!L11 - 'вместе-абс'!#REF!) / 'вместе-абс'!#REF!</f>
        <v>#REF!</v>
      </c>
      <c r="M28" s="2" t="e">
        <f>('вместе-абс'!M11 - 'вместе-абс'!#REF!) / 'вместе-абс'!#REF!</f>
        <v>#REF!</v>
      </c>
      <c r="N28" s="2" t="e">
        <f>('вместе-абс'!N11 - 'вместе-абс'!#REF!) / 'вместе-абс'!#REF!</f>
        <v>#REF!</v>
      </c>
      <c r="O28" s="2" t="e">
        <f>('вместе-абс'!O11 - 'вместе-абс'!#REF!) / 'вместе-абс'!#REF!</f>
        <v>#REF!</v>
      </c>
      <c r="P28" s="2" t="e">
        <f>('вместе-абс'!P11 - 'вместе-абс'!#REF!) / 'вместе-абс'!#REF!</f>
        <v>#REF!</v>
      </c>
      <c r="Q28" s="2" t="e">
        <f>('вместе-абс'!Q11 - 'вместе-абс'!#REF!) / 'вместе-абс'!#REF!</f>
        <v>#REF!</v>
      </c>
      <c r="R28" s="2" t="e">
        <f>('вместе-абс'!R11 - 'вместе-абс'!#REF!) / 'вместе-абс'!#REF!</f>
        <v>#REF!</v>
      </c>
      <c r="S28" s="2" t="e">
        <f>('вместе-абс'!S11 - 'вместе-абс'!#REF!) / 'вместе-абс'!#REF!</f>
        <v>#REF!</v>
      </c>
      <c r="T28" s="2" t="e">
        <f>('вместе-абс'!T11 - 'вместе-абс'!#REF!) / 'вместе-абс'!#REF!</f>
        <v>#REF!</v>
      </c>
      <c r="U28" s="2" t="e">
        <f>('вместе-абс'!U11 - 'вместе-абс'!#REF!) / 'вместе-абс'!#REF!</f>
        <v>#REF!</v>
      </c>
      <c r="V28" s="2" t="e">
        <f>('вместе-абс'!V11 - 'вместе-абс'!#REF!) / 'вместе-абс'!#REF!</f>
        <v>#REF!</v>
      </c>
    </row>
    <row r="29" spans="1:22" x14ac:dyDescent="0.25">
      <c r="A29" s="12">
        <f t="shared" si="0"/>
        <v>1944</v>
      </c>
      <c r="B29" s="2" t="e">
        <f>('вместе-абс'!B12 - 'вместе-абс'!#REF!) / 'вместе-абс'!#REF!</f>
        <v>#REF!</v>
      </c>
      <c r="C29" s="2" t="e">
        <f>('вместе-абс'!C12 - 'вместе-абс'!#REF!) / 'вместе-абс'!#REF!</f>
        <v>#REF!</v>
      </c>
      <c r="D29" s="2" t="e">
        <f>('вместе-абс'!D12 - 'вместе-абс'!#REF!) / 'вместе-абс'!#REF!</f>
        <v>#REF!</v>
      </c>
      <c r="E29" s="2" t="e">
        <f>('вместе-абс'!E12 - 'вместе-абс'!#REF!) / 'вместе-абс'!#REF!</f>
        <v>#REF!</v>
      </c>
      <c r="F29" s="2" t="e">
        <f>('вместе-абс'!F12 - 'вместе-абс'!#REF!) / 'вместе-абс'!#REF!</f>
        <v>#REF!</v>
      </c>
      <c r="G29" s="2" t="e">
        <f>('вместе-абс'!G12 - 'вместе-абс'!#REF!) / 'вместе-абс'!#REF!</f>
        <v>#REF!</v>
      </c>
      <c r="H29" s="2" t="e">
        <f>('вместе-абс'!H12 - 'вместе-абс'!#REF!) / 'вместе-абс'!#REF!</f>
        <v>#REF!</v>
      </c>
      <c r="I29" s="2" t="e">
        <f>('вместе-абс'!I12 - 'вместе-абс'!#REF!) / 'вместе-абс'!#REF!</f>
        <v>#REF!</v>
      </c>
      <c r="J29" s="2" t="e">
        <f>('вместе-абс'!J12 - 'вместе-абс'!#REF!) / 'вместе-абс'!#REF!</f>
        <v>#REF!</v>
      </c>
      <c r="K29" s="2" t="e">
        <f>('вместе-абс'!K12 - 'вместе-абс'!#REF!) / 'вместе-абс'!#REF!</f>
        <v>#REF!</v>
      </c>
      <c r="L29" s="2" t="e">
        <f>('вместе-абс'!L12 - 'вместе-абс'!#REF!) / 'вместе-абс'!#REF!</f>
        <v>#REF!</v>
      </c>
      <c r="M29" s="2" t="e">
        <f>('вместе-абс'!M12 - 'вместе-абс'!#REF!) / 'вместе-абс'!#REF!</f>
        <v>#REF!</v>
      </c>
      <c r="N29" s="2" t="e">
        <f>('вместе-абс'!N12 - 'вместе-абс'!#REF!) / 'вместе-абс'!#REF!</f>
        <v>#REF!</v>
      </c>
      <c r="O29" s="2" t="e">
        <f>('вместе-абс'!O12 - 'вместе-абс'!#REF!) / 'вместе-абс'!#REF!</f>
        <v>#REF!</v>
      </c>
      <c r="P29" s="2" t="e">
        <f>('вместе-абс'!P12 - 'вместе-абс'!#REF!) / 'вместе-абс'!#REF!</f>
        <v>#REF!</v>
      </c>
      <c r="Q29" s="2" t="e">
        <f>('вместе-абс'!Q12 - 'вместе-абс'!#REF!) / 'вместе-абс'!#REF!</f>
        <v>#REF!</v>
      </c>
      <c r="R29" s="2" t="e">
        <f>('вместе-абс'!R12 - 'вместе-абс'!#REF!) / 'вместе-абс'!#REF!</f>
        <v>#REF!</v>
      </c>
      <c r="S29" s="2" t="e">
        <f>('вместе-абс'!S12 - 'вместе-абс'!#REF!) / 'вместе-абс'!#REF!</f>
        <v>#REF!</v>
      </c>
      <c r="T29" s="2" t="e">
        <f>('вместе-абс'!T12 - 'вместе-абс'!#REF!) / 'вместе-абс'!#REF!</f>
        <v>#REF!</v>
      </c>
      <c r="U29" s="2" t="e">
        <f>('вместе-абс'!U12 - 'вместе-абс'!#REF!) / 'вместе-абс'!#REF!</f>
        <v>#REF!</v>
      </c>
      <c r="V29" s="2" t="e">
        <f>('вместе-абс'!V12 - 'вместе-абс'!#REF!) / 'вместе-абс'!#REF!</f>
        <v>#REF!</v>
      </c>
    </row>
    <row r="30" spans="1:22" x14ac:dyDescent="0.25">
      <c r="A30" s="12">
        <f t="shared" si="0"/>
        <v>1945</v>
      </c>
      <c r="B30" s="2" t="e">
        <f>('вместе-абс'!B13 - 'вместе-абс'!#REF!) / 'вместе-абс'!#REF!</f>
        <v>#REF!</v>
      </c>
      <c r="C30" s="2" t="e">
        <f>('вместе-абс'!C13 - 'вместе-абс'!#REF!) / 'вместе-абс'!#REF!</f>
        <v>#REF!</v>
      </c>
      <c r="D30" s="2" t="e">
        <f>('вместе-абс'!D13 - 'вместе-абс'!#REF!) / 'вместе-абс'!#REF!</f>
        <v>#REF!</v>
      </c>
      <c r="E30" s="2" t="e">
        <f>('вместе-абс'!E13 - 'вместе-абс'!#REF!) / 'вместе-абс'!#REF!</f>
        <v>#REF!</v>
      </c>
      <c r="F30" s="2" t="e">
        <f>('вместе-абс'!F13 - 'вместе-абс'!#REF!) / 'вместе-абс'!#REF!</f>
        <v>#REF!</v>
      </c>
      <c r="G30" s="2" t="e">
        <f>('вместе-абс'!G13 - 'вместе-абс'!#REF!) / 'вместе-абс'!#REF!</f>
        <v>#REF!</v>
      </c>
      <c r="H30" s="2" t="e">
        <f>('вместе-абс'!H13 - 'вместе-абс'!#REF!) / 'вместе-абс'!#REF!</f>
        <v>#REF!</v>
      </c>
      <c r="I30" s="2" t="e">
        <f>('вместе-абс'!I13 - 'вместе-абс'!#REF!) / 'вместе-абс'!#REF!</f>
        <v>#REF!</v>
      </c>
      <c r="J30" s="2" t="e">
        <f>('вместе-абс'!J13 - 'вместе-абс'!#REF!) / 'вместе-абс'!#REF!</f>
        <v>#REF!</v>
      </c>
      <c r="K30" s="2" t="e">
        <f>('вместе-абс'!K13 - 'вместе-абс'!#REF!) / 'вместе-абс'!#REF!</f>
        <v>#REF!</v>
      </c>
      <c r="L30" s="2" t="e">
        <f>('вместе-абс'!L13 - 'вместе-абс'!#REF!) / 'вместе-абс'!#REF!</f>
        <v>#REF!</v>
      </c>
      <c r="M30" s="2" t="e">
        <f>('вместе-абс'!M13 - 'вместе-абс'!#REF!) / 'вместе-абс'!#REF!</f>
        <v>#REF!</v>
      </c>
      <c r="N30" s="2" t="e">
        <f>('вместе-абс'!N13 - 'вместе-абс'!#REF!) / 'вместе-абс'!#REF!</f>
        <v>#REF!</v>
      </c>
      <c r="O30" s="2" t="e">
        <f>('вместе-абс'!O13 - 'вместе-абс'!#REF!) / 'вместе-абс'!#REF!</f>
        <v>#REF!</v>
      </c>
      <c r="P30" s="2" t="e">
        <f>('вместе-абс'!P13 - 'вместе-абс'!#REF!) / 'вместе-абс'!#REF!</f>
        <v>#REF!</v>
      </c>
      <c r="Q30" s="2" t="e">
        <f>('вместе-абс'!Q13 - 'вместе-абс'!#REF!) / 'вместе-абс'!#REF!</f>
        <v>#REF!</v>
      </c>
      <c r="R30" s="2" t="e">
        <f>('вместе-абс'!R13 - 'вместе-абс'!#REF!) / 'вместе-абс'!#REF!</f>
        <v>#REF!</v>
      </c>
      <c r="S30" s="2" t="e">
        <f>('вместе-абс'!S13 - 'вместе-абс'!#REF!) / 'вместе-абс'!#REF!</f>
        <v>#REF!</v>
      </c>
      <c r="T30" s="2" t="e">
        <f>('вместе-абс'!T13 - 'вместе-абс'!#REF!) / 'вместе-абс'!#REF!</f>
        <v>#REF!</v>
      </c>
      <c r="U30" s="2" t="e">
        <f>('вместе-абс'!U13 - 'вместе-абс'!#REF!) / 'вместе-абс'!#REF!</f>
        <v>#REF!</v>
      </c>
      <c r="V30" s="2" t="e">
        <f>('вместе-абс'!V13 - 'вместе-абс'!#REF!) / 'вместе-абс'!#REF!</f>
        <v>#REF!</v>
      </c>
    </row>
    <row r="31" spans="1:22" x14ac:dyDescent="0.25">
      <c r="A31" s="12">
        <f t="shared" si="0"/>
        <v>1946</v>
      </c>
      <c r="B31" s="2" t="e">
        <f>('вместе-абс'!B14 - 'вместе-абс'!#REF!) / 'вместе-абс'!#REF!</f>
        <v>#REF!</v>
      </c>
      <c r="C31" s="2" t="e">
        <f>('вместе-абс'!C14 - 'вместе-абс'!#REF!) / 'вместе-абс'!#REF!</f>
        <v>#REF!</v>
      </c>
      <c r="D31" s="2" t="e">
        <f>('вместе-абс'!D14 - 'вместе-абс'!#REF!) / 'вместе-абс'!#REF!</f>
        <v>#REF!</v>
      </c>
      <c r="E31" s="2" t="e">
        <f>('вместе-абс'!E14 - 'вместе-абс'!#REF!) / 'вместе-абс'!#REF!</f>
        <v>#REF!</v>
      </c>
      <c r="F31" s="2" t="e">
        <f>('вместе-абс'!F14 - 'вместе-абс'!#REF!) / 'вместе-абс'!#REF!</f>
        <v>#REF!</v>
      </c>
      <c r="G31" s="2" t="e">
        <f>('вместе-абс'!G14 - 'вместе-абс'!#REF!) / 'вместе-абс'!#REF!</f>
        <v>#REF!</v>
      </c>
      <c r="H31" s="2" t="e">
        <f>('вместе-абс'!H14 - 'вместе-абс'!#REF!) / 'вместе-абс'!#REF!</f>
        <v>#REF!</v>
      </c>
      <c r="I31" s="2" t="e">
        <f>('вместе-абс'!I14 - 'вместе-абс'!#REF!) / 'вместе-абс'!#REF!</f>
        <v>#REF!</v>
      </c>
      <c r="J31" s="2" t="e">
        <f>('вместе-абс'!J14 - 'вместе-абс'!#REF!) / 'вместе-абс'!#REF!</f>
        <v>#REF!</v>
      </c>
      <c r="K31" s="2" t="e">
        <f>('вместе-абс'!K14 - 'вместе-абс'!#REF!) / 'вместе-абс'!#REF!</f>
        <v>#REF!</v>
      </c>
      <c r="L31" s="2" t="e">
        <f>('вместе-абс'!L14 - 'вместе-абс'!#REF!) / 'вместе-абс'!#REF!</f>
        <v>#REF!</v>
      </c>
      <c r="M31" s="2" t="e">
        <f>('вместе-абс'!M14 - 'вместе-абс'!#REF!) / 'вместе-абс'!#REF!</f>
        <v>#REF!</v>
      </c>
      <c r="N31" s="2" t="e">
        <f>('вместе-абс'!N14 - 'вместе-абс'!#REF!) / 'вместе-абс'!#REF!</f>
        <v>#REF!</v>
      </c>
      <c r="O31" s="2" t="e">
        <f>('вместе-абс'!O14 - 'вместе-абс'!#REF!) / 'вместе-абс'!#REF!</f>
        <v>#REF!</v>
      </c>
      <c r="P31" s="2" t="e">
        <f>('вместе-абс'!P14 - 'вместе-абс'!#REF!) / 'вместе-абс'!#REF!</f>
        <v>#REF!</v>
      </c>
      <c r="Q31" s="2" t="e">
        <f>('вместе-абс'!Q14 - 'вместе-абс'!#REF!) / 'вместе-абс'!#REF!</f>
        <v>#REF!</v>
      </c>
      <c r="R31" s="2" t="e">
        <f>('вместе-абс'!R14 - 'вместе-абс'!#REF!) / 'вместе-абс'!#REF!</f>
        <v>#REF!</v>
      </c>
      <c r="S31" s="2" t="e">
        <f>('вместе-абс'!S14 - 'вместе-абс'!#REF!) / 'вместе-абс'!#REF!</f>
        <v>#REF!</v>
      </c>
      <c r="T31" s="2" t="e">
        <f>('вместе-абс'!T14 - 'вместе-абс'!#REF!) / 'вместе-абс'!#REF!</f>
        <v>#REF!</v>
      </c>
      <c r="U31" s="2" t="e">
        <f>('вместе-абс'!U14 - 'вместе-абс'!#REF!) / 'вместе-абс'!#REF!</f>
        <v>#REF!</v>
      </c>
      <c r="V31" s="2" t="e">
        <f>('вместе-абс'!V14 - 'вместе-абс'!#REF!) / 'вместе-абс'!#REF!</f>
        <v>#REF!</v>
      </c>
    </row>
    <row r="32" spans="1:22" x14ac:dyDescent="0.25">
      <c r="A32" s="12">
        <f t="shared" si="0"/>
        <v>1947</v>
      </c>
      <c r="B32" s="2" t="e">
        <f>('вместе-абс'!B15 - 'вместе-абс'!#REF!) / 'вместе-абс'!#REF!</f>
        <v>#REF!</v>
      </c>
      <c r="C32" s="2" t="e">
        <f>('вместе-абс'!C15 - 'вместе-абс'!#REF!) / 'вместе-абс'!#REF!</f>
        <v>#REF!</v>
      </c>
      <c r="D32" s="2" t="e">
        <f>('вместе-абс'!D15 - 'вместе-абс'!#REF!) / 'вместе-абс'!#REF!</f>
        <v>#REF!</v>
      </c>
      <c r="E32" s="2" t="e">
        <f>('вместе-абс'!E15 - 'вместе-абс'!#REF!) / 'вместе-абс'!#REF!</f>
        <v>#REF!</v>
      </c>
      <c r="F32" s="2" t="e">
        <f>('вместе-абс'!F15 - 'вместе-абс'!#REF!) / 'вместе-абс'!#REF!</f>
        <v>#REF!</v>
      </c>
      <c r="G32" s="2" t="e">
        <f>('вместе-абс'!G15 - 'вместе-абс'!#REF!) / 'вместе-абс'!#REF!</f>
        <v>#REF!</v>
      </c>
      <c r="H32" s="2" t="e">
        <f>('вместе-абс'!H15 - 'вместе-абс'!#REF!) / 'вместе-абс'!#REF!</f>
        <v>#REF!</v>
      </c>
      <c r="I32" s="2" t="e">
        <f>('вместе-абс'!I15 - 'вместе-абс'!#REF!) / 'вместе-абс'!#REF!</f>
        <v>#REF!</v>
      </c>
      <c r="J32" s="2" t="e">
        <f>('вместе-абс'!J15 - 'вместе-абс'!#REF!) / 'вместе-абс'!#REF!</f>
        <v>#REF!</v>
      </c>
      <c r="K32" s="2" t="e">
        <f>('вместе-абс'!K15 - 'вместе-абс'!#REF!) / 'вместе-абс'!#REF!</f>
        <v>#REF!</v>
      </c>
      <c r="L32" s="2" t="e">
        <f>('вместе-абс'!L15 - 'вместе-абс'!#REF!) / 'вместе-абс'!#REF!</f>
        <v>#REF!</v>
      </c>
      <c r="M32" s="2" t="e">
        <f>('вместе-абс'!M15 - 'вместе-абс'!#REF!) / 'вместе-абс'!#REF!</f>
        <v>#REF!</v>
      </c>
      <c r="N32" s="2" t="e">
        <f>('вместе-абс'!N15 - 'вместе-абс'!#REF!) / 'вместе-абс'!#REF!</f>
        <v>#REF!</v>
      </c>
      <c r="O32" s="2" t="e">
        <f>('вместе-абс'!O15 - 'вместе-абс'!#REF!) / 'вместе-абс'!#REF!</f>
        <v>#REF!</v>
      </c>
      <c r="P32" s="2" t="e">
        <f>('вместе-абс'!P15 - 'вместе-абс'!#REF!) / 'вместе-абс'!#REF!</f>
        <v>#REF!</v>
      </c>
      <c r="Q32" s="2" t="e">
        <f>('вместе-абс'!Q15 - 'вместе-абс'!#REF!) / 'вместе-абс'!#REF!</f>
        <v>#REF!</v>
      </c>
      <c r="R32" s="2" t="e">
        <f>('вместе-абс'!R15 - 'вместе-абс'!#REF!) / 'вместе-абс'!#REF!</f>
        <v>#REF!</v>
      </c>
      <c r="S32" s="2" t="e">
        <f>('вместе-абс'!S15 - 'вместе-абс'!#REF!) / 'вместе-абс'!#REF!</f>
        <v>#REF!</v>
      </c>
      <c r="T32" s="2" t="e">
        <f>('вместе-абс'!T15 - 'вместе-абс'!#REF!) / 'вместе-абс'!#REF!</f>
        <v>#REF!</v>
      </c>
      <c r="U32" s="2" t="e">
        <f>('вместе-абс'!U15 - 'вместе-абс'!#REF!) / 'вместе-абс'!#REF!</f>
        <v>#REF!</v>
      </c>
      <c r="V32" s="2" t="e">
        <f>('вместе-абс'!V15 - 'вместе-абс'!#REF!) / 'вместе-абс'!#REF!</f>
        <v>#REF!</v>
      </c>
    </row>
    <row r="33" spans="1:22" x14ac:dyDescent="0.25">
      <c r="A33" s="12">
        <f t="shared" si="0"/>
        <v>1948</v>
      </c>
      <c r="B33" s="2" t="e">
        <f>('вместе-абс'!B16 - 'вместе-абс'!#REF!) / 'вместе-абс'!#REF!</f>
        <v>#REF!</v>
      </c>
      <c r="C33" s="2" t="e">
        <f>('вместе-абс'!C16 - 'вместе-абс'!#REF!) / 'вместе-абс'!#REF!</f>
        <v>#REF!</v>
      </c>
      <c r="D33" s="2" t="e">
        <f>('вместе-абс'!D16 - 'вместе-абс'!#REF!) / 'вместе-абс'!#REF!</f>
        <v>#REF!</v>
      </c>
      <c r="E33" s="2" t="e">
        <f>('вместе-абс'!E16 - 'вместе-абс'!#REF!) / 'вместе-абс'!#REF!</f>
        <v>#REF!</v>
      </c>
      <c r="F33" s="2" t="e">
        <f>('вместе-абс'!F16 - 'вместе-абс'!#REF!) / 'вместе-абс'!#REF!</f>
        <v>#REF!</v>
      </c>
      <c r="G33" s="2" t="e">
        <f>('вместе-абс'!G16 - 'вместе-абс'!#REF!) / 'вместе-абс'!#REF!</f>
        <v>#REF!</v>
      </c>
      <c r="H33" s="2" t="e">
        <f>('вместе-абс'!H16 - 'вместе-абс'!#REF!) / 'вместе-абс'!#REF!</f>
        <v>#REF!</v>
      </c>
      <c r="I33" s="2" t="e">
        <f>('вместе-абс'!I16 - 'вместе-абс'!#REF!) / 'вместе-абс'!#REF!</f>
        <v>#REF!</v>
      </c>
      <c r="J33" s="2" t="e">
        <f>('вместе-абс'!J16 - 'вместе-абс'!#REF!) / 'вместе-абс'!#REF!</f>
        <v>#REF!</v>
      </c>
      <c r="K33" s="2" t="e">
        <f>('вместе-абс'!K16 - 'вместе-абс'!#REF!) / 'вместе-абс'!#REF!</f>
        <v>#REF!</v>
      </c>
      <c r="L33" s="2" t="e">
        <f>('вместе-абс'!L16 - 'вместе-абс'!#REF!) / 'вместе-абс'!#REF!</f>
        <v>#REF!</v>
      </c>
      <c r="M33" s="2" t="e">
        <f>('вместе-абс'!M16 - 'вместе-абс'!#REF!) / 'вместе-абс'!#REF!</f>
        <v>#REF!</v>
      </c>
      <c r="N33" s="2" t="e">
        <f>('вместе-абс'!N16 - 'вместе-абс'!#REF!) / 'вместе-абс'!#REF!</f>
        <v>#REF!</v>
      </c>
      <c r="O33" s="2" t="e">
        <f>('вместе-абс'!O16 - 'вместе-абс'!#REF!) / 'вместе-абс'!#REF!</f>
        <v>#REF!</v>
      </c>
      <c r="P33" s="2" t="e">
        <f>('вместе-абс'!P16 - 'вместе-абс'!#REF!) / 'вместе-абс'!#REF!</f>
        <v>#REF!</v>
      </c>
      <c r="Q33" s="2" t="e">
        <f>('вместе-абс'!Q16 - 'вместе-абс'!#REF!) / 'вместе-абс'!#REF!</f>
        <v>#REF!</v>
      </c>
      <c r="R33" s="2" t="e">
        <f>('вместе-абс'!R16 - 'вместе-абс'!#REF!) / 'вместе-абс'!#REF!</f>
        <v>#REF!</v>
      </c>
      <c r="S33" s="2" t="e">
        <f>('вместе-абс'!S16 - 'вместе-абс'!#REF!) / 'вместе-абс'!#REF!</f>
        <v>#REF!</v>
      </c>
      <c r="T33" s="2" t="e">
        <f>('вместе-абс'!T16 - 'вместе-абс'!#REF!) / 'вместе-абс'!#REF!</f>
        <v>#REF!</v>
      </c>
      <c r="U33" s="2" t="e">
        <f>('вместе-абс'!U16 - 'вместе-абс'!#REF!) / 'вместе-абс'!#REF!</f>
        <v>#REF!</v>
      </c>
      <c r="V33" s="2" t="e">
        <f>('вместе-абс'!V16 - 'вместе-абс'!#REF!) / 'вместе-абс'!#REF!</f>
        <v>#REF!</v>
      </c>
    </row>
    <row r="34" spans="1:22" x14ac:dyDescent="0.25">
      <c r="A34" s="12">
        <f t="shared" si="0"/>
        <v>1949</v>
      </c>
      <c r="B34" s="2" t="e">
        <f>('вместе-абс'!B17 - 'вместе-абс'!#REF!) / 'вместе-абс'!#REF!</f>
        <v>#REF!</v>
      </c>
      <c r="C34" s="2" t="e">
        <f>('вместе-абс'!C17 - 'вместе-абс'!#REF!) / 'вместе-абс'!#REF!</f>
        <v>#REF!</v>
      </c>
      <c r="D34" s="2" t="e">
        <f>('вместе-абс'!D17 - 'вместе-абс'!#REF!) / 'вместе-абс'!#REF!</f>
        <v>#REF!</v>
      </c>
      <c r="E34" s="2" t="e">
        <f>('вместе-абс'!E17 - 'вместе-абс'!#REF!) / 'вместе-абс'!#REF!</f>
        <v>#REF!</v>
      </c>
      <c r="F34" s="2" t="e">
        <f>('вместе-абс'!F17 - 'вместе-абс'!#REF!) / 'вместе-абс'!#REF!</f>
        <v>#REF!</v>
      </c>
      <c r="G34" s="2" t="e">
        <f>('вместе-абс'!G17 - 'вместе-абс'!#REF!) / 'вместе-абс'!#REF!</f>
        <v>#REF!</v>
      </c>
      <c r="H34" s="2" t="e">
        <f>('вместе-абс'!H17 - 'вместе-абс'!#REF!) / 'вместе-абс'!#REF!</f>
        <v>#REF!</v>
      </c>
      <c r="I34" s="2" t="e">
        <f>('вместе-абс'!I17 - 'вместе-абс'!#REF!) / 'вместе-абс'!#REF!</f>
        <v>#REF!</v>
      </c>
      <c r="J34" s="2" t="e">
        <f>('вместе-абс'!J17 - 'вместе-абс'!#REF!) / 'вместе-абс'!#REF!</f>
        <v>#REF!</v>
      </c>
      <c r="K34" s="2" t="e">
        <f>('вместе-абс'!K17 - 'вместе-абс'!#REF!) / 'вместе-абс'!#REF!</f>
        <v>#REF!</v>
      </c>
      <c r="L34" s="2" t="e">
        <f>('вместе-абс'!L17 - 'вместе-абс'!#REF!) / 'вместе-абс'!#REF!</f>
        <v>#REF!</v>
      </c>
      <c r="M34" s="2" t="e">
        <f>('вместе-абс'!M17 - 'вместе-абс'!#REF!) / 'вместе-абс'!#REF!</f>
        <v>#REF!</v>
      </c>
      <c r="N34" s="2" t="e">
        <f>('вместе-абс'!N17 - 'вместе-абс'!#REF!) / 'вместе-абс'!#REF!</f>
        <v>#REF!</v>
      </c>
      <c r="O34" s="2" t="e">
        <f>('вместе-абс'!O17 - 'вместе-абс'!#REF!) / 'вместе-абс'!#REF!</f>
        <v>#REF!</v>
      </c>
      <c r="P34" s="2" t="e">
        <f>('вместе-абс'!P17 - 'вместе-абс'!#REF!) / 'вместе-абс'!#REF!</f>
        <v>#REF!</v>
      </c>
      <c r="Q34" s="2" t="e">
        <f>('вместе-абс'!Q17 - 'вместе-абс'!#REF!) / 'вместе-абс'!#REF!</f>
        <v>#REF!</v>
      </c>
      <c r="R34" s="2" t="e">
        <f>('вместе-абс'!R17 - 'вместе-абс'!#REF!) / 'вместе-абс'!#REF!</f>
        <v>#REF!</v>
      </c>
      <c r="S34" s="2" t="e">
        <f>('вместе-абс'!S17 - 'вместе-абс'!#REF!) / 'вместе-абс'!#REF!</f>
        <v>#REF!</v>
      </c>
      <c r="T34" s="2" t="e">
        <f>('вместе-абс'!T17 - 'вместе-абс'!#REF!) / 'вместе-абс'!#REF!</f>
        <v>#REF!</v>
      </c>
      <c r="U34" s="2" t="e">
        <f>('вместе-абс'!U17 - 'вместе-абс'!#REF!) / 'вместе-абс'!#REF!</f>
        <v>#REF!</v>
      </c>
      <c r="V34" s="2" t="e">
        <f>('вместе-абс'!V17 - 'вместе-абс'!#REF!) / 'вместе-абс'!#REF!</f>
        <v>#REF!</v>
      </c>
    </row>
    <row r="35" spans="1:22" x14ac:dyDescent="0.25">
      <c r="A35" s="12">
        <f t="shared" si="0"/>
        <v>1950</v>
      </c>
      <c r="B35" s="2" t="e">
        <f>('вместе-абс'!B18 - 'вместе-абс'!#REF!) / 'вместе-абс'!#REF!</f>
        <v>#REF!</v>
      </c>
      <c r="C35" s="2" t="e">
        <f>('вместе-абс'!C18 - 'вместе-абс'!#REF!) / 'вместе-абс'!#REF!</f>
        <v>#REF!</v>
      </c>
      <c r="D35" s="2" t="e">
        <f>('вместе-абс'!D18 - 'вместе-абс'!#REF!) / 'вместе-абс'!#REF!</f>
        <v>#REF!</v>
      </c>
      <c r="E35" s="2" t="e">
        <f>('вместе-абс'!E18 - 'вместе-абс'!#REF!) / 'вместе-абс'!#REF!</f>
        <v>#REF!</v>
      </c>
      <c r="F35" s="2" t="e">
        <f>('вместе-абс'!F18 - 'вместе-абс'!#REF!) / 'вместе-абс'!#REF!</f>
        <v>#REF!</v>
      </c>
      <c r="G35" s="2" t="e">
        <f>('вместе-абс'!G18 - 'вместе-абс'!#REF!) / 'вместе-абс'!#REF!</f>
        <v>#REF!</v>
      </c>
      <c r="H35" s="2" t="e">
        <f>('вместе-абс'!H18 - 'вместе-абс'!#REF!) / 'вместе-абс'!#REF!</f>
        <v>#REF!</v>
      </c>
      <c r="I35" s="2" t="e">
        <f>('вместе-абс'!I18 - 'вместе-абс'!#REF!) / 'вместе-абс'!#REF!</f>
        <v>#REF!</v>
      </c>
      <c r="J35" s="2" t="e">
        <f>('вместе-абс'!J18 - 'вместе-абс'!#REF!) / 'вместе-абс'!#REF!</f>
        <v>#REF!</v>
      </c>
      <c r="K35" s="2" t="e">
        <f>('вместе-абс'!K18 - 'вместе-абс'!#REF!) / 'вместе-абс'!#REF!</f>
        <v>#REF!</v>
      </c>
      <c r="L35" s="2" t="e">
        <f>('вместе-абс'!L18 - 'вместе-абс'!#REF!) / 'вместе-абс'!#REF!</f>
        <v>#REF!</v>
      </c>
      <c r="M35" s="2" t="e">
        <f>('вместе-абс'!M18 - 'вместе-абс'!#REF!) / 'вместе-абс'!#REF!</f>
        <v>#REF!</v>
      </c>
      <c r="N35" s="2" t="e">
        <f>('вместе-абс'!N18 - 'вместе-абс'!#REF!) / 'вместе-абс'!#REF!</f>
        <v>#REF!</v>
      </c>
      <c r="O35" s="2" t="e">
        <f>('вместе-абс'!O18 - 'вместе-абс'!#REF!) / 'вместе-абс'!#REF!</f>
        <v>#REF!</v>
      </c>
      <c r="P35" s="2" t="e">
        <f>('вместе-абс'!P18 - 'вместе-абс'!#REF!) / 'вместе-абс'!#REF!</f>
        <v>#REF!</v>
      </c>
      <c r="Q35" s="2" t="e">
        <f>('вместе-абс'!Q18 - 'вместе-абс'!#REF!) / 'вместе-абс'!#REF!</f>
        <v>#REF!</v>
      </c>
      <c r="R35" s="2" t="e">
        <f>('вместе-абс'!R18 - 'вместе-абс'!#REF!) / 'вместе-абс'!#REF!</f>
        <v>#REF!</v>
      </c>
      <c r="S35" s="2" t="e">
        <f>('вместе-абс'!S18 - 'вместе-абс'!#REF!) / 'вместе-абс'!#REF!</f>
        <v>#REF!</v>
      </c>
      <c r="T35" s="2" t="e">
        <f>('вместе-абс'!T18 - 'вместе-абс'!#REF!) / 'вместе-абс'!#REF!</f>
        <v>#REF!</v>
      </c>
      <c r="U35" s="2" t="e">
        <f>('вместе-абс'!U18 - 'вместе-абс'!#REF!) / 'вместе-абс'!#REF!</f>
        <v>#REF!</v>
      </c>
      <c r="V35" s="2" t="e">
        <f>('вместе-абс'!V18 - 'вместе-абс'!#REF!) / 'вместе-абс'!#REF!</f>
        <v>#REF!</v>
      </c>
    </row>
    <row r="36" spans="1:22" x14ac:dyDescent="0.25">
      <c r="A36" s="12">
        <f>A35+1</f>
        <v>1951</v>
      </c>
      <c r="B36" s="2" t="e">
        <f>('вместе-абс'!B19 - 'вместе-абс'!#REF!) / 'вместе-абс'!#REF!</f>
        <v>#REF!</v>
      </c>
      <c r="C36" s="2" t="e">
        <f>('вместе-абс'!C19 - 'вместе-абс'!#REF!) / 'вместе-абс'!#REF!</f>
        <v>#REF!</v>
      </c>
      <c r="D36" s="2" t="e">
        <f>('вместе-абс'!D19 - 'вместе-абс'!#REF!) / 'вместе-абс'!#REF!</f>
        <v>#REF!</v>
      </c>
      <c r="E36" s="2" t="e">
        <f>('вместе-абс'!E19 - 'вместе-абс'!#REF!) / 'вместе-абс'!#REF!</f>
        <v>#REF!</v>
      </c>
      <c r="F36" s="2" t="e">
        <f>('вместе-абс'!F19 - 'вместе-абс'!#REF!) / 'вместе-абс'!#REF!</f>
        <v>#REF!</v>
      </c>
      <c r="G36" s="2" t="e">
        <f>('вместе-абс'!G19 - 'вместе-абс'!#REF!) / 'вместе-абс'!#REF!</f>
        <v>#REF!</v>
      </c>
      <c r="H36" s="2" t="e">
        <f>('вместе-абс'!H19 - 'вместе-абс'!#REF!) / 'вместе-абс'!#REF!</f>
        <v>#REF!</v>
      </c>
      <c r="I36" s="2" t="e">
        <f>('вместе-абс'!I19 - 'вместе-абс'!#REF!) / 'вместе-абс'!#REF!</f>
        <v>#REF!</v>
      </c>
      <c r="J36" s="2" t="e">
        <f>('вместе-абс'!J19 - 'вместе-абс'!#REF!) / 'вместе-абс'!#REF!</f>
        <v>#REF!</v>
      </c>
      <c r="K36" s="2" t="e">
        <f>('вместе-абс'!K19 - 'вместе-абс'!#REF!) / 'вместе-абс'!#REF!</f>
        <v>#REF!</v>
      </c>
      <c r="L36" s="2" t="e">
        <f>('вместе-абс'!L19 - 'вместе-абс'!#REF!) / 'вместе-абс'!#REF!</f>
        <v>#REF!</v>
      </c>
      <c r="M36" s="2" t="e">
        <f>('вместе-абс'!M19 - 'вместе-абс'!#REF!) / 'вместе-абс'!#REF!</f>
        <v>#REF!</v>
      </c>
      <c r="N36" s="2" t="e">
        <f>('вместе-абс'!N19 - 'вместе-абс'!#REF!) / 'вместе-абс'!#REF!</f>
        <v>#REF!</v>
      </c>
      <c r="O36" s="2" t="e">
        <f>('вместе-абс'!O19 - 'вместе-абс'!#REF!) / 'вместе-абс'!#REF!</f>
        <v>#REF!</v>
      </c>
      <c r="P36" s="2" t="e">
        <f>('вместе-абс'!P19 - 'вместе-абс'!#REF!) / 'вместе-абс'!#REF!</f>
        <v>#REF!</v>
      </c>
      <c r="Q36" s="2" t="e">
        <f>('вместе-абс'!Q19 - 'вместе-абс'!#REF!) / 'вместе-абс'!#REF!</f>
        <v>#REF!</v>
      </c>
      <c r="R36" s="2" t="e">
        <f>('вместе-абс'!R19 - 'вместе-абс'!#REF!) / 'вместе-абс'!#REF!</f>
        <v>#REF!</v>
      </c>
      <c r="S36" s="2" t="e">
        <f>('вместе-абс'!S19 - 'вместе-абс'!#REF!) / 'вместе-абс'!#REF!</f>
        <v>#REF!</v>
      </c>
      <c r="T36" s="2" t="e">
        <f>('вместе-абс'!T19 - 'вместе-абс'!#REF!) / 'вместе-абс'!#REF!</f>
        <v>#REF!</v>
      </c>
      <c r="U36" s="2" t="e">
        <f>('вместе-абс'!U19 - 'вместе-абс'!#REF!) / 'вместе-абс'!#REF!</f>
        <v>#REF!</v>
      </c>
      <c r="V36" s="2" t="e">
        <f>('вместе-абс'!V19 - 'вместе-абс'!#REF!) / 'вместе-абс'!#REF!</f>
        <v>#REF!</v>
      </c>
    </row>
    <row r="37" spans="1:22" x14ac:dyDescent="0.25">
      <c r="A37" s="12">
        <f t="shared" ref="A37:A85" si="1">A36+1</f>
        <v>1952</v>
      </c>
      <c r="B37" s="2" t="e">
        <f>('вместе-абс'!B20 - 'вместе-абс'!#REF!) / 'вместе-абс'!#REF!</f>
        <v>#REF!</v>
      </c>
      <c r="C37" s="2" t="e">
        <f>('вместе-абс'!C20 - 'вместе-абс'!#REF!) / 'вместе-абс'!#REF!</f>
        <v>#REF!</v>
      </c>
      <c r="D37" s="2" t="e">
        <f>('вместе-абс'!D20 - 'вместе-абс'!#REF!) / 'вместе-абс'!#REF!</f>
        <v>#REF!</v>
      </c>
      <c r="E37" s="2" t="e">
        <f>('вместе-абс'!E20 - 'вместе-абс'!#REF!) / 'вместе-абс'!#REF!</f>
        <v>#REF!</v>
      </c>
      <c r="F37" s="2" t="e">
        <f>('вместе-абс'!F20 - 'вместе-абс'!#REF!) / 'вместе-абс'!#REF!</f>
        <v>#REF!</v>
      </c>
      <c r="G37" s="2" t="e">
        <f>('вместе-абс'!G20 - 'вместе-абс'!#REF!) / 'вместе-абс'!#REF!</f>
        <v>#REF!</v>
      </c>
      <c r="H37" s="2" t="e">
        <f>('вместе-абс'!H20 - 'вместе-абс'!#REF!) / 'вместе-абс'!#REF!</f>
        <v>#REF!</v>
      </c>
      <c r="I37" s="2" t="e">
        <f>('вместе-абс'!I20 - 'вместе-абс'!#REF!) / 'вместе-абс'!#REF!</f>
        <v>#REF!</v>
      </c>
      <c r="J37" s="2" t="e">
        <f>('вместе-абс'!J20 - 'вместе-абс'!#REF!) / 'вместе-абс'!#REF!</f>
        <v>#REF!</v>
      </c>
      <c r="K37" s="2" t="e">
        <f>('вместе-абс'!K20 - 'вместе-абс'!#REF!) / 'вместе-абс'!#REF!</f>
        <v>#REF!</v>
      </c>
      <c r="L37" s="2" t="e">
        <f>('вместе-абс'!L20 - 'вместе-абс'!#REF!) / 'вместе-абс'!#REF!</f>
        <v>#REF!</v>
      </c>
      <c r="M37" s="2" t="e">
        <f>('вместе-абс'!M20 - 'вместе-абс'!#REF!) / 'вместе-абс'!#REF!</f>
        <v>#REF!</v>
      </c>
      <c r="N37" s="2" t="e">
        <f>('вместе-абс'!N20 - 'вместе-абс'!#REF!) / 'вместе-абс'!#REF!</f>
        <v>#REF!</v>
      </c>
      <c r="O37" s="2" t="e">
        <f>('вместе-абс'!O20 - 'вместе-абс'!#REF!) / 'вместе-абс'!#REF!</f>
        <v>#REF!</v>
      </c>
      <c r="P37" s="2" t="e">
        <f>('вместе-абс'!P20 - 'вместе-абс'!#REF!) / 'вместе-абс'!#REF!</f>
        <v>#REF!</v>
      </c>
      <c r="Q37" s="2" t="e">
        <f>('вместе-абс'!Q20 - 'вместе-абс'!#REF!) / 'вместе-абс'!#REF!</f>
        <v>#REF!</v>
      </c>
      <c r="R37" s="2" t="e">
        <f>('вместе-абс'!R20 - 'вместе-абс'!#REF!) / 'вместе-абс'!#REF!</f>
        <v>#REF!</v>
      </c>
      <c r="S37" s="2" t="e">
        <f>('вместе-абс'!S20 - 'вместе-абс'!#REF!) / 'вместе-абс'!#REF!</f>
        <v>#REF!</v>
      </c>
      <c r="T37" s="2" t="e">
        <f>('вместе-абс'!T20 - 'вместе-абс'!#REF!) / 'вместе-абс'!#REF!</f>
        <v>#REF!</v>
      </c>
      <c r="U37" s="2" t="e">
        <f>('вместе-абс'!U20 - 'вместе-абс'!#REF!) / 'вместе-абс'!#REF!</f>
        <v>#REF!</v>
      </c>
      <c r="V37" s="2" t="e">
        <f>('вместе-абс'!V20 - 'вместе-абс'!#REF!) / 'вместе-абс'!#REF!</f>
        <v>#REF!</v>
      </c>
    </row>
    <row r="38" spans="1:22" x14ac:dyDescent="0.25">
      <c r="A38" s="12">
        <f t="shared" si="1"/>
        <v>1953</v>
      </c>
      <c r="B38" s="2" t="e">
        <f>('вместе-абс'!B21 - 'вместе-абс'!#REF!) / 'вместе-абс'!#REF!</f>
        <v>#REF!</v>
      </c>
      <c r="C38" s="2" t="e">
        <f>('вместе-абс'!C21 - 'вместе-абс'!#REF!) / 'вместе-абс'!#REF!</f>
        <v>#REF!</v>
      </c>
      <c r="D38" s="2" t="e">
        <f>('вместе-абс'!D21 - 'вместе-абс'!#REF!) / 'вместе-абс'!#REF!</f>
        <v>#REF!</v>
      </c>
      <c r="E38" s="2" t="e">
        <f>('вместе-абс'!E21 - 'вместе-абс'!#REF!) / 'вместе-абс'!#REF!</f>
        <v>#REF!</v>
      </c>
      <c r="F38" s="2" t="e">
        <f>('вместе-абс'!F21 - 'вместе-абс'!#REF!) / 'вместе-абс'!#REF!</f>
        <v>#REF!</v>
      </c>
      <c r="G38" s="2" t="e">
        <f>('вместе-абс'!G21 - 'вместе-абс'!#REF!) / 'вместе-абс'!#REF!</f>
        <v>#REF!</v>
      </c>
      <c r="H38" s="2" t="e">
        <f>('вместе-абс'!H21 - 'вместе-абс'!#REF!) / 'вместе-абс'!#REF!</f>
        <v>#REF!</v>
      </c>
      <c r="I38" s="2" t="e">
        <f>('вместе-абс'!I21 - 'вместе-абс'!#REF!) / 'вместе-абс'!#REF!</f>
        <v>#REF!</v>
      </c>
      <c r="J38" s="2" t="e">
        <f>('вместе-абс'!J21 - 'вместе-абс'!#REF!) / 'вместе-абс'!#REF!</f>
        <v>#REF!</v>
      </c>
      <c r="K38" s="2" t="e">
        <f>('вместе-абс'!K21 - 'вместе-абс'!#REF!) / 'вместе-абс'!#REF!</f>
        <v>#REF!</v>
      </c>
      <c r="L38" s="2" t="e">
        <f>('вместе-абс'!L21 - 'вместе-абс'!#REF!) / 'вместе-абс'!#REF!</f>
        <v>#REF!</v>
      </c>
      <c r="M38" s="2" t="e">
        <f>('вместе-абс'!M21 - 'вместе-абс'!#REF!) / 'вместе-абс'!#REF!</f>
        <v>#REF!</v>
      </c>
      <c r="N38" s="2" t="e">
        <f>('вместе-абс'!N21 - 'вместе-абс'!#REF!) / 'вместе-абс'!#REF!</f>
        <v>#REF!</v>
      </c>
      <c r="O38" s="2" t="e">
        <f>('вместе-абс'!O21 - 'вместе-абс'!#REF!) / 'вместе-абс'!#REF!</f>
        <v>#REF!</v>
      </c>
      <c r="P38" s="2" t="e">
        <f>('вместе-абс'!P21 - 'вместе-абс'!#REF!) / 'вместе-абс'!#REF!</f>
        <v>#REF!</v>
      </c>
      <c r="Q38" s="2" t="e">
        <f>('вместе-абс'!Q21 - 'вместе-абс'!#REF!) / 'вместе-абс'!#REF!</f>
        <v>#REF!</v>
      </c>
      <c r="R38" s="2" t="e">
        <f>('вместе-абс'!R21 - 'вместе-абс'!#REF!) / 'вместе-абс'!#REF!</f>
        <v>#REF!</v>
      </c>
      <c r="S38" s="2" t="e">
        <f>('вместе-абс'!S21 - 'вместе-абс'!#REF!) / 'вместе-абс'!#REF!</f>
        <v>#REF!</v>
      </c>
      <c r="T38" s="2" t="e">
        <f>('вместе-абс'!T21 - 'вместе-абс'!#REF!) / 'вместе-абс'!#REF!</f>
        <v>#REF!</v>
      </c>
      <c r="U38" s="2" t="e">
        <f>('вместе-абс'!U21 - 'вместе-абс'!#REF!) / 'вместе-абс'!#REF!</f>
        <v>#REF!</v>
      </c>
      <c r="V38" s="2" t="e">
        <f>('вместе-абс'!V21 - 'вместе-абс'!#REF!) / 'вместе-абс'!#REF!</f>
        <v>#REF!</v>
      </c>
    </row>
    <row r="39" spans="1:22" x14ac:dyDescent="0.25">
      <c r="A39" s="12">
        <f t="shared" si="1"/>
        <v>1954</v>
      </c>
      <c r="B39" s="2" t="e">
        <f>('вместе-абс'!B22 - 'вместе-абс'!#REF!) / 'вместе-абс'!#REF!</f>
        <v>#REF!</v>
      </c>
      <c r="C39" s="2" t="e">
        <f>('вместе-абс'!C22 - 'вместе-абс'!#REF!) / 'вместе-абс'!#REF!</f>
        <v>#REF!</v>
      </c>
      <c r="D39" s="2" t="e">
        <f>('вместе-абс'!D22 - 'вместе-абс'!#REF!) / 'вместе-абс'!#REF!</f>
        <v>#REF!</v>
      </c>
      <c r="E39" s="2" t="e">
        <f>('вместе-абс'!E22 - 'вместе-абс'!#REF!) / 'вместе-абс'!#REF!</f>
        <v>#REF!</v>
      </c>
      <c r="F39" s="2" t="e">
        <f>('вместе-абс'!F22 - 'вместе-абс'!#REF!) / 'вместе-абс'!#REF!</f>
        <v>#REF!</v>
      </c>
      <c r="G39" s="2" t="e">
        <f>('вместе-абс'!G22 - 'вместе-абс'!#REF!) / 'вместе-абс'!#REF!</f>
        <v>#REF!</v>
      </c>
      <c r="H39" s="2" t="e">
        <f>('вместе-абс'!H22 - 'вместе-абс'!#REF!) / 'вместе-абс'!#REF!</f>
        <v>#REF!</v>
      </c>
      <c r="I39" s="2" t="e">
        <f>('вместе-абс'!I22 - 'вместе-абс'!#REF!) / 'вместе-абс'!#REF!</f>
        <v>#REF!</v>
      </c>
      <c r="J39" s="2" t="e">
        <f>('вместе-абс'!J22 - 'вместе-абс'!#REF!) / 'вместе-абс'!#REF!</f>
        <v>#REF!</v>
      </c>
      <c r="K39" s="2" t="e">
        <f>('вместе-абс'!K22 - 'вместе-абс'!#REF!) / 'вместе-абс'!#REF!</f>
        <v>#REF!</v>
      </c>
      <c r="L39" s="2" t="e">
        <f>('вместе-абс'!L22 - 'вместе-абс'!#REF!) / 'вместе-абс'!#REF!</f>
        <v>#REF!</v>
      </c>
      <c r="M39" s="2" t="e">
        <f>('вместе-абс'!M22 - 'вместе-абс'!#REF!) / 'вместе-абс'!#REF!</f>
        <v>#REF!</v>
      </c>
      <c r="N39" s="2" t="e">
        <f>('вместе-абс'!N22 - 'вместе-абс'!#REF!) / 'вместе-абс'!#REF!</f>
        <v>#REF!</v>
      </c>
      <c r="O39" s="2" t="e">
        <f>('вместе-абс'!O22 - 'вместе-абс'!#REF!) / 'вместе-абс'!#REF!</f>
        <v>#REF!</v>
      </c>
      <c r="P39" s="2" t="e">
        <f>('вместе-абс'!P22 - 'вместе-абс'!#REF!) / 'вместе-абс'!#REF!</f>
        <v>#REF!</v>
      </c>
      <c r="Q39" s="2" t="e">
        <f>('вместе-абс'!Q22 - 'вместе-абс'!#REF!) / 'вместе-абс'!#REF!</f>
        <v>#REF!</v>
      </c>
      <c r="R39" s="2" t="e">
        <f>('вместе-абс'!R22 - 'вместе-абс'!#REF!) / 'вместе-абс'!#REF!</f>
        <v>#REF!</v>
      </c>
      <c r="S39" s="2" t="e">
        <f>('вместе-абс'!S22 - 'вместе-абс'!#REF!) / 'вместе-абс'!#REF!</f>
        <v>#REF!</v>
      </c>
      <c r="T39" s="2" t="e">
        <f>('вместе-абс'!T22 - 'вместе-абс'!#REF!) / 'вместе-абс'!#REF!</f>
        <v>#REF!</v>
      </c>
      <c r="U39" s="2" t="e">
        <f>('вместе-абс'!U22 - 'вместе-абс'!#REF!) / 'вместе-абс'!#REF!</f>
        <v>#REF!</v>
      </c>
      <c r="V39" s="2" t="e">
        <f>('вместе-абс'!V22 - 'вместе-абс'!#REF!) / 'вместе-абс'!#REF!</f>
        <v>#REF!</v>
      </c>
    </row>
    <row r="40" spans="1:22" x14ac:dyDescent="0.25">
      <c r="A40" s="12">
        <f t="shared" si="1"/>
        <v>1955</v>
      </c>
      <c r="B40" s="2" t="e">
        <f>('вместе-абс'!B23 - 'вместе-абс'!#REF!) / 'вместе-абс'!#REF!</f>
        <v>#REF!</v>
      </c>
      <c r="C40" s="2" t="e">
        <f>('вместе-абс'!C23 - 'вместе-абс'!#REF!) / 'вместе-абс'!#REF!</f>
        <v>#REF!</v>
      </c>
      <c r="D40" s="2" t="e">
        <f>('вместе-абс'!D23 - 'вместе-абс'!#REF!) / 'вместе-абс'!#REF!</f>
        <v>#REF!</v>
      </c>
      <c r="E40" s="2" t="e">
        <f>('вместе-абс'!E23 - 'вместе-абс'!#REF!) / 'вместе-абс'!#REF!</f>
        <v>#REF!</v>
      </c>
      <c r="F40" s="2" t="e">
        <f>('вместе-абс'!F23 - 'вместе-абс'!#REF!) / 'вместе-абс'!#REF!</f>
        <v>#REF!</v>
      </c>
      <c r="G40" s="2" t="e">
        <f>('вместе-абс'!G23 - 'вместе-абс'!#REF!) / 'вместе-абс'!#REF!</f>
        <v>#REF!</v>
      </c>
      <c r="H40" s="2" t="e">
        <f>('вместе-абс'!H23 - 'вместе-абс'!#REF!) / 'вместе-абс'!#REF!</f>
        <v>#REF!</v>
      </c>
      <c r="I40" s="2" t="e">
        <f>('вместе-абс'!I23 - 'вместе-абс'!#REF!) / 'вместе-абс'!#REF!</f>
        <v>#REF!</v>
      </c>
      <c r="J40" s="2" t="e">
        <f>('вместе-абс'!J23 - 'вместе-абс'!#REF!) / 'вместе-абс'!#REF!</f>
        <v>#REF!</v>
      </c>
      <c r="K40" s="2" t="e">
        <f>('вместе-абс'!K23 - 'вместе-абс'!#REF!) / 'вместе-абс'!#REF!</f>
        <v>#REF!</v>
      </c>
      <c r="L40" s="2" t="e">
        <f>('вместе-абс'!L23 - 'вместе-абс'!#REF!) / 'вместе-абс'!#REF!</f>
        <v>#REF!</v>
      </c>
      <c r="M40" s="2" t="e">
        <f>('вместе-абс'!M23 - 'вместе-абс'!#REF!) / 'вместе-абс'!#REF!</f>
        <v>#REF!</v>
      </c>
      <c r="N40" s="2" t="e">
        <f>('вместе-абс'!N23 - 'вместе-абс'!#REF!) / 'вместе-абс'!#REF!</f>
        <v>#REF!</v>
      </c>
      <c r="O40" s="2" t="e">
        <f>('вместе-абс'!O23 - 'вместе-абс'!#REF!) / 'вместе-абс'!#REF!</f>
        <v>#REF!</v>
      </c>
      <c r="P40" s="2" t="e">
        <f>('вместе-абс'!P23 - 'вместе-абс'!#REF!) / 'вместе-абс'!#REF!</f>
        <v>#REF!</v>
      </c>
      <c r="Q40" s="2" t="e">
        <f>('вместе-абс'!Q23 - 'вместе-абс'!#REF!) / 'вместе-абс'!#REF!</f>
        <v>#REF!</v>
      </c>
      <c r="R40" s="2" t="e">
        <f>('вместе-абс'!R23 - 'вместе-абс'!#REF!) / 'вместе-абс'!#REF!</f>
        <v>#REF!</v>
      </c>
      <c r="S40" s="2" t="e">
        <f>('вместе-абс'!S23 - 'вместе-абс'!#REF!) / 'вместе-абс'!#REF!</f>
        <v>#REF!</v>
      </c>
      <c r="T40" s="2" t="e">
        <f>('вместе-абс'!T23 - 'вместе-абс'!#REF!) / 'вместе-абс'!#REF!</f>
        <v>#REF!</v>
      </c>
      <c r="U40" s="2" t="e">
        <f>('вместе-абс'!U23 - 'вместе-абс'!#REF!) / 'вместе-абс'!#REF!</f>
        <v>#REF!</v>
      </c>
      <c r="V40" s="2" t="e">
        <f>('вместе-абс'!V23 - 'вместе-абс'!#REF!) / 'вместе-абс'!#REF!</f>
        <v>#REF!</v>
      </c>
    </row>
    <row r="41" spans="1:22" x14ac:dyDescent="0.25">
      <c r="A41" s="12">
        <f t="shared" si="1"/>
        <v>1956</v>
      </c>
      <c r="B41" s="2" t="e">
        <f>('вместе-абс'!B24 - 'вместе-абс'!#REF!) / 'вместе-абс'!#REF!</f>
        <v>#REF!</v>
      </c>
      <c r="C41" s="2" t="e">
        <f>('вместе-абс'!C24 - 'вместе-абс'!#REF!) / 'вместе-абс'!#REF!</f>
        <v>#REF!</v>
      </c>
      <c r="D41" s="2" t="e">
        <f>('вместе-абс'!D24 - 'вместе-абс'!#REF!) / 'вместе-абс'!#REF!</f>
        <v>#REF!</v>
      </c>
      <c r="E41" s="2" t="e">
        <f>('вместе-абс'!E24 - 'вместе-абс'!#REF!) / 'вместе-абс'!#REF!</f>
        <v>#REF!</v>
      </c>
      <c r="F41" s="2" t="e">
        <f>('вместе-абс'!F24 - 'вместе-абс'!#REF!) / 'вместе-абс'!#REF!</f>
        <v>#REF!</v>
      </c>
      <c r="G41" s="2" t="e">
        <f>('вместе-абс'!G24 - 'вместе-абс'!#REF!) / 'вместе-абс'!#REF!</f>
        <v>#REF!</v>
      </c>
      <c r="H41" s="2" t="e">
        <f>('вместе-абс'!H24 - 'вместе-абс'!#REF!) / 'вместе-абс'!#REF!</f>
        <v>#REF!</v>
      </c>
      <c r="I41" s="2" t="e">
        <f>('вместе-абс'!I24 - 'вместе-абс'!#REF!) / 'вместе-абс'!#REF!</f>
        <v>#REF!</v>
      </c>
      <c r="J41" s="2" t="e">
        <f>('вместе-абс'!J24 - 'вместе-абс'!#REF!) / 'вместе-абс'!#REF!</f>
        <v>#REF!</v>
      </c>
      <c r="K41" s="2" t="e">
        <f>('вместе-абс'!K24 - 'вместе-абс'!#REF!) / 'вместе-абс'!#REF!</f>
        <v>#REF!</v>
      </c>
      <c r="L41" s="2" t="e">
        <f>('вместе-абс'!L24 - 'вместе-абс'!#REF!) / 'вместе-абс'!#REF!</f>
        <v>#REF!</v>
      </c>
      <c r="M41" s="2" t="e">
        <f>('вместе-абс'!M24 - 'вместе-абс'!#REF!) / 'вместе-абс'!#REF!</f>
        <v>#REF!</v>
      </c>
      <c r="N41" s="2" t="e">
        <f>('вместе-абс'!N24 - 'вместе-абс'!#REF!) / 'вместе-абс'!#REF!</f>
        <v>#REF!</v>
      </c>
      <c r="O41" s="2" t="e">
        <f>('вместе-абс'!O24 - 'вместе-абс'!#REF!) / 'вместе-абс'!#REF!</f>
        <v>#REF!</v>
      </c>
      <c r="P41" s="2" t="e">
        <f>('вместе-абс'!P24 - 'вместе-абс'!#REF!) / 'вместе-абс'!#REF!</f>
        <v>#REF!</v>
      </c>
      <c r="Q41" s="2" t="e">
        <f>('вместе-абс'!Q24 - 'вместе-абс'!#REF!) / 'вместе-абс'!#REF!</f>
        <v>#REF!</v>
      </c>
      <c r="R41" s="2" t="e">
        <f>('вместе-абс'!R24 - 'вместе-абс'!#REF!) / 'вместе-абс'!#REF!</f>
        <v>#REF!</v>
      </c>
      <c r="S41" s="2" t="e">
        <f>('вместе-абс'!S24 - 'вместе-абс'!#REF!) / 'вместе-абс'!#REF!</f>
        <v>#REF!</v>
      </c>
      <c r="T41" s="2" t="e">
        <f>('вместе-абс'!T24 - 'вместе-абс'!#REF!) / 'вместе-абс'!#REF!</f>
        <v>#REF!</v>
      </c>
      <c r="U41" s="2" t="e">
        <f>('вместе-абс'!U24 - 'вместе-абс'!#REF!) / 'вместе-абс'!#REF!</f>
        <v>#REF!</v>
      </c>
      <c r="V41" s="2" t="e">
        <f>('вместе-абс'!V24 - 'вместе-абс'!#REF!) / 'вместе-абс'!#REF!</f>
        <v>#REF!</v>
      </c>
    </row>
    <row r="42" spans="1:22" x14ac:dyDescent="0.25">
      <c r="A42" s="12">
        <f t="shared" si="1"/>
        <v>1957</v>
      </c>
      <c r="B42" s="2" t="e">
        <f>('вместе-абс'!B25 - 'вместе-абс'!#REF!) / 'вместе-абс'!#REF!</f>
        <v>#REF!</v>
      </c>
      <c r="C42" s="2" t="e">
        <f>('вместе-абс'!C25 - 'вместе-абс'!#REF!) / 'вместе-абс'!#REF!</f>
        <v>#REF!</v>
      </c>
      <c r="D42" s="2" t="e">
        <f>('вместе-абс'!D25 - 'вместе-абс'!#REF!) / 'вместе-абс'!#REF!</f>
        <v>#REF!</v>
      </c>
      <c r="E42" s="2" t="e">
        <f>('вместе-абс'!E25 - 'вместе-абс'!#REF!) / 'вместе-абс'!#REF!</f>
        <v>#REF!</v>
      </c>
      <c r="F42" s="2" t="e">
        <f>('вместе-абс'!F25 - 'вместе-абс'!#REF!) / 'вместе-абс'!#REF!</f>
        <v>#REF!</v>
      </c>
      <c r="G42" s="2" t="e">
        <f>('вместе-абс'!G25 - 'вместе-абс'!#REF!) / 'вместе-абс'!#REF!</f>
        <v>#REF!</v>
      </c>
      <c r="H42" s="2" t="e">
        <f>('вместе-абс'!H25 - 'вместе-абс'!#REF!) / 'вместе-абс'!#REF!</f>
        <v>#REF!</v>
      </c>
      <c r="I42" s="2" t="e">
        <f>('вместе-абс'!I25 - 'вместе-абс'!#REF!) / 'вместе-абс'!#REF!</f>
        <v>#REF!</v>
      </c>
      <c r="J42" s="2" t="e">
        <f>('вместе-абс'!J25 - 'вместе-абс'!#REF!) / 'вместе-абс'!#REF!</f>
        <v>#REF!</v>
      </c>
      <c r="K42" s="2" t="e">
        <f>('вместе-абс'!K25 - 'вместе-абс'!#REF!) / 'вместе-абс'!#REF!</f>
        <v>#REF!</v>
      </c>
      <c r="L42" s="2" t="e">
        <f>('вместе-абс'!L25 - 'вместе-абс'!#REF!) / 'вместе-абс'!#REF!</f>
        <v>#REF!</v>
      </c>
      <c r="M42" s="2" t="e">
        <f>('вместе-абс'!M25 - 'вместе-абс'!#REF!) / 'вместе-абс'!#REF!</f>
        <v>#REF!</v>
      </c>
      <c r="N42" s="2" t="e">
        <f>('вместе-абс'!N25 - 'вместе-абс'!#REF!) / 'вместе-абс'!#REF!</f>
        <v>#REF!</v>
      </c>
      <c r="O42" s="2" t="e">
        <f>('вместе-абс'!O25 - 'вместе-абс'!#REF!) / 'вместе-абс'!#REF!</f>
        <v>#REF!</v>
      </c>
      <c r="P42" s="2" t="e">
        <f>('вместе-абс'!P25 - 'вместе-абс'!#REF!) / 'вместе-абс'!#REF!</f>
        <v>#REF!</v>
      </c>
      <c r="Q42" s="2" t="e">
        <f>('вместе-абс'!Q25 - 'вместе-абс'!#REF!) / 'вместе-абс'!#REF!</f>
        <v>#REF!</v>
      </c>
      <c r="R42" s="2" t="e">
        <f>('вместе-абс'!R25 - 'вместе-абс'!#REF!) / 'вместе-абс'!#REF!</f>
        <v>#REF!</v>
      </c>
      <c r="S42" s="2" t="e">
        <f>('вместе-абс'!S25 - 'вместе-абс'!#REF!) / 'вместе-абс'!#REF!</f>
        <v>#REF!</v>
      </c>
      <c r="T42" s="2" t="e">
        <f>('вместе-абс'!T25 - 'вместе-абс'!#REF!) / 'вместе-абс'!#REF!</f>
        <v>#REF!</v>
      </c>
      <c r="U42" s="2" t="e">
        <f>('вместе-абс'!U25 - 'вместе-абс'!#REF!) / 'вместе-абс'!#REF!</f>
        <v>#REF!</v>
      </c>
      <c r="V42" s="2" t="e">
        <f>('вместе-абс'!V25 - 'вместе-абс'!#REF!) / 'вместе-абс'!#REF!</f>
        <v>#REF!</v>
      </c>
    </row>
    <row r="43" spans="1:22" x14ac:dyDescent="0.25">
      <c r="A43" s="12">
        <f t="shared" si="1"/>
        <v>1958</v>
      </c>
      <c r="B43" s="2" t="e">
        <f>('вместе-абс'!B26 - 'вместе-абс'!#REF!) / 'вместе-абс'!#REF!</f>
        <v>#REF!</v>
      </c>
      <c r="C43" s="2" t="e">
        <f>('вместе-абс'!C26 - 'вместе-абс'!#REF!) / 'вместе-абс'!#REF!</f>
        <v>#REF!</v>
      </c>
      <c r="D43" s="2" t="e">
        <f>('вместе-абс'!D26 - 'вместе-абс'!#REF!) / 'вместе-абс'!#REF!</f>
        <v>#REF!</v>
      </c>
      <c r="E43" s="2" t="e">
        <f>('вместе-абс'!E26 - 'вместе-абс'!#REF!) / 'вместе-абс'!#REF!</f>
        <v>#REF!</v>
      </c>
      <c r="F43" s="2" t="e">
        <f>('вместе-абс'!F26 - 'вместе-абс'!#REF!) / 'вместе-абс'!#REF!</f>
        <v>#REF!</v>
      </c>
      <c r="G43" s="2" t="e">
        <f>('вместе-абс'!G26 - 'вместе-абс'!#REF!) / 'вместе-абс'!#REF!</f>
        <v>#REF!</v>
      </c>
      <c r="H43" s="2" t="e">
        <f>('вместе-абс'!H26 - 'вместе-абс'!#REF!) / 'вместе-абс'!#REF!</f>
        <v>#REF!</v>
      </c>
      <c r="I43" s="2" t="e">
        <f>('вместе-абс'!I26 - 'вместе-абс'!#REF!) / 'вместе-абс'!#REF!</f>
        <v>#REF!</v>
      </c>
      <c r="J43" s="2" t="e">
        <f>('вместе-абс'!J26 - 'вместе-абс'!#REF!) / 'вместе-абс'!#REF!</f>
        <v>#REF!</v>
      </c>
      <c r="K43" s="2" t="e">
        <f>('вместе-абс'!K26 - 'вместе-абс'!#REF!) / 'вместе-абс'!#REF!</f>
        <v>#REF!</v>
      </c>
      <c r="L43" s="2" t="e">
        <f>('вместе-абс'!L26 - 'вместе-абс'!#REF!) / 'вместе-абс'!#REF!</f>
        <v>#REF!</v>
      </c>
      <c r="M43" s="2" t="e">
        <f>('вместе-абс'!M26 - 'вместе-абс'!#REF!) / 'вместе-абс'!#REF!</f>
        <v>#REF!</v>
      </c>
      <c r="N43" s="2" t="e">
        <f>('вместе-абс'!N26 - 'вместе-абс'!#REF!) / 'вместе-абс'!#REF!</f>
        <v>#REF!</v>
      </c>
      <c r="O43" s="2" t="e">
        <f>('вместе-абс'!O26 - 'вместе-абс'!#REF!) / 'вместе-абс'!#REF!</f>
        <v>#REF!</v>
      </c>
      <c r="P43" s="2" t="e">
        <f>('вместе-абс'!P26 - 'вместе-абс'!#REF!) / 'вместе-абс'!#REF!</f>
        <v>#REF!</v>
      </c>
      <c r="Q43" s="2" t="e">
        <f>('вместе-абс'!Q26 - 'вместе-абс'!#REF!) / 'вместе-абс'!#REF!</f>
        <v>#REF!</v>
      </c>
      <c r="R43" s="2" t="e">
        <f>('вместе-абс'!R26 - 'вместе-абс'!#REF!) / 'вместе-абс'!#REF!</f>
        <v>#REF!</v>
      </c>
      <c r="S43" s="2" t="e">
        <f>('вместе-абс'!S26 - 'вместе-абс'!#REF!) / 'вместе-абс'!#REF!</f>
        <v>#REF!</v>
      </c>
      <c r="T43" s="2" t="e">
        <f>('вместе-абс'!T26 - 'вместе-абс'!#REF!) / 'вместе-абс'!#REF!</f>
        <v>#REF!</v>
      </c>
      <c r="U43" s="2" t="e">
        <f>('вместе-абс'!U26 - 'вместе-абс'!#REF!) / 'вместе-абс'!#REF!</f>
        <v>#REF!</v>
      </c>
      <c r="V43" s="2" t="e">
        <f>('вместе-абс'!V26 - 'вместе-абс'!#REF!) / 'вместе-абс'!#REF!</f>
        <v>#REF!</v>
      </c>
    </row>
    <row r="44" spans="1:22" x14ac:dyDescent="0.25">
      <c r="A44" s="12">
        <f t="shared" si="1"/>
        <v>1959</v>
      </c>
      <c r="B44" s="2" t="e">
        <f>('вместе-абс'!B27 - 'вместе-абс'!#REF!) / 'вместе-абс'!#REF!</f>
        <v>#REF!</v>
      </c>
      <c r="C44" s="2" t="e">
        <f>('вместе-абс'!C27 - 'вместе-абс'!#REF!) / 'вместе-абс'!#REF!</f>
        <v>#REF!</v>
      </c>
      <c r="D44" s="2" t="e">
        <f>('вместе-абс'!D27 - 'вместе-абс'!#REF!) / 'вместе-абс'!#REF!</f>
        <v>#REF!</v>
      </c>
      <c r="E44" s="2" t="e">
        <f>('вместе-абс'!E27 - 'вместе-абс'!#REF!) / 'вместе-абс'!#REF!</f>
        <v>#REF!</v>
      </c>
      <c r="F44" s="2" t="e">
        <f>('вместе-абс'!F27 - 'вместе-абс'!#REF!) / 'вместе-абс'!#REF!</f>
        <v>#REF!</v>
      </c>
      <c r="G44" s="2" t="e">
        <f>('вместе-абс'!G27 - 'вместе-абс'!#REF!) / 'вместе-абс'!#REF!</f>
        <v>#REF!</v>
      </c>
      <c r="H44" s="2" t="e">
        <f>('вместе-абс'!H27 - 'вместе-абс'!#REF!) / 'вместе-абс'!#REF!</f>
        <v>#REF!</v>
      </c>
      <c r="I44" s="2" t="e">
        <f>('вместе-абс'!I27 - 'вместе-абс'!#REF!) / 'вместе-абс'!#REF!</f>
        <v>#REF!</v>
      </c>
      <c r="J44" s="2" t="e">
        <f>('вместе-абс'!J27 - 'вместе-абс'!#REF!) / 'вместе-абс'!#REF!</f>
        <v>#REF!</v>
      </c>
      <c r="K44" s="2" t="e">
        <f>('вместе-абс'!K27 - 'вместе-абс'!#REF!) / 'вместе-абс'!#REF!</f>
        <v>#REF!</v>
      </c>
      <c r="L44" s="2" t="e">
        <f>('вместе-абс'!L27 - 'вместе-абс'!#REF!) / 'вместе-абс'!#REF!</f>
        <v>#REF!</v>
      </c>
      <c r="M44" s="2" t="e">
        <f>('вместе-абс'!M27 - 'вместе-абс'!#REF!) / 'вместе-абс'!#REF!</f>
        <v>#REF!</v>
      </c>
      <c r="N44" s="2" t="e">
        <f>('вместе-абс'!N27 - 'вместе-абс'!#REF!) / 'вместе-абс'!#REF!</f>
        <v>#REF!</v>
      </c>
      <c r="O44" s="2" t="e">
        <f>('вместе-абс'!O27 - 'вместе-абс'!#REF!) / 'вместе-абс'!#REF!</f>
        <v>#REF!</v>
      </c>
      <c r="P44" s="2" t="e">
        <f>('вместе-абс'!P27 - 'вместе-абс'!#REF!) / 'вместе-абс'!#REF!</f>
        <v>#REF!</v>
      </c>
      <c r="Q44" s="2" t="e">
        <f>('вместе-абс'!Q27 - 'вместе-абс'!#REF!) / 'вместе-абс'!#REF!</f>
        <v>#REF!</v>
      </c>
      <c r="R44" s="2" t="e">
        <f>('вместе-абс'!R27 - 'вместе-абс'!#REF!) / 'вместе-абс'!#REF!</f>
        <v>#REF!</v>
      </c>
      <c r="S44" s="2" t="e">
        <f>('вместе-абс'!S27 - 'вместе-абс'!#REF!) / 'вместе-абс'!#REF!</f>
        <v>#REF!</v>
      </c>
      <c r="T44" s="2" t="e">
        <f>('вместе-абс'!T27 - 'вместе-абс'!#REF!) / 'вместе-абс'!#REF!</f>
        <v>#REF!</v>
      </c>
      <c r="U44" s="2" t="e">
        <f>('вместе-абс'!U27 - 'вместе-абс'!#REF!) / 'вместе-абс'!#REF!</f>
        <v>#REF!</v>
      </c>
      <c r="V44" s="2" t="e">
        <f>('вместе-абс'!V27 - 'вместе-абс'!#REF!) / 'вместе-абс'!#REF!</f>
        <v>#REF!</v>
      </c>
    </row>
    <row r="45" spans="1:22" x14ac:dyDescent="0.25">
      <c r="A45" s="12">
        <f t="shared" si="1"/>
        <v>1960</v>
      </c>
      <c r="B45" s="2" t="e">
        <f>('вместе-абс'!B28 - 'вместе-абс'!#REF!) / 'вместе-абс'!#REF!</f>
        <v>#REF!</v>
      </c>
      <c r="C45" s="2" t="e">
        <f>('вместе-абс'!C28 - 'вместе-абс'!#REF!) / 'вместе-абс'!#REF!</f>
        <v>#REF!</v>
      </c>
      <c r="D45" s="2" t="e">
        <f>('вместе-абс'!D28 - 'вместе-абс'!#REF!) / 'вместе-абс'!#REF!</f>
        <v>#REF!</v>
      </c>
      <c r="E45" s="2" t="e">
        <f>('вместе-абс'!E28 - 'вместе-абс'!#REF!) / 'вместе-абс'!#REF!</f>
        <v>#REF!</v>
      </c>
      <c r="F45" s="2" t="e">
        <f>('вместе-абс'!F28 - 'вместе-абс'!#REF!) / 'вместе-абс'!#REF!</f>
        <v>#REF!</v>
      </c>
      <c r="G45" s="2" t="e">
        <f>('вместе-абс'!G28 - 'вместе-абс'!#REF!) / 'вместе-абс'!#REF!</f>
        <v>#REF!</v>
      </c>
      <c r="H45" s="2" t="e">
        <f>('вместе-абс'!H28 - 'вместе-абс'!#REF!) / 'вместе-абс'!#REF!</f>
        <v>#REF!</v>
      </c>
      <c r="I45" s="2" t="e">
        <f>('вместе-абс'!I28 - 'вместе-абс'!#REF!) / 'вместе-абс'!#REF!</f>
        <v>#REF!</v>
      </c>
      <c r="J45" s="2" t="e">
        <f>('вместе-абс'!J28 - 'вместе-абс'!#REF!) / 'вместе-абс'!#REF!</f>
        <v>#REF!</v>
      </c>
      <c r="K45" s="2" t="e">
        <f>('вместе-абс'!K28 - 'вместе-абс'!#REF!) / 'вместе-абс'!#REF!</f>
        <v>#REF!</v>
      </c>
      <c r="L45" s="2" t="e">
        <f>('вместе-абс'!L28 - 'вместе-абс'!#REF!) / 'вместе-абс'!#REF!</f>
        <v>#REF!</v>
      </c>
      <c r="M45" s="2" t="e">
        <f>('вместе-абс'!M28 - 'вместе-абс'!#REF!) / 'вместе-абс'!#REF!</f>
        <v>#REF!</v>
      </c>
      <c r="N45" s="2" t="e">
        <f>('вместе-абс'!N28 - 'вместе-абс'!#REF!) / 'вместе-абс'!#REF!</f>
        <v>#REF!</v>
      </c>
      <c r="O45" s="2" t="e">
        <f>('вместе-абс'!O28 - 'вместе-абс'!#REF!) / 'вместе-абс'!#REF!</f>
        <v>#REF!</v>
      </c>
      <c r="P45" s="2" t="e">
        <f>('вместе-абс'!P28 - 'вместе-абс'!#REF!) / 'вместе-абс'!#REF!</f>
        <v>#REF!</v>
      </c>
      <c r="Q45" s="2" t="e">
        <f>('вместе-абс'!Q28 - 'вместе-абс'!#REF!) / 'вместе-абс'!#REF!</f>
        <v>#REF!</v>
      </c>
      <c r="R45" s="2" t="e">
        <f>('вместе-абс'!R28 - 'вместе-абс'!#REF!) / 'вместе-абс'!#REF!</f>
        <v>#REF!</v>
      </c>
      <c r="S45" s="2" t="e">
        <f>('вместе-абс'!S28 - 'вместе-абс'!#REF!) / 'вместе-абс'!#REF!</f>
        <v>#REF!</v>
      </c>
      <c r="T45" s="2" t="e">
        <f>('вместе-абс'!T28 - 'вместе-абс'!#REF!) / 'вместе-абс'!#REF!</f>
        <v>#REF!</v>
      </c>
      <c r="U45" s="2" t="e">
        <f>('вместе-абс'!U28 - 'вместе-абс'!#REF!) / 'вместе-абс'!#REF!</f>
        <v>#REF!</v>
      </c>
      <c r="V45" s="2" t="e">
        <f>('вместе-абс'!V28 - 'вместе-абс'!#REF!) / 'вместе-абс'!#REF!</f>
        <v>#REF!</v>
      </c>
    </row>
    <row r="46" spans="1:22" x14ac:dyDescent="0.25">
      <c r="A46" s="12">
        <f t="shared" si="1"/>
        <v>1961</v>
      </c>
      <c r="B46" s="2" t="e">
        <f>('вместе-абс'!B29 - 'вместе-абс'!#REF!) / 'вместе-абс'!#REF!</f>
        <v>#REF!</v>
      </c>
      <c r="C46" s="2" t="e">
        <f>('вместе-абс'!C29 - 'вместе-абс'!#REF!) / 'вместе-абс'!#REF!</f>
        <v>#REF!</v>
      </c>
      <c r="D46" s="2" t="e">
        <f>('вместе-абс'!D29 - 'вместе-абс'!#REF!) / 'вместе-абс'!#REF!</f>
        <v>#REF!</v>
      </c>
      <c r="E46" s="2" t="e">
        <f>('вместе-абс'!E29 - 'вместе-абс'!#REF!) / 'вместе-абс'!#REF!</f>
        <v>#REF!</v>
      </c>
      <c r="F46" s="2" t="e">
        <f>('вместе-абс'!F29 - 'вместе-абс'!#REF!) / 'вместе-абс'!#REF!</f>
        <v>#REF!</v>
      </c>
      <c r="G46" s="2" t="e">
        <f>('вместе-абс'!G29 - 'вместе-абс'!#REF!) / 'вместе-абс'!#REF!</f>
        <v>#REF!</v>
      </c>
      <c r="H46" s="2" t="e">
        <f>('вместе-абс'!H29 - 'вместе-абс'!#REF!) / 'вместе-абс'!#REF!</f>
        <v>#REF!</v>
      </c>
      <c r="I46" s="2" t="e">
        <f>('вместе-абс'!I29 - 'вместе-абс'!#REF!) / 'вместе-абс'!#REF!</f>
        <v>#REF!</v>
      </c>
      <c r="J46" s="2" t="e">
        <f>('вместе-абс'!J29 - 'вместе-абс'!#REF!) / 'вместе-абс'!#REF!</f>
        <v>#REF!</v>
      </c>
      <c r="K46" s="2" t="e">
        <f>('вместе-абс'!K29 - 'вместе-абс'!#REF!) / 'вместе-абс'!#REF!</f>
        <v>#REF!</v>
      </c>
      <c r="L46" s="2" t="e">
        <f>('вместе-абс'!L29 - 'вместе-абс'!#REF!) / 'вместе-абс'!#REF!</f>
        <v>#REF!</v>
      </c>
      <c r="M46" s="2" t="e">
        <f>('вместе-абс'!M29 - 'вместе-абс'!#REF!) / 'вместе-абс'!#REF!</f>
        <v>#REF!</v>
      </c>
      <c r="N46" s="2" t="e">
        <f>('вместе-абс'!N29 - 'вместе-абс'!#REF!) / 'вместе-абс'!#REF!</f>
        <v>#REF!</v>
      </c>
      <c r="O46" s="2" t="e">
        <f>('вместе-абс'!O29 - 'вместе-абс'!#REF!) / 'вместе-абс'!#REF!</f>
        <v>#REF!</v>
      </c>
      <c r="P46" s="2" t="e">
        <f>('вместе-абс'!P29 - 'вместе-абс'!#REF!) / 'вместе-абс'!#REF!</f>
        <v>#REF!</v>
      </c>
      <c r="Q46" s="2" t="e">
        <f>('вместе-абс'!Q29 - 'вместе-абс'!#REF!) / 'вместе-абс'!#REF!</f>
        <v>#REF!</v>
      </c>
      <c r="R46" s="2" t="e">
        <f>('вместе-абс'!R29 - 'вместе-абс'!#REF!) / 'вместе-абс'!#REF!</f>
        <v>#REF!</v>
      </c>
      <c r="S46" s="2" t="e">
        <f>('вместе-абс'!S29 - 'вместе-абс'!#REF!) / 'вместе-абс'!#REF!</f>
        <v>#REF!</v>
      </c>
      <c r="T46" s="2" t="e">
        <f>('вместе-абс'!T29 - 'вместе-абс'!#REF!) / 'вместе-абс'!#REF!</f>
        <v>#REF!</v>
      </c>
      <c r="U46" s="2" t="e">
        <f>('вместе-абс'!U29 - 'вместе-абс'!#REF!) / 'вместе-абс'!#REF!</f>
        <v>#REF!</v>
      </c>
      <c r="V46" s="2" t="e">
        <f>('вместе-абс'!V29 - 'вместе-абс'!#REF!) / 'вместе-абс'!#REF!</f>
        <v>#REF!</v>
      </c>
    </row>
    <row r="47" spans="1:22" x14ac:dyDescent="0.25">
      <c r="A47" s="12">
        <f t="shared" si="1"/>
        <v>1962</v>
      </c>
      <c r="B47" s="2" t="e">
        <f>('вместе-абс'!B30 - 'вместе-абс'!#REF!) / 'вместе-абс'!#REF!</f>
        <v>#REF!</v>
      </c>
      <c r="C47" s="2" t="e">
        <f>('вместе-абс'!C30 - 'вместе-абс'!#REF!) / 'вместе-абс'!#REF!</f>
        <v>#REF!</v>
      </c>
      <c r="D47" s="2" t="e">
        <f>('вместе-абс'!D30 - 'вместе-абс'!#REF!) / 'вместе-абс'!#REF!</f>
        <v>#REF!</v>
      </c>
      <c r="E47" s="2" t="e">
        <f>('вместе-абс'!E30 - 'вместе-абс'!#REF!) / 'вместе-абс'!#REF!</f>
        <v>#REF!</v>
      </c>
      <c r="F47" s="2" t="e">
        <f>('вместе-абс'!F30 - 'вместе-абс'!#REF!) / 'вместе-абс'!#REF!</f>
        <v>#REF!</v>
      </c>
      <c r="G47" s="2" t="e">
        <f>('вместе-абс'!G30 - 'вместе-абс'!#REF!) / 'вместе-абс'!#REF!</f>
        <v>#REF!</v>
      </c>
      <c r="H47" s="2" t="e">
        <f>('вместе-абс'!H30 - 'вместе-абс'!#REF!) / 'вместе-абс'!#REF!</f>
        <v>#REF!</v>
      </c>
      <c r="I47" s="2" t="e">
        <f>('вместе-абс'!I30 - 'вместе-абс'!#REF!) / 'вместе-абс'!#REF!</f>
        <v>#REF!</v>
      </c>
      <c r="J47" s="2" t="e">
        <f>('вместе-абс'!J30 - 'вместе-абс'!#REF!) / 'вместе-абс'!#REF!</f>
        <v>#REF!</v>
      </c>
      <c r="K47" s="2" t="e">
        <f>('вместе-абс'!K30 - 'вместе-абс'!#REF!) / 'вместе-абс'!#REF!</f>
        <v>#REF!</v>
      </c>
      <c r="L47" s="2" t="e">
        <f>('вместе-абс'!L30 - 'вместе-абс'!#REF!) / 'вместе-абс'!#REF!</f>
        <v>#REF!</v>
      </c>
      <c r="M47" s="2" t="e">
        <f>('вместе-абс'!M30 - 'вместе-абс'!#REF!) / 'вместе-абс'!#REF!</f>
        <v>#REF!</v>
      </c>
      <c r="N47" s="2" t="e">
        <f>('вместе-абс'!N30 - 'вместе-абс'!#REF!) / 'вместе-абс'!#REF!</f>
        <v>#REF!</v>
      </c>
      <c r="O47" s="2" t="e">
        <f>('вместе-абс'!O30 - 'вместе-абс'!#REF!) / 'вместе-абс'!#REF!</f>
        <v>#REF!</v>
      </c>
      <c r="P47" s="2" t="e">
        <f>('вместе-абс'!P30 - 'вместе-абс'!#REF!) / 'вместе-абс'!#REF!</f>
        <v>#REF!</v>
      </c>
      <c r="Q47" s="2" t="e">
        <f>('вместе-абс'!Q30 - 'вместе-абс'!#REF!) / 'вместе-абс'!#REF!</f>
        <v>#REF!</v>
      </c>
      <c r="R47" s="2" t="e">
        <f>('вместе-абс'!R30 - 'вместе-абс'!#REF!) / 'вместе-абс'!#REF!</f>
        <v>#REF!</v>
      </c>
      <c r="S47" s="2" t="e">
        <f>('вместе-абс'!S30 - 'вместе-абс'!#REF!) / 'вместе-абс'!#REF!</f>
        <v>#REF!</v>
      </c>
      <c r="T47" s="2" t="e">
        <f>('вместе-абс'!T30 - 'вместе-абс'!#REF!) / 'вместе-абс'!#REF!</f>
        <v>#REF!</v>
      </c>
      <c r="U47" s="2" t="e">
        <f>('вместе-абс'!U30 - 'вместе-абс'!#REF!) / 'вместе-абс'!#REF!</f>
        <v>#REF!</v>
      </c>
      <c r="V47" s="2" t="e">
        <f>('вместе-абс'!V30 - 'вместе-абс'!#REF!) / 'вместе-абс'!#REF!</f>
        <v>#REF!</v>
      </c>
    </row>
    <row r="48" spans="1:22" x14ac:dyDescent="0.25">
      <c r="A48" s="12">
        <f t="shared" si="1"/>
        <v>1963</v>
      </c>
      <c r="B48" s="2" t="e">
        <f>('вместе-абс'!B31 - 'вместе-абс'!#REF!) / 'вместе-абс'!#REF!</f>
        <v>#REF!</v>
      </c>
      <c r="C48" s="2" t="e">
        <f>('вместе-абс'!C31 - 'вместе-абс'!#REF!) / 'вместе-абс'!#REF!</f>
        <v>#REF!</v>
      </c>
      <c r="D48" s="2" t="e">
        <f>('вместе-абс'!D31 - 'вместе-абс'!#REF!) / 'вместе-абс'!#REF!</f>
        <v>#REF!</v>
      </c>
      <c r="E48" s="2" t="e">
        <f>('вместе-абс'!E31 - 'вместе-абс'!#REF!) / 'вместе-абс'!#REF!</f>
        <v>#REF!</v>
      </c>
      <c r="F48" s="2" t="e">
        <f>('вместе-абс'!F31 - 'вместе-абс'!#REF!) / 'вместе-абс'!#REF!</f>
        <v>#REF!</v>
      </c>
      <c r="G48" s="2" t="e">
        <f>('вместе-абс'!G31 - 'вместе-абс'!#REF!) / 'вместе-абс'!#REF!</f>
        <v>#REF!</v>
      </c>
      <c r="H48" s="2" t="e">
        <f>('вместе-абс'!H31 - 'вместе-абс'!#REF!) / 'вместе-абс'!#REF!</f>
        <v>#REF!</v>
      </c>
      <c r="I48" s="2" t="e">
        <f>('вместе-абс'!I31 - 'вместе-абс'!#REF!) / 'вместе-абс'!#REF!</f>
        <v>#REF!</v>
      </c>
      <c r="J48" s="2" t="e">
        <f>('вместе-абс'!J31 - 'вместе-абс'!#REF!) / 'вместе-абс'!#REF!</f>
        <v>#REF!</v>
      </c>
      <c r="K48" s="2" t="e">
        <f>('вместе-абс'!K31 - 'вместе-абс'!#REF!) / 'вместе-абс'!#REF!</f>
        <v>#REF!</v>
      </c>
      <c r="L48" s="2" t="e">
        <f>('вместе-абс'!L31 - 'вместе-абс'!#REF!) / 'вместе-абс'!#REF!</f>
        <v>#REF!</v>
      </c>
      <c r="M48" s="2" t="e">
        <f>('вместе-абс'!M31 - 'вместе-абс'!#REF!) / 'вместе-абс'!#REF!</f>
        <v>#REF!</v>
      </c>
      <c r="N48" s="2" t="e">
        <f>('вместе-абс'!N31 - 'вместе-абс'!#REF!) / 'вместе-абс'!#REF!</f>
        <v>#REF!</v>
      </c>
      <c r="O48" s="2" t="e">
        <f>('вместе-абс'!O31 - 'вместе-абс'!#REF!) / 'вместе-абс'!#REF!</f>
        <v>#REF!</v>
      </c>
      <c r="P48" s="2" t="e">
        <f>('вместе-абс'!P31 - 'вместе-абс'!#REF!) / 'вместе-абс'!#REF!</f>
        <v>#REF!</v>
      </c>
      <c r="Q48" s="2" t="e">
        <f>('вместе-абс'!Q31 - 'вместе-абс'!#REF!) / 'вместе-абс'!#REF!</f>
        <v>#REF!</v>
      </c>
      <c r="R48" s="2" t="e">
        <f>('вместе-абс'!R31 - 'вместе-абс'!#REF!) / 'вместе-абс'!#REF!</f>
        <v>#REF!</v>
      </c>
      <c r="S48" s="2" t="e">
        <f>('вместе-абс'!S31 - 'вместе-абс'!#REF!) / 'вместе-абс'!#REF!</f>
        <v>#REF!</v>
      </c>
      <c r="T48" s="2" t="e">
        <f>('вместе-абс'!T31 - 'вместе-абс'!#REF!) / 'вместе-абс'!#REF!</f>
        <v>#REF!</v>
      </c>
      <c r="U48" s="2" t="e">
        <f>('вместе-абс'!U31 - 'вместе-абс'!#REF!) / 'вместе-абс'!#REF!</f>
        <v>#REF!</v>
      </c>
      <c r="V48" s="2" t="e">
        <f>('вместе-абс'!V31 - 'вместе-абс'!#REF!) / 'вместе-абс'!#REF!</f>
        <v>#REF!</v>
      </c>
    </row>
    <row r="49" spans="1:22" x14ac:dyDescent="0.25">
      <c r="A49" s="12">
        <f t="shared" si="1"/>
        <v>1964</v>
      </c>
      <c r="B49" s="2" t="e">
        <f>('вместе-абс'!B32 - 'вместе-абс'!#REF!) / 'вместе-абс'!#REF!</f>
        <v>#REF!</v>
      </c>
      <c r="C49" s="2" t="e">
        <f>('вместе-абс'!C32 - 'вместе-абс'!#REF!) / 'вместе-абс'!#REF!</f>
        <v>#REF!</v>
      </c>
      <c r="D49" s="2" t="e">
        <f>('вместе-абс'!D32 - 'вместе-абс'!#REF!) / 'вместе-абс'!#REF!</f>
        <v>#REF!</v>
      </c>
      <c r="E49" s="2" t="e">
        <f>('вместе-абс'!E32 - 'вместе-абс'!#REF!) / 'вместе-абс'!#REF!</f>
        <v>#REF!</v>
      </c>
      <c r="F49" s="2" t="e">
        <f>('вместе-абс'!F32 - 'вместе-абс'!#REF!) / 'вместе-абс'!#REF!</f>
        <v>#REF!</v>
      </c>
      <c r="G49" s="2" t="e">
        <f>('вместе-абс'!G32 - 'вместе-абс'!#REF!) / 'вместе-абс'!#REF!</f>
        <v>#REF!</v>
      </c>
      <c r="H49" s="2" t="e">
        <f>('вместе-абс'!H32 - 'вместе-абс'!#REF!) / 'вместе-абс'!#REF!</f>
        <v>#REF!</v>
      </c>
      <c r="I49" s="2" t="e">
        <f>('вместе-абс'!I32 - 'вместе-абс'!#REF!) / 'вместе-абс'!#REF!</f>
        <v>#REF!</v>
      </c>
      <c r="J49" s="2" t="e">
        <f>('вместе-абс'!J32 - 'вместе-абс'!#REF!) / 'вместе-абс'!#REF!</f>
        <v>#REF!</v>
      </c>
      <c r="K49" s="2" t="e">
        <f>('вместе-абс'!K32 - 'вместе-абс'!#REF!) / 'вместе-абс'!#REF!</f>
        <v>#REF!</v>
      </c>
      <c r="L49" s="2" t="e">
        <f>('вместе-абс'!L32 - 'вместе-абс'!#REF!) / 'вместе-абс'!#REF!</f>
        <v>#REF!</v>
      </c>
      <c r="M49" s="2" t="e">
        <f>('вместе-абс'!M32 - 'вместе-абс'!#REF!) / 'вместе-абс'!#REF!</f>
        <v>#REF!</v>
      </c>
      <c r="N49" s="2" t="e">
        <f>('вместе-абс'!N32 - 'вместе-абс'!#REF!) / 'вместе-абс'!#REF!</f>
        <v>#REF!</v>
      </c>
      <c r="O49" s="2" t="e">
        <f>('вместе-абс'!O32 - 'вместе-абс'!#REF!) / 'вместе-абс'!#REF!</f>
        <v>#REF!</v>
      </c>
      <c r="P49" s="2" t="e">
        <f>('вместе-абс'!P32 - 'вместе-абс'!#REF!) / 'вместе-абс'!#REF!</f>
        <v>#REF!</v>
      </c>
      <c r="Q49" s="2" t="e">
        <f>('вместе-абс'!Q32 - 'вместе-абс'!#REF!) / 'вместе-абс'!#REF!</f>
        <v>#REF!</v>
      </c>
      <c r="R49" s="2" t="e">
        <f>('вместе-абс'!R32 - 'вместе-абс'!#REF!) / 'вместе-абс'!#REF!</f>
        <v>#REF!</v>
      </c>
      <c r="S49" s="2" t="e">
        <f>('вместе-абс'!S32 - 'вместе-абс'!#REF!) / 'вместе-абс'!#REF!</f>
        <v>#REF!</v>
      </c>
      <c r="T49" s="2" t="e">
        <f>('вместе-абс'!T32 - 'вместе-абс'!#REF!) / 'вместе-абс'!#REF!</f>
        <v>#REF!</v>
      </c>
      <c r="U49" s="2" t="e">
        <f>('вместе-абс'!U32 - 'вместе-абс'!#REF!) / 'вместе-абс'!#REF!</f>
        <v>#REF!</v>
      </c>
      <c r="V49" s="2" t="e">
        <f>('вместе-абс'!V32 - 'вместе-абс'!#REF!) / 'вместе-абс'!#REF!</f>
        <v>#REF!</v>
      </c>
    </row>
    <row r="50" spans="1:22" x14ac:dyDescent="0.25">
      <c r="A50" s="12">
        <f t="shared" si="1"/>
        <v>1965</v>
      </c>
      <c r="B50" s="2" t="e">
        <f>('вместе-абс'!B33 - 'вместе-абс'!#REF!) / 'вместе-абс'!#REF!</f>
        <v>#REF!</v>
      </c>
      <c r="C50" s="2" t="e">
        <f>('вместе-абс'!C33 - 'вместе-абс'!#REF!) / 'вместе-абс'!#REF!</f>
        <v>#REF!</v>
      </c>
      <c r="D50" s="2" t="e">
        <f>('вместе-абс'!D33 - 'вместе-абс'!#REF!) / 'вместе-абс'!#REF!</f>
        <v>#REF!</v>
      </c>
      <c r="E50" s="2" t="e">
        <f>('вместе-абс'!E33 - 'вместе-абс'!#REF!) / 'вместе-абс'!#REF!</f>
        <v>#REF!</v>
      </c>
      <c r="F50" s="2" t="e">
        <f>('вместе-абс'!F33 - 'вместе-абс'!#REF!) / 'вместе-абс'!#REF!</f>
        <v>#REF!</v>
      </c>
      <c r="G50" s="2" t="e">
        <f>('вместе-абс'!G33 - 'вместе-абс'!#REF!) / 'вместе-абс'!#REF!</f>
        <v>#REF!</v>
      </c>
      <c r="H50" s="2" t="e">
        <f>('вместе-абс'!H33 - 'вместе-абс'!#REF!) / 'вместе-абс'!#REF!</f>
        <v>#REF!</v>
      </c>
      <c r="I50" s="2" t="e">
        <f>('вместе-абс'!I33 - 'вместе-абс'!#REF!) / 'вместе-абс'!#REF!</f>
        <v>#REF!</v>
      </c>
      <c r="J50" s="2" t="e">
        <f>('вместе-абс'!J33 - 'вместе-абс'!#REF!) / 'вместе-абс'!#REF!</f>
        <v>#REF!</v>
      </c>
      <c r="K50" s="2" t="e">
        <f>('вместе-абс'!K33 - 'вместе-абс'!#REF!) / 'вместе-абс'!#REF!</f>
        <v>#REF!</v>
      </c>
      <c r="L50" s="2" t="e">
        <f>('вместе-абс'!L33 - 'вместе-абс'!#REF!) / 'вместе-абс'!#REF!</f>
        <v>#REF!</v>
      </c>
      <c r="M50" s="2" t="e">
        <f>('вместе-абс'!M33 - 'вместе-абс'!#REF!) / 'вместе-абс'!#REF!</f>
        <v>#REF!</v>
      </c>
      <c r="N50" s="2" t="e">
        <f>('вместе-абс'!N33 - 'вместе-абс'!#REF!) / 'вместе-абс'!#REF!</f>
        <v>#REF!</v>
      </c>
      <c r="O50" s="2" t="e">
        <f>('вместе-абс'!O33 - 'вместе-абс'!#REF!) / 'вместе-абс'!#REF!</f>
        <v>#REF!</v>
      </c>
      <c r="P50" s="2" t="e">
        <f>('вместе-абс'!P33 - 'вместе-абс'!#REF!) / 'вместе-абс'!#REF!</f>
        <v>#REF!</v>
      </c>
      <c r="Q50" s="2" t="e">
        <f>('вместе-абс'!Q33 - 'вместе-абс'!#REF!) / 'вместе-абс'!#REF!</f>
        <v>#REF!</v>
      </c>
      <c r="R50" s="2" t="e">
        <f>('вместе-абс'!R33 - 'вместе-абс'!#REF!) / 'вместе-абс'!#REF!</f>
        <v>#REF!</v>
      </c>
      <c r="S50" s="2" t="e">
        <f>('вместе-абс'!S33 - 'вместе-абс'!#REF!) / 'вместе-абс'!#REF!</f>
        <v>#REF!</v>
      </c>
      <c r="T50" s="2" t="e">
        <f>('вместе-абс'!T33 - 'вместе-абс'!#REF!) / 'вместе-абс'!#REF!</f>
        <v>#REF!</v>
      </c>
      <c r="U50" s="2" t="e">
        <f>('вместе-абс'!U33 - 'вместе-абс'!#REF!) / 'вместе-абс'!#REF!</f>
        <v>#REF!</v>
      </c>
      <c r="V50" s="2" t="e">
        <f>('вместе-абс'!V33 - 'вместе-абс'!#REF!) / 'вместе-абс'!#REF!</f>
        <v>#REF!</v>
      </c>
    </row>
    <row r="51" spans="1:22" x14ac:dyDescent="0.25">
      <c r="A51" s="12">
        <f t="shared" si="1"/>
        <v>1966</v>
      </c>
      <c r="B51" s="2" t="e">
        <f>('вместе-абс'!B34 - 'вместе-абс'!#REF!) / 'вместе-абс'!#REF!</f>
        <v>#REF!</v>
      </c>
      <c r="C51" s="2" t="e">
        <f>('вместе-абс'!C34 - 'вместе-абс'!#REF!) / 'вместе-абс'!#REF!</f>
        <v>#REF!</v>
      </c>
      <c r="D51" s="2" t="e">
        <f>('вместе-абс'!D34 - 'вместе-абс'!#REF!) / 'вместе-абс'!#REF!</f>
        <v>#REF!</v>
      </c>
      <c r="E51" s="2" t="e">
        <f>('вместе-абс'!E34 - 'вместе-абс'!#REF!) / 'вместе-абс'!#REF!</f>
        <v>#REF!</v>
      </c>
      <c r="F51" s="2" t="e">
        <f>('вместе-абс'!F34 - 'вместе-абс'!#REF!) / 'вместе-абс'!#REF!</f>
        <v>#REF!</v>
      </c>
      <c r="G51" s="2" t="e">
        <f>('вместе-абс'!G34 - 'вместе-абс'!#REF!) / 'вместе-абс'!#REF!</f>
        <v>#REF!</v>
      </c>
      <c r="H51" s="2" t="e">
        <f>('вместе-абс'!H34 - 'вместе-абс'!#REF!) / 'вместе-абс'!#REF!</f>
        <v>#REF!</v>
      </c>
      <c r="I51" s="2" t="e">
        <f>('вместе-абс'!I34 - 'вместе-абс'!#REF!) / 'вместе-абс'!#REF!</f>
        <v>#REF!</v>
      </c>
      <c r="J51" s="2" t="e">
        <f>('вместе-абс'!J34 - 'вместе-абс'!#REF!) / 'вместе-абс'!#REF!</f>
        <v>#REF!</v>
      </c>
      <c r="K51" s="2" t="e">
        <f>('вместе-абс'!K34 - 'вместе-абс'!#REF!) / 'вместе-абс'!#REF!</f>
        <v>#REF!</v>
      </c>
      <c r="L51" s="2" t="e">
        <f>('вместе-абс'!L34 - 'вместе-абс'!#REF!) / 'вместе-абс'!#REF!</f>
        <v>#REF!</v>
      </c>
      <c r="M51" s="2" t="e">
        <f>('вместе-абс'!M34 - 'вместе-абс'!#REF!) / 'вместе-абс'!#REF!</f>
        <v>#REF!</v>
      </c>
      <c r="N51" s="2" t="e">
        <f>('вместе-абс'!N34 - 'вместе-абс'!#REF!) / 'вместе-абс'!#REF!</f>
        <v>#REF!</v>
      </c>
      <c r="O51" s="2" t="e">
        <f>('вместе-абс'!O34 - 'вместе-абс'!#REF!) / 'вместе-абс'!#REF!</f>
        <v>#REF!</v>
      </c>
      <c r="P51" s="2" t="e">
        <f>('вместе-абс'!P34 - 'вместе-абс'!#REF!) / 'вместе-абс'!#REF!</f>
        <v>#REF!</v>
      </c>
      <c r="Q51" s="2" t="e">
        <f>('вместе-абс'!Q34 - 'вместе-абс'!#REF!) / 'вместе-абс'!#REF!</f>
        <v>#REF!</v>
      </c>
      <c r="R51" s="2" t="e">
        <f>('вместе-абс'!R34 - 'вместе-абс'!#REF!) / 'вместе-абс'!#REF!</f>
        <v>#REF!</v>
      </c>
      <c r="S51" s="2" t="e">
        <f>('вместе-абс'!S34 - 'вместе-абс'!#REF!) / 'вместе-абс'!#REF!</f>
        <v>#REF!</v>
      </c>
      <c r="T51" s="2" t="e">
        <f>('вместе-абс'!T34 - 'вместе-абс'!#REF!) / 'вместе-абс'!#REF!</f>
        <v>#REF!</v>
      </c>
      <c r="U51" s="2" t="e">
        <f>('вместе-абс'!U34 - 'вместе-абс'!#REF!) / 'вместе-абс'!#REF!</f>
        <v>#REF!</v>
      </c>
      <c r="V51" s="2" t="e">
        <f>('вместе-абс'!V34 - 'вместе-абс'!#REF!) / 'вместе-абс'!#REF!</f>
        <v>#REF!</v>
      </c>
    </row>
    <row r="52" spans="1:22" x14ac:dyDescent="0.25">
      <c r="A52" s="12">
        <f t="shared" si="1"/>
        <v>1967</v>
      </c>
      <c r="B52" s="2" t="e">
        <f>('вместе-абс'!B35 - 'вместе-абс'!#REF!) / 'вместе-абс'!#REF!</f>
        <v>#REF!</v>
      </c>
      <c r="C52" s="2" t="e">
        <f>('вместе-абс'!C35 - 'вместе-абс'!#REF!) / 'вместе-абс'!#REF!</f>
        <v>#REF!</v>
      </c>
      <c r="D52" s="2" t="e">
        <f>('вместе-абс'!D35 - 'вместе-абс'!#REF!) / 'вместе-абс'!#REF!</f>
        <v>#REF!</v>
      </c>
      <c r="E52" s="2" t="e">
        <f>('вместе-абс'!E35 - 'вместе-абс'!#REF!) / 'вместе-абс'!#REF!</f>
        <v>#REF!</v>
      </c>
      <c r="F52" s="2" t="e">
        <f>('вместе-абс'!F35 - 'вместе-абс'!#REF!) / 'вместе-абс'!#REF!</f>
        <v>#REF!</v>
      </c>
      <c r="G52" s="2" t="e">
        <f>('вместе-абс'!G35 - 'вместе-абс'!#REF!) / 'вместе-абс'!#REF!</f>
        <v>#REF!</v>
      </c>
      <c r="H52" s="2" t="e">
        <f>('вместе-абс'!H35 - 'вместе-абс'!#REF!) / 'вместе-абс'!#REF!</f>
        <v>#REF!</v>
      </c>
      <c r="I52" s="2" t="e">
        <f>('вместе-абс'!I35 - 'вместе-абс'!#REF!) / 'вместе-абс'!#REF!</f>
        <v>#REF!</v>
      </c>
      <c r="J52" s="2" t="e">
        <f>('вместе-абс'!J35 - 'вместе-абс'!#REF!) / 'вместе-абс'!#REF!</f>
        <v>#REF!</v>
      </c>
      <c r="K52" s="2" t="e">
        <f>('вместе-абс'!K35 - 'вместе-абс'!#REF!) / 'вместе-абс'!#REF!</f>
        <v>#REF!</v>
      </c>
      <c r="L52" s="2" t="e">
        <f>('вместе-абс'!L35 - 'вместе-абс'!#REF!) / 'вместе-абс'!#REF!</f>
        <v>#REF!</v>
      </c>
      <c r="M52" s="2" t="e">
        <f>('вместе-абс'!M35 - 'вместе-абс'!#REF!) / 'вместе-абс'!#REF!</f>
        <v>#REF!</v>
      </c>
      <c r="N52" s="2" t="e">
        <f>('вместе-абс'!N35 - 'вместе-абс'!#REF!) / 'вместе-абс'!#REF!</f>
        <v>#REF!</v>
      </c>
      <c r="O52" s="2" t="e">
        <f>('вместе-абс'!O35 - 'вместе-абс'!#REF!) / 'вместе-абс'!#REF!</f>
        <v>#REF!</v>
      </c>
      <c r="P52" s="2" t="e">
        <f>('вместе-абс'!P35 - 'вместе-абс'!#REF!) / 'вместе-абс'!#REF!</f>
        <v>#REF!</v>
      </c>
      <c r="Q52" s="2" t="e">
        <f>('вместе-абс'!Q35 - 'вместе-абс'!#REF!) / 'вместе-абс'!#REF!</f>
        <v>#REF!</v>
      </c>
      <c r="R52" s="2" t="e">
        <f>('вместе-абс'!R35 - 'вместе-абс'!#REF!) / 'вместе-абс'!#REF!</f>
        <v>#REF!</v>
      </c>
      <c r="S52" s="2" t="e">
        <f>('вместе-абс'!S35 - 'вместе-абс'!#REF!) / 'вместе-абс'!#REF!</f>
        <v>#REF!</v>
      </c>
      <c r="T52" s="2" t="e">
        <f>('вместе-абс'!T35 - 'вместе-абс'!#REF!) / 'вместе-абс'!#REF!</f>
        <v>#REF!</v>
      </c>
      <c r="U52" s="2" t="e">
        <f>('вместе-абс'!U35 - 'вместе-абс'!#REF!) / 'вместе-абс'!#REF!</f>
        <v>#REF!</v>
      </c>
      <c r="V52" s="2" t="e">
        <f>('вместе-абс'!V35 - 'вместе-абс'!#REF!) / 'вместе-абс'!#REF!</f>
        <v>#REF!</v>
      </c>
    </row>
    <row r="53" spans="1:22" x14ac:dyDescent="0.25">
      <c r="A53" s="12">
        <f t="shared" si="1"/>
        <v>1968</v>
      </c>
      <c r="B53" s="2" t="e">
        <f>('вместе-абс'!B36 - 'вместе-абс'!#REF!) / 'вместе-абс'!#REF!</f>
        <v>#REF!</v>
      </c>
      <c r="C53" s="2" t="e">
        <f>('вместе-абс'!C36 - 'вместе-абс'!#REF!) / 'вместе-абс'!#REF!</f>
        <v>#REF!</v>
      </c>
      <c r="D53" s="2" t="e">
        <f>('вместе-абс'!D36 - 'вместе-абс'!#REF!) / 'вместе-абс'!#REF!</f>
        <v>#REF!</v>
      </c>
      <c r="E53" s="2" t="e">
        <f>('вместе-абс'!E36 - 'вместе-абс'!#REF!) / 'вместе-абс'!#REF!</f>
        <v>#REF!</v>
      </c>
      <c r="F53" s="2" t="e">
        <f>('вместе-абс'!F36 - 'вместе-абс'!#REF!) / 'вместе-абс'!#REF!</f>
        <v>#REF!</v>
      </c>
      <c r="G53" s="2" t="e">
        <f>('вместе-абс'!G36 - 'вместе-абс'!#REF!) / 'вместе-абс'!#REF!</f>
        <v>#REF!</v>
      </c>
      <c r="H53" s="2" t="e">
        <f>('вместе-абс'!H36 - 'вместе-абс'!#REF!) / 'вместе-абс'!#REF!</f>
        <v>#REF!</v>
      </c>
      <c r="I53" s="2" t="e">
        <f>('вместе-абс'!I36 - 'вместе-абс'!#REF!) / 'вместе-абс'!#REF!</f>
        <v>#REF!</v>
      </c>
      <c r="J53" s="2" t="e">
        <f>('вместе-абс'!J36 - 'вместе-абс'!#REF!) / 'вместе-абс'!#REF!</f>
        <v>#REF!</v>
      </c>
      <c r="K53" s="2" t="e">
        <f>('вместе-абс'!K36 - 'вместе-абс'!#REF!) / 'вместе-абс'!#REF!</f>
        <v>#REF!</v>
      </c>
      <c r="L53" s="2" t="e">
        <f>('вместе-абс'!L36 - 'вместе-абс'!#REF!) / 'вместе-абс'!#REF!</f>
        <v>#REF!</v>
      </c>
      <c r="M53" s="2" t="e">
        <f>('вместе-абс'!M36 - 'вместе-абс'!#REF!) / 'вместе-абс'!#REF!</f>
        <v>#REF!</v>
      </c>
      <c r="N53" s="2" t="e">
        <f>('вместе-абс'!N36 - 'вместе-абс'!#REF!) / 'вместе-абс'!#REF!</f>
        <v>#REF!</v>
      </c>
      <c r="O53" s="2" t="e">
        <f>('вместе-абс'!O36 - 'вместе-абс'!#REF!) / 'вместе-абс'!#REF!</f>
        <v>#REF!</v>
      </c>
      <c r="P53" s="2" t="e">
        <f>('вместе-абс'!P36 - 'вместе-абс'!#REF!) / 'вместе-абс'!#REF!</f>
        <v>#REF!</v>
      </c>
      <c r="Q53" s="2" t="e">
        <f>('вместе-абс'!Q36 - 'вместе-абс'!#REF!) / 'вместе-абс'!#REF!</f>
        <v>#REF!</v>
      </c>
      <c r="R53" s="2" t="e">
        <f>('вместе-абс'!R36 - 'вместе-абс'!#REF!) / 'вместе-абс'!#REF!</f>
        <v>#REF!</v>
      </c>
      <c r="S53" s="2" t="e">
        <f>('вместе-абс'!S36 - 'вместе-абс'!#REF!) / 'вместе-абс'!#REF!</f>
        <v>#REF!</v>
      </c>
      <c r="T53" s="2" t="e">
        <f>('вместе-абс'!T36 - 'вместе-абс'!#REF!) / 'вместе-абс'!#REF!</f>
        <v>#REF!</v>
      </c>
      <c r="U53" s="2" t="e">
        <f>('вместе-абс'!U36 - 'вместе-абс'!#REF!) / 'вместе-абс'!#REF!</f>
        <v>#REF!</v>
      </c>
      <c r="V53" s="2" t="e">
        <f>('вместе-абс'!V36 - 'вместе-абс'!#REF!) / 'вместе-абс'!#REF!</f>
        <v>#REF!</v>
      </c>
    </row>
    <row r="54" spans="1:22" x14ac:dyDescent="0.25">
      <c r="A54" s="12">
        <f t="shared" si="1"/>
        <v>1969</v>
      </c>
      <c r="B54" s="2" t="e">
        <f>('вместе-абс'!B37 - 'вместе-абс'!#REF!) / 'вместе-абс'!#REF!</f>
        <v>#REF!</v>
      </c>
      <c r="C54" s="2" t="e">
        <f>('вместе-абс'!C37 - 'вместе-абс'!#REF!) / 'вместе-абс'!#REF!</f>
        <v>#REF!</v>
      </c>
      <c r="D54" s="2" t="e">
        <f>('вместе-абс'!D37 - 'вместе-абс'!#REF!) / 'вместе-абс'!#REF!</f>
        <v>#REF!</v>
      </c>
      <c r="E54" s="2" t="e">
        <f>('вместе-абс'!E37 - 'вместе-абс'!#REF!) / 'вместе-абс'!#REF!</f>
        <v>#REF!</v>
      </c>
      <c r="F54" s="2" t="e">
        <f>('вместе-абс'!F37 - 'вместе-абс'!#REF!) / 'вместе-абс'!#REF!</f>
        <v>#REF!</v>
      </c>
      <c r="G54" s="2" t="e">
        <f>('вместе-абс'!G37 - 'вместе-абс'!#REF!) / 'вместе-абс'!#REF!</f>
        <v>#REF!</v>
      </c>
      <c r="H54" s="2" t="e">
        <f>('вместе-абс'!H37 - 'вместе-абс'!#REF!) / 'вместе-абс'!#REF!</f>
        <v>#REF!</v>
      </c>
      <c r="I54" s="2" t="e">
        <f>('вместе-абс'!I37 - 'вместе-абс'!#REF!) / 'вместе-абс'!#REF!</f>
        <v>#REF!</v>
      </c>
      <c r="J54" s="2" t="e">
        <f>('вместе-абс'!J37 - 'вместе-абс'!#REF!) / 'вместе-абс'!#REF!</f>
        <v>#REF!</v>
      </c>
      <c r="K54" s="2" t="e">
        <f>('вместе-абс'!K37 - 'вместе-абс'!#REF!) / 'вместе-абс'!#REF!</f>
        <v>#REF!</v>
      </c>
      <c r="L54" s="2" t="e">
        <f>('вместе-абс'!L37 - 'вместе-абс'!#REF!) / 'вместе-абс'!#REF!</f>
        <v>#REF!</v>
      </c>
      <c r="M54" s="2" t="e">
        <f>('вместе-абс'!M37 - 'вместе-абс'!#REF!) / 'вместе-абс'!#REF!</f>
        <v>#REF!</v>
      </c>
      <c r="N54" s="2" t="e">
        <f>('вместе-абс'!N37 - 'вместе-абс'!#REF!) / 'вместе-абс'!#REF!</f>
        <v>#REF!</v>
      </c>
      <c r="O54" s="2" t="e">
        <f>('вместе-абс'!O37 - 'вместе-абс'!#REF!) / 'вместе-абс'!#REF!</f>
        <v>#REF!</v>
      </c>
      <c r="P54" s="2" t="e">
        <f>('вместе-абс'!P37 - 'вместе-абс'!#REF!) / 'вместе-абс'!#REF!</f>
        <v>#REF!</v>
      </c>
      <c r="Q54" s="2" t="e">
        <f>('вместе-абс'!Q37 - 'вместе-абс'!#REF!) / 'вместе-абс'!#REF!</f>
        <v>#REF!</v>
      </c>
      <c r="R54" s="2" t="e">
        <f>('вместе-абс'!R37 - 'вместе-абс'!#REF!) / 'вместе-абс'!#REF!</f>
        <v>#REF!</v>
      </c>
      <c r="S54" s="2" t="e">
        <f>('вместе-абс'!S37 - 'вместе-абс'!#REF!) / 'вместе-абс'!#REF!</f>
        <v>#REF!</v>
      </c>
      <c r="T54" s="2" t="e">
        <f>('вместе-абс'!T37 - 'вместе-абс'!#REF!) / 'вместе-абс'!#REF!</f>
        <v>#REF!</v>
      </c>
      <c r="U54" s="2" t="e">
        <f>('вместе-абс'!U37 - 'вместе-абс'!#REF!) / 'вместе-абс'!#REF!</f>
        <v>#REF!</v>
      </c>
      <c r="V54" s="2" t="e">
        <f>('вместе-абс'!V37 - 'вместе-абс'!#REF!) / 'вместе-абс'!#REF!</f>
        <v>#REF!</v>
      </c>
    </row>
    <row r="55" spans="1:22" x14ac:dyDescent="0.25">
      <c r="A55" s="12">
        <f t="shared" si="1"/>
        <v>1970</v>
      </c>
      <c r="B55" s="2" t="e">
        <f>('вместе-абс'!B38 - 'вместе-абс'!#REF!) / 'вместе-абс'!#REF!</f>
        <v>#REF!</v>
      </c>
      <c r="C55" s="2" t="e">
        <f>('вместе-абс'!C38 - 'вместе-абс'!#REF!) / 'вместе-абс'!#REF!</f>
        <v>#REF!</v>
      </c>
      <c r="D55" s="2" t="e">
        <f>('вместе-абс'!D38 - 'вместе-абс'!#REF!) / 'вместе-абс'!#REF!</f>
        <v>#REF!</v>
      </c>
      <c r="E55" s="2" t="e">
        <f>('вместе-абс'!E38 - 'вместе-абс'!#REF!) / 'вместе-абс'!#REF!</f>
        <v>#REF!</v>
      </c>
      <c r="F55" s="2" t="e">
        <f>('вместе-абс'!F38 - 'вместе-абс'!#REF!) / 'вместе-абс'!#REF!</f>
        <v>#REF!</v>
      </c>
      <c r="G55" s="2" t="e">
        <f>('вместе-абс'!G38 - 'вместе-абс'!#REF!) / 'вместе-абс'!#REF!</f>
        <v>#REF!</v>
      </c>
      <c r="H55" s="2" t="e">
        <f>('вместе-абс'!H38 - 'вместе-абс'!#REF!) / 'вместе-абс'!#REF!</f>
        <v>#REF!</v>
      </c>
      <c r="I55" s="2" t="e">
        <f>('вместе-абс'!I38 - 'вместе-абс'!#REF!) / 'вместе-абс'!#REF!</f>
        <v>#REF!</v>
      </c>
      <c r="J55" s="2" t="e">
        <f>('вместе-абс'!J38 - 'вместе-абс'!#REF!) / 'вместе-абс'!#REF!</f>
        <v>#REF!</v>
      </c>
      <c r="K55" s="2" t="e">
        <f>('вместе-абс'!K38 - 'вместе-абс'!#REF!) / 'вместе-абс'!#REF!</f>
        <v>#REF!</v>
      </c>
      <c r="L55" s="2" t="e">
        <f>('вместе-абс'!L38 - 'вместе-абс'!#REF!) / 'вместе-абс'!#REF!</f>
        <v>#REF!</v>
      </c>
      <c r="M55" s="2" t="e">
        <f>('вместе-абс'!M38 - 'вместе-абс'!#REF!) / 'вместе-абс'!#REF!</f>
        <v>#REF!</v>
      </c>
      <c r="N55" s="2" t="e">
        <f>('вместе-абс'!N38 - 'вместе-абс'!#REF!) / 'вместе-абс'!#REF!</f>
        <v>#REF!</v>
      </c>
      <c r="O55" s="2" t="e">
        <f>('вместе-абс'!O38 - 'вместе-абс'!#REF!) / 'вместе-абс'!#REF!</f>
        <v>#REF!</v>
      </c>
      <c r="P55" s="2" t="e">
        <f>('вместе-абс'!P38 - 'вместе-абс'!#REF!) / 'вместе-абс'!#REF!</f>
        <v>#REF!</v>
      </c>
      <c r="Q55" s="2" t="e">
        <f>('вместе-абс'!Q38 - 'вместе-абс'!#REF!) / 'вместе-абс'!#REF!</f>
        <v>#REF!</v>
      </c>
      <c r="R55" s="2" t="e">
        <f>('вместе-абс'!R38 - 'вместе-абс'!#REF!) / 'вместе-абс'!#REF!</f>
        <v>#REF!</v>
      </c>
      <c r="S55" s="2" t="e">
        <f>('вместе-абс'!S38 - 'вместе-абс'!#REF!) / 'вместе-абс'!#REF!</f>
        <v>#REF!</v>
      </c>
      <c r="T55" s="2" t="e">
        <f>('вместе-абс'!T38 - 'вместе-абс'!#REF!) / 'вместе-абс'!#REF!</f>
        <v>#REF!</v>
      </c>
      <c r="U55" s="2" t="e">
        <f>('вместе-абс'!U38 - 'вместе-абс'!#REF!) / 'вместе-абс'!#REF!</f>
        <v>#REF!</v>
      </c>
      <c r="V55" s="2" t="e">
        <f>('вместе-абс'!V38 - 'вместе-абс'!#REF!) / 'вместе-абс'!#REF!</f>
        <v>#REF!</v>
      </c>
    </row>
    <row r="56" spans="1:22" x14ac:dyDescent="0.25">
      <c r="A56" s="12">
        <f t="shared" si="1"/>
        <v>1971</v>
      </c>
      <c r="B56" s="2" t="e">
        <f>('вместе-абс'!B39 - 'вместе-абс'!#REF!) / 'вместе-абс'!#REF!</f>
        <v>#REF!</v>
      </c>
      <c r="C56" s="2" t="e">
        <f>('вместе-абс'!C39 - 'вместе-абс'!#REF!) / 'вместе-абс'!#REF!</f>
        <v>#REF!</v>
      </c>
      <c r="D56" s="2" t="e">
        <f>('вместе-абс'!D39 - 'вместе-абс'!#REF!) / 'вместе-абс'!#REF!</f>
        <v>#REF!</v>
      </c>
      <c r="E56" s="2" t="e">
        <f>('вместе-абс'!E39 - 'вместе-абс'!#REF!) / 'вместе-абс'!#REF!</f>
        <v>#REF!</v>
      </c>
      <c r="F56" s="2" t="e">
        <f>('вместе-абс'!F39 - 'вместе-абс'!#REF!) / 'вместе-абс'!#REF!</f>
        <v>#REF!</v>
      </c>
      <c r="G56" s="2" t="e">
        <f>('вместе-абс'!G39 - 'вместе-абс'!#REF!) / 'вместе-абс'!#REF!</f>
        <v>#REF!</v>
      </c>
      <c r="H56" s="2" t="e">
        <f>('вместе-абс'!H39 - 'вместе-абс'!#REF!) / 'вместе-абс'!#REF!</f>
        <v>#REF!</v>
      </c>
      <c r="I56" s="2" t="e">
        <f>('вместе-абс'!I39 - 'вместе-абс'!#REF!) / 'вместе-абс'!#REF!</f>
        <v>#REF!</v>
      </c>
      <c r="J56" s="2" t="e">
        <f>('вместе-абс'!J39 - 'вместе-абс'!#REF!) / 'вместе-абс'!#REF!</f>
        <v>#REF!</v>
      </c>
      <c r="K56" s="2" t="e">
        <f>('вместе-абс'!K39 - 'вместе-абс'!#REF!) / 'вместе-абс'!#REF!</f>
        <v>#REF!</v>
      </c>
      <c r="L56" s="2" t="e">
        <f>('вместе-абс'!L39 - 'вместе-абс'!#REF!) / 'вместе-абс'!#REF!</f>
        <v>#REF!</v>
      </c>
      <c r="M56" s="2" t="e">
        <f>('вместе-абс'!M39 - 'вместе-абс'!#REF!) / 'вместе-абс'!#REF!</f>
        <v>#REF!</v>
      </c>
      <c r="N56" s="2" t="e">
        <f>('вместе-абс'!N39 - 'вместе-абс'!#REF!) / 'вместе-абс'!#REF!</f>
        <v>#REF!</v>
      </c>
      <c r="O56" s="2" t="e">
        <f>('вместе-абс'!O39 - 'вместе-абс'!#REF!) / 'вместе-абс'!#REF!</f>
        <v>#REF!</v>
      </c>
      <c r="P56" s="2" t="e">
        <f>('вместе-абс'!P39 - 'вместе-абс'!#REF!) / 'вместе-абс'!#REF!</f>
        <v>#REF!</v>
      </c>
      <c r="Q56" s="2" t="e">
        <f>('вместе-абс'!Q39 - 'вместе-абс'!#REF!) / 'вместе-абс'!#REF!</f>
        <v>#REF!</v>
      </c>
      <c r="R56" s="2" t="e">
        <f>('вместе-абс'!R39 - 'вместе-абс'!#REF!) / 'вместе-абс'!#REF!</f>
        <v>#REF!</v>
      </c>
      <c r="S56" s="2" t="e">
        <f>('вместе-абс'!S39 - 'вместе-абс'!#REF!) / 'вместе-абс'!#REF!</f>
        <v>#REF!</v>
      </c>
      <c r="T56" s="2" t="e">
        <f>('вместе-абс'!T39 - 'вместе-абс'!#REF!) / 'вместе-абс'!#REF!</f>
        <v>#REF!</v>
      </c>
      <c r="U56" s="2" t="e">
        <f>('вместе-абс'!U39 - 'вместе-абс'!#REF!) / 'вместе-абс'!#REF!</f>
        <v>#REF!</v>
      </c>
      <c r="V56" s="2" t="e">
        <f>('вместе-абс'!V39 - 'вместе-абс'!#REF!) / 'вместе-абс'!#REF!</f>
        <v>#REF!</v>
      </c>
    </row>
    <row r="57" spans="1:22" x14ac:dyDescent="0.25">
      <c r="A57" s="12">
        <f t="shared" si="1"/>
        <v>1972</v>
      </c>
      <c r="B57" s="2" t="e">
        <f>('вместе-абс'!B40 - 'вместе-абс'!#REF!) / 'вместе-абс'!#REF!</f>
        <v>#REF!</v>
      </c>
      <c r="C57" s="2" t="e">
        <f>('вместе-абс'!C40 - 'вместе-абс'!#REF!) / 'вместе-абс'!#REF!</f>
        <v>#REF!</v>
      </c>
      <c r="D57" s="2" t="e">
        <f>('вместе-абс'!D40 - 'вместе-абс'!#REF!) / 'вместе-абс'!#REF!</f>
        <v>#REF!</v>
      </c>
      <c r="E57" s="2" t="e">
        <f>('вместе-абс'!E40 - 'вместе-абс'!#REF!) / 'вместе-абс'!#REF!</f>
        <v>#REF!</v>
      </c>
      <c r="F57" s="2" t="e">
        <f>('вместе-абс'!F40 - 'вместе-абс'!#REF!) / 'вместе-абс'!#REF!</f>
        <v>#REF!</v>
      </c>
      <c r="G57" s="2" t="e">
        <f>('вместе-абс'!G40 - 'вместе-абс'!#REF!) / 'вместе-абс'!#REF!</f>
        <v>#REF!</v>
      </c>
      <c r="H57" s="2" t="e">
        <f>('вместе-абс'!H40 - 'вместе-абс'!#REF!) / 'вместе-абс'!#REF!</f>
        <v>#REF!</v>
      </c>
      <c r="I57" s="2" t="e">
        <f>('вместе-абс'!I40 - 'вместе-абс'!#REF!) / 'вместе-абс'!#REF!</f>
        <v>#REF!</v>
      </c>
      <c r="J57" s="2" t="e">
        <f>('вместе-абс'!J40 - 'вместе-абс'!#REF!) / 'вместе-абс'!#REF!</f>
        <v>#REF!</v>
      </c>
      <c r="K57" s="2" t="e">
        <f>('вместе-абс'!K40 - 'вместе-абс'!#REF!) / 'вместе-абс'!#REF!</f>
        <v>#REF!</v>
      </c>
      <c r="L57" s="2" t="e">
        <f>('вместе-абс'!L40 - 'вместе-абс'!#REF!) / 'вместе-абс'!#REF!</f>
        <v>#REF!</v>
      </c>
      <c r="M57" s="2" t="e">
        <f>('вместе-абс'!M40 - 'вместе-абс'!#REF!) / 'вместе-абс'!#REF!</f>
        <v>#REF!</v>
      </c>
      <c r="N57" s="2" t="e">
        <f>('вместе-абс'!N40 - 'вместе-абс'!#REF!) / 'вместе-абс'!#REF!</f>
        <v>#REF!</v>
      </c>
      <c r="O57" s="2" t="e">
        <f>('вместе-абс'!O40 - 'вместе-абс'!#REF!) / 'вместе-абс'!#REF!</f>
        <v>#REF!</v>
      </c>
      <c r="P57" s="2" t="e">
        <f>('вместе-абс'!P40 - 'вместе-абс'!#REF!) / 'вместе-абс'!#REF!</f>
        <v>#REF!</v>
      </c>
      <c r="Q57" s="2" t="e">
        <f>('вместе-абс'!Q40 - 'вместе-абс'!#REF!) / 'вместе-абс'!#REF!</f>
        <v>#REF!</v>
      </c>
      <c r="R57" s="2" t="e">
        <f>('вместе-абс'!R40 - 'вместе-абс'!#REF!) / 'вместе-абс'!#REF!</f>
        <v>#REF!</v>
      </c>
      <c r="S57" s="2" t="e">
        <f>('вместе-абс'!S40 - 'вместе-абс'!#REF!) / 'вместе-абс'!#REF!</f>
        <v>#REF!</v>
      </c>
      <c r="T57" s="2" t="e">
        <f>('вместе-абс'!T40 - 'вместе-абс'!#REF!) / 'вместе-абс'!#REF!</f>
        <v>#REF!</v>
      </c>
      <c r="U57" s="2" t="e">
        <f>('вместе-абс'!U40 - 'вместе-абс'!#REF!) / 'вместе-абс'!#REF!</f>
        <v>#REF!</v>
      </c>
      <c r="V57" s="2" t="e">
        <f>('вместе-абс'!V40 - 'вместе-абс'!#REF!) / 'вместе-абс'!#REF!</f>
        <v>#REF!</v>
      </c>
    </row>
    <row r="58" spans="1:22" x14ac:dyDescent="0.25">
      <c r="A58" s="12">
        <f t="shared" si="1"/>
        <v>1973</v>
      </c>
      <c r="B58" s="2" t="e">
        <f>('вместе-абс'!B41 - 'вместе-абс'!#REF!) / 'вместе-абс'!#REF!</f>
        <v>#REF!</v>
      </c>
      <c r="C58" s="2" t="e">
        <f>('вместе-абс'!C41 - 'вместе-абс'!#REF!) / 'вместе-абс'!#REF!</f>
        <v>#REF!</v>
      </c>
      <c r="D58" s="2" t="e">
        <f>('вместе-абс'!D41 - 'вместе-абс'!#REF!) / 'вместе-абс'!#REF!</f>
        <v>#REF!</v>
      </c>
      <c r="E58" s="2" t="e">
        <f>('вместе-абс'!E41 - 'вместе-абс'!#REF!) / 'вместе-абс'!#REF!</f>
        <v>#REF!</v>
      </c>
      <c r="F58" s="2" t="e">
        <f>('вместе-абс'!F41 - 'вместе-абс'!#REF!) / 'вместе-абс'!#REF!</f>
        <v>#REF!</v>
      </c>
      <c r="G58" s="2" t="e">
        <f>('вместе-абс'!G41 - 'вместе-абс'!#REF!) / 'вместе-абс'!#REF!</f>
        <v>#REF!</v>
      </c>
      <c r="H58" s="2" t="e">
        <f>('вместе-абс'!H41 - 'вместе-абс'!#REF!) / 'вместе-абс'!#REF!</f>
        <v>#REF!</v>
      </c>
      <c r="I58" s="2" t="e">
        <f>('вместе-абс'!I41 - 'вместе-абс'!#REF!) / 'вместе-абс'!#REF!</f>
        <v>#REF!</v>
      </c>
      <c r="J58" s="2" t="e">
        <f>('вместе-абс'!J41 - 'вместе-абс'!#REF!) / 'вместе-абс'!#REF!</f>
        <v>#REF!</v>
      </c>
      <c r="K58" s="2" t="e">
        <f>('вместе-абс'!K41 - 'вместе-абс'!#REF!) / 'вместе-абс'!#REF!</f>
        <v>#REF!</v>
      </c>
      <c r="L58" s="2" t="e">
        <f>('вместе-абс'!L41 - 'вместе-абс'!#REF!) / 'вместе-абс'!#REF!</f>
        <v>#REF!</v>
      </c>
      <c r="M58" s="2" t="e">
        <f>('вместе-абс'!M41 - 'вместе-абс'!#REF!) / 'вместе-абс'!#REF!</f>
        <v>#REF!</v>
      </c>
      <c r="N58" s="2" t="e">
        <f>('вместе-абс'!N41 - 'вместе-абс'!#REF!) / 'вместе-абс'!#REF!</f>
        <v>#REF!</v>
      </c>
      <c r="O58" s="2" t="e">
        <f>('вместе-абс'!O41 - 'вместе-абс'!#REF!) / 'вместе-абс'!#REF!</f>
        <v>#REF!</v>
      </c>
      <c r="P58" s="2" t="e">
        <f>('вместе-абс'!P41 - 'вместе-абс'!#REF!) / 'вместе-абс'!#REF!</f>
        <v>#REF!</v>
      </c>
      <c r="Q58" s="2" t="e">
        <f>('вместе-абс'!Q41 - 'вместе-абс'!#REF!) / 'вместе-абс'!#REF!</f>
        <v>#REF!</v>
      </c>
      <c r="R58" s="2" t="e">
        <f>('вместе-абс'!R41 - 'вместе-абс'!#REF!) / 'вместе-абс'!#REF!</f>
        <v>#REF!</v>
      </c>
      <c r="S58" s="2" t="e">
        <f>('вместе-абс'!S41 - 'вместе-абс'!#REF!) / 'вместе-абс'!#REF!</f>
        <v>#REF!</v>
      </c>
      <c r="T58" s="2" t="e">
        <f>('вместе-абс'!T41 - 'вместе-абс'!#REF!) / 'вместе-абс'!#REF!</f>
        <v>#REF!</v>
      </c>
      <c r="U58" s="2" t="e">
        <f>('вместе-абс'!U41 - 'вместе-абс'!#REF!) / 'вместе-абс'!#REF!</f>
        <v>#REF!</v>
      </c>
      <c r="V58" s="2" t="e">
        <f>('вместе-абс'!V41 - 'вместе-абс'!#REF!) / 'вместе-абс'!#REF!</f>
        <v>#REF!</v>
      </c>
    </row>
    <row r="59" spans="1:22" x14ac:dyDescent="0.25">
      <c r="A59" s="12">
        <f t="shared" si="1"/>
        <v>1974</v>
      </c>
      <c r="B59" s="2" t="e">
        <f>('вместе-абс'!B42 - 'вместе-абс'!#REF!) / 'вместе-абс'!#REF!</f>
        <v>#REF!</v>
      </c>
      <c r="C59" s="2" t="e">
        <f>('вместе-абс'!C42 - 'вместе-абс'!#REF!) / 'вместе-абс'!#REF!</f>
        <v>#REF!</v>
      </c>
      <c r="D59" s="2" t="e">
        <f>('вместе-абс'!D42 - 'вместе-абс'!#REF!) / 'вместе-абс'!#REF!</f>
        <v>#REF!</v>
      </c>
      <c r="E59" s="2" t="e">
        <f>('вместе-абс'!E42 - 'вместе-абс'!#REF!) / 'вместе-абс'!#REF!</f>
        <v>#REF!</v>
      </c>
      <c r="F59" s="2" t="e">
        <f>('вместе-абс'!F42 - 'вместе-абс'!#REF!) / 'вместе-абс'!#REF!</f>
        <v>#REF!</v>
      </c>
      <c r="G59" s="2" t="e">
        <f>('вместе-абс'!G42 - 'вместе-абс'!#REF!) / 'вместе-абс'!#REF!</f>
        <v>#REF!</v>
      </c>
      <c r="H59" s="2" t="e">
        <f>('вместе-абс'!H42 - 'вместе-абс'!#REF!) / 'вместе-абс'!#REF!</f>
        <v>#REF!</v>
      </c>
      <c r="I59" s="2" t="e">
        <f>('вместе-абс'!I42 - 'вместе-абс'!#REF!) / 'вместе-абс'!#REF!</f>
        <v>#REF!</v>
      </c>
      <c r="J59" s="2" t="e">
        <f>('вместе-абс'!J42 - 'вместе-абс'!#REF!) / 'вместе-абс'!#REF!</f>
        <v>#REF!</v>
      </c>
      <c r="K59" s="2" t="e">
        <f>('вместе-абс'!K42 - 'вместе-абс'!#REF!) / 'вместе-абс'!#REF!</f>
        <v>#REF!</v>
      </c>
      <c r="L59" s="2" t="e">
        <f>('вместе-абс'!L42 - 'вместе-абс'!#REF!) / 'вместе-абс'!#REF!</f>
        <v>#REF!</v>
      </c>
      <c r="M59" s="2" t="e">
        <f>('вместе-абс'!M42 - 'вместе-абс'!#REF!) / 'вместе-абс'!#REF!</f>
        <v>#REF!</v>
      </c>
      <c r="N59" s="2" t="e">
        <f>('вместе-абс'!N42 - 'вместе-абс'!#REF!) / 'вместе-абс'!#REF!</f>
        <v>#REF!</v>
      </c>
      <c r="O59" s="2" t="e">
        <f>('вместе-абс'!O42 - 'вместе-абс'!#REF!) / 'вместе-абс'!#REF!</f>
        <v>#REF!</v>
      </c>
      <c r="P59" s="2" t="e">
        <f>('вместе-абс'!P42 - 'вместе-абс'!#REF!) / 'вместе-абс'!#REF!</f>
        <v>#REF!</v>
      </c>
      <c r="Q59" s="2" t="e">
        <f>('вместе-абс'!Q42 - 'вместе-абс'!#REF!) / 'вместе-абс'!#REF!</f>
        <v>#REF!</v>
      </c>
      <c r="R59" s="2" t="e">
        <f>('вместе-абс'!R42 - 'вместе-абс'!#REF!) / 'вместе-абс'!#REF!</f>
        <v>#REF!</v>
      </c>
      <c r="S59" s="2" t="e">
        <f>('вместе-абс'!S42 - 'вместе-абс'!#REF!) / 'вместе-абс'!#REF!</f>
        <v>#REF!</v>
      </c>
      <c r="T59" s="2" t="e">
        <f>('вместе-абс'!T42 - 'вместе-абс'!#REF!) / 'вместе-абс'!#REF!</f>
        <v>#REF!</v>
      </c>
      <c r="U59" s="2" t="e">
        <f>('вместе-абс'!U42 - 'вместе-абс'!#REF!) / 'вместе-абс'!#REF!</f>
        <v>#REF!</v>
      </c>
      <c r="V59" s="2" t="e">
        <f>('вместе-абс'!V42 - 'вместе-абс'!#REF!) / 'вместе-абс'!#REF!</f>
        <v>#REF!</v>
      </c>
    </row>
    <row r="60" spans="1:22" x14ac:dyDescent="0.25">
      <c r="A60" s="12">
        <f t="shared" si="1"/>
        <v>1975</v>
      </c>
      <c r="B60" s="2" t="e">
        <f>('вместе-абс'!B43 - 'вместе-абс'!#REF!) / 'вместе-абс'!#REF!</f>
        <v>#REF!</v>
      </c>
      <c r="C60" s="2" t="e">
        <f>('вместе-абс'!C43 - 'вместе-абс'!#REF!) / 'вместе-абс'!#REF!</f>
        <v>#REF!</v>
      </c>
      <c r="D60" s="2" t="e">
        <f>('вместе-абс'!D43 - 'вместе-абс'!#REF!) / 'вместе-абс'!#REF!</f>
        <v>#REF!</v>
      </c>
      <c r="E60" s="2" t="e">
        <f>('вместе-абс'!E43 - 'вместе-абс'!#REF!) / 'вместе-абс'!#REF!</f>
        <v>#REF!</v>
      </c>
      <c r="F60" s="2" t="e">
        <f>('вместе-абс'!F43 - 'вместе-абс'!#REF!) / 'вместе-абс'!#REF!</f>
        <v>#REF!</v>
      </c>
      <c r="G60" s="2" t="e">
        <f>('вместе-абс'!G43 - 'вместе-абс'!#REF!) / 'вместе-абс'!#REF!</f>
        <v>#REF!</v>
      </c>
      <c r="H60" s="2" t="e">
        <f>('вместе-абс'!H43 - 'вместе-абс'!#REF!) / 'вместе-абс'!#REF!</f>
        <v>#REF!</v>
      </c>
      <c r="I60" s="2" t="e">
        <f>('вместе-абс'!I43 - 'вместе-абс'!#REF!) / 'вместе-абс'!#REF!</f>
        <v>#REF!</v>
      </c>
      <c r="J60" s="2" t="e">
        <f>('вместе-абс'!J43 - 'вместе-абс'!#REF!) / 'вместе-абс'!#REF!</f>
        <v>#REF!</v>
      </c>
      <c r="K60" s="2" t="e">
        <f>('вместе-абс'!K43 - 'вместе-абс'!#REF!) / 'вместе-абс'!#REF!</f>
        <v>#REF!</v>
      </c>
      <c r="L60" s="2" t="e">
        <f>('вместе-абс'!L43 - 'вместе-абс'!#REF!) / 'вместе-абс'!#REF!</f>
        <v>#REF!</v>
      </c>
      <c r="M60" s="2" t="e">
        <f>('вместе-абс'!M43 - 'вместе-абс'!#REF!) / 'вместе-абс'!#REF!</f>
        <v>#REF!</v>
      </c>
      <c r="N60" s="2" t="e">
        <f>('вместе-абс'!N43 - 'вместе-абс'!#REF!) / 'вместе-абс'!#REF!</f>
        <v>#REF!</v>
      </c>
      <c r="O60" s="2" t="e">
        <f>('вместе-абс'!O43 - 'вместе-абс'!#REF!) / 'вместе-абс'!#REF!</f>
        <v>#REF!</v>
      </c>
      <c r="P60" s="2" t="e">
        <f>('вместе-абс'!P43 - 'вместе-абс'!#REF!) / 'вместе-абс'!#REF!</f>
        <v>#REF!</v>
      </c>
      <c r="Q60" s="2" t="e">
        <f>('вместе-абс'!Q43 - 'вместе-абс'!#REF!) / 'вместе-абс'!#REF!</f>
        <v>#REF!</v>
      </c>
      <c r="R60" s="2" t="e">
        <f>('вместе-абс'!R43 - 'вместе-абс'!#REF!) / 'вместе-абс'!#REF!</f>
        <v>#REF!</v>
      </c>
      <c r="S60" s="2" t="e">
        <f>('вместе-абс'!S43 - 'вместе-абс'!#REF!) / 'вместе-абс'!#REF!</f>
        <v>#REF!</v>
      </c>
      <c r="T60" s="2" t="e">
        <f>('вместе-абс'!T43 - 'вместе-абс'!#REF!) / 'вместе-абс'!#REF!</f>
        <v>#REF!</v>
      </c>
      <c r="U60" s="2" t="e">
        <f>('вместе-абс'!U43 - 'вместе-абс'!#REF!) / 'вместе-абс'!#REF!</f>
        <v>#REF!</v>
      </c>
      <c r="V60" s="2" t="e">
        <f>('вместе-абс'!V43 - 'вместе-абс'!#REF!) / 'вместе-абс'!#REF!</f>
        <v>#REF!</v>
      </c>
    </row>
    <row r="61" spans="1:22" x14ac:dyDescent="0.25">
      <c r="A61" s="12">
        <f t="shared" si="1"/>
        <v>1976</v>
      </c>
      <c r="B61" s="2" t="e">
        <f>('вместе-абс'!B44 - 'вместе-абс'!#REF!) / 'вместе-абс'!#REF!</f>
        <v>#REF!</v>
      </c>
      <c r="C61" s="2" t="e">
        <f>('вместе-абс'!C44 - 'вместе-абс'!#REF!) / 'вместе-абс'!#REF!</f>
        <v>#REF!</v>
      </c>
      <c r="D61" s="2" t="e">
        <f>('вместе-абс'!D44 - 'вместе-абс'!#REF!) / 'вместе-абс'!#REF!</f>
        <v>#REF!</v>
      </c>
      <c r="E61" s="2" t="e">
        <f>('вместе-абс'!E44 - 'вместе-абс'!#REF!) / 'вместе-абс'!#REF!</f>
        <v>#REF!</v>
      </c>
      <c r="F61" s="2" t="e">
        <f>('вместе-абс'!F44 - 'вместе-абс'!#REF!) / 'вместе-абс'!#REF!</f>
        <v>#REF!</v>
      </c>
      <c r="G61" s="2" t="e">
        <f>('вместе-абс'!G44 - 'вместе-абс'!#REF!) / 'вместе-абс'!#REF!</f>
        <v>#REF!</v>
      </c>
      <c r="H61" s="2" t="e">
        <f>('вместе-абс'!H44 - 'вместе-абс'!#REF!) / 'вместе-абс'!#REF!</f>
        <v>#REF!</v>
      </c>
      <c r="I61" s="2" t="e">
        <f>('вместе-абс'!I44 - 'вместе-абс'!#REF!) / 'вместе-абс'!#REF!</f>
        <v>#REF!</v>
      </c>
      <c r="J61" s="2" t="e">
        <f>('вместе-абс'!J44 - 'вместе-абс'!#REF!) / 'вместе-абс'!#REF!</f>
        <v>#REF!</v>
      </c>
      <c r="K61" s="2" t="e">
        <f>('вместе-абс'!K44 - 'вместе-абс'!#REF!) / 'вместе-абс'!#REF!</f>
        <v>#REF!</v>
      </c>
      <c r="L61" s="2" t="e">
        <f>('вместе-абс'!L44 - 'вместе-абс'!#REF!) / 'вместе-абс'!#REF!</f>
        <v>#REF!</v>
      </c>
      <c r="M61" s="2" t="e">
        <f>('вместе-абс'!M44 - 'вместе-абс'!#REF!) / 'вместе-абс'!#REF!</f>
        <v>#REF!</v>
      </c>
      <c r="N61" s="2" t="e">
        <f>('вместе-абс'!N44 - 'вместе-абс'!#REF!) / 'вместе-абс'!#REF!</f>
        <v>#REF!</v>
      </c>
      <c r="O61" s="2" t="e">
        <f>('вместе-абс'!O44 - 'вместе-абс'!#REF!) / 'вместе-абс'!#REF!</f>
        <v>#REF!</v>
      </c>
      <c r="P61" s="2" t="e">
        <f>('вместе-абс'!P44 - 'вместе-абс'!#REF!) / 'вместе-абс'!#REF!</f>
        <v>#REF!</v>
      </c>
      <c r="Q61" s="2" t="e">
        <f>('вместе-абс'!Q44 - 'вместе-абс'!#REF!) / 'вместе-абс'!#REF!</f>
        <v>#REF!</v>
      </c>
      <c r="R61" s="2" t="e">
        <f>('вместе-абс'!R44 - 'вместе-абс'!#REF!) / 'вместе-абс'!#REF!</f>
        <v>#REF!</v>
      </c>
      <c r="S61" s="2" t="e">
        <f>('вместе-абс'!S44 - 'вместе-абс'!#REF!) / 'вместе-абс'!#REF!</f>
        <v>#REF!</v>
      </c>
      <c r="T61" s="2" t="e">
        <f>('вместе-абс'!T44 - 'вместе-абс'!#REF!) / 'вместе-абс'!#REF!</f>
        <v>#REF!</v>
      </c>
      <c r="U61" s="2" t="e">
        <f>('вместе-абс'!U44 - 'вместе-абс'!#REF!) / 'вместе-абс'!#REF!</f>
        <v>#REF!</v>
      </c>
      <c r="V61" s="2" t="e">
        <f>('вместе-абс'!V44 - 'вместе-абс'!#REF!) / 'вместе-абс'!#REF!</f>
        <v>#REF!</v>
      </c>
    </row>
    <row r="62" spans="1:22" x14ac:dyDescent="0.25">
      <c r="A62" s="12">
        <f t="shared" si="1"/>
        <v>1977</v>
      </c>
      <c r="B62" s="2" t="e">
        <f>('вместе-абс'!B45 - 'вместе-абс'!#REF!) / 'вместе-абс'!#REF!</f>
        <v>#REF!</v>
      </c>
      <c r="C62" s="2" t="e">
        <f>('вместе-абс'!C45 - 'вместе-абс'!#REF!) / 'вместе-абс'!#REF!</f>
        <v>#REF!</v>
      </c>
      <c r="D62" s="2" t="e">
        <f>('вместе-абс'!D45 - 'вместе-абс'!#REF!) / 'вместе-абс'!#REF!</f>
        <v>#REF!</v>
      </c>
      <c r="E62" s="2" t="e">
        <f>('вместе-абс'!E45 - 'вместе-абс'!#REF!) / 'вместе-абс'!#REF!</f>
        <v>#REF!</v>
      </c>
      <c r="F62" s="2" t="e">
        <f>('вместе-абс'!F45 - 'вместе-абс'!#REF!) / 'вместе-абс'!#REF!</f>
        <v>#REF!</v>
      </c>
      <c r="G62" s="2" t="e">
        <f>('вместе-абс'!G45 - 'вместе-абс'!#REF!) / 'вместе-абс'!#REF!</f>
        <v>#REF!</v>
      </c>
      <c r="H62" s="2" t="e">
        <f>('вместе-абс'!H45 - 'вместе-абс'!#REF!) / 'вместе-абс'!#REF!</f>
        <v>#REF!</v>
      </c>
      <c r="I62" s="2" t="e">
        <f>('вместе-абс'!I45 - 'вместе-абс'!#REF!) / 'вместе-абс'!#REF!</f>
        <v>#REF!</v>
      </c>
      <c r="J62" s="2" t="e">
        <f>('вместе-абс'!J45 - 'вместе-абс'!#REF!) / 'вместе-абс'!#REF!</f>
        <v>#REF!</v>
      </c>
      <c r="K62" s="2" t="e">
        <f>('вместе-абс'!K45 - 'вместе-абс'!#REF!) / 'вместе-абс'!#REF!</f>
        <v>#REF!</v>
      </c>
      <c r="L62" s="2" t="e">
        <f>('вместе-абс'!L45 - 'вместе-абс'!#REF!) / 'вместе-абс'!#REF!</f>
        <v>#REF!</v>
      </c>
      <c r="M62" s="2" t="e">
        <f>('вместе-абс'!M45 - 'вместе-абс'!#REF!) / 'вместе-абс'!#REF!</f>
        <v>#REF!</v>
      </c>
      <c r="N62" s="2" t="e">
        <f>('вместе-абс'!N45 - 'вместе-абс'!#REF!) / 'вместе-абс'!#REF!</f>
        <v>#REF!</v>
      </c>
      <c r="O62" s="2" t="e">
        <f>('вместе-абс'!O45 - 'вместе-абс'!#REF!) / 'вместе-абс'!#REF!</f>
        <v>#REF!</v>
      </c>
      <c r="P62" s="2" t="e">
        <f>('вместе-абс'!P45 - 'вместе-абс'!#REF!) / 'вместе-абс'!#REF!</f>
        <v>#REF!</v>
      </c>
      <c r="Q62" s="2" t="e">
        <f>('вместе-абс'!Q45 - 'вместе-абс'!#REF!) / 'вместе-абс'!#REF!</f>
        <v>#REF!</v>
      </c>
      <c r="R62" s="2" t="e">
        <f>('вместе-абс'!R45 - 'вместе-абс'!#REF!) / 'вместе-абс'!#REF!</f>
        <v>#REF!</v>
      </c>
      <c r="S62" s="2" t="e">
        <f>('вместе-абс'!S45 - 'вместе-абс'!#REF!) / 'вместе-абс'!#REF!</f>
        <v>#REF!</v>
      </c>
      <c r="T62" s="2" t="e">
        <f>('вместе-абс'!T45 - 'вместе-абс'!#REF!) / 'вместе-абс'!#REF!</f>
        <v>#REF!</v>
      </c>
      <c r="U62" s="2" t="e">
        <f>('вместе-абс'!U45 - 'вместе-абс'!#REF!) / 'вместе-абс'!#REF!</f>
        <v>#REF!</v>
      </c>
      <c r="V62" s="2" t="e">
        <f>('вместе-абс'!V45 - 'вместе-абс'!#REF!) / 'вместе-абс'!#REF!</f>
        <v>#REF!</v>
      </c>
    </row>
    <row r="63" spans="1:22" x14ac:dyDescent="0.25">
      <c r="A63" s="12">
        <f t="shared" si="1"/>
        <v>1978</v>
      </c>
      <c r="B63" s="2" t="e">
        <f>('вместе-абс'!B46 - 'вместе-абс'!#REF!) / 'вместе-абс'!#REF!</f>
        <v>#REF!</v>
      </c>
      <c r="C63" s="2" t="e">
        <f>('вместе-абс'!C46 - 'вместе-абс'!#REF!) / 'вместе-абс'!#REF!</f>
        <v>#REF!</v>
      </c>
      <c r="D63" s="2" t="e">
        <f>('вместе-абс'!D46 - 'вместе-абс'!#REF!) / 'вместе-абс'!#REF!</f>
        <v>#REF!</v>
      </c>
      <c r="E63" s="2" t="e">
        <f>('вместе-абс'!E46 - 'вместе-абс'!#REF!) / 'вместе-абс'!#REF!</f>
        <v>#REF!</v>
      </c>
      <c r="F63" s="2" t="e">
        <f>('вместе-абс'!F46 - 'вместе-абс'!#REF!) / 'вместе-абс'!#REF!</f>
        <v>#REF!</v>
      </c>
      <c r="G63" s="2" t="e">
        <f>('вместе-абс'!G46 - 'вместе-абс'!#REF!) / 'вместе-абс'!#REF!</f>
        <v>#REF!</v>
      </c>
      <c r="H63" s="2" t="e">
        <f>('вместе-абс'!H46 - 'вместе-абс'!#REF!) / 'вместе-абс'!#REF!</f>
        <v>#REF!</v>
      </c>
      <c r="I63" s="2" t="e">
        <f>('вместе-абс'!I46 - 'вместе-абс'!#REF!) / 'вместе-абс'!#REF!</f>
        <v>#REF!</v>
      </c>
      <c r="J63" s="2" t="e">
        <f>('вместе-абс'!J46 - 'вместе-абс'!#REF!) / 'вместе-абс'!#REF!</f>
        <v>#REF!</v>
      </c>
      <c r="K63" s="2" t="e">
        <f>('вместе-абс'!K46 - 'вместе-абс'!#REF!) / 'вместе-абс'!#REF!</f>
        <v>#REF!</v>
      </c>
      <c r="L63" s="2" t="e">
        <f>('вместе-абс'!L46 - 'вместе-абс'!#REF!) / 'вместе-абс'!#REF!</f>
        <v>#REF!</v>
      </c>
      <c r="M63" s="2" t="e">
        <f>('вместе-абс'!M46 - 'вместе-абс'!#REF!) / 'вместе-абс'!#REF!</f>
        <v>#REF!</v>
      </c>
      <c r="N63" s="2" t="e">
        <f>('вместе-абс'!N46 - 'вместе-абс'!#REF!) / 'вместе-абс'!#REF!</f>
        <v>#REF!</v>
      </c>
      <c r="O63" s="2" t="e">
        <f>('вместе-абс'!O46 - 'вместе-абс'!#REF!) / 'вместе-абс'!#REF!</f>
        <v>#REF!</v>
      </c>
      <c r="P63" s="2" t="e">
        <f>('вместе-абс'!P46 - 'вместе-абс'!#REF!) / 'вместе-абс'!#REF!</f>
        <v>#REF!</v>
      </c>
      <c r="Q63" s="2" t="e">
        <f>('вместе-абс'!Q46 - 'вместе-абс'!#REF!) / 'вместе-абс'!#REF!</f>
        <v>#REF!</v>
      </c>
      <c r="R63" s="2" t="e">
        <f>('вместе-абс'!R46 - 'вместе-абс'!#REF!) / 'вместе-абс'!#REF!</f>
        <v>#REF!</v>
      </c>
      <c r="S63" s="2" t="e">
        <f>('вместе-абс'!S46 - 'вместе-абс'!#REF!) / 'вместе-абс'!#REF!</f>
        <v>#REF!</v>
      </c>
      <c r="T63" s="2" t="e">
        <f>('вместе-абс'!T46 - 'вместе-абс'!#REF!) / 'вместе-абс'!#REF!</f>
        <v>#REF!</v>
      </c>
      <c r="U63" s="2" t="e">
        <f>('вместе-абс'!U46 - 'вместе-абс'!#REF!) / 'вместе-абс'!#REF!</f>
        <v>#REF!</v>
      </c>
      <c r="V63" s="2" t="e">
        <f>('вместе-абс'!V46 - 'вместе-абс'!#REF!) / 'вместе-абс'!#REF!</f>
        <v>#REF!</v>
      </c>
    </row>
    <row r="64" spans="1:22" x14ac:dyDescent="0.25">
      <c r="A64" s="12">
        <f t="shared" si="1"/>
        <v>1979</v>
      </c>
      <c r="B64" s="2" t="e">
        <f>('вместе-абс'!B47 - 'вместе-абс'!#REF!) / 'вместе-абс'!#REF!</f>
        <v>#REF!</v>
      </c>
      <c r="C64" s="2" t="e">
        <f>('вместе-абс'!C47 - 'вместе-абс'!#REF!) / 'вместе-абс'!#REF!</f>
        <v>#REF!</v>
      </c>
      <c r="D64" s="2" t="e">
        <f>('вместе-абс'!D47 - 'вместе-абс'!#REF!) / 'вместе-абс'!#REF!</f>
        <v>#REF!</v>
      </c>
      <c r="E64" s="2" t="e">
        <f>('вместе-абс'!E47 - 'вместе-абс'!#REF!) / 'вместе-абс'!#REF!</f>
        <v>#REF!</v>
      </c>
      <c r="F64" s="2" t="e">
        <f>('вместе-абс'!F47 - 'вместе-абс'!#REF!) / 'вместе-абс'!#REF!</f>
        <v>#REF!</v>
      </c>
      <c r="G64" s="2" t="e">
        <f>('вместе-абс'!G47 - 'вместе-абс'!#REF!) / 'вместе-абс'!#REF!</f>
        <v>#REF!</v>
      </c>
      <c r="H64" s="2" t="e">
        <f>('вместе-абс'!H47 - 'вместе-абс'!#REF!) / 'вместе-абс'!#REF!</f>
        <v>#REF!</v>
      </c>
      <c r="I64" s="2" t="e">
        <f>('вместе-абс'!I47 - 'вместе-абс'!#REF!) / 'вместе-абс'!#REF!</f>
        <v>#REF!</v>
      </c>
      <c r="J64" s="2" t="e">
        <f>('вместе-абс'!J47 - 'вместе-абс'!#REF!) / 'вместе-абс'!#REF!</f>
        <v>#REF!</v>
      </c>
      <c r="K64" s="2" t="e">
        <f>('вместе-абс'!K47 - 'вместе-абс'!#REF!) / 'вместе-абс'!#REF!</f>
        <v>#REF!</v>
      </c>
      <c r="L64" s="2" t="e">
        <f>('вместе-абс'!L47 - 'вместе-абс'!#REF!) / 'вместе-абс'!#REF!</f>
        <v>#REF!</v>
      </c>
      <c r="M64" s="2" t="e">
        <f>('вместе-абс'!M47 - 'вместе-абс'!#REF!) / 'вместе-абс'!#REF!</f>
        <v>#REF!</v>
      </c>
      <c r="N64" s="2" t="e">
        <f>('вместе-абс'!N47 - 'вместе-абс'!#REF!) / 'вместе-абс'!#REF!</f>
        <v>#REF!</v>
      </c>
      <c r="O64" s="2" t="e">
        <f>('вместе-абс'!O47 - 'вместе-абс'!#REF!) / 'вместе-абс'!#REF!</f>
        <v>#REF!</v>
      </c>
      <c r="P64" s="2" t="e">
        <f>('вместе-абс'!P47 - 'вместе-абс'!#REF!) / 'вместе-абс'!#REF!</f>
        <v>#REF!</v>
      </c>
      <c r="Q64" s="2" t="e">
        <f>('вместе-абс'!Q47 - 'вместе-абс'!#REF!) / 'вместе-абс'!#REF!</f>
        <v>#REF!</v>
      </c>
      <c r="R64" s="2" t="e">
        <f>('вместе-абс'!R47 - 'вместе-абс'!#REF!) / 'вместе-абс'!#REF!</f>
        <v>#REF!</v>
      </c>
      <c r="S64" s="2" t="e">
        <f>('вместе-абс'!S47 - 'вместе-абс'!#REF!) / 'вместе-абс'!#REF!</f>
        <v>#REF!</v>
      </c>
      <c r="T64" s="2" t="e">
        <f>('вместе-абс'!T47 - 'вместе-абс'!#REF!) / 'вместе-абс'!#REF!</f>
        <v>#REF!</v>
      </c>
      <c r="U64" s="2" t="e">
        <f>('вместе-абс'!U47 - 'вместе-абс'!#REF!) / 'вместе-абс'!#REF!</f>
        <v>#REF!</v>
      </c>
      <c r="V64" s="2" t="e">
        <f>('вместе-абс'!V47 - 'вместе-абс'!#REF!) / 'вместе-абс'!#REF!</f>
        <v>#REF!</v>
      </c>
    </row>
    <row r="65" spans="1:22" x14ac:dyDescent="0.25">
      <c r="A65" s="12">
        <f t="shared" si="1"/>
        <v>1980</v>
      </c>
      <c r="B65" s="2" t="e">
        <f>('вместе-абс'!B48 - 'вместе-абс'!#REF!) / 'вместе-абс'!#REF!</f>
        <v>#REF!</v>
      </c>
      <c r="C65" s="2" t="e">
        <f>('вместе-абс'!C48 - 'вместе-абс'!#REF!) / 'вместе-абс'!#REF!</f>
        <v>#REF!</v>
      </c>
      <c r="D65" s="2" t="e">
        <f>('вместе-абс'!D48 - 'вместе-абс'!#REF!) / 'вместе-абс'!#REF!</f>
        <v>#REF!</v>
      </c>
      <c r="E65" s="2" t="e">
        <f>('вместе-абс'!E48 - 'вместе-абс'!#REF!) / 'вместе-абс'!#REF!</f>
        <v>#REF!</v>
      </c>
      <c r="F65" s="2" t="e">
        <f>('вместе-абс'!F48 - 'вместе-абс'!#REF!) / 'вместе-абс'!#REF!</f>
        <v>#REF!</v>
      </c>
      <c r="G65" s="2" t="e">
        <f>('вместе-абс'!G48 - 'вместе-абс'!#REF!) / 'вместе-абс'!#REF!</f>
        <v>#REF!</v>
      </c>
      <c r="H65" s="2" t="e">
        <f>('вместе-абс'!H48 - 'вместе-абс'!#REF!) / 'вместе-абс'!#REF!</f>
        <v>#REF!</v>
      </c>
      <c r="I65" s="2" t="e">
        <f>('вместе-абс'!I48 - 'вместе-абс'!#REF!) / 'вместе-абс'!#REF!</f>
        <v>#REF!</v>
      </c>
      <c r="J65" s="2" t="e">
        <f>('вместе-абс'!J48 - 'вместе-абс'!#REF!) / 'вместе-абс'!#REF!</f>
        <v>#REF!</v>
      </c>
      <c r="K65" s="2" t="e">
        <f>('вместе-абс'!K48 - 'вместе-абс'!#REF!) / 'вместе-абс'!#REF!</f>
        <v>#REF!</v>
      </c>
      <c r="L65" s="2" t="e">
        <f>('вместе-абс'!L48 - 'вместе-абс'!#REF!) / 'вместе-абс'!#REF!</f>
        <v>#REF!</v>
      </c>
      <c r="M65" s="2" t="e">
        <f>('вместе-абс'!M48 - 'вместе-абс'!#REF!) / 'вместе-абс'!#REF!</f>
        <v>#REF!</v>
      </c>
      <c r="N65" s="2" t="e">
        <f>('вместе-абс'!N48 - 'вместе-абс'!#REF!) / 'вместе-абс'!#REF!</f>
        <v>#REF!</v>
      </c>
      <c r="O65" s="2" t="e">
        <f>('вместе-абс'!O48 - 'вместе-абс'!#REF!) / 'вместе-абс'!#REF!</f>
        <v>#REF!</v>
      </c>
      <c r="P65" s="2" t="e">
        <f>('вместе-абс'!P48 - 'вместе-абс'!#REF!) / 'вместе-абс'!#REF!</f>
        <v>#REF!</v>
      </c>
      <c r="Q65" s="2" t="e">
        <f>('вместе-абс'!Q48 - 'вместе-абс'!#REF!) / 'вместе-абс'!#REF!</f>
        <v>#REF!</v>
      </c>
      <c r="R65" s="2" t="e">
        <f>('вместе-абс'!R48 - 'вместе-абс'!#REF!) / 'вместе-абс'!#REF!</f>
        <v>#REF!</v>
      </c>
      <c r="S65" s="2" t="e">
        <f>('вместе-абс'!S48 - 'вместе-абс'!#REF!) / 'вместе-абс'!#REF!</f>
        <v>#REF!</v>
      </c>
      <c r="T65" s="2" t="e">
        <f>('вместе-абс'!T48 - 'вместе-абс'!#REF!) / 'вместе-абс'!#REF!</f>
        <v>#REF!</v>
      </c>
      <c r="U65" s="2" t="e">
        <f>('вместе-абс'!U48 - 'вместе-абс'!#REF!) / 'вместе-абс'!#REF!</f>
        <v>#REF!</v>
      </c>
      <c r="V65" s="2" t="e">
        <f>('вместе-абс'!V48 - 'вместе-абс'!#REF!) / 'вместе-абс'!#REF!</f>
        <v>#REF!</v>
      </c>
    </row>
    <row r="66" spans="1:22" x14ac:dyDescent="0.25">
      <c r="A66" s="12">
        <f t="shared" si="1"/>
        <v>1981</v>
      </c>
      <c r="B66" s="2" t="e">
        <f>('вместе-абс'!B49 - 'вместе-абс'!#REF!) / 'вместе-абс'!#REF!</f>
        <v>#REF!</v>
      </c>
      <c r="C66" s="2" t="e">
        <f>('вместе-абс'!C49 - 'вместе-абс'!#REF!) / 'вместе-абс'!#REF!</f>
        <v>#REF!</v>
      </c>
      <c r="D66" s="2" t="e">
        <f>('вместе-абс'!D49 - 'вместе-абс'!#REF!) / 'вместе-абс'!#REF!</f>
        <v>#REF!</v>
      </c>
      <c r="E66" s="2" t="e">
        <f>('вместе-абс'!E49 - 'вместе-абс'!#REF!) / 'вместе-абс'!#REF!</f>
        <v>#REF!</v>
      </c>
      <c r="F66" s="2" t="e">
        <f>('вместе-абс'!F49 - 'вместе-абс'!#REF!) / 'вместе-абс'!#REF!</f>
        <v>#REF!</v>
      </c>
      <c r="G66" s="2" t="e">
        <f>('вместе-абс'!G49 - 'вместе-абс'!#REF!) / 'вместе-абс'!#REF!</f>
        <v>#REF!</v>
      </c>
      <c r="H66" s="2" t="e">
        <f>('вместе-абс'!H49 - 'вместе-абс'!#REF!) / 'вместе-абс'!#REF!</f>
        <v>#REF!</v>
      </c>
      <c r="I66" s="2" t="e">
        <f>('вместе-абс'!I49 - 'вместе-абс'!#REF!) / 'вместе-абс'!#REF!</f>
        <v>#REF!</v>
      </c>
      <c r="J66" s="2" t="e">
        <f>('вместе-абс'!J49 - 'вместе-абс'!#REF!) / 'вместе-абс'!#REF!</f>
        <v>#REF!</v>
      </c>
      <c r="K66" s="2" t="e">
        <f>('вместе-абс'!K49 - 'вместе-абс'!#REF!) / 'вместе-абс'!#REF!</f>
        <v>#REF!</v>
      </c>
      <c r="L66" s="2" t="e">
        <f>('вместе-абс'!L49 - 'вместе-абс'!#REF!) / 'вместе-абс'!#REF!</f>
        <v>#REF!</v>
      </c>
      <c r="M66" s="2" t="e">
        <f>('вместе-абс'!M49 - 'вместе-абс'!#REF!) / 'вместе-абс'!#REF!</f>
        <v>#REF!</v>
      </c>
      <c r="N66" s="2" t="e">
        <f>('вместе-абс'!N49 - 'вместе-абс'!#REF!) / 'вместе-абс'!#REF!</f>
        <v>#REF!</v>
      </c>
      <c r="O66" s="2" t="e">
        <f>('вместе-абс'!O49 - 'вместе-абс'!#REF!) / 'вместе-абс'!#REF!</f>
        <v>#REF!</v>
      </c>
      <c r="P66" s="2" t="e">
        <f>('вместе-абс'!P49 - 'вместе-абс'!#REF!) / 'вместе-абс'!#REF!</f>
        <v>#REF!</v>
      </c>
      <c r="Q66" s="2" t="e">
        <f>('вместе-абс'!Q49 - 'вместе-абс'!#REF!) / 'вместе-абс'!#REF!</f>
        <v>#REF!</v>
      </c>
      <c r="R66" s="2" t="e">
        <f>('вместе-абс'!R49 - 'вместе-абс'!#REF!) / 'вместе-абс'!#REF!</f>
        <v>#REF!</v>
      </c>
      <c r="S66" s="2" t="e">
        <f>('вместе-абс'!S49 - 'вместе-абс'!#REF!) / 'вместе-абс'!#REF!</f>
        <v>#REF!</v>
      </c>
      <c r="T66" s="2" t="e">
        <f>('вместе-абс'!T49 - 'вместе-абс'!#REF!) / 'вместе-абс'!#REF!</f>
        <v>#REF!</v>
      </c>
      <c r="U66" s="2" t="e">
        <f>('вместе-абс'!U49 - 'вместе-абс'!#REF!) / 'вместе-абс'!#REF!</f>
        <v>#REF!</v>
      </c>
      <c r="V66" s="2" t="e">
        <f>('вместе-абс'!V49 - 'вместе-абс'!#REF!) / 'вместе-абс'!#REF!</f>
        <v>#REF!</v>
      </c>
    </row>
    <row r="67" spans="1:22" x14ac:dyDescent="0.25">
      <c r="A67" s="12">
        <f t="shared" si="1"/>
        <v>1982</v>
      </c>
      <c r="B67" s="2" t="e">
        <f>('вместе-абс'!B50 - 'вместе-абс'!#REF!) / 'вместе-абс'!#REF!</f>
        <v>#REF!</v>
      </c>
      <c r="C67" s="2" t="e">
        <f>('вместе-абс'!C50 - 'вместе-абс'!#REF!) / 'вместе-абс'!#REF!</f>
        <v>#REF!</v>
      </c>
      <c r="D67" s="2" t="e">
        <f>('вместе-абс'!D50 - 'вместе-абс'!#REF!) / 'вместе-абс'!#REF!</f>
        <v>#REF!</v>
      </c>
      <c r="E67" s="2" t="e">
        <f>('вместе-абс'!E50 - 'вместе-абс'!#REF!) / 'вместе-абс'!#REF!</f>
        <v>#REF!</v>
      </c>
      <c r="F67" s="2" t="e">
        <f>('вместе-абс'!F50 - 'вместе-абс'!#REF!) / 'вместе-абс'!#REF!</f>
        <v>#REF!</v>
      </c>
      <c r="G67" s="2" t="e">
        <f>('вместе-абс'!G50 - 'вместе-абс'!#REF!) / 'вместе-абс'!#REF!</f>
        <v>#REF!</v>
      </c>
      <c r="H67" s="2" t="e">
        <f>('вместе-абс'!H50 - 'вместе-абс'!#REF!) / 'вместе-абс'!#REF!</f>
        <v>#REF!</v>
      </c>
      <c r="I67" s="2" t="e">
        <f>('вместе-абс'!I50 - 'вместе-абс'!#REF!) / 'вместе-абс'!#REF!</f>
        <v>#REF!</v>
      </c>
      <c r="J67" s="2" t="e">
        <f>('вместе-абс'!J50 - 'вместе-абс'!#REF!) / 'вместе-абс'!#REF!</f>
        <v>#REF!</v>
      </c>
      <c r="K67" s="2" t="e">
        <f>('вместе-абс'!K50 - 'вместе-абс'!#REF!) / 'вместе-абс'!#REF!</f>
        <v>#REF!</v>
      </c>
      <c r="L67" s="2" t="e">
        <f>('вместе-абс'!L50 - 'вместе-абс'!#REF!) / 'вместе-абс'!#REF!</f>
        <v>#REF!</v>
      </c>
      <c r="M67" s="2" t="e">
        <f>('вместе-абс'!M50 - 'вместе-абс'!#REF!) / 'вместе-абс'!#REF!</f>
        <v>#REF!</v>
      </c>
      <c r="N67" s="2" t="e">
        <f>('вместе-абс'!N50 - 'вместе-абс'!#REF!) / 'вместе-абс'!#REF!</f>
        <v>#REF!</v>
      </c>
      <c r="O67" s="2" t="e">
        <f>('вместе-абс'!O50 - 'вместе-абс'!#REF!) / 'вместе-абс'!#REF!</f>
        <v>#REF!</v>
      </c>
      <c r="P67" s="2" t="e">
        <f>('вместе-абс'!P50 - 'вместе-абс'!#REF!) / 'вместе-абс'!#REF!</f>
        <v>#REF!</v>
      </c>
      <c r="Q67" s="2" t="e">
        <f>('вместе-абс'!Q50 - 'вместе-абс'!#REF!) / 'вместе-абс'!#REF!</f>
        <v>#REF!</v>
      </c>
      <c r="R67" s="2" t="e">
        <f>('вместе-абс'!R50 - 'вместе-абс'!#REF!) / 'вместе-абс'!#REF!</f>
        <v>#REF!</v>
      </c>
      <c r="S67" s="2" t="e">
        <f>('вместе-абс'!S50 - 'вместе-абс'!#REF!) / 'вместе-абс'!#REF!</f>
        <v>#REF!</v>
      </c>
      <c r="T67" s="2" t="e">
        <f>('вместе-абс'!T50 - 'вместе-абс'!#REF!) / 'вместе-абс'!#REF!</f>
        <v>#REF!</v>
      </c>
      <c r="U67" s="2" t="e">
        <f>('вместе-абс'!U50 - 'вместе-абс'!#REF!) / 'вместе-абс'!#REF!</f>
        <v>#REF!</v>
      </c>
      <c r="V67" s="2" t="e">
        <f>('вместе-абс'!V50 - 'вместе-абс'!#REF!) / 'вместе-абс'!#REF!</f>
        <v>#REF!</v>
      </c>
    </row>
    <row r="68" spans="1:22" x14ac:dyDescent="0.25">
      <c r="A68" s="12">
        <f t="shared" si="1"/>
        <v>1983</v>
      </c>
      <c r="B68" s="2" t="e">
        <f>('вместе-абс'!B51 - 'вместе-абс'!#REF!) / 'вместе-абс'!#REF!</f>
        <v>#REF!</v>
      </c>
      <c r="C68" s="2" t="e">
        <f>('вместе-абс'!C51 - 'вместе-абс'!#REF!) / 'вместе-абс'!#REF!</f>
        <v>#REF!</v>
      </c>
      <c r="D68" s="2" t="e">
        <f>('вместе-абс'!D51 - 'вместе-абс'!#REF!) / 'вместе-абс'!#REF!</f>
        <v>#REF!</v>
      </c>
      <c r="E68" s="2" t="e">
        <f>('вместе-абс'!E51 - 'вместе-абс'!#REF!) / 'вместе-абс'!#REF!</f>
        <v>#REF!</v>
      </c>
      <c r="F68" s="2" t="e">
        <f>('вместе-абс'!F51 - 'вместе-абс'!#REF!) / 'вместе-абс'!#REF!</f>
        <v>#REF!</v>
      </c>
      <c r="G68" s="2" t="e">
        <f>('вместе-абс'!G51 - 'вместе-абс'!#REF!) / 'вместе-абс'!#REF!</f>
        <v>#REF!</v>
      </c>
      <c r="H68" s="2" t="e">
        <f>('вместе-абс'!H51 - 'вместе-абс'!#REF!) / 'вместе-абс'!#REF!</f>
        <v>#REF!</v>
      </c>
      <c r="I68" s="2" t="e">
        <f>('вместе-абс'!I51 - 'вместе-абс'!#REF!) / 'вместе-абс'!#REF!</f>
        <v>#REF!</v>
      </c>
      <c r="J68" s="2" t="e">
        <f>('вместе-абс'!J51 - 'вместе-абс'!#REF!) / 'вместе-абс'!#REF!</f>
        <v>#REF!</v>
      </c>
      <c r="K68" s="2" t="e">
        <f>('вместе-абс'!K51 - 'вместе-абс'!#REF!) / 'вместе-абс'!#REF!</f>
        <v>#REF!</v>
      </c>
      <c r="L68" s="2" t="e">
        <f>('вместе-абс'!L51 - 'вместе-абс'!#REF!) / 'вместе-абс'!#REF!</f>
        <v>#REF!</v>
      </c>
      <c r="M68" s="2" t="e">
        <f>('вместе-абс'!M51 - 'вместе-абс'!#REF!) / 'вместе-абс'!#REF!</f>
        <v>#REF!</v>
      </c>
      <c r="N68" s="2" t="e">
        <f>('вместе-абс'!N51 - 'вместе-абс'!#REF!) / 'вместе-абс'!#REF!</f>
        <v>#REF!</v>
      </c>
      <c r="O68" s="2" t="e">
        <f>('вместе-абс'!O51 - 'вместе-абс'!#REF!) / 'вместе-абс'!#REF!</f>
        <v>#REF!</v>
      </c>
      <c r="P68" s="2" t="e">
        <f>('вместе-абс'!P51 - 'вместе-абс'!#REF!) / 'вместе-абс'!#REF!</f>
        <v>#REF!</v>
      </c>
      <c r="Q68" s="2" t="e">
        <f>('вместе-абс'!Q51 - 'вместе-абс'!#REF!) / 'вместе-абс'!#REF!</f>
        <v>#REF!</v>
      </c>
      <c r="R68" s="2" t="e">
        <f>('вместе-абс'!R51 - 'вместе-абс'!#REF!) / 'вместе-абс'!#REF!</f>
        <v>#REF!</v>
      </c>
      <c r="S68" s="2" t="e">
        <f>('вместе-абс'!S51 - 'вместе-абс'!#REF!) / 'вместе-абс'!#REF!</f>
        <v>#REF!</v>
      </c>
      <c r="T68" s="2" t="e">
        <f>('вместе-абс'!T51 - 'вместе-абс'!#REF!) / 'вместе-абс'!#REF!</f>
        <v>#REF!</v>
      </c>
      <c r="U68" s="2" t="e">
        <f>('вместе-абс'!U51 - 'вместе-абс'!#REF!) / 'вместе-абс'!#REF!</f>
        <v>#REF!</v>
      </c>
      <c r="V68" s="2" t="e">
        <f>('вместе-абс'!V51 - 'вместе-абс'!#REF!) / 'вместе-абс'!#REF!</f>
        <v>#REF!</v>
      </c>
    </row>
    <row r="69" spans="1:22" x14ac:dyDescent="0.25">
      <c r="A69" s="12">
        <f t="shared" si="1"/>
        <v>1984</v>
      </c>
      <c r="B69" s="2" t="e">
        <f>('вместе-абс'!B52 - 'вместе-абс'!#REF!) / 'вместе-абс'!#REF!</f>
        <v>#REF!</v>
      </c>
      <c r="C69" s="2" t="e">
        <f>('вместе-абс'!C52 - 'вместе-абс'!#REF!) / 'вместе-абс'!#REF!</f>
        <v>#REF!</v>
      </c>
      <c r="D69" s="2" t="e">
        <f>('вместе-абс'!D52 - 'вместе-абс'!#REF!) / 'вместе-абс'!#REF!</f>
        <v>#REF!</v>
      </c>
      <c r="E69" s="2" t="e">
        <f>('вместе-абс'!E52 - 'вместе-абс'!#REF!) / 'вместе-абс'!#REF!</f>
        <v>#REF!</v>
      </c>
      <c r="F69" s="2" t="e">
        <f>('вместе-абс'!F52 - 'вместе-абс'!#REF!) / 'вместе-абс'!#REF!</f>
        <v>#REF!</v>
      </c>
      <c r="G69" s="2" t="e">
        <f>('вместе-абс'!G52 - 'вместе-абс'!#REF!) / 'вместе-абс'!#REF!</f>
        <v>#REF!</v>
      </c>
      <c r="H69" s="2" t="e">
        <f>('вместе-абс'!H52 - 'вместе-абс'!#REF!) / 'вместе-абс'!#REF!</f>
        <v>#REF!</v>
      </c>
      <c r="I69" s="2" t="e">
        <f>('вместе-абс'!I52 - 'вместе-абс'!#REF!) / 'вместе-абс'!#REF!</f>
        <v>#REF!</v>
      </c>
      <c r="J69" s="2" t="e">
        <f>('вместе-абс'!J52 - 'вместе-абс'!#REF!) / 'вместе-абс'!#REF!</f>
        <v>#REF!</v>
      </c>
      <c r="K69" s="2" t="e">
        <f>('вместе-абс'!K52 - 'вместе-абс'!#REF!) / 'вместе-абс'!#REF!</f>
        <v>#REF!</v>
      </c>
      <c r="L69" s="2" t="e">
        <f>('вместе-абс'!L52 - 'вместе-абс'!#REF!) / 'вместе-абс'!#REF!</f>
        <v>#REF!</v>
      </c>
      <c r="M69" s="2" t="e">
        <f>('вместе-абс'!M52 - 'вместе-абс'!#REF!) / 'вместе-абс'!#REF!</f>
        <v>#REF!</v>
      </c>
      <c r="N69" s="2" t="e">
        <f>('вместе-абс'!N52 - 'вместе-абс'!#REF!) / 'вместе-абс'!#REF!</f>
        <v>#REF!</v>
      </c>
      <c r="O69" s="2" t="e">
        <f>('вместе-абс'!O52 - 'вместе-абс'!#REF!) / 'вместе-абс'!#REF!</f>
        <v>#REF!</v>
      </c>
      <c r="P69" s="2" t="e">
        <f>('вместе-абс'!P52 - 'вместе-абс'!#REF!) / 'вместе-абс'!#REF!</f>
        <v>#REF!</v>
      </c>
      <c r="Q69" s="2" t="e">
        <f>('вместе-абс'!Q52 - 'вместе-абс'!#REF!) / 'вместе-абс'!#REF!</f>
        <v>#REF!</v>
      </c>
      <c r="R69" s="2" t="e">
        <f>('вместе-абс'!R52 - 'вместе-абс'!#REF!) / 'вместе-абс'!#REF!</f>
        <v>#REF!</v>
      </c>
      <c r="S69" s="2" t="e">
        <f>('вместе-абс'!S52 - 'вместе-абс'!#REF!) / 'вместе-абс'!#REF!</f>
        <v>#REF!</v>
      </c>
      <c r="T69" s="2" t="e">
        <f>('вместе-абс'!T52 - 'вместе-абс'!#REF!) / 'вместе-абс'!#REF!</f>
        <v>#REF!</v>
      </c>
      <c r="U69" s="2" t="e">
        <f>('вместе-абс'!U52 - 'вместе-абс'!#REF!) / 'вместе-абс'!#REF!</f>
        <v>#REF!</v>
      </c>
      <c r="V69" s="2" t="e">
        <f>('вместе-абс'!V52 - 'вместе-абс'!#REF!) / 'вместе-абс'!#REF!</f>
        <v>#REF!</v>
      </c>
    </row>
    <row r="70" spans="1:22" x14ac:dyDescent="0.25">
      <c r="A70" s="12">
        <f t="shared" si="1"/>
        <v>1985</v>
      </c>
      <c r="B70" s="2" t="e">
        <f>('вместе-абс'!B53 - 'вместе-абс'!#REF!) / 'вместе-абс'!#REF!</f>
        <v>#REF!</v>
      </c>
      <c r="C70" s="2" t="e">
        <f>('вместе-абс'!C53 - 'вместе-абс'!#REF!) / 'вместе-абс'!#REF!</f>
        <v>#REF!</v>
      </c>
      <c r="D70" s="2" t="e">
        <f>('вместе-абс'!D53 - 'вместе-абс'!#REF!) / 'вместе-абс'!#REF!</f>
        <v>#REF!</v>
      </c>
      <c r="E70" s="2" t="e">
        <f>('вместе-абс'!E53 - 'вместе-абс'!#REF!) / 'вместе-абс'!#REF!</f>
        <v>#REF!</v>
      </c>
      <c r="F70" s="2" t="e">
        <f>('вместе-абс'!F53 - 'вместе-абс'!#REF!) / 'вместе-абс'!#REF!</f>
        <v>#REF!</v>
      </c>
      <c r="G70" s="2" t="e">
        <f>('вместе-абс'!G53 - 'вместе-абс'!#REF!) / 'вместе-абс'!#REF!</f>
        <v>#REF!</v>
      </c>
      <c r="H70" s="2" t="e">
        <f>('вместе-абс'!H53 - 'вместе-абс'!#REF!) / 'вместе-абс'!#REF!</f>
        <v>#REF!</v>
      </c>
      <c r="I70" s="2" t="e">
        <f>('вместе-абс'!I53 - 'вместе-абс'!#REF!) / 'вместе-абс'!#REF!</f>
        <v>#REF!</v>
      </c>
      <c r="J70" s="2" t="e">
        <f>('вместе-абс'!J53 - 'вместе-абс'!#REF!) / 'вместе-абс'!#REF!</f>
        <v>#REF!</v>
      </c>
      <c r="K70" s="2" t="e">
        <f>('вместе-абс'!K53 - 'вместе-абс'!#REF!) / 'вместе-абс'!#REF!</f>
        <v>#REF!</v>
      </c>
      <c r="L70" s="2" t="e">
        <f>('вместе-абс'!L53 - 'вместе-абс'!#REF!) / 'вместе-абс'!#REF!</f>
        <v>#REF!</v>
      </c>
      <c r="M70" s="2" t="e">
        <f>('вместе-абс'!M53 - 'вместе-абс'!#REF!) / 'вместе-абс'!#REF!</f>
        <v>#REF!</v>
      </c>
      <c r="N70" s="2" t="e">
        <f>('вместе-абс'!N53 - 'вместе-абс'!#REF!) / 'вместе-абс'!#REF!</f>
        <v>#REF!</v>
      </c>
      <c r="O70" s="2" t="e">
        <f>('вместе-абс'!O53 - 'вместе-абс'!#REF!) / 'вместе-абс'!#REF!</f>
        <v>#REF!</v>
      </c>
      <c r="P70" s="2" t="e">
        <f>('вместе-абс'!P53 - 'вместе-абс'!#REF!) / 'вместе-абс'!#REF!</f>
        <v>#REF!</v>
      </c>
      <c r="Q70" s="2" t="e">
        <f>('вместе-абс'!Q53 - 'вместе-абс'!#REF!) / 'вместе-абс'!#REF!</f>
        <v>#REF!</v>
      </c>
      <c r="R70" s="2" t="e">
        <f>('вместе-абс'!R53 - 'вместе-абс'!#REF!) / 'вместе-абс'!#REF!</f>
        <v>#REF!</v>
      </c>
      <c r="S70" s="2" t="e">
        <f>('вместе-абс'!S53 - 'вместе-абс'!#REF!) / 'вместе-абс'!#REF!</f>
        <v>#REF!</v>
      </c>
      <c r="T70" s="2" t="e">
        <f>('вместе-абс'!T53 - 'вместе-абс'!#REF!) / 'вместе-абс'!#REF!</f>
        <v>#REF!</v>
      </c>
      <c r="U70" s="2" t="e">
        <f>('вместе-абс'!U53 - 'вместе-абс'!#REF!) / 'вместе-абс'!#REF!</f>
        <v>#REF!</v>
      </c>
      <c r="V70" s="2" t="e">
        <f>('вместе-абс'!V53 - 'вместе-абс'!#REF!) / 'вместе-абс'!#REF!</f>
        <v>#REF!</v>
      </c>
    </row>
    <row r="71" spans="1:22" x14ac:dyDescent="0.25">
      <c r="A71" s="12">
        <f t="shared" si="1"/>
        <v>1986</v>
      </c>
      <c r="B71" s="2" t="e">
        <f>('вместе-абс'!B54 - 'вместе-абс'!#REF!) / 'вместе-абс'!#REF!</f>
        <v>#REF!</v>
      </c>
      <c r="C71" s="2" t="e">
        <f>('вместе-абс'!C54 - 'вместе-абс'!#REF!) / 'вместе-абс'!#REF!</f>
        <v>#REF!</v>
      </c>
      <c r="D71" s="2" t="e">
        <f>('вместе-абс'!D54 - 'вместе-абс'!#REF!) / 'вместе-абс'!#REF!</f>
        <v>#REF!</v>
      </c>
      <c r="E71" s="2" t="e">
        <f>('вместе-абс'!E54 - 'вместе-абс'!#REF!) / 'вместе-абс'!#REF!</f>
        <v>#REF!</v>
      </c>
      <c r="F71" s="2" t="e">
        <f>('вместе-абс'!F54 - 'вместе-абс'!#REF!) / 'вместе-абс'!#REF!</f>
        <v>#REF!</v>
      </c>
      <c r="G71" s="2" t="e">
        <f>('вместе-абс'!G54 - 'вместе-абс'!#REF!) / 'вместе-абс'!#REF!</f>
        <v>#REF!</v>
      </c>
      <c r="H71" s="2" t="e">
        <f>('вместе-абс'!H54 - 'вместе-абс'!#REF!) / 'вместе-абс'!#REF!</f>
        <v>#REF!</v>
      </c>
      <c r="I71" s="2" t="e">
        <f>('вместе-абс'!I54 - 'вместе-абс'!#REF!) / 'вместе-абс'!#REF!</f>
        <v>#REF!</v>
      </c>
      <c r="J71" s="2" t="e">
        <f>('вместе-абс'!J54 - 'вместе-абс'!#REF!) / 'вместе-абс'!#REF!</f>
        <v>#REF!</v>
      </c>
      <c r="K71" s="2" t="e">
        <f>('вместе-абс'!K54 - 'вместе-абс'!#REF!) / 'вместе-абс'!#REF!</f>
        <v>#REF!</v>
      </c>
      <c r="L71" s="2" t="e">
        <f>('вместе-абс'!L54 - 'вместе-абс'!#REF!) / 'вместе-абс'!#REF!</f>
        <v>#REF!</v>
      </c>
      <c r="M71" s="2" t="e">
        <f>('вместе-абс'!M54 - 'вместе-абс'!#REF!) / 'вместе-абс'!#REF!</f>
        <v>#REF!</v>
      </c>
      <c r="N71" s="2" t="e">
        <f>('вместе-абс'!N54 - 'вместе-абс'!#REF!) / 'вместе-абс'!#REF!</f>
        <v>#REF!</v>
      </c>
      <c r="O71" s="2" t="e">
        <f>('вместе-абс'!O54 - 'вместе-абс'!#REF!) / 'вместе-абс'!#REF!</f>
        <v>#REF!</v>
      </c>
      <c r="P71" s="2" t="e">
        <f>('вместе-абс'!P54 - 'вместе-абс'!#REF!) / 'вместе-абс'!#REF!</f>
        <v>#REF!</v>
      </c>
      <c r="Q71" s="2" t="e">
        <f>('вместе-абс'!Q54 - 'вместе-абс'!#REF!) / 'вместе-абс'!#REF!</f>
        <v>#REF!</v>
      </c>
      <c r="R71" s="2" t="e">
        <f>('вместе-абс'!R54 - 'вместе-абс'!#REF!) / 'вместе-абс'!#REF!</f>
        <v>#REF!</v>
      </c>
      <c r="S71" s="2" t="e">
        <f>('вместе-абс'!S54 - 'вместе-абс'!#REF!) / 'вместе-абс'!#REF!</f>
        <v>#REF!</v>
      </c>
      <c r="T71" s="2" t="e">
        <f>('вместе-абс'!T54 - 'вместе-абс'!#REF!) / 'вместе-абс'!#REF!</f>
        <v>#REF!</v>
      </c>
      <c r="U71" s="2" t="e">
        <f>('вместе-абс'!U54 - 'вместе-абс'!#REF!) / 'вместе-абс'!#REF!</f>
        <v>#REF!</v>
      </c>
      <c r="V71" s="2" t="e">
        <f>('вместе-абс'!V54 - 'вместе-абс'!#REF!) / 'вместе-абс'!#REF!</f>
        <v>#REF!</v>
      </c>
    </row>
    <row r="72" spans="1:22" x14ac:dyDescent="0.25">
      <c r="A72" s="12">
        <f t="shared" si="1"/>
        <v>1987</v>
      </c>
      <c r="B72" s="2" t="e">
        <f>('вместе-абс'!B55 - 'вместе-абс'!#REF!) / 'вместе-абс'!#REF!</f>
        <v>#REF!</v>
      </c>
      <c r="C72" s="2" t="e">
        <f>('вместе-абс'!C55 - 'вместе-абс'!#REF!) / 'вместе-абс'!#REF!</f>
        <v>#REF!</v>
      </c>
      <c r="D72" s="2" t="e">
        <f>('вместе-абс'!D55 - 'вместе-абс'!#REF!) / 'вместе-абс'!#REF!</f>
        <v>#REF!</v>
      </c>
      <c r="E72" s="2" t="e">
        <f>('вместе-абс'!E55 - 'вместе-абс'!#REF!) / 'вместе-абс'!#REF!</f>
        <v>#REF!</v>
      </c>
      <c r="F72" s="2" t="e">
        <f>('вместе-абс'!F55 - 'вместе-абс'!#REF!) / 'вместе-абс'!#REF!</f>
        <v>#REF!</v>
      </c>
      <c r="G72" s="2" t="e">
        <f>('вместе-абс'!G55 - 'вместе-абс'!#REF!) / 'вместе-абс'!#REF!</f>
        <v>#REF!</v>
      </c>
      <c r="H72" s="2" t="e">
        <f>('вместе-абс'!H55 - 'вместе-абс'!#REF!) / 'вместе-абс'!#REF!</f>
        <v>#REF!</v>
      </c>
      <c r="I72" s="2" t="e">
        <f>('вместе-абс'!I55 - 'вместе-абс'!#REF!) / 'вместе-абс'!#REF!</f>
        <v>#REF!</v>
      </c>
      <c r="J72" s="2" t="e">
        <f>('вместе-абс'!J55 - 'вместе-абс'!#REF!) / 'вместе-абс'!#REF!</f>
        <v>#REF!</v>
      </c>
      <c r="K72" s="2" t="e">
        <f>('вместе-абс'!K55 - 'вместе-абс'!#REF!) / 'вместе-абс'!#REF!</f>
        <v>#REF!</v>
      </c>
      <c r="L72" s="2" t="e">
        <f>('вместе-абс'!L55 - 'вместе-абс'!#REF!) / 'вместе-абс'!#REF!</f>
        <v>#REF!</v>
      </c>
      <c r="M72" s="2" t="e">
        <f>('вместе-абс'!M55 - 'вместе-абс'!#REF!) / 'вместе-абс'!#REF!</f>
        <v>#REF!</v>
      </c>
      <c r="N72" s="2" t="e">
        <f>('вместе-абс'!N55 - 'вместе-абс'!#REF!) / 'вместе-абс'!#REF!</f>
        <v>#REF!</v>
      </c>
      <c r="O72" s="2" t="e">
        <f>('вместе-абс'!O55 - 'вместе-абс'!#REF!) / 'вместе-абс'!#REF!</f>
        <v>#REF!</v>
      </c>
      <c r="P72" s="2" t="e">
        <f>('вместе-абс'!P55 - 'вместе-абс'!#REF!) / 'вместе-абс'!#REF!</f>
        <v>#REF!</v>
      </c>
      <c r="Q72" s="2" t="e">
        <f>('вместе-абс'!Q55 - 'вместе-абс'!#REF!) / 'вместе-абс'!#REF!</f>
        <v>#REF!</v>
      </c>
      <c r="R72" s="2" t="e">
        <f>('вместе-абс'!R55 - 'вместе-абс'!#REF!) / 'вместе-абс'!#REF!</f>
        <v>#REF!</v>
      </c>
      <c r="S72" s="2" t="e">
        <f>('вместе-абс'!S55 - 'вместе-абс'!#REF!) / 'вместе-абс'!#REF!</f>
        <v>#REF!</v>
      </c>
      <c r="T72" s="2" t="e">
        <f>('вместе-абс'!T55 - 'вместе-абс'!#REF!) / 'вместе-абс'!#REF!</f>
        <v>#REF!</v>
      </c>
      <c r="U72" s="2" t="e">
        <f>('вместе-абс'!U55 - 'вместе-абс'!#REF!) / 'вместе-абс'!#REF!</f>
        <v>#REF!</v>
      </c>
      <c r="V72" s="2" t="e">
        <f>('вместе-абс'!V55 - 'вместе-абс'!#REF!) / 'вместе-абс'!#REF!</f>
        <v>#REF!</v>
      </c>
    </row>
    <row r="73" spans="1:22" x14ac:dyDescent="0.25">
      <c r="A73" s="12">
        <f t="shared" si="1"/>
        <v>1988</v>
      </c>
      <c r="B73" s="2" t="e">
        <f>('вместе-абс'!B56 - 'вместе-абс'!#REF!) / 'вместе-абс'!#REF!</f>
        <v>#REF!</v>
      </c>
      <c r="C73" s="2" t="e">
        <f>('вместе-абс'!C56 - 'вместе-абс'!#REF!) / 'вместе-абс'!#REF!</f>
        <v>#REF!</v>
      </c>
      <c r="D73" s="2" t="e">
        <f>('вместе-абс'!D56 - 'вместе-абс'!#REF!) / 'вместе-абс'!#REF!</f>
        <v>#REF!</v>
      </c>
      <c r="E73" s="2" t="e">
        <f>('вместе-абс'!E56 - 'вместе-абс'!#REF!) / 'вместе-абс'!#REF!</f>
        <v>#REF!</v>
      </c>
      <c r="F73" s="2" t="e">
        <f>('вместе-абс'!F56 - 'вместе-абс'!#REF!) / 'вместе-абс'!#REF!</f>
        <v>#REF!</v>
      </c>
      <c r="G73" s="2" t="e">
        <f>('вместе-абс'!G56 - 'вместе-абс'!#REF!) / 'вместе-абс'!#REF!</f>
        <v>#REF!</v>
      </c>
      <c r="H73" s="2" t="e">
        <f>('вместе-абс'!H56 - 'вместе-абс'!#REF!) / 'вместе-абс'!#REF!</f>
        <v>#REF!</v>
      </c>
      <c r="I73" s="2" t="e">
        <f>('вместе-абс'!I56 - 'вместе-абс'!#REF!) / 'вместе-абс'!#REF!</f>
        <v>#REF!</v>
      </c>
      <c r="J73" s="2" t="e">
        <f>('вместе-абс'!J56 - 'вместе-абс'!#REF!) / 'вместе-абс'!#REF!</f>
        <v>#REF!</v>
      </c>
      <c r="K73" s="2" t="e">
        <f>('вместе-абс'!K56 - 'вместе-абс'!#REF!) / 'вместе-абс'!#REF!</f>
        <v>#REF!</v>
      </c>
      <c r="L73" s="2" t="e">
        <f>('вместе-абс'!L56 - 'вместе-абс'!#REF!) / 'вместе-абс'!#REF!</f>
        <v>#REF!</v>
      </c>
      <c r="M73" s="2" t="e">
        <f>('вместе-абс'!M56 - 'вместе-абс'!#REF!) / 'вместе-абс'!#REF!</f>
        <v>#REF!</v>
      </c>
      <c r="N73" s="2" t="e">
        <f>('вместе-абс'!N56 - 'вместе-абс'!#REF!) / 'вместе-абс'!#REF!</f>
        <v>#REF!</v>
      </c>
      <c r="O73" s="2" t="e">
        <f>('вместе-абс'!O56 - 'вместе-абс'!#REF!) / 'вместе-абс'!#REF!</f>
        <v>#REF!</v>
      </c>
      <c r="P73" s="2" t="e">
        <f>('вместе-абс'!P56 - 'вместе-абс'!#REF!) / 'вместе-абс'!#REF!</f>
        <v>#REF!</v>
      </c>
      <c r="Q73" s="2" t="e">
        <f>('вместе-абс'!Q56 - 'вместе-абс'!#REF!) / 'вместе-абс'!#REF!</f>
        <v>#REF!</v>
      </c>
      <c r="R73" s="2" t="e">
        <f>('вместе-абс'!R56 - 'вместе-абс'!#REF!) / 'вместе-абс'!#REF!</f>
        <v>#REF!</v>
      </c>
      <c r="S73" s="2" t="e">
        <f>('вместе-абс'!S56 - 'вместе-абс'!#REF!) / 'вместе-абс'!#REF!</f>
        <v>#REF!</v>
      </c>
      <c r="T73" s="2" t="e">
        <f>('вместе-абс'!T56 - 'вместе-абс'!#REF!) / 'вместе-абс'!#REF!</f>
        <v>#REF!</v>
      </c>
      <c r="U73" s="2" t="e">
        <f>('вместе-абс'!U56 - 'вместе-абс'!#REF!) / 'вместе-абс'!#REF!</f>
        <v>#REF!</v>
      </c>
      <c r="V73" s="2" t="e">
        <f>('вместе-абс'!V56 - 'вместе-абс'!#REF!) / 'вместе-абс'!#REF!</f>
        <v>#REF!</v>
      </c>
    </row>
    <row r="74" spans="1:22" x14ac:dyDescent="0.25">
      <c r="A74" s="12">
        <f t="shared" si="1"/>
        <v>1989</v>
      </c>
      <c r="B74" s="2" t="e">
        <f>('вместе-абс'!B57 - 'вместе-абс'!#REF!) / 'вместе-абс'!#REF!</f>
        <v>#REF!</v>
      </c>
      <c r="C74" s="2" t="e">
        <f>('вместе-абс'!C57 - 'вместе-абс'!#REF!) / 'вместе-абс'!#REF!</f>
        <v>#REF!</v>
      </c>
      <c r="D74" s="2" t="e">
        <f>('вместе-абс'!D57 - 'вместе-абс'!#REF!) / 'вместе-абс'!#REF!</f>
        <v>#REF!</v>
      </c>
      <c r="E74" s="2" t="e">
        <f>('вместе-абс'!E57 - 'вместе-абс'!#REF!) / 'вместе-абс'!#REF!</f>
        <v>#REF!</v>
      </c>
      <c r="F74" s="2" t="e">
        <f>('вместе-абс'!F57 - 'вместе-абс'!#REF!) / 'вместе-абс'!#REF!</f>
        <v>#REF!</v>
      </c>
      <c r="G74" s="2" t="e">
        <f>('вместе-абс'!G57 - 'вместе-абс'!#REF!) / 'вместе-абс'!#REF!</f>
        <v>#REF!</v>
      </c>
      <c r="H74" s="2" t="e">
        <f>('вместе-абс'!H57 - 'вместе-абс'!#REF!) / 'вместе-абс'!#REF!</f>
        <v>#REF!</v>
      </c>
      <c r="I74" s="2" t="e">
        <f>('вместе-абс'!I57 - 'вместе-абс'!#REF!) / 'вместе-абс'!#REF!</f>
        <v>#REF!</v>
      </c>
      <c r="J74" s="2" t="e">
        <f>('вместе-абс'!J57 - 'вместе-абс'!#REF!) / 'вместе-абс'!#REF!</f>
        <v>#REF!</v>
      </c>
      <c r="K74" s="2" t="e">
        <f>('вместе-абс'!K57 - 'вместе-абс'!#REF!) / 'вместе-абс'!#REF!</f>
        <v>#REF!</v>
      </c>
      <c r="L74" s="2" t="e">
        <f>('вместе-абс'!L57 - 'вместе-абс'!#REF!) / 'вместе-абс'!#REF!</f>
        <v>#REF!</v>
      </c>
      <c r="M74" s="2" t="e">
        <f>('вместе-абс'!M57 - 'вместе-абс'!#REF!) / 'вместе-абс'!#REF!</f>
        <v>#REF!</v>
      </c>
      <c r="N74" s="2" t="e">
        <f>('вместе-абс'!N57 - 'вместе-абс'!#REF!) / 'вместе-абс'!#REF!</f>
        <v>#REF!</v>
      </c>
      <c r="O74" s="2" t="e">
        <f>('вместе-абс'!O57 - 'вместе-абс'!#REF!) / 'вместе-абс'!#REF!</f>
        <v>#REF!</v>
      </c>
      <c r="P74" s="2" t="e">
        <f>('вместе-абс'!P57 - 'вместе-абс'!#REF!) / 'вместе-абс'!#REF!</f>
        <v>#REF!</v>
      </c>
      <c r="Q74" s="2" t="e">
        <f>('вместе-абс'!Q57 - 'вместе-абс'!#REF!) / 'вместе-абс'!#REF!</f>
        <v>#REF!</v>
      </c>
      <c r="R74" s="2" t="e">
        <f>('вместе-абс'!R57 - 'вместе-абс'!#REF!) / 'вместе-абс'!#REF!</f>
        <v>#REF!</v>
      </c>
      <c r="S74" s="2" t="e">
        <f>('вместе-абс'!S57 - 'вместе-абс'!#REF!) / 'вместе-абс'!#REF!</f>
        <v>#REF!</v>
      </c>
      <c r="T74" s="2" t="e">
        <f>('вместе-абс'!T57 - 'вместе-абс'!#REF!) / 'вместе-абс'!#REF!</f>
        <v>#REF!</v>
      </c>
      <c r="U74" s="2" t="e">
        <f>('вместе-абс'!U57 - 'вместе-абс'!#REF!) / 'вместе-абс'!#REF!</f>
        <v>#REF!</v>
      </c>
      <c r="V74" s="2" t="e">
        <f>('вместе-абс'!V57 - 'вместе-абс'!#REF!) / 'вместе-абс'!#REF!</f>
        <v>#REF!</v>
      </c>
    </row>
    <row r="75" spans="1:22" x14ac:dyDescent="0.25">
      <c r="A75" s="12">
        <f t="shared" si="1"/>
        <v>1990</v>
      </c>
      <c r="B75" s="2" t="e">
        <f>('вместе-абс'!B58 - 'вместе-абс'!#REF!) / 'вместе-абс'!#REF!</f>
        <v>#REF!</v>
      </c>
      <c r="C75" s="2" t="e">
        <f>('вместе-абс'!C58 - 'вместе-абс'!#REF!) / 'вместе-абс'!#REF!</f>
        <v>#REF!</v>
      </c>
      <c r="D75" s="2" t="e">
        <f>('вместе-абс'!D58 - 'вместе-абс'!#REF!) / 'вместе-абс'!#REF!</f>
        <v>#REF!</v>
      </c>
      <c r="E75" s="2" t="e">
        <f>('вместе-абс'!E58 - 'вместе-абс'!#REF!) / 'вместе-абс'!#REF!</f>
        <v>#REF!</v>
      </c>
      <c r="F75" s="2" t="e">
        <f>('вместе-абс'!F58 - 'вместе-абс'!#REF!) / 'вместе-абс'!#REF!</f>
        <v>#REF!</v>
      </c>
      <c r="G75" s="2" t="e">
        <f>('вместе-абс'!G58 - 'вместе-абс'!#REF!) / 'вместе-абс'!#REF!</f>
        <v>#REF!</v>
      </c>
      <c r="H75" s="2" t="e">
        <f>('вместе-абс'!H58 - 'вместе-абс'!#REF!) / 'вместе-абс'!#REF!</f>
        <v>#REF!</v>
      </c>
      <c r="I75" s="2" t="e">
        <f>('вместе-абс'!I58 - 'вместе-абс'!#REF!) / 'вместе-абс'!#REF!</f>
        <v>#REF!</v>
      </c>
      <c r="J75" s="2" t="e">
        <f>('вместе-абс'!J58 - 'вместе-абс'!#REF!) / 'вместе-абс'!#REF!</f>
        <v>#REF!</v>
      </c>
      <c r="K75" s="2" t="e">
        <f>('вместе-абс'!K58 - 'вместе-абс'!#REF!) / 'вместе-абс'!#REF!</f>
        <v>#REF!</v>
      </c>
      <c r="L75" s="2" t="e">
        <f>('вместе-абс'!L58 - 'вместе-абс'!#REF!) / 'вместе-абс'!#REF!</f>
        <v>#REF!</v>
      </c>
      <c r="M75" s="2" t="e">
        <f>('вместе-абс'!M58 - 'вместе-абс'!#REF!) / 'вместе-абс'!#REF!</f>
        <v>#REF!</v>
      </c>
      <c r="N75" s="2" t="e">
        <f>('вместе-абс'!N58 - 'вместе-абс'!#REF!) / 'вместе-абс'!#REF!</f>
        <v>#REF!</v>
      </c>
      <c r="O75" s="2" t="e">
        <f>('вместе-абс'!O58 - 'вместе-абс'!#REF!) / 'вместе-абс'!#REF!</f>
        <v>#REF!</v>
      </c>
      <c r="P75" s="2" t="e">
        <f>('вместе-абс'!P58 - 'вместе-абс'!#REF!) / 'вместе-абс'!#REF!</f>
        <v>#REF!</v>
      </c>
      <c r="Q75" s="2" t="e">
        <f>('вместе-абс'!Q58 - 'вместе-абс'!#REF!) / 'вместе-абс'!#REF!</f>
        <v>#REF!</v>
      </c>
      <c r="R75" s="2" t="e">
        <f>('вместе-абс'!R58 - 'вместе-абс'!#REF!) / 'вместе-абс'!#REF!</f>
        <v>#REF!</v>
      </c>
      <c r="S75" s="2" t="e">
        <f>('вместе-абс'!S58 - 'вместе-абс'!#REF!) / 'вместе-абс'!#REF!</f>
        <v>#REF!</v>
      </c>
      <c r="T75" s="2" t="e">
        <f>('вместе-абс'!T58 - 'вместе-абс'!#REF!) / 'вместе-абс'!#REF!</f>
        <v>#REF!</v>
      </c>
      <c r="U75" s="2" t="e">
        <f>('вместе-абс'!U58 - 'вместе-абс'!#REF!) / 'вместе-абс'!#REF!</f>
        <v>#REF!</v>
      </c>
      <c r="V75" s="2" t="e">
        <f>('вместе-абс'!V58 - 'вместе-абс'!#REF!) / 'вместе-абс'!#REF!</f>
        <v>#REF!</v>
      </c>
    </row>
    <row r="76" spans="1:22" x14ac:dyDescent="0.25">
      <c r="A76" s="12">
        <f t="shared" si="1"/>
        <v>1991</v>
      </c>
      <c r="B76" s="2" t="e">
        <f>('вместе-абс'!B59 - 'вместе-абс'!#REF!) / 'вместе-абс'!#REF!</f>
        <v>#REF!</v>
      </c>
      <c r="C76" s="2" t="e">
        <f>('вместе-абс'!C59 - 'вместе-абс'!#REF!) / 'вместе-абс'!#REF!</f>
        <v>#REF!</v>
      </c>
      <c r="D76" s="2" t="e">
        <f>('вместе-абс'!D59 - 'вместе-абс'!#REF!) / 'вместе-абс'!#REF!</f>
        <v>#REF!</v>
      </c>
      <c r="E76" s="2" t="e">
        <f>('вместе-абс'!E59 - 'вместе-абс'!#REF!) / 'вместе-абс'!#REF!</f>
        <v>#REF!</v>
      </c>
      <c r="F76" s="2" t="e">
        <f>('вместе-абс'!F59 - 'вместе-абс'!#REF!) / 'вместе-абс'!#REF!</f>
        <v>#REF!</v>
      </c>
      <c r="G76" s="2" t="e">
        <f>('вместе-абс'!G59 - 'вместе-абс'!#REF!) / 'вместе-абс'!#REF!</f>
        <v>#REF!</v>
      </c>
      <c r="H76" s="2" t="e">
        <f>('вместе-абс'!H59 - 'вместе-абс'!#REF!) / 'вместе-абс'!#REF!</f>
        <v>#REF!</v>
      </c>
      <c r="I76" s="2" t="e">
        <f>('вместе-абс'!I59 - 'вместе-абс'!#REF!) / 'вместе-абс'!#REF!</f>
        <v>#REF!</v>
      </c>
      <c r="J76" s="2" t="e">
        <f>('вместе-абс'!J59 - 'вместе-абс'!#REF!) / 'вместе-абс'!#REF!</f>
        <v>#REF!</v>
      </c>
      <c r="K76" s="2" t="e">
        <f>('вместе-абс'!K59 - 'вместе-абс'!#REF!) / 'вместе-абс'!#REF!</f>
        <v>#REF!</v>
      </c>
      <c r="L76" s="2" t="e">
        <f>('вместе-абс'!L59 - 'вместе-абс'!#REF!) / 'вместе-абс'!#REF!</f>
        <v>#REF!</v>
      </c>
      <c r="M76" s="2" t="e">
        <f>('вместе-абс'!M59 - 'вместе-абс'!#REF!) / 'вместе-абс'!#REF!</f>
        <v>#REF!</v>
      </c>
      <c r="N76" s="2" t="e">
        <f>('вместе-абс'!N59 - 'вместе-абс'!#REF!) / 'вместе-абс'!#REF!</f>
        <v>#REF!</v>
      </c>
      <c r="O76" s="2" t="e">
        <f>('вместе-абс'!O59 - 'вместе-абс'!#REF!) / 'вместе-абс'!#REF!</f>
        <v>#REF!</v>
      </c>
      <c r="P76" s="2" t="e">
        <f>('вместе-абс'!P59 - 'вместе-абс'!#REF!) / 'вместе-абс'!#REF!</f>
        <v>#REF!</v>
      </c>
      <c r="Q76" s="2" t="e">
        <f>('вместе-абс'!Q59 - 'вместе-абс'!#REF!) / 'вместе-абс'!#REF!</f>
        <v>#REF!</v>
      </c>
      <c r="R76" s="2" t="e">
        <f>('вместе-абс'!R59 - 'вместе-абс'!#REF!) / 'вместе-абс'!#REF!</f>
        <v>#REF!</v>
      </c>
      <c r="S76" s="2" t="e">
        <f>('вместе-абс'!S59 - 'вместе-абс'!#REF!) / 'вместе-абс'!#REF!</f>
        <v>#REF!</v>
      </c>
      <c r="T76" s="2" t="e">
        <f>('вместе-абс'!T59 - 'вместе-абс'!#REF!) / 'вместе-абс'!#REF!</f>
        <v>#REF!</v>
      </c>
      <c r="U76" s="2" t="e">
        <f>('вместе-абс'!U59 - 'вместе-абс'!#REF!) / 'вместе-абс'!#REF!</f>
        <v>#REF!</v>
      </c>
      <c r="V76" s="2" t="e">
        <f>('вместе-абс'!V59 - 'вместе-абс'!#REF!) / 'вместе-абс'!#REF!</f>
        <v>#REF!</v>
      </c>
    </row>
    <row r="77" spans="1:22" x14ac:dyDescent="0.25">
      <c r="A77" s="12">
        <f t="shared" si="1"/>
        <v>1992</v>
      </c>
      <c r="B77" s="2" t="e">
        <f>('вместе-абс'!B60 - 'вместе-абс'!#REF!) / 'вместе-абс'!#REF!</f>
        <v>#REF!</v>
      </c>
      <c r="C77" s="2" t="e">
        <f>('вместе-абс'!C60 - 'вместе-абс'!#REF!) / 'вместе-абс'!#REF!</f>
        <v>#REF!</v>
      </c>
      <c r="D77" s="2" t="e">
        <f>('вместе-абс'!D60 - 'вместе-абс'!#REF!) / 'вместе-абс'!#REF!</f>
        <v>#REF!</v>
      </c>
      <c r="E77" s="2" t="e">
        <f>('вместе-абс'!E60 - 'вместе-абс'!#REF!) / 'вместе-абс'!#REF!</f>
        <v>#REF!</v>
      </c>
      <c r="F77" s="2" t="e">
        <f>('вместе-абс'!F60 - 'вместе-абс'!#REF!) / 'вместе-абс'!#REF!</f>
        <v>#REF!</v>
      </c>
      <c r="G77" s="2" t="e">
        <f>('вместе-абс'!G60 - 'вместе-абс'!#REF!) / 'вместе-абс'!#REF!</f>
        <v>#REF!</v>
      </c>
      <c r="H77" s="2" t="e">
        <f>('вместе-абс'!H60 - 'вместе-абс'!#REF!) / 'вместе-абс'!#REF!</f>
        <v>#REF!</v>
      </c>
      <c r="I77" s="2" t="e">
        <f>('вместе-абс'!I60 - 'вместе-абс'!#REF!) / 'вместе-абс'!#REF!</f>
        <v>#REF!</v>
      </c>
      <c r="J77" s="2" t="e">
        <f>('вместе-абс'!J60 - 'вместе-абс'!#REF!) / 'вместе-абс'!#REF!</f>
        <v>#REF!</v>
      </c>
      <c r="K77" s="2" t="e">
        <f>('вместе-абс'!K60 - 'вместе-абс'!#REF!) / 'вместе-абс'!#REF!</f>
        <v>#REF!</v>
      </c>
      <c r="L77" s="2" t="e">
        <f>('вместе-абс'!L60 - 'вместе-абс'!#REF!) / 'вместе-абс'!#REF!</f>
        <v>#REF!</v>
      </c>
      <c r="M77" s="2" t="e">
        <f>('вместе-абс'!M60 - 'вместе-абс'!#REF!) / 'вместе-абс'!#REF!</f>
        <v>#REF!</v>
      </c>
      <c r="N77" s="2" t="e">
        <f>('вместе-абс'!N60 - 'вместе-абс'!#REF!) / 'вместе-абс'!#REF!</f>
        <v>#REF!</v>
      </c>
      <c r="O77" s="2" t="e">
        <f>('вместе-абс'!O60 - 'вместе-абс'!#REF!) / 'вместе-абс'!#REF!</f>
        <v>#REF!</v>
      </c>
      <c r="P77" s="2" t="e">
        <f>('вместе-абс'!P60 - 'вместе-абс'!#REF!) / 'вместе-абс'!#REF!</f>
        <v>#REF!</v>
      </c>
      <c r="Q77" s="2" t="e">
        <f>('вместе-абс'!Q60 - 'вместе-абс'!#REF!) / 'вместе-абс'!#REF!</f>
        <v>#REF!</v>
      </c>
      <c r="R77" s="2" t="e">
        <f>('вместе-абс'!R60 - 'вместе-абс'!#REF!) / 'вместе-абс'!#REF!</f>
        <v>#REF!</v>
      </c>
      <c r="S77" s="2" t="e">
        <f>('вместе-абс'!S60 - 'вместе-абс'!#REF!) / 'вместе-абс'!#REF!</f>
        <v>#REF!</v>
      </c>
      <c r="T77" s="2" t="e">
        <f>('вместе-абс'!T60 - 'вместе-абс'!#REF!) / 'вместе-абс'!#REF!</f>
        <v>#REF!</v>
      </c>
      <c r="U77" s="2" t="e">
        <f>('вместе-абс'!U60 - 'вместе-абс'!#REF!) / 'вместе-абс'!#REF!</f>
        <v>#REF!</v>
      </c>
      <c r="V77" s="2" t="e">
        <f>('вместе-абс'!V60 - 'вместе-абс'!#REF!) / 'вместе-абс'!#REF!</f>
        <v>#REF!</v>
      </c>
    </row>
    <row r="78" spans="1:22" x14ac:dyDescent="0.25">
      <c r="A78" s="12">
        <f t="shared" si="1"/>
        <v>1993</v>
      </c>
      <c r="B78" s="2" t="e">
        <f>('вместе-абс'!B61 - 'вместе-абс'!#REF!) / 'вместе-абс'!#REF!</f>
        <v>#REF!</v>
      </c>
      <c r="C78" s="2" t="e">
        <f>('вместе-абс'!C61 - 'вместе-абс'!#REF!) / 'вместе-абс'!#REF!</f>
        <v>#REF!</v>
      </c>
      <c r="D78" s="2" t="e">
        <f>('вместе-абс'!D61 - 'вместе-абс'!#REF!) / 'вместе-абс'!#REF!</f>
        <v>#REF!</v>
      </c>
      <c r="E78" s="2" t="e">
        <f>('вместе-абс'!E61 - 'вместе-абс'!#REF!) / 'вместе-абс'!#REF!</f>
        <v>#REF!</v>
      </c>
      <c r="F78" s="2" t="e">
        <f>('вместе-абс'!F61 - 'вместе-абс'!#REF!) / 'вместе-абс'!#REF!</f>
        <v>#REF!</v>
      </c>
      <c r="G78" s="2" t="e">
        <f>('вместе-абс'!G61 - 'вместе-абс'!#REF!) / 'вместе-абс'!#REF!</f>
        <v>#REF!</v>
      </c>
      <c r="H78" s="2" t="e">
        <f>('вместе-абс'!H61 - 'вместе-абс'!#REF!) / 'вместе-абс'!#REF!</f>
        <v>#REF!</v>
      </c>
      <c r="I78" s="2" t="e">
        <f>('вместе-абс'!I61 - 'вместе-абс'!#REF!) / 'вместе-абс'!#REF!</f>
        <v>#REF!</v>
      </c>
      <c r="J78" s="2" t="e">
        <f>('вместе-абс'!J61 - 'вместе-абс'!#REF!) / 'вместе-абс'!#REF!</f>
        <v>#REF!</v>
      </c>
      <c r="K78" s="2" t="e">
        <f>('вместе-абс'!K61 - 'вместе-абс'!#REF!) / 'вместе-абс'!#REF!</f>
        <v>#REF!</v>
      </c>
      <c r="L78" s="2" t="e">
        <f>('вместе-абс'!L61 - 'вместе-абс'!#REF!) / 'вместе-абс'!#REF!</f>
        <v>#REF!</v>
      </c>
      <c r="M78" s="2" t="e">
        <f>('вместе-абс'!M61 - 'вместе-абс'!#REF!) / 'вместе-абс'!#REF!</f>
        <v>#REF!</v>
      </c>
      <c r="N78" s="2" t="e">
        <f>('вместе-абс'!N61 - 'вместе-абс'!#REF!) / 'вместе-абс'!#REF!</f>
        <v>#REF!</v>
      </c>
      <c r="O78" s="2" t="e">
        <f>('вместе-абс'!O61 - 'вместе-абс'!#REF!) / 'вместе-абс'!#REF!</f>
        <v>#REF!</v>
      </c>
      <c r="P78" s="2" t="e">
        <f>('вместе-абс'!P61 - 'вместе-абс'!#REF!) / 'вместе-абс'!#REF!</f>
        <v>#REF!</v>
      </c>
      <c r="Q78" s="2" t="e">
        <f>('вместе-абс'!Q61 - 'вместе-абс'!#REF!) / 'вместе-абс'!#REF!</f>
        <v>#REF!</v>
      </c>
      <c r="R78" s="2" t="e">
        <f>('вместе-абс'!R61 - 'вместе-абс'!#REF!) / 'вместе-абс'!#REF!</f>
        <v>#REF!</v>
      </c>
      <c r="S78" s="2" t="e">
        <f>('вместе-абс'!S61 - 'вместе-абс'!#REF!) / 'вместе-абс'!#REF!</f>
        <v>#REF!</v>
      </c>
      <c r="T78" s="2" t="e">
        <f>('вместе-абс'!T61 - 'вместе-абс'!#REF!) / 'вместе-абс'!#REF!</f>
        <v>#REF!</v>
      </c>
      <c r="U78" s="2" t="e">
        <f>('вместе-абс'!U61 - 'вместе-абс'!#REF!) / 'вместе-абс'!#REF!</f>
        <v>#REF!</v>
      </c>
      <c r="V78" s="2" t="e">
        <f>('вместе-абс'!V61 - 'вместе-абс'!#REF!) / 'вместе-абс'!#REF!</f>
        <v>#REF!</v>
      </c>
    </row>
    <row r="79" spans="1:22" x14ac:dyDescent="0.25">
      <c r="A79" s="12">
        <f t="shared" si="1"/>
        <v>1994</v>
      </c>
      <c r="B79" s="2" t="e">
        <f>('вместе-абс'!B62 - 'вместе-абс'!#REF!) / 'вместе-абс'!#REF!</f>
        <v>#REF!</v>
      </c>
      <c r="C79" s="2" t="e">
        <f>('вместе-абс'!C62 - 'вместе-абс'!#REF!) / 'вместе-абс'!#REF!</f>
        <v>#REF!</v>
      </c>
      <c r="D79" s="2" t="e">
        <f>('вместе-абс'!D62 - 'вместе-абс'!#REF!) / 'вместе-абс'!#REF!</f>
        <v>#REF!</v>
      </c>
      <c r="E79" s="2" t="e">
        <f>('вместе-абс'!E62 - 'вместе-абс'!#REF!) / 'вместе-абс'!#REF!</f>
        <v>#REF!</v>
      </c>
      <c r="F79" s="2" t="e">
        <f>('вместе-абс'!F62 - 'вместе-абс'!#REF!) / 'вместе-абс'!#REF!</f>
        <v>#REF!</v>
      </c>
      <c r="G79" s="2" t="e">
        <f>('вместе-абс'!G62 - 'вместе-абс'!#REF!) / 'вместе-абс'!#REF!</f>
        <v>#REF!</v>
      </c>
      <c r="H79" s="2" t="e">
        <f>('вместе-абс'!H62 - 'вместе-абс'!#REF!) / 'вместе-абс'!#REF!</f>
        <v>#REF!</v>
      </c>
      <c r="I79" s="2" t="e">
        <f>('вместе-абс'!I62 - 'вместе-абс'!#REF!) / 'вместе-абс'!#REF!</f>
        <v>#REF!</v>
      </c>
      <c r="J79" s="2" t="e">
        <f>('вместе-абс'!J62 - 'вместе-абс'!#REF!) / 'вместе-абс'!#REF!</f>
        <v>#REF!</v>
      </c>
      <c r="K79" s="2" t="e">
        <f>('вместе-абс'!K62 - 'вместе-абс'!#REF!) / 'вместе-абс'!#REF!</f>
        <v>#REF!</v>
      </c>
      <c r="L79" s="2" t="e">
        <f>('вместе-абс'!L62 - 'вместе-абс'!#REF!) / 'вместе-абс'!#REF!</f>
        <v>#REF!</v>
      </c>
      <c r="M79" s="2" t="e">
        <f>('вместе-абс'!M62 - 'вместе-абс'!#REF!) / 'вместе-абс'!#REF!</f>
        <v>#REF!</v>
      </c>
      <c r="N79" s="2" t="e">
        <f>('вместе-абс'!N62 - 'вместе-абс'!#REF!) / 'вместе-абс'!#REF!</f>
        <v>#REF!</v>
      </c>
      <c r="O79" s="2" t="e">
        <f>('вместе-абс'!O62 - 'вместе-абс'!#REF!) / 'вместе-абс'!#REF!</f>
        <v>#REF!</v>
      </c>
      <c r="P79" s="2" t="e">
        <f>('вместе-абс'!P62 - 'вместе-абс'!#REF!) / 'вместе-абс'!#REF!</f>
        <v>#REF!</v>
      </c>
      <c r="Q79" s="2" t="e">
        <f>('вместе-абс'!Q62 - 'вместе-абс'!#REF!) / 'вместе-абс'!#REF!</f>
        <v>#REF!</v>
      </c>
      <c r="R79" s="2" t="e">
        <f>('вместе-абс'!R62 - 'вместе-абс'!#REF!) / 'вместе-абс'!#REF!</f>
        <v>#REF!</v>
      </c>
      <c r="S79" s="2" t="e">
        <f>('вместе-абс'!S62 - 'вместе-абс'!#REF!) / 'вместе-абс'!#REF!</f>
        <v>#REF!</v>
      </c>
      <c r="T79" s="2" t="e">
        <f>('вместе-абс'!T62 - 'вместе-абс'!#REF!) / 'вместе-абс'!#REF!</f>
        <v>#REF!</v>
      </c>
      <c r="U79" s="2" t="e">
        <f>('вместе-абс'!U62 - 'вместе-абс'!#REF!) / 'вместе-абс'!#REF!</f>
        <v>#REF!</v>
      </c>
      <c r="V79" s="2" t="e">
        <f>('вместе-абс'!V62 - 'вместе-абс'!#REF!) / 'вместе-абс'!#REF!</f>
        <v>#REF!</v>
      </c>
    </row>
    <row r="80" spans="1:22" x14ac:dyDescent="0.25">
      <c r="A80" s="12">
        <f t="shared" si="1"/>
        <v>1995</v>
      </c>
      <c r="B80" s="2" t="e">
        <f>('вместе-абс'!B63 - 'вместе-абс'!#REF!) / 'вместе-абс'!#REF!</f>
        <v>#REF!</v>
      </c>
      <c r="C80" s="2" t="e">
        <f>('вместе-абс'!C63 - 'вместе-абс'!#REF!) / 'вместе-абс'!#REF!</f>
        <v>#REF!</v>
      </c>
      <c r="D80" s="2" t="e">
        <f>('вместе-абс'!D63 - 'вместе-абс'!#REF!) / 'вместе-абс'!#REF!</f>
        <v>#REF!</v>
      </c>
      <c r="E80" s="2" t="e">
        <f>('вместе-абс'!E63 - 'вместе-абс'!#REF!) / 'вместе-абс'!#REF!</f>
        <v>#REF!</v>
      </c>
      <c r="F80" s="2" t="e">
        <f>('вместе-абс'!F63 - 'вместе-абс'!#REF!) / 'вместе-абс'!#REF!</f>
        <v>#REF!</v>
      </c>
      <c r="G80" s="2" t="e">
        <f>('вместе-абс'!G63 - 'вместе-абс'!#REF!) / 'вместе-абс'!#REF!</f>
        <v>#REF!</v>
      </c>
      <c r="H80" s="2" t="e">
        <f>('вместе-абс'!H63 - 'вместе-абс'!#REF!) / 'вместе-абс'!#REF!</f>
        <v>#REF!</v>
      </c>
      <c r="I80" s="2" t="e">
        <f>('вместе-абс'!I63 - 'вместе-абс'!#REF!) / 'вместе-абс'!#REF!</f>
        <v>#REF!</v>
      </c>
      <c r="J80" s="2" t="e">
        <f>('вместе-абс'!J63 - 'вместе-абс'!#REF!) / 'вместе-абс'!#REF!</f>
        <v>#REF!</v>
      </c>
      <c r="K80" s="2" t="e">
        <f>('вместе-абс'!K63 - 'вместе-абс'!#REF!) / 'вместе-абс'!#REF!</f>
        <v>#REF!</v>
      </c>
      <c r="L80" s="2" t="e">
        <f>('вместе-абс'!L63 - 'вместе-абс'!#REF!) / 'вместе-абс'!#REF!</f>
        <v>#REF!</v>
      </c>
      <c r="M80" s="2" t="e">
        <f>('вместе-абс'!M63 - 'вместе-абс'!#REF!) / 'вместе-абс'!#REF!</f>
        <v>#REF!</v>
      </c>
      <c r="N80" s="2" t="e">
        <f>('вместе-абс'!N63 - 'вместе-абс'!#REF!) / 'вместе-абс'!#REF!</f>
        <v>#REF!</v>
      </c>
      <c r="O80" s="2" t="e">
        <f>('вместе-абс'!O63 - 'вместе-абс'!#REF!) / 'вместе-абс'!#REF!</f>
        <v>#REF!</v>
      </c>
      <c r="P80" s="2" t="e">
        <f>('вместе-абс'!P63 - 'вместе-абс'!#REF!) / 'вместе-абс'!#REF!</f>
        <v>#REF!</v>
      </c>
      <c r="Q80" s="2" t="e">
        <f>('вместе-абс'!Q63 - 'вместе-абс'!#REF!) / 'вместе-абс'!#REF!</f>
        <v>#REF!</v>
      </c>
      <c r="R80" s="2" t="e">
        <f>('вместе-абс'!R63 - 'вместе-абс'!#REF!) / 'вместе-абс'!#REF!</f>
        <v>#REF!</v>
      </c>
      <c r="S80" s="2" t="e">
        <f>('вместе-абс'!S63 - 'вместе-абс'!#REF!) / 'вместе-абс'!#REF!</f>
        <v>#REF!</v>
      </c>
      <c r="T80" s="2" t="e">
        <f>('вместе-абс'!T63 - 'вместе-абс'!#REF!) / 'вместе-абс'!#REF!</f>
        <v>#REF!</v>
      </c>
      <c r="U80" s="2" t="e">
        <f>('вместе-абс'!U63 - 'вместе-абс'!#REF!) / 'вместе-абс'!#REF!</f>
        <v>#REF!</v>
      </c>
      <c r="V80" s="2" t="e">
        <f>('вместе-абс'!V63 - 'вместе-абс'!#REF!) / 'вместе-абс'!#REF!</f>
        <v>#REF!</v>
      </c>
    </row>
    <row r="81" spans="1:22" x14ac:dyDescent="0.25">
      <c r="A81" s="12">
        <f t="shared" si="1"/>
        <v>1996</v>
      </c>
      <c r="B81" s="2" t="e">
        <f>('вместе-абс'!B64 - 'вместе-абс'!#REF!) / 'вместе-абс'!#REF!</f>
        <v>#REF!</v>
      </c>
      <c r="C81" s="2" t="e">
        <f>('вместе-абс'!C64 - 'вместе-абс'!#REF!) / 'вместе-абс'!#REF!</f>
        <v>#REF!</v>
      </c>
      <c r="D81" s="2" t="e">
        <f>('вместе-абс'!D64 - 'вместе-абс'!#REF!) / 'вместе-абс'!#REF!</f>
        <v>#REF!</v>
      </c>
      <c r="E81" s="2" t="e">
        <f>('вместе-абс'!E64 - 'вместе-абс'!#REF!) / 'вместе-абс'!#REF!</f>
        <v>#REF!</v>
      </c>
      <c r="F81" s="2" t="e">
        <f>('вместе-абс'!F64 - 'вместе-абс'!#REF!) / 'вместе-абс'!#REF!</f>
        <v>#REF!</v>
      </c>
      <c r="G81" s="2" t="e">
        <f>('вместе-абс'!G64 - 'вместе-абс'!#REF!) / 'вместе-абс'!#REF!</f>
        <v>#REF!</v>
      </c>
      <c r="H81" s="2" t="e">
        <f>('вместе-абс'!H64 - 'вместе-абс'!#REF!) / 'вместе-абс'!#REF!</f>
        <v>#REF!</v>
      </c>
      <c r="I81" s="2" t="e">
        <f>('вместе-абс'!I64 - 'вместе-абс'!#REF!) / 'вместе-абс'!#REF!</f>
        <v>#REF!</v>
      </c>
      <c r="J81" s="2" t="e">
        <f>('вместе-абс'!J64 - 'вместе-абс'!#REF!) / 'вместе-абс'!#REF!</f>
        <v>#REF!</v>
      </c>
      <c r="K81" s="2" t="e">
        <f>('вместе-абс'!K64 - 'вместе-абс'!#REF!) / 'вместе-абс'!#REF!</f>
        <v>#REF!</v>
      </c>
      <c r="L81" s="2" t="e">
        <f>('вместе-абс'!L64 - 'вместе-абс'!#REF!) / 'вместе-абс'!#REF!</f>
        <v>#REF!</v>
      </c>
      <c r="M81" s="2" t="e">
        <f>('вместе-абс'!M64 - 'вместе-абс'!#REF!) / 'вместе-абс'!#REF!</f>
        <v>#REF!</v>
      </c>
      <c r="N81" s="2" t="e">
        <f>('вместе-абс'!N64 - 'вместе-абс'!#REF!) / 'вместе-абс'!#REF!</f>
        <v>#REF!</v>
      </c>
      <c r="O81" s="2" t="e">
        <f>('вместе-абс'!O64 - 'вместе-абс'!#REF!) / 'вместе-абс'!#REF!</f>
        <v>#REF!</v>
      </c>
      <c r="P81" s="2" t="e">
        <f>('вместе-абс'!P64 - 'вместе-абс'!#REF!) / 'вместе-абс'!#REF!</f>
        <v>#REF!</v>
      </c>
      <c r="Q81" s="2" t="e">
        <f>('вместе-абс'!Q64 - 'вместе-абс'!#REF!) / 'вместе-абс'!#REF!</f>
        <v>#REF!</v>
      </c>
      <c r="R81" s="2" t="e">
        <f>('вместе-абс'!R64 - 'вместе-абс'!#REF!) / 'вместе-абс'!#REF!</f>
        <v>#REF!</v>
      </c>
      <c r="S81" s="2" t="e">
        <f>('вместе-абс'!S64 - 'вместе-абс'!#REF!) / 'вместе-абс'!#REF!</f>
        <v>#REF!</v>
      </c>
      <c r="T81" s="2" t="e">
        <f>('вместе-абс'!T64 - 'вместе-абс'!#REF!) / 'вместе-абс'!#REF!</f>
        <v>#REF!</v>
      </c>
      <c r="U81" s="2" t="e">
        <f>('вместе-абс'!U64 - 'вместе-абс'!#REF!) / 'вместе-абс'!#REF!</f>
        <v>#REF!</v>
      </c>
      <c r="V81" s="2" t="e">
        <f>('вместе-абс'!V64 - 'вместе-абс'!#REF!) / 'вместе-абс'!#REF!</f>
        <v>#REF!</v>
      </c>
    </row>
    <row r="82" spans="1:22" x14ac:dyDescent="0.25">
      <c r="A82" s="12">
        <f t="shared" si="1"/>
        <v>1997</v>
      </c>
      <c r="B82" s="2" t="e">
        <f>('вместе-абс'!B65 - 'вместе-абс'!#REF!) / 'вместе-абс'!#REF!</f>
        <v>#REF!</v>
      </c>
      <c r="C82" s="2" t="e">
        <f>('вместе-абс'!C65 - 'вместе-абс'!#REF!) / 'вместе-абс'!#REF!</f>
        <v>#REF!</v>
      </c>
      <c r="D82" s="2" t="e">
        <f>('вместе-абс'!D65 - 'вместе-абс'!#REF!) / 'вместе-абс'!#REF!</f>
        <v>#REF!</v>
      </c>
      <c r="E82" s="2" t="e">
        <f>('вместе-абс'!E65 - 'вместе-абс'!#REF!) / 'вместе-абс'!#REF!</f>
        <v>#REF!</v>
      </c>
      <c r="F82" s="2" t="e">
        <f>('вместе-абс'!F65 - 'вместе-абс'!#REF!) / 'вместе-абс'!#REF!</f>
        <v>#REF!</v>
      </c>
      <c r="G82" s="2" t="e">
        <f>('вместе-абс'!G65 - 'вместе-абс'!#REF!) / 'вместе-абс'!#REF!</f>
        <v>#REF!</v>
      </c>
      <c r="H82" s="2" t="e">
        <f>('вместе-абс'!H65 - 'вместе-абс'!#REF!) / 'вместе-абс'!#REF!</f>
        <v>#REF!</v>
      </c>
      <c r="I82" s="2" t="e">
        <f>('вместе-абс'!I65 - 'вместе-абс'!#REF!) / 'вместе-абс'!#REF!</f>
        <v>#REF!</v>
      </c>
      <c r="J82" s="2" t="e">
        <f>('вместе-абс'!J65 - 'вместе-абс'!#REF!) / 'вместе-абс'!#REF!</f>
        <v>#REF!</v>
      </c>
      <c r="K82" s="2" t="e">
        <f>('вместе-абс'!K65 - 'вместе-абс'!#REF!) / 'вместе-абс'!#REF!</f>
        <v>#REF!</v>
      </c>
      <c r="L82" s="2" t="e">
        <f>('вместе-абс'!L65 - 'вместе-абс'!#REF!) / 'вместе-абс'!#REF!</f>
        <v>#REF!</v>
      </c>
      <c r="M82" s="2" t="e">
        <f>('вместе-абс'!M65 - 'вместе-абс'!#REF!) / 'вместе-абс'!#REF!</f>
        <v>#REF!</v>
      </c>
      <c r="N82" s="2" t="e">
        <f>('вместе-абс'!N65 - 'вместе-абс'!#REF!) / 'вместе-абс'!#REF!</f>
        <v>#REF!</v>
      </c>
      <c r="O82" s="2" t="e">
        <f>('вместе-абс'!O65 - 'вместе-абс'!#REF!) / 'вместе-абс'!#REF!</f>
        <v>#REF!</v>
      </c>
      <c r="P82" s="2" t="e">
        <f>('вместе-абс'!P65 - 'вместе-абс'!#REF!) / 'вместе-абс'!#REF!</f>
        <v>#REF!</v>
      </c>
      <c r="Q82" s="2" t="e">
        <f>('вместе-абс'!Q65 - 'вместе-абс'!#REF!) / 'вместе-абс'!#REF!</f>
        <v>#REF!</v>
      </c>
      <c r="R82" s="2" t="e">
        <f>('вместе-абс'!R65 - 'вместе-абс'!#REF!) / 'вместе-абс'!#REF!</f>
        <v>#REF!</v>
      </c>
      <c r="S82" s="2" t="e">
        <f>('вместе-абс'!S65 - 'вместе-абс'!#REF!) / 'вместе-абс'!#REF!</f>
        <v>#REF!</v>
      </c>
      <c r="T82" s="2" t="e">
        <f>('вместе-абс'!T65 - 'вместе-абс'!#REF!) / 'вместе-абс'!#REF!</f>
        <v>#REF!</v>
      </c>
      <c r="U82" s="2" t="e">
        <f>('вместе-абс'!U65 - 'вместе-абс'!#REF!) / 'вместе-абс'!#REF!</f>
        <v>#REF!</v>
      </c>
      <c r="V82" s="2" t="e">
        <f>('вместе-абс'!V65 - 'вместе-абс'!#REF!) / 'вместе-абс'!#REF!</f>
        <v>#REF!</v>
      </c>
    </row>
    <row r="83" spans="1:22" x14ac:dyDescent="0.25">
      <c r="A83" s="12">
        <f t="shared" si="1"/>
        <v>1998</v>
      </c>
      <c r="B83" s="2" t="e">
        <f>('вместе-абс'!B66 - 'вместе-абс'!#REF!) / 'вместе-абс'!#REF!</f>
        <v>#REF!</v>
      </c>
      <c r="C83" s="2" t="e">
        <f>('вместе-абс'!C66 - 'вместе-абс'!#REF!) / 'вместе-абс'!#REF!</f>
        <v>#REF!</v>
      </c>
      <c r="D83" s="2" t="e">
        <f>('вместе-абс'!D66 - 'вместе-абс'!#REF!) / 'вместе-абс'!#REF!</f>
        <v>#REF!</v>
      </c>
      <c r="E83" s="2" t="e">
        <f>('вместе-абс'!E66 - 'вместе-абс'!#REF!) / 'вместе-абс'!#REF!</f>
        <v>#REF!</v>
      </c>
      <c r="F83" s="2" t="e">
        <f>('вместе-абс'!F66 - 'вместе-абс'!#REF!) / 'вместе-абс'!#REF!</f>
        <v>#REF!</v>
      </c>
      <c r="G83" s="2" t="e">
        <f>('вместе-абс'!G66 - 'вместе-абс'!#REF!) / 'вместе-абс'!#REF!</f>
        <v>#REF!</v>
      </c>
      <c r="H83" s="2" t="e">
        <f>('вместе-абс'!H66 - 'вместе-абс'!#REF!) / 'вместе-абс'!#REF!</f>
        <v>#REF!</v>
      </c>
      <c r="I83" s="2" t="e">
        <f>('вместе-абс'!I66 - 'вместе-абс'!#REF!) / 'вместе-абс'!#REF!</f>
        <v>#REF!</v>
      </c>
      <c r="J83" s="2" t="e">
        <f>('вместе-абс'!J66 - 'вместе-абс'!#REF!) / 'вместе-абс'!#REF!</f>
        <v>#REF!</v>
      </c>
      <c r="K83" s="2" t="e">
        <f>('вместе-абс'!K66 - 'вместе-абс'!#REF!) / 'вместе-абс'!#REF!</f>
        <v>#REF!</v>
      </c>
      <c r="L83" s="2" t="e">
        <f>('вместе-абс'!L66 - 'вместе-абс'!#REF!) / 'вместе-абс'!#REF!</f>
        <v>#REF!</v>
      </c>
      <c r="M83" s="2" t="e">
        <f>('вместе-абс'!M66 - 'вместе-абс'!#REF!) / 'вместе-абс'!#REF!</f>
        <v>#REF!</v>
      </c>
      <c r="N83" s="2" t="e">
        <f>('вместе-абс'!N66 - 'вместе-абс'!#REF!) / 'вместе-абс'!#REF!</f>
        <v>#REF!</v>
      </c>
      <c r="O83" s="2" t="e">
        <f>('вместе-абс'!O66 - 'вместе-абс'!#REF!) / 'вместе-абс'!#REF!</f>
        <v>#REF!</v>
      </c>
      <c r="P83" s="2" t="e">
        <f>('вместе-абс'!P66 - 'вместе-абс'!#REF!) / 'вместе-абс'!#REF!</f>
        <v>#REF!</v>
      </c>
      <c r="Q83" s="2" t="e">
        <f>('вместе-абс'!Q66 - 'вместе-абс'!#REF!) / 'вместе-абс'!#REF!</f>
        <v>#REF!</v>
      </c>
      <c r="R83" s="2" t="e">
        <f>('вместе-абс'!R66 - 'вместе-абс'!#REF!) / 'вместе-абс'!#REF!</f>
        <v>#REF!</v>
      </c>
      <c r="S83" s="2" t="e">
        <f>('вместе-абс'!S66 - 'вместе-абс'!#REF!) / 'вместе-абс'!#REF!</f>
        <v>#REF!</v>
      </c>
      <c r="T83" s="2" t="e">
        <f>('вместе-абс'!T66 - 'вместе-абс'!#REF!) / 'вместе-абс'!#REF!</f>
        <v>#REF!</v>
      </c>
      <c r="U83" s="2" t="e">
        <f>('вместе-абс'!U66 - 'вместе-абс'!#REF!) / 'вместе-абс'!#REF!</f>
        <v>#REF!</v>
      </c>
      <c r="V83" s="2" t="e">
        <f>('вместе-абс'!V66 - 'вместе-абс'!#REF!) / 'вместе-абс'!#REF!</f>
        <v>#REF!</v>
      </c>
    </row>
    <row r="84" spans="1:22" x14ac:dyDescent="0.25">
      <c r="A84" s="12">
        <f t="shared" si="1"/>
        <v>1999</v>
      </c>
      <c r="B84" s="2" t="e">
        <f>('вместе-абс'!B67 - 'вместе-абс'!#REF!) / 'вместе-абс'!#REF!</f>
        <v>#REF!</v>
      </c>
      <c r="C84" s="2" t="e">
        <f>('вместе-абс'!C67 - 'вместе-абс'!#REF!) / 'вместе-абс'!#REF!</f>
        <v>#REF!</v>
      </c>
      <c r="D84" s="2" t="e">
        <f>('вместе-абс'!D67 - 'вместе-абс'!#REF!) / 'вместе-абс'!#REF!</f>
        <v>#REF!</v>
      </c>
      <c r="E84" s="2" t="e">
        <f>('вместе-абс'!E67 - 'вместе-абс'!#REF!) / 'вместе-абс'!#REF!</f>
        <v>#REF!</v>
      </c>
      <c r="F84" s="2" t="e">
        <f>('вместе-абс'!F67 - 'вместе-абс'!#REF!) / 'вместе-абс'!#REF!</f>
        <v>#REF!</v>
      </c>
      <c r="G84" s="2" t="e">
        <f>('вместе-абс'!G67 - 'вместе-абс'!#REF!) / 'вместе-абс'!#REF!</f>
        <v>#REF!</v>
      </c>
      <c r="H84" s="2" t="e">
        <f>('вместе-абс'!H67 - 'вместе-абс'!#REF!) / 'вместе-абс'!#REF!</f>
        <v>#REF!</v>
      </c>
      <c r="I84" s="2" t="e">
        <f>('вместе-абс'!I67 - 'вместе-абс'!#REF!) / 'вместе-абс'!#REF!</f>
        <v>#REF!</v>
      </c>
      <c r="J84" s="2" t="e">
        <f>('вместе-абс'!J67 - 'вместе-абс'!#REF!) / 'вместе-абс'!#REF!</f>
        <v>#REF!</v>
      </c>
      <c r="K84" s="2" t="e">
        <f>('вместе-абс'!K67 - 'вместе-абс'!#REF!) / 'вместе-абс'!#REF!</f>
        <v>#REF!</v>
      </c>
      <c r="L84" s="2" t="e">
        <f>('вместе-абс'!L67 - 'вместе-абс'!#REF!) / 'вместе-абс'!#REF!</f>
        <v>#REF!</v>
      </c>
      <c r="M84" s="2" t="e">
        <f>('вместе-абс'!M67 - 'вместе-абс'!#REF!) / 'вместе-абс'!#REF!</f>
        <v>#REF!</v>
      </c>
      <c r="N84" s="2" t="e">
        <f>('вместе-абс'!N67 - 'вместе-абс'!#REF!) / 'вместе-абс'!#REF!</f>
        <v>#REF!</v>
      </c>
      <c r="O84" s="2" t="e">
        <f>('вместе-абс'!O67 - 'вместе-абс'!#REF!) / 'вместе-абс'!#REF!</f>
        <v>#REF!</v>
      </c>
      <c r="P84" s="2" t="e">
        <f>('вместе-абс'!P67 - 'вместе-абс'!#REF!) / 'вместе-абс'!#REF!</f>
        <v>#REF!</v>
      </c>
      <c r="Q84" s="2" t="e">
        <f>('вместе-абс'!Q67 - 'вместе-абс'!#REF!) / 'вместе-абс'!#REF!</f>
        <v>#REF!</v>
      </c>
      <c r="R84" s="2" t="e">
        <f>('вместе-абс'!R67 - 'вместе-абс'!#REF!) / 'вместе-абс'!#REF!</f>
        <v>#REF!</v>
      </c>
      <c r="S84" s="2" t="e">
        <f>('вместе-абс'!S67 - 'вместе-абс'!#REF!) / 'вместе-абс'!#REF!</f>
        <v>#REF!</v>
      </c>
      <c r="T84" s="2" t="e">
        <f>('вместе-абс'!T67 - 'вместе-абс'!#REF!) / 'вместе-абс'!#REF!</f>
        <v>#REF!</v>
      </c>
      <c r="U84" s="2" t="e">
        <f>('вместе-абс'!U67 - 'вместе-абс'!#REF!) / 'вместе-абс'!#REF!</f>
        <v>#REF!</v>
      </c>
      <c r="V84" s="2" t="e">
        <f>('вместе-абс'!V67 - 'вместе-абс'!#REF!) / 'вместе-абс'!#REF!</f>
        <v>#REF!</v>
      </c>
    </row>
    <row r="85" spans="1:22" x14ac:dyDescent="0.25">
      <c r="A85" s="12">
        <f t="shared" si="1"/>
        <v>2000</v>
      </c>
      <c r="B85" s="2" t="e">
        <f>('вместе-абс'!B68 - 'вместе-абс'!#REF!) / 'вместе-абс'!#REF!</f>
        <v>#REF!</v>
      </c>
      <c r="C85" s="2" t="e">
        <f>('вместе-абс'!C68 - 'вместе-абс'!#REF!) / 'вместе-абс'!#REF!</f>
        <v>#REF!</v>
      </c>
      <c r="D85" s="2" t="e">
        <f>('вместе-абс'!D68 - 'вместе-абс'!#REF!) / 'вместе-абс'!#REF!</f>
        <v>#REF!</v>
      </c>
      <c r="E85" s="2" t="e">
        <f>('вместе-абс'!E68 - 'вместе-абс'!#REF!) / 'вместе-абс'!#REF!</f>
        <v>#REF!</v>
      </c>
      <c r="F85" s="2" t="e">
        <f>('вместе-абс'!F68 - 'вместе-абс'!#REF!) / 'вместе-абс'!#REF!</f>
        <v>#REF!</v>
      </c>
      <c r="G85" s="2" t="e">
        <f>('вместе-абс'!G68 - 'вместе-абс'!#REF!) / 'вместе-абс'!#REF!</f>
        <v>#REF!</v>
      </c>
      <c r="H85" s="2" t="e">
        <f>('вместе-абс'!H68 - 'вместе-абс'!#REF!) / 'вместе-абс'!#REF!</f>
        <v>#REF!</v>
      </c>
      <c r="I85" s="2" t="e">
        <f>('вместе-абс'!I68 - 'вместе-абс'!#REF!) / 'вместе-абс'!#REF!</f>
        <v>#REF!</v>
      </c>
      <c r="J85" s="2" t="e">
        <f>('вместе-абс'!J68 - 'вместе-абс'!#REF!) / 'вместе-абс'!#REF!</f>
        <v>#REF!</v>
      </c>
      <c r="K85" s="2" t="e">
        <f>('вместе-абс'!K68 - 'вместе-абс'!#REF!) / 'вместе-абс'!#REF!</f>
        <v>#REF!</v>
      </c>
      <c r="L85" s="2" t="e">
        <f>('вместе-абс'!L68 - 'вместе-абс'!#REF!) / 'вместе-абс'!#REF!</f>
        <v>#REF!</v>
      </c>
      <c r="M85" s="2" t="e">
        <f>('вместе-абс'!M68 - 'вместе-абс'!#REF!) / 'вместе-абс'!#REF!</f>
        <v>#REF!</v>
      </c>
      <c r="N85" s="2" t="e">
        <f>('вместе-абс'!N68 - 'вместе-абс'!#REF!) / 'вместе-абс'!#REF!</f>
        <v>#REF!</v>
      </c>
      <c r="O85" s="2" t="e">
        <f>('вместе-абс'!O68 - 'вместе-абс'!#REF!) / 'вместе-абс'!#REF!</f>
        <v>#REF!</v>
      </c>
      <c r="P85" s="2" t="e">
        <f>('вместе-абс'!P68 - 'вместе-абс'!#REF!) / 'вместе-абс'!#REF!</f>
        <v>#REF!</v>
      </c>
      <c r="Q85" s="2" t="e">
        <f>('вместе-абс'!Q68 - 'вместе-абс'!#REF!) / 'вместе-абс'!#REF!</f>
        <v>#REF!</v>
      </c>
      <c r="R85" s="2" t="e">
        <f>('вместе-абс'!R68 - 'вместе-абс'!#REF!) / 'вместе-абс'!#REF!</f>
        <v>#REF!</v>
      </c>
      <c r="S85" s="2" t="e">
        <f>('вместе-абс'!S68 - 'вместе-абс'!#REF!) / 'вместе-абс'!#REF!</f>
        <v>#REF!</v>
      </c>
      <c r="T85" s="2" t="e">
        <f>('вместе-абс'!T68 - 'вместе-абс'!#REF!) / 'вместе-абс'!#REF!</f>
        <v>#REF!</v>
      </c>
      <c r="U85" s="2" t="e">
        <f>('вместе-абс'!U68 - 'вместе-абс'!#REF!) / 'вместе-абс'!#REF!</f>
        <v>#REF!</v>
      </c>
      <c r="V85" s="2" t="e">
        <f>('вместе-абс'!V68 - 'вместе-абс'!#REF!) / 'вместе-абс'!#REF!</f>
        <v>#REF!</v>
      </c>
    </row>
    <row r="86" spans="1:22" x14ac:dyDescent="0.25">
      <c r="A86" s="12">
        <f>A85+1</f>
        <v>2001</v>
      </c>
      <c r="B86" s="2" t="e">
        <f>('вместе-абс'!B69 - 'вместе-абс'!#REF!) / 'вместе-абс'!#REF!</f>
        <v>#REF!</v>
      </c>
      <c r="C86" s="2" t="e">
        <f>('вместе-абс'!C69 - 'вместе-абс'!#REF!) / 'вместе-абс'!#REF!</f>
        <v>#REF!</v>
      </c>
      <c r="D86" s="2" t="e">
        <f>('вместе-абс'!D69 - 'вместе-абс'!#REF!) / 'вместе-абс'!#REF!</f>
        <v>#REF!</v>
      </c>
      <c r="E86" s="2" t="e">
        <f>('вместе-абс'!E69 - 'вместе-абс'!#REF!) / 'вместе-абс'!#REF!</f>
        <v>#REF!</v>
      </c>
      <c r="F86" s="2" t="e">
        <f>('вместе-абс'!F69 - 'вместе-абс'!#REF!) / 'вместе-абс'!#REF!</f>
        <v>#REF!</v>
      </c>
      <c r="G86" s="2" t="e">
        <f>('вместе-абс'!G69 - 'вместе-абс'!#REF!) / 'вместе-абс'!#REF!</f>
        <v>#REF!</v>
      </c>
      <c r="H86" s="2" t="e">
        <f>('вместе-абс'!H69 - 'вместе-абс'!#REF!) / 'вместе-абс'!#REF!</f>
        <v>#REF!</v>
      </c>
      <c r="I86" s="2" t="e">
        <f>('вместе-абс'!I69 - 'вместе-абс'!#REF!) / 'вместе-абс'!#REF!</f>
        <v>#REF!</v>
      </c>
      <c r="J86" s="2" t="e">
        <f>('вместе-абс'!J69 - 'вместе-абс'!#REF!) / 'вместе-абс'!#REF!</f>
        <v>#REF!</v>
      </c>
      <c r="K86" s="2" t="e">
        <f>('вместе-абс'!K69 - 'вместе-абс'!#REF!) / 'вместе-абс'!#REF!</f>
        <v>#REF!</v>
      </c>
      <c r="L86" s="2" t="e">
        <f>('вместе-абс'!L69 - 'вместе-абс'!#REF!) / 'вместе-абс'!#REF!</f>
        <v>#REF!</v>
      </c>
      <c r="M86" s="2" t="e">
        <f>('вместе-абс'!M69 - 'вместе-абс'!#REF!) / 'вместе-абс'!#REF!</f>
        <v>#REF!</v>
      </c>
      <c r="N86" s="2" t="e">
        <f>('вместе-абс'!N69 - 'вместе-абс'!#REF!) / 'вместе-абс'!#REF!</f>
        <v>#REF!</v>
      </c>
      <c r="O86" s="2" t="e">
        <f>('вместе-абс'!O69 - 'вместе-абс'!#REF!) / 'вместе-абс'!#REF!</f>
        <v>#REF!</v>
      </c>
      <c r="P86" s="2" t="e">
        <f>('вместе-абс'!P69 - 'вместе-абс'!#REF!) / 'вместе-абс'!#REF!</f>
        <v>#REF!</v>
      </c>
      <c r="Q86" s="2" t="e">
        <f>('вместе-абс'!Q69 - 'вместе-абс'!#REF!) / 'вместе-абс'!#REF!</f>
        <v>#REF!</v>
      </c>
      <c r="R86" s="2" t="e">
        <f>('вместе-абс'!R69 - 'вместе-абс'!#REF!) / 'вместе-абс'!#REF!</f>
        <v>#REF!</v>
      </c>
      <c r="S86" s="2" t="e">
        <f>('вместе-абс'!S69 - 'вместе-абс'!#REF!) / 'вместе-абс'!#REF!</f>
        <v>#REF!</v>
      </c>
      <c r="T86" s="2" t="e">
        <f>('вместе-абс'!T69 - 'вместе-абс'!#REF!) / 'вместе-абс'!#REF!</f>
        <v>#REF!</v>
      </c>
      <c r="U86" s="2" t="e">
        <f>('вместе-абс'!U69 - 'вместе-абс'!#REF!) / 'вместе-абс'!#REF!</f>
        <v>#REF!</v>
      </c>
      <c r="V86" s="2" t="e">
        <f>('вместе-абс'!V69 - 'вместе-абс'!#REF!) / 'вместе-абс'!#REF!</f>
        <v>#REF!</v>
      </c>
    </row>
    <row r="87" spans="1:22" x14ac:dyDescent="0.25">
      <c r="A87" s="12">
        <f t="shared" ref="A87:A107" si="2">A86+1</f>
        <v>2002</v>
      </c>
      <c r="B87" s="2" t="e">
        <f>('вместе-абс'!B70 - 'вместе-абс'!#REF!) / 'вместе-абс'!#REF!</f>
        <v>#REF!</v>
      </c>
      <c r="C87" s="2" t="e">
        <f>('вместе-абс'!C70 - 'вместе-абс'!#REF!) / 'вместе-абс'!#REF!</f>
        <v>#REF!</v>
      </c>
      <c r="D87" s="2" t="e">
        <f>('вместе-абс'!D70 - 'вместе-абс'!#REF!) / 'вместе-абс'!#REF!</f>
        <v>#REF!</v>
      </c>
      <c r="E87" s="2" t="e">
        <f>('вместе-абс'!E70 - 'вместе-абс'!#REF!) / 'вместе-абс'!#REF!</f>
        <v>#REF!</v>
      </c>
      <c r="F87" s="2" t="e">
        <f>('вместе-абс'!F70 - 'вместе-абс'!#REF!) / 'вместе-абс'!#REF!</f>
        <v>#REF!</v>
      </c>
      <c r="G87" s="2" t="e">
        <f>('вместе-абс'!G70 - 'вместе-абс'!#REF!) / 'вместе-абс'!#REF!</f>
        <v>#REF!</v>
      </c>
      <c r="H87" s="2" t="e">
        <f>('вместе-абс'!H70 - 'вместе-абс'!#REF!) / 'вместе-абс'!#REF!</f>
        <v>#REF!</v>
      </c>
      <c r="I87" s="2" t="e">
        <f>('вместе-абс'!I70 - 'вместе-абс'!#REF!) / 'вместе-абс'!#REF!</f>
        <v>#REF!</v>
      </c>
      <c r="J87" s="2" t="e">
        <f>('вместе-абс'!J70 - 'вместе-абс'!#REF!) / 'вместе-абс'!#REF!</f>
        <v>#REF!</v>
      </c>
      <c r="K87" s="2" t="e">
        <f>('вместе-абс'!K70 - 'вместе-абс'!#REF!) / 'вместе-абс'!#REF!</f>
        <v>#REF!</v>
      </c>
      <c r="L87" s="2" t="e">
        <f>('вместе-абс'!L70 - 'вместе-абс'!#REF!) / 'вместе-абс'!#REF!</f>
        <v>#REF!</v>
      </c>
      <c r="M87" s="2" t="e">
        <f>('вместе-абс'!M70 - 'вместе-абс'!#REF!) / 'вместе-абс'!#REF!</f>
        <v>#REF!</v>
      </c>
      <c r="N87" s="2" t="e">
        <f>('вместе-абс'!N70 - 'вместе-абс'!#REF!) / 'вместе-абс'!#REF!</f>
        <v>#REF!</v>
      </c>
      <c r="O87" s="2" t="e">
        <f>('вместе-абс'!O70 - 'вместе-абс'!#REF!) / 'вместе-абс'!#REF!</f>
        <v>#REF!</v>
      </c>
      <c r="P87" s="2" t="e">
        <f>('вместе-абс'!P70 - 'вместе-абс'!#REF!) / 'вместе-абс'!#REF!</f>
        <v>#REF!</v>
      </c>
      <c r="Q87" s="2" t="e">
        <f>('вместе-абс'!Q70 - 'вместе-абс'!#REF!) / 'вместе-абс'!#REF!</f>
        <v>#REF!</v>
      </c>
      <c r="R87" s="2" t="e">
        <f>('вместе-абс'!R70 - 'вместе-абс'!#REF!) / 'вместе-абс'!#REF!</f>
        <v>#REF!</v>
      </c>
      <c r="S87" s="2" t="e">
        <f>('вместе-абс'!S70 - 'вместе-абс'!#REF!) / 'вместе-абс'!#REF!</f>
        <v>#REF!</v>
      </c>
      <c r="T87" s="2" t="e">
        <f>('вместе-абс'!T70 - 'вместе-абс'!#REF!) / 'вместе-абс'!#REF!</f>
        <v>#REF!</v>
      </c>
      <c r="U87" s="2" t="e">
        <f>('вместе-абс'!U70 - 'вместе-абс'!#REF!) / 'вместе-абс'!#REF!</f>
        <v>#REF!</v>
      </c>
      <c r="V87" s="2" t="e">
        <f>('вместе-абс'!V70 - 'вместе-абс'!#REF!) / 'вместе-абс'!#REF!</f>
        <v>#REF!</v>
      </c>
    </row>
    <row r="88" spans="1:22" x14ac:dyDescent="0.25">
      <c r="A88" s="12">
        <f t="shared" si="2"/>
        <v>2003</v>
      </c>
      <c r="B88" s="2" t="e">
        <f>('вместе-абс'!B71 - 'вместе-абс'!#REF!) / 'вместе-абс'!#REF!</f>
        <v>#REF!</v>
      </c>
      <c r="C88" s="2" t="e">
        <f>('вместе-абс'!C71 - 'вместе-абс'!#REF!) / 'вместе-абс'!#REF!</f>
        <v>#REF!</v>
      </c>
      <c r="D88" s="2" t="e">
        <f>('вместе-абс'!D71 - 'вместе-абс'!#REF!) / 'вместе-абс'!#REF!</f>
        <v>#REF!</v>
      </c>
      <c r="E88" s="2" t="e">
        <f>('вместе-абс'!E71 - 'вместе-абс'!#REF!) / 'вместе-абс'!#REF!</f>
        <v>#REF!</v>
      </c>
      <c r="F88" s="2" t="e">
        <f>('вместе-абс'!F71 - 'вместе-абс'!#REF!) / 'вместе-абс'!#REF!</f>
        <v>#REF!</v>
      </c>
      <c r="G88" s="2" t="e">
        <f>('вместе-абс'!G71 - 'вместе-абс'!#REF!) / 'вместе-абс'!#REF!</f>
        <v>#REF!</v>
      </c>
      <c r="H88" s="2" t="e">
        <f>('вместе-абс'!H71 - 'вместе-абс'!#REF!) / 'вместе-абс'!#REF!</f>
        <v>#REF!</v>
      </c>
      <c r="I88" s="2" t="e">
        <f>('вместе-абс'!I71 - 'вместе-абс'!#REF!) / 'вместе-абс'!#REF!</f>
        <v>#REF!</v>
      </c>
      <c r="J88" s="2" t="e">
        <f>('вместе-абс'!J71 - 'вместе-абс'!#REF!) / 'вместе-абс'!#REF!</f>
        <v>#REF!</v>
      </c>
      <c r="K88" s="2" t="e">
        <f>('вместе-абс'!K71 - 'вместе-абс'!#REF!) / 'вместе-абс'!#REF!</f>
        <v>#REF!</v>
      </c>
      <c r="L88" s="2" t="e">
        <f>('вместе-абс'!L71 - 'вместе-абс'!#REF!) / 'вместе-абс'!#REF!</f>
        <v>#REF!</v>
      </c>
      <c r="M88" s="2" t="e">
        <f>('вместе-абс'!M71 - 'вместе-абс'!#REF!) / 'вместе-абс'!#REF!</f>
        <v>#REF!</v>
      </c>
      <c r="N88" s="2" t="e">
        <f>('вместе-абс'!N71 - 'вместе-абс'!#REF!) / 'вместе-абс'!#REF!</f>
        <v>#REF!</v>
      </c>
      <c r="O88" s="2" t="e">
        <f>('вместе-абс'!O71 - 'вместе-абс'!#REF!) / 'вместе-абс'!#REF!</f>
        <v>#REF!</v>
      </c>
      <c r="P88" s="2" t="e">
        <f>('вместе-абс'!P71 - 'вместе-абс'!#REF!) / 'вместе-абс'!#REF!</f>
        <v>#REF!</v>
      </c>
      <c r="Q88" s="2" t="e">
        <f>('вместе-абс'!Q71 - 'вместе-абс'!#REF!) / 'вместе-абс'!#REF!</f>
        <v>#REF!</v>
      </c>
      <c r="R88" s="2" t="e">
        <f>('вместе-абс'!R71 - 'вместе-абс'!#REF!) / 'вместе-абс'!#REF!</f>
        <v>#REF!</v>
      </c>
      <c r="S88" s="2" t="e">
        <f>('вместе-абс'!S71 - 'вместе-абс'!#REF!) / 'вместе-абс'!#REF!</f>
        <v>#REF!</v>
      </c>
      <c r="T88" s="2" t="e">
        <f>('вместе-абс'!T71 - 'вместе-абс'!#REF!) / 'вместе-абс'!#REF!</f>
        <v>#REF!</v>
      </c>
      <c r="U88" s="2" t="e">
        <f>('вместе-абс'!U71 - 'вместе-абс'!#REF!) / 'вместе-абс'!#REF!</f>
        <v>#REF!</v>
      </c>
      <c r="V88" s="2" t="e">
        <f>('вместе-абс'!V71 - 'вместе-абс'!#REF!) / 'вместе-абс'!#REF!</f>
        <v>#REF!</v>
      </c>
    </row>
    <row r="89" spans="1:22" x14ac:dyDescent="0.25">
      <c r="A89" s="12">
        <f t="shared" si="2"/>
        <v>2004</v>
      </c>
      <c r="B89" s="2" t="e">
        <f>('вместе-абс'!B72 - 'вместе-абс'!#REF!) / 'вместе-абс'!#REF!</f>
        <v>#REF!</v>
      </c>
      <c r="C89" s="2" t="e">
        <f>('вместе-абс'!C72 - 'вместе-абс'!#REF!) / 'вместе-абс'!#REF!</f>
        <v>#REF!</v>
      </c>
      <c r="D89" s="2" t="e">
        <f>('вместе-абс'!D72 - 'вместе-абс'!#REF!) / 'вместе-абс'!#REF!</f>
        <v>#REF!</v>
      </c>
      <c r="E89" s="2" t="e">
        <f>('вместе-абс'!E72 - 'вместе-абс'!#REF!) / 'вместе-абс'!#REF!</f>
        <v>#REF!</v>
      </c>
      <c r="F89" s="2" t="e">
        <f>('вместе-абс'!F72 - 'вместе-абс'!#REF!) / 'вместе-абс'!#REF!</f>
        <v>#REF!</v>
      </c>
      <c r="G89" s="2" t="e">
        <f>('вместе-абс'!G72 - 'вместе-абс'!#REF!) / 'вместе-абс'!#REF!</f>
        <v>#REF!</v>
      </c>
      <c r="H89" s="2" t="e">
        <f>('вместе-абс'!H72 - 'вместе-абс'!#REF!) / 'вместе-абс'!#REF!</f>
        <v>#REF!</v>
      </c>
      <c r="I89" s="2" t="e">
        <f>('вместе-абс'!I72 - 'вместе-абс'!#REF!) / 'вместе-абс'!#REF!</f>
        <v>#REF!</v>
      </c>
      <c r="J89" s="2" t="e">
        <f>('вместе-абс'!J72 - 'вместе-абс'!#REF!) / 'вместе-абс'!#REF!</f>
        <v>#REF!</v>
      </c>
      <c r="K89" s="2" t="e">
        <f>('вместе-абс'!K72 - 'вместе-абс'!#REF!) / 'вместе-абс'!#REF!</f>
        <v>#REF!</v>
      </c>
      <c r="L89" s="2" t="e">
        <f>('вместе-абс'!L72 - 'вместе-абс'!#REF!) / 'вместе-абс'!#REF!</f>
        <v>#REF!</v>
      </c>
      <c r="M89" s="2" t="e">
        <f>('вместе-абс'!M72 - 'вместе-абс'!#REF!) / 'вместе-абс'!#REF!</f>
        <v>#REF!</v>
      </c>
      <c r="N89" s="2" t="e">
        <f>('вместе-абс'!N72 - 'вместе-абс'!#REF!) / 'вместе-абс'!#REF!</f>
        <v>#REF!</v>
      </c>
      <c r="O89" s="2" t="e">
        <f>('вместе-абс'!O72 - 'вместе-абс'!#REF!) / 'вместе-абс'!#REF!</f>
        <v>#REF!</v>
      </c>
      <c r="P89" s="2" t="e">
        <f>('вместе-абс'!P72 - 'вместе-абс'!#REF!) / 'вместе-абс'!#REF!</f>
        <v>#REF!</v>
      </c>
      <c r="Q89" s="2" t="e">
        <f>('вместе-абс'!Q72 - 'вместе-абс'!#REF!) / 'вместе-абс'!#REF!</f>
        <v>#REF!</v>
      </c>
      <c r="R89" s="2" t="e">
        <f>('вместе-абс'!R72 - 'вместе-абс'!#REF!) / 'вместе-абс'!#REF!</f>
        <v>#REF!</v>
      </c>
      <c r="S89" s="2" t="e">
        <f>('вместе-абс'!S72 - 'вместе-абс'!#REF!) / 'вместе-абс'!#REF!</f>
        <v>#REF!</v>
      </c>
      <c r="T89" s="2" t="e">
        <f>('вместе-абс'!T72 - 'вместе-абс'!#REF!) / 'вместе-абс'!#REF!</f>
        <v>#REF!</v>
      </c>
      <c r="U89" s="2" t="e">
        <f>('вместе-абс'!U72 - 'вместе-абс'!#REF!) / 'вместе-абс'!#REF!</f>
        <v>#REF!</v>
      </c>
      <c r="V89" s="2" t="e">
        <f>('вместе-абс'!V72 - 'вместе-абс'!#REF!) / 'вместе-абс'!#REF!</f>
        <v>#REF!</v>
      </c>
    </row>
    <row r="90" spans="1:22" x14ac:dyDescent="0.25">
      <c r="A90" s="12">
        <f t="shared" si="2"/>
        <v>2005</v>
      </c>
      <c r="B90" s="2" t="e">
        <f>('вместе-абс'!B73 - 'вместе-абс'!#REF!) / 'вместе-абс'!#REF!</f>
        <v>#REF!</v>
      </c>
      <c r="C90" s="2" t="e">
        <f>('вместе-абс'!C73 - 'вместе-абс'!#REF!) / 'вместе-абс'!#REF!</f>
        <v>#REF!</v>
      </c>
      <c r="D90" s="2" t="e">
        <f>('вместе-абс'!D73 - 'вместе-абс'!#REF!) / 'вместе-абс'!#REF!</f>
        <v>#REF!</v>
      </c>
      <c r="E90" s="2" t="e">
        <f>('вместе-абс'!E73 - 'вместе-абс'!#REF!) / 'вместе-абс'!#REF!</f>
        <v>#REF!</v>
      </c>
      <c r="F90" s="2" t="e">
        <f>('вместе-абс'!F73 - 'вместе-абс'!#REF!) / 'вместе-абс'!#REF!</f>
        <v>#REF!</v>
      </c>
      <c r="G90" s="2" t="e">
        <f>('вместе-абс'!G73 - 'вместе-абс'!#REF!) / 'вместе-абс'!#REF!</f>
        <v>#REF!</v>
      </c>
      <c r="H90" s="2" t="e">
        <f>('вместе-абс'!H73 - 'вместе-абс'!#REF!) / 'вместе-абс'!#REF!</f>
        <v>#REF!</v>
      </c>
      <c r="I90" s="2" t="e">
        <f>('вместе-абс'!I73 - 'вместе-абс'!#REF!) / 'вместе-абс'!#REF!</f>
        <v>#REF!</v>
      </c>
      <c r="J90" s="2" t="e">
        <f>('вместе-абс'!J73 - 'вместе-абс'!#REF!) / 'вместе-абс'!#REF!</f>
        <v>#REF!</v>
      </c>
      <c r="K90" s="2" t="e">
        <f>('вместе-абс'!K73 - 'вместе-абс'!#REF!) / 'вместе-абс'!#REF!</f>
        <v>#REF!</v>
      </c>
      <c r="L90" s="2" t="e">
        <f>('вместе-абс'!L73 - 'вместе-абс'!#REF!) / 'вместе-абс'!#REF!</f>
        <v>#REF!</v>
      </c>
      <c r="M90" s="2" t="e">
        <f>('вместе-абс'!M73 - 'вместе-абс'!#REF!) / 'вместе-абс'!#REF!</f>
        <v>#REF!</v>
      </c>
      <c r="N90" s="2" t="e">
        <f>('вместе-абс'!N73 - 'вместе-абс'!#REF!) / 'вместе-абс'!#REF!</f>
        <v>#REF!</v>
      </c>
      <c r="O90" s="2" t="e">
        <f>('вместе-абс'!O73 - 'вместе-абс'!#REF!) / 'вместе-абс'!#REF!</f>
        <v>#REF!</v>
      </c>
      <c r="P90" s="2" t="e">
        <f>('вместе-абс'!P73 - 'вместе-абс'!#REF!) / 'вместе-абс'!#REF!</f>
        <v>#REF!</v>
      </c>
      <c r="Q90" s="2" t="e">
        <f>('вместе-абс'!Q73 - 'вместе-абс'!#REF!) / 'вместе-абс'!#REF!</f>
        <v>#REF!</v>
      </c>
      <c r="R90" s="2" t="e">
        <f>('вместе-абс'!R73 - 'вместе-абс'!#REF!) / 'вместе-абс'!#REF!</f>
        <v>#REF!</v>
      </c>
      <c r="S90" s="2" t="e">
        <f>('вместе-абс'!S73 - 'вместе-абс'!#REF!) / 'вместе-абс'!#REF!</f>
        <v>#REF!</v>
      </c>
      <c r="T90" s="2" t="e">
        <f>('вместе-абс'!T73 - 'вместе-абс'!#REF!) / 'вместе-абс'!#REF!</f>
        <v>#REF!</v>
      </c>
      <c r="U90" s="2" t="e">
        <f>('вместе-абс'!U73 - 'вместе-абс'!#REF!) / 'вместе-абс'!#REF!</f>
        <v>#REF!</v>
      </c>
      <c r="V90" s="2" t="e">
        <f>('вместе-абс'!V73 - 'вместе-абс'!#REF!) / 'вместе-абс'!#REF!</f>
        <v>#REF!</v>
      </c>
    </row>
    <row r="91" spans="1:22" x14ac:dyDescent="0.25">
      <c r="A91" s="12">
        <f t="shared" si="2"/>
        <v>2006</v>
      </c>
      <c r="B91" s="2" t="e">
        <f>('вместе-абс'!B74 - 'вместе-абс'!#REF!) / 'вместе-абс'!#REF!</f>
        <v>#REF!</v>
      </c>
      <c r="C91" s="2" t="e">
        <f>('вместе-абс'!C74 - 'вместе-абс'!#REF!) / 'вместе-абс'!#REF!</f>
        <v>#REF!</v>
      </c>
      <c r="D91" s="2" t="e">
        <f>('вместе-абс'!D74 - 'вместе-абс'!#REF!) / 'вместе-абс'!#REF!</f>
        <v>#REF!</v>
      </c>
      <c r="E91" s="2" t="e">
        <f>('вместе-абс'!E74 - 'вместе-абс'!#REF!) / 'вместе-абс'!#REF!</f>
        <v>#REF!</v>
      </c>
      <c r="F91" s="2" t="e">
        <f>('вместе-абс'!F74 - 'вместе-абс'!#REF!) / 'вместе-абс'!#REF!</f>
        <v>#REF!</v>
      </c>
      <c r="G91" s="2" t="e">
        <f>('вместе-абс'!G74 - 'вместе-абс'!#REF!) / 'вместе-абс'!#REF!</f>
        <v>#REF!</v>
      </c>
      <c r="H91" s="2" t="e">
        <f>('вместе-абс'!H74 - 'вместе-абс'!#REF!) / 'вместе-абс'!#REF!</f>
        <v>#REF!</v>
      </c>
      <c r="I91" s="2" t="e">
        <f>('вместе-абс'!I74 - 'вместе-абс'!#REF!) / 'вместе-абс'!#REF!</f>
        <v>#REF!</v>
      </c>
      <c r="J91" s="2" t="e">
        <f>('вместе-абс'!J74 - 'вместе-абс'!#REF!) / 'вместе-абс'!#REF!</f>
        <v>#REF!</v>
      </c>
      <c r="K91" s="2" t="e">
        <f>('вместе-абс'!K74 - 'вместе-абс'!#REF!) / 'вместе-абс'!#REF!</f>
        <v>#REF!</v>
      </c>
      <c r="L91" s="2" t="e">
        <f>('вместе-абс'!L74 - 'вместе-абс'!#REF!) / 'вместе-абс'!#REF!</f>
        <v>#REF!</v>
      </c>
      <c r="M91" s="2" t="e">
        <f>('вместе-абс'!M74 - 'вместе-абс'!#REF!) / 'вместе-абс'!#REF!</f>
        <v>#REF!</v>
      </c>
      <c r="N91" s="2" t="e">
        <f>('вместе-абс'!N74 - 'вместе-абс'!#REF!) / 'вместе-абс'!#REF!</f>
        <v>#REF!</v>
      </c>
      <c r="O91" s="2" t="e">
        <f>('вместе-абс'!O74 - 'вместе-абс'!#REF!) / 'вместе-абс'!#REF!</f>
        <v>#REF!</v>
      </c>
      <c r="P91" s="2" t="e">
        <f>('вместе-абс'!P74 - 'вместе-абс'!#REF!) / 'вместе-абс'!#REF!</f>
        <v>#REF!</v>
      </c>
      <c r="Q91" s="2" t="e">
        <f>('вместе-абс'!Q74 - 'вместе-абс'!#REF!) / 'вместе-абс'!#REF!</f>
        <v>#REF!</v>
      </c>
      <c r="R91" s="2" t="e">
        <f>('вместе-абс'!R74 - 'вместе-абс'!#REF!) / 'вместе-абс'!#REF!</f>
        <v>#REF!</v>
      </c>
      <c r="S91" s="2" t="e">
        <f>('вместе-абс'!S74 - 'вместе-абс'!#REF!) / 'вместе-абс'!#REF!</f>
        <v>#REF!</v>
      </c>
      <c r="T91" s="2" t="e">
        <f>('вместе-абс'!T74 - 'вместе-абс'!#REF!) / 'вместе-абс'!#REF!</f>
        <v>#REF!</v>
      </c>
      <c r="U91" s="2" t="e">
        <f>('вместе-абс'!U74 - 'вместе-абс'!#REF!) / 'вместе-абс'!#REF!</f>
        <v>#REF!</v>
      </c>
      <c r="V91" s="2" t="e">
        <f>('вместе-абс'!V74 - 'вместе-абс'!#REF!) / 'вместе-абс'!#REF!</f>
        <v>#REF!</v>
      </c>
    </row>
    <row r="92" spans="1:22" x14ac:dyDescent="0.25">
      <c r="A92" s="12">
        <f t="shared" si="2"/>
        <v>2007</v>
      </c>
      <c r="B92" s="2" t="e">
        <f>('вместе-абс'!B75 - 'вместе-абс'!#REF!) / 'вместе-абс'!#REF!</f>
        <v>#REF!</v>
      </c>
      <c r="C92" s="2" t="e">
        <f>('вместе-абс'!C75 - 'вместе-абс'!#REF!) / 'вместе-абс'!#REF!</f>
        <v>#REF!</v>
      </c>
      <c r="D92" s="2" t="e">
        <f>('вместе-абс'!D75 - 'вместе-абс'!#REF!) / 'вместе-абс'!#REF!</f>
        <v>#REF!</v>
      </c>
      <c r="E92" s="2" t="e">
        <f>('вместе-абс'!E75 - 'вместе-абс'!#REF!) / 'вместе-абс'!#REF!</f>
        <v>#REF!</v>
      </c>
      <c r="F92" s="2" t="e">
        <f>('вместе-абс'!F75 - 'вместе-абс'!#REF!) / 'вместе-абс'!#REF!</f>
        <v>#REF!</v>
      </c>
      <c r="G92" s="2" t="e">
        <f>('вместе-абс'!G75 - 'вместе-абс'!#REF!) / 'вместе-абс'!#REF!</f>
        <v>#REF!</v>
      </c>
      <c r="H92" s="2" t="e">
        <f>('вместе-абс'!H75 - 'вместе-абс'!#REF!) / 'вместе-абс'!#REF!</f>
        <v>#REF!</v>
      </c>
      <c r="I92" s="2" t="e">
        <f>('вместе-абс'!I75 - 'вместе-абс'!#REF!) / 'вместе-абс'!#REF!</f>
        <v>#REF!</v>
      </c>
      <c r="J92" s="2" t="e">
        <f>('вместе-абс'!J75 - 'вместе-абс'!#REF!) / 'вместе-абс'!#REF!</f>
        <v>#REF!</v>
      </c>
      <c r="K92" s="2" t="e">
        <f>('вместе-абс'!K75 - 'вместе-абс'!#REF!) / 'вместе-абс'!#REF!</f>
        <v>#REF!</v>
      </c>
      <c r="L92" s="2" t="e">
        <f>('вместе-абс'!L75 - 'вместе-абс'!#REF!) / 'вместе-абс'!#REF!</f>
        <v>#REF!</v>
      </c>
      <c r="M92" s="2" t="e">
        <f>('вместе-абс'!M75 - 'вместе-абс'!#REF!) / 'вместе-абс'!#REF!</f>
        <v>#REF!</v>
      </c>
      <c r="N92" s="2" t="e">
        <f>('вместе-абс'!N75 - 'вместе-абс'!#REF!) / 'вместе-абс'!#REF!</f>
        <v>#REF!</v>
      </c>
      <c r="O92" s="2" t="e">
        <f>('вместе-абс'!O75 - 'вместе-абс'!#REF!) / 'вместе-абс'!#REF!</f>
        <v>#REF!</v>
      </c>
      <c r="P92" s="2" t="e">
        <f>('вместе-абс'!P75 - 'вместе-абс'!#REF!) / 'вместе-абс'!#REF!</f>
        <v>#REF!</v>
      </c>
      <c r="Q92" s="2" t="e">
        <f>('вместе-абс'!Q75 - 'вместе-абс'!#REF!) / 'вместе-абс'!#REF!</f>
        <v>#REF!</v>
      </c>
      <c r="R92" s="2" t="e">
        <f>('вместе-абс'!R75 - 'вместе-абс'!#REF!) / 'вместе-абс'!#REF!</f>
        <v>#REF!</v>
      </c>
      <c r="S92" s="2" t="e">
        <f>('вместе-абс'!S75 - 'вместе-абс'!#REF!) / 'вместе-абс'!#REF!</f>
        <v>#REF!</v>
      </c>
      <c r="T92" s="2" t="e">
        <f>('вместе-абс'!T75 - 'вместе-абс'!#REF!) / 'вместе-абс'!#REF!</f>
        <v>#REF!</v>
      </c>
      <c r="U92" s="2" t="e">
        <f>('вместе-абс'!U75 - 'вместе-абс'!#REF!) / 'вместе-абс'!#REF!</f>
        <v>#REF!</v>
      </c>
      <c r="V92" s="2" t="e">
        <f>('вместе-абс'!V75 - 'вместе-абс'!#REF!) / 'вместе-абс'!#REF!</f>
        <v>#REF!</v>
      </c>
    </row>
    <row r="93" spans="1:22" x14ac:dyDescent="0.25">
      <c r="A93" s="12">
        <f t="shared" si="2"/>
        <v>2008</v>
      </c>
      <c r="B93" s="2" t="e">
        <f>('вместе-абс'!B76 - 'вместе-абс'!#REF!) / 'вместе-абс'!#REF!</f>
        <v>#REF!</v>
      </c>
      <c r="C93" s="2" t="e">
        <f>('вместе-абс'!C76 - 'вместе-абс'!#REF!) / 'вместе-абс'!#REF!</f>
        <v>#REF!</v>
      </c>
      <c r="D93" s="2" t="e">
        <f>('вместе-абс'!D76 - 'вместе-абс'!#REF!) / 'вместе-абс'!#REF!</f>
        <v>#REF!</v>
      </c>
      <c r="E93" s="2" t="e">
        <f>('вместе-абс'!E76 - 'вместе-абс'!#REF!) / 'вместе-абс'!#REF!</f>
        <v>#REF!</v>
      </c>
      <c r="F93" s="2" t="e">
        <f>('вместе-абс'!F76 - 'вместе-абс'!#REF!) / 'вместе-абс'!#REF!</f>
        <v>#REF!</v>
      </c>
      <c r="G93" s="2" t="e">
        <f>('вместе-абс'!G76 - 'вместе-абс'!#REF!) / 'вместе-абс'!#REF!</f>
        <v>#REF!</v>
      </c>
      <c r="H93" s="2" t="e">
        <f>('вместе-абс'!H76 - 'вместе-абс'!#REF!) / 'вместе-абс'!#REF!</f>
        <v>#REF!</v>
      </c>
      <c r="I93" s="2" t="e">
        <f>('вместе-абс'!I76 - 'вместе-абс'!#REF!) / 'вместе-абс'!#REF!</f>
        <v>#REF!</v>
      </c>
      <c r="J93" s="2" t="e">
        <f>('вместе-абс'!J76 - 'вместе-абс'!#REF!) / 'вместе-абс'!#REF!</f>
        <v>#REF!</v>
      </c>
      <c r="K93" s="2" t="e">
        <f>('вместе-абс'!K76 - 'вместе-абс'!#REF!) / 'вместе-абс'!#REF!</f>
        <v>#REF!</v>
      </c>
      <c r="L93" s="2" t="e">
        <f>('вместе-абс'!L76 - 'вместе-абс'!#REF!) / 'вместе-абс'!#REF!</f>
        <v>#REF!</v>
      </c>
      <c r="M93" s="2" t="e">
        <f>('вместе-абс'!M76 - 'вместе-абс'!#REF!) / 'вместе-абс'!#REF!</f>
        <v>#REF!</v>
      </c>
      <c r="N93" s="2" t="e">
        <f>('вместе-абс'!N76 - 'вместе-абс'!#REF!) / 'вместе-абс'!#REF!</f>
        <v>#REF!</v>
      </c>
      <c r="O93" s="2" t="e">
        <f>('вместе-абс'!O76 - 'вместе-абс'!#REF!) / 'вместе-абс'!#REF!</f>
        <v>#REF!</v>
      </c>
      <c r="P93" s="2" t="e">
        <f>('вместе-абс'!P76 - 'вместе-абс'!#REF!) / 'вместе-абс'!#REF!</f>
        <v>#REF!</v>
      </c>
      <c r="Q93" s="2" t="e">
        <f>('вместе-абс'!Q76 - 'вместе-абс'!#REF!) / 'вместе-абс'!#REF!</f>
        <v>#REF!</v>
      </c>
      <c r="R93" s="2" t="e">
        <f>('вместе-абс'!R76 - 'вместе-абс'!#REF!) / 'вместе-абс'!#REF!</f>
        <v>#REF!</v>
      </c>
      <c r="S93" s="2" t="e">
        <f>('вместе-абс'!S76 - 'вместе-абс'!#REF!) / 'вместе-абс'!#REF!</f>
        <v>#REF!</v>
      </c>
      <c r="T93" s="2" t="e">
        <f>('вместе-абс'!T76 - 'вместе-абс'!#REF!) / 'вместе-абс'!#REF!</f>
        <v>#REF!</v>
      </c>
      <c r="U93" s="2" t="e">
        <f>('вместе-абс'!U76 - 'вместе-абс'!#REF!) / 'вместе-абс'!#REF!</f>
        <v>#REF!</v>
      </c>
      <c r="V93" s="2" t="e">
        <f>('вместе-абс'!V76 - 'вместе-абс'!#REF!) / 'вместе-абс'!#REF!</f>
        <v>#REF!</v>
      </c>
    </row>
    <row r="94" spans="1:22" x14ac:dyDescent="0.25">
      <c r="A94" s="12">
        <f t="shared" si="2"/>
        <v>2009</v>
      </c>
      <c r="B94" s="2" t="e">
        <f>('вместе-абс'!B77 - 'вместе-абс'!#REF!) / 'вместе-абс'!#REF!</f>
        <v>#REF!</v>
      </c>
      <c r="C94" s="2" t="e">
        <f>('вместе-абс'!C77 - 'вместе-абс'!#REF!) / 'вместе-абс'!#REF!</f>
        <v>#REF!</v>
      </c>
      <c r="D94" s="2" t="e">
        <f>('вместе-абс'!D77 - 'вместе-абс'!#REF!) / 'вместе-абс'!#REF!</f>
        <v>#REF!</v>
      </c>
      <c r="E94" s="2" t="e">
        <f>('вместе-абс'!E77 - 'вместе-абс'!#REF!) / 'вместе-абс'!#REF!</f>
        <v>#REF!</v>
      </c>
      <c r="F94" s="2" t="e">
        <f>('вместе-абс'!F77 - 'вместе-абс'!#REF!) / 'вместе-абс'!#REF!</f>
        <v>#REF!</v>
      </c>
      <c r="G94" s="2" t="e">
        <f>('вместе-абс'!G77 - 'вместе-абс'!#REF!) / 'вместе-абс'!#REF!</f>
        <v>#REF!</v>
      </c>
      <c r="H94" s="2" t="e">
        <f>('вместе-абс'!H77 - 'вместе-абс'!#REF!) / 'вместе-абс'!#REF!</f>
        <v>#REF!</v>
      </c>
      <c r="I94" s="2" t="e">
        <f>('вместе-абс'!I77 - 'вместе-абс'!#REF!) / 'вместе-абс'!#REF!</f>
        <v>#REF!</v>
      </c>
      <c r="J94" s="2" t="e">
        <f>('вместе-абс'!J77 - 'вместе-абс'!#REF!) / 'вместе-абс'!#REF!</f>
        <v>#REF!</v>
      </c>
      <c r="K94" s="2" t="e">
        <f>('вместе-абс'!K77 - 'вместе-абс'!#REF!) / 'вместе-абс'!#REF!</f>
        <v>#REF!</v>
      </c>
      <c r="L94" s="2" t="e">
        <f>('вместе-абс'!L77 - 'вместе-абс'!#REF!) / 'вместе-абс'!#REF!</f>
        <v>#REF!</v>
      </c>
      <c r="M94" s="2" t="e">
        <f>('вместе-абс'!M77 - 'вместе-абс'!#REF!) / 'вместе-абс'!#REF!</f>
        <v>#REF!</v>
      </c>
      <c r="N94" s="2" t="e">
        <f>('вместе-абс'!N77 - 'вместе-абс'!#REF!) / 'вместе-абс'!#REF!</f>
        <v>#REF!</v>
      </c>
      <c r="O94" s="2" t="e">
        <f>('вместе-абс'!O77 - 'вместе-абс'!#REF!) / 'вместе-абс'!#REF!</f>
        <v>#REF!</v>
      </c>
      <c r="P94" s="2" t="e">
        <f>('вместе-абс'!P77 - 'вместе-абс'!#REF!) / 'вместе-абс'!#REF!</f>
        <v>#REF!</v>
      </c>
      <c r="Q94" s="2" t="e">
        <f>('вместе-абс'!Q77 - 'вместе-абс'!#REF!) / 'вместе-абс'!#REF!</f>
        <v>#REF!</v>
      </c>
      <c r="R94" s="2" t="e">
        <f>('вместе-абс'!R77 - 'вместе-абс'!#REF!) / 'вместе-абс'!#REF!</f>
        <v>#REF!</v>
      </c>
      <c r="S94" s="2" t="e">
        <f>('вместе-абс'!S77 - 'вместе-абс'!#REF!) / 'вместе-абс'!#REF!</f>
        <v>#REF!</v>
      </c>
      <c r="T94" s="2" t="e">
        <f>('вместе-абс'!T77 - 'вместе-абс'!#REF!) / 'вместе-абс'!#REF!</f>
        <v>#REF!</v>
      </c>
      <c r="U94" s="2" t="e">
        <f>('вместе-абс'!U77 - 'вместе-абс'!#REF!) / 'вместе-абс'!#REF!</f>
        <v>#REF!</v>
      </c>
      <c r="V94" s="2" t="e">
        <f>('вместе-абс'!V77 - 'вместе-абс'!#REF!) / 'вместе-абс'!#REF!</f>
        <v>#REF!</v>
      </c>
    </row>
    <row r="95" spans="1:22" x14ac:dyDescent="0.25">
      <c r="A95" s="12">
        <f t="shared" si="2"/>
        <v>2010</v>
      </c>
      <c r="B95" s="2" t="e">
        <f>('вместе-абс'!B78 - 'вместе-абс'!#REF!) / 'вместе-абс'!#REF!</f>
        <v>#REF!</v>
      </c>
      <c r="C95" s="2" t="e">
        <f>('вместе-абс'!C78 - 'вместе-абс'!#REF!) / 'вместе-абс'!#REF!</f>
        <v>#REF!</v>
      </c>
      <c r="D95" s="2" t="e">
        <f>('вместе-абс'!D78 - 'вместе-абс'!#REF!) / 'вместе-абс'!#REF!</f>
        <v>#REF!</v>
      </c>
      <c r="E95" s="2" t="e">
        <f>('вместе-абс'!E78 - 'вместе-абс'!#REF!) / 'вместе-абс'!#REF!</f>
        <v>#REF!</v>
      </c>
      <c r="F95" s="2" t="e">
        <f>('вместе-абс'!F78 - 'вместе-абс'!#REF!) / 'вместе-абс'!#REF!</f>
        <v>#REF!</v>
      </c>
      <c r="G95" s="2" t="e">
        <f>('вместе-абс'!G78 - 'вместе-абс'!#REF!) / 'вместе-абс'!#REF!</f>
        <v>#REF!</v>
      </c>
      <c r="H95" s="2" t="e">
        <f>('вместе-абс'!H78 - 'вместе-абс'!#REF!) / 'вместе-абс'!#REF!</f>
        <v>#REF!</v>
      </c>
      <c r="I95" s="2" t="e">
        <f>('вместе-абс'!I78 - 'вместе-абс'!#REF!) / 'вместе-абс'!#REF!</f>
        <v>#REF!</v>
      </c>
      <c r="J95" s="2" t="e">
        <f>('вместе-абс'!J78 - 'вместе-абс'!#REF!) / 'вместе-абс'!#REF!</f>
        <v>#REF!</v>
      </c>
      <c r="K95" s="2" t="e">
        <f>('вместе-абс'!K78 - 'вместе-абс'!#REF!) / 'вместе-абс'!#REF!</f>
        <v>#REF!</v>
      </c>
      <c r="L95" s="2" t="e">
        <f>('вместе-абс'!L78 - 'вместе-абс'!#REF!) / 'вместе-абс'!#REF!</f>
        <v>#REF!</v>
      </c>
      <c r="M95" s="2" t="e">
        <f>('вместе-абс'!M78 - 'вместе-абс'!#REF!) / 'вместе-абс'!#REF!</f>
        <v>#REF!</v>
      </c>
      <c r="N95" s="2" t="e">
        <f>('вместе-абс'!N78 - 'вместе-абс'!#REF!) / 'вместе-абс'!#REF!</f>
        <v>#REF!</v>
      </c>
      <c r="O95" s="2" t="e">
        <f>('вместе-абс'!O78 - 'вместе-абс'!#REF!) / 'вместе-абс'!#REF!</f>
        <v>#REF!</v>
      </c>
      <c r="P95" s="2" t="e">
        <f>('вместе-абс'!P78 - 'вместе-абс'!#REF!) / 'вместе-абс'!#REF!</f>
        <v>#REF!</v>
      </c>
      <c r="Q95" s="2" t="e">
        <f>('вместе-абс'!Q78 - 'вместе-абс'!#REF!) / 'вместе-абс'!#REF!</f>
        <v>#REF!</v>
      </c>
      <c r="R95" s="2" t="e">
        <f>('вместе-абс'!R78 - 'вместе-абс'!#REF!) / 'вместе-абс'!#REF!</f>
        <v>#REF!</v>
      </c>
      <c r="S95" s="2" t="e">
        <f>('вместе-абс'!S78 - 'вместе-абс'!#REF!) / 'вместе-абс'!#REF!</f>
        <v>#REF!</v>
      </c>
      <c r="T95" s="2" t="e">
        <f>('вместе-абс'!T78 - 'вместе-абс'!#REF!) / 'вместе-абс'!#REF!</f>
        <v>#REF!</v>
      </c>
      <c r="U95" s="2" t="e">
        <f>('вместе-абс'!U78 - 'вместе-абс'!#REF!) / 'вместе-абс'!#REF!</f>
        <v>#REF!</v>
      </c>
      <c r="V95" s="2" t="e">
        <f>('вместе-абс'!V78 - 'вместе-абс'!#REF!) / 'вместе-абс'!#REF!</f>
        <v>#REF!</v>
      </c>
    </row>
    <row r="96" spans="1:22" x14ac:dyDescent="0.25">
      <c r="A96" s="12">
        <f t="shared" si="2"/>
        <v>2011</v>
      </c>
      <c r="B96" s="2" t="e">
        <f>('вместе-абс'!B79 - 'вместе-абс'!#REF!) / 'вместе-абс'!#REF!</f>
        <v>#REF!</v>
      </c>
      <c r="C96" s="2" t="e">
        <f>('вместе-абс'!C79 - 'вместе-абс'!#REF!) / 'вместе-абс'!#REF!</f>
        <v>#REF!</v>
      </c>
      <c r="D96" s="2" t="e">
        <f>('вместе-абс'!D79 - 'вместе-абс'!#REF!) / 'вместе-абс'!#REF!</f>
        <v>#REF!</v>
      </c>
      <c r="E96" s="2" t="e">
        <f>('вместе-абс'!E79 - 'вместе-абс'!#REF!) / 'вместе-абс'!#REF!</f>
        <v>#REF!</v>
      </c>
      <c r="F96" s="2" t="e">
        <f>('вместе-абс'!F79 - 'вместе-абс'!#REF!) / 'вместе-абс'!#REF!</f>
        <v>#REF!</v>
      </c>
      <c r="G96" s="2" t="e">
        <f>('вместе-абс'!G79 - 'вместе-абс'!#REF!) / 'вместе-абс'!#REF!</f>
        <v>#REF!</v>
      </c>
      <c r="H96" s="2" t="e">
        <f>('вместе-абс'!H79 - 'вместе-абс'!#REF!) / 'вместе-абс'!#REF!</f>
        <v>#REF!</v>
      </c>
      <c r="I96" s="2" t="e">
        <f>('вместе-абс'!I79 - 'вместе-абс'!#REF!) / 'вместе-абс'!#REF!</f>
        <v>#REF!</v>
      </c>
      <c r="J96" s="2" t="e">
        <f>('вместе-абс'!J79 - 'вместе-абс'!#REF!) / 'вместе-абс'!#REF!</f>
        <v>#REF!</v>
      </c>
      <c r="K96" s="2" t="e">
        <f>('вместе-абс'!K79 - 'вместе-абс'!#REF!) / 'вместе-абс'!#REF!</f>
        <v>#REF!</v>
      </c>
      <c r="L96" s="2" t="e">
        <f>('вместе-абс'!L79 - 'вместе-абс'!#REF!) / 'вместе-абс'!#REF!</f>
        <v>#REF!</v>
      </c>
      <c r="M96" s="2" t="e">
        <f>('вместе-абс'!M79 - 'вместе-абс'!#REF!) / 'вместе-абс'!#REF!</f>
        <v>#REF!</v>
      </c>
      <c r="N96" s="2" t="e">
        <f>('вместе-абс'!N79 - 'вместе-абс'!#REF!) / 'вместе-абс'!#REF!</f>
        <v>#REF!</v>
      </c>
      <c r="O96" s="2" t="e">
        <f>('вместе-абс'!O79 - 'вместе-абс'!#REF!) / 'вместе-абс'!#REF!</f>
        <v>#REF!</v>
      </c>
      <c r="P96" s="2" t="e">
        <f>('вместе-абс'!P79 - 'вместе-абс'!#REF!) / 'вместе-абс'!#REF!</f>
        <v>#REF!</v>
      </c>
      <c r="Q96" s="2" t="e">
        <f>('вместе-абс'!Q79 - 'вместе-абс'!#REF!) / 'вместе-абс'!#REF!</f>
        <v>#REF!</v>
      </c>
      <c r="R96" s="2" t="e">
        <f>('вместе-абс'!R79 - 'вместе-абс'!#REF!) / 'вместе-абс'!#REF!</f>
        <v>#REF!</v>
      </c>
      <c r="S96" s="2" t="e">
        <f>('вместе-абс'!S79 - 'вместе-абс'!#REF!) / 'вместе-абс'!#REF!</f>
        <v>#REF!</v>
      </c>
      <c r="T96" s="2" t="e">
        <f>('вместе-абс'!T79 - 'вместе-абс'!#REF!) / 'вместе-абс'!#REF!</f>
        <v>#REF!</v>
      </c>
      <c r="U96" s="2" t="e">
        <f>('вместе-абс'!U79 - 'вместе-абс'!#REF!) / 'вместе-абс'!#REF!</f>
        <v>#REF!</v>
      </c>
      <c r="V96" s="2" t="e">
        <f>('вместе-абс'!V79 - 'вместе-абс'!#REF!) / 'вместе-абс'!#REF!</f>
        <v>#REF!</v>
      </c>
    </row>
    <row r="97" spans="1:22" x14ac:dyDescent="0.25">
      <c r="A97" s="12">
        <f t="shared" si="2"/>
        <v>2012</v>
      </c>
      <c r="B97" s="2" t="e">
        <f>('вместе-абс'!B80 - 'вместе-абс'!#REF!) / 'вместе-абс'!#REF!</f>
        <v>#REF!</v>
      </c>
      <c r="C97" s="2" t="e">
        <f>('вместе-абс'!C80 - 'вместе-абс'!#REF!) / 'вместе-абс'!#REF!</f>
        <v>#REF!</v>
      </c>
      <c r="D97" s="2" t="e">
        <f>('вместе-абс'!D80 - 'вместе-абс'!#REF!) / 'вместе-абс'!#REF!</f>
        <v>#REF!</v>
      </c>
      <c r="E97" s="2" t="e">
        <f>('вместе-абс'!E80 - 'вместе-абс'!#REF!) / 'вместе-абс'!#REF!</f>
        <v>#REF!</v>
      </c>
      <c r="F97" s="2" t="e">
        <f>('вместе-абс'!F80 - 'вместе-абс'!#REF!) / 'вместе-абс'!#REF!</f>
        <v>#REF!</v>
      </c>
      <c r="G97" s="2" t="e">
        <f>('вместе-абс'!G80 - 'вместе-абс'!#REF!) / 'вместе-абс'!#REF!</f>
        <v>#REF!</v>
      </c>
      <c r="H97" s="2" t="e">
        <f>('вместе-абс'!H80 - 'вместе-абс'!#REF!) / 'вместе-абс'!#REF!</f>
        <v>#REF!</v>
      </c>
      <c r="I97" s="2" t="e">
        <f>('вместе-абс'!I80 - 'вместе-абс'!#REF!) / 'вместе-абс'!#REF!</f>
        <v>#REF!</v>
      </c>
      <c r="J97" s="2" t="e">
        <f>('вместе-абс'!J80 - 'вместе-абс'!#REF!) / 'вместе-абс'!#REF!</f>
        <v>#REF!</v>
      </c>
      <c r="K97" s="2" t="e">
        <f>('вместе-абс'!K80 - 'вместе-абс'!#REF!) / 'вместе-абс'!#REF!</f>
        <v>#REF!</v>
      </c>
      <c r="L97" s="2" t="e">
        <f>('вместе-абс'!L80 - 'вместе-абс'!#REF!) / 'вместе-абс'!#REF!</f>
        <v>#REF!</v>
      </c>
      <c r="M97" s="2" t="e">
        <f>('вместе-абс'!M80 - 'вместе-абс'!#REF!) / 'вместе-абс'!#REF!</f>
        <v>#REF!</v>
      </c>
      <c r="N97" s="2" t="e">
        <f>('вместе-абс'!N80 - 'вместе-абс'!#REF!) / 'вместе-абс'!#REF!</f>
        <v>#REF!</v>
      </c>
      <c r="O97" s="2" t="e">
        <f>('вместе-абс'!O80 - 'вместе-абс'!#REF!) / 'вместе-абс'!#REF!</f>
        <v>#REF!</v>
      </c>
      <c r="P97" s="2" t="e">
        <f>('вместе-абс'!P80 - 'вместе-абс'!#REF!) / 'вместе-абс'!#REF!</f>
        <v>#REF!</v>
      </c>
      <c r="Q97" s="2" t="e">
        <f>('вместе-абс'!Q80 - 'вместе-абс'!#REF!) / 'вместе-абс'!#REF!</f>
        <v>#REF!</v>
      </c>
      <c r="R97" s="2" t="e">
        <f>('вместе-абс'!R80 - 'вместе-абс'!#REF!) / 'вместе-абс'!#REF!</f>
        <v>#REF!</v>
      </c>
      <c r="S97" s="2" t="e">
        <f>('вместе-абс'!S80 - 'вместе-абс'!#REF!) / 'вместе-абс'!#REF!</f>
        <v>#REF!</v>
      </c>
      <c r="T97" s="2" t="e">
        <f>('вместе-абс'!T80 - 'вместе-абс'!#REF!) / 'вместе-абс'!#REF!</f>
        <v>#REF!</v>
      </c>
      <c r="U97" s="2" t="e">
        <f>('вместе-абс'!U80 - 'вместе-абс'!#REF!) / 'вместе-абс'!#REF!</f>
        <v>#REF!</v>
      </c>
      <c r="V97" s="2" t="e">
        <f>('вместе-абс'!V80 - 'вместе-абс'!#REF!) / 'вместе-абс'!#REF!</f>
        <v>#REF!</v>
      </c>
    </row>
    <row r="98" spans="1:22" x14ac:dyDescent="0.25">
      <c r="A98" s="12">
        <f t="shared" si="2"/>
        <v>2013</v>
      </c>
      <c r="B98" s="2" t="e">
        <f>('вместе-абс'!B81 - 'вместе-абс'!#REF!) / 'вместе-абс'!#REF!</f>
        <v>#REF!</v>
      </c>
      <c r="C98" s="2" t="e">
        <f>('вместе-абс'!C81 - 'вместе-абс'!#REF!) / 'вместе-абс'!#REF!</f>
        <v>#REF!</v>
      </c>
      <c r="D98" s="2" t="e">
        <f>('вместе-абс'!D81 - 'вместе-абс'!#REF!) / 'вместе-абс'!#REF!</f>
        <v>#REF!</v>
      </c>
      <c r="E98" s="2" t="e">
        <f>('вместе-абс'!E81 - 'вместе-абс'!#REF!) / 'вместе-абс'!#REF!</f>
        <v>#REF!</v>
      </c>
      <c r="F98" s="2" t="e">
        <f>('вместе-абс'!F81 - 'вместе-абс'!#REF!) / 'вместе-абс'!#REF!</f>
        <v>#REF!</v>
      </c>
      <c r="G98" s="2" t="e">
        <f>('вместе-абс'!G81 - 'вместе-абс'!#REF!) / 'вместе-абс'!#REF!</f>
        <v>#REF!</v>
      </c>
      <c r="H98" s="2" t="e">
        <f>('вместе-абс'!H81 - 'вместе-абс'!#REF!) / 'вместе-абс'!#REF!</f>
        <v>#REF!</v>
      </c>
      <c r="I98" s="2" t="e">
        <f>('вместе-абс'!I81 - 'вместе-абс'!#REF!) / 'вместе-абс'!#REF!</f>
        <v>#REF!</v>
      </c>
      <c r="J98" s="2" t="e">
        <f>('вместе-абс'!J81 - 'вместе-абс'!#REF!) / 'вместе-абс'!#REF!</f>
        <v>#REF!</v>
      </c>
      <c r="K98" s="2" t="e">
        <f>('вместе-абс'!K81 - 'вместе-абс'!#REF!) / 'вместе-абс'!#REF!</f>
        <v>#REF!</v>
      </c>
      <c r="L98" s="2" t="e">
        <f>('вместе-абс'!L81 - 'вместе-абс'!#REF!) / 'вместе-абс'!#REF!</f>
        <v>#REF!</v>
      </c>
      <c r="M98" s="2" t="e">
        <f>('вместе-абс'!M81 - 'вместе-абс'!#REF!) / 'вместе-абс'!#REF!</f>
        <v>#REF!</v>
      </c>
      <c r="N98" s="2" t="e">
        <f>('вместе-абс'!N81 - 'вместе-абс'!#REF!) / 'вместе-абс'!#REF!</f>
        <v>#REF!</v>
      </c>
      <c r="O98" s="2" t="e">
        <f>('вместе-абс'!O81 - 'вместе-абс'!#REF!) / 'вместе-абс'!#REF!</f>
        <v>#REF!</v>
      </c>
      <c r="P98" s="2" t="e">
        <f>('вместе-абс'!P81 - 'вместе-абс'!#REF!) / 'вместе-абс'!#REF!</f>
        <v>#REF!</v>
      </c>
      <c r="Q98" s="2" t="e">
        <f>('вместе-абс'!Q81 - 'вместе-абс'!#REF!) / 'вместе-абс'!#REF!</f>
        <v>#REF!</v>
      </c>
      <c r="R98" s="2" t="e">
        <f>('вместе-абс'!R81 - 'вместе-абс'!#REF!) / 'вместе-абс'!#REF!</f>
        <v>#REF!</v>
      </c>
      <c r="S98" s="2" t="e">
        <f>('вместе-абс'!S81 - 'вместе-абс'!#REF!) / 'вместе-абс'!#REF!</f>
        <v>#REF!</v>
      </c>
      <c r="T98" s="2" t="e">
        <f>('вместе-абс'!T81 - 'вместе-абс'!#REF!) / 'вместе-абс'!#REF!</f>
        <v>#REF!</v>
      </c>
      <c r="U98" s="2" t="e">
        <f>('вместе-абс'!U81 - 'вместе-абс'!#REF!) / 'вместе-абс'!#REF!</f>
        <v>#REF!</v>
      </c>
      <c r="V98" s="2" t="e">
        <f>('вместе-абс'!V81 - 'вместе-абс'!#REF!) / 'вместе-абс'!#REF!</f>
        <v>#REF!</v>
      </c>
    </row>
    <row r="99" spans="1:22" x14ac:dyDescent="0.25">
      <c r="A99" s="12">
        <f t="shared" si="2"/>
        <v>2014</v>
      </c>
      <c r="B99" s="2" t="e">
        <f>('вместе-абс'!B82 - 'вместе-абс'!#REF!) / 'вместе-абс'!#REF!</f>
        <v>#REF!</v>
      </c>
      <c r="C99" s="2" t="e">
        <f>('вместе-абс'!C82 - 'вместе-абс'!#REF!) / 'вместе-абс'!#REF!</f>
        <v>#REF!</v>
      </c>
      <c r="D99" s="2" t="e">
        <f>('вместе-абс'!D82 - 'вместе-абс'!#REF!) / 'вместе-абс'!#REF!</f>
        <v>#REF!</v>
      </c>
      <c r="E99" s="2" t="e">
        <f>('вместе-абс'!E82 - 'вместе-абс'!#REF!) / 'вместе-абс'!#REF!</f>
        <v>#REF!</v>
      </c>
      <c r="F99" s="2" t="e">
        <f>('вместе-абс'!F82 - 'вместе-абс'!#REF!) / 'вместе-абс'!#REF!</f>
        <v>#REF!</v>
      </c>
      <c r="G99" s="2" t="e">
        <f>('вместе-абс'!G82 - 'вместе-абс'!#REF!) / 'вместе-абс'!#REF!</f>
        <v>#REF!</v>
      </c>
      <c r="H99" s="2" t="e">
        <f>('вместе-абс'!H82 - 'вместе-абс'!#REF!) / 'вместе-абс'!#REF!</f>
        <v>#REF!</v>
      </c>
      <c r="I99" s="2" t="e">
        <f>('вместе-абс'!I82 - 'вместе-абс'!#REF!) / 'вместе-абс'!#REF!</f>
        <v>#REF!</v>
      </c>
      <c r="J99" s="2" t="e">
        <f>('вместе-абс'!J82 - 'вместе-абс'!#REF!) / 'вместе-абс'!#REF!</f>
        <v>#REF!</v>
      </c>
      <c r="K99" s="2" t="e">
        <f>('вместе-абс'!K82 - 'вместе-абс'!#REF!) / 'вместе-абс'!#REF!</f>
        <v>#REF!</v>
      </c>
      <c r="L99" s="2" t="e">
        <f>('вместе-абс'!L82 - 'вместе-абс'!#REF!) / 'вместе-абс'!#REF!</f>
        <v>#REF!</v>
      </c>
      <c r="M99" s="2" t="e">
        <f>('вместе-абс'!M82 - 'вместе-абс'!#REF!) / 'вместе-абс'!#REF!</f>
        <v>#REF!</v>
      </c>
      <c r="N99" s="2" t="e">
        <f>('вместе-абс'!N82 - 'вместе-абс'!#REF!) / 'вместе-абс'!#REF!</f>
        <v>#REF!</v>
      </c>
      <c r="O99" s="2" t="e">
        <f>('вместе-абс'!O82 - 'вместе-абс'!#REF!) / 'вместе-абс'!#REF!</f>
        <v>#REF!</v>
      </c>
      <c r="P99" s="2" t="e">
        <f>('вместе-абс'!P82 - 'вместе-абс'!#REF!) / 'вместе-абс'!#REF!</f>
        <v>#REF!</v>
      </c>
      <c r="Q99" s="2" t="e">
        <f>('вместе-абс'!Q82 - 'вместе-абс'!#REF!) / 'вместе-абс'!#REF!</f>
        <v>#REF!</v>
      </c>
      <c r="R99" s="2" t="e">
        <f>('вместе-абс'!R82 - 'вместе-абс'!#REF!) / 'вместе-абс'!#REF!</f>
        <v>#REF!</v>
      </c>
      <c r="S99" s="2" t="e">
        <f>('вместе-абс'!S82 - 'вместе-абс'!#REF!) / 'вместе-абс'!#REF!</f>
        <v>#REF!</v>
      </c>
      <c r="T99" s="2" t="e">
        <f>('вместе-абс'!T82 - 'вместе-абс'!#REF!) / 'вместе-абс'!#REF!</f>
        <v>#REF!</v>
      </c>
      <c r="U99" s="2" t="e">
        <f>('вместе-абс'!U82 - 'вместе-абс'!#REF!) / 'вместе-абс'!#REF!</f>
        <v>#REF!</v>
      </c>
      <c r="V99" s="2" t="e">
        <f>('вместе-абс'!V82 - 'вместе-абс'!#REF!) / 'вместе-абс'!#REF!</f>
        <v>#REF!</v>
      </c>
    </row>
    <row r="100" spans="1:22" x14ac:dyDescent="0.25">
      <c r="A100" s="12">
        <f t="shared" si="2"/>
        <v>2015</v>
      </c>
      <c r="B100" s="2" t="e">
        <f>('вместе-абс'!B83 - 'вместе-абс'!#REF!) / 'вместе-абс'!#REF!</f>
        <v>#REF!</v>
      </c>
      <c r="C100" s="2" t="e">
        <f>('вместе-абс'!C83 - 'вместе-абс'!#REF!) / 'вместе-абс'!#REF!</f>
        <v>#REF!</v>
      </c>
      <c r="D100" s="2" t="e">
        <f>('вместе-абс'!D83 - 'вместе-абс'!#REF!) / 'вместе-абс'!#REF!</f>
        <v>#REF!</v>
      </c>
      <c r="E100" s="2" t="e">
        <f>('вместе-абс'!E83 - 'вместе-абс'!#REF!) / 'вместе-абс'!#REF!</f>
        <v>#REF!</v>
      </c>
      <c r="F100" s="2" t="e">
        <f>('вместе-абс'!F83 - 'вместе-абс'!#REF!) / 'вместе-абс'!#REF!</f>
        <v>#REF!</v>
      </c>
      <c r="G100" s="2" t="e">
        <f>('вместе-абс'!G83 - 'вместе-абс'!#REF!) / 'вместе-абс'!#REF!</f>
        <v>#REF!</v>
      </c>
      <c r="H100" s="2" t="e">
        <f>('вместе-абс'!H83 - 'вместе-абс'!#REF!) / 'вместе-абс'!#REF!</f>
        <v>#REF!</v>
      </c>
      <c r="I100" s="2" t="e">
        <f>('вместе-абс'!I83 - 'вместе-абс'!#REF!) / 'вместе-абс'!#REF!</f>
        <v>#REF!</v>
      </c>
      <c r="J100" s="2" t="e">
        <f>('вместе-абс'!J83 - 'вместе-абс'!#REF!) / 'вместе-абс'!#REF!</f>
        <v>#REF!</v>
      </c>
      <c r="K100" s="2" t="e">
        <f>('вместе-абс'!K83 - 'вместе-абс'!#REF!) / 'вместе-абс'!#REF!</f>
        <v>#REF!</v>
      </c>
      <c r="L100" s="2" t="e">
        <f>('вместе-абс'!L83 - 'вместе-абс'!#REF!) / 'вместе-абс'!#REF!</f>
        <v>#REF!</v>
      </c>
      <c r="M100" s="2" t="e">
        <f>('вместе-абс'!M83 - 'вместе-абс'!#REF!) / 'вместе-абс'!#REF!</f>
        <v>#REF!</v>
      </c>
      <c r="N100" s="2" t="e">
        <f>('вместе-абс'!N83 - 'вместе-абс'!#REF!) / 'вместе-абс'!#REF!</f>
        <v>#REF!</v>
      </c>
      <c r="O100" s="2" t="e">
        <f>('вместе-абс'!O83 - 'вместе-абс'!#REF!) / 'вместе-абс'!#REF!</f>
        <v>#REF!</v>
      </c>
      <c r="P100" s="2" t="e">
        <f>('вместе-абс'!P83 - 'вместе-абс'!#REF!) / 'вместе-абс'!#REF!</f>
        <v>#REF!</v>
      </c>
      <c r="Q100" s="2" t="e">
        <f>('вместе-абс'!Q83 - 'вместе-абс'!#REF!) / 'вместе-абс'!#REF!</f>
        <v>#REF!</v>
      </c>
      <c r="R100" s="2" t="e">
        <f>('вместе-абс'!R83 - 'вместе-абс'!#REF!) / 'вместе-абс'!#REF!</f>
        <v>#REF!</v>
      </c>
      <c r="S100" s="2" t="e">
        <f>('вместе-абс'!S83 - 'вместе-абс'!#REF!) / 'вместе-абс'!#REF!</f>
        <v>#REF!</v>
      </c>
      <c r="T100" s="2" t="e">
        <f>('вместе-абс'!T83 - 'вместе-абс'!#REF!) / 'вместе-абс'!#REF!</f>
        <v>#REF!</v>
      </c>
      <c r="U100" s="2" t="e">
        <f>('вместе-абс'!U83 - 'вместе-абс'!#REF!) / 'вместе-абс'!#REF!</f>
        <v>#REF!</v>
      </c>
      <c r="V100" s="2" t="e">
        <f>('вместе-абс'!V83 - 'вместе-абс'!#REF!) / 'вместе-абс'!#REF!</f>
        <v>#REF!</v>
      </c>
    </row>
    <row r="101" spans="1:22" x14ac:dyDescent="0.25">
      <c r="A101" s="12">
        <f t="shared" si="2"/>
        <v>2016</v>
      </c>
      <c r="B101" s="2" t="e">
        <f>('вместе-абс'!B84 - 'вместе-абс'!#REF!) / 'вместе-абс'!#REF!</f>
        <v>#REF!</v>
      </c>
      <c r="C101" s="2" t="e">
        <f>('вместе-абс'!C84 - 'вместе-абс'!#REF!) / 'вместе-абс'!#REF!</f>
        <v>#REF!</v>
      </c>
      <c r="D101" s="2" t="e">
        <f>('вместе-абс'!D84 - 'вместе-абс'!#REF!) / 'вместе-абс'!#REF!</f>
        <v>#REF!</v>
      </c>
      <c r="E101" s="2" t="e">
        <f>('вместе-абс'!E84 - 'вместе-абс'!#REF!) / 'вместе-абс'!#REF!</f>
        <v>#REF!</v>
      </c>
      <c r="F101" s="2" t="e">
        <f>('вместе-абс'!F84 - 'вместе-абс'!#REF!) / 'вместе-абс'!#REF!</f>
        <v>#REF!</v>
      </c>
      <c r="G101" s="2" t="e">
        <f>('вместе-абс'!G84 - 'вместе-абс'!#REF!) / 'вместе-абс'!#REF!</f>
        <v>#REF!</v>
      </c>
      <c r="H101" s="2" t="e">
        <f>('вместе-абс'!H84 - 'вместе-абс'!#REF!) / 'вместе-абс'!#REF!</f>
        <v>#REF!</v>
      </c>
      <c r="I101" s="2" t="e">
        <f>('вместе-абс'!I84 - 'вместе-абс'!#REF!) / 'вместе-абс'!#REF!</f>
        <v>#REF!</v>
      </c>
      <c r="J101" s="2" t="e">
        <f>('вместе-абс'!J84 - 'вместе-абс'!#REF!) / 'вместе-абс'!#REF!</f>
        <v>#REF!</v>
      </c>
      <c r="K101" s="2" t="e">
        <f>('вместе-абс'!K84 - 'вместе-абс'!#REF!) / 'вместе-абс'!#REF!</f>
        <v>#REF!</v>
      </c>
      <c r="L101" s="2" t="e">
        <f>('вместе-абс'!L84 - 'вместе-абс'!#REF!) / 'вместе-абс'!#REF!</f>
        <v>#REF!</v>
      </c>
      <c r="M101" s="2" t="e">
        <f>('вместе-абс'!M84 - 'вместе-абс'!#REF!) / 'вместе-абс'!#REF!</f>
        <v>#REF!</v>
      </c>
      <c r="N101" s="2" t="e">
        <f>('вместе-абс'!N84 - 'вместе-абс'!#REF!) / 'вместе-абс'!#REF!</f>
        <v>#REF!</v>
      </c>
      <c r="O101" s="2" t="e">
        <f>('вместе-абс'!O84 - 'вместе-абс'!#REF!) / 'вместе-абс'!#REF!</f>
        <v>#REF!</v>
      </c>
      <c r="P101" s="2" t="e">
        <f>('вместе-абс'!P84 - 'вместе-абс'!#REF!) / 'вместе-абс'!#REF!</f>
        <v>#REF!</v>
      </c>
      <c r="Q101" s="2" t="e">
        <f>('вместе-абс'!Q84 - 'вместе-абс'!#REF!) / 'вместе-абс'!#REF!</f>
        <v>#REF!</v>
      </c>
      <c r="R101" s="2" t="e">
        <f>('вместе-абс'!R84 - 'вместе-абс'!#REF!) / 'вместе-абс'!#REF!</f>
        <v>#REF!</v>
      </c>
      <c r="S101" s="2" t="e">
        <f>('вместе-абс'!S84 - 'вместе-абс'!#REF!) / 'вместе-абс'!#REF!</f>
        <v>#REF!</v>
      </c>
      <c r="T101" s="2" t="e">
        <f>('вместе-абс'!T84 - 'вместе-абс'!#REF!) / 'вместе-абс'!#REF!</f>
        <v>#REF!</v>
      </c>
      <c r="U101" s="2" t="e">
        <f>('вместе-абс'!U84 - 'вместе-абс'!#REF!) / 'вместе-абс'!#REF!</f>
        <v>#REF!</v>
      </c>
      <c r="V101" s="2" t="e">
        <f>('вместе-абс'!V84 - 'вместе-абс'!#REF!) / 'вместе-абс'!#REF!</f>
        <v>#REF!</v>
      </c>
    </row>
    <row r="102" spans="1:22" x14ac:dyDescent="0.25">
      <c r="A102" s="12">
        <f t="shared" si="2"/>
        <v>2017</v>
      </c>
      <c r="B102" s="2" t="e">
        <f>('вместе-абс'!B85 - 'вместе-абс'!#REF!) / 'вместе-абс'!#REF!</f>
        <v>#REF!</v>
      </c>
      <c r="C102" s="2" t="e">
        <f>('вместе-абс'!C85 - 'вместе-абс'!#REF!) / 'вместе-абс'!#REF!</f>
        <v>#REF!</v>
      </c>
      <c r="D102" s="2" t="e">
        <f>('вместе-абс'!D85 - 'вместе-абс'!#REF!) / 'вместе-абс'!#REF!</f>
        <v>#REF!</v>
      </c>
      <c r="E102" s="2" t="e">
        <f>('вместе-абс'!E85 - 'вместе-абс'!#REF!) / 'вместе-абс'!#REF!</f>
        <v>#REF!</v>
      </c>
      <c r="F102" s="2" t="e">
        <f>('вместе-абс'!F85 - 'вместе-абс'!#REF!) / 'вместе-абс'!#REF!</f>
        <v>#REF!</v>
      </c>
      <c r="G102" s="2" t="e">
        <f>('вместе-абс'!G85 - 'вместе-абс'!#REF!) / 'вместе-абс'!#REF!</f>
        <v>#REF!</v>
      </c>
      <c r="H102" s="2" t="e">
        <f>('вместе-абс'!H85 - 'вместе-абс'!#REF!) / 'вместе-абс'!#REF!</f>
        <v>#REF!</v>
      </c>
      <c r="I102" s="2" t="e">
        <f>('вместе-абс'!I85 - 'вместе-абс'!#REF!) / 'вместе-абс'!#REF!</f>
        <v>#REF!</v>
      </c>
      <c r="J102" s="2" t="e">
        <f>('вместе-абс'!J85 - 'вместе-абс'!#REF!) / 'вместе-абс'!#REF!</f>
        <v>#REF!</v>
      </c>
      <c r="K102" s="2" t="e">
        <f>('вместе-абс'!K85 - 'вместе-абс'!#REF!) / 'вместе-абс'!#REF!</f>
        <v>#REF!</v>
      </c>
      <c r="L102" s="2" t="e">
        <f>('вместе-абс'!L85 - 'вместе-абс'!#REF!) / 'вместе-абс'!#REF!</f>
        <v>#REF!</v>
      </c>
      <c r="M102" s="2" t="e">
        <f>('вместе-абс'!M85 - 'вместе-абс'!#REF!) / 'вместе-абс'!#REF!</f>
        <v>#REF!</v>
      </c>
      <c r="N102" s="2" t="e">
        <f>('вместе-абс'!N85 - 'вместе-абс'!#REF!) / 'вместе-абс'!#REF!</f>
        <v>#REF!</v>
      </c>
      <c r="O102" s="2" t="e">
        <f>('вместе-абс'!O85 - 'вместе-абс'!#REF!) / 'вместе-абс'!#REF!</f>
        <v>#REF!</v>
      </c>
      <c r="P102" s="2" t="e">
        <f>('вместе-абс'!P85 - 'вместе-абс'!#REF!) / 'вместе-абс'!#REF!</f>
        <v>#REF!</v>
      </c>
      <c r="Q102" s="2" t="e">
        <f>('вместе-абс'!Q85 - 'вместе-абс'!#REF!) / 'вместе-абс'!#REF!</f>
        <v>#REF!</v>
      </c>
      <c r="R102" s="2" t="e">
        <f>('вместе-абс'!R85 - 'вместе-абс'!#REF!) / 'вместе-абс'!#REF!</f>
        <v>#REF!</v>
      </c>
      <c r="S102" s="2" t="e">
        <f>('вместе-абс'!S85 - 'вместе-абс'!#REF!) / 'вместе-абс'!#REF!</f>
        <v>#REF!</v>
      </c>
      <c r="T102" s="2" t="e">
        <f>('вместе-абс'!T85 - 'вместе-абс'!#REF!) / 'вместе-абс'!#REF!</f>
        <v>#REF!</v>
      </c>
      <c r="U102" s="2" t="e">
        <f>('вместе-абс'!U85 - 'вместе-абс'!#REF!) / 'вместе-абс'!#REF!</f>
        <v>#REF!</v>
      </c>
      <c r="V102" s="2" t="e">
        <f>('вместе-абс'!V85 - 'вместе-абс'!#REF!) / 'вместе-абс'!#REF!</f>
        <v>#REF!</v>
      </c>
    </row>
    <row r="103" spans="1:22" x14ac:dyDescent="0.25">
      <c r="A103" s="12">
        <f t="shared" si="2"/>
        <v>2018</v>
      </c>
      <c r="B103" s="2" t="e">
        <f>('вместе-абс'!B86 - 'вместе-абс'!#REF!) / 'вместе-абс'!#REF!</f>
        <v>#REF!</v>
      </c>
      <c r="C103" s="2" t="e">
        <f>('вместе-абс'!C86 - 'вместе-абс'!#REF!) / 'вместе-абс'!#REF!</f>
        <v>#REF!</v>
      </c>
      <c r="D103" s="2" t="e">
        <f>('вместе-абс'!D86 - 'вместе-абс'!#REF!) / 'вместе-абс'!#REF!</f>
        <v>#REF!</v>
      </c>
      <c r="E103" s="2" t="e">
        <f>('вместе-абс'!E86 - 'вместе-абс'!#REF!) / 'вместе-абс'!#REF!</f>
        <v>#REF!</v>
      </c>
      <c r="F103" s="2" t="e">
        <f>('вместе-абс'!F86 - 'вместе-абс'!#REF!) / 'вместе-абс'!#REF!</f>
        <v>#REF!</v>
      </c>
      <c r="G103" s="2" t="e">
        <f>('вместе-абс'!G86 - 'вместе-абс'!#REF!) / 'вместе-абс'!#REF!</f>
        <v>#REF!</v>
      </c>
      <c r="H103" s="2" t="e">
        <f>('вместе-абс'!H86 - 'вместе-абс'!#REF!) / 'вместе-абс'!#REF!</f>
        <v>#REF!</v>
      </c>
      <c r="I103" s="2" t="e">
        <f>('вместе-абс'!I86 - 'вместе-абс'!#REF!) / 'вместе-абс'!#REF!</f>
        <v>#REF!</v>
      </c>
      <c r="J103" s="2" t="e">
        <f>('вместе-абс'!J86 - 'вместе-абс'!#REF!) / 'вместе-абс'!#REF!</f>
        <v>#REF!</v>
      </c>
      <c r="K103" s="2" t="e">
        <f>('вместе-абс'!K86 - 'вместе-абс'!#REF!) / 'вместе-абс'!#REF!</f>
        <v>#REF!</v>
      </c>
      <c r="L103" s="2" t="e">
        <f>('вместе-абс'!L86 - 'вместе-абс'!#REF!) / 'вместе-абс'!#REF!</f>
        <v>#REF!</v>
      </c>
      <c r="M103" s="2" t="e">
        <f>('вместе-абс'!M86 - 'вместе-абс'!#REF!) / 'вместе-абс'!#REF!</f>
        <v>#REF!</v>
      </c>
      <c r="N103" s="2" t="e">
        <f>('вместе-абс'!N86 - 'вместе-абс'!#REF!) / 'вместе-абс'!#REF!</f>
        <v>#REF!</v>
      </c>
      <c r="O103" s="2" t="e">
        <f>('вместе-абс'!O86 - 'вместе-абс'!#REF!) / 'вместе-абс'!#REF!</f>
        <v>#REF!</v>
      </c>
      <c r="P103" s="2" t="e">
        <f>('вместе-абс'!P86 - 'вместе-абс'!#REF!) / 'вместе-абс'!#REF!</f>
        <v>#REF!</v>
      </c>
      <c r="Q103" s="2" t="e">
        <f>('вместе-абс'!Q86 - 'вместе-абс'!#REF!) / 'вместе-абс'!#REF!</f>
        <v>#REF!</v>
      </c>
      <c r="R103" s="2" t="e">
        <f>('вместе-абс'!R86 - 'вместе-абс'!#REF!) / 'вместе-абс'!#REF!</f>
        <v>#REF!</v>
      </c>
      <c r="S103" s="2" t="e">
        <f>('вместе-абс'!S86 - 'вместе-абс'!#REF!) / 'вместе-абс'!#REF!</f>
        <v>#REF!</v>
      </c>
      <c r="T103" s="2" t="e">
        <f>('вместе-абс'!T86 - 'вместе-абс'!#REF!) / 'вместе-абс'!#REF!</f>
        <v>#REF!</v>
      </c>
      <c r="U103" s="2" t="e">
        <f>('вместе-абс'!U86 - 'вместе-абс'!#REF!) / 'вместе-абс'!#REF!</f>
        <v>#REF!</v>
      </c>
      <c r="V103" s="2" t="e">
        <f>('вместе-абс'!V86 - 'вместе-абс'!#REF!) / 'вместе-абс'!#REF!</f>
        <v>#REF!</v>
      </c>
    </row>
    <row r="104" spans="1:22" x14ac:dyDescent="0.25">
      <c r="A104" s="12">
        <f t="shared" si="2"/>
        <v>2019</v>
      </c>
      <c r="B104" s="2" t="e">
        <f>('вместе-абс'!B87 - 'вместе-абс'!#REF!) / 'вместе-абс'!#REF!</f>
        <v>#REF!</v>
      </c>
      <c r="C104" s="2" t="e">
        <f>('вместе-абс'!C87 - 'вместе-абс'!#REF!) / 'вместе-абс'!#REF!</f>
        <v>#REF!</v>
      </c>
      <c r="D104" s="2" t="e">
        <f>('вместе-абс'!D87 - 'вместе-абс'!#REF!) / 'вместе-абс'!#REF!</f>
        <v>#REF!</v>
      </c>
      <c r="E104" s="2" t="e">
        <f>('вместе-абс'!E87 - 'вместе-абс'!#REF!) / 'вместе-абс'!#REF!</f>
        <v>#REF!</v>
      </c>
      <c r="F104" s="2" t="e">
        <f>('вместе-абс'!F87 - 'вместе-абс'!#REF!) / 'вместе-абс'!#REF!</f>
        <v>#REF!</v>
      </c>
      <c r="G104" s="2" t="e">
        <f>('вместе-абс'!G87 - 'вместе-абс'!#REF!) / 'вместе-абс'!#REF!</f>
        <v>#REF!</v>
      </c>
      <c r="H104" s="2" t="e">
        <f>('вместе-абс'!H87 - 'вместе-абс'!#REF!) / 'вместе-абс'!#REF!</f>
        <v>#REF!</v>
      </c>
      <c r="I104" s="2" t="e">
        <f>('вместе-абс'!I87 - 'вместе-абс'!#REF!) / 'вместе-абс'!#REF!</f>
        <v>#REF!</v>
      </c>
      <c r="J104" s="2" t="e">
        <f>('вместе-абс'!J87 - 'вместе-абс'!#REF!) / 'вместе-абс'!#REF!</f>
        <v>#REF!</v>
      </c>
      <c r="K104" s="2" t="e">
        <f>('вместе-абс'!K87 - 'вместе-абс'!#REF!) / 'вместе-абс'!#REF!</f>
        <v>#REF!</v>
      </c>
      <c r="L104" s="2" t="e">
        <f>('вместе-абс'!L87 - 'вместе-абс'!#REF!) / 'вместе-абс'!#REF!</f>
        <v>#REF!</v>
      </c>
      <c r="M104" s="2" t="e">
        <f>('вместе-абс'!M87 - 'вместе-абс'!#REF!) / 'вместе-абс'!#REF!</f>
        <v>#REF!</v>
      </c>
      <c r="N104" s="2" t="e">
        <f>('вместе-абс'!N87 - 'вместе-абс'!#REF!) / 'вместе-абс'!#REF!</f>
        <v>#REF!</v>
      </c>
      <c r="O104" s="2" t="e">
        <f>('вместе-абс'!O87 - 'вместе-абс'!#REF!) / 'вместе-абс'!#REF!</f>
        <v>#REF!</v>
      </c>
      <c r="P104" s="2" t="e">
        <f>('вместе-абс'!P87 - 'вместе-абс'!#REF!) / 'вместе-абс'!#REF!</f>
        <v>#REF!</v>
      </c>
      <c r="Q104" s="2" t="e">
        <f>('вместе-абс'!Q87 - 'вместе-абс'!#REF!) / 'вместе-абс'!#REF!</f>
        <v>#REF!</v>
      </c>
      <c r="R104" s="2" t="e">
        <f>('вместе-абс'!R87 - 'вместе-абс'!#REF!) / 'вместе-абс'!#REF!</f>
        <v>#REF!</v>
      </c>
      <c r="S104" s="2" t="e">
        <f>('вместе-абс'!S87 - 'вместе-абс'!#REF!) / 'вместе-абс'!#REF!</f>
        <v>#REF!</v>
      </c>
      <c r="T104" s="2" t="e">
        <f>('вместе-абс'!T87 - 'вместе-абс'!#REF!) / 'вместе-абс'!#REF!</f>
        <v>#REF!</v>
      </c>
      <c r="U104" s="2" t="e">
        <f>('вместе-абс'!U87 - 'вместе-абс'!#REF!) / 'вместе-абс'!#REF!</f>
        <v>#REF!</v>
      </c>
      <c r="V104" s="2" t="e">
        <f>('вместе-абс'!V87 - 'вместе-абс'!#REF!) / 'вместе-абс'!#REF!</f>
        <v>#REF!</v>
      </c>
    </row>
    <row r="105" spans="1:22" x14ac:dyDescent="0.25">
      <c r="A105" s="12">
        <f t="shared" si="2"/>
        <v>2020</v>
      </c>
      <c r="B105" s="2" t="e">
        <f>('вместе-абс'!B88 - 'вместе-абс'!#REF!) / 'вместе-абс'!#REF!</f>
        <v>#REF!</v>
      </c>
      <c r="C105" s="2" t="e">
        <f>('вместе-абс'!C88 - 'вместе-абс'!#REF!) / 'вместе-абс'!#REF!</f>
        <v>#REF!</v>
      </c>
      <c r="D105" s="2" t="e">
        <f>('вместе-абс'!D88 - 'вместе-абс'!#REF!) / 'вместе-абс'!#REF!</f>
        <v>#REF!</v>
      </c>
      <c r="E105" s="2" t="e">
        <f>('вместе-абс'!E88 - 'вместе-абс'!#REF!) / 'вместе-абс'!#REF!</f>
        <v>#REF!</v>
      </c>
      <c r="F105" s="2" t="e">
        <f>('вместе-абс'!F88 - 'вместе-абс'!#REF!) / 'вместе-абс'!#REF!</f>
        <v>#REF!</v>
      </c>
      <c r="G105" s="2" t="e">
        <f>('вместе-абс'!G88 - 'вместе-абс'!#REF!) / 'вместе-абс'!#REF!</f>
        <v>#REF!</v>
      </c>
      <c r="H105" s="2" t="e">
        <f>('вместе-абс'!H88 - 'вместе-абс'!#REF!) / 'вместе-абс'!#REF!</f>
        <v>#REF!</v>
      </c>
      <c r="I105" s="2" t="e">
        <f>('вместе-абс'!I88 - 'вместе-абс'!#REF!) / 'вместе-абс'!#REF!</f>
        <v>#REF!</v>
      </c>
      <c r="J105" s="2" t="e">
        <f>('вместе-абс'!J88 - 'вместе-абс'!#REF!) / 'вместе-абс'!#REF!</f>
        <v>#REF!</v>
      </c>
      <c r="K105" s="2" t="e">
        <f>('вместе-абс'!K88 - 'вместе-абс'!#REF!) / 'вместе-абс'!#REF!</f>
        <v>#REF!</v>
      </c>
      <c r="L105" s="2" t="e">
        <f>('вместе-абс'!L88 - 'вместе-абс'!#REF!) / 'вместе-абс'!#REF!</f>
        <v>#REF!</v>
      </c>
      <c r="M105" s="2" t="e">
        <f>('вместе-абс'!M88 - 'вместе-абс'!#REF!) / 'вместе-абс'!#REF!</f>
        <v>#REF!</v>
      </c>
      <c r="N105" s="2" t="e">
        <f>('вместе-абс'!N88 - 'вместе-абс'!#REF!) / 'вместе-абс'!#REF!</f>
        <v>#REF!</v>
      </c>
      <c r="O105" s="2" t="e">
        <f>('вместе-абс'!O88 - 'вместе-абс'!#REF!) / 'вместе-абс'!#REF!</f>
        <v>#REF!</v>
      </c>
      <c r="P105" s="2" t="e">
        <f>('вместе-абс'!P88 - 'вместе-абс'!#REF!) / 'вместе-абс'!#REF!</f>
        <v>#REF!</v>
      </c>
      <c r="Q105" s="2" t="e">
        <f>('вместе-абс'!Q88 - 'вместе-абс'!#REF!) / 'вместе-абс'!#REF!</f>
        <v>#REF!</v>
      </c>
      <c r="R105" s="2" t="e">
        <f>('вместе-абс'!R88 - 'вместе-абс'!#REF!) / 'вместе-абс'!#REF!</f>
        <v>#REF!</v>
      </c>
      <c r="S105" s="2" t="e">
        <f>('вместе-абс'!S88 - 'вместе-абс'!#REF!) / 'вместе-абс'!#REF!</f>
        <v>#REF!</v>
      </c>
      <c r="T105" s="2" t="e">
        <f>('вместе-абс'!T88 - 'вместе-абс'!#REF!) / 'вместе-абс'!#REF!</f>
        <v>#REF!</v>
      </c>
      <c r="U105" s="2" t="e">
        <f>('вместе-абс'!U88 - 'вместе-абс'!#REF!) / 'вместе-абс'!#REF!</f>
        <v>#REF!</v>
      </c>
      <c r="V105" s="2" t="e">
        <f>('вместе-абс'!V88 - 'вместе-абс'!#REF!) / 'вместе-абс'!#REF!</f>
        <v>#REF!</v>
      </c>
    </row>
    <row r="106" spans="1:22" x14ac:dyDescent="0.25">
      <c r="A106" s="12">
        <f t="shared" si="2"/>
        <v>2021</v>
      </c>
      <c r="B106" s="2" t="e">
        <f>('вместе-абс'!B89 - 'вместе-абс'!#REF!) / 'вместе-абс'!#REF!</f>
        <v>#REF!</v>
      </c>
      <c r="C106" s="2" t="e">
        <f>('вместе-абс'!C89 - 'вместе-абс'!#REF!) / 'вместе-абс'!#REF!</f>
        <v>#REF!</v>
      </c>
      <c r="D106" s="2" t="e">
        <f>('вместе-абс'!D89 - 'вместе-абс'!#REF!) / 'вместе-абс'!#REF!</f>
        <v>#REF!</v>
      </c>
      <c r="E106" s="2" t="e">
        <f>('вместе-абс'!E89 - 'вместе-абс'!#REF!) / 'вместе-абс'!#REF!</f>
        <v>#REF!</v>
      </c>
      <c r="F106" s="2" t="e">
        <f>('вместе-абс'!F89 - 'вместе-абс'!#REF!) / 'вместе-абс'!#REF!</f>
        <v>#REF!</v>
      </c>
      <c r="G106" s="2" t="e">
        <f>('вместе-абс'!G89 - 'вместе-абс'!#REF!) / 'вместе-абс'!#REF!</f>
        <v>#REF!</v>
      </c>
      <c r="H106" s="2" t="e">
        <f>('вместе-абс'!H89 - 'вместе-абс'!#REF!) / 'вместе-абс'!#REF!</f>
        <v>#REF!</v>
      </c>
      <c r="I106" s="2" t="e">
        <f>('вместе-абс'!I89 - 'вместе-абс'!#REF!) / 'вместе-абс'!#REF!</f>
        <v>#REF!</v>
      </c>
      <c r="J106" s="2" t="e">
        <f>('вместе-абс'!J89 - 'вместе-абс'!#REF!) / 'вместе-абс'!#REF!</f>
        <v>#REF!</v>
      </c>
      <c r="K106" s="2" t="e">
        <f>('вместе-абс'!K89 - 'вместе-абс'!#REF!) / 'вместе-абс'!#REF!</f>
        <v>#REF!</v>
      </c>
      <c r="L106" s="2" t="e">
        <f>('вместе-абс'!L89 - 'вместе-абс'!#REF!) / 'вместе-абс'!#REF!</f>
        <v>#REF!</v>
      </c>
      <c r="M106" s="2" t="e">
        <f>('вместе-абс'!M89 - 'вместе-абс'!#REF!) / 'вместе-абс'!#REF!</f>
        <v>#REF!</v>
      </c>
      <c r="N106" s="2" t="e">
        <f>('вместе-абс'!N89 - 'вместе-абс'!#REF!) / 'вместе-абс'!#REF!</f>
        <v>#REF!</v>
      </c>
      <c r="O106" s="2" t="e">
        <f>('вместе-абс'!O89 - 'вместе-абс'!#REF!) / 'вместе-абс'!#REF!</f>
        <v>#REF!</v>
      </c>
      <c r="P106" s="2" t="e">
        <f>('вместе-абс'!P89 - 'вместе-абс'!#REF!) / 'вместе-абс'!#REF!</f>
        <v>#REF!</v>
      </c>
      <c r="Q106" s="2" t="e">
        <f>('вместе-абс'!Q89 - 'вместе-абс'!#REF!) / 'вместе-абс'!#REF!</f>
        <v>#REF!</v>
      </c>
      <c r="R106" s="2" t="e">
        <f>('вместе-абс'!R89 - 'вместе-абс'!#REF!) / 'вместе-абс'!#REF!</f>
        <v>#REF!</v>
      </c>
      <c r="S106" s="2" t="e">
        <f>('вместе-абс'!S89 - 'вместе-абс'!#REF!) / 'вместе-абс'!#REF!</f>
        <v>#REF!</v>
      </c>
      <c r="T106" s="2" t="e">
        <f>('вместе-абс'!T89 - 'вместе-абс'!#REF!) / 'вместе-абс'!#REF!</f>
        <v>#REF!</v>
      </c>
      <c r="U106" s="2" t="e">
        <f>('вместе-абс'!U89 - 'вместе-абс'!#REF!) / 'вместе-абс'!#REF!</f>
        <v>#REF!</v>
      </c>
      <c r="V106" s="2" t="e">
        <f>('вместе-абс'!V89 - 'вместе-абс'!#REF!) / 'вместе-абс'!#REF!</f>
        <v>#REF!</v>
      </c>
    </row>
    <row r="107" spans="1:22" x14ac:dyDescent="0.25">
      <c r="A107" s="12">
        <f t="shared" si="2"/>
        <v>2022</v>
      </c>
      <c r="B107" s="2" t="e">
        <f>('вместе-абс'!B90 - 'вместе-абс'!#REF!) / 'вместе-абс'!#REF!</f>
        <v>#REF!</v>
      </c>
      <c r="C107" s="2" t="e">
        <f>('вместе-абс'!C90 - 'вместе-абс'!#REF!) / 'вместе-абс'!#REF!</f>
        <v>#REF!</v>
      </c>
      <c r="D107" s="2" t="e">
        <f>('вместе-абс'!D90 - 'вместе-абс'!#REF!) / 'вместе-абс'!#REF!</f>
        <v>#REF!</v>
      </c>
      <c r="E107" s="2" t="e">
        <f>('вместе-абс'!E90 - 'вместе-абс'!#REF!) / 'вместе-абс'!#REF!</f>
        <v>#REF!</v>
      </c>
      <c r="F107" s="2" t="e">
        <f>('вместе-абс'!F90 - 'вместе-абс'!#REF!) / 'вместе-абс'!#REF!</f>
        <v>#REF!</v>
      </c>
      <c r="G107" s="2" t="e">
        <f>('вместе-абс'!G90 - 'вместе-абс'!#REF!) / 'вместе-абс'!#REF!</f>
        <v>#REF!</v>
      </c>
      <c r="H107" s="2" t="e">
        <f>('вместе-абс'!H90 - 'вместе-абс'!#REF!) / 'вместе-абс'!#REF!</f>
        <v>#REF!</v>
      </c>
      <c r="I107" s="2" t="e">
        <f>('вместе-абс'!I90 - 'вместе-абс'!#REF!) / 'вместе-абс'!#REF!</f>
        <v>#REF!</v>
      </c>
      <c r="J107" s="2" t="e">
        <f>('вместе-абс'!J90 - 'вместе-абс'!#REF!) / 'вместе-абс'!#REF!</f>
        <v>#REF!</v>
      </c>
      <c r="K107" s="2" t="e">
        <f>('вместе-абс'!K90 - 'вместе-абс'!#REF!) / 'вместе-абс'!#REF!</f>
        <v>#REF!</v>
      </c>
      <c r="L107" s="2" t="e">
        <f>('вместе-абс'!L90 - 'вместе-абс'!#REF!) / 'вместе-абс'!#REF!</f>
        <v>#REF!</v>
      </c>
      <c r="M107" s="2" t="e">
        <f>('вместе-абс'!M90 - 'вместе-абс'!#REF!) / 'вместе-абс'!#REF!</f>
        <v>#REF!</v>
      </c>
      <c r="N107" s="2" t="e">
        <f>('вместе-абс'!N90 - 'вместе-абс'!#REF!) / 'вместе-абс'!#REF!</f>
        <v>#REF!</v>
      </c>
      <c r="O107" s="2" t="e">
        <f>('вместе-абс'!O90 - 'вместе-абс'!#REF!) / 'вместе-абс'!#REF!</f>
        <v>#REF!</v>
      </c>
      <c r="P107" s="2" t="e">
        <f>('вместе-абс'!P90 - 'вместе-абс'!#REF!) / 'вместе-абс'!#REF!</f>
        <v>#REF!</v>
      </c>
      <c r="Q107" s="2" t="e">
        <f>('вместе-абс'!Q90 - 'вместе-абс'!#REF!) / 'вместе-абс'!#REF!</f>
        <v>#REF!</v>
      </c>
      <c r="R107" s="2" t="e">
        <f>('вместе-абс'!R90 - 'вместе-абс'!#REF!) / 'вместе-абс'!#REF!</f>
        <v>#REF!</v>
      </c>
      <c r="S107" s="2" t="e">
        <f>('вместе-абс'!S90 - 'вместе-абс'!#REF!) / 'вместе-абс'!#REF!</f>
        <v>#REF!</v>
      </c>
      <c r="T107" s="2" t="e">
        <f>('вместе-абс'!T90 - 'вместе-абс'!#REF!) / 'вместе-абс'!#REF!</f>
        <v>#REF!</v>
      </c>
      <c r="U107" s="2" t="e">
        <f>('вместе-абс'!U90 - 'вместе-абс'!#REF!) / 'вместе-абс'!#REF!</f>
        <v>#REF!</v>
      </c>
      <c r="V107" s="2" t="e">
        <f>('вместе-абс'!V90 - 'вместе-абс'!#REF!) / 'вместе-абс'!#REF!</f>
        <v>#REF!</v>
      </c>
    </row>
    <row r="108" spans="1:22" x14ac:dyDescent="0.25">
      <c r="A108" s="12"/>
    </row>
    <row r="109" spans="1:22" x14ac:dyDescent="0.25">
      <c r="A109" s="12"/>
    </row>
    <row r="110" spans="1:22" x14ac:dyDescent="0.25">
      <c r="A110" s="12"/>
    </row>
    <row r="111" spans="1:22" x14ac:dyDescent="0.25">
      <c r="A111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964F5-1A9A-45DD-911F-C7936E8435D3}">
  <dimension ref="A1:W131"/>
  <sheetViews>
    <sheetView tabSelected="1" topLeftCell="A167" zoomScaleNormal="100" workbookViewId="0">
      <selection activeCell="AH167" sqref="AH167"/>
    </sheetView>
  </sheetViews>
  <sheetFormatPr defaultRowHeight="15" x14ac:dyDescent="0.25"/>
  <cols>
    <col min="1" max="1" width="5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10.5703125" bestFit="1" customWidth="1"/>
    <col min="6" max="6" width="6" bestFit="1" customWidth="1"/>
    <col min="7" max="7" width="10.5703125" bestFit="1" customWidth="1"/>
    <col min="8" max="8" width="9.42578125" bestFit="1" customWidth="1"/>
    <col min="9" max="9" width="8.5703125" bestFit="1" customWidth="1"/>
    <col min="10" max="10" width="10.28515625" bestFit="1" customWidth="1"/>
    <col min="11" max="11" width="11" bestFit="1" customWidth="1"/>
    <col min="12" max="12" width="5.28515625" bestFit="1" customWidth="1"/>
    <col min="13" max="13" width="9" bestFit="1" customWidth="1"/>
    <col min="14" max="14" width="10.28515625" bestFit="1" customWidth="1"/>
    <col min="15" max="15" width="8" bestFit="1" customWidth="1"/>
    <col min="16" max="16" width="9.28515625" bestFit="1" customWidth="1"/>
    <col min="17" max="17" width="5.5703125" bestFit="1" customWidth="1"/>
    <col min="18" max="18" width="12.5703125" bestFit="1" customWidth="1"/>
    <col min="19" max="19" width="10.85546875" bestFit="1" customWidth="1"/>
    <col min="20" max="20" width="8.140625" bestFit="1" customWidth="1"/>
    <col min="21" max="21" width="5.7109375" bestFit="1" customWidth="1"/>
    <col min="22" max="22" width="8.7109375" bestFit="1" customWidth="1"/>
    <col min="23" max="23" width="7.140625" bestFit="1" customWidth="1"/>
  </cols>
  <sheetData>
    <row r="1" spans="1:23" ht="60" x14ac:dyDescent="0.25">
      <c r="A1" s="14" t="s">
        <v>1</v>
      </c>
      <c r="B1" s="14" t="s">
        <v>2</v>
      </c>
      <c r="C1" s="14" t="s">
        <v>3</v>
      </c>
      <c r="D1" s="14" t="s">
        <v>4</v>
      </c>
      <c r="E1" s="14" t="s">
        <v>56</v>
      </c>
      <c r="F1" s="14" t="s">
        <v>13</v>
      </c>
      <c r="G1" s="14" t="s">
        <v>12</v>
      </c>
      <c r="H1" s="14" t="s">
        <v>14</v>
      </c>
      <c r="I1" s="15" t="s">
        <v>9</v>
      </c>
      <c r="J1" s="14" t="s">
        <v>6</v>
      </c>
      <c r="K1" s="14" t="s">
        <v>7</v>
      </c>
      <c r="L1" s="14" t="s">
        <v>8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57</v>
      </c>
      <c r="S1" s="14" t="s">
        <v>58</v>
      </c>
      <c r="T1" s="14" t="s">
        <v>20</v>
      </c>
      <c r="U1" s="14" t="s">
        <v>5</v>
      </c>
      <c r="V1" s="14" t="s">
        <v>10</v>
      </c>
      <c r="W1" s="14" t="s">
        <v>42</v>
      </c>
    </row>
    <row r="2" spans="1:23" x14ac:dyDescent="0.25">
      <c r="A2" s="9">
        <f>'вместе-абс'!A2</f>
        <v>1917</v>
      </c>
      <c r="B2" s="2">
        <f>'вместе-абс'!B2 / 'вместе-абс'!B$2 - 1</f>
        <v>0</v>
      </c>
      <c r="C2" s="2">
        <f>'вместе-абс'!C2 / 'вместе-абс'!C$2 - 1</f>
        <v>0</v>
      </c>
      <c r="D2" s="2">
        <f>'вместе-абс'!D2 / 'вместе-абс'!D$2 - 1</f>
        <v>0</v>
      </c>
      <c r="E2" s="2">
        <f>'вместе-абс'!E2 / 'вместе-абс'!E$2 - 1</f>
        <v>0</v>
      </c>
      <c r="F2" s="2">
        <f>'вместе-абс'!F2 / 'вместе-абс'!F$2 - 1</f>
        <v>0</v>
      </c>
      <c r="G2" s="2">
        <f>'вместе-абс'!G2 / 'вместе-абс'!G$2 - 1</f>
        <v>0</v>
      </c>
      <c r="H2" s="2">
        <f>'вместе-абс'!H2 / 'вместе-абс'!H$2 - 1</f>
        <v>0</v>
      </c>
      <c r="I2" s="2">
        <f>'вместе-абс'!I2 / 'вместе-абс'!I$2 - 1</f>
        <v>0</v>
      </c>
      <c r="J2" s="2">
        <f>'вместе-абс'!J2 / 'вместе-абс'!J$2 - 1</f>
        <v>0</v>
      </c>
      <c r="K2" s="2">
        <f>'вместе-абс'!K2 / 'вместе-абс'!K$2 - 1</f>
        <v>0</v>
      </c>
      <c r="L2" s="2">
        <f>'вместе-абс'!L2 / 'вместе-абс'!L$2 - 1</f>
        <v>0</v>
      </c>
      <c r="M2" s="2">
        <f>'вместе-абс'!M2 / 'вместе-абс'!M$2 - 1</f>
        <v>0</v>
      </c>
      <c r="N2" s="2">
        <f>'вместе-абс'!N2 / 'вместе-абс'!N$2 - 1</f>
        <v>0</v>
      </c>
      <c r="O2" s="2">
        <f>'вместе-абс'!O2 / 'вместе-абс'!O$2 - 1</f>
        <v>0</v>
      </c>
      <c r="P2" s="2">
        <f>'вместе-абс'!P2 / 'вместе-абс'!P$2 - 1</f>
        <v>0</v>
      </c>
      <c r="Q2" s="2">
        <f>'вместе-абс'!Q2 / 'вместе-абс'!Q$2 - 1</f>
        <v>0</v>
      </c>
      <c r="R2" s="2">
        <f>'вместе-абс'!R2 / 'вместе-абс'!R$2 - 1</f>
        <v>0</v>
      </c>
      <c r="S2" s="2">
        <f>'вместе-абс'!S2 / 'вместе-абс'!S$2 - 1</f>
        <v>0</v>
      </c>
      <c r="T2" s="2">
        <f>'вместе-абс'!T2 / 'вместе-абс'!T$2 - 1</f>
        <v>0</v>
      </c>
      <c r="U2" s="2">
        <f>'вместе-абс'!U2 / 'вместе-абс'!U$2 - 1</f>
        <v>0</v>
      </c>
      <c r="V2" s="2">
        <f>'вместе-абс'!V2 / 'вместе-абс'!V$2 - 1</f>
        <v>0</v>
      </c>
      <c r="W2" s="2">
        <f>'вместе-абс'!W2 / 'вместе-абс'!W$2 - 1</f>
        <v>0</v>
      </c>
    </row>
    <row r="3" spans="1:23" x14ac:dyDescent="0.25">
      <c r="A3" s="9">
        <f>'вместе-абс'!A3</f>
        <v>1918</v>
      </c>
      <c r="B3" s="2">
        <f>'вместе-абс'!B3 / 'вместе-абс'!B$2 - 1</f>
        <v>2.2350064203679798E-2</v>
      </c>
      <c r="C3" s="2">
        <f>'вместе-абс'!C3 / 'вместе-абс'!C$2 - 1</f>
        <v>7.6602004301622451E-3</v>
      </c>
      <c r="D3" s="2">
        <f>'вместе-абс'!D3 / 'вместе-абс'!D$2 - 1</f>
        <v>2.099065740176731E-2</v>
      </c>
      <c r="E3" s="2">
        <f>'вместе-абс'!E3 / 'вместе-абс'!E$2 - 1</f>
        <v>1.0902207989262225E-2</v>
      </c>
      <c r="F3" s="2">
        <f>'вместе-абс'!F3 / 'вместе-абс'!F$2 - 1</f>
        <v>2.1465577346300613E-2</v>
      </c>
      <c r="G3" s="2">
        <f>'вместе-абс'!G3 / 'вместе-абс'!G$2 - 1</f>
        <v>1.0921385872958433E-2</v>
      </c>
      <c r="H3" s="2">
        <f>'вместе-абс'!H3 / 'вместе-абс'!H$2 - 1</f>
        <v>2.5175361636412763E-2</v>
      </c>
      <c r="I3" s="2">
        <f>'вместе-абс'!I3 / 'вместе-абс'!I$2 - 1</f>
        <v>2.8752460509435585E-2</v>
      </c>
      <c r="J3" s="2">
        <f>'вместе-абс'!J3 / 'вместе-абс'!J$2 - 1</f>
        <v>2.3701052393358069E-2</v>
      </c>
      <c r="K3" s="2">
        <f>'вместе-абс'!K3 / 'вместе-абс'!K$2 - 1</f>
        <v>1.7885620292267923E-2</v>
      </c>
      <c r="L3" s="2">
        <f>'вместе-абс'!L3 / 'вместе-абс'!L$2 - 1</f>
        <v>2.9000245749321696E-2</v>
      </c>
      <c r="M3" s="2">
        <f>'вместе-абс'!M3 / 'вместе-абс'!M$2 - 1</f>
        <v>3.7756508796120691E-3</v>
      </c>
      <c r="N3" s="2">
        <f>'вместе-абс'!N3 / 'вместе-абс'!N$2 - 1</f>
        <v>1.7866965770950483E-2</v>
      </c>
      <c r="O3" s="2">
        <f>'вместе-абс'!O3 / 'вместе-абс'!O$2 - 1</f>
        <v>2.2879979657975724E-2</v>
      </c>
      <c r="P3" s="2">
        <f>'вместе-абс'!P3 / 'вместе-абс'!P$2 - 1</f>
        <v>1.3908334552315216E-2</v>
      </c>
      <c r="Q3" s="2">
        <f>'вместе-абс'!Q3 / 'вместе-абс'!Q$2 - 1</f>
        <v>1.6785600881658036E-2</v>
      </c>
      <c r="R3" s="2">
        <f>'вместе-абс'!R3 / 'вместе-абс'!R$2 - 1</f>
        <v>1.5491600720802134E-2</v>
      </c>
      <c r="S3" s="2">
        <f>'вместе-абс'!S3 / 'вместе-абс'!S$2 - 1</f>
        <v>1.2167999978810462E-2</v>
      </c>
      <c r="T3" s="2">
        <f>'вместе-абс'!T3 / 'вместе-абс'!T$2 - 1</f>
        <v>1.8280881444839858E-2</v>
      </c>
      <c r="U3" s="2">
        <f>'вместе-абс'!U3 / 'вместе-абс'!U$2 - 1</f>
        <v>1.2773155390167767E-2</v>
      </c>
      <c r="V3" s="2">
        <f>'вместе-абс'!V3 / 'вместе-абс'!V$2 - 1</f>
        <v>1.2181347659449004E-2</v>
      </c>
      <c r="W3" s="2">
        <f>'вместе-абс'!W3 / 'вместе-абс'!W$2 - 1</f>
        <v>-1.0186813186813137E-2</v>
      </c>
    </row>
    <row r="4" spans="1:23" x14ac:dyDescent="0.25">
      <c r="A4" s="9">
        <f>'вместе-абс'!A4</f>
        <v>1919</v>
      </c>
      <c r="B4" s="2">
        <f>'вместе-абс'!B4 / 'вместе-абс'!B$2 - 1</f>
        <v>4.6351045966242843E-2</v>
      </c>
      <c r="C4" s="2">
        <f>'вместе-абс'!C4 / 'вместе-абс'!C$2 - 1</f>
        <v>1.558808145969226E-2</v>
      </c>
      <c r="D4" s="2">
        <f>'вместе-абс'!D4 / 'вместе-абс'!D$2 - 1</f>
        <v>4.2402773158762619E-2</v>
      </c>
      <c r="E4" s="2">
        <f>'вместе-абс'!E4 / 'вместе-абс'!E$2 - 1</f>
        <v>2.2246936970797382E-2</v>
      </c>
      <c r="F4" s="2">
        <f>'вместе-абс'!F4 / 'вместе-абс'!F$2 - 1</f>
        <v>4.2082281626653062E-2</v>
      </c>
      <c r="G4" s="2">
        <f>'вместе-абс'!G4 / 'вместе-абс'!G$2 - 1</f>
        <v>2.2707261392852951E-2</v>
      </c>
      <c r="H4" s="2">
        <f>'вместе-абс'!H4 / 'вместе-абс'!H$2 - 1</f>
        <v>5.1588738498266062E-2</v>
      </c>
      <c r="I4" s="2">
        <f>'вместе-абс'!I4 / 'вместе-абс'!I$2 - 1</f>
        <v>5.7410662697207959E-2</v>
      </c>
      <c r="J4" s="2">
        <f>'вместе-абс'!J4 / 'вместе-абс'!J$2 - 1</f>
        <v>5.032889372492888E-2</v>
      </c>
      <c r="K4" s="2">
        <f>'вместе-абс'!K4 / 'вместе-абс'!K$2 - 1</f>
        <v>3.4991424530856685E-2</v>
      </c>
      <c r="L4" s="2">
        <f>'вместе-абс'!L4 / 'вместе-абс'!L$2 - 1</f>
        <v>5.8632574821174455E-2</v>
      </c>
      <c r="M4" s="2">
        <f>'вместе-абс'!M4 / 'вместе-абс'!M$2 - 1</f>
        <v>9.2955509401089209E-3</v>
      </c>
      <c r="N4" s="2">
        <f>'вместе-абс'!N4 / 'вместе-абс'!N$2 - 1</f>
        <v>3.6447552955829687E-2</v>
      </c>
      <c r="O4" s="2">
        <f>'вместе-абс'!O4 / 'вместе-абс'!O$2 - 1</f>
        <v>4.3461886290962815E-2</v>
      </c>
      <c r="P4" s="2">
        <f>'вместе-абс'!P4 / 'вместе-абс'!P$2 - 1</f>
        <v>2.8331626758692385E-2</v>
      </c>
      <c r="Q4" s="2">
        <f>'вместе-абс'!Q4 / 'вместе-абс'!Q$2 - 1</f>
        <v>3.3694587903558837E-2</v>
      </c>
      <c r="R4" s="2">
        <f>'вместе-абс'!R4 / 'вместе-абс'!R$2 - 1</f>
        <v>3.1473411353035718E-2</v>
      </c>
      <c r="S4" s="2">
        <f>'вместе-абс'!S4 / 'вместе-абс'!S$2 - 1</f>
        <v>2.5184457944824601E-2</v>
      </c>
      <c r="T4" s="2">
        <f>'вместе-абс'!T4 / 'вместе-абс'!T$2 - 1</f>
        <v>4.028863630908619E-2</v>
      </c>
      <c r="U4" s="2">
        <f>'вместе-абс'!U4 / 'вместе-абс'!U$2 - 1</f>
        <v>2.5857436004471213E-2</v>
      </c>
      <c r="V4" s="2">
        <f>'вместе-абс'!V4 / 'вместе-абс'!V$2 - 1</f>
        <v>2.4633930618796596E-2</v>
      </c>
      <c r="W4" s="2">
        <f>'вместе-абс'!W4 / 'вместе-абс'!W$2 - 1</f>
        <v>-2.0274725274725292E-2</v>
      </c>
    </row>
    <row r="5" spans="1:23" x14ac:dyDescent="0.25">
      <c r="A5" s="9">
        <f>'вместе-абс'!A5</f>
        <v>1920</v>
      </c>
      <c r="B5" s="2">
        <f>'вместе-абс'!B5 / 'вместе-абс'!B$2 - 1</f>
        <v>7.4012325909252663E-2</v>
      </c>
      <c r="C5" s="2">
        <f>'вместе-абс'!C5 / 'вместе-абс'!C$2 - 1</f>
        <v>2.3290184009461035E-2</v>
      </c>
      <c r="D5" s="2">
        <f>'вместе-абс'!D5 / 'вместе-абс'!D$2 - 1</f>
        <v>6.4190100047127219E-2</v>
      </c>
      <c r="E5" s="2">
        <f>'вместе-абс'!E5 / 'вместе-абс'!E$2 - 1</f>
        <v>3.3879963982894168E-2</v>
      </c>
      <c r="F5" s="2">
        <f>'вместе-абс'!F5 / 'вместе-абс'!F$2 - 1</f>
        <v>6.2092361994311229E-2</v>
      </c>
      <c r="G5" s="2">
        <f>'вместе-абс'!G5 / 'вместе-абс'!G$2 - 1</f>
        <v>3.484341531043178E-2</v>
      </c>
      <c r="H5" s="2">
        <f>'вместе-абс'!H5 / 'вместе-абс'!H$2 - 1</f>
        <v>7.7962040878833516E-2</v>
      </c>
      <c r="I5" s="2">
        <f>'вместе-абс'!I5 / 'вместе-абс'!I$2 - 1</f>
        <v>8.5602469812854354E-2</v>
      </c>
      <c r="J5" s="2">
        <f>'вместе-абс'!J5 / 'вместе-абс'!J$2 - 1</f>
        <v>6.6802744514920187E-2</v>
      </c>
      <c r="K5" s="2">
        <f>'вместе-абс'!K5 / 'вместе-абс'!K$2 - 1</f>
        <v>5.3922650271305717E-2</v>
      </c>
      <c r="L5" s="2">
        <f>'вместе-абс'!L5 / 'вместе-абс'!L$2 - 1</f>
        <v>8.8718426415605567E-2</v>
      </c>
      <c r="M5" s="2">
        <f>'вместе-абс'!M5 / 'вместе-абс'!M$2 - 1</f>
        <v>9.8013948642778903E-3</v>
      </c>
      <c r="N5" s="2">
        <f>'вместе-абс'!N5 / 'вместе-абс'!N$2 - 1</f>
        <v>5.3913106681445555E-2</v>
      </c>
      <c r="O5" s="2">
        <f>'вместе-абс'!O5 / 'вместе-абс'!O$2 - 1</f>
        <v>6.2945131707410784E-2</v>
      </c>
      <c r="P5" s="2">
        <f>'вместе-абс'!P5 / 'вместе-абс'!P$2 - 1</f>
        <v>4.3348986055842254E-2</v>
      </c>
      <c r="Q5" s="2">
        <f>'вместе-абс'!Q5 / 'вместе-абс'!Q$2 - 1</f>
        <v>5.0727624432047813E-2</v>
      </c>
      <c r="R5" s="2">
        <f>'вместе-абс'!R5 / 'вместе-абс'!R$2 - 1</f>
        <v>4.7992195342199562E-2</v>
      </c>
      <c r="S5" s="2">
        <f>'вместе-абс'!S5 / 'вместе-абс'!S$2 - 1</f>
        <v>3.8285673420486388E-2</v>
      </c>
      <c r="T5" s="2">
        <f>'вместе-абс'!T5 / 'вместе-абс'!T$2 - 1</f>
        <v>5.6932282768156428E-2</v>
      </c>
      <c r="U5" s="2">
        <f>'вместе-абс'!U5 / 'вместе-абс'!U$2 - 1</f>
        <v>3.926986304351332E-2</v>
      </c>
      <c r="V5" s="2">
        <f>'вместе-абс'!V5 / 'вместе-абс'!V$2 - 1</f>
        <v>3.7353817931667033E-2</v>
      </c>
      <c r="W5" s="2">
        <f>'вместе-абс'!W5 / 'вместе-абс'!W$2 - 1</f>
        <v>-3.0252747252747292E-2</v>
      </c>
    </row>
    <row r="6" spans="1:23" x14ac:dyDescent="0.25">
      <c r="A6" s="9">
        <f>'вместе-абс'!A6</f>
        <v>1921</v>
      </c>
      <c r="B6" s="2">
        <f>'вместе-абс'!B6 / 'вместе-абс'!B$2 - 1</f>
        <v>0.10459159575327814</v>
      </c>
      <c r="C6" s="2">
        <f>'вместе-абс'!C6 / 'вместе-абс'!C$2 - 1</f>
        <v>3.2653089393982038E-2</v>
      </c>
      <c r="D6" s="2">
        <f>'вместе-абс'!D6 / 'вместе-абс'!D$2 - 1</f>
        <v>8.6074960896285857E-2</v>
      </c>
      <c r="E6" s="2">
        <f>'вместе-абс'!E6 / 'вместе-абс'!E$2 - 1</f>
        <v>4.6222563148991203E-2</v>
      </c>
      <c r="F6" s="2">
        <f>'вместе-абс'!F6 / 'вместе-абс'!F$2 - 1</f>
        <v>7.7043238971282069E-2</v>
      </c>
      <c r="G6" s="2">
        <f>'вместе-абс'!G6 / 'вместе-абс'!G$2 - 1</f>
        <v>5.8406201272400704E-2</v>
      </c>
      <c r="H6" s="2">
        <f>'вместе-абс'!H6 / 'вместе-абс'!H$2 - 1</f>
        <v>0.10506956500581799</v>
      </c>
      <c r="I6" s="2">
        <f>'вместе-абс'!I6 / 'вместе-абс'!I$2 - 1</f>
        <v>0.12526074055213354</v>
      </c>
      <c r="J6" s="2">
        <f>'вместе-абс'!J6 / 'вместе-абс'!J$2 - 1</f>
        <v>8.8552137183006252E-2</v>
      </c>
      <c r="K6" s="2">
        <f>'вместе-абс'!K6 / 'вместе-абс'!K$2 - 1</f>
        <v>7.0978305567535704E-2</v>
      </c>
      <c r="L6" s="2">
        <f>'вместе-абс'!L6 / 'вместе-абс'!L$2 - 1</f>
        <v>0.11960433263722603</v>
      </c>
      <c r="M6" s="2">
        <f>'вместе-абс'!M6 / 'вместе-абс'!M$2 - 1</f>
        <v>1.7276415304858794E-2</v>
      </c>
      <c r="N6" s="2">
        <f>'вместе-абс'!N6 / 'вместе-абс'!N$2 - 1</f>
        <v>6.7871673690000911E-2</v>
      </c>
      <c r="O6" s="2">
        <f>'вместе-абс'!O6 / 'вместе-абс'!O$2 - 1</f>
        <v>7.2713141475420517E-2</v>
      </c>
      <c r="P6" s="2">
        <f>'вместе-абс'!P6 / 'вместе-абс'!P$2 - 1</f>
        <v>6.5902638672872049E-2</v>
      </c>
      <c r="Q6" s="2">
        <f>'вместе-абс'!Q6 / 'вместе-абс'!Q$2 - 1</f>
        <v>6.7947288025706598E-2</v>
      </c>
      <c r="R6" s="2">
        <f>'вместе-абс'!R6 / 'вместе-абс'!R$2 - 1</f>
        <v>6.5088266003378026E-2</v>
      </c>
      <c r="S6" s="2">
        <f>'вместе-абс'!S6 / 'вместе-абс'!S$2 - 1</f>
        <v>5.5145354714592365E-2</v>
      </c>
      <c r="T6" s="2">
        <f>'вместе-абс'!T6 / 'вместе-абс'!T$2 - 1</f>
        <v>7.3762854767583264E-2</v>
      </c>
      <c r="U6" s="2">
        <f>'вместе-абс'!U6 / 'вместе-абс'!U$2 - 1</f>
        <v>5.5679137532975043E-2</v>
      </c>
      <c r="V6" s="2">
        <f>'вместе-абс'!V6 / 'вместе-абс'!V$2 - 1</f>
        <v>5.5860713466767242E-2</v>
      </c>
      <c r="W6" s="2">
        <f>'вместе-абс'!W6 / 'вместе-абс'!W$2 - 1</f>
        <v>-3.2054945054945105E-2</v>
      </c>
    </row>
    <row r="7" spans="1:23" x14ac:dyDescent="0.25">
      <c r="A7" s="9">
        <f>'вместе-абс'!A7</f>
        <v>1922</v>
      </c>
      <c r="B7" s="2">
        <f>'вместе-абс'!B7 / 'вместе-абс'!B$2 - 1</f>
        <v>0.14001023667062773</v>
      </c>
      <c r="C7" s="2">
        <f>'вместе-абс'!C7 / 'вместе-абс'!C$2 - 1</f>
        <v>4.1904584436961212E-2</v>
      </c>
      <c r="D7" s="2">
        <f>'вместе-абс'!D7 / 'вместе-абс'!D$2 - 1</f>
        <v>0.10831285901927279</v>
      </c>
      <c r="E7" s="2">
        <f>'вместе-абс'!E7 / 'вместе-абс'!E$2 - 1</f>
        <v>5.9297080313897021E-2</v>
      </c>
      <c r="F7" s="2">
        <f>'вместе-абс'!F7 / 'вместе-абс'!F$2 - 1</f>
        <v>9.1499607346155587E-2</v>
      </c>
      <c r="G7" s="2">
        <f>'вместе-абс'!G7 / 'вместе-абс'!G$2 - 1</f>
        <v>8.3706291243360376E-2</v>
      </c>
      <c r="H7" s="2">
        <f>'вместе-абс'!H7 / 'вместе-абс'!H$2 - 1</f>
        <v>0.13282543699075</v>
      </c>
      <c r="I7" s="2">
        <f>'вместе-абс'!I7 / 'вместе-абс'!I$2 - 1</f>
        <v>0.16595218042756565</v>
      </c>
      <c r="J7" s="2">
        <f>'вместе-абс'!J7 / 'вместе-абс'!J$2 - 1</f>
        <v>0.11054448013281504</v>
      </c>
      <c r="K7" s="2">
        <f>'вместе-абс'!K7 / 'вместе-абс'!K$2 - 1</f>
        <v>9.1133165501539493E-2</v>
      </c>
      <c r="L7" s="2">
        <f>'вместе-абс'!L7 / 'вместе-абс'!L$2 - 1</f>
        <v>0.15149185905162676</v>
      </c>
      <c r="M7" s="2">
        <f>'вместе-абс'!M7 / 'вместе-абс'!M$2 - 1</f>
        <v>2.3162698929091174E-2</v>
      </c>
      <c r="N7" s="2">
        <f>'вместе-абс'!N7 / 'вместе-абс'!N$2 - 1</f>
        <v>8.1029068509307578E-2</v>
      </c>
      <c r="O7" s="2">
        <f>'вместе-абс'!O7 / 'вместе-абс'!O$2 - 1</f>
        <v>8.2243667705357293E-2</v>
      </c>
      <c r="P7" s="2">
        <f>'вместе-абс'!P7 / 'вместе-абс'!P$2 - 1</f>
        <v>9.0120574722594604E-2</v>
      </c>
      <c r="Q7" s="2">
        <f>'вместе-абс'!Q7 / 'вместе-абс'!Q$2 - 1</f>
        <v>8.5502836112248515E-2</v>
      </c>
      <c r="R7" s="2">
        <f>'вместе-абс'!R7 / 'вместе-абс'!R$2 - 1</f>
        <v>8.2770492265890505E-2</v>
      </c>
      <c r="S7" s="2">
        <f>'вместе-абс'!S7 / 'вместе-абс'!S$2 - 1</f>
        <v>7.223017314370006E-2</v>
      </c>
      <c r="T7" s="2">
        <f>'вместе-абс'!T7 / 'вместе-абс'!T$2 - 1</f>
        <v>9.0837084572533477E-2</v>
      </c>
      <c r="U7" s="2">
        <f>'вместе-абс'!U7 / 'вместе-абс'!U$2 - 1</f>
        <v>7.0343041370446668E-2</v>
      </c>
      <c r="V7" s="2">
        <f>'вместе-абс'!V7 / 'вместе-абс'!V$2 - 1</f>
        <v>7.8193074982802147E-2</v>
      </c>
      <c r="W7" s="2">
        <f>'вместе-абс'!W7 / 'вместе-абс'!W$2 - 1</f>
        <v>-3.3857142857142808E-2</v>
      </c>
    </row>
    <row r="8" spans="1:23" x14ac:dyDescent="0.25">
      <c r="A8" s="9">
        <f>'вместе-абс'!A8</f>
        <v>1923</v>
      </c>
      <c r="B8" s="2">
        <f>'вместе-абс'!B8 / 'вместе-абс'!B$2 - 1</f>
        <v>0.18025735349139294</v>
      </c>
      <c r="C8" s="2">
        <f>'вместе-абс'!C8 / 'вместе-абс'!C$2 - 1</f>
        <v>5.1348336264016803E-2</v>
      </c>
      <c r="D8" s="2">
        <f>'вместе-абс'!D8 / 'вместе-абс'!D$2 - 1</f>
        <v>0.13096930808609653</v>
      </c>
      <c r="E8" s="2">
        <f>'вместе-абс'!E8 / 'вместе-абс'!E$2 - 1</f>
        <v>7.2897640645113615E-2</v>
      </c>
      <c r="F8" s="2">
        <f>'вместе-абс'!F8 / 'вместе-абс'!F$2 - 1</f>
        <v>0.1058393557774171</v>
      </c>
      <c r="G8" s="2">
        <f>'вместе-абс'!G8 / 'вместе-абс'!G$2 - 1</f>
        <v>0.11045360091956091</v>
      </c>
      <c r="H8" s="2">
        <f>'вместе-абс'!H8 / 'вместе-абс'!H$2 - 1</f>
        <v>0.16118099496349658</v>
      </c>
      <c r="I8" s="2">
        <f>'вместе-абс'!I8 / 'вместе-абс'!I$2 - 1</f>
        <v>0.20771473759462555</v>
      </c>
      <c r="J8" s="2">
        <f>'вместе-абс'!J8 / 'вместе-абс'!J$2 - 1</f>
        <v>0.13275139705170114</v>
      </c>
      <c r="K8" s="2">
        <f>'вместе-абс'!K8 / 'вместе-абс'!K$2 - 1</f>
        <v>0.11433958857807669</v>
      </c>
      <c r="L8" s="2">
        <f>'вместе-абс'!L8 / 'вместе-абс'!L$2 - 1</f>
        <v>0.18398517762782896</v>
      </c>
      <c r="M8" s="2">
        <f>'вместе-абс'!M8 / 'вместе-абс'!M$2 - 1</f>
        <v>3.4753617857621322E-2</v>
      </c>
      <c r="N8" s="2">
        <f>'вместе-абс'!N8 / 'вместе-абс'!N$2 - 1</f>
        <v>9.5083445800288269E-2</v>
      </c>
      <c r="O8" s="2">
        <f>'вместе-абс'!O8 / 'вместе-абс'!O$2 - 1</f>
        <v>9.1683038637851988E-2</v>
      </c>
      <c r="P8" s="2">
        <f>'вместе-абс'!P8 / 'вместе-абс'!P$2 - 1</f>
        <v>0.11515497986440937</v>
      </c>
      <c r="Q8" s="2">
        <f>'вместе-абс'!Q8 / 'вместе-абс'!Q$2 - 1</f>
        <v>0.10313887264869814</v>
      </c>
      <c r="R8" s="2">
        <f>'вместе-абс'!R8 / 'вместе-абс'!R$2 - 1</f>
        <v>0.10103484279822772</v>
      </c>
      <c r="S8" s="2">
        <f>'вместе-абс'!S8 / 'вместе-абс'!S$2 - 1</f>
        <v>9.1213206632628108E-2</v>
      </c>
      <c r="T8" s="2">
        <f>'вместе-абс'!T8 / 'вместе-абс'!T$2 - 1</f>
        <v>0.10809314856070973</v>
      </c>
      <c r="U8" s="2">
        <f>'вместе-абс'!U8 / 'вместе-абс'!U$2 - 1</f>
        <v>8.5207851182247829E-2</v>
      </c>
      <c r="V8" s="2">
        <f>'вместе-абс'!V8 / 'вместе-абс'!V$2 - 1</f>
        <v>9.9513872964916317E-2</v>
      </c>
      <c r="W8" s="2">
        <f>'вместе-абс'!W8 / 'вместе-абс'!W$2 - 1</f>
        <v>-3.5659340659340621E-2</v>
      </c>
    </row>
    <row r="9" spans="1:23" x14ac:dyDescent="0.25">
      <c r="A9" s="9">
        <f>'вместе-абс'!A9</f>
        <v>1924</v>
      </c>
      <c r="B9" s="2">
        <f>'вместе-абс'!B9 / 'вместе-абс'!B$2 - 1</f>
        <v>0.21831765406638248</v>
      </c>
      <c r="C9" s="2">
        <f>'вместе-абс'!C9 / 'вместе-абс'!C$2 - 1</f>
        <v>6.0548562831242547E-2</v>
      </c>
      <c r="D9" s="2">
        <f>'вместе-абс'!D9 / 'вместе-абс'!D$2 - 1</f>
        <v>0.15409032272770395</v>
      </c>
      <c r="E9" s="2">
        <f>'вместе-абс'!E9 / 'вместе-абс'!E$2 - 1</f>
        <v>8.6635939298428388E-2</v>
      </c>
      <c r="F9" s="2">
        <f>'вместе-абс'!F9 / 'вместе-абс'!F$2 - 1</f>
        <v>0.11944034439420936</v>
      </c>
      <c r="G9" s="2">
        <f>'вместе-абс'!G9 / 'вместе-абс'!G$2 - 1</f>
        <v>0.13995959311353956</v>
      </c>
      <c r="H9" s="2">
        <f>'вместе-абс'!H9 / 'вместе-абс'!H$2 - 1</f>
        <v>0.19080033032822441</v>
      </c>
      <c r="I9" s="2">
        <f>'вместе-абс'!I9 / 'вместе-абс'!I$2 - 1</f>
        <v>0.25058513607474064</v>
      </c>
      <c r="J9" s="2">
        <f>'вместе-абс'!J9 / 'вместе-абс'!J$2 - 1</f>
        <v>0.15523279348858199</v>
      </c>
      <c r="K9" s="2">
        <f>'вместе-абс'!K9 / 'вместе-абс'!K$2 - 1</f>
        <v>0.1380349638426126</v>
      </c>
      <c r="L9" s="2">
        <f>'вместе-абс'!L9 / 'вместе-абс'!L$2 - 1</f>
        <v>0.21705288503496178</v>
      </c>
      <c r="M9" s="2">
        <f>'вместе-абс'!M9 / 'вместе-абс'!M$2 - 1</f>
        <v>4.7234942825711057E-2</v>
      </c>
      <c r="N9" s="2">
        <f>'вместе-абс'!N9 / 'вместе-абс'!N$2 - 1</f>
        <v>0.10842915738160386</v>
      </c>
      <c r="O9" s="2">
        <f>'вместе-абс'!O9 / 'вместе-абс'!O$2 - 1</f>
        <v>0.10118957663161976</v>
      </c>
      <c r="P9" s="2">
        <f>'вместе-абс'!P9 / 'вместе-абс'!P$2 - 1</f>
        <v>0.14164768537729233</v>
      </c>
      <c r="Q9" s="2">
        <f>'вместе-абс'!Q9 / 'вместе-абс'!Q$2 - 1</f>
        <v>0.12082046034086424</v>
      </c>
      <c r="R9" s="2">
        <f>'вместе-абс'!R9 / 'вместе-абс'!R$2 - 1</f>
        <v>0.11987567373627828</v>
      </c>
      <c r="S9" s="2">
        <f>'вместе-абс'!S9 / 'вместе-абс'!S$2 - 1</f>
        <v>0.11199998587374838</v>
      </c>
      <c r="T9" s="2">
        <f>'вместе-абс'!T9 / 'вместе-абс'!T$2 - 1</f>
        <v>0.12546776843634988</v>
      </c>
      <c r="U9" s="2">
        <f>'вместе-абс'!U9 / 'вместе-абс'!U$2 - 1</f>
        <v>0.10054534810587534</v>
      </c>
      <c r="V9" s="2">
        <f>'вместе-абс'!V9 / 'вместе-абс'!V$2 - 1</f>
        <v>0.12219084744652275</v>
      </c>
      <c r="W9" s="2">
        <f>'вместе-абс'!W9 / 'вместе-абс'!W$2 - 1</f>
        <v>-1.7747252747252751E-2</v>
      </c>
    </row>
    <row r="10" spans="1:23" x14ac:dyDescent="0.25">
      <c r="A10" s="9">
        <f>'вместе-абс'!A10</f>
        <v>1925</v>
      </c>
      <c r="B10" s="2">
        <f>'вместе-абс'!B10 / 'вместе-абс'!B$2 - 1</f>
        <v>0.25429973091324864</v>
      </c>
      <c r="C10" s="2">
        <f>'вместе-абс'!C10 / 'вместе-абс'!C$2 - 1</f>
        <v>7.0055907286877162E-2</v>
      </c>
      <c r="D10" s="2">
        <f>'вместе-абс'!D10 / 'вместе-абс'!D$2 - 1</f>
        <v>0.17766392440916468</v>
      </c>
      <c r="E10" s="2">
        <f>'вместе-абс'!E10 / 'вместе-абс'!E$2 - 1</f>
        <v>0.10085558942843731</v>
      </c>
      <c r="F10" s="2">
        <f>'вместе-абс'!F10 / 'вместе-абс'!F$2 - 1</f>
        <v>0.1334327355685323</v>
      </c>
      <c r="G10" s="2">
        <f>'вместе-абс'!G10 / 'вместе-абс'!G$2 - 1</f>
        <v>0.16617284029674417</v>
      </c>
      <c r="H10" s="2">
        <f>'вместе-абс'!H10 / 'вместе-абс'!H$2 - 1</f>
        <v>0.22020211850882854</v>
      </c>
      <c r="I10" s="2">
        <f>'вместе-абс'!I10 / 'вместе-абс'!I$2 - 1</f>
        <v>0.29460377229148094</v>
      </c>
      <c r="J10" s="2">
        <f>'вместе-абс'!J10 / 'вместе-абс'!J$2 - 1</f>
        <v>0.17813545555454935</v>
      </c>
      <c r="K10" s="2">
        <f>'вместе-абс'!K10 / 'вместе-абс'!K$2 - 1</f>
        <v>0.16343038825311162</v>
      </c>
      <c r="L10" s="2">
        <f>'вместе-абс'!L10 / 'вместе-абс'!L$2 - 1</f>
        <v>0.25011548027195274</v>
      </c>
      <c r="M10" s="2">
        <f>'вместе-абс'!M10 / 'вместе-абс'!M$2 - 1</f>
        <v>6.0628556693654856E-2</v>
      </c>
      <c r="N10" s="2">
        <f>'вместе-абс'!N10 / 'вместе-абс'!N$2 - 1</f>
        <v>0.12193675530219039</v>
      </c>
      <c r="O10" s="2">
        <f>'вместе-абс'!O10 / 'вместе-абс'!O$2 - 1</f>
        <v>0.11091200875090856</v>
      </c>
      <c r="P10" s="2">
        <f>'вместе-абс'!P10 / 'вместе-абс'!P$2 - 1</f>
        <v>0.16875087692064294</v>
      </c>
      <c r="Q10" s="2">
        <f>'вместе-абс'!Q10 / 'вместе-абс'!Q$2 - 1</f>
        <v>0.13884478731148242</v>
      </c>
      <c r="R10" s="2">
        <f>'вместе-абс'!R10 / 'вместе-абс'!R$2 - 1</f>
        <v>0.13928976001483528</v>
      </c>
      <c r="S10" s="2">
        <f>'вместе-абс'!S10 / 'вместе-абс'!S$2 - 1</f>
        <v>0.13185090094584084</v>
      </c>
      <c r="T10" s="2">
        <f>'вместе-абс'!T10 / 'вместе-абс'!T$2 - 1</f>
        <v>0.14290057525062205</v>
      </c>
      <c r="U10" s="2">
        <f>'вместе-абс'!U10 / 'вместе-абс'!U$2 - 1</f>
        <v>0.11606924112790851</v>
      </c>
      <c r="V10" s="2">
        <f>'вместе-абс'!V10 / 'вместе-абс'!V$2 - 1</f>
        <v>0.14531726013037649</v>
      </c>
      <c r="W10" s="2">
        <f>'вместе-абс'!W10 / 'вместе-абс'!W$2 - 1</f>
        <v>4.8351648351641074E-4</v>
      </c>
    </row>
    <row r="11" spans="1:23" x14ac:dyDescent="0.25">
      <c r="A11" s="9">
        <f>'вместе-абс'!A11</f>
        <v>1926</v>
      </c>
      <c r="B11" s="2">
        <f>'вместе-абс'!B11 / 'вместе-абс'!B$2 - 1</f>
        <v>0.29148506553564424</v>
      </c>
      <c r="C11" s="2">
        <f>'вместе-абс'!C11 / 'вместе-абс'!C$2 - 1</f>
        <v>7.9681563609635964E-2</v>
      </c>
      <c r="D11" s="2">
        <f>'вместе-абс'!D11 / 'вместе-абс'!D$2 - 1</f>
        <v>0.20169736227621304</v>
      </c>
      <c r="E11" s="2">
        <f>'вместе-абс'!E11 / 'вместе-абс'!E$2 - 1</f>
        <v>0.11535108252796711</v>
      </c>
      <c r="F11" s="2">
        <f>'вместе-абс'!F11 / 'вместе-абс'!F$2 - 1</f>
        <v>0.14844417483381656</v>
      </c>
      <c r="G11" s="2">
        <f>'вместе-абс'!G11 / 'вместе-абс'!G$2 - 1</f>
        <v>0.19264543437402937</v>
      </c>
      <c r="H11" s="2">
        <f>'вместе-абс'!H11 / 'вместе-абс'!H$2 - 1</f>
        <v>0.25005331337242498</v>
      </c>
      <c r="I11" s="2">
        <f>'вместе-абс'!I11 / 'вместе-абс'!I$2 - 1</f>
        <v>0.33980981853436898</v>
      </c>
      <c r="J11" s="2">
        <f>'вместе-абс'!J11 / 'вместе-абс'!J$2 - 1</f>
        <v>0.20151928879852066</v>
      </c>
      <c r="K11" s="2">
        <f>'вместе-абс'!K11 / 'вместе-абс'!K$2 - 1</f>
        <v>0.19047571286721565</v>
      </c>
      <c r="L11" s="2">
        <f>'вместе-абс'!L11 / 'вместе-абс'!L$2 - 1</f>
        <v>0.28314192516294123</v>
      </c>
      <c r="M11" s="2">
        <f>'вместе-абс'!M11 / 'вместе-абс'!M$2 - 1</f>
        <v>7.4750615995657466E-2</v>
      </c>
      <c r="N11" s="2">
        <f>'вместе-абс'!N11 / 'вместе-абс'!N$2 - 1</f>
        <v>0.13647679161098369</v>
      </c>
      <c r="O11" s="2">
        <f>'вместе-абс'!O11 / 'вместе-абс'!O$2 - 1</f>
        <v>0.12100625853081648</v>
      </c>
      <c r="P11" s="2">
        <f>'вместе-абс'!P11 / 'вместе-абс'!P$2 - 1</f>
        <v>0.19635857770188592</v>
      </c>
      <c r="Q11" s="2">
        <f>'вместе-абс'!Q11 / 'вместе-абс'!Q$2 - 1</f>
        <v>0.15728747732392723</v>
      </c>
      <c r="R11" s="2">
        <f>'вместе-абс'!R11 / 'вместе-абс'!R$2 - 1</f>
        <v>0.15927226403608841</v>
      </c>
      <c r="S11" s="2">
        <f>'вместе-абс'!S11 / 'вместе-абс'!S$2 - 1</f>
        <v>0.15067059965055174</v>
      </c>
      <c r="T11" s="2">
        <f>'вместе-абс'!T11 / 'вместе-абс'!T$2 - 1</f>
        <v>0.16578331620455322</v>
      </c>
      <c r="U11" s="2">
        <f>'вместе-абс'!U11 / 'вместе-абс'!U$2 - 1</f>
        <v>0.13191151431203929</v>
      </c>
      <c r="V11" s="2">
        <f>'вместе-абс'!V11 / 'вместе-абс'!V$2 - 1</f>
        <v>0.16864218560618482</v>
      </c>
      <c r="W11" s="2">
        <f>'вместе-абс'!W11 / 'вместе-абс'!W$2 - 1</f>
        <v>1.9065934065934043E-2</v>
      </c>
    </row>
    <row r="12" spans="1:23" x14ac:dyDescent="0.25">
      <c r="A12" s="9">
        <f>'вместе-абс'!A12</f>
        <v>1927</v>
      </c>
      <c r="B12" s="2">
        <f>'вместе-абс'!B12 / 'вместе-абс'!B$2 - 1</f>
        <v>0.32944323885864102</v>
      </c>
      <c r="C12" s="2">
        <f>'вместе-абс'!C12 / 'вместе-абс'!C$2 - 1</f>
        <v>8.9728705959023491E-2</v>
      </c>
      <c r="D12" s="2">
        <f>'вместе-абс'!D12 / 'вместе-абс'!D$2 - 1</f>
        <v>0.22621738451364615</v>
      </c>
      <c r="E12" s="2">
        <f>'вместе-абс'!E12 / 'вместе-абс'!E$2 - 1</f>
        <v>0.13064992706462797</v>
      </c>
      <c r="F12" s="2">
        <f>'вместе-абс'!F12 / 'вместе-абс'!F$2 - 1</f>
        <v>0.16385352334876435</v>
      </c>
      <c r="G12" s="2">
        <f>'вместе-абс'!G12 / 'вместе-абс'!G$2 - 1</f>
        <v>0.21972957483118449</v>
      </c>
      <c r="H12" s="2">
        <f>'вместе-абс'!H12 / 'вместе-абс'!H$2 - 1</f>
        <v>0.27171643297042092</v>
      </c>
      <c r="I12" s="2">
        <f>'вместе-абс'!I12 / 'вместе-абс'!I$2 - 1</f>
        <v>0.38623999882483129</v>
      </c>
      <c r="J12" s="2">
        <f>'вместе-абс'!J12 / 'вместе-абс'!J$2 - 1</f>
        <v>0.22535591690785073</v>
      </c>
      <c r="K12" s="2">
        <f>'вместе-абс'!K12 / 'вместе-абс'!K$2 - 1</f>
        <v>0.21284966350059675</v>
      </c>
      <c r="L12" s="2">
        <f>'вместе-абс'!L12 / 'вместе-абс'!L$2 - 1</f>
        <v>0.31591823887199233</v>
      </c>
      <c r="M12" s="2">
        <f>'вместе-абс'!M12 / 'вместе-абс'!M$2 - 1</f>
        <v>8.9520243326430826E-2</v>
      </c>
      <c r="N12" s="2">
        <f>'вместе-абс'!N12 / 'вместе-абс'!N$2 - 1</f>
        <v>0.15127122073863108</v>
      </c>
      <c r="O12" s="2">
        <f>'вместе-абс'!O12 / 'вместе-абс'!O$2 - 1</f>
        <v>0.13282286366765739</v>
      </c>
      <c r="P12" s="2">
        <f>'вместе-абс'!P12 / 'вместе-абс'!P$2 - 1</f>
        <v>0.22511560426175969</v>
      </c>
      <c r="Q12" s="2">
        <f>'вместе-абс'!Q12 / 'вместе-абс'!Q$2 - 1</f>
        <v>0.17600369539278815</v>
      </c>
      <c r="R12" s="2">
        <f>'вместе-абс'!R12 / 'вместе-абс'!R$2 - 1</f>
        <v>0.1798199607348312</v>
      </c>
      <c r="S12" s="2">
        <f>'вместе-абс'!S12 / 'вместе-абс'!S$2 - 1</f>
        <v>0.17057537105689957</v>
      </c>
      <c r="T12" s="2">
        <f>'вместе-абс'!T12 / 'вместе-абс'!T$2 - 1</f>
        <v>0.18823547381260464</v>
      </c>
      <c r="U12" s="2">
        <f>'вместе-абс'!U12 / 'вместе-абс'!U$2 - 1</f>
        <v>0.14806491272030575</v>
      </c>
      <c r="V12" s="2">
        <f>'вместе-абс'!V12 / 'вместе-абс'!V$2 - 1</f>
        <v>0.19256789071969083</v>
      </c>
      <c r="W12" s="2">
        <f>'вместе-абс'!W12 / 'вместе-абс'!W$2 - 1</f>
        <v>2.8615384615384709E-2</v>
      </c>
    </row>
    <row r="13" spans="1:23" x14ac:dyDescent="0.25">
      <c r="A13" s="9">
        <f>'вместе-абс'!A13</f>
        <v>1928</v>
      </c>
      <c r="B13" s="2">
        <f>'вместе-абс'!B13 / 'вместе-абс'!B$2 - 1</f>
        <v>0.36618785787190977</v>
      </c>
      <c r="C13" s="2">
        <f>'вместе-абс'!C13 / 'вместе-абс'!C$2 - 1</f>
        <v>0.10000902127986833</v>
      </c>
      <c r="D13" s="2">
        <f>'вместе-абс'!D13 / 'вместе-абс'!D$2 - 1</f>
        <v>0.25123127903268316</v>
      </c>
      <c r="E13" s="2">
        <f>'вместе-абс'!E13 / 'вместе-абс'!E$2 - 1</f>
        <v>0.14691293985597564</v>
      </c>
      <c r="F13" s="2">
        <f>'вместе-абс'!F13 / 'вместе-абс'!F$2 - 1</f>
        <v>0.17928789760268438</v>
      </c>
      <c r="G13" s="2">
        <f>'вместе-абс'!G13 / 'вместе-абс'!G$2 - 1</f>
        <v>0.25065653185964543</v>
      </c>
      <c r="H13" s="2">
        <f>'вместе-абс'!H13 / 'вместе-абс'!H$2 - 1</f>
        <v>0.29587562025994041</v>
      </c>
      <c r="I13" s="2">
        <f>'вместе-абс'!I13 / 'вместе-абс'!I$2 - 1</f>
        <v>0.43454677661022578</v>
      </c>
      <c r="J13" s="2">
        <f>'вместе-абс'!J13 / 'вместе-абс'!J$2 - 1</f>
        <v>0.24979265148090191</v>
      </c>
      <c r="K13" s="2">
        <f>'вместе-абс'!K13 / 'вместе-абс'!K$2 - 1</f>
        <v>0.2367757238999828</v>
      </c>
      <c r="L13" s="2">
        <f>'вместе-абс'!L13 / 'вместе-абс'!L$2 - 1</f>
        <v>0.31427138977631697</v>
      </c>
      <c r="M13" s="2">
        <f>'вместе-абс'!M13 / 'вместе-абс'!M$2 - 1</f>
        <v>0.10475352662187154</v>
      </c>
      <c r="N13" s="2">
        <f>'вместе-абс'!N13 / 'вместе-абс'!N$2 - 1</f>
        <v>0.16553869331293769</v>
      </c>
      <c r="O13" s="2">
        <f>'вместе-абс'!O13 / 'вместе-абс'!O$2 - 1</f>
        <v>0.14411652525601459</v>
      </c>
      <c r="P13" s="2">
        <f>'вместе-абс'!P13 / 'вместе-абс'!P$2 - 1</f>
        <v>0.25417264962878283</v>
      </c>
      <c r="Q13" s="2">
        <f>'вместе-абс'!Q13 / 'вместе-абс'!Q$2 - 1</f>
        <v>0.19440569893604875</v>
      </c>
      <c r="R13" s="2">
        <f>'вместе-абс'!R13 / 'вместе-абс'!R$2 - 1</f>
        <v>0.20092720624695115</v>
      </c>
      <c r="S13" s="2">
        <f>'вместе-абс'!S13 / 'вместе-абс'!S$2 - 1</f>
        <v>0.19411853514302391</v>
      </c>
      <c r="T13" s="2">
        <f>'вместе-абс'!T13 / 'вместе-абс'!T$2 - 1</f>
        <v>0.21092256118538444</v>
      </c>
      <c r="U13" s="2">
        <f>'вместе-абс'!U13 / 'вместе-абс'!U$2 - 1</f>
        <v>0.16438294241309293</v>
      </c>
      <c r="V13" s="2">
        <f>'вместе-абс'!V13 / 'вместе-абс'!V$2 - 1</f>
        <v>0.21979165984210702</v>
      </c>
      <c r="W13" s="2">
        <f>'вместе-абс'!W13 / 'вместе-абс'!W$2 - 1</f>
        <v>5.040659340659337E-2</v>
      </c>
    </row>
    <row r="14" spans="1:23" x14ac:dyDescent="0.25">
      <c r="A14" s="9">
        <f>'вместе-абс'!A14</f>
        <v>1929</v>
      </c>
      <c r="B14" s="2">
        <f>'вместе-абс'!B14 / 'вместе-абс'!B$2 - 1</f>
        <v>0.40176753179503888</v>
      </c>
      <c r="C14" s="2">
        <f>'вместе-абс'!C14 / 'вместе-абс'!C$2 - 1</f>
        <v>0.11057969364127929</v>
      </c>
      <c r="D14" s="2">
        <f>'вместе-абс'!D14 / 'вместе-абс'!D$2 - 1</f>
        <v>0.27674637251002987</v>
      </c>
      <c r="E14" s="2">
        <f>'вместе-абс'!E14 / 'вместе-абс'!E$2 - 1</f>
        <v>0.16338512440774355</v>
      </c>
      <c r="F14" s="2">
        <f>'вместе-абс'!F14 / 'вместе-абс'!F$2 - 1</f>
        <v>0.19537594415856718</v>
      </c>
      <c r="G14" s="2">
        <f>'вместе-абс'!G14 / 'вместе-абс'!G$2 - 1</f>
        <v>0.27713424883854221</v>
      </c>
      <c r="H14" s="2">
        <f>'вместе-абс'!H14 / 'вместе-абс'!H$2 - 1</f>
        <v>0.31961688795890653</v>
      </c>
      <c r="I14" s="2">
        <f>'вместе-абс'!I14 / 'вместе-абс'!I$2 - 1</f>
        <v>0.48354274186440516</v>
      </c>
      <c r="J14" s="2">
        <f>'вместе-абс'!J14 / 'вместе-абс'!J$2 - 1</f>
        <v>0.27488904774174472</v>
      </c>
      <c r="K14" s="2">
        <f>'вместе-абс'!K14 / 'вместе-абс'!K$2 - 1</f>
        <v>0.26471119224095552</v>
      </c>
      <c r="L14" s="2">
        <f>'вместе-абс'!L14 / 'вместе-абс'!L$2 - 1</f>
        <v>0.3428024113376249</v>
      </c>
      <c r="M14" s="2">
        <f>'вместе-абс'!M14 / 'вместе-абс'!M$2 - 1</f>
        <v>0.14214941411213999</v>
      </c>
      <c r="N14" s="2">
        <f>'вместе-абс'!N14 / 'вместе-абс'!N$2 - 1</f>
        <v>0.18097571209340502</v>
      </c>
      <c r="O14" s="2">
        <f>'вместе-абс'!O14 / 'вместе-абс'!O$2 - 1</f>
        <v>0.15623778099220154</v>
      </c>
      <c r="P14" s="2">
        <f>'вместе-абс'!P14 / 'вместе-абс'!P$2 - 1</f>
        <v>0.28342373701037982</v>
      </c>
      <c r="Q14" s="2">
        <f>'вместе-абс'!Q14 / 'вместе-абс'!Q$2 - 1</f>
        <v>0.2130117981915749</v>
      </c>
      <c r="R14" s="2">
        <f>'вместе-абс'!R14 / 'вместе-абс'!R$2 - 1</f>
        <v>0.22258996924094032</v>
      </c>
      <c r="S14" s="2">
        <f>'вместе-абс'!S14 / 'вместе-абс'!S$2 - 1</f>
        <v>0.2145865908322393</v>
      </c>
      <c r="T14" s="2">
        <f>'вместе-абс'!T14 / 'вместе-абс'!T$2 - 1</f>
        <v>0.23305541796769025</v>
      </c>
      <c r="U14" s="2">
        <f>'вместе-абс'!U14 / 'вместе-абс'!U$2 - 1</f>
        <v>0.18099786649016703</v>
      </c>
      <c r="V14" s="2">
        <f>'вместе-абс'!V14 / 'вместе-абс'!V$2 - 1</f>
        <v>0.24744128148851829</v>
      </c>
      <c r="W14" s="2">
        <f>'вместе-абс'!W14 / 'вместе-абс'!W$2 - 1</f>
        <v>7.3857142857142843E-2</v>
      </c>
    </row>
    <row r="15" spans="1:23" x14ac:dyDescent="0.25">
      <c r="A15" s="9">
        <f>'вместе-абс'!A15</f>
        <v>1930</v>
      </c>
      <c r="B15" s="2">
        <f>'вместе-абс'!B15 / 'вместе-абс'!B$2 - 1</f>
        <v>0.43569233716360412</v>
      </c>
      <c r="C15" s="2">
        <f>'вместе-абс'!C15 / 'вместе-абс'!C$2 - 1</f>
        <v>0.12149790711236719</v>
      </c>
      <c r="D15" s="2">
        <f>'вместе-абс'!D15 / 'вместе-абс'!D$2 - 1</f>
        <v>0.30278941313048247</v>
      </c>
      <c r="E15" s="2">
        <f>'вместе-абс'!E15 / 'вместе-абс'!E$2 - 1</f>
        <v>0.18022693121216338</v>
      </c>
      <c r="F15" s="2">
        <f>'вместе-абс'!F15 / 'вместе-абс'!F$2 - 1</f>
        <v>0.2117462810500601</v>
      </c>
      <c r="G15" s="2">
        <f>'вместе-абс'!G15 / 'вместе-абс'!G$2 - 1</f>
        <v>0.30367472136217954</v>
      </c>
      <c r="H15" s="2">
        <f>'вместе-абс'!H15 / 'вместе-абс'!H$2 - 1</f>
        <v>0.34575546837765625</v>
      </c>
      <c r="I15" s="2">
        <f>'вместе-абс'!I15 / 'вместе-абс'!I$2 - 1</f>
        <v>0.53449364919256137</v>
      </c>
      <c r="J15" s="2">
        <f>'вместе-абс'!J15 / 'вместе-абс'!J$2 - 1</f>
        <v>0.30070466091444947</v>
      </c>
      <c r="K15" s="2">
        <f>'вместе-абс'!K15 / 'вместе-абс'!K$2 - 1</f>
        <v>0.29284474890424561</v>
      </c>
      <c r="L15" s="2">
        <f>'вместе-абс'!L15 / 'вместе-абс'!L$2 - 1</f>
        <v>0.37044172436420131</v>
      </c>
      <c r="M15" s="2">
        <f>'вместе-абс'!M15 / 'вместе-абс'!M$2 - 1</f>
        <v>0.13549825935223025</v>
      </c>
      <c r="N15" s="2">
        <f>'вместе-абс'!N15 / 'вместе-абс'!N$2 - 1</f>
        <v>0.19597662889869372</v>
      </c>
      <c r="O15" s="2">
        <f>'вместе-абс'!O15 / 'вместе-абс'!O$2 - 1</f>
        <v>0.17293839101304731</v>
      </c>
      <c r="P15" s="2">
        <f>'вместе-абс'!P15 / 'вместе-абс'!P$2 - 1</f>
        <v>0.31351517557817066</v>
      </c>
      <c r="Q15" s="2">
        <f>'вместе-абс'!Q15 / 'вместе-абс'!Q$2 - 1</f>
        <v>0.23145581493671052</v>
      </c>
      <c r="R15" s="2">
        <f>'вместе-абс'!R15 / 'вместе-абс'!R$2 - 1</f>
        <v>0.24480502465159204</v>
      </c>
      <c r="S15" s="2">
        <f>'вместе-абс'!S15 / 'вместе-абс'!S$2 - 1</f>
        <v>0.23674096780715548</v>
      </c>
      <c r="T15" s="2">
        <f>'вместе-абс'!T15 / 'вместе-абс'!T$2 - 1</f>
        <v>0.25529955727013065</v>
      </c>
      <c r="U15" s="2">
        <f>'вместе-абс'!U15 / 'вместе-абс'!U$2 - 1</f>
        <v>0.19790187194141584</v>
      </c>
      <c r="V15" s="2">
        <f>'вместе-абс'!V15 / 'вместе-абс'!V$2 - 1</f>
        <v>0.27854030857929057</v>
      </c>
      <c r="W15" s="2">
        <f>'вместе-абс'!W15 / 'вместе-абс'!W$2 - 1</f>
        <v>9.4131868131868135E-2</v>
      </c>
    </row>
    <row r="16" spans="1:23" x14ac:dyDescent="0.25">
      <c r="A16" s="9">
        <f>'вместе-абс'!A16</f>
        <v>1931</v>
      </c>
      <c r="B16" s="2">
        <f>'вместе-абс'!B16 / 'вместе-абс'!B$2 - 1</f>
        <v>0.4647016249966327</v>
      </c>
      <c r="C16" s="2">
        <f>'вместе-абс'!C16 / 'вместе-абс'!C$2 - 1</f>
        <v>0.13321226085597648</v>
      </c>
      <c r="D16" s="2">
        <f>'вместе-абс'!D16 / 'вместе-абс'!D$2 - 1</f>
        <v>0.32917145791911606</v>
      </c>
      <c r="E16" s="2">
        <f>'вместе-абс'!E16 / 'вместе-абс'!E$2 - 1</f>
        <v>0.1971654479023115</v>
      </c>
      <c r="F16" s="2">
        <f>'вместе-абс'!F16 / 'вместе-абс'!F$2 - 1</f>
        <v>0.23025081296113048</v>
      </c>
      <c r="G16" s="2">
        <f>'вместе-абс'!G16 / 'вместе-абс'!G$2 - 1</f>
        <v>0.33227011779471893</v>
      </c>
      <c r="H16" s="2">
        <f>'вместе-абс'!H16 / 'вместе-абс'!H$2 - 1</f>
        <v>0.37241072335869974</v>
      </c>
      <c r="I16" s="2">
        <f>'вместе-абс'!I16 / 'вместе-абс'!I$2 - 1</f>
        <v>0.58687801749042734</v>
      </c>
      <c r="J16" s="2">
        <f>'вместе-абс'!J16 / 'вместе-абс'!J$2 - 1</f>
        <v>0.3271053165824338</v>
      </c>
      <c r="K16" s="2">
        <f>'вместе-абс'!K16 / 'вместе-абс'!K$2 - 1</f>
        <v>0.3198499543644624</v>
      </c>
      <c r="L16" s="2">
        <f>'вместе-абс'!L16 / 'вместе-абс'!L$2 - 1</f>
        <v>0.4416341709137237</v>
      </c>
      <c r="M16" s="2">
        <f>'вместе-абс'!M16 / 'вместе-абс'!M$2 - 1</f>
        <v>0.15315416049767783</v>
      </c>
      <c r="N16" s="2">
        <f>'вместе-абс'!N16 / 'вместе-абс'!N$2 - 1</f>
        <v>0.21108161549351379</v>
      </c>
      <c r="O16" s="2">
        <f>'вместе-абс'!O16 / 'вместе-абс'!O$2 - 1</f>
        <v>0.20328590859042728</v>
      </c>
      <c r="P16" s="2">
        <f>'вместе-абс'!P16 / 'вместе-абс'!P$2 - 1</f>
        <v>0.3444305463924604</v>
      </c>
      <c r="Q16" s="2">
        <f>'вместе-абс'!Q16 / 'вместе-абс'!Q$2 - 1</f>
        <v>0.25114585480060536</v>
      </c>
      <c r="R16" s="2">
        <f>'вместе-абс'!R16 / 'вместе-абс'!R$2 - 1</f>
        <v>0.26792309832014416</v>
      </c>
      <c r="S16" s="2">
        <f>'вместе-абс'!S16 / 'вместе-абс'!S$2 - 1</f>
        <v>0.25086721941512025</v>
      </c>
      <c r="T16" s="2">
        <f>'вместе-абс'!T16 / 'вместе-абс'!T$2 - 1</f>
        <v>0.2751340299764562</v>
      </c>
      <c r="U16" s="2">
        <f>'вместе-абс'!U16 / 'вместе-абс'!U$2 - 1</f>
        <v>0.21540999049603116</v>
      </c>
      <c r="V16" s="2">
        <f>'вместе-абс'!V16 / 'вместе-абс'!V$2 - 1</f>
        <v>0.31032266518164264</v>
      </c>
      <c r="W16" s="2">
        <f>'вместе-абс'!W16 / 'вместе-абс'!W$2 - 1</f>
        <v>0.11287912087912089</v>
      </c>
    </row>
    <row r="17" spans="1:23" x14ac:dyDescent="0.25">
      <c r="A17" s="9">
        <f>'вместе-абс'!A17</f>
        <v>1932</v>
      </c>
      <c r="B17" s="2">
        <f>'вместе-абс'!B17 / 'вместе-абс'!B$2 - 1</f>
        <v>0.49218367340830227</v>
      </c>
      <c r="C17" s="2">
        <f>'вместе-абс'!C17 / 'вместе-абс'!C$2 - 1</f>
        <v>0.14557190724152425</v>
      </c>
      <c r="D17" s="2">
        <f>'вместе-абс'!D17 / 'вместе-абс'!D$2 - 1</f>
        <v>0.35577260523016951</v>
      </c>
      <c r="E17" s="2">
        <f>'вместе-абс'!E17 / 'вместе-абс'!E$2 - 1</f>
        <v>0.21437284738081064</v>
      </c>
      <c r="F17" s="2">
        <f>'вместе-абс'!F17 / 'вместе-абс'!F$2 - 1</f>
        <v>0.24932893480945162</v>
      </c>
      <c r="G17" s="2">
        <f>'вместе-абс'!G17 / 'вместе-абс'!G$2 - 1</f>
        <v>0.35814525347156634</v>
      </c>
      <c r="H17" s="2">
        <f>'вместе-абс'!H17 / 'вместе-абс'!H$2 - 1</f>
        <v>0.40053585306405193</v>
      </c>
      <c r="I17" s="2">
        <f>'вместе-абс'!I17 / 'вместе-абс'!I$2 - 1</f>
        <v>0.64075705346038192</v>
      </c>
      <c r="J17" s="2">
        <f>'вместе-абс'!J17 / 'вместе-абс'!J$2 - 1</f>
        <v>0.35397750949511719</v>
      </c>
      <c r="K17" s="2">
        <f>'вместе-абс'!K17 / 'вместе-абс'!K$2 - 1</f>
        <v>0.34825933021072575</v>
      </c>
      <c r="L17" s="2">
        <f>'вместе-абс'!L17 / 'вместе-абс'!L$2 - 1</f>
        <v>0.45421777771773009</v>
      </c>
      <c r="M17" s="2">
        <f>'вместе-абс'!M17 / 'вместе-абс'!M$2 - 1</f>
        <v>0.17067615774565081</v>
      </c>
      <c r="N17" s="2">
        <f>'вместе-абс'!N17 / 'вместе-абс'!N$2 - 1</f>
        <v>0.22692995772784252</v>
      </c>
      <c r="O17" s="2">
        <f>'вместе-абс'!O17 / 'вместе-абс'!O$2 - 1</f>
        <v>0.23567722388940471</v>
      </c>
      <c r="P17" s="2">
        <f>'вместе-абс'!P17 / 'вместе-абс'!P$2 - 1</f>
        <v>0.37554592974484979</v>
      </c>
      <c r="Q17" s="2">
        <f>'вместе-абс'!Q17 / 'вместе-абс'!Q$2 - 1</f>
        <v>0.27049359763027847</v>
      </c>
      <c r="R17" s="2">
        <f>'вместе-абс'!R17 / 'вместе-абс'!R$2 - 1</f>
        <v>0.29218607013710551</v>
      </c>
      <c r="S17" s="2">
        <f>'вместе-абс'!S17 / 'вместе-абс'!S$2 - 1</f>
        <v>0.26721747276061381</v>
      </c>
      <c r="T17" s="2">
        <f>'вместе-абс'!T17 / 'вместе-абс'!T$2 - 1</f>
        <v>0.29482230799946763</v>
      </c>
      <c r="U17" s="2">
        <f>'вместе-абс'!U17 / 'вместе-абс'!U$2 - 1</f>
        <v>0.23320160970331227</v>
      </c>
      <c r="V17" s="2">
        <f>'вместе-абс'!V17 / 'вместе-абс'!V$2 - 1</f>
        <v>0.34508271366331456</v>
      </c>
      <c r="W17" s="2">
        <f>'вместе-абс'!W17 / 'вместе-абс'!W$2 - 1</f>
        <v>0.12774725274725274</v>
      </c>
    </row>
    <row r="18" spans="1:23" x14ac:dyDescent="0.25">
      <c r="A18" s="9">
        <f>'вместе-абс'!A18</f>
        <v>1933</v>
      </c>
      <c r="B18" s="2">
        <f>'вместе-абс'!B18 / 'вместе-абс'!B$2 - 1</f>
        <v>0.51789352066640126</v>
      </c>
      <c r="C18" s="2">
        <f>'вместе-абс'!C18 / 'вместе-абс'!C$2 - 1</f>
        <v>0.15872276423846365</v>
      </c>
      <c r="D18" s="2">
        <f>'вместе-абс'!D18 / 'вместе-абс'!D$2 - 1</f>
        <v>0.3827712538265895</v>
      </c>
      <c r="E18" s="2">
        <f>'вместе-абс'!E18 / 'вместе-абс'!E$2 - 1</f>
        <v>0.23157914788333578</v>
      </c>
      <c r="F18" s="2">
        <f>'вместе-абс'!F18 / 'вместе-абс'!F$2 - 1</f>
        <v>0.26862127698337734</v>
      </c>
      <c r="G18" s="2">
        <f>'вместе-абс'!G18 / 'вместе-абс'!G$2 - 1</f>
        <v>0.3817471015583227</v>
      </c>
      <c r="H18" s="2">
        <f>'вместе-абс'!H18 / 'вместе-абс'!H$2 - 1</f>
        <v>0.42717107080445249</v>
      </c>
      <c r="I18" s="2">
        <f>'вместе-абс'!I18 / 'вместе-абс'!I$2 - 1</f>
        <v>0.6961209640300452</v>
      </c>
      <c r="J18" s="2">
        <f>'вместе-абс'!J18 / 'вместе-абс'!J$2 - 1</f>
        <v>0.38132264095188861</v>
      </c>
      <c r="K18" s="2">
        <f>'вместе-абс'!K18 / 'вместе-абс'!K$2 - 1</f>
        <v>0.37692195821590135</v>
      </c>
      <c r="L18" s="2">
        <f>'вместе-абс'!L18 / 'вместе-абс'!L$2 - 1</f>
        <v>0.46604259241069124</v>
      </c>
      <c r="M18" s="2">
        <f>'вместе-абс'!M18 / 'вместе-абс'!M$2 - 1</f>
        <v>0.18928015610779769</v>
      </c>
      <c r="N18" s="2">
        <f>'вместе-абс'!N18 / 'вместе-абс'!N$2 - 1</f>
        <v>0.24289228116022921</v>
      </c>
      <c r="O18" s="2">
        <f>'вместе-абс'!O18 / 'вместе-абс'!O$2 - 1</f>
        <v>0.26983647219403606</v>
      </c>
      <c r="P18" s="2">
        <f>'вместе-абс'!P18 / 'вместе-абс'!P$2 - 1</f>
        <v>0.40770316945241336</v>
      </c>
      <c r="Q18" s="2">
        <f>'вместе-абс'!Q18 / 'вместе-абс'!Q$2 - 1</f>
        <v>0.28983227445323134</v>
      </c>
      <c r="R18" s="2">
        <f>'вместе-абс'!R18 / 'вместе-абс'!R$2 - 1</f>
        <v>0.31742381791281837</v>
      </c>
      <c r="S18" s="2">
        <f>'вместе-абс'!S18 / 'вместе-абс'!S$2 - 1</f>
        <v>0.28409039741560216</v>
      </c>
      <c r="T18" s="2">
        <f>'вместе-абс'!T18 / 'вместе-абс'!T$2 - 1</f>
        <v>0.31438475676768651</v>
      </c>
      <c r="U18" s="2">
        <f>'вместе-абс'!U18 / 'вместе-абс'!U$2 - 1</f>
        <v>0.25136378881880117</v>
      </c>
      <c r="V18" s="2">
        <f>'вместе-абс'!V18 / 'вместе-абс'!V$2 - 1</f>
        <v>0.37803649228551772</v>
      </c>
      <c r="W18" s="2">
        <f>'вместе-абс'!W18 / 'вместе-абс'!W$2 - 1</f>
        <v>0.13898901098901106</v>
      </c>
    </row>
    <row r="19" spans="1:23" x14ac:dyDescent="0.25">
      <c r="A19" s="9">
        <f>'вместе-абс'!A19</f>
        <v>1934</v>
      </c>
      <c r="B19" s="2">
        <f>'вместе-абс'!B19 / 'вместе-абс'!B$2 - 1</f>
        <v>0.54308279431176332</v>
      </c>
      <c r="C19" s="2">
        <f>'вместе-абс'!C19 / 'вместе-абс'!C$2 - 1</f>
        <v>0.17231827666934341</v>
      </c>
      <c r="D19" s="2">
        <f>'вместе-абс'!D19 / 'вместе-абс'!D$2 - 1</f>
        <v>0.41030707575159586</v>
      </c>
      <c r="E19" s="2">
        <f>'вместе-абс'!E19 / 'вместе-абс'!E$2 - 1</f>
        <v>0.2492470182950195</v>
      </c>
      <c r="F19" s="2">
        <f>'вместе-абс'!F19 / 'вместе-абс'!F$2 - 1</f>
        <v>0.28851824101087975</v>
      </c>
      <c r="G19" s="2">
        <f>'вместе-абс'!G19 / 'вместе-абс'!G$2 - 1</f>
        <v>0.40160154711628682</v>
      </c>
      <c r="H19" s="2">
        <f>'вместе-абс'!H19 / 'вместе-абс'!H$2 - 1</f>
        <v>0.45293466857688358</v>
      </c>
      <c r="I19" s="2">
        <f>'вместе-абс'!I19 / 'вместе-абс'!I$2 - 1</f>
        <v>0.7529599561270357</v>
      </c>
      <c r="J19" s="2">
        <f>'вместе-абс'!J19 / 'вместе-абс'!J$2 - 1</f>
        <v>0.40940555653743838</v>
      </c>
      <c r="K19" s="2">
        <f>'вместе-абс'!K19 / 'вместе-абс'!K$2 - 1</f>
        <v>0.40845059827688224</v>
      </c>
      <c r="L19" s="2">
        <f>'вместе-абс'!L19 / 'вместе-абс'!L$2 - 1</f>
        <v>0.49150521642189715</v>
      </c>
      <c r="M19" s="2">
        <f>'вместе-абс'!M19 / 'вместе-абс'!M$2 - 1</f>
        <v>0.20901582075920633</v>
      </c>
      <c r="N19" s="2">
        <f>'вместе-абс'!N19 / 'вместе-абс'!N$2 - 1</f>
        <v>0.26659376275061408</v>
      </c>
      <c r="O19" s="2">
        <f>'вместе-абс'!O19 / 'вместе-абс'!O$2 - 1</f>
        <v>0.3054949852592288</v>
      </c>
      <c r="P19" s="2">
        <f>'вместе-абс'!P19 / 'вместе-абс'!P$2 - 1</f>
        <v>0.44025595634353198</v>
      </c>
      <c r="Q19" s="2">
        <f>'вместе-абс'!Q19 / 'вместе-абс'!Q$2 - 1</f>
        <v>0.30905287206670473</v>
      </c>
      <c r="R19" s="2">
        <f>'вместе-абс'!R19 / 'вместе-абс'!R$2 - 1</f>
        <v>0.34346702572392629</v>
      </c>
      <c r="S19" s="2">
        <f>'вместе-абс'!S19 / 'вместе-абс'!S$2 - 1</f>
        <v>0.30110811614957234</v>
      </c>
      <c r="T19" s="2">
        <f>'вместе-абс'!T19 / 'вместе-абс'!T$2 - 1</f>
        <v>0.33384319638310012</v>
      </c>
      <c r="U19" s="2">
        <f>'вместе-абс'!U19 / 'вместе-абс'!U$2 - 1</f>
        <v>0.26970399295043257</v>
      </c>
      <c r="V19" s="2">
        <f>'вместе-абс'!V19 / 'вместе-абс'!V$2 - 1</f>
        <v>0.41226324237560208</v>
      </c>
      <c r="W19" s="2">
        <f>'вместе-абс'!W19 / 'вместе-абс'!W$2 - 1</f>
        <v>0.11827472527472538</v>
      </c>
    </row>
    <row r="20" spans="1:23" x14ac:dyDescent="0.25">
      <c r="A20" s="9">
        <f>'вместе-абс'!A20</f>
        <v>1935</v>
      </c>
      <c r="B20" s="2">
        <f>'вместе-абс'!B20 / 'вместе-абс'!B$2 - 1</f>
        <v>0.56786595349199143</v>
      </c>
      <c r="C20" s="2">
        <f>'вместе-абс'!C20 / 'вместе-абс'!C$2 - 1</f>
        <v>0.18625738648099599</v>
      </c>
      <c r="D20" s="2">
        <f>'вместе-абс'!D20 / 'вместе-абс'!D$2 - 1</f>
        <v>0.43851974304840846</v>
      </c>
      <c r="E20" s="2">
        <f>'вместе-абс'!E20 / 'вместе-абс'!E$2 - 1</f>
        <v>0.26710647685153655</v>
      </c>
      <c r="F20" s="2">
        <f>'вместе-абс'!F20 / 'вместе-абс'!F$2 - 1</f>
        <v>0.30866045728031266</v>
      </c>
      <c r="G20" s="2">
        <f>'вместе-абс'!G20 / 'вместе-абс'!G$2 - 1</f>
        <v>0.42071765447949727</v>
      </c>
      <c r="H20" s="2">
        <f>'вместе-абс'!H20 / 'вместе-абс'!H$2 - 1</f>
        <v>0.48130740132732419</v>
      </c>
      <c r="I20" s="2">
        <f>'вместе-абс'!I20 / 'вместе-абс'!I$2 - 1</f>
        <v>0.81003643022925576</v>
      </c>
      <c r="J20" s="2">
        <f>'вместе-абс'!J20 / 'вместе-абс'!J$2 - 1</f>
        <v>0.4382281830384267</v>
      </c>
      <c r="K20" s="2">
        <f>'вместе-абс'!K20 / 'вместе-абс'!K$2 - 1</f>
        <v>0.43918688504859427</v>
      </c>
      <c r="L20" s="2">
        <f>'вместе-абс'!L20 / 'вместе-абс'!L$2 - 1</f>
        <v>0.50866859736292347</v>
      </c>
      <c r="M20" s="2">
        <f>'вместе-абс'!M20 / 'вместе-абс'!M$2 - 1</f>
        <v>0.22982998801107346</v>
      </c>
      <c r="N20" s="2">
        <f>'вместе-абс'!N20 / 'вместе-абс'!N$2 - 1</f>
        <v>0.29327692640613967</v>
      </c>
      <c r="O20" s="2">
        <f>'вместе-абс'!O20 / 'вместе-абс'!O$2 - 1</f>
        <v>0.34237689836903984</v>
      </c>
      <c r="P20" s="2">
        <f>'вместе-абс'!P20 / 'вместе-абс'!P$2 - 1</f>
        <v>0.47330131142549225</v>
      </c>
      <c r="Q20" s="2">
        <f>'вместе-абс'!Q20 / 'вместе-абс'!Q$2 - 1</f>
        <v>0.32848906374243003</v>
      </c>
      <c r="R20" s="2">
        <f>'вместе-абс'!R20 / 'вместе-абс'!R$2 - 1</f>
        <v>0.37014476511446959</v>
      </c>
      <c r="S20" s="2">
        <f>'вместе-абс'!S20 / 'вместе-абс'!S$2 - 1</f>
        <v>0.31833419709475974</v>
      </c>
      <c r="T20" s="2">
        <f>'вместе-абс'!T20 / 'вместе-абс'!T$2 - 1</f>
        <v>0.35321799227422934</v>
      </c>
      <c r="U20" s="2">
        <f>'вместе-абс'!U20 / 'вместе-абс'!U$2 - 1</f>
        <v>0.28844852035540258</v>
      </c>
      <c r="V20" s="2">
        <f>'вместе-абс'!V20 / 'вместе-абс'!V$2 - 1</f>
        <v>0.45116912896779926</v>
      </c>
      <c r="W20" s="2">
        <f>'вместе-абс'!W20 / 'вместе-абс'!W$2 - 1</f>
        <v>0.12175824175824168</v>
      </c>
    </row>
    <row r="21" spans="1:23" x14ac:dyDescent="0.25">
      <c r="A21" s="9">
        <f>'вместе-абс'!A21</f>
        <v>1936</v>
      </c>
      <c r="B21" s="2">
        <f>'вместе-абс'!B21 / 'вместе-абс'!B$2 - 1</f>
        <v>0.59361423316262218</v>
      </c>
      <c r="C21" s="2">
        <f>'вместе-абс'!C21 / 'вместе-абс'!C$2 - 1</f>
        <v>0.20043952858636538</v>
      </c>
      <c r="D21" s="2">
        <f>'вместе-абс'!D21 / 'вместе-абс'!D$2 - 1</f>
        <v>0.46754888899476188</v>
      </c>
      <c r="E21" s="2">
        <f>'вместе-абс'!E21 / 'вместе-абс'!E$2 - 1</f>
        <v>0.2938628785697488</v>
      </c>
      <c r="F21" s="2">
        <f>'вместе-абс'!F21 / 'вместе-абс'!F$2 - 1</f>
        <v>0.33018859897404496</v>
      </c>
      <c r="G21" s="2">
        <f>'вместе-абс'!G21 / 'вместе-абс'!G$2 - 1</f>
        <v>0.44498483941304379</v>
      </c>
      <c r="H21" s="2">
        <f>'вместе-абс'!H21 / 'вместе-абс'!H$2 - 1</f>
        <v>0.50789825089201512</v>
      </c>
      <c r="I21" s="2">
        <f>'вместе-абс'!I21 / 'вместе-абс'!I$2 - 1</f>
        <v>0.86183199005023869</v>
      </c>
      <c r="J21" s="2">
        <f>'вместе-абс'!J21 / 'вместе-абс'!J$2 - 1</f>
        <v>0.46788002845338417</v>
      </c>
      <c r="K21" s="2">
        <f>'вместе-абс'!K21 / 'вместе-абс'!K$2 - 1</f>
        <v>0.47173856353369503</v>
      </c>
      <c r="L21" s="2">
        <f>'вместе-абс'!L21 / 'вместе-абс'!L$2 - 1</f>
        <v>0.52718268668641177</v>
      </c>
      <c r="M21" s="2">
        <f>'вместе-абс'!M21 / 'вместе-абс'!M$2 - 1</f>
        <v>0.25187522050068667</v>
      </c>
      <c r="N21" s="2">
        <f>'вместе-абс'!N21 / 'вместе-абс'!N$2 - 1</f>
        <v>0.32148149127052683</v>
      </c>
      <c r="O21" s="2">
        <f>'вместе-абс'!O21 / 'вместе-абс'!O$2 - 1</f>
        <v>0.3802135432783762</v>
      </c>
      <c r="P21" s="2">
        <f>'вместе-абс'!P21 / 'вместе-абс'!P$2 - 1</f>
        <v>0.5084318718486831</v>
      </c>
      <c r="Q21" s="2">
        <f>'вместе-абс'!Q21 / 'вместе-абс'!Q$2 - 1</f>
        <v>0.34946935114811017</v>
      </c>
      <c r="R21" s="2">
        <f>'вместе-абс'!R21 / 'вместе-абс'!R$2 - 1</f>
        <v>0.39728852642739376</v>
      </c>
      <c r="S21" s="2">
        <f>'вместе-абс'!S21 / 'вместе-абс'!S$2 - 1</f>
        <v>0.33627541952760032</v>
      </c>
      <c r="T21" s="2">
        <f>'вместе-абс'!T21 / 'вместе-абс'!T$2 - 1</f>
        <v>0.37034749967088021</v>
      </c>
      <c r="U21" s="2">
        <f>'вместе-абс'!U21 / 'вместе-абс'!U$2 - 1</f>
        <v>0.30782366929090799</v>
      </c>
      <c r="V21" s="2">
        <f>'вместе-абс'!V21 / 'вместе-абс'!V$2 - 1</f>
        <v>0.48997019032332045</v>
      </c>
      <c r="W21" s="2">
        <f>'вместе-абс'!W21 / 'вместе-абс'!W$2 - 1</f>
        <v>0.13503296703296708</v>
      </c>
    </row>
    <row r="22" spans="1:23" x14ac:dyDescent="0.25">
      <c r="A22" s="9">
        <f>'вместе-абс'!A22</f>
        <v>1937</v>
      </c>
      <c r="B22" s="2">
        <f>'вместе-абс'!B22 / 'вместе-абс'!B$2 - 1</f>
        <v>0.62032236532941432</v>
      </c>
      <c r="C22" s="2">
        <f>'вместе-абс'!C22 / 'вместе-абс'!C$2 - 1</f>
        <v>0.21501062095490497</v>
      </c>
      <c r="D22" s="2">
        <f>'вместе-абс'!D22 / 'вместе-абс'!D$2 - 1</f>
        <v>0.49753422439936101</v>
      </c>
      <c r="E22" s="2">
        <f>'вместе-абс'!E22 / 'вместе-абс'!E$2 - 1</f>
        <v>0.32118745086661593</v>
      </c>
      <c r="F22" s="2">
        <f>'вместе-абс'!F22 / 'вместе-абс'!F$2 - 1</f>
        <v>0.35174176640674926</v>
      </c>
      <c r="G22" s="2">
        <f>'вместе-абс'!G22 / 'вместе-абс'!G$2 - 1</f>
        <v>0.46780800645485598</v>
      </c>
      <c r="H22" s="2">
        <f>'вместе-абс'!H22 / 'вместе-абс'!H$2 - 1</f>
        <v>0.53618797221693493</v>
      </c>
      <c r="I22" s="2">
        <f>'вместе-абс'!I22 / 'вместе-абс'!I$2 - 1</f>
        <v>0.91568164680305175</v>
      </c>
      <c r="J22" s="2">
        <f>'вместе-абс'!J22 / 'вместе-абс'!J$2 - 1</f>
        <v>0.4985378316678597</v>
      </c>
      <c r="K22" s="2">
        <f>'вместе-абс'!K22 / 'вместе-абс'!K$2 - 1</f>
        <v>0.50621345395825612</v>
      </c>
      <c r="L22" s="2">
        <f>'вместе-абс'!L22 / 'вместе-абс'!L$2 - 1</f>
        <v>0.5495758176824852</v>
      </c>
      <c r="M22" s="2">
        <f>'вместе-абс'!M22 / 'вместе-абс'!M$2 - 1</f>
        <v>0.27599013254496496</v>
      </c>
      <c r="N22" s="2">
        <f>'вместе-абс'!N22 / 'вместе-абс'!N$2 - 1</f>
        <v>0.35140403361289008</v>
      </c>
      <c r="O22" s="2">
        <f>'вместе-абс'!O22 / 'вместе-абс'!O$2 - 1</f>
        <v>0.41753204228646279</v>
      </c>
      <c r="P22" s="2">
        <f>'вместе-абс'!P22 / 'вместе-абс'!P$2 - 1</f>
        <v>0.54425053510817123</v>
      </c>
      <c r="Q22" s="2">
        <f>'вместе-абс'!Q22 / 'вместе-абс'!Q$2 - 1</f>
        <v>0.37088967156289998</v>
      </c>
      <c r="R22" s="2">
        <f>'вместе-абс'!R22 / 'вместе-абс'!R$2 - 1</f>
        <v>0.4247273812067387</v>
      </c>
      <c r="S22" s="2">
        <f>'вместе-абс'!S22 / 'вместе-абс'!S$2 - 1</f>
        <v>0.35455390621758132</v>
      </c>
      <c r="T22" s="2">
        <f>'вместе-абс'!T22 / 'вместе-абс'!T$2 - 1</f>
        <v>0.38743482153702269</v>
      </c>
      <c r="U22" s="2">
        <f>'вместе-абс'!U22 / 'вместе-абс'!U$2 - 1</f>
        <v>0.32763746293703333</v>
      </c>
      <c r="V22" s="2">
        <f>'вместе-абс'!V22 / 'вместе-абс'!V$2 - 1</f>
        <v>0.5281423002587875</v>
      </c>
      <c r="W22" s="2">
        <f>'вместе-абс'!W22 / 'вместе-абс'!W$2 - 1</f>
        <v>0.14857142857142858</v>
      </c>
    </row>
    <row r="23" spans="1:23" x14ac:dyDescent="0.25">
      <c r="A23" s="9">
        <f>'вместе-абс'!A23</f>
        <v>1938</v>
      </c>
      <c r="B23" s="2">
        <f>'вместе-абс'!B23 / 'вместе-абс'!B$2 - 1</f>
        <v>0.64732634326370175</v>
      </c>
      <c r="C23" s="2">
        <f>'вместе-абс'!C23 / 'вместе-абс'!C$2 - 1</f>
        <v>0.22962312247693761</v>
      </c>
      <c r="D23" s="2">
        <f>'вместе-абс'!D23 / 'вместе-абс'!D$2 - 1</f>
        <v>0.52865414802515254</v>
      </c>
      <c r="E23" s="2">
        <f>'вместе-абс'!E23 / 'вместе-абс'!E$2 - 1</f>
        <v>0.34917617097721676</v>
      </c>
      <c r="F23" s="2">
        <f>'вместе-абс'!F23 / 'вместе-абс'!F$2 - 1</f>
        <v>0.37346110474623151</v>
      </c>
      <c r="G23" s="2">
        <f>'вместе-абс'!G23 / 'вместе-абс'!G$2 - 1</f>
        <v>0.49219365848816765</v>
      </c>
      <c r="H23" s="2">
        <f>'вместе-абс'!H23 / 'вместе-абс'!H$2 - 1</f>
        <v>0.5675090418048403</v>
      </c>
      <c r="I23" s="2">
        <f>'вместе-абс'!I23 / 'вместе-абс'!I$2 - 1</f>
        <v>0.97034902509964449</v>
      </c>
      <c r="J23" s="2">
        <f>'вместе-абс'!J23 / 'вместе-абс'!J$2 - 1</f>
        <v>0.53020386979336265</v>
      </c>
      <c r="K23" s="2">
        <f>'вместе-абс'!K23 / 'вместе-абс'!K$2 - 1</f>
        <v>0.54271185420699464</v>
      </c>
      <c r="L23" s="2">
        <f>'вместе-абс'!L23 / 'вместе-абс'!L$2 - 1</f>
        <v>0.57417850164484063</v>
      </c>
      <c r="M23" s="2">
        <f>'вместе-абс'!M23 / 'вместе-абс'!M$2 - 1</f>
        <v>0.29944608924132265</v>
      </c>
      <c r="N23" s="2">
        <f>'вместе-абс'!N23 / 'вместе-абс'!N$2 - 1</f>
        <v>0.38323782589950151</v>
      </c>
      <c r="O23" s="2">
        <f>'вместе-абс'!O23 / 'вместе-абс'!O$2 - 1</f>
        <v>0.456462550765105</v>
      </c>
      <c r="P23" s="2">
        <f>'вместе-абс'!P23 / 'вместе-абс'!P$2 - 1</f>
        <v>0.58160213028279384</v>
      </c>
      <c r="Q23" s="2">
        <f>'вместе-абс'!Q23 / 'вместе-абс'!Q$2 - 1</f>
        <v>0.39264145402826989</v>
      </c>
      <c r="R23" s="2">
        <f>'вместе-абс'!R23 / 'вместе-абс'!R$2 - 1</f>
        <v>0.45229201352914861</v>
      </c>
      <c r="S23" s="2">
        <f>'вместе-абс'!S23 / 'вместе-абс'!S$2 - 1</f>
        <v>0.37323234240621272</v>
      </c>
      <c r="T23" s="2">
        <f>'вместе-абс'!T23 / 'вместе-абс'!T$2 - 1</f>
        <v>0.40450177797464359</v>
      </c>
      <c r="U23" s="2">
        <f>'вместе-абс'!U23 / 'вместе-абс'!U$2 - 1</f>
        <v>0.34811564147882423</v>
      </c>
      <c r="V23" s="2">
        <f>'вместе-абс'!V23 / 'вместе-абс'!V$2 - 1</f>
        <v>0.56941985783077276</v>
      </c>
      <c r="W23" s="2">
        <f>'вместе-абс'!W23 / 'вместе-абс'!W$2 - 1</f>
        <v>0.16697802197802192</v>
      </c>
    </row>
    <row r="24" spans="1:23" x14ac:dyDescent="0.25">
      <c r="A24" s="9">
        <f>'вместе-абс'!A24</f>
        <v>1939</v>
      </c>
      <c r="B24" s="2">
        <f>'вместе-абс'!B24 / 'вместе-абс'!B$2 - 1</f>
        <v>0.67390229666589829</v>
      </c>
      <c r="C24" s="2">
        <f>'вместе-абс'!C24 / 'вместе-абс'!C$2 - 1</f>
        <v>0.24417696103152164</v>
      </c>
      <c r="D24" s="2">
        <f>'вместе-абс'!D24 / 'вместе-абс'!D$2 - 1</f>
        <v>0.56102894917275026</v>
      </c>
      <c r="E24" s="2">
        <f>'вместе-абс'!E24 / 'вместе-абс'!E$2 - 1</f>
        <v>0.37792538246195528</v>
      </c>
      <c r="F24" s="2">
        <f>'вместе-абс'!F24 / 'вместе-абс'!F$2 - 1</f>
        <v>0.39473548544678194</v>
      </c>
      <c r="G24" s="2">
        <f>'вместе-абс'!G24 / 'вместе-абс'!G$2 - 1</f>
        <v>0.5137879695059282</v>
      </c>
      <c r="H24" s="2">
        <f>'вместе-абс'!H24 / 'вместе-абс'!H$2 - 1</f>
        <v>0.60033433567244288</v>
      </c>
      <c r="I24" s="2">
        <f>'вместе-абс'!I24 / 'вместе-абс'!I$2 - 1</f>
        <v>1.025824331867637</v>
      </c>
      <c r="J24" s="2">
        <f>'вместе-абс'!J24 / 'вместе-абс'!J$2 - 1</f>
        <v>0.56471892474093899</v>
      </c>
      <c r="K24" s="2">
        <f>'вместе-абс'!K24 / 'вместе-абс'!K$2 - 1</f>
        <v>0.58133907705886489</v>
      </c>
      <c r="L24" s="2">
        <f>'вместе-абс'!L24 / 'вместе-абс'!L$2 - 1</f>
        <v>0.59311178891995553</v>
      </c>
      <c r="M24" s="2">
        <f>'вместе-абс'!M24 / 'вместе-абс'!M$2 - 1</f>
        <v>0.32507105584252138</v>
      </c>
      <c r="N24" s="2">
        <f>'вместе-абс'!N24 / 'вместе-абс'!N$2 - 1</f>
        <v>0.41717944439947585</v>
      </c>
      <c r="O24" s="2">
        <f>'вместе-абс'!O24 / 'вместе-абс'!O$2 - 1</f>
        <v>0.49552739336629315</v>
      </c>
      <c r="P24" s="2">
        <f>'вместе-абс'!P24 / 'вместе-абс'!P$2 - 1</f>
        <v>0.6198388555700507</v>
      </c>
      <c r="Q24" s="2">
        <f>'вместе-абс'!Q24 / 'вместе-абс'!Q$2 - 1</f>
        <v>0.41505792957172183</v>
      </c>
      <c r="R24" s="2">
        <f>'вместе-абс'!R24 / 'вместе-абс'!R$2 - 1</f>
        <v>0.47981149493866315</v>
      </c>
      <c r="S24" s="2">
        <f>'вместе-абс'!S24 / 'вместе-абс'!S$2 - 1</f>
        <v>0.39281750736993026</v>
      </c>
      <c r="T24" s="2">
        <f>'вместе-абс'!T24 / 'вместе-абс'!T$2 - 1</f>
        <v>0.42156800707553188</v>
      </c>
      <c r="U24" s="2">
        <f>'вместе-абс'!U24 / 'вместе-абс'!U$2 - 1</f>
        <v>0.36948506124562819</v>
      </c>
      <c r="V24" s="2">
        <f>'вместе-абс'!V24 / 'вместе-абс'!V$2 - 1</f>
        <v>0.61098437448815801</v>
      </c>
      <c r="W24" s="2">
        <f>'вместе-абс'!W24 / 'вместе-абс'!W$2 - 1</f>
        <v>0.18563736263736264</v>
      </c>
    </row>
    <row r="25" spans="1:23" x14ac:dyDescent="0.25">
      <c r="A25" s="9">
        <f>'вместе-абс'!A25</f>
        <v>1940</v>
      </c>
      <c r="B25" s="2">
        <f>'вместе-абс'!B25 / 'вместе-абс'!B$2 - 1</f>
        <v>0.6954353428536364</v>
      </c>
      <c r="C25" s="2">
        <f>'вместе-абс'!C25 / 'вместе-абс'!C$2 - 1</f>
        <v>0.25881756162199654</v>
      </c>
      <c r="D25" s="2">
        <f>'вместе-абс'!D25 / 'вместе-абс'!D$2 - 1</f>
        <v>0.59479829988537425</v>
      </c>
      <c r="E25" s="2">
        <f>'вместе-абс'!E25 / 'вместе-абс'!E$2 - 1</f>
        <v>0.40753179520656002</v>
      </c>
      <c r="F25" s="2">
        <f>'вместе-абс'!F25 / 'вместе-абс'!F$2 - 1</f>
        <v>0.41570605367620606</v>
      </c>
      <c r="G25" s="2">
        <f>'вместе-абс'!G25 / 'вместе-абс'!G$2 - 1</f>
        <v>0.54040144337752904</v>
      </c>
      <c r="H25" s="2">
        <f>'вместе-абс'!H25 / 'вместе-абс'!H$2 - 1</f>
        <v>0.63313529860497875</v>
      </c>
      <c r="I25" s="2">
        <f>'вместе-абс'!I25 / 'вместе-абс'!I$2 - 1</f>
        <v>1.1353476051041493</v>
      </c>
      <c r="J25" s="2">
        <f>'вместе-абс'!J25 / 'вместе-абс'!J$2 - 1</f>
        <v>0.60077120511922688</v>
      </c>
      <c r="K25" s="2">
        <f>'вместе-абс'!K25 / 'вместе-абс'!K$2 - 1</f>
        <v>0.61969048072776145</v>
      </c>
      <c r="L25" s="2">
        <f>'вместе-абс'!L25 / 'вместе-абс'!L$2 - 1</f>
        <v>0.6160252658054608</v>
      </c>
      <c r="M25" s="2">
        <f>'вместе-абс'!M25 / 'вместе-абс'!M$2 - 1</f>
        <v>0.3482157820148819</v>
      </c>
      <c r="N25" s="2">
        <f>'вместе-абс'!N25 / 'вместе-абс'!N$2 - 1</f>
        <v>0.45094596134881049</v>
      </c>
      <c r="O25" s="2">
        <f>'вместе-абс'!O25 / 'вместе-абс'!O$2 - 1</f>
        <v>0.53445790184493536</v>
      </c>
      <c r="P25" s="2">
        <f>'вместе-абс'!P25 / 'вместе-абс'!P$2 - 1</f>
        <v>0.65905922460810973</v>
      </c>
      <c r="Q25" s="2">
        <f>'вместе-абс'!Q25 / 'вместе-абс'!Q$2 - 1</f>
        <v>0.4380303061126114</v>
      </c>
      <c r="R25" s="2">
        <f>'вместе-абс'!R25 / 'вместе-абс'!R$2 - 1</f>
        <v>0.50711731577822827</v>
      </c>
      <c r="S25" s="2">
        <f>'вместе-абс'!S25 / 'вместе-абс'!S$2 - 1</f>
        <v>0.41293152387822096</v>
      </c>
      <c r="T25" s="2">
        <f>'вместе-абс'!T25 / 'вместе-абс'!T$2 - 1</f>
        <v>0.43865460160494152</v>
      </c>
      <c r="U25" s="2">
        <f>'вместе-абс'!U25 / 'вместе-абс'!U$2 - 1</f>
        <v>0.39169242634703272</v>
      </c>
      <c r="V25" s="2">
        <f>'вместе-абс'!V25 / 'вместе-абс'!V$2 - 1</f>
        <v>0.65165591116061217</v>
      </c>
      <c r="W25" s="2">
        <f>'вместе-абс'!W25 / 'вместе-абс'!W$2 - 1</f>
        <v>0.20525274725274723</v>
      </c>
    </row>
    <row r="26" spans="1:23" x14ac:dyDescent="0.25">
      <c r="A26" s="9">
        <f>'вместе-абс'!A26</f>
        <v>1941</v>
      </c>
      <c r="B26" s="2">
        <f>'вместе-абс'!B26 / 'вместе-абс'!B$2 - 1</f>
        <v>0.72495359076664267</v>
      </c>
      <c r="C26" s="2">
        <f>'вместе-абс'!C26 / 'вместе-абс'!C$2 - 1</f>
        <v>0.27320970729151117</v>
      </c>
      <c r="D26" s="2">
        <f>'вместе-абс'!D26 / 'вместе-абс'!D$2 - 1</f>
        <v>0.63253603455369278</v>
      </c>
      <c r="E26" s="2">
        <f>'вместе-абс'!E26 / 'вместе-абс'!E$2 - 1</f>
        <v>0.4400222872327566</v>
      </c>
      <c r="F26" s="2">
        <f>'вместе-абс'!F26 / 'вместе-абс'!F$2 - 1</f>
        <v>0.43776774412483244</v>
      </c>
      <c r="G26" s="2">
        <f>'вместе-абс'!G26 / 'вместе-абс'!G$2 - 1</f>
        <v>0.56721342968657451</v>
      </c>
      <c r="H26" s="2">
        <f>'вместе-абс'!H26 / 'вместе-абс'!H$2 - 1</f>
        <v>0.66635418112806799</v>
      </c>
      <c r="I26" s="2">
        <f>'вместе-абс'!I26 / 'вместе-абс'!I$2 - 1</f>
        <v>1.1950290364596086</v>
      </c>
      <c r="J26" s="2">
        <f>'вместе-абс'!J26 / 'вместе-абс'!J$2 - 1</f>
        <v>0.63960961900946711</v>
      </c>
      <c r="K26" s="2">
        <f>'вместе-абс'!K26 / 'вместе-абс'!K$2 - 1</f>
        <v>0.65908247495060324</v>
      </c>
      <c r="L26" s="2">
        <f>'вместе-абс'!L26 / 'вместе-абс'!L$2 - 1</f>
        <v>0.64091788284585727</v>
      </c>
      <c r="M26" s="2">
        <f>'вместе-абс'!M26 / 'вместе-абс'!M$2 - 1</f>
        <v>0.38480440461504717</v>
      </c>
      <c r="N26" s="2">
        <f>'вместе-абс'!N26 / 'вместе-абс'!N$2 - 1</f>
        <v>0.48741498902311498</v>
      </c>
      <c r="O26" s="2">
        <f>'вместе-абс'!O26 / 'вместе-абс'!O$2 - 1</f>
        <v>0.57485888920073602</v>
      </c>
      <c r="P26" s="2">
        <f>'вместе-абс'!P26 / 'вместе-абс'!P$2 - 1</f>
        <v>0.70053495890787199</v>
      </c>
      <c r="Q26" s="2">
        <f>'вместе-абс'!Q26 / 'вместе-абс'!Q$2 - 1</f>
        <v>0.46244948465279845</v>
      </c>
      <c r="R26" s="2">
        <f>'вместе-абс'!R26 / 'вместе-абс'!R$2 - 1</f>
        <v>0.53619047235111283</v>
      </c>
      <c r="S26" s="2">
        <f>'вместе-абс'!S26 / 'вместе-абс'!S$2 - 1</f>
        <v>0.43356114857020245</v>
      </c>
      <c r="T26" s="2">
        <f>'вместе-абс'!T26 / 'вместе-абс'!T$2 - 1</f>
        <v>0.45534988897204798</v>
      </c>
      <c r="U26" s="2">
        <f>'вместе-абс'!U26 / 'вместе-абс'!U$2 - 1</f>
        <v>0.4164984544191781</v>
      </c>
      <c r="V26" s="2">
        <f>'вместе-абс'!V26 / 'вместе-абс'!V$2 - 1</f>
        <v>0.69313394699773978</v>
      </c>
      <c r="W26" s="2">
        <f>'вместе-абс'!W26 / 'вместе-абс'!W$2 - 1</f>
        <v>0.21964835164835161</v>
      </c>
    </row>
    <row r="27" spans="1:23" x14ac:dyDescent="0.25">
      <c r="A27" s="9">
        <f>'вместе-абс'!A27</f>
        <v>1942</v>
      </c>
      <c r="B27" s="2">
        <f>'вместе-абс'!B27 / 'вместе-абс'!B$2 - 1</f>
        <v>0.75540906274600172</v>
      </c>
      <c r="C27" s="2">
        <f>'вместе-абс'!C27 / 'вместе-абс'!C$2 - 1</f>
        <v>0.28765805109790943</v>
      </c>
      <c r="D27" s="2">
        <f>'вместе-абс'!D27 / 'вместе-абс'!D$2 - 1</f>
        <v>0.67263512998823138</v>
      </c>
      <c r="E27" s="2">
        <f>'вместе-абс'!E27 / 'вместе-абс'!E$2 - 1</f>
        <v>0.47668705633424113</v>
      </c>
      <c r="F27" s="2">
        <f>'вместе-абс'!F27 / 'вместе-абс'!F$2 - 1</f>
        <v>0.46222639985224823</v>
      </c>
      <c r="G27" s="2">
        <f>'вместе-абс'!G27 / 'вместе-абс'!G$2 - 1</f>
        <v>0.59295921209773206</v>
      </c>
      <c r="H27" s="2">
        <f>'вместе-абс'!H27 / 'вместе-абс'!H$2 - 1</f>
        <v>0.69851681482297812</v>
      </c>
      <c r="I27" s="2">
        <f>'вместе-абс'!I27 / 'вместе-абс'!I$2 - 1</f>
        <v>1.2564450657604809</v>
      </c>
      <c r="J27" s="2">
        <f>'вместе-абс'!J27 / 'вместе-абс'!J$2 - 1</f>
        <v>0.68056924985115574</v>
      </c>
      <c r="K27" s="2">
        <f>'вместе-абс'!K27 / 'вместе-абс'!K$2 - 1</f>
        <v>0.69953511930433376</v>
      </c>
      <c r="L27" s="2">
        <f>'вместе-абс'!L27 / 'вместе-абс'!L$2 - 1</f>
        <v>0.67067728586123443</v>
      </c>
      <c r="M27" s="2">
        <f>'вместе-абс'!M27 / 'вместе-абс'!M$2 - 1</f>
        <v>0.42178060765616099</v>
      </c>
      <c r="N27" s="2">
        <f>'вместе-абс'!N27 / 'вместе-абс'!N$2 - 1</f>
        <v>0.52733649066758281</v>
      </c>
      <c r="O27" s="2">
        <f>'вместе-абс'!O27 / 'вместе-абс'!O$2 - 1</f>
        <v>0.61486886830698229</v>
      </c>
      <c r="P27" s="2">
        <f>'вместе-абс'!P27 / 'вместе-абс'!P$2 - 1</f>
        <v>0.74454816570590987</v>
      </c>
      <c r="Q27" s="2">
        <f>'вместе-абс'!Q27 / 'вместе-абс'!Q$2 - 1</f>
        <v>0.48769941897953029</v>
      </c>
      <c r="R27" s="2">
        <f>'вместе-абс'!R27 / 'вместе-абс'!R$2 - 1</f>
        <v>0.56831212181071278</v>
      </c>
      <c r="S27" s="2">
        <f>'вместе-абс'!S27 / 'вместе-абс'!S$2 - 1</f>
        <v>0.45467724605193349</v>
      </c>
      <c r="T27" s="2">
        <f>'вместе-абс'!T27 / 'вместе-абс'!T$2 - 1</f>
        <v>0.47196953331893221</v>
      </c>
      <c r="U27" s="2">
        <f>'вместе-абс'!U27 / 'вместе-абс'!U$2 - 1</f>
        <v>0.44381329584576656</v>
      </c>
      <c r="V27" s="2">
        <f>'вместе-абс'!V27 / 'вместе-абс'!V$2 - 1</f>
        <v>0.73522127952304528</v>
      </c>
      <c r="W27" s="2">
        <f>'вместе-абс'!W27 / 'вместе-абс'!W$2 - 1</f>
        <v>0.18856043956043966</v>
      </c>
    </row>
    <row r="28" spans="1:23" x14ac:dyDescent="0.25">
      <c r="A28" s="9">
        <f>'вместе-абс'!A28</f>
        <v>1943</v>
      </c>
      <c r="B28" s="2">
        <f>'вместе-абс'!B28 / 'вместе-абс'!B$2 - 1</f>
        <v>0.78673279595801149</v>
      </c>
      <c r="C28" s="2">
        <f>'вместе-абс'!C28 / 'вместе-абс'!C$2 - 1</f>
        <v>0.30203343591958132</v>
      </c>
      <c r="D28" s="2">
        <f>'вместе-абс'!D28 / 'вместе-абс'!D$2 - 1</f>
        <v>0.71299531096567415</v>
      </c>
      <c r="E28" s="2">
        <f>'вместе-абс'!E28 / 'вместе-абс'!E$2 - 1</f>
        <v>0.51487024390672786</v>
      </c>
      <c r="F28" s="2">
        <f>'вместе-абс'!F28 / 'вместе-абс'!F$2 - 1</f>
        <v>0.4822079508774777</v>
      </c>
      <c r="G28" s="2">
        <f>'вместе-абс'!G28 / 'вместе-абс'!G$2 - 1</f>
        <v>0.61589700406310133</v>
      </c>
      <c r="H28" s="2">
        <f>'вместе-абс'!H28 / 'вместе-абс'!H$2 - 1</f>
        <v>0.72629272404855327</v>
      </c>
      <c r="I28" s="2">
        <f>'вместе-абс'!I28 / 'вместе-абс'!I$2 - 1</f>
        <v>1.320194294556031</v>
      </c>
      <c r="J28" s="2">
        <f>'вместе-абс'!J28 / 'вместе-абс'!J$2 - 1</f>
        <v>0.72367181778483647</v>
      </c>
      <c r="K28" s="2">
        <f>'вместе-абс'!K28 / 'вместе-абс'!K$2 - 1</f>
        <v>0.7410709808130147</v>
      </c>
      <c r="L28" s="2">
        <f>'вместе-абс'!L28 / 'вместе-абс'!L$2 - 1</f>
        <v>0.76866006003878695</v>
      </c>
      <c r="M28" s="2">
        <f>'вместе-абс'!M28 / 'вместе-абс'!M$2 - 1</f>
        <v>0.46411948343553222</v>
      </c>
      <c r="N28" s="2">
        <f>'вместе-абс'!N28 / 'вместе-абс'!N$2 - 1</f>
        <v>0.5685316083077423</v>
      </c>
      <c r="O28" s="2">
        <f>'вместе-абс'!O28 / 'вместе-абс'!O$2 - 1</f>
        <v>0.6592231169834315</v>
      </c>
      <c r="P28" s="2">
        <f>'вместе-абс'!P28 / 'вместе-абс'!P$2 - 1</f>
        <v>0.79009131915732045</v>
      </c>
      <c r="Q28" s="2">
        <f>'вместе-абс'!Q28 / 'вместе-абс'!Q$2 - 1</f>
        <v>0.51378895397741187</v>
      </c>
      <c r="R28" s="2">
        <f>'вместе-абс'!R28 / 'вместе-абс'!R$2 - 1</f>
        <v>0.6022583519110527</v>
      </c>
      <c r="S28" s="2">
        <f>'вместе-абс'!S28 / 'вместе-абс'!S$2 - 1</f>
        <v>0.47411055381086542</v>
      </c>
      <c r="T28" s="2">
        <f>'вместе-абс'!T28 / 'вместе-абс'!T$2 - 1</f>
        <v>0.48853462741084863</v>
      </c>
      <c r="U28" s="2">
        <f>'вместе-абс'!U28 / 'вместе-абс'!U$2 - 1</f>
        <v>0.47248341549085504</v>
      </c>
      <c r="V28" s="2">
        <f>'вместе-абс'!V28 / 'вместе-абс'!V$2 - 1</f>
        <v>0.78208471189438877</v>
      </c>
      <c r="W28" s="2">
        <f>'вместе-абс'!W28 / 'вместе-абс'!W$2 - 1</f>
        <v>0.15827472527472519</v>
      </c>
    </row>
    <row r="29" spans="1:23" x14ac:dyDescent="0.25">
      <c r="A29" s="9">
        <f>'вместе-абс'!A29</f>
        <v>1944</v>
      </c>
      <c r="B29" s="2">
        <f>'вместе-абс'!B29 / 'вместе-абс'!B$2 - 1</f>
        <v>0.81939507861583438</v>
      </c>
      <c r="C29" s="2">
        <f>'вместе-абс'!C29 / 'вместе-абс'!C$2 - 1</f>
        <v>0.31645368065753776</v>
      </c>
      <c r="D29" s="2">
        <f>'вместе-абс'!D29 / 'вместе-абс'!D$2 - 1</f>
        <v>0.7531446077035624</v>
      </c>
      <c r="E29" s="2">
        <f>'вместе-абс'!E29 / 'вместе-абс'!E$2 - 1</f>
        <v>0.55484549496778923</v>
      </c>
      <c r="F29" s="2">
        <f>'вместе-абс'!F29 / 'вместе-абс'!F$2 - 1</f>
        <v>0.50460248365443872</v>
      </c>
      <c r="G29" s="2">
        <f>'вместе-абс'!G29 / 'вместе-абс'!G$2 - 1</f>
        <v>0.64100754667443627</v>
      </c>
      <c r="H29" s="2">
        <f>'вместе-абс'!H29 / 'вместе-абс'!H$2 - 1</f>
        <v>0.75851260700244327</v>
      </c>
      <c r="I29" s="2">
        <f>'вместе-абс'!I29 / 'вместе-абс'!I$2 - 1</f>
        <v>1.3850391233241606</v>
      </c>
      <c r="J29" s="2">
        <f>'вместе-абс'!J29 / 'вместе-абс'!J$2 - 1</f>
        <v>0.76867594899060032</v>
      </c>
      <c r="K29" s="2">
        <f>'вместе-абс'!K29 / 'вместе-абс'!K$2 - 1</f>
        <v>0.78623261085423701</v>
      </c>
      <c r="L29" s="2">
        <f>'вместе-абс'!L29 / 'вместе-абс'!L$2 - 1</f>
        <v>0.80688339103391082</v>
      </c>
      <c r="M29" s="2">
        <f>'вместе-абс'!M29 / 'вместе-абс'!M$2 - 1</f>
        <v>0.50918191784268729</v>
      </c>
      <c r="N29" s="2">
        <f>'вместе-абс'!N29 / 'вместе-абс'!N$2 - 1</f>
        <v>0.61460479084450137</v>
      </c>
      <c r="O29" s="2">
        <f>'вместе-абс'!O29 / 'вместе-абс'!O$2 - 1</f>
        <v>0.70185980795018144</v>
      </c>
      <c r="P29" s="2">
        <f>'вместе-абс'!P29 / 'вместе-абс'!P$2 - 1</f>
        <v>0.83764206114413153</v>
      </c>
      <c r="Q29" s="2">
        <f>'вместе-абс'!Q29 / 'вместе-абс'!Q$2 - 1</f>
        <v>0.54094827776829413</v>
      </c>
      <c r="R29" s="2">
        <f>'вместе-абс'!R29 / 'вместе-абс'!R$2 - 1</f>
        <v>0.63680766920506149</v>
      </c>
      <c r="S29" s="2">
        <f>'вместе-абс'!S29 / 'вместе-абс'!S$2 - 1</f>
        <v>0.49940449020565159</v>
      </c>
      <c r="T29" s="2">
        <f>'вместе-абс'!T29 / 'вместе-абс'!T$2 - 1</f>
        <v>0.50542920504277111</v>
      </c>
      <c r="U29" s="2">
        <f>'вместе-абс'!U29 / 'вместе-абс'!U$2 - 1</f>
        <v>0.50233162544652754</v>
      </c>
      <c r="V29" s="2">
        <f>'вместе-абс'!V29 / 'вместе-абс'!V$2 - 1</f>
        <v>0.83134012513512645</v>
      </c>
      <c r="W29" s="2">
        <f>'вместе-абс'!W29 / 'вместе-абс'!W$2 - 1</f>
        <v>0.1287582417582418</v>
      </c>
    </row>
    <row r="30" spans="1:23" x14ac:dyDescent="0.25">
      <c r="A30" s="9">
        <f>'вместе-абс'!A30</f>
        <v>1945</v>
      </c>
      <c r="B30" s="2">
        <f>'вместе-абс'!B30 / 'вместе-абс'!B$2 - 1</f>
        <v>0.85296788618737884</v>
      </c>
      <c r="C30" s="2">
        <f>'вместе-абс'!C30 / 'вместе-абс'!C$2 - 1</f>
        <v>0.33128358023541105</v>
      </c>
      <c r="D30" s="2">
        <f>'вместе-абс'!D30 / 'вместе-абс'!D$2 - 1</f>
        <v>0.79774732214812105</v>
      </c>
      <c r="E30" s="2">
        <f>'вместе-абс'!E30 / 'вместе-абс'!E$2 - 1</f>
        <v>0.59652086186091813</v>
      </c>
      <c r="F30" s="2">
        <f>'вместе-абс'!F30 / 'вместе-абс'!F$2 - 1</f>
        <v>0.52754007496710376</v>
      </c>
      <c r="G30" s="2">
        <f>'вместе-абс'!G30 / 'вместе-абс'!G$2 - 1</f>
        <v>0.66943004517758853</v>
      </c>
      <c r="H30" s="2">
        <f>'вместе-абс'!H30 / 'вместе-абс'!H$2 - 1</f>
        <v>0.79112894107476905</v>
      </c>
      <c r="I30" s="2">
        <f>'вместе-абс'!I30 / 'вместе-абс'!I$2 - 1</f>
        <v>1.4528010635276605</v>
      </c>
      <c r="J30" s="2">
        <f>'вместе-абс'!J30 / 'вместе-абс'!J$2 - 1</f>
        <v>0.81551560723469829</v>
      </c>
      <c r="K30" s="2">
        <f>'вместе-абс'!K30 / 'вместе-абс'!K$2 - 1</f>
        <v>0.83504508389918053</v>
      </c>
      <c r="L30" s="2">
        <f>'вместе-абс'!L30 / 'вместе-абс'!L$2 - 1</f>
        <v>0.84870386403380182</v>
      </c>
      <c r="M30" s="2">
        <f>'вместе-абс'!M30 / 'вместе-абс'!M$2 - 1</f>
        <v>0.55799846326070113</v>
      </c>
      <c r="N30" s="2">
        <f>'вместе-абс'!N30 / 'вместе-абс'!N$2 - 1</f>
        <v>0.66503238552736099</v>
      </c>
      <c r="O30" s="2">
        <f>'вместе-абс'!O30 / 'вместе-абс'!O$2 - 1</f>
        <v>0.74751182020337237</v>
      </c>
      <c r="P30" s="2">
        <f>'вместе-абс'!P30 / 'вместе-абс'!P$2 - 1</f>
        <v>0.88619137319055841</v>
      </c>
      <c r="Q30" s="2">
        <f>'вместе-абс'!Q30 / 'вместе-абс'!Q$2 - 1</f>
        <v>0.56896467087742142</v>
      </c>
      <c r="R30" s="2">
        <f>'вместе-абс'!R30 / 'вместе-абс'!R$2 - 1</f>
        <v>0.6707369677130659</v>
      </c>
      <c r="S30" s="2">
        <f>'вместе-абс'!S30 / 'вместе-абс'!S$2 - 1</f>
        <v>0.52309244837075752</v>
      </c>
      <c r="T30" s="2">
        <f>'вместе-абс'!T30 / 'вместе-абс'!T$2 - 1</f>
        <v>0.52230996327676871</v>
      </c>
      <c r="U30" s="2">
        <f>'вместе-абс'!U30 / 'вместе-абс'!U$2 - 1</f>
        <v>0.53318129587701879</v>
      </c>
      <c r="V30" s="2">
        <f>'вместе-абс'!V30 / 'вместе-абс'!V$2 - 1</f>
        <v>0.88060208995315636</v>
      </c>
      <c r="W30" s="2">
        <f>'вместе-абс'!W30 / 'вместе-абс'!W$2 - 1</f>
        <v>9.9989010989010918E-2</v>
      </c>
    </row>
    <row r="31" spans="1:23" x14ac:dyDescent="0.25">
      <c r="A31" s="9">
        <f>'вместе-абс'!A31</f>
        <v>1946</v>
      </c>
      <c r="B31" s="2">
        <f>'вместе-абс'!B31 / 'вместе-абс'!B$2 - 1</f>
        <v>0.88720326376188652</v>
      </c>
      <c r="C31" s="2">
        <f>'вместе-абс'!C31 / 'вместе-абс'!C$2 - 1</f>
        <v>0.3463949634638166</v>
      </c>
      <c r="D31" s="2">
        <f>'вместе-абс'!D31 / 'вместе-абс'!D$2 - 1</f>
        <v>0.84528473888518918</v>
      </c>
      <c r="E31" s="2">
        <f>'вместе-абс'!E31 / 'вместе-абс'!E$2 - 1</f>
        <v>0.63998755959197218</v>
      </c>
      <c r="F31" s="2">
        <f>'вместе-абс'!F31 / 'вместе-абс'!F$2 - 1</f>
        <v>0.55090310384230179</v>
      </c>
      <c r="G31" s="2">
        <f>'вместе-абс'!G31 / 'вместе-абс'!G$2 - 1</f>
        <v>0.70038133598870389</v>
      </c>
      <c r="H31" s="2">
        <f>'вместе-абс'!H31 / 'вместе-абс'!H$2 - 1</f>
        <v>0.82581769832216723</v>
      </c>
      <c r="I31" s="2">
        <f>'вместе-абс'!I31 / 'вместе-абс'!I$2 - 1</f>
        <v>1.5216304486206456</v>
      </c>
      <c r="J31" s="2">
        <f>'вместе-абс'!J31 / 'вместе-абс'!J$2 - 1</f>
        <v>0.86412510660823005</v>
      </c>
      <c r="K31" s="2">
        <f>'вместе-абс'!K31 / 'вместе-абс'!K$2 - 1</f>
        <v>0.8800161479594395</v>
      </c>
      <c r="L31" s="2">
        <f>'вместе-абс'!L31 / 'вместе-абс'!L$2 - 1</f>
        <v>0.89558575062907053</v>
      </c>
      <c r="M31" s="2">
        <f>'вместе-абс'!M31 / 'вместе-абс'!M$2 - 1</f>
        <v>0.60775837261215293</v>
      </c>
      <c r="N31" s="2">
        <f>'вместе-абс'!N31 / 'вместе-абс'!N$2 - 1</f>
        <v>0.71928908770440225</v>
      </c>
      <c r="O31" s="2">
        <f>'вместе-абс'!O31 / 'вместе-абс'!O$2 - 1</f>
        <v>0.79371316306483308</v>
      </c>
      <c r="P31" s="2">
        <f>'вместе-абс'!P31 / 'вместе-абс'!P$2 - 1</f>
        <v>0.93547505963060362</v>
      </c>
      <c r="Q31" s="2">
        <f>'вместе-абс'!Q31 / 'вместе-абс'!Q$2 - 1</f>
        <v>0.59806787918241411</v>
      </c>
      <c r="R31" s="2">
        <f>'вместе-абс'!R31 / 'вместе-абс'!R$2 - 1</f>
        <v>0.70282394772169288</v>
      </c>
      <c r="S31" s="2">
        <f>'вместе-абс'!S31 / 'вместе-абс'!S$2 - 1</f>
        <v>0.54697905694910043</v>
      </c>
      <c r="T31" s="2">
        <f>'вместе-абс'!T31 / 'вместе-абс'!T$2 - 1</f>
        <v>0.53956166324454724</v>
      </c>
      <c r="U31" s="2">
        <f>'вместе-абс'!U31 / 'вместе-абс'!U$2 - 1</f>
        <v>0.5647154418006084</v>
      </c>
      <c r="V31" s="2">
        <f>'вместе-абс'!V31 / 'вместе-абс'!V$2 - 1</f>
        <v>0.93141743374717456</v>
      </c>
      <c r="W31" s="2">
        <f>'вместе-абс'!W31 / 'вместе-абс'!W$2 - 1</f>
        <v>7.1956043956044047E-2</v>
      </c>
    </row>
    <row r="32" spans="1:23" x14ac:dyDescent="0.25">
      <c r="A32" s="9">
        <f>'вместе-абс'!A32</f>
        <v>1947</v>
      </c>
      <c r="B32" s="2">
        <f>'вместе-абс'!B32 / 'вместе-абс'!B$2 - 1</f>
        <v>0.92239142993118661</v>
      </c>
      <c r="C32" s="2">
        <f>'вместе-абс'!C32 / 'вместе-абс'!C$2 - 1</f>
        <v>0.3619051562776523</v>
      </c>
      <c r="D32" s="2">
        <f>'вместе-абс'!D32 / 'вместе-абс'!D$2 - 1</f>
        <v>0.89511040468336667</v>
      </c>
      <c r="E32" s="2">
        <f>'вместе-абс'!E32 / 'вместе-абс'!E$2 - 1</f>
        <v>0.69083131671242071</v>
      </c>
      <c r="F32" s="2">
        <f>'вместе-абс'!F32 / 'вместе-абс'!F$2 - 1</f>
        <v>0.57482520772614643</v>
      </c>
      <c r="G32" s="2">
        <f>'вместе-абс'!G32 / 'вместе-абс'!G$2 - 1</f>
        <v>0.73468108336561833</v>
      </c>
      <c r="H32" s="2">
        <f>'вместе-абс'!H32 / 'вместе-абс'!H$2 - 1</f>
        <v>0.86640169801302158</v>
      </c>
      <c r="I32" s="2">
        <f>'вместе-абс'!I32 / 'вместе-абс'!I$2 - 1</f>
        <v>1.5927367230421199</v>
      </c>
      <c r="J32" s="2">
        <f>'вместе-абс'!J32 / 'вместе-абс'!J$2 - 1</f>
        <v>0.91443806055259902</v>
      </c>
      <c r="K32" s="2">
        <f>'вместе-абс'!K32 / 'вместе-абс'!K$2 - 1</f>
        <v>0.92995195731322022</v>
      </c>
      <c r="L32" s="2">
        <f>'вместе-абс'!L32 / 'вместе-абс'!L$2 - 1</f>
        <v>0.9436974792984496</v>
      </c>
      <c r="M32" s="2">
        <f>'вместе-абс'!M32 / 'вместе-абс'!M$2 - 1</f>
        <v>0.66220210584458261</v>
      </c>
      <c r="N32" s="2">
        <f>'вместе-абс'!N32 / 'вместе-абс'!N$2 - 1</f>
        <v>0.77602364201313878</v>
      </c>
      <c r="O32" s="2">
        <f>'вместе-абс'!O32 / 'вместе-абс'!O$2 - 1</f>
        <v>0.84040146712052421</v>
      </c>
      <c r="P32" s="2">
        <f>'вместе-абс'!P32 / 'вместе-абс'!P$2 - 1</f>
        <v>0.98671857041784716</v>
      </c>
      <c r="Q32" s="2">
        <f>'вместе-абс'!Q32 / 'вместе-абс'!Q$2 - 1</f>
        <v>0.62804584657486262</v>
      </c>
      <c r="R32" s="2">
        <f>'вместе-абс'!R32 / 'вместе-абс'!R$2 - 1</f>
        <v>0.73184630951757068</v>
      </c>
      <c r="S32" s="2">
        <f>'вместе-абс'!S32 / 'вместе-абс'!S$2 - 1</f>
        <v>0.5724274992208489</v>
      </c>
      <c r="T32" s="2">
        <f>'вместе-абс'!T32 / 'вместе-абс'!T$2 - 1</f>
        <v>0.5572046703746294</v>
      </c>
      <c r="U32" s="2">
        <f>'вместе-абс'!U32 / 'вместе-абс'!U$2 - 1</f>
        <v>0.59703619042091494</v>
      </c>
      <c r="V32" s="2">
        <f>'вместе-абс'!V32 / 'вместе-абс'!V$2 - 1</f>
        <v>0.98631506535198343</v>
      </c>
      <c r="W32" s="2">
        <f>'вместе-абс'!W32 / 'вместе-абс'!W$2 - 1</f>
        <v>8.2516483516483552E-2</v>
      </c>
    </row>
    <row r="33" spans="1:23" x14ac:dyDescent="0.25">
      <c r="A33" s="9">
        <f>'вместе-абс'!A33</f>
        <v>1948</v>
      </c>
      <c r="B33" s="2">
        <f>'вместе-абс'!B33 / 'вместе-абс'!B$2 - 1</f>
        <v>0.96187612431269098</v>
      </c>
      <c r="C33" s="2">
        <f>'вместе-абс'!C33 / 'вместе-абс'!C$2 - 1</f>
        <v>0.37817895360055043</v>
      </c>
      <c r="D33" s="2">
        <f>'вместе-абс'!D33 / 'вместе-абс'!D$2 - 1</f>
        <v>0.94715930982395302</v>
      </c>
      <c r="E33" s="2">
        <f>'вместе-абс'!E33 / 'вместе-абс'!E$2 - 1</f>
        <v>0.73961925611048973</v>
      </c>
      <c r="F33" s="2">
        <f>'вместе-абс'!F33 / 'вместе-абс'!F$2 - 1</f>
        <v>0.59943802200563279</v>
      </c>
      <c r="G33" s="2">
        <f>'вместе-абс'!G33 / 'вместе-абс'!G$2 - 1</f>
        <v>0.77218712678861312</v>
      </c>
      <c r="H33" s="2">
        <f>'вместе-абс'!H33 / 'вместе-абс'!H$2 - 1</f>
        <v>0.90811923303167763</v>
      </c>
      <c r="I33" s="2">
        <f>'вместе-абс'!I33 / 'вместе-абс'!I$2 - 1</f>
        <v>1.6654931301597253</v>
      </c>
      <c r="J33" s="2">
        <f>'вместе-абс'!J33 / 'вместе-абс'!J$2 - 1</f>
        <v>0.9661260395232989</v>
      </c>
      <c r="K33" s="2">
        <f>'вместе-абс'!K33 / 'вместе-абс'!K$2 - 1</f>
        <v>0.98488009387882025</v>
      </c>
      <c r="L33" s="2">
        <f>'вместе-абс'!L33 / 'вместе-абс'!L$2 - 1</f>
        <v>0.99194650625163616</v>
      </c>
      <c r="M33" s="2">
        <f>'вместе-абс'!M33 / 'вместе-абс'!M$2 - 1</f>
        <v>0.71769559898636381</v>
      </c>
      <c r="N33" s="2">
        <f>'вместе-абс'!N33 / 'вместе-абс'!N$2 - 1</f>
        <v>0.82975669143968123</v>
      </c>
      <c r="O33" s="2">
        <f>'вместе-абс'!O33 / 'вместе-абс'!O$2 - 1</f>
        <v>0.88871137594123861</v>
      </c>
      <c r="P33" s="2">
        <f>'вместе-абс'!P33 / 'вместе-абс'!P$2 - 1</f>
        <v>1.0381665716358341</v>
      </c>
      <c r="Q33" s="2">
        <f>'вместе-абс'!Q33 / 'вместе-абс'!Q$2 - 1</f>
        <v>0.65901797899693704</v>
      </c>
      <c r="R33" s="2">
        <f>'вместе-абс'!R33 / 'вместе-абс'!R$2 - 1</f>
        <v>0.75658094712102453</v>
      </c>
      <c r="S33" s="2">
        <f>'вместе-абс'!S33 / 'вместе-абс'!S$2 - 1</f>
        <v>0.59815140339895256</v>
      </c>
      <c r="T33" s="2">
        <f>'вместе-абс'!T33 / 'вместе-абс'!T$2 - 1</f>
        <v>0.57489640906581596</v>
      </c>
      <c r="U33" s="2">
        <f>'вместе-абс'!U33 / 'вместе-абс'!U$2 - 1</f>
        <v>0.62968759679063857</v>
      </c>
      <c r="V33" s="2">
        <f>'вместе-абс'!V33 / 'вместе-абс'!V$2 - 1</f>
        <v>1.0409447374455403</v>
      </c>
      <c r="W33" s="2">
        <f>'вместе-абс'!W33 / 'вместе-абс'!W$2 - 1</f>
        <v>8.9659340659340669E-2</v>
      </c>
    </row>
    <row r="34" spans="1:23" x14ac:dyDescent="0.25">
      <c r="A34" s="9">
        <f>'вместе-абс'!A34</f>
        <v>1949</v>
      </c>
      <c r="B34" s="2">
        <f>'вместе-абс'!B34 / 'вместе-абс'!B$2 - 1</f>
        <v>1.0043314885376229</v>
      </c>
      <c r="C34" s="2">
        <f>'вместе-абс'!C34 / 'вместе-абс'!C$2 - 1</f>
        <v>0.38793968263827572</v>
      </c>
      <c r="D34" s="2">
        <f>'вместе-абс'!D34 / 'вместе-абс'!D$2 - 1</f>
        <v>1.0013082188294584</v>
      </c>
      <c r="E34" s="2">
        <f>'вместе-абс'!E34 / 'вместе-абс'!E$2 - 1</f>
        <v>0.79065423505044685</v>
      </c>
      <c r="F34" s="2">
        <f>'вместе-абс'!F34 / 'вместе-абс'!F$2 - 1</f>
        <v>0.62512444048704086</v>
      </c>
      <c r="G34" s="2">
        <f>'вместе-абс'!G34 / 'вместе-абс'!G$2 - 1</f>
        <v>0.81339830880210551</v>
      </c>
      <c r="H34" s="2">
        <f>'вместе-абс'!H34 / 'вместе-абс'!H$2 - 1</f>
        <v>0.95336045994054675</v>
      </c>
      <c r="I34" s="2">
        <f>'вместе-абс'!I34 / 'вместе-абс'!I$2 - 1</f>
        <v>1.7411127868146075</v>
      </c>
      <c r="J34" s="2">
        <f>'вместе-абс'!J34 / 'вместе-абс'!J$2 - 1</f>
        <v>1.0192104133360265</v>
      </c>
      <c r="K34" s="2">
        <f>'вместе-абс'!K34 / 'вместе-абс'!K$2 - 1</f>
        <v>1.0473355866924763</v>
      </c>
      <c r="L34" s="2">
        <f>'вместе-абс'!L34 / 'вместе-абс'!L$2 - 1</f>
        <v>1.0396054427084569</v>
      </c>
      <c r="M34" s="2">
        <f>'вместе-абс'!M34 / 'вместе-абс'!M$2 - 1</f>
        <v>0.77286866943085841</v>
      </c>
      <c r="N34" s="2">
        <f>'вместе-абс'!N34 / 'вместе-абс'!N$2 - 1</f>
        <v>0.88574128250322515</v>
      </c>
      <c r="O34" s="2">
        <f>'вместе-абс'!O34 / 'вместе-абс'!O$2 - 1</f>
        <v>0.93737870948087054</v>
      </c>
      <c r="P34" s="2">
        <f>'вместе-абс'!P34 / 'вместе-абс'!P$2 - 1</f>
        <v>1.0902996904283553</v>
      </c>
      <c r="Q34" s="2">
        <f>'вместе-абс'!Q34 / 'вместе-абс'!Q$2 - 1</f>
        <v>0.69121358008202738</v>
      </c>
      <c r="R34" s="2">
        <f>'вместе-абс'!R34 / 'вместе-абс'!R$2 - 1</f>
        <v>0.77580636708498418</v>
      </c>
      <c r="S34" s="2">
        <f>'вместе-абс'!S34 / 'вместе-абс'!S$2 - 1</f>
        <v>0.62507162451010601</v>
      </c>
      <c r="T34" s="2">
        <f>'вместе-абс'!T34 / 'вместе-абс'!T$2 - 1</f>
        <v>0.59338458147953377</v>
      </c>
      <c r="U34" s="2">
        <f>'вместе-абс'!U34 / 'вместе-абс'!U$2 - 1</f>
        <v>0.66263199103959369</v>
      </c>
      <c r="V34" s="2">
        <f>'вместе-абс'!V34 / 'вместе-абс'!V$2 - 1</f>
        <v>1.0978360140203756</v>
      </c>
      <c r="W34" s="2">
        <f>'вместе-абс'!W34 / 'вместе-абс'!W$2 - 1</f>
        <v>0.10167032967032963</v>
      </c>
    </row>
    <row r="35" spans="1:23" x14ac:dyDescent="0.25">
      <c r="A35" s="9">
        <f>'вместе-абс'!A35</f>
        <v>1950</v>
      </c>
      <c r="B35" s="2">
        <f>'вместе-абс'!B35 / 'вместе-абс'!B$2 - 1</f>
        <v>1.0485515111061892</v>
      </c>
      <c r="C35" s="2">
        <f>'вместе-абс'!C35 / 'вместе-абс'!C$2 - 1</f>
        <v>0.41151726589162529</v>
      </c>
      <c r="D35" s="2">
        <f>'вместе-абс'!D35 / 'вместе-абс'!D$2 - 1</f>
        <v>1.0575309262318791</v>
      </c>
      <c r="E35" s="2">
        <f>'вместе-абс'!E35 / 'вместе-абс'!E$2 - 1</f>
        <v>0.84402820118879918</v>
      </c>
      <c r="F35" s="2">
        <f>'вместе-абс'!F35 / 'вместе-абс'!F$2 - 1</f>
        <v>0.65201860113126364</v>
      </c>
      <c r="G35" s="2">
        <f>'вместе-абс'!G35 / 'вместе-абс'!G$2 - 1</f>
        <v>0.85529019636722214</v>
      </c>
      <c r="H35" s="2">
        <f>'вместе-абс'!H35 / 'вместе-абс'!H$2 - 1</f>
        <v>1.0023729817847173</v>
      </c>
      <c r="I35" s="2">
        <f>'вместе-абс'!I35 / 'вместе-абс'!I$2 - 1</f>
        <v>1.8201906221538882</v>
      </c>
      <c r="J35" s="2">
        <f>'вместе-абс'!J35 / 'вместе-абс'!J$2 - 1</f>
        <v>1.073800483343192</v>
      </c>
      <c r="K35" s="2">
        <f>'вместе-абс'!K35 / 'вместе-абс'!K$2 - 1</f>
        <v>1.1173510325667229</v>
      </c>
      <c r="L35" s="2">
        <f>'вместе-абс'!L35 / 'вместе-абс'!L$2 - 1</f>
        <v>1.0864953627139489</v>
      </c>
      <c r="M35" s="2">
        <f>'вместе-абс'!M35 / 'вместе-абс'!M$2 - 1</f>
        <v>0.83609202572793251</v>
      </c>
      <c r="N35" s="2">
        <f>'вместе-абс'!N35 / 'вместе-абс'!N$2 - 1</f>
        <v>0.94510731577582363</v>
      </c>
      <c r="O35" s="2">
        <f>'вместе-абс'!O35 / 'вместе-абс'!O$2 - 1</f>
        <v>0.98753571248659688</v>
      </c>
      <c r="P35" s="2">
        <f>'вместе-абс'!P35 / 'вместе-абс'!P$2 - 1</f>
        <v>1.1421089083196261</v>
      </c>
      <c r="Q35" s="2">
        <f>'вместе-абс'!Q35 / 'вместе-абс'!Q$2 - 1</f>
        <v>0.72486305907409987</v>
      </c>
      <c r="R35" s="2">
        <f>'вместе-абс'!R35 / 'вместе-абс'!R$2 - 1</f>
        <v>0.78829865716347447</v>
      </c>
      <c r="S35" s="2">
        <f>'вместе-абс'!S35 / 'вместе-абс'!S$2 - 1</f>
        <v>0.65675857264822191</v>
      </c>
      <c r="T35" s="2">
        <f>'вместе-абс'!T35 / 'вместе-абс'!T$2 - 1</f>
        <v>0.61232588467785187</v>
      </c>
      <c r="U35" s="2">
        <f>'вместе-абс'!U35 / 'вместе-абс'!U$2 - 1</f>
        <v>0.69583198233366805</v>
      </c>
      <c r="V35" s="2">
        <f>'вместе-абс'!V35 / 'вместе-абс'!V$2 - 1</f>
        <v>1.1568965178366692</v>
      </c>
      <c r="W35" s="2">
        <f>'вместе-абс'!W35 / 'вместе-абс'!W$2 - 1</f>
        <v>0.12161538461538468</v>
      </c>
    </row>
    <row r="36" spans="1:23" x14ac:dyDescent="0.25">
      <c r="A36" s="9">
        <f>'вместе-абс'!A36</f>
        <v>1951</v>
      </c>
      <c r="B36" s="2">
        <f>'вместе-абс'!B36 / 'вместе-абс'!B$2 - 1</f>
        <v>1.0890186864136631</v>
      </c>
      <c r="C36" s="2">
        <f>'вместе-абс'!C36 / 'вместе-абс'!C$2 - 1</f>
        <v>0.43462160167647923</v>
      </c>
      <c r="D36" s="2">
        <f>'вместе-абс'!D36 / 'вместе-абс'!D$2 - 1</f>
        <v>1.1193892435780031</v>
      </c>
      <c r="E36" s="2">
        <f>'вместе-абс'!E36 / 'вместе-абс'!E$2 - 1</f>
        <v>0.91909302245500979</v>
      </c>
      <c r="F36" s="2">
        <f>'вместе-абс'!F36 / 'вместе-абс'!F$2 - 1</f>
        <v>0.67657035260765697</v>
      </c>
      <c r="G36" s="2">
        <f>'вместе-абс'!G36 / 'вместе-абс'!G$2 - 1</f>
        <v>0.90079501029383047</v>
      </c>
      <c r="H36" s="2">
        <f>'вместе-абс'!H36 / 'вместе-абс'!H$2 - 1</f>
        <v>1.0579090566896476</v>
      </c>
      <c r="I36" s="2">
        <f>'вместе-абс'!I36 / 'вместе-абс'!I$2 - 1</f>
        <v>1.9087236688766369</v>
      </c>
      <c r="J36" s="2">
        <f>'вместе-абс'!J36 / 'вместе-абс'!J$2 - 1</f>
        <v>1.1300461885795152</v>
      </c>
      <c r="K36" s="2">
        <f>'вместе-абс'!K36 / 'вместе-абс'!K$2 - 1</f>
        <v>1.191543885339458</v>
      </c>
      <c r="L36" s="2">
        <f>'вместе-абс'!L36 / 'вместе-абс'!L$2 - 1</f>
        <v>1.1319334263991734</v>
      </c>
      <c r="M36" s="2">
        <f>'вместе-абс'!M36 / 'вместе-абс'!M$2 - 1</f>
        <v>0.89062418217954509</v>
      </c>
      <c r="N36" s="2">
        <f>'вместе-абс'!N36 / 'вместе-абс'!N$2 - 1</f>
        <v>1.0087583813348355</v>
      </c>
      <c r="O36" s="2">
        <f>'вместе-абс'!O36 / 'вместе-абс'!O$2 - 1</f>
        <v>1.03983726380583</v>
      </c>
      <c r="P36" s="2">
        <f>'вместе-абс'!P36 / 'вместе-абс'!P$2 - 1</f>
        <v>1.1962973798357508</v>
      </c>
      <c r="Q36" s="2">
        <f>'вместе-абс'!Q36 / 'вместе-абс'!Q$2 - 1</f>
        <v>0.76800995403313488</v>
      </c>
      <c r="R36" s="2">
        <f>'вместе-абс'!R36 / 'вместе-абс'!R$2 - 1</f>
        <v>0.79528334213507379</v>
      </c>
      <c r="S36" s="2">
        <f>'вместе-абс'!S36 / 'вместе-абс'!S$2 - 1</f>
        <v>0.69816173322044106</v>
      </c>
      <c r="T36" s="2">
        <f>'вместе-абс'!T36 / 'вместе-абс'!T$2 - 1</f>
        <v>0.63003071543023048</v>
      </c>
      <c r="U36" s="2">
        <f>'вместе-абс'!U36 / 'вместе-абс'!U$2 - 1</f>
        <v>0.73203133240284091</v>
      </c>
      <c r="V36" s="2">
        <f>'вместе-абс'!V36 / 'вместе-абс'!V$2 - 1</f>
        <v>1.2159360566056279</v>
      </c>
      <c r="W36" s="2">
        <f>'вместе-абс'!W36 / 'вместе-абс'!W$2 - 1</f>
        <v>0.13845054945054946</v>
      </c>
    </row>
    <row r="37" spans="1:23" x14ac:dyDescent="0.25">
      <c r="A37" s="9">
        <f>'вместе-абс'!A37</f>
        <v>1952</v>
      </c>
      <c r="B37" s="2">
        <f>'вместе-абс'!B37 / 'вместе-абс'!B$2 - 1</f>
        <v>1.1306757100567806</v>
      </c>
      <c r="C37" s="2">
        <f>'вместе-абс'!C37 / 'вместе-абс'!C$2 - 1</f>
        <v>0.46182100696216044</v>
      </c>
      <c r="D37" s="2">
        <f>'вместе-абс'!D37 / 'вместе-абс'!D$2 - 1</f>
        <v>1.1866467789390063</v>
      </c>
      <c r="E37" s="2">
        <f>'вместе-абс'!E37 / 'вместе-абс'!E$2 - 1</f>
        <v>1.0073125861322421</v>
      </c>
      <c r="F37" s="2">
        <f>'вместе-абс'!F37 / 'вместе-абс'!F$2 - 1</f>
        <v>0.70168418218137352</v>
      </c>
      <c r="G37" s="2">
        <f>'вместе-абс'!G37 / 'вместе-абс'!G$2 - 1</f>
        <v>0.95716101599946191</v>
      </c>
      <c r="H37" s="2">
        <f>'вместе-абс'!H37 / 'вместе-абс'!H$2 - 1</f>
        <v>1.1243811712912142</v>
      </c>
      <c r="I37" s="2">
        <f>'вместе-абс'!I37 / 'вместе-абс'!I$2 - 1</f>
        <v>2.0072725803766414</v>
      </c>
      <c r="J37" s="2">
        <f>'вместе-абс'!J37 / 'вместе-абс'!J$2 - 1</f>
        <v>1.1898860515884868</v>
      </c>
      <c r="K37" s="2">
        <f>'вместе-абс'!K37 / 'вместе-абс'!K$2 - 1</f>
        <v>1.2802272750067698</v>
      </c>
      <c r="L37" s="2">
        <f>'вместе-абс'!L37 / 'вместе-абс'!L$2 - 1</f>
        <v>1.1810073385202386</v>
      </c>
      <c r="M37" s="2">
        <f>'вместе-абс'!M37 / 'вместе-абс'!M$2 - 1</f>
        <v>0.94988049831731791</v>
      </c>
      <c r="N37" s="2">
        <f>'вместе-абс'!N37 / 'вместе-абс'!N$2 - 1</f>
        <v>1.084823486073645</v>
      </c>
      <c r="O37" s="2">
        <f>'вместе-абс'!O37 / 'вместе-абс'!O$2 - 1</f>
        <v>1.0985316800640965</v>
      </c>
      <c r="P37" s="2">
        <f>'вместе-абс'!P37 / 'вместе-абс'!P$2 - 1</f>
        <v>1.2557608088865275</v>
      </c>
      <c r="Q37" s="2">
        <f>'вместе-абс'!Q37 / 'вместе-абс'!Q$2 - 1</f>
        <v>0.81280376650566022</v>
      </c>
      <c r="R37" s="2">
        <f>'вместе-абс'!R37 / 'вместе-абс'!R$2 - 1</f>
        <v>0.79982100888102337</v>
      </c>
      <c r="S37" s="2">
        <f>'вместе-абс'!S37 / 'вместе-абс'!S$2 - 1</f>
        <v>0.74841322464359905</v>
      </c>
      <c r="T37" s="2">
        <f>'вместе-абс'!T37 / 'вместе-абс'!T$2 - 1</f>
        <v>0.64936332579085176</v>
      </c>
      <c r="U37" s="2">
        <f>'вместе-абс'!U37 / 'вместе-абс'!U$2 - 1</f>
        <v>0.77341935829515673</v>
      </c>
      <c r="V37" s="2">
        <f>'вместе-абс'!V37 / 'вместе-абс'!V$2 - 1</f>
        <v>1.2821862613424182</v>
      </c>
      <c r="W37" s="2">
        <f>'вместе-абс'!W37 / 'вместе-абс'!W$2 - 1</f>
        <v>0.15690109890109882</v>
      </c>
    </row>
    <row r="38" spans="1:23" x14ac:dyDescent="0.25">
      <c r="A38" s="9">
        <f>'вместе-абс'!A38</f>
        <v>1953</v>
      </c>
      <c r="B38" s="2">
        <f>'вместе-абс'!B38 / 'вместе-абс'!B$2 - 1</f>
        <v>1.1727507011520744</v>
      </c>
      <c r="C38" s="2">
        <f>'вместе-абс'!C38 / 'вместе-абс'!C$2 - 1</f>
        <v>0.49215173299772208</v>
      </c>
      <c r="D38" s="2">
        <f>'вместе-абс'!D38 / 'вместе-абс'!D$2 - 1</f>
        <v>1.2581119975959196</v>
      </c>
      <c r="E38" s="2">
        <f>'вместе-абс'!E38 / 'вместе-абс'!E$2 - 1</f>
        <v>1.1055456525609437</v>
      </c>
      <c r="F38" s="2">
        <f>'вместе-абс'!F38 / 'вместе-абс'!F$2 - 1</f>
        <v>0.72728551315027512</v>
      </c>
      <c r="G38" s="2">
        <f>'вместе-абс'!G38 / 'вместе-абс'!G$2 - 1</f>
        <v>1.0218056307092338</v>
      </c>
      <c r="H38" s="2">
        <f>'вместе-абс'!H38 / 'вместе-абс'!H$2 - 1</f>
        <v>1.1995766417298439</v>
      </c>
      <c r="I38" s="2">
        <f>'вместе-абс'!I38 / 'вместе-абс'!I$2 - 1</f>
        <v>2.1149229285203646</v>
      </c>
      <c r="J38" s="2">
        <f>'вместе-абс'!J38 / 'вместе-абс'!J$2 - 1</f>
        <v>1.2527528964420482</v>
      </c>
      <c r="K38" s="2">
        <f>'вместе-абс'!K38 / 'вместе-абс'!K$2 - 1</f>
        <v>1.381332557696358</v>
      </c>
      <c r="L38" s="2">
        <f>'вместе-абс'!L38 / 'вместе-абс'!L$2 - 1</f>
        <v>1.2334253402240516</v>
      </c>
      <c r="M38" s="2">
        <f>'вместе-абс'!M38 / 'вместе-абс'!M$2 - 1</f>
        <v>1.0138711266908538</v>
      </c>
      <c r="N38" s="2">
        <f>'вместе-абс'!N38 / 'вместе-абс'!N$2 - 1</f>
        <v>1.172501457803004</v>
      </c>
      <c r="O38" s="2">
        <f>'вместе-абс'!O38 / 'вместе-абс'!O$2 - 1</f>
        <v>1.1630048624154714</v>
      </c>
      <c r="P38" s="2">
        <f>'вместе-абс'!P38 / 'вместе-абс'!P$2 - 1</f>
        <v>1.3199439367840973</v>
      </c>
      <c r="Q38" s="2">
        <f>'вместе-абс'!Q38 / 'вместе-абс'!Q$2 - 1</f>
        <v>0.8586452555596733</v>
      </c>
      <c r="R38" s="2">
        <f>'вместе-абс'!R38 / 'вместе-абс'!R$2 - 1</f>
        <v>0.80344678843975359</v>
      </c>
      <c r="S38" s="2">
        <f>'вместе-абс'!S38 / 'вместе-абс'!S$2 - 1</f>
        <v>0.80757043481485336</v>
      </c>
      <c r="T38" s="2">
        <f>'вместе-абс'!T38 / 'вместе-абс'!T$2 - 1</f>
        <v>0.67023134399463524</v>
      </c>
      <c r="U38" s="2">
        <f>'вместе-абс'!U38 / 'вместе-абс'!U$2 - 1</f>
        <v>0.81941510690151098</v>
      </c>
      <c r="V38" s="2">
        <f>'вместе-абс'!V38 / 'вместе-абс'!V$2 - 1</f>
        <v>1.3548642185606186</v>
      </c>
      <c r="W38" s="2">
        <f>'вместе-абс'!W38 / 'вместе-абс'!W$2 - 1</f>
        <v>0.17636263736263746</v>
      </c>
    </row>
    <row r="39" spans="1:23" x14ac:dyDescent="0.25">
      <c r="A39" s="9">
        <f>'вместе-абс'!A39</f>
        <v>1954</v>
      </c>
      <c r="B39" s="2">
        <f>'вместе-абс'!B39 / 'вместе-абс'!B$2 - 1</f>
        <v>1.2145551089068012</v>
      </c>
      <c r="C39" s="2">
        <f>'вместе-абс'!C39 / 'вместе-абс'!C$2 - 1</f>
        <v>0.52464953806610382</v>
      </c>
      <c r="D39" s="2">
        <f>'вместе-абс'!D39 / 'вместе-абс'!D$2 - 1</f>
        <v>1.332603017435591</v>
      </c>
      <c r="E39" s="2">
        <f>'вместе-абс'!E39 / 'вместе-абс'!E$2 - 1</f>
        <v>1.2105788159925917</v>
      </c>
      <c r="F39" s="2">
        <f>'вместе-абс'!F39 / 'вместе-абс'!F$2 - 1</f>
        <v>0.75327424255847131</v>
      </c>
      <c r="G39" s="2">
        <f>'вместе-абс'!G39 / 'вместе-абс'!G$2 - 1</f>
        <v>1.0924030570915364</v>
      </c>
      <c r="H39" s="2">
        <f>'вместе-абс'!H39 / 'вместе-абс'!H$2 - 1</f>
        <v>1.2810666681933136</v>
      </c>
      <c r="I39" s="2">
        <f>'вместе-абс'!I39 / 'вместе-абс'!I$2 - 1</f>
        <v>2.230396717362138</v>
      </c>
      <c r="J39" s="2">
        <f>'вместе-абс'!J39 / 'вместе-абс'!J$2 - 1</f>
        <v>1.3183687403737299</v>
      </c>
      <c r="K39" s="2">
        <f>'вместе-абс'!K39 / 'вместе-абс'!K$2 - 1</f>
        <v>1.4930443416948336</v>
      </c>
      <c r="L39" s="2">
        <f>'вместе-абс'!L39 / 'вместе-абс'!L$2 - 1</f>
        <v>1.2886411596154623</v>
      </c>
      <c r="M39" s="2">
        <f>'вместе-абс'!M39 / 'вместе-абс'!M$2 - 1</f>
        <v>1.0826575999825483</v>
      </c>
      <c r="N39" s="2">
        <f>'вместе-абс'!N39 / 'вместе-абс'!N$2 - 1</f>
        <v>1.270584756584066</v>
      </c>
      <c r="O39" s="2">
        <f>'вместе-абс'!O39 / 'вместе-абс'!O$2 - 1</f>
        <v>1.2325275684804176</v>
      </c>
      <c r="P39" s="2">
        <f>'вместе-абс'!P39 / 'вместе-абс'!P$2 - 1</f>
        <v>1.3882243364509419</v>
      </c>
      <c r="Q39" s="2">
        <f>'вместе-абс'!Q39 / 'вместе-абс'!Q$2 - 1</f>
        <v>0.90523391624071192</v>
      </c>
      <c r="R39" s="2">
        <f>'вместе-абс'!R39 / 'вместе-абс'!R$2 - 1</f>
        <v>0.80769339305079058</v>
      </c>
      <c r="S39" s="2">
        <f>'вместе-абс'!S39 / 'вместе-абс'!S$2 - 1</f>
        <v>0.87551329059553606</v>
      </c>
      <c r="T39" s="2">
        <f>'вместе-абс'!T39 / 'вместе-абс'!T$2 - 1</f>
        <v>0.69250384942965892</v>
      </c>
      <c r="U39" s="2">
        <f>'вместе-абс'!U39 / 'вместе-абс'!U$2 - 1</f>
        <v>0.86946413353996865</v>
      </c>
      <c r="V39" s="2">
        <f>'вместе-абс'!V39 / 'вместе-абс'!V$2 - 1</f>
        <v>1.4332544960199169</v>
      </c>
      <c r="W39" s="2">
        <f>'вместе-абс'!W39 / 'вместе-абс'!W$2 - 1</f>
        <v>0.19348351648351647</v>
      </c>
    </row>
    <row r="40" spans="1:23" x14ac:dyDescent="0.25">
      <c r="A40" s="9">
        <f>'вместе-абс'!A40</f>
        <v>1955</v>
      </c>
      <c r="B40" s="2">
        <f>'вместе-абс'!B40 / 'вместе-абс'!B$2 - 1</f>
        <v>1.2554008614367853</v>
      </c>
      <c r="C40" s="2">
        <f>'вместе-абс'!C40 / 'вместе-абс'!C$2 - 1</f>
        <v>0.55820327654856672</v>
      </c>
      <c r="D40" s="2">
        <f>'вместе-абс'!D40 / 'вместе-абс'!D$2 - 1</f>
        <v>1.4089629988483163</v>
      </c>
      <c r="E40" s="2">
        <f>'вместе-абс'!E40 / 'вместе-абс'!E$2 - 1</f>
        <v>1.3189781428331746</v>
      </c>
      <c r="F40" s="2">
        <f>'вместе-абс'!F40 / 'вместе-абс'!F$2 - 1</f>
        <v>0.77965087092074215</v>
      </c>
      <c r="G40" s="2">
        <f>'вместе-абс'!G40 / 'вместе-абс'!G$2 - 1</f>
        <v>1.1667248329453805</v>
      </c>
      <c r="H40" s="2">
        <f>'вместе-абс'!H40 / 'вместе-абс'!H$2 - 1</f>
        <v>1.3662836214163754</v>
      </c>
      <c r="I40" s="2">
        <f>'вместе-абс'!I40 / 'вместе-абс'!I$2 - 1</f>
        <v>2.352412278554151</v>
      </c>
      <c r="J40" s="2">
        <f>'вместе-абс'!J40 / 'вместе-абс'!J$2 - 1</f>
        <v>1.3865778639888302</v>
      </c>
      <c r="K40" s="2">
        <f>'вместе-абс'!K40 / 'вместе-абс'!K$2 - 1</f>
        <v>1.6125467638887496</v>
      </c>
      <c r="L40" s="2">
        <f>'вместе-абс'!L40 / 'вместе-абс'!L$2 - 1</f>
        <v>1.3459259472942562</v>
      </c>
      <c r="M40" s="2">
        <f>'вместе-абс'!M40 / 'вместе-абс'!M$2 - 1</f>
        <v>1.1560100452618496</v>
      </c>
      <c r="N40" s="2">
        <f>'вместе-абс'!N40 / 'вместе-абс'!N$2 - 1</f>
        <v>1.3776114496591298</v>
      </c>
      <c r="O40" s="2">
        <f>'вместе-абс'!O40 / 'вместе-абс'!O$2 - 1</f>
        <v>1.306250614698552</v>
      </c>
      <c r="P40" s="2">
        <f>'вместе-абс'!P40 / 'вместе-абс'!P$2 - 1</f>
        <v>1.4596780693715132</v>
      </c>
      <c r="Q40" s="2">
        <f>'вместе-абс'!Q40 / 'вместе-абс'!Q$2 - 1</f>
        <v>0.95245763963640462</v>
      </c>
      <c r="R40" s="2">
        <f>'вместе-абс'!R40 / 'вместе-абс'!R$2 - 1</f>
        <v>0.81409514748626299</v>
      </c>
      <c r="S40" s="2">
        <f>'вместе-абс'!S40 / 'вместе-абс'!S$2 - 1</f>
        <v>0.95225326956507916</v>
      </c>
      <c r="T40" s="2">
        <f>'вместе-абс'!T40 / 'вместе-абс'!T$2 - 1</f>
        <v>0.71605210349419846</v>
      </c>
      <c r="U40" s="2">
        <f>'вместе-абс'!U40 / 'вместе-абс'!U$2 - 1</f>
        <v>0.92287331259909267</v>
      </c>
      <c r="V40" s="2">
        <f>'вместе-абс'!V40 / 'вместе-абс'!V$2 - 1</f>
        <v>1.5164418383725882</v>
      </c>
      <c r="W40" s="2">
        <f>'вместе-абс'!W40 / 'вместе-абс'!W$2 - 1</f>
        <v>0.21624175824175818</v>
      </c>
    </row>
    <row r="41" spans="1:23" x14ac:dyDescent="0.25">
      <c r="A41" s="9">
        <f>'вместе-абс'!A41</f>
        <v>1956</v>
      </c>
      <c r="B41" s="2">
        <f>'вместе-абс'!B41 / 'вместе-абс'!B$2 - 1</f>
        <v>1.2955270538442889</v>
      </c>
      <c r="C41" s="2">
        <f>'вместе-абс'!C41 / 'вместе-абс'!C$2 - 1</f>
        <v>0.59267590386569236</v>
      </c>
      <c r="D41" s="2">
        <f>'вместе-абс'!D41 / 'вместе-абс'!D$2 - 1</f>
        <v>1.4867716852089092</v>
      </c>
      <c r="E41" s="2">
        <f>'вместе-абс'!E41 / 'вместе-абс'!E$2 - 1</f>
        <v>1.4300388231579149</v>
      </c>
      <c r="F41" s="2">
        <f>'вместе-абс'!F41 / 'вместе-абс'!F$2 - 1</f>
        <v>0.80702552575323705</v>
      </c>
      <c r="G41" s="2">
        <f>'вместе-абс'!G41 / 'вместе-абс'!G$2 - 1</f>
        <v>1.2434370827636774</v>
      </c>
      <c r="H41" s="2">
        <f>'вместе-абс'!H41 / 'вместе-абс'!H$2 - 1</f>
        <v>1.4543959559123461</v>
      </c>
      <c r="I41" s="2">
        <f>'вместе-абс'!I41 / 'вместе-абс'!I$2 - 1</f>
        <v>2.4802706315552379</v>
      </c>
      <c r="J41" s="2">
        <f>'вместе-абс'!J41 / 'вместе-абс'!J$2 - 1</f>
        <v>1.4573624007201276</v>
      </c>
      <c r="K41" s="2">
        <f>'вместе-абс'!K41 / 'вместе-абс'!K$2 - 1</f>
        <v>1.7389170837387042</v>
      </c>
      <c r="L41" s="2">
        <f>'вместе-абс'!L41 / 'вместе-абс'!L$2 - 1</f>
        <v>1.4037226822972486</v>
      </c>
      <c r="M41" s="2">
        <f>'вместе-абс'!M41 / 'вместе-абс'!M$2 - 1</f>
        <v>1.2334851802616051</v>
      </c>
      <c r="N41" s="2">
        <f>'вместе-абс'!N41 / 'вместе-абс'!N$2 - 1</f>
        <v>1.4919824964525414</v>
      </c>
      <c r="O41" s="2">
        <f>'вместе-абс'!O41 / 'вместе-абс'!O$2 - 1</f>
        <v>1.3837518081133013</v>
      </c>
      <c r="P41" s="2">
        <f>'вместе-абс'!P41 / 'вместе-абс'!P$2 - 1</f>
        <v>1.5333647780905673</v>
      </c>
      <c r="Q41" s="2">
        <f>'вместе-абс'!Q41 / 'вместе-абс'!Q$2 - 1</f>
        <v>1.0008586171730509</v>
      </c>
      <c r="R41" s="2">
        <f>'вместе-абс'!R41 / 'вместе-абс'!R$2 - 1</f>
        <v>0.82461853525600959</v>
      </c>
      <c r="S41" s="2">
        <f>'вместе-абс'!S41 / 'вместе-абс'!S$2 - 1</f>
        <v>1.0434673590884329</v>
      </c>
      <c r="T41" s="2">
        <f>'вместе-абс'!T41 / 'вместе-абс'!T$2 - 1</f>
        <v>0.74094011182074926</v>
      </c>
      <c r="U41" s="2">
        <f>'вместе-абс'!U41 / 'вместе-абс'!U$2 - 1</f>
        <v>0.97921013816192226</v>
      </c>
      <c r="V41" s="2">
        <f>'вместе-абс'!V41 / 'вместе-абс'!V$2 - 1</f>
        <v>1.6033537524158943</v>
      </c>
      <c r="W41" s="2">
        <f>'вместе-абс'!W41 / 'вместе-абс'!W$2 - 1</f>
        <v>0.23587912087912088</v>
      </c>
    </row>
    <row r="42" spans="1:23" x14ac:dyDescent="0.25">
      <c r="A42" s="9">
        <f>'вместе-абс'!A42</f>
        <v>1957</v>
      </c>
      <c r="B42" s="2">
        <f>'вместе-абс'!B42 / 'вместе-абс'!B$2 - 1</f>
        <v>1.3353660208385087</v>
      </c>
      <c r="C42" s="2">
        <f>'вместе-абс'!C42 / 'вместе-абс'!C$2 - 1</f>
        <v>0.62832721315904005</v>
      </c>
      <c r="D42" s="2">
        <f>'вместе-абс'!D42 / 'вместе-абс'!D$2 - 1</f>
        <v>1.5663323001426996</v>
      </c>
      <c r="E42" s="2">
        <f>'вместе-абс'!E42 / 'вместе-абс'!E$2 - 1</f>
        <v>1.5443041174233851</v>
      </c>
      <c r="F42" s="2">
        <f>'вместе-абс'!F42 / 'вместе-абс'!F$2 - 1</f>
        <v>0.83581613689679846</v>
      </c>
      <c r="G42" s="2">
        <f>'вместе-абс'!G42 / 'вместе-абс'!G$2 - 1</f>
        <v>1.3224680859238673</v>
      </c>
      <c r="H42" s="2">
        <f>'вместе-абс'!H42 / 'вместе-абс'!H$2 - 1</f>
        <v>1.5451904181915244</v>
      </c>
      <c r="I42" s="2">
        <f>'вместе-абс'!I42 / 'вместе-абс'!I$2 - 1</f>
        <v>2.6130548999637653</v>
      </c>
      <c r="J42" s="2">
        <f>'вместе-абс'!J42 / 'вместе-абс'!J$2 - 1</f>
        <v>1.5312275189976785</v>
      </c>
      <c r="K42" s="2">
        <f>'вместе-абс'!K42 / 'вместе-абс'!K$2 - 1</f>
        <v>1.8710269500416237</v>
      </c>
      <c r="L42" s="2">
        <f>'вместе-абс'!L42 / 'вместе-абс'!L$2 - 1</f>
        <v>1.4608829521175886</v>
      </c>
      <c r="M42" s="2">
        <f>'вместе-абс'!M42 / 'вместе-абс'!M$2 - 1</f>
        <v>1.3140366749878698</v>
      </c>
      <c r="N42" s="2">
        <f>'вместе-абс'!N42 / 'вместе-абс'!N$2 - 1</f>
        <v>1.6104106131362506</v>
      </c>
      <c r="O42" s="2">
        <f>'вместе-абс'!O42 / 'вместе-абс'!O$2 - 1</f>
        <v>1.4640308392764187</v>
      </c>
      <c r="P42" s="2">
        <f>'вместе-абс'!P42 / 'вместе-абс'!P$2 - 1</f>
        <v>1.6083008188573018</v>
      </c>
      <c r="Q42" s="2">
        <f>'вместе-абс'!Q42 / 'вместе-абс'!Q$2 - 1</f>
        <v>1.051492928072514</v>
      </c>
      <c r="R42" s="2">
        <f>'вместе-абс'!R42 / 'вместе-абс'!R$2 - 1</f>
        <v>0.8396175072664751</v>
      </c>
      <c r="S42" s="2">
        <f>'вместе-абс'!S42 / 'вместе-абс'!S$2 - 1</f>
        <v>1.1491440815861664</v>
      </c>
      <c r="T42" s="2">
        <f>'вместе-абс'!T42 / 'вместе-абс'!T$2 - 1</f>
        <v>0.76686602966515593</v>
      </c>
      <c r="U42" s="2">
        <f>'вместе-абс'!U42 / 'вместе-абс'!U$2 - 1</f>
        <v>1.0372624775166681</v>
      </c>
      <c r="V42" s="2">
        <f>'вместе-абс'!V42 / 'вместе-абс'!V$2 - 1</f>
        <v>1.6926851639532217</v>
      </c>
      <c r="W42" s="2">
        <f>'вместе-абс'!W42 / 'вместе-абс'!W$2 - 1</f>
        <v>0.25482417582417582</v>
      </c>
    </row>
    <row r="43" spans="1:23" x14ac:dyDescent="0.25">
      <c r="A43" s="9">
        <f>'вместе-абс'!A43</f>
        <v>1958</v>
      </c>
      <c r="B43" s="2">
        <f>'вместе-абс'!B43 / 'вместе-абс'!B$2 - 1</f>
        <v>1.3749886408874175</v>
      </c>
      <c r="C43" s="2">
        <f>'вместе-абс'!C43 / 'вместе-абс'!C$2 - 1</f>
        <v>0.66479881806444752</v>
      </c>
      <c r="D43" s="2">
        <f>'вместе-абс'!D43 / 'вместе-абс'!D$2 - 1</f>
        <v>1.647495247642254</v>
      </c>
      <c r="E43" s="2">
        <f>'вместе-абс'!E43 / 'вместе-абс'!E$2 - 1</f>
        <v>1.6598090565877381</v>
      </c>
      <c r="F43" s="2">
        <f>'вместе-абс'!F43 / 'вместе-абс'!F$2 - 1</f>
        <v>0.86633852917725895</v>
      </c>
      <c r="G43" s="2">
        <f>'вместе-абс'!G43 / 'вместе-абс'!G$2 - 1</f>
        <v>1.402484607281564</v>
      </c>
      <c r="H43" s="2">
        <f>'вместе-абс'!H43 / 'вместе-абс'!H$2 - 1</f>
        <v>1.6371327281132504</v>
      </c>
      <c r="I43" s="2">
        <f>'вместе-абс'!I43 / 'вместе-абс'!I$2 - 1</f>
        <v>2.7483327294272031</v>
      </c>
      <c r="J43" s="2">
        <f>'вместе-абс'!J43 / 'вместе-абс'!J$2 - 1</f>
        <v>1.6075026970634196</v>
      </c>
      <c r="K43" s="2">
        <f>'вместе-абс'!K43 / 'вместе-абс'!K$2 - 1</f>
        <v>2.0056242038855401</v>
      </c>
      <c r="L43" s="2">
        <f>'вместе-абс'!L43 / 'вместе-абс'!L$2 - 1</f>
        <v>1.5171157282122048</v>
      </c>
      <c r="M43" s="2">
        <f>'вместе-абс'!M43 / 'вместе-абс'!M$2 - 1</f>
        <v>1.3962695142464625</v>
      </c>
      <c r="N43" s="2">
        <f>'вместе-абс'!N43 / 'вместе-абс'!N$2 - 1</f>
        <v>1.7280755513633967</v>
      </c>
      <c r="O43" s="2">
        <f>'вместе-абс'!O43 / 'вместе-абс'!O$2 - 1</f>
        <v>1.5458427187307344</v>
      </c>
      <c r="P43" s="2">
        <f>'вместе-абс'!P43 / 'вместе-абс'!P$2 - 1</f>
        <v>1.6833413437857301</v>
      </c>
      <c r="Q43" s="2">
        <f>'вместе-абс'!Q43 / 'вместе-абс'!Q$2 - 1</f>
        <v>1.1049250970947209</v>
      </c>
      <c r="R43" s="2">
        <f>'вместе-абс'!R43 / 'вместе-абс'!R$2 - 1</f>
        <v>0.8582083956509996</v>
      </c>
      <c r="S43" s="2">
        <f>'вместе-абс'!S43 / 'вместе-абс'!S$2 - 1</f>
        <v>1.2594400883597037</v>
      </c>
      <c r="T43" s="2">
        <f>'вместе-абс'!T43 / 'вместе-абс'!T$2 - 1</f>
        <v>0.79313815979442559</v>
      </c>
      <c r="U43" s="2">
        <f>'вместе-абс'!U43 / 'вместе-абс'!U$2 - 1</f>
        <v>1.0952506385740586</v>
      </c>
      <c r="V43" s="2">
        <f>'вместе-абс'!V43 / 'вместе-абс'!V$2 - 1</f>
        <v>1.78280079929243</v>
      </c>
      <c r="W43" s="2">
        <f>'вместе-абс'!W43 / 'вместе-абс'!W$2 - 1</f>
        <v>0.27341758241758241</v>
      </c>
    </row>
    <row r="44" spans="1:23" x14ac:dyDescent="0.25">
      <c r="A44" s="9">
        <f>'вместе-абс'!A44</f>
        <v>1959</v>
      </c>
      <c r="B44" s="2">
        <f>'вместе-абс'!B44 / 'вместе-абс'!B$2 - 1</f>
        <v>1.4148909435396733</v>
      </c>
      <c r="C44" s="2">
        <f>'вместе-абс'!C44 / 'вместе-абс'!C$2 - 1</f>
        <v>0.70170965577655231</v>
      </c>
      <c r="D44" s="2">
        <f>'вместе-абс'!D44 / 'вместе-абс'!D$2 - 1</f>
        <v>1.7300702667061505</v>
      </c>
      <c r="E44" s="2">
        <f>'вместе-абс'!E44 / 'вместе-абс'!E$2 - 1</f>
        <v>1.7736362257648328</v>
      </c>
      <c r="F44" s="2">
        <f>'вместе-абс'!F44 / 'вместе-абс'!F$2 - 1</f>
        <v>0.89893255212986545</v>
      </c>
      <c r="G44" s="2">
        <f>'вместе-абс'!G44 / 'вместе-абс'!G$2 - 1</f>
        <v>1.4830198224274231</v>
      </c>
      <c r="H44" s="2">
        <f>'вместе-абс'!H44 / 'вместе-абс'!H$2 - 1</f>
        <v>1.7281175441785379</v>
      </c>
      <c r="I44" s="2">
        <f>'вместе-абс'!I44 / 'вместе-абс'!I$2 - 1</f>
        <v>2.8837305240273032</v>
      </c>
      <c r="J44" s="2">
        <f>'вместе-абс'!J44 / 'вместе-абс'!J$2 - 1</f>
        <v>1.6864629399226168</v>
      </c>
      <c r="K44" s="2">
        <f>'вместе-абс'!K44 / 'вместе-абс'!K$2 - 1</f>
        <v>2.1385765724200874</v>
      </c>
      <c r="L44" s="2">
        <f>'вместе-абс'!L44 / 'вместе-абс'!L$2 - 1</f>
        <v>1.5720931013820021</v>
      </c>
      <c r="M44" s="2">
        <f>'вместе-абс'!M44 / 'вместе-абс'!M$2 - 1</f>
        <v>1.4787268071692639</v>
      </c>
      <c r="N44" s="2">
        <f>'вместе-абс'!N44 / 'вместе-абс'!N$2 - 1</f>
        <v>1.8394186628518754</v>
      </c>
      <c r="O44" s="2">
        <f>'вместе-абс'!O44 / 'вместе-абс'!O$2 - 1</f>
        <v>1.6272228099340085</v>
      </c>
      <c r="P44" s="2">
        <f>'вместе-абс'!P44 / 'вместе-абс'!P$2 - 1</f>
        <v>1.757344490251628</v>
      </c>
      <c r="Q44" s="2">
        <f>'вместе-абс'!Q44 / 'вместе-абс'!Q$2 - 1</f>
        <v>1.1618295466908188</v>
      </c>
      <c r="R44" s="2">
        <f>'вместе-абс'!R44 / 'вместе-абс'!R$2 - 1</f>
        <v>0.87950511374401819</v>
      </c>
      <c r="S44" s="2">
        <f>'вместе-абс'!S44 / 'вместе-абс'!S$2 - 1</f>
        <v>1.3649084486462195</v>
      </c>
      <c r="T44" s="2">
        <f>'вместе-абс'!T44 / 'вместе-абс'!T$2 - 1</f>
        <v>0.81891715561878553</v>
      </c>
      <c r="U44" s="2">
        <f>'вместе-абс'!U44 / 'вместе-абс'!U$2 - 1</f>
        <v>1.1514233909245193</v>
      </c>
      <c r="V44" s="2">
        <f>'вместе-абс'!V44 / 'вместе-абс'!V$2 - 1</f>
        <v>1.8719343531955324</v>
      </c>
      <c r="W44" s="2">
        <f>'вместе-абс'!W44 / 'вместе-абс'!W$2 - 1</f>
        <v>0.29248351648351645</v>
      </c>
    </row>
    <row r="45" spans="1:23" x14ac:dyDescent="0.25">
      <c r="A45" s="9">
        <f>'вместе-абс'!A45</f>
        <v>1960</v>
      </c>
      <c r="B45" s="2">
        <f>'вместе-абс'!B45 / 'вместе-абс'!B$2 - 1</f>
        <v>1.455030066478495</v>
      </c>
      <c r="C45" s="2">
        <f>'вместе-абс'!C45 / 'вместе-абс'!C$2 - 1</f>
        <v>0.73862690204812642</v>
      </c>
      <c r="D45" s="2">
        <f>'вместе-абс'!D45 / 'вместе-абс'!D$2 - 1</f>
        <v>1.8136382636737594</v>
      </c>
      <c r="E45" s="2">
        <f>'вместе-абс'!E45 / 'вместе-абс'!E$2 - 1</f>
        <v>1.8828132612698156</v>
      </c>
      <c r="F45" s="2">
        <f>'вместе-абс'!F45 / 'вместе-абс'!F$2 - 1</f>
        <v>0.93393805528986573</v>
      </c>
      <c r="G45" s="2">
        <f>'вместе-абс'!G45 / 'вместе-абс'!G$2 - 1</f>
        <v>1.5634135174162647</v>
      </c>
      <c r="H45" s="2">
        <f>'вместе-абс'!H45 / 'вместе-абс'!H$2 - 1</f>
        <v>1.8161797855729009</v>
      </c>
      <c r="I45" s="2">
        <f>'вместе-абс'!I45 / 'вместе-абс'!I$2 - 1</f>
        <v>3.0164486891972615</v>
      </c>
      <c r="J45" s="2">
        <f>'вместе-абс'!J45 / 'вместе-абс'!J$2 - 1</f>
        <v>1.7685062166019994</v>
      </c>
      <c r="K45" s="2">
        <f>'вместе-абс'!K45 / 'вместе-абс'!K$2 - 1</f>
        <v>2.2648716688565034</v>
      </c>
      <c r="L45" s="2">
        <f>'вместе-абс'!L45 / 'вместе-абс'!L$2 - 1</f>
        <v>1.6253053152328429</v>
      </c>
      <c r="M45" s="2">
        <f>'вместе-абс'!M45 / 'вместе-абс'!M$2 - 1</f>
        <v>1.5599106410998944</v>
      </c>
      <c r="N45" s="2">
        <f>'вместе-абс'!N45 / 'вместе-абс'!N$2 - 1</f>
        <v>1.9378885065654821</v>
      </c>
      <c r="O45" s="2">
        <f>'вместе-абс'!O45 / 'вместе-абс'!O$2 - 1</f>
        <v>1.7066838422437636</v>
      </c>
      <c r="P45" s="2">
        <f>'вместе-абс'!P45 / 'вместе-абс'!P$2 - 1</f>
        <v>1.8286414969296585</v>
      </c>
      <c r="Q45" s="2">
        <f>'вместе-абс'!Q45 / 'вместе-абс'!Q$2 - 1</f>
        <v>1.2228373593773907</v>
      </c>
      <c r="R45" s="2">
        <f>'вместе-абс'!R45 / 'вместе-абс'!R$2 - 1</f>
        <v>0.90262479994517375</v>
      </c>
      <c r="S45" s="2">
        <f>'вместе-абс'!S45 / 'вместе-абс'!S$2 - 1</f>
        <v>1.4564112434368113</v>
      </c>
      <c r="T45" s="2">
        <f>'вместе-абс'!T45 / 'вместе-абс'!T$2 - 1</f>
        <v>0.84336585255866181</v>
      </c>
      <c r="U45" s="2">
        <f>'вместе-абс'!U45 / 'вместе-абс'!U$2 - 1</f>
        <v>1.2039310044238376</v>
      </c>
      <c r="V45" s="2">
        <f>'вместе-абс'!V45 / 'вместе-абс'!V$2 - 1</f>
        <v>1.9579264257870084</v>
      </c>
      <c r="W45" s="2">
        <f>'вместе-абс'!W45 / 'вместе-абс'!W$2 - 1</f>
        <v>0.30819780219780224</v>
      </c>
    </row>
    <row r="46" spans="1:23" x14ac:dyDescent="0.25">
      <c r="A46" s="9">
        <f>'вместе-абс'!A46</f>
        <v>1961</v>
      </c>
      <c r="B46" s="2">
        <f>'вместе-абс'!B46 / 'вместе-абс'!B$2 - 1</f>
        <v>1.4954722188133243</v>
      </c>
      <c r="C46" s="2">
        <f>'вместе-абс'!C46 / 'вместе-абс'!C$2 - 1</f>
        <v>0.77590056281941111</v>
      </c>
      <c r="D46" s="2">
        <f>'вместе-абс'!D46 / 'вместе-абс'!D$2 - 1</f>
        <v>1.8992487752917171</v>
      </c>
      <c r="E46" s="2">
        <f>'вместе-абс'!E46 / 'вместе-абс'!E$2 - 1</f>
        <v>1.9901121468349126</v>
      </c>
      <c r="F46" s="2">
        <f>'вместе-абс'!F46 / 'вместе-абс'!F$2 - 1</f>
        <v>0.97089456506016436</v>
      </c>
      <c r="G46" s="2">
        <f>'вместе-абс'!G46 / 'вместе-абс'!G$2 - 1</f>
        <v>1.6478306112582164</v>
      </c>
      <c r="H46" s="2">
        <f>'вместе-абс'!H46 / 'вместе-абс'!H$2 - 1</f>
        <v>1.9033961691658354</v>
      </c>
      <c r="I46" s="2">
        <f>'вместе-абс'!I46 / 'вместе-абс'!I$2 - 1</f>
        <v>3.1488742863298507</v>
      </c>
      <c r="J46" s="2">
        <f>'вместе-абс'!J46 / 'вместе-абс'!J$2 - 1</f>
        <v>1.8534620940632727</v>
      </c>
      <c r="K46" s="2">
        <f>'вместе-абс'!K46 / 'вместе-абс'!K$2 - 1</f>
        <v>2.3887846905308767</v>
      </c>
      <c r="L46" s="2">
        <f>'вместе-абс'!L46 / 'вместе-абс'!L$2 - 1</f>
        <v>1.6794077769983744</v>
      </c>
      <c r="M46" s="2">
        <f>'вместе-абс'!M46 / 'вместе-абс'!M$2 - 1</f>
        <v>1.6420798897268476</v>
      </c>
      <c r="N46" s="2">
        <f>'вместе-абс'!N46 / 'вместе-абс'!N$2 - 1</f>
        <v>2.0284226158519765</v>
      </c>
      <c r="O46" s="2">
        <f>'вместе-абс'!O46 / 'вместе-абс'!O$2 - 1</f>
        <v>1.7859409745460826</v>
      </c>
      <c r="P46" s="2">
        <f>'вместе-абс'!P46 / 'вместе-абс'!P$2 - 1</f>
        <v>1.899435487000678</v>
      </c>
      <c r="Q46" s="2">
        <f>'вместе-абс'!Q46 / 'вместе-абс'!Q$2 - 1</f>
        <v>1.2876183998365467</v>
      </c>
      <c r="R46" s="2">
        <f>'вместе-абс'!R46 / 'вместе-абс'!R$2 - 1</f>
        <v>0.93222525467936812</v>
      </c>
      <c r="S46" s="2">
        <f>'вместе-абс'!S46 / 'вместе-абс'!S$2 - 1</f>
        <v>1.5361618797803014</v>
      </c>
      <c r="T46" s="2">
        <f>'вместе-абс'!T46 / 'вместе-абс'!T$2 - 1</f>
        <v>0.86684791898050673</v>
      </c>
      <c r="U46" s="2">
        <f>'вместе-абс'!U46 / 'вместе-абс'!U$2 - 1</f>
        <v>1.2548497865094985</v>
      </c>
      <c r="V46" s="2">
        <f>'вместе-абс'!V46 / 'вместе-абс'!V$2 - 1</f>
        <v>2.0436328496085436</v>
      </c>
      <c r="W46" s="2">
        <f>'вместе-абс'!W46 / 'вместе-абс'!W$2 - 1</f>
        <v>0.32709890109890116</v>
      </c>
    </row>
    <row r="47" spans="1:23" x14ac:dyDescent="0.25">
      <c r="A47" s="9">
        <f>'вместе-абс'!A47</f>
        <v>1962</v>
      </c>
      <c r="B47" s="2">
        <f>'вместе-абс'!B47 / 'вместе-абс'!B$2 - 1</f>
        <v>1.5361765735887909</v>
      </c>
      <c r="C47" s="2">
        <f>'вместе-абс'!C47 / 'вместе-абс'!C$2 - 1</f>
        <v>0.81427156615827068</v>
      </c>
      <c r="D47" s="2">
        <f>'вместе-абс'!D47 / 'вместе-абс'!D$2 - 1</f>
        <v>1.987690524122153</v>
      </c>
      <c r="E47" s="2">
        <f>'вместе-абс'!E47 / 'вместе-абс'!E$2 - 1</f>
        <v>2.0998379376763401</v>
      </c>
      <c r="F47" s="2">
        <f>'вместе-абс'!F47 / 'вместе-абс'!F$2 - 1</f>
        <v>1.0090192763257009</v>
      </c>
      <c r="G47" s="2">
        <f>'вместе-абс'!G47 / 'вместе-абс'!G$2 - 1</f>
        <v>1.7394005564751875</v>
      </c>
      <c r="H47" s="2">
        <f>'вместе-абс'!H47 / 'вместе-абс'!H$2 - 1</f>
        <v>1.9938743292891505</v>
      </c>
      <c r="I47" s="2">
        <f>'вместе-абс'!I47 / 'вместе-абс'!I$2 - 1</f>
        <v>3.2846393211442226</v>
      </c>
      <c r="J47" s="2">
        <f>'вместе-абс'!J47 / 'вместе-абс'!J$2 - 1</f>
        <v>1.9413967837026078</v>
      </c>
      <c r="K47" s="2">
        <f>'вместе-абс'!K47 / 'вместе-абс'!K$2 - 1</f>
        <v>2.5168801339979741</v>
      </c>
      <c r="L47" s="2">
        <f>'вместе-абс'!L47 / 'вместе-абс'!L$2 - 1</f>
        <v>1.7370102495359792</v>
      </c>
      <c r="M47" s="2">
        <f>'вместе-абс'!M47 / 'вместе-абс'!M$2 - 1</f>
        <v>1.7280623125079613</v>
      </c>
      <c r="N47" s="2">
        <f>'вместе-абс'!N47 / 'вместе-абс'!N$2 - 1</f>
        <v>2.1208167661386637</v>
      </c>
      <c r="O47" s="2">
        <f>'вместе-абс'!O47 / 'вместе-абс'!O$2 - 1</f>
        <v>1.8679615516550685</v>
      </c>
      <c r="P47" s="2">
        <f>'вместе-абс'!P47 / 'вместе-абс'!P$2 - 1</f>
        <v>1.9729177052889884</v>
      </c>
      <c r="Q47" s="2">
        <f>'вместе-абс'!Q47 / 'вместе-абс'!Q$2 - 1</f>
        <v>1.3549074073255105</v>
      </c>
      <c r="R47" s="2">
        <f>'вместе-абс'!R47 / 'вместе-абс'!R$2 - 1</f>
        <v>0.97014234631556451</v>
      </c>
      <c r="S47" s="2">
        <f>'вместе-абс'!S47 / 'вместе-абс'!S$2 - 1</f>
        <v>1.6128347590547065</v>
      </c>
      <c r="T47" s="2">
        <f>'вместе-абс'!T47 / 'вместе-абс'!T$2 - 1</f>
        <v>0.89014524187219402</v>
      </c>
      <c r="U47" s="2">
        <f>'вместе-абс'!U47 / 'вместе-абс'!U$2 - 1</f>
        <v>1.3071140805510177</v>
      </c>
      <c r="V47" s="2">
        <f>'вместе-абс'!V47 / 'вместе-абс'!V$2 - 1</f>
        <v>2.1331961869820164</v>
      </c>
      <c r="W47" s="2">
        <f>'вместе-абс'!W47 / 'вместе-абс'!W$2 - 1</f>
        <v>0.34513186813186802</v>
      </c>
    </row>
    <row r="48" spans="1:23" x14ac:dyDescent="0.25">
      <c r="A48" s="9">
        <f>'вместе-абс'!A48</f>
        <v>1963</v>
      </c>
      <c r="B48" s="2">
        <f>'вместе-абс'!B48 / 'вместе-абс'!B$2 - 1</f>
        <v>1.5770232839359095</v>
      </c>
      <c r="C48" s="2">
        <f>'вместе-абс'!C48 / 'вместе-абс'!C$2 - 1</f>
        <v>0.85383456155840398</v>
      </c>
      <c r="D48" s="2">
        <f>'вместе-абс'!D48 / 'вместе-абс'!D$2 - 1</f>
        <v>2.0780601580631646</v>
      </c>
      <c r="E48" s="2">
        <f>'вместе-абс'!E48 / 'вместе-абс'!E$2 - 1</f>
        <v>2.2118649842077152</v>
      </c>
      <c r="F48" s="2">
        <f>'вместе-абс'!F48 / 'вместе-абс'!F$2 - 1</f>
        <v>1.0473822326262558</v>
      </c>
      <c r="G48" s="2">
        <f>'вместе-абс'!G48 / 'вместе-абс'!G$2 - 1</f>
        <v>1.834580866602844</v>
      </c>
      <c r="H48" s="2">
        <f>'вместе-абс'!H48 / 'вместе-абс'!H$2 - 1</f>
        <v>2.0876214221002183</v>
      </c>
      <c r="I48" s="2">
        <f>'вместе-абс'!I48 / 'вместе-абс'!I$2 - 1</f>
        <v>3.4231207094101634</v>
      </c>
      <c r="J48" s="2">
        <f>'вместе-абс'!J48 / 'вместе-абс'!J$2 - 1</f>
        <v>2.0315735523657699</v>
      </c>
      <c r="K48" s="2">
        <f>'вместе-абс'!K48 / 'вместе-абс'!K$2 - 1</f>
        <v>2.6473451149915248</v>
      </c>
      <c r="L48" s="2">
        <f>'вместе-абс'!L48 / 'вместе-абс'!L$2 - 1</f>
        <v>1.7971392295886566</v>
      </c>
      <c r="M48" s="2">
        <f>'вместе-абс'!M48 / 'вместе-абс'!M$2 - 1</f>
        <v>1.8172216601353073</v>
      </c>
      <c r="N48" s="2">
        <f>'вместе-абс'!N48 / 'вместе-абс'!N$2 - 1</f>
        <v>2.215835787783528</v>
      </c>
      <c r="O48" s="2">
        <f>'вместе-абс'!O48 / 'вместе-абс'!O$2 - 1</f>
        <v>1.952654418273279</v>
      </c>
      <c r="P48" s="2">
        <f>'вместе-абс'!P48 / 'вместе-абс'!P$2 - 1</f>
        <v>2.0499105914102076</v>
      </c>
      <c r="Q48" s="2">
        <f>'вместе-абс'!Q48 / 'вместе-абс'!Q$2 - 1</f>
        <v>1.4243149857995379</v>
      </c>
      <c r="R48" s="2">
        <f>'вместе-абс'!R48 / 'вместе-абс'!R$2 - 1</f>
        <v>1.0112554775716873</v>
      </c>
      <c r="S48" s="2">
        <f>'вместе-абс'!S48 / 'вместе-абс'!S$2 - 1</f>
        <v>1.6878636957982347</v>
      </c>
      <c r="T48" s="2">
        <f>'вместе-абс'!T48 / 'вместе-абс'!T$2 - 1</f>
        <v>0.91290069889786674</v>
      </c>
      <c r="U48" s="2">
        <f>'вместе-абс'!U48 / 'вместе-абс'!U$2 - 1</f>
        <v>1.3599730004693389</v>
      </c>
      <c r="V48" s="2">
        <f>'вместе-абс'!V48 / 'вместе-абс'!V$2 - 1</f>
        <v>2.2263058931437745</v>
      </c>
      <c r="W48" s="2">
        <f>'вместе-абс'!W48 / 'вместе-абс'!W$2 - 1</f>
        <v>0.36096703296703292</v>
      </c>
    </row>
    <row r="49" spans="1:23" x14ac:dyDescent="0.25">
      <c r="A49" s="9">
        <f>'вместе-абс'!A49</f>
        <v>1964</v>
      </c>
      <c r="B49" s="2">
        <f>'вместе-абс'!B49 / 'вместе-абс'!B$2 - 1</f>
        <v>1.6178029470835966</v>
      </c>
      <c r="C49" s="2">
        <f>'вместе-абс'!C49 / 'вместе-абс'!C$2 - 1</f>
        <v>0.89465955020785914</v>
      </c>
      <c r="D49" s="2">
        <f>'вместе-абс'!D49 / 'вместе-абс'!D$2 - 1</f>
        <v>2.1692626296884767</v>
      </c>
      <c r="E49" s="2">
        <f>'вместе-абс'!E49 / 'вместе-абс'!E$2 - 1</f>
        <v>2.3259951044283604</v>
      </c>
      <c r="F49" s="2">
        <f>'вместе-абс'!F49 / 'вместе-абс'!F$2 - 1</f>
        <v>1.0865039693324587</v>
      </c>
      <c r="G49" s="2">
        <f>'вместе-абс'!G49 / 'вместе-абс'!G$2 - 1</f>
        <v>1.9300858406201273</v>
      </c>
      <c r="H49" s="2">
        <f>'вместе-абс'!H49 / 'вместе-абс'!H$2 - 1</f>
        <v>2.1847920205982834</v>
      </c>
      <c r="I49" s="2">
        <f>'вместе-абс'!I49 / 'вместе-абс'!I$2 - 1</f>
        <v>3.5638814352726884</v>
      </c>
      <c r="J49" s="2">
        <f>'вместе-абс'!J49 / 'вместе-абс'!J$2 - 1</f>
        <v>2.123395971999936</v>
      </c>
      <c r="K49" s="2">
        <f>'вместе-абс'!K49 / 'вместе-абс'!K$2 - 1</f>
        <v>2.7782388694422435</v>
      </c>
      <c r="L49" s="2">
        <f>'вместе-абс'!L49 / 'вместе-абс'!L$2 - 1</f>
        <v>1.8579999802816296</v>
      </c>
      <c r="M49" s="2">
        <f>'вместе-абс'!M49 / 'вместе-абс'!M$2 - 1</f>
        <v>1.909436376406874</v>
      </c>
      <c r="N49" s="2">
        <f>'вместе-абс'!N49 / 'вместе-абс'!N$2 - 1</f>
        <v>2.31391908656459</v>
      </c>
      <c r="O49" s="2">
        <f>'вместе-абс'!O49 / 'вместе-абс'!O$2 - 1</f>
        <v>2.0398036802751931</v>
      </c>
      <c r="P49" s="2">
        <f>'вместе-абс'!P49 / 'вместе-абс'!P$2 - 1</f>
        <v>2.1297469393603778</v>
      </c>
      <c r="Q49" s="2">
        <f>'вместе-абс'!Q49 / 'вместе-абс'!Q$2 - 1</f>
        <v>1.495551023043578</v>
      </c>
      <c r="R49" s="2">
        <f>'вместе-абс'!R49 / 'вместе-абс'!R$2 - 1</f>
        <v>1.0504440511656594</v>
      </c>
      <c r="S49" s="2">
        <f>'вместе-абс'!S49 / 'вместе-абс'!S$2 - 1</f>
        <v>1.7643599969275403</v>
      </c>
      <c r="T49" s="2">
        <f>'вместе-абс'!T49 / 'вместе-абс'!T$2 - 1</f>
        <v>0.93468225203817967</v>
      </c>
      <c r="U49" s="2">
        <f>'вместе-абс'!U49 / 'вместе-абс'!U$2 - 1</f>
        <v>1.41252163227175</v>
      </c>
      <c r="V49" s="2">
        <f>'вместе-абс'!V49 / 'вместе-абс'!V$2 - 1</f>
        <v>2.3228492809643924</v>
      </c>
      <c r="W49" s="2">
        <f>'вместе-абс'!W49 / 'вместе-абс'!W$2 - 1</f>
        <v>0.37559340659340656</v>
      </c>
    </row>
    <row r="50" spans="1:23" x14ac:dyDescent="0.25">
      <c r="A50" s="9">
        <f>'вместе-абс'!A50</f>
        <v>1965</v>
      </c>
      <c r="B50" s="2">
        <f>'вместе-абс'!B50 / 'вместе-абс'!B$2 - 1</f>
        <v>1.6583717707344956</v>
      </c>
      <c r="C50" s="2">
        <f>'вместе-абс'!C50 / 'вместе-абс'!C$2 - 1</f>
        <v>0.9367908990568079</v>
      </c>
      <c r="D50" s="2">
        <f>'вместе-абс'!D50 / 'вместе-абс'!D$2 - 1</f>
        <v>2.2600592654491023</v>
      </c>
      <c r="E50" s="2">
        <f>'вместе-абс'!E50 / 'вместе-абс'!E$2 - 1</f>
        <v>2.4419008034979672</v>
      </c>
      <c r="F50" s="2">
        <f>'вместе-абс'!F50 / 'вместе-абс'!F$2 - 1</f>
        <v>1.1269555738076611</v>
      </c>
      <c r="G50" s="2">
        <f>'вместе-абс'!G50 / 'вместе-абс'!G$2 - 1</f>
        <v>2.0228212459537085</v>
      </c>
      <c r="H50" s="2">
        <f>'вместе-абс'!H50 / 'вместе-абс'!H$2 - 1</f>
        <v>2.2853918497092454</v>
      </c>
      <c r="I50" s="2">
        <f>'вместе-абс'!I50 / 'вместе-абс'!I$2 - 1</f>
        <v>3.7052579005611435</v>
      </c>
      <c r="J50" s="2">
        <f>'вместе-абс'!J50 / 'вместе-абс'!J$2 - 1</f>
        <v>2.2163989863700864</v>
      </c>
      <c r="K50" s="2">
        <f>'вместе-абс'!K50 / 'вместе-абс'!K$2 - 1</f>
        <v>2.9077485130838592</v>
      </c>
      <c r="L50" s="2">
        <f>'вместе-абс'!L50 / 'вместе-абс'!L$2 - 1</f>
        <v>1.9177418960235713</v>
      </c>
      <c r="M50" s="2">
        <f>'вместе-абс'!M50 / 'вместе-абс'!M$2 - 1</f>
        <v>2.004735615603618</v>
      </c>
      <c r="N50" s="2">
        <f>'вместе-абс'!N50 / 'вместе-абс'!N$2 - 1</f>
        <v>2.4158331447412542</v>
      </c>
      <c r="O50" s="2">
        <f>'вместе-абс'!O50 / 'вместе-абс'!O$2 - 1</f>
        <v>2.1288360188163722</v>
      </c>
      <c r="P50" s="2">
        <f>'вместе-абс'!P50 / 'вместе-абс'!P$2 - 1</f>
        <v>2.2111609981521227</v>
      </c>
      <c r="Q50" s="2">
        <f>'вместе-абс'!Q50 / 'вместе-абс'!Q$2 - 1</f>
        <v>1.5681485091504754</v>
      </c>
      <c r="R50" s="2">
        <f>'вместе-абс'!R50 / 'вместе-абс'!R$2 - 1</f>
        <v>1.0825882760817072</v>
      </c>
      <c r="S50" s="2">
        <f>'вместе-абс'!S50 / 'вместе-абс'!S$2 - 1</f>
        <v>1.8442448326613063</v>
      </c>
      <c r="T50" s="2">
        <f>'вместе-абс'!T50 / 'вместе-абс'!T$2 - 1</f>
        <v>0.95506077262071809</v>
      </c>
      <c r="U50" s="2">
        <f>'вместе-абс'!U50 / 'вместе-абс'!U$2 - 1</f>
        <v>1.4638416682339193</v>
      </c>
      <c r="V50" s="2">
        <f>'вместе-абс'!V50 / 'вместе-абс'!V$2 - 1</f>
        <v>2.4226140793396014</v>
      </c>
      <c r="W50" s="2">
        <f>'вместе-абс'!W50 / 'вместе-абс'!W$2 - 1</f>
        <v>0.38801098901098907</v>
      </c>
    </row>
    <row r="51" spans="1:23" x14ac:dyDescent="0.25">
      <c r="A51" s="9">
        <f>'вместе-абс'!A51</f>
        <v>1966</v>
      </c>
      <c r="B51" s="2">
        <f>'вместе-абс'!B51 / 'вместе-абс'!B$2 - 1</f>
        <v>1.6985692007913964</v>
      </c>
      <c r="C51" s="2">
        <f>'вместе-абс'!C51 / 'вместе-абс'!C$2 - 1</f>
        <v>0.98033853954845296</v>
      </c>
      <c r="D51" s="2">
        <f>'вместе-абс'!D51 / 'вместе-абс'!D$2 - 1</f>
        <v>2.3501002456064843</v>
      </c>
      <c r="E51" s="2">
        <f>'вместе-абс'!E51 / 'вместе-абс'!E$2 - 1</f>
        <v>2.5590542066236019</v>
      </c>
      <c r="F51" s="2">
        <f>'вместе-абс'!F51 / 'вместе-абс'!F$2 - 1</f>
        <v>1.1680828732351225</v>
      </c>
      <c r="G51" s="2">
        <f>'вместе-абс'!G51 / 'вместе-абс'!G$2 - 1</f>
        <v>2.111569112745459</v>
      </c>
      <c r="H51" s="2">
        <f>'вместе-абс'!H51 / 'вместе-абс'!H$2 - 1</f>
        <v>2.3897386428204426</v>
      </c>
      <c r="I51" s="2">
        <f>'вместе-абс'!I51 / 'вместе-абс'!I$2 - 1</f>
        <v>3.8488684104864221</v>
      </c>
      <c r="J51" s="2">
        <f>'вместе-абс'!J51 / 'вместе-абс'!J$2 - 1</f>
        <v>2.3105899522980176</v>
      </c>
      <c r="K51" s="2">
        <f>'вместе-абс'!K51 / 'вместе-абс'!K$2 - 1</f>
        <v>3.0359643140126167</v>
      </c>
      <c r="L51" s="2">
        <f>'вместе-абс'!L51 / 'вместе-абс'!L$2 - 1</f>
        <v>1.9758815115810737</v>
      </c>
      <c r="M51" s="2">
        <f>'вместе-абс'!M51 / 'вместе-абс'!M$2 - 1</f>
        <v>2.1031550488457684</v>
      </c>
      <c r="N51" s="2">
        <f>'вместе-абс'!N51 / 'вместе-абс'!N$2 - 1</f>
        <v>2.5217282853428435</v>
      </c>
      <c r="O51" s="2">
        <f>'вместе-абс'!O51 / 'вместе-абс'!O$2 - 1</f>
        <v>2.2202072103840278</v>
      </c>
      <c r="P51" s="2">
        <f>'вместе-абс'!P51 / 'вместе-абс'!P$2 - 1</f>
        <v>2.2940676878252075</v>
      </c>
      <c r="Q51" s="2">
        <f>'вместе-абс'!Q51 / 'вместе-абс'!Q$2 - 1</f>
        <v>1.6420970513808193</v>
      </c>
      <c r="R51" s="2">
        <f>'вместе-абс'!R51 / 'вместе-абс'!R$2 - 1</f>
        <v>1.1066899946383293</v>
      </c>
      <c r="S51" s="2">
        <f>'вместе-абс'!S51 / 'вместе-абс'!S$2 - 1</f>
        <v>1.9274281481455322</v>
      </c>
      <c r="T51" s="2">
        <f>'вместе-абс'!T51 / 'вместе-абс'!T$2 - 1</f>
        <v>0.97478832682730632</v>
      </c>
      <c r="U51" s="2">
        <f>'вместе-абс'!U51 / 'вместе-абс'!U$2 - 1</f>
        <v>1.5140207256835407</v>
      </c>
      <c r="V51" s="2">
        <f>'вместе-абс'!V51 / 'вместе-абс'!V$2 - 1</f>
        <v>2.5257588364398735</v>
      </c>
      <c r="W51" s="2">
        <f>'вместе-абс'!W51 / 'вместе-абс'!W$2 - 1</f>
        <v>0.39768131868131862</v>
      </c>
    </row>
    <row r="52" spans="1:23" x14ac:dyDescent="0.25">
      <c r="A52" s="9">
        <f>'вместе-абс'!A52</f>
        <v>1967</v>
      </c>
      <c r="B52" s="2">
        <f>'вместе-абс'!B52 / 'вместе-абс'!B$2 - 1</f>
        <v>1.7387005414659988</v>
      </c>
      <c r="C52" s="2">
        <f>'вместе-абс'!C52 / 'вместе-абс'!C$2 - 1</f>
        <v>1.0253734588030685</v>
      </c>
      <c r="D52" s="2">
        <f>'вместе-абс'!D52 / 'вместе-абс'!D$2 - 1</f>
        <v>2.4397883823174653</v>
      </c>
      <c r="E52" s="2">
        <f>'вместе-абс'!E52 / 'вместе-абс'!E$2 - 1</f>
        <v>2.6775868245968413</v>
      </c>
      <c r="F52" s="2">
        <f>'вместе-абс'!F52 / 'вместе-абс'!F$2 - 1</f>
        <v>1.2101020899995647</v>
      </c>
      <c r="G52" s="2">
        <f>'вместе-абс'!G52 / 'вместе-абс'!G$2 - 1</f>
        <v>2.1985694297249965</v>
      </c>
      <c r="H52" s="2">
        <f>'вместе-абс'!H52 / 'вместе-абс'!H$2 - 1</f>
        <v>2.4979869729311193</v>
      </c>
      <c r="I52" s="2">
        <f>'вместе-абс'!I52 / 'вместе-абс'!I$2 - 1</f>
        <v>3.9962810807634677</v>
      </c>
      <c r="J52" s="2">
        <f>'вместе-абс'!J52 / 'вместе-абс'!J$2 - 1</f>
        <v>2.4060429634889693</v>
      </c>
      <c r="K52" s="2">
        <f>'вместе-абс'!K52 / 'вместе-абс'!K$2 - 1</f>
        <v>3.1635206563493572</v>
      </c>
      <c r="L52" s="2">
        <f>'вместе-абс'!L52 / 'вместе-абс'!L$2 - 1</f>
        <v>2.0329986931102191</v>
      </c>
      <c r="M52" s="2">
        <f>'вместе-абс'!M52 / 'вместе-абс'!M$2 - 1</f>
        <v>2.2045899265168059</v>
      </c>
      <c r="N52" s="2">
        <f>'вместе-абс'!N52 / 'вместе-абс'!N$2 - 1</f>
        <v>2.6315186094954597</v>
      </c>
      <c r="O52" s="2">
        <f>'вместе-абс'!O52 / 'вместе-абс'!O$2 - 1</f>
        <v>2.3136102055551957</v>
      </c>
      <c r="P52" s="2">
        <f>'вместе-абс'!P52 / 'вместе-абс'!P$2 - 1</f>
        <v>2.3784058105134949</v>
      </c>
      <c r="Q52" s="2">
        <f>'вместе-абс'!Q52 / 'вместе-абс'!Q$2 - 1</f>
        <v>1.7176907421477323</v>
      </c>
      <c r="R52" s="2">
        <f>'вместе-абс'!R52 / 'вместе-абс'!R$2 - 1</f>
        <v>1.1268934156262471</v>
      </c>
      <c r="S52" s="2">
        <f>'вместе-абс'!S52 / 'вместе-абс'!S$2 - 1</f>
        <v>2.0123145598392433</v>
      </c>
      <c r="T52" s="2">
        <f>'вместе-абс'!T52 / 'вместе-абс'!T$2 - 1</f>
        <v>0.9941318472389209</v>
      </c>
      <c r="U52" s="2">
        <f>'вместе-абс'!U52 / 'вместе-абс'!U$2 - 1</f>
        <v>1.5635599534121369</v>
      </c>
      <c r="V52" s="2">
        <f>'вместе-абс'!V52 / 'вместе-абс'!V$2 - 1</f>
        <v>2.6326019589216108</v>
      </c>
      <c r="W52" s="2">
        <f>'вместе-абс'!W52 / 'вместе-абс'!W$2 - 1</f>
        <v>0.40687912087912093</v>
      </c>
    </row>
    <row r="53" spans="1:23" x14ac:dyDescent="0.25">
      <c r="A53" s="9">
        <f>'вместе-абс'!A53</f>
        <v>1968</v>
      </c>
      <c r="B53" s="2">
        <f>'вместе-абс'!B53 / 'вместе-абс'!B$2 - 1</f>
        <v>1.7794112417799828</v>
      </c>
      <c r="C53" s="2">
        <f>'вместе-абс'!C53 / 'вместе-абс'!C$2 - 1</f>
        <v>1.0719449534319558</v>
      </c>
      <c r="D53" s="2">
        <f>'вместе-абс'!D53 / 'вместе-абс'!D$2 - 1</f>
        <v>2.5293734416032656</v>
      </c>
      <c r="E53" s="2">
        <f>'вместе-абс'!E53 / 'вместе-абс'!E$2 - 1</f>
        <v>2.7982990782522181</v>
      </c>
      <c r="F53" s="2">
        <f>'вместе-абс'!F53 / 'вместе-абс'!F$2 - 1</f>
        <v>1.2528475537089894</v>
      </c>
      <c r="G53" s="2">
        <f>'вместе-абс'!G53 / 'вместе-абс'!G$2 - 1</f>
        <v>2.2851451862334824</v>
      </c>
      <c r="H53" s="2">
        <f>'вместе-абс'!H53 / 'вместе-абс'!H$2 - 1</f>
        <v>2.6103100190496913</v>
      </c>
      <c r="I53" s="2">
        <f>'вместе-абс'!I53 / 'вместе-абс'!I$2 - 1</f>
        <v>4.1453291941280739</v>
      </c>
      <c r="J53" s="2">
        <f>'вместе-абс'!J53 / 'вместе-абс'!J$2 - 1</f>
        <v>2.5018916665951423</v>
      </c>
      <c r="K53" s="2">
        <f>'вместе-абс'!K53 / 'вместе-абс'!K$2 - 1</f>
        <v>3.289208950583232</v>
      </c>
      <c r="L53" s="2">
        <f>'вместе-абс'!L53 / 'вместе-абс'!L$2 - 1</f>
        <v>2.0893808176039768</v>
      </c>
      <c r="M53" s="2">
        <f>'вместе-абс'!M53 / 'вместе-абс'!M$2 - 1</f>
        <v>2.3087297726741247</v>
      </c>
      <c r="N53" s="2">
        <f>'вместе-абс'!N53 / 'вместе-абс'!N$2 - 1</f>
        <v>2.745042230859831</v>
      </c>
      <c r="O53" s="2">
        <f>'вместе-абс'!O53 / 'вместе-абс'!O$2 - 1</f>
        <v>2.408824312557122</v>
      </c>
      <c r="P53" s="2">
        <f>'вместе-абс'!P53 / 'вместе-абс'!P$2 - 1</f>
        <v>2.4637320548452291</v>
      </c>
      <c r="Q53" s="2">
        <f>'вместе-абс'!Q53 / 'вместе-абс'!Q$2 - 1</f>
        <v>1.7950445649510836</v>
      </c>
      <c r="R53" s="2">
        <f>'вместе-абс'!R53 / 'вместе-абс'!R$2 - 1</f>
        <v>1.1457931040043214</v>
      </c>
      <c r="S53" s="2">
        <f>'вместе-абс'!S53 / 'вместе-абс'!S$2 - 1</f>
        <v>2.0981465474999625</v>
      </c>
      <c r="T53" s="2">
        <f>'вместе-абс'!T53 / 'вместе-абс'!T$2 - 1</f>
        <v>1.0117312141650285</v>
      </c>
      <c r="U53" s="2">
        <f>'вместе-абс'!U53 / 'вместе-абс'!U$2 - 1</f>
        <v>1.6124671644298201</v>
      </c>
      <c r="V53" s="2">
        <f>'вместе-абс'!V53 / 'вместе-абс'!V$2 - 1</f>
        <v>2.742782454876012</v>
      </c>
      <c r="W53" s="2">
        <f>'вместе-абс'!W53 / 'вместе-абс'!W$2 - 1</f>
        <v>0.41424175824175835</v>
      </c>
    </row>
    <row r="54" spans="1:23" x14ac:dyDescent="0.25">
      <c r="A54" s="9">
        <f>'вместе-абс'!A54</f>
        <v>1969</v>
      </c>
      <c r="B54" s="2">
        <f>'вместе-абс'!B54 / 'вместе-абс'!B$2 - 1</f>
        <v>1.8212206780746678</v>
      </c>
      <c r="C54" s="2">
        <f>'вместе-абс'!C54 / 'вместе-абс'!C$2 - 1</f>
        <v>1.1200032338577013</v>
      </c>
      <c r="D54" s="2">
        <f>'вместе-абс'!D54 / 'вместе-абс'!D$2 - 1</f>
        <v>2.619446286989493</v>
      </c>
      <c r="E54" s="2">
        <f>'вместе-абс'!E54 / 'вместе-абс'!E$2 - 1</f>
        <v>2.9218998070930846</v>
      </c>
      <c r="F54" s="2">
        <f>'вместе-абс'!F54 / 'вместе-абс'!F$2 - 1</f>
        <v>1.2960289657913164</v>
      </c>
      <c r="G54" s="2">
        <f>'вместе-абс'!G54 / 'вместе-абс'!G$2 - 1</f>
        <v>2.3723331294845402</v>
      </c>
      <c r="H54" s="2">
        <f>'вместе-абс'!H54 / 'вместе-абс'!H$2 - 1</f>
        <v>2.726521721084473</v>
      </c>
      <c r="I54" s="2">
        <f>'вместе-абс'!I54 / 'вместе-абс'!I$2 - 1</f>
        <v>4.2959295094650036</v>
      </c>
      <c r="J54" s="2">
        <f>'вместе-абс'!J54 / 'вместе-абс'!J$2 - 1</f>
        <v>2.5969726327980776</v>
      </c>
      <c r="K54" s="2">
        <f>'вместе-абс'!K54 / 'вместе-абс'!K$2 - 1</f>
        <v>3.4134504478300549</v>
      </c>
      <c r="L54" s="2">
        <f>'вместе-абс'!L54 / 'вместе-абс'!L$2 - 1</f>
        <v>2.1454971092503623</v>
      </c>
      <c r="M54" s="2">
        <f>'вместе-абс'!M54 / 'вместе-абс'!M$2 - 1</f>
        <v>2.4151168308075546</v>
      </c>
      <c r="N54" s="2">
        <f>'вместе-абс'!N54 / 'вместе-абс'!N$2 - 1</f>
        <v>2.8623850483098567</v>
      </c>
      <c r="O54" s="2">
        <f>'вместе-абс'!O54 / 'вместе-абс'!O$2 - 1</f>
        <v>2.50574638197428</v>
      </c>
      <c r="P54" s="2">
        <f>'вместе-абс'!P54 / 'вместе-абс'!P$2 - 1</f>
        <v>2.5497553577985488</v>
      </c>
      <c r="Q54" s="2">
        <f>'вместе-абс'!Q54 / 'вместе-абс'!Q$2 - 1</f>
        <v>1.8742191072504175</v>
      </c>
      <c r="R54" s="2">
        <f>'вместе-абс'!R54 / 'вместе-абс'!R$2 - 1</f>
        <v>1.1659844309977143</v>
      </c>
      <c r="S54" s="2">
        <f>'вместе-абс'!S54 / 'вместе-абс'!S$2 - 1</f>
        <v>2.1841665908852126</v>
      </c>
      <c r="T54" s="2">
        <f>'вместе-абс'!T54 / 'вместе-абс'!T$2 - 1</f>
        <v>1.0262997689251199</v>
      </c>
      <c r="U54" s="2">
        <f>'вместе-абс'!U54 / 'вместе-абс'!U$2 - 1</f>
        <v>1.6608899688205088</v>
      </c>
      <c r="V54" s="2">
        <f>'вместе-абс'!V54 / 'вместе-абс'!V$2 - 1</f>
        <v>2.8560035378517381</v>
      </c>
      <c r="W54" s="2">
        <f>'вместе-абс'!W54 / 'вместе-абс'!W$2 - 1</f>
        <v>0.42174725274725278</v>
      </c>
    </row>
    <row r="55" spans="1:23" x14ac:dyDescent="0.25">
      <c r="A55" s="9">
        <f>'вместе-абс'!A55</f>
        <v>1970</v>
      </c>
      <c r="B55" s="2">
        <f>'вместе-абс'!B55 / 'вместе-абс'!B$2 - 1</f>
        <v>1.8649237188447527</v>
      </c>
      <c r="C55" s="2">
        <f>'вместе-абс'!C55 / 'вместе-абс'!C$2 - 1</f>
        <v>1.169449706857701</v>
      </c>
      <c r="D55" s="2">
        <f>'вместе-абс'!D55 / 'вместе-абс'!D$2 - 1</f>
        <v>2.7104951697623947</v>
      </c>
      <c r="E55" s="2">
        <f>'вместе-абс'!E55 / 'вместе-абс'!E$2 - 1</f>
        <v>3.0495557572787009</v>
      </c>
      <c r="F55" s="2">
        <f>'вместе-абс'!F55 / 'вместе-абс'!F$2 - 1</f>
        <v>1.3394306043766013</v>
      </c>
      <c r="G55" s="2">
        <f>'вместе-абс'!G55 / 'вместе-абс'!G$2 - 1</f>
        <v>2.4620011974782519</v>
      </c>
      <c r="H55" s="2">
        <f>'вместе-абс'!H55 / 'вместе-абс'!H$2 - 1</f>
        <v>2.84679239558093</v>
      </c>
      <c r="I55" s="2">
        <f>'вместе-абс'!I55 / 'вместе-абс'!I$2 - 1</f>
        <v>4.4484260084416292</v>
      </c>
      <c r="J55" s="2">
        <f>'вместе-абс'!J55 / 'вместе-абс'!J$2 - 1</f>
        <v>2.6905864385397966</v>
      </c>
      <c r="K55" s="2">
        <f>'вместе-абс'!K55 / 'вместе-абс'!K$2 - 1</f>
        <v>3.5366663992056404</v>
      </c>
      <c r="L55" s="2">
        <f>'вместе-абс'!L55 / 'вместе-абс'!L$2 - 1</f>
        <v>2.2014702601327776</v>
      </c>
      <c r="M55" s="2">
        <f>'вместе-абс'!M55 / 'вместе-абс'!M$2 - 1</f>
        <v>2.5233857463279836</v>
      </c>
      <c r="N55" s="2">
        <f>'вместе-абс'!N55 / 'вместе-абс'!N$2 - 1</f>
        <v>2.9833851755062657</v>
      </c>
      <c r="O55" s="2">
        <f>'вместе-абс'!O55 / 'вместе-абс'!O$2 - 1</f>
        <v>2.604158120857532</v>
      </c>
      <c r="P55" s="2">
        <f>'вместе-абс'!P55 / 'вместе-абс'!P$2 - 1</f>
        <v>2.6361801784589485</v>
      </c>
      <c r="Q55" s="2">
        <f>'вместе-абс'!Q55 / 'вместе-абс'!Q$2 - 1</f>
        <v>1.9513049300502301</v>
      </c>
      <c r="R55" s="2">
        <f>'вместе-абс'!R55 / 'вместе-абс'!R$2 - 1</f>
        <v>1.1900603490326818</v>
      </c>
      <c r="S55" s="2">
        <f>'вместе-абс'!S55 / 'вместе-абс'!S$2 - 1</f>
        <v>2.268644224173018</v>
      </c>
      <c r="T55" s="2">
        <f>'вместе-абс'!T55 / 'вместе-абс'!T$2 - 1</f>
        <v>1.0368396055216498</v>
      </c>
      <c r="U55" s="2">
        <f>'вместе-абс'!U55 / 'вместе-абс'!U$2 - 1</f>
        <v>1.7087524687716775</v>
      </c>
      <c r="V55" s="2">
        <f>'вместе-абс'!V55 / 'вместе-абс'!V$2 - 1</f>
        <v>2.9720011792839127</v>
      </c>
      <c r="W55" s="2">
        <f>'вместе-абс'!W55 / 'вместе-абс'!W$2 - 1</f>
        <v>0.42943956043956044</v>
      </c>
    </row>
    <row r="56" spans="1:23" x14ac:dyDescent="0.25">
      <c r="A56" s="9">
        <f>'вместе-абс'!A56</f>
        <v>1971</v>
      </c>
      <c r="B56" s="2">
        <f>'вместе-абс'!B56 / 'вместе-абс'!B$2 - 1</f>
        <v>1.9109680238735915</v>
      </c>
      <c r="C56" s="2">
        <f>'вместе-абс'!C56 / 'вместе-абс'!C$2 - 1</f>
        <v>1.2205239539628807</v>
      </c>
      <c r="D56" s="2">
        <f>'вместе-абс'!D56 / 'вместе-абс'!D$2 - 1</f>
        <v>2.8024427527789717</v>
      </c>
      <c r="E56" s="2">
        <f>'вместе-абс'!E56 / 'вместе-абс'!E$2 - 1</f>
        <v>3.1820724781981484</v>
      </c>
      <c r="F56" s="2">
        <f>'вместе-абс'!F56 / 'вместе-абс'!F$2 - 1</f>
        <v>1.3827396477276883</v>
      </c>
      <c r="G56" s="2">
        <f>'вместе-абс'!G56 / 'вместе-абс'!G$2 - 1</f>
        <v>2.5548275343154363</v>
      </c>
      <c r="H56" s="2">
        <f>'вместе-абс'!H56 / 'вместе-абс'!H$2 - 1</f>
        <v>2.971896338766765</v>
      </c>
      <c r="I56" s="2">
        <f>'вместе-абс'!I56 / 'вместе-абс'!I$2 - 1</f>
        <v>4.6029925180927016</v>
      </c>
      <c r="J56" s="2">
        <f>'вместе-абс'!J56 / 'вместе-абс'!J$2 - 1</f>
        <v>2.7815298931316539</v>
      </c>
      <c r="K56" s="2">
        <f>'вместе-абс'!K56 / 'вместе-абс'!K$2 - 1</f>
        <v>3.6573749034632854</v>
      </c>
      <c r="L56" s="2">
        <f>'вместе-абс'!L56 / 'вместе-абс'!L$2 - 1</f>
        <v>2.2577534276187912</v>
      </c>
      <c r="M56" s="2">
        <f>'вместе-абс'!M56 / 'вместе-абс'!M$2 - 1</f>
        <v>2.6342418470396298</v>
      </c>
      <c r="N56" s="2">
        <f>'вместе-абс'!N56 / 'вместе-абс'!N$2 - 1</f>
        <v>3.1083432585077055</v>
      </c>
      <c r="O56" s="2">
        <f>'вместе-абс'!O56 / 'вместе-абс'!O$2 - 1</f>
        <v>2.7042202503892092</v>
      </c>
      <c r="P56" s="2">
        <f>'вместе-абс'!P56 / 'вместе-абс'!P$2 - 1</f>
        <v>2.723221455673341</v>
      </c>
      <c r="Q56" s="2">
        <f>'вместе-абс'!Q56 / 'вместе-абс'!Q$2 - 1</f>
        <v>2.0299195911540542</v>
      </c>
      <c r="R56" s="2">
        <f>'вместе-абс'!R56 / 'вместе-абс'!R$2 - 1</f>
        <v>1.2197615870545881</v>
      </c>
      <c r="S56" s="2">
        <f>'вместе-абс'!S56 / 'вместе-абс'!S$2 - 1</f>
        <v>2.3520447307757166</v>
      </c>
      <c r="T56" s="2">
        <f>'вместе-абс'!T56 / 'вместе-абс'!T$2 - 1</f>
        <v>1.044550829563911</v>
      </c>
      <c r="U56" s="2">
        <f>'вместе-абс'!U56 / 'вместе-абс'!U$2 - 1</f>
        <v>1.756099868127551</v>
      </c>
      <c r="V56" s="2">
        <f>'вместе-абс'!V56 / 'вместе-абс'!V$2 - 1</f>
        <v>3.0908474465227505</v>
      </c>
      <c r="W56" s="2">
        <f>'вместе-абс'!W56 / 'вместе-абс'!W$2 - 1</f>
        <v>0.43630769230769229</v>
      </c>
    </row>
    <row r="57" spans="1:23" x14ac:dyDescent="0.25">
      <c r="A57" s="9">
        <f>'вместе-абс'!A57</f>
        <v>1972</v>
      </c>
      <c r="B57" s="2">
        <f>'вместе-абс'!B57 / 'вместе-абс'!B$2 - 1</f>
        <v>1.9590585854836826</v>
      </c>
      <c r="C57" s="2">
        <f>'вместе-абс'!C57 / 'вместе-абс'!C$2 - 1</f>
        <v>1.2732530883094562</v>
      </c>
      <c r="D57" s="2">
        <f>'вместе-абс'!D57 / 'вместе-абс'!D$2 - 1</f>
        <v>2.8953730020801949</v>
      </c>
      <c r="E57" s="2">
        <f>'вместе-абс'!E57 / 'вместе-абс'!E$2 - 1</f>
        <v>3.3189528663857688</v>
      </c>
      <c r="F57" s="2">
        <f>'вместе-абс'!F57 / 'вместе-абс'!F$2 - 1</f>
        <v>1.4261918383056975</v>
      </c>
      <c r="G57" s="2">
        <f>'вместе-абс'!G57 / 'вместе-абс'!G$2 - 1</f>
        <v>2.6503677282812985</v>
      </c>
      <c r="H57" s="2">
        <f>'вместе-абс'!H57 / 'вместе-абс'!H$2 - 1</f>
        <v>3.1021970834365016</v>
      </c>
      <c r="I57" s="2">
        <f>'вместе-абс'!I57 / 'вместе-абс'!I$2 - 1</f>
        <v>4.7599424167344013</v>
      </c>
      <c r="J57" s="2">
        <f>'вместе-абс'!J57 / 'вместе-абс'!J$2 - 1</f>
        <v>2.8708422352336762</v>
      </c>
      <c r="K57" s="2">
        <f>'вместе-абс'!K57 / 'вместе-абс'!K$2 - 1</f>
        <v>3.7759445553293283</v>
      </c>
      <c r="L57" s="2">
        <f>'вместе-абс'!L57 / 'вместе-абс'!L$2 - 1</f>
        <v>2.3130912087835847</v>
      </c>
      <c r="M57" s="2">
        <f>'вместе-абс'!M57 / 'вместе-абс'!M$2 - 1</f>
        <v>2.7479525291475926</v>
      </c>
      <c r="N57" s="2">
        <f>'вместе-абс'!N57 / 'вместе-абс'!N$2 - 1</f>
        <v>3.2333244681290392</v>
      </c>
      <c r="O57" s="2">
        <f>'вместе-абс'!O57 / 'вместе-абс'!O$2 - 1</f>
        <v>2.8058751988025072</v>
      </c>
      <c r="P57" s="2">
        <f>'вместе-абс'!P57 / 'вместе-абс'!P$2 - 1</f>
        <v>2.8122285277584567</v>
      </c>
      <c r="Q57" s="2">
        <f>'вместе-абс'!Q57 / 'вместе-абс'!Q$2 - 1</f>
        <v>2.1136903777384872</v>
      </c>
      <c r="R57" s="2">
        <f>'вместе-абс'!R57 / 'вместе-абс'!R$2 - 1</f>
        <v>1.2540786996537081</v>
      </c>
      <c r="S57" s="2">
        <f>'вместе-абс'!S57 / 'вместе-абс'!S$2 - 1</f>
        <v>2.4363457859184225</v>
      </c>
      <c r="T57" s="2">
        <f>'вместе-абс'!T57 / 'вместе-абс'!T$2 - 1</f>
        <v>1.0513172431901281</v>
      </c>
      <c r="U57" s="2">
        <f>'вместе-абс'!U57 / 'вместе-абс'!U$2 - 1</f>
        <v>1.8031319567181563</v>
      </c>
      <c r="V57" s="2">
        <f>'вместе-абс'!V57 / 'вместе-абс'!V$2 - 1</f>
        <v>3.2126687850099911</v>
      </c>
      <c r="W57" s="2">
        <f>'вместе-абс'!W57 / 'вместе-абс'!W$2 - 1</f>
        <v>0.44445054945054951</v>
      </c>
    </row>
    <row r="58" spans="1:23" x14ac:dyDescent="0.25">
      <c r="A58" s="9">
        <f>'вместе-абс'!A58</f>
        <v>1973</v>
      </c>
      <c r="B58" s="2">
        <f>'вместе-абс'!B58 / 'вместе-абс'!B$2 - 1</f>
        <v>2.0088678302149399</v>
      </c>
      <c r="C58" s="2">
        <f>'вместе-абс'!C58 / 'вместе-абс'!C$2 - 1</f>
        <v>1.3274044298920846</v>
      </c>
      <c r="D58" s="2">
        <f>'вместе-абс'!D58 / 'вместе-абс'!D$2 - 1</f>
        <v>2.989711485162724</v>
      </c>
      <c r="E58" s="2">
        <f>'вместе-абс'!E58 / 'вместе-абс'!E$2 - 1</f>
        <v>3.4599148513415203</v>
      </c>
      <c r="F58" s="2">
        <f>'вместе-абс'!F58 / 'вместе-абс'!F$2 - 1</f>
        <v>1.4703202243507447</v>
      </c>
      <c r="G58" s="2">
        <f>'вместе-абс'!G58 / 'вместе-абс'!G$2 - 1</f>
        <v>2.7484700134155986</v>
      </c>
      <c r="H58" s="2">
        <f>'вместе-абс'!H58 / 'вместе-абс'!H$2 - 1</f>
        <v>3.2358855530063737</v>
      </c>
      <c r="I58" s="2">
        <f>'вместе-абс'!I58 / 'вместе-абс'!I$2 - 1</f>
        <v>4.9189953776698365</v>
      </c>
      <c r="J58" s="2">
        <f>'вместе-абс'!J58 / 'вместе-абс'!J$2 - 1</f>
        <v>2.9604336110767107</v>
      </c>
      <c r="K58" s="2">
        <f>'вместе-абс'!K58 / 'вместе-абс'!K$2 - 1</f>
        <v>3.895015696618958</v>
      </c>
      <c r="L58" s="2">
        <f>'вместе-абс'!L58 / 'вместе-абс'!L$2 - 1</f>
        <v>2.3651360220670479</v>
      </c>
      <c r="M58" s="2">
        <f>'вместе-абс'!M58 / 'вместе-абс'!M$2 - 1</f>
        <v>2.8635251751331956</v>
      </c>
      <c r="N58" s="2">
        <f>'вместе-абс'!N58 / 'вместе-абс'!N$2 - 1</f>
        <v>3.361976202708127</v>
      </c>
      <c r="O58" s="2">
        <f>'вместе-абс'!O58 / 'вместе-абс'!O$2 - 1</f>
        <v>2.9088758872648857</v>
      </c>
      <c r="P58" s="2">
        <f>'вместе-абс'!P58 / 'вместе-абс'!P$2 - 1</f>
        <v>2.9047970171264472</v>
      </c>
      <c r="Q58" s="2">
        <f>'вместе-абс'!Q58 / 'вместе-абс'!Q$2 - 1</f>
        <v>2.1986300158234986</v>
      </c>
      <c r="R58" s="2">
        <f>'вместе-абс'!R58 / 'вместе-абс'!R$2 - 1</f>
        <v>1.2914846184546294</v>
      </c>
      <c r="S58" s="2">
        <f>'вместе-абс'!S58 / 'вместе-абс'!S$2 - 1</f>
        <v>2.5213354958270169</v>
      </c>
      <c r="T58" s="2">
        <f>'вместе-абс'!T58 / 'вместе-абс'!T$2 - 1</f>
        <v>1.057969464949279</v>
      </c>
      <c r="U58" s="2">
        <f>'вместе-абс'!U58 / 'вместе-абс'!U$2 - 1</f>
        <v>1.8498264116574576</v>
      </c>
      <c r="V58" s="2">
        <f>'вместе-абс'!V58 / 'вместе-абс'!V$2 - 1</f>
        <v>3.3373656107707932</v>
      </c>
      <c r="W58" s="2">
        <f>'вместе-абс'!W58 / 'вместе-абс'!W$2 - 1</f>
        <v>0.45285714285714285</v>
      </c>
    </row>
    <row r="59" spans="1:23" x14ac:dyDescent="0.25">
      <c r="A59" s="9">
        <f>'вместе-абс'!A59</f>
        <v>1974</v>
      </c>
      <c r="B59" s="2">
        <f>'вместе-абс'!B59 / 'вместе-абс'!B$2 - 1</f>
        <v>2.05963118053955</v>
      </c>
      <c r="C59" s="2">
        <f>'вместе-абс'!C59 / 'вместе-абс'!C$2 - 1</f>
        <v>1.3828680472675625</v>
      </c>
      <c r="D59" s="2">
        <f>'вместе-абс'!D59 / 'вместе-абс'!D$2 - 1</f>
        <v>3.0855931059150974</v>
      </c>
      <c r="E59" s="2">
        <f>'вместе-абс'!E59 / 'вместе-абс'!E$2 - 1</f>
        <v>3.6047488949796582</v>
      </c>
      <c r="F59" s="2">
        <f>'вместе-абс'!F59 / 'вместе-абс'!F$2 - 1</f>
        <v>1.5158335347905321</v>
      </c>
      <c r="G59" s="2">
        <f>'вместе-абс'!G59 / 'вместе-абс'!G$2 - 1</f>
        <v>2.8473829977299143</v>
      </c>
      <c r="H59" s="2">
        <f>'вместе-абс'!H59 / 'вместе-абс'!H$2 - 1</f>
        <v>3.3702195079712434</v>
      </c>
      <c r="I59" s="2">
        <f>'вместе-абс'!I59 / 'вместе-абс'!I$2 - 1</f>
        <v>5.0794426272854585</v>
      </c>
      <c r="J59" s="2">
        <f>'вместе-абс'!J59 / 'вместе-абс'!J$2 - 1</f>
        <v>3.0508920409172422</v>
      </c>
      <c r="K59" s="2">
        <f>'вместе-абс'!K59 / 'вместе-абс'!K$2 - 1</f>
        <v>4.0178605458210885</v>
      </c>
      <c r="L59" s="2">
        <f>'вместе-абс'!L59 / 'вместе-абс'!L$2 - 1</f>
        <v>2.4123432617763401</v>
      </c>
      <c r="M59" s="2">
        <f>'вместе-абс'!M59 / 'вместе-абс'!M$2 - 1</f>
        <v>2.9798538430727266</v>
      </c>
      <c r="N59" s="2">
        <f>'вместе-абс'!N59 / 'вместе-абс'!N$2 - 1</f>
        <v>3.4982712851627866</v>
      </c>
      <c r="O59" s="2">
        <f>'вместе-абс'!O59 / 'вместе-абс'!O$2 - 1</f>
        <v>3.0129752369438032</v>
      </c>
      <c r="P59" s="2">
        <f>'вместе-абс'!P59 / 'вместе-абс'!P$2 - 1</f>
        <v>3.0014732266798818</v>
      </c>
      <c r="Q59" s="2">
        <f>'вместе-абс'!Q59 / 'вместе-абс'!Q$2 - 1</f>
        <v>2.2845540895650704</v>
      </c>
      <c r="R59" s="2">
        <f>'вместе-абс'!R59 / 'вместе-абс'!R$2 - 1</f>
        <v>1.3304530813482383</v>
      </c>
      <c r="S59" s="2">
        <f>'вместе-абс'!S59 / 'вместе-абс'!S$2 - 1</f>
        <v>2.6054343689935839</v>
      </c>
      <c r="T59" s="2">
        <f>'вместе-абс'!T59 / 'вместе-абс'!T$2 - 1</f>
        <v>1.0653032012271626</v>
      </c>
      <c r="U59" s="2">
        <f>'вместе-абс'!U59 / 'вместе-абс'!U$2 - 1</f>
        <v>1.896006324073614</v>
      </c>
      <c r="V59" s="2">
        <f>'вместе-абс'!V59 / 'вместе-абс'!V$2 - 1</f>
        <v>3.4647059979690109</v>
      </c>
      <c r="W59" s="2">
        <f>'вместе-абс'!W59 / 'вместе-абс'!W$2 - 1</f>
        <v>0.46089010989010992</v>
      </c>
    </row>
    <row r="60" spans="1:23" x14ac:dyDescent="0.25">
      <c r="A60" s="9">
        <f>'вместе-абс'!A60</f>
        <v>1975</v>
      </c>
      <c r="B60" s="2">
        <f>'вместе-абс'!B60 / 'вместе-абс'!B$2 - 1</f>
        <v>2.1096562933075518</v>
      </c>
      <c r="C60" s="2">
        <f>'вместе-абс'!C60 / 'вместе-абс'!C$2 - 1</f>
        <v>1.4392875259361797</v>
      </c>
      <c r="D60" s="2">
        <f>'вместе-абс'!D60 / 'вместе-абс'!D$2 - 1</f>
        <v>3.1835190245301401</v>
      </c>
      <c r="E60" s="2">
        <f>'вместе-абс'!E60 / 'вместе-абс'!E$2 - 1</f>
        <v>3.7531542442085799</v>
      </c>
      <c r="F60" s="2">
        <f>'вместе-абс'!F60 / 'вместе-абс'!F$2 - 1</f>
        <v>1.5633649208210647</v>
      </c>
      <c r="G60" s="2">
        <f>'вместе-абс'!G60 / 'вместе-абс'!G$2 - 1</f>
        <v>2.9455787758186238</v>
      </c>
      <c r="H60" s="2">
        <f>'вместе-абс'!H60 / 'вместе-абс'!H$2 - 1</f>
        <v>3.5090446673030877</v>
      </c>
      <c r="I60" s="2">
        <f>'вместе-абс'!I60 / 'вместе-абс'!I$2 - 1</f>
        <v>5.2404566509651076</v>
      </c>
      <c r="J60" s="2">
        <f>'вместе-абс'!J60 / 'вместе-абс'!J$2 - 1</f>
        <v>3.1431288948459679</v>
      </c>
      <c r="K60" s="2">
        <f>'вместе-абс'!K60 / 'вместе-абс'!K$2 - 1</f>
        <v>4.1474955618186007</v>
      </c>
      <c r="L60" s="2">
        <f>'вместе-абс'!L60 / 'вместе-абс'!L$2 - 1</f>
        <v>2.4528404130195285</v>
      </c>
      <c r="M60" s="2">
        <f>'вместе-абс'!M60 / 'вместе-абс'!M$2 - 1</f>
        <v>3.0957503416710228</v>
      </c>
      <c r="N60" s="2">
        <f>'вместе-абс'!N60 / 'вместе-абс'!N$2 - 1</f>
        <v>3.6376768979934351</v>
      </c>
      <c r="O60" s="2">
        <f>'вместе-абс'!O60 / 'вместе-абс'!O$2 - 1</f>
        <v>3.1182811949020204</v>
      </c>
      <c r="P60" s="2">
        <f>'вместе-абс'!P60 / 'вместе-абс'!P$2 - 1</f>
        <v>3.1018392197719855</v>
      </c>
      <c r="Q60" s="2">
        <f>'вместе-абс'!Q60 / 'вместе-абс'!Q$2 - 1</f>
        <v>2.3715771402188404</v>
      </c>
      <c r="R60" s="2">
        <f>'вместе-абс'!R60 / 'вместе-абс'!R$2 - 1</f>
        <v>1.3694554074265191</v>
      </c>
      <c r="S60" s="2">
        <f>'вместе-абс'!S60 / 'вместе-абс'!S$2 - 1</f>
        <v>2.6872836365915829</v>
      </c>
      <c r="T60" s="2">
        <f>'вместе-абс'!T60 / 'вместе-абс'!T$2 - 1</f>
        <v>1.0738959573897051</v>
      </c>
      <c r="U60" s="2">
        <f>'вместе-абс'!U60 / 'вместе-абс'!U$2 - 1</f>
        <v>1.9417328028671514</v>
      </c>
      <c r="V60" s="2">
        <f>'вместе-абс'!V60 / 'вместе-абс'!V$2 - 1</f>
        <v>3.5944593310839581</v>
      </c>
      <c r="W60" s="2">
        <f>'вместе-абс'!W60 / 'вместе-абс'!W$2 - 1</f>
        <v>0.47005494505494516</v>
      </c>
    </row>
    <row r="61" spans="1:23" x14ac:dyDescent="0.25">
      <c r="A61" s="9">
        <f>'вместе-абс'!A61</f>
        <v>1976</v>
      </c>
      <c r="B61" s="2">
        <f>'вместе-абс'!B61 / 'вместе-абс'!B$2 - 1</f>
        <v>2.1586389418515202</v>
      </c>
      <c r="C61" s="2">
        <f>'вместе-абс'!C61 / 'вместе-абс'!C$2 - 1</f>
        <v>1.4971563249770643</v>
      </c>
      <c r="D61" s="2">
        <f>'вместе-абс'!D61 / 'вместе-абс'!D$2 - 1</f>
        <v>3.2841388730090388</v>
      </c>
      <c r="E61" s="2">
        <f>'вместе-абс'!E61 / 'вместе-абс'!E$2 - 1</f>
        <v>3.9070478794525929</v>
      </c>
      <c r="F61" s="2">
        <f>'вместе-абс'!F61 / 'вместе-абс'!F$2 - 1</f>
        <v>1.6129989694400688</v>
      </c>
      <c r="G61" s="2">
        <f>'вместе-абс'!G61 / 'вместе-абс'!G$2 - 1</f>
        <v>3.0389282889828797</v>
      </c>
      <c r="H61" s="2">
        <f>'вместе-абс'!H61 / 'вместе-абс'!H$2 - 1</f>
        <v>3.6541744012800939</v>
      </c>
      <c r="I61" s="2">
        <f>'вместе-абс'!I61 / 'вместе-абс'!I$2 - 1</f>
        <v>5.4022173964137776</v>
      </c>
      <c r="J61" s="2">
        <f>'вместе-абс'!J61 / 'вместе-абс'!J$2 - 1</f>
        <v>3.2373773140488851</v>
      </c>
      <c r="K61" s="2">
        <f>'вместе-абс'!K61 / 'вместе-абс'!K$2 - 1</f>
        <v>4.2852070649829992</v>
      </c>
      <c r="L61" s="2">
        <f>'вместе-абс'!L61 / 'вместе-абс'!L$2 - 1</f>
        <v>2.4870974302946474</v>
      </c>
      <c r="M61" s="2">
        <f>'вместе-абс'!M61 / 'вместе-абс'!M$2 - 1</f>
        <v>3.2118101728409831</v>
      </c>
      <c r="N61" s="2">
        <f>'вместе-абс'!N61 / 'вместе-абс'!N$2 - 1</f>
        <v>3.7811428845172239</v>
      </c>
      <c r="O61" s="2">
        <f>'вместе-абс'!O61 / 'вместе-абс'!O$2 - 1</f>
        <v>3.2248897140842132</v>
      </c>
      <c r="P61" s="2">
        <f>'вместе-абс'!P61 / 'вместе-абс'!P$2 - 1</f>
        <v>3.2056875207102538</v>
      </c>
      <c r="Q61" s="2">
        <f>'вместе-абс'!Q61 / 'вместе-абс'!Q$2 - 1</f>
        <v>2.4602329565707319</v>
      </c>
      <c r="R61" s="2">
        <f>'вместе-абс'!R61 / 'вместе-абс'!R$2 - 1</f>
        <v>1.4102153940424982</v>
      </c>
      <c r="S61" s="2">
        <f>'вместе-абс'!S61 / 'вместе-абс'!S$2 - 1</f>
        <v>2.7672320404575848</v>
      </c>
      <c r="T61" s="2">
        <f>'вместе-абс'!T61 / 'вместе-абс'!T$2 - 1</f>
        <v>1.0845492585165677</v>
      </c>
      <c r="U61" s="2">
        <f>'вместе-абс'!U61 / 'вместе-абс'!U$2 - 1</f>
        <v>1.9865884100691842</v>
      </c>
      <c r="V61" s="2">
        <f>'вместе-абс'!V61 / 'вместе-абс'!V$2 - 1</f>
        <v>3.726880466472303</v>
      </c>
      <c r="W61" s="2">
        <f>'вместе-абс'!W61 / 'вместе-абс'!W$2 - 1</f>
        <v>0.48010989010989014</v>
      </c>
    </row>
    <row r="62" spans="1:23" x14ac:dyDescent="0.25">
      <c r="A62" s="9">
        <f>'вместе-абс'!A62</f>
        <v>1977</v>
      </c>
      <c r="B62" s="2">
        <f>'вместе-абс'!B62 / 'вместе-абс'!B$2 - 1</f>
        <v>2.2079999281637148</v>
      </c>
      <c r="C62" s="2">
        <f>'вместе-абс'!C62 / 'вместе-абс'!C$2 - 1</f>
        <v>1.556592263291229</v>
      </c>
      <c r="D62" s="2">
        <f>'вместе-абс'!D62 / 'вместе-абс'!D$2 - 1</f>
        <v>3.3873481783691455</v>
      </c>
      <c r="E62" s="2">
        <f>'вместе-абс'!E62 / 'вместе-абс'!E$2 - 1</f>
        <v>4.0669862488799611</v>
      </c>
      <c r="F62" s="2">
        <f>'вместе-абс'!F62 / 'вместе-абс'!F$2 - 1</f>
        <v>1.6643868218462687</v>
      </c>
      <c r="G62" s="2">
        <f>'вместе-абс'!G62 / 'вместе-абс'!G$2 - 1</f>
        <v>3.1339850091091597</v>
      </c>
      <c r="H62" s="2">
        <f>'вместе-абс'!H62 / 'вместе-абс'!H$2 - 1</f>
        <v>3.802485762824908</v>
      </c>
      <c r="I62" s="2">
        <f>'вместе-абс'!I62 / 'вместе-абс'!I$2 - 1</f>
        <v>5.5650786383712161</v>
      </c>
      <c r="J62" s="2">
        <f>'вместе-абс'!J62 / 'вместе-абс'!J$2 - 1</f>
        <v>3.3346455334370182</v>
      </c>
      <c r="K62" s="2">
        <f>'вместе-абс'!K62 / 'вместе-абс'!K$2 - 1</f>
        <v>4.4300597775392916</v>
      </c>
      <c r="L62" s="2">
        <f>'вместе-абс'!L62 / 'вместе-абс'!L$2 - 1</f>
        <v>2.5169141626466138</v>
      </c>
      <c r="M62" s="2">
        <f>'вместе-абс'!M62 / 'вместе-абс'!M$2 - 1</f>
        <v>3.3286533280915078</v>
      </c>
      <c r="N62" s="2">
        <f>'вместе-абс'!N62 / 'вместе-абс'!N$2 - 1</f>
        <v>3.9284990988877739</v>
      </c>
      <c r="O62" s="2">
        <f>'вместе-абс'!O62 / 'вместе-абс'!O$2 - 1</f>
        <v>3.3329615156727144</v>
      </c>
      <c r="P62" s="2">
        <f>'вместе-абс'!P62 / 'вместе-абс'!P$2 - 1</f>
        <v>3.3131524662740048</v>
      </c>
      <c r="Q62" s="2">
        <f>'вместе-абс'!Q62 / 'вместе-абс'!Q$2 - 1</f>
        <v>2.5512227168478248</v>
      </c>
      <c r="R62" s="2">
        <f>'вместе-абс'!R62 / 'вместе-абс'!R$2 - 1</f>
        <v>1.4538335946979926</v>
      </c>
      <c r="S62" s="2">
        <f>'вместе-абс'!S62 / 'вместе-абс'!S$2 - 1</f>
        <v>2.8467628370104259</v>
      </c>
      <c r="T62" s="2">
        <f>'вместе-абс'!T62 / 'вместе-абс'!T$2 - 1</f>
        <v>1.0969161649861552</v>
      </c>
      <c r="U62" s="2">
        <f>'вместе-абс'!U62 / 'вместе-абс'!U$2 - 1</f>
        <v>2.0305653326695992</v>
      </c>
      <c r="V62" s="2">
        <f>'вместе-абс'!V62 / 'вместе-абс'!V$2 - 1</f>
        <v>3.8622340878566517</v>
      </c>
      <c r="W62" s="2">
        <f>'вместе-абс'!W62 / 'вместе-абс'!W$2 - 1</f>
        <v>0.4906043956043955</v>
      </c>
    </row>
    <row r="63" spans="1:23" x14ac:dyDescent="0.25">
      <c r="A63" s="9">
        <f>'вместе-абс'!A63</f>
        <v>1978</v>
      </c>
      <c r="B63" s="2">
        <f>'вместе-абс'!B63 / 'вместе-абс'!B$2 - 1</f>
        <v>2.2580112723104042</v>
      </c>
      <c r="C63" s="2">
        <f>'вместе-абс'!C63 / 'вместе-абс'!C$2 - 1</f>
        <v>1.6169988518819229</v>
      </c>
      <c r="D63" s="2">
        <f>'вместе-абс'!D63 / 'вместе-абс'!D$2 - 1</f>
        <v>3.4928220858443835</v>
      </c>
      <c r="E63" s="2">
        <f>'вместе-абс'!E63 / 'вместе-абс'!E$2 - 1</f>
        <v>4.2306208408338444</v>
      </c>
      <c r="F63" s="2">
        <f>'вместе-абс'!F63 / 'вместе-абс'!F$2 - 1</f>
        <v>1.7175840351801832</v>
      </c>
      <c r="G63" s="2">
        <f>'вместе-абс'!G63 / 'вместе-абс'!G$2 - 1</f>
        <v>3.2362951175545831</v>
      </c>
      <c r="H63" s="2">
        <f>'вместе-абс'!H63 / 'вместе-абс'!H$2 - 1</f>
        <v>3.9541318937053012</v>
      </c>
      <c r="I63" s="2">
        <f>'вместе-абс'!I63 / 'вместе-абс'!I$2 - 1</f>
        <v>5.7291982901295633</v>
      </c>
      <c r="J63" s="2">
        <f>'вместе-абс'!J63 / 'вместе-абс'!J$2 - 1</f>
        <v>3.4348146177246504</v>
      </c>
      <c r="K63" s="2">
        <f>'вместе-абс'!K63 / 'вместе-абс'!K$2 - 1</f>
        <v>4.5814243302608739</v>
      </c>
      <c r="L63" s="2">
        <f>'вместе-абс'!L63 / 'вместе-абс'!L$2 - 1</f>
        <v>2.5426192495845448</v>
      </c>
      <c r="M63" s="2">
        <f>'вместе-абс'!M63 / 'вместе-абс'!M$2 - 1</f>
        <v>3.4452003444458246</v>
      </c>
      <c r="N63" s="2">
        <f>'вместе-абс'!N63 / 'вместе-абс'!N$2 - 1</f>
        <v>4.0767589033356844</v>
      </c>
      <c r="O63" s="2">
        <f>'вместе-абс'!O63 / 'вместе-абс'!O$2 - 1</f>
        <v>3.4419952455315919</v>
      </c>
      <c r="P63" s="2">
        <f>'вместе-абс'!P63 / 'вместе-абс'!P$2 - 1</f>
        <v>3.4248326014466581</v>
      </c>
      <c r="Q63" s="2">
        <f>'вместе-абс'!Q63 / 'вместе-абс'!Q$2 - 1</f>
        <v>2.6444314375502498</v>
      </c>
      <c r="R63" s="2">
        <f>'вместе-абс'!R63 / 'вместе-абс'!R$2 - 1</f>
        <v>1.4978508971728273</v>
      </c>
      <c r="S63" s="2">
        <f>'вместе-абс'!S63 / 'вместе-абс'!S$2 - 1</f>
        <v>2.9258592513263224</v>
      </c>
      <c r="T63" s="2">
        <f>'вместе-абс'!T63 / 'вместе-абс'!T$2 - 1</f>
        <v>1.1098409387298811</v>
      </c>
      <c r="U63" s="2">
        <f>'вместе-абс'!U63 / 'вместе-абс'!U$2 - 1</f>
        <v>2.0743606027848918</v>
      </c>
      <c r="V63" s="2">
        <f>'вместе-абс'!V63 / 'вместе-абс'!V$2 - 1</f>
        <v>4.0002410980443548</v>
      </c>
      <c r="W63" s="2">
        <f>'вместе-абс'!W63 / 'вместе-абс'!W$2 - 1</f>
        <v>0.50105494505494508</v>
      </c>
    </row>
    <row r="64" spans="1:23" x14ac:dyDescent="0.25">
      <c r="A64" s="9">
        <f>'вместе-абс'!A64</f>
        <v>1979</v>
      </c>
      <c r="B64" s="2">
        <f>'вместе-абс'!B64 / 'вместе-абс'!B$2 - 1</f>
        <v>2.3086935673599864</v>
      </c>
      <c r="C64" s="2">
        <f>'вместе-абс'!C64 / 'вместе-абс'!C$2 - 1</f>
        <v>1.6780492542162158</v>
      </c>
      <c r="D64" s="2">
        <f>'вместе-абс'!D64 / 'вместе-абс'!D$2 - 1</f>
        <v>3.6001466188181697</v>
      </c>
      <c r="E64" s="2">
        <f>'вместе-абс'!E64 / 'вместе-абс'!E$2 - 1</f>
        <v>4.3954738308177772</v>
      </c>
      <c r="F64" s="2">
        <f>'вместе-абс'!F64 / 'вместе-абс'!F$2 - 1</f>
        <v>1.7725710893654125</v>
      </c>
      <c r="G64" s="2">
        <f>'вместе-абс'!G64 / 'вместе-абс'!G$2 - 1</f>
        <v>3.3417692581077922</v>
      </c>
      <c r="H64" s="2">
        <f>'вместе-абс'!H64 / 'вместе-абс'!H$2 - 1</f>
        <v>4.1095536132154189</v>
      </c>
      <c r="I64" s="2">
        <f>'вместе-абс'!I64 / 'вместе-абс'!I$2 - 1</f>
        <v>5.8945543172759596</v>
      </c>
      <c r="J64" s="2">
        <f>'вместе-абс'!J64 / 'вместе-абс'!J$2 - 1</f>
        <v>3.5364347475305165</v>
      </c>
      <c r="K64" s="2">
        <f>'вместе-абс'!K64 / 'вместе-абс'!K$2 - 1</f>
        <v>4.738666339026909</v>
      </c>
      <c r="L64" s="2">
        <f>'вместе-абс'!L64 / 'вместе-абс'!L$2 - 1</f>
        <v>2.5646702303361288</v>
      </c>
      <c r="M64" s="2">
        <f>'вместе-абс'!M64 / 'вместе-абс'!M$2 - 1</f>
        <v>3.5598333308066294</v>
      </c>
      <c r="N64" s="2">
        <f>'вместе-абс'!N64 / 'вместе-абс'!N$2 - 1</f>
        <v>4.2226052798073219</v>
      </c>
      <c r="O64" s="2">
        <f>'вместе-абс'!O64 / 'вместе-абс'!O$2 - 1</f>
        <v>3.5517318307102199</v>
      </c>
      <c r="P64" s="2">
        <f>'вместе-абс'!P64 / 'вместе-абс'!P$2 - 1</f>
        <v>3.5417772457377934</v>
      </c>
      <c r="Q64" s="2">
        <f>'вместе-абс'!Q64 / 'вместе-абс'!Q$2 - 1</f>
        <v>2.7391132737836741</v>
      </c>
      <c r="R64" s="2">
        <f>'вместе-абс'!R64 / 'вместе-абс'!R$2 - 1</f>
        <v>1.5398089955131278</v>
      </c>
      <c r="S64" s="2">
        <f>'вместе-абс'!S64 / 'вместе-абс'!S$2 - 1</f>
        <v>3.0005315002167494</v>
      </c>
      <c r="T64" s="2">
        <f>'вместе-абс'!T64 / 'вместе-абс'!T$2 - 1</f>
        <v>1.1224624130559855</v>
      </c>
      <c r="U64" s="2">
        <f>'вместе-абс'!U64 / 'вместе-абс'!U$2 - 1</f>
        <v>2.1187265016744954</v>
      </c>
      <c r="V64" s="2">
        <f>'вместе-абс'!V64 / 'вместе-абс'!V$2 - 1</f>
        <v>4.1404933337701051</v>
      </c>
      <c r="W64" s="2">
        <f>'вместе-абс'!W64 / 'вместе-абс'!W$2 - 1</f>
        <v>0.51154945054945045</v>
      </c>
    </row>
    <row r="65" spans="1:23" x14ac:dyDescent="0.25">
      <c r="A65" s="9">
        <f>'вместе-абс'!A65</f>
        <v>1980</v>
      </c>
      <c r="B65" s="2">
        <f>'вместе-абс'!B65 / 'вместе-абс'!B$2 - 1</f>
        <v>2.3603248197358218</v>
      </c>
      <c r="C65" s="2">
        <f>'вместе-абс'!C65 / 'вместе-абс'!C$2 - 1</f>
        <v>1.7394190985917435</v>
      </c>
      <c r="D65" s="2">
        <f>'вместе-абс'!D65 / 'вместе-абс'!D$2 - 1</f>
        <v>3.7089426508451284</v>
      </c>
      <c r="E65" s="2">
        <f>'вместе-абс'!E65 / 'вместе-абс'!E$2 - 1</f>
        <v>4.5589036469151374</v>
      </c>
      <c r="F65" s="2">
        <f>'вместе-абс'!F65 / 'вместе-абс'!F$2 - 1</f>
        <v>1.8293539905793108</v>
      </c>
      <c r="G65" s="2">
        <f>'вместе-абс'!G65 / 'вместе-абс'!G$2 - 1</f>
        <v>3.4509274052823518</v>
      </c>
      <c r="H65" s="2">
        <f>'вместе-абс'!H65 / 'вместе-абс'!H$2 - 1</f>
        <v>4.2691230415386316</v>
      </c>
      <c r="I65" s="2">
        <f>'вместе-абс'!I65 / 'вместе-абс'!I$2 - 1</f>
        <v>6.0613670639389694</v>
      </c>
      <c r="J65" s="2">
        <f>'вместе-абс'!J65 / 'вместе-абс'!J$2 - 1</f>
        <v>3.6405689836042718</v>
      </c>
      <c r="K65" s="2">
        <f>'вместе-абс'!K65 / 'вместе-абс'!K$2 - 1</f>
        <v>4.9004067079225289</v>
      </c>
      <c r="L65" s="2">
        <f>'вместе-абс'!L65 / 'вместе-абс'!L$2 - 1</f>
        <v>2.5836703409780966</v>
      </c>
      <c r="M65" s="2">
        <f>'вместе-абс'!M65 / 'вместе-абс'!M$2 - 1</f>
        <v>3.6705982643667667</v>
      </c>
      <c r="N65" s="2">
        <f>'вместе-абс'!N65 / 'вместе-абс'!N$2 - 1</f>
        <v>4.3710583567215036</v>
      </c>
      <c r="O65" s="2">
        <f>'вместе-абс'!O65 / 'вместе-абс'!O$2 - 1</f>
        <v>3.6616651194254342</v>
      </c>
      <c r="P65" s="2">
        <f>'вместе-абс'!P65 / 'вместе-абс'!P$2 - 1</f>
        <v>3.6651849817451243</v>
      </c>
      <c r="Q65" s="2">
        <f>'вместе-абс'!Q65 / 'вместе-абс'!Q$2 - 1</f>
        <v>2.8348217799976472</v>
      </c>
      <c r="R65" s="2">
        <f>'вместе-абс'!R65 / 'вместе-абс'!R$2 - 1</f>
        <v>1.5772463586998149</v>
      </c>
      <c r="S65" s="2">
        <f>'вместе-абс'!S65 / 'вместе-абс'!S$2 - 1</f>
        <v>3.061714061712296</v>
      </c>
      <c r="T65" s="2">
        <f>'вместе-абс'!T65 / 'вместе-абс'!T$2 - 1</f>
        <v>1.1339179665992427</v>
      </c>
      <c r="U65" s="2">
        <f>'вместе-абс'!U65 / 'вместе-абс'!U$2 - 1</f>
        <v>2.1646809529416822</v>
      </c>
      <c r="V65" s="2">
        <f>'вместе-абс'!V65 / 'вместе-абс'!V$2 - 1</f>
        <v>4.2829731057752154</v>
      </c>
      <c r="W65" s="2">
        <f>'вместе-абс'!W65 / 'вместе-абс'!W$2 - 1</f>
        <v>0.51968131868131873</v>
      </c>
    </row>
    <row r="66" spans="1:23" x14ac:dyDescent="0.25">
      <c r="A66" s="9">
        <f>'вместе-абс'!A66</f>
        <v>1981</v>
      </c>
      <c r="B66" s="2">
        <f>'вместе-абс'!B66 / 'вместе-абс'!B$2 - 1</f>
        <v>2.4132521184221156</v>
      </c>
      <c r="C66" s="2">
        <f>'вместе-абс'!C66 / 'вместе-абс'!C$2 - 1</f>
        <v>1.8007371815254047</v>
      </c>
      <c r="D66" s="2">
        <f>'вместе-абс'!D66 / 'вместе-абс'!D$2 - 1</f>
        <v>3.8195376727443318</v>
      </c>
      <c r="E66" s="2">
        <f>'вместе-абс'!E66 / 'вместе-абс'!E$2 - 1</f>
        <v>4.7199996043686498</v>
      </c>
      <c r="F66" s="2">
        <f>'вместе-абс'!F66 / 'вместе-абс'!F$2 - 1</f>
        <v>1.8887896201242977</v>
      </c>
      <c r="G66" s="2">
        <f>'вместе-абс'!G66 / 'вместе-абс'!G$2 - 1</f>
        <v>3.5632246104193417</v>
      </c>
      <c r="H66" s="2">
        <f>'вместе-абс'!H66 / 'вместе-абс'!H$2 - 1</f>
        <v>4.4329561084243725</v>
      </c>
      <c r="I66" s="2">
        <f>'вместе-абс'!I66 / 'вместе-абс'!I$2 - 1</f>
        <v>6.2289032738240966</v>
      </c>
      <c r="J66" s="2">
        <f>'вместе-абс'!J66 / 'вместе-абс'!J$2 - 1</f>
        <v>3.7470384851112817</v>
      </c>
      <c r="K66" s="2">
        <f>'вместе-абс'!K66 / 'вместе-абс'!K$2 - 1</f>
        <v>5.0671845380780924</v>
      </c>
      <c r="L66" s="2">
        <f>'вместе-абс'!L66 / 'вместе-абс'!L$2 - 1</f>
        <v>2.6014464520261176</v>
      </c>
      <c r="M66" s="2">
        <f>'вместе-абс'!M66 / 'вместе-абс'!M$2 - 1</f>
        <v>3.7751473680304031</v>
      </c>
      <c r="N66" s="2">
        <f>'вместе-абс'!N66 / 'вместе-абс'!N$2 - 1</f>
        <v>4.52404590303669</v>
      </c>
      <c r="O66" s="2">
        <f>'вместе-абс'!O66 / 'вместе-абс'!O$2 - 1</f>
        <v>3.7722292987518919</v>
      </c>
      <c r="P66" s="2">
        <f>'вместе-абс'!P66 / 'вместе-абс'!P$2 - 1</f>
        <v>3.7969992148761564</v>
      </c>
      <c r="Q66" s="2">
        <f>'вместе-абс'!Q66 / 'вместе-абс'!Q$2 - 1</f>
        <v>2.9314455106461454</v>
      </c>
      <c r="R66" s="2">
        <f>'вместе-абс'!R66 / 'вместе-абс'!R$2 - 1</f>
        <v>1.6102299068359289</v>
      </c>
      <c r="S66" s="2">
        <f>'вместе-абс'!S66 / 'вместе-абс'!S$2 - 1</f>
        <v>3.1075131352067684</v>
      </c>
      <c r="T66" s="2">
        <f>'вместе-абс'!T66 / 'вместе-абс'!T$2 - 1</f>
        <v>1.1447087343686246</v>
      </c>
      <c r="U66" s="2">
        <f>'вместе-абс'!U66 / 'вместе-абс'!U$2 - 1</f>
        <v>2.2123623584798784</v>
      </c>
      <c r="V66" s="2">
        <f>'вместе-абс'!V66 / 'вместе-абс'!V$2 - 1</f>
        <v>4.4278913748484943</v>
      </c>
      <c r="W66" s="2">
        <f>'вместе-абс'!W66 / 'вместе-абс'!W$2 - 1</f>
        <v>0.52778021978021972</v>
      </c>
    </row>
    <row r="67" spans="1:23" x14ac:dyDescent="0.25">
      <c r="A67" s="9">
        <f>'вместе-абс'!A67</f>
        <v>1982</v>
      </c>
      <c r="B67" s="2">
        <f>'вместе-абс'!B67 / 'вместе-абс'!B$2 - 1</f>
        <v>2.4671868012798828</v>
      </c>
      <c r="C67" s="2">
        <f>'вместе-абс'!C67 / 'вместе-абс'!C$2 - 1</f>
        <v>1.8620823775952817</v>
      </c>
      <c r="D67" s="2">
        <f>'вместе-абс'!D67 / 'вместе-абс'!D$2 - 1</f>
        <v>3.9316400905360158</v>
      </c>
      <c r="E67" s="2">
        <f>'вместе-абс'!E67 / 'вместе-абс'!E$2 - 1</f>
        <v>4.8802698645402218</v>
      </c>
      <c r="F67" s="2">
        <f>'вместе-абс'!F67 / 'вместе-абс'!F$2 - 1</f>
        <v>1.9512293393755478</v>
      </c>
      <c r="G67" s="2">
        <f>'вместе-абс'!G67 / 'вместе-абс'!G$2 - 1</f>
        <v>3.673945882948102</v>
      </c>
      <c r="H67" s="2">
        <f>'вместе-абс'!H67 / 'вместе-абс'!H$2 - 1</f>
        <v>4.6008710474753798</v>
      </c>
      <c r="I67" s="2">
        <f>'вместе-абс'!I67 / 'вместе-абс'!I$2 - 1</f>
        <v>6.3964309147708907</v>
      </c>
      <c r="J67" s="2">
        <f>'вместе-абс'!J67 / 'вместе-абс'!J$2 - 1</f>
        <v>3.8557110044216252</v>
      </c>
      <c r="K67" s="2">
        <f>'вместе-абс'!K67 / 'вместе-абс'!K$2 - 1</f>
        <v>5.2401833445332633</v>
      </c>
      <c r="L67" s="2">
        <f>'вместе-абс'!L67 / 'вместе-абс'!L$2 - 1</f>
        <v>2.6210096316937017</v>
      </c>
      <c r="M67" s="2">
        <f>'вместе-абс'!M67 / 'вместе-абс'!M$2 - 1</f>
        <v>3.8748974026553986</v>
      </c>
      <c r="N67" s="2">
        <f>'вместе-абс'!N67 / 'вместе-абс'!N$2 - 1</f>
        <v>4.6775273678767944</v>
      </c>
      <c r="O67" s="2">
        <f>'вместе-абс'!O67 / 'вместе-абс'!O$2 - 1</f>
        <v>3.8838369663517014</v>
      </c>
      <c r="P67" s="2">
        <f>'вместе-абс'!P67 / 'вместе-абс'!P$2 - 1</f>
        <v>3.9366811053827258</v>
      </c>
      <c r="Q67" s="2">
        <f>'вместе-абс'!Q67 / 'вместе-абс'!Q$2 - 1</f>
        <v>3.0292582149076992</v>
      </c>
      <c r="R67" s="2">
        <f>'вместе-абс'!R67 / 'вместе-абс'!R$2 - 1</f>
        <v>1.6408228753875118</v>
      </c>
      <c r="S67" s="2">
        <f>'вместе-абс'!S67 / 'вместе-абс'!S$2 - 1</f>
        <v>3.1610445656751507</v>
      </c>
      <c r="T67" s="2">
        <f>'вместе-абс'!T67 / 'вместе-абс'!T$2 - 1</f>
        <v>1.1561235570548392</v>
      </c>
      <c r="U67" s="2">
        <f>'вместе-абс'!U67 / 'вместе-абс'!U$2 - 1</f>
        <v>2.2613661159796705</v>
      </c>
      <c r="V67" s="2">
        <f>'вместе-абс'!V67 / 'вместе-абс'!V$2 - 1</f>
        <v>4.5753234841288046</v>
      </c>
      <c r="W67" s="2">
        <f>'вместе-абс'!W67 / 'вместе-абс'!W$2 - 1</f>
        <v>0.53643956043956043</v>
      </c>
    </row>
    <row r="68" spans="1:23" x14ac:dyDescent="0.25">
      <c r="A68" s="9">
        <f>'вместе-абс'!A68</f>
        <v>1983</v>
      </c>
      <c r="B68" s="2">
        <f>'вместе-абс'!B68 / 'вместе-абс'!B$2 - 1</f>
        <v>2.5218928861125489</v>
      </c>
      <c r="C68" s="2">
        <f>'вместе-абс'!C68 / 'вместе-абс'!C$2 - 1</f>
        <v>1.9239506107110689</v>
      </c>
      <c r="D68" s="2">
        <f>'вместе-абс'!D68 / 'вместе-абс'!D$2 - 1</f>
        <v>4.0443214320838585</v>
      </c>
      <c r="E68" s="2">
        <f>'вместе-абс'!E68 / 'вместе-абс'!E$2 - 1</f>
        <v>5.0411028004105773</v>
      </c>
      <c r="F68" s="2">
        <f>'вместе-абс'!F68 / 'вместе-абс'!F$2 - 1</f>
        <v>2.0158067572498313</v>
      </c>
      <c r="G68" s="2">
        <f>'вместе-абс'!G68 / 'вместе-абс'!G$2 - 1</f>
        <v>3.7907557240420973</v>
      </c>
      <c r="H68" s="2">
        <f>'вместе-абс'!H68 / 'вместе-абс'!H$2 - 1</f>
        <v>4.7727920034235058</v>
      </c>
      <c r="I68" s="2">
        <f>'вместе-абс'!I68 / 'вместе-абс'!I$2 - 1</f>
        <v>6.565335706521207</v>
      </c>
      <c r="J68" s="2">
        <f>'вместе-абс'!J68 / 'вместе-абс'!J$2 - 1</f>
        <v>3.9671605487978869</v>
      </c>
      <c r="K68" s="2">
        <f>'вместе-абс'!K68 / 'вместе-абс'!K$2 - 1</f>
        <v>5.4185355505852382</v>
      </c>
      <c r="L68" s="2">
        <f>'вместе-абс'!L68 / 'вместе-абс'!L$2 - 1</f>
        <v>2.6428692712199795</v>
      </c>
      <c r="M68" s="2">
        <f>'вместе-абс'!M68 / 'вместе-абс'!M$2 - 1</f>
        <v>3.9731999443804922</v>
      </c>
      <c r="N68" s="2">
        <f>'вместе-абс'!N68 / 'вместе-абс'!N$2 - 1</f>
        <v>4.8298227674965268</v>
      </c>
      <c r="O68" s="2">
        <f>'вместе-абс'!O68 / 'вместе-абс'!O$2 - 1</f>
        <v>3.9964449433997569</v>
      </c>
      <c r="P68" s="2">
        <f>'вместе-абс'!P68 / 'вместе-абс'!P$2 - 1</f>
        <v>4.0820424563927888</v>
      </c>
      <c r="Q68" s="2">
        <f>'вместе-абс'!Q68 / 'вместе-абс'!Q$2 - 1</f>
        <v>3.1285325363502645</v>
      </c>
      <c r="R68" s="2">
        <f>'вместе-абс'!R68 / 'вместе-абс'!R$2 - 1</f>
        <v>1.6695670753093035</v>
      </c>
      <c r="S68" s="2">
        <f>'вместе-абс'!S68 / 'вместе-абс'!S$2 - 1</f>
        <v>3.2280674493198651</v>
      </c>
      <c r="T68" s="2">
        <f>'вместе-абс'!T68 / 'вместе-абс'!T$2 - 1</f>
        <v>1.1680402420867586</v>
      </c>
      <c r="U68" s="2">
        <f>'вместе-абс'!U68 / 'вместе-абс'!U$2 - 1</f>
        <v>2.3119573097127435</v>
      </c>
      <c r="V68" s="2">
        <f>'вместе-абс'!V68 / 'вместе-абс'!V$2 - 1</f>
        <v>4.7252923641366662</v>
      </c>
      <c r="W68" s="2">
        <f>'вместе-абс'!W68 / 'вместе-абс'!W$2 - 1</f>
        <v>0.54687912087912083</v>
      </c>
    </row>
    <row r="69" spans="1:23" x14ac:dyDescent="0.25">
      <c r="A69" s="9">
        <f>'вместе-абс'!A69</f>
        <v>1984</v>
      </c>
      <c r="B69" s="2">
        <f>'вместе-абс'!B69 / 'вместе-абс'!B$2 - 1</f>
        <v>2.5770928454053212</v>
      </c>
      <c r="C69" s="2">
        <f>'вместе-абс'!C69 / 'вместе-абс'!C$2 - 1</f>
        <v>1.9869861875824797</v>
      </c>
      <c r="D69" s="2">
        <f>'вместе-абс'!D69 / 'вместе-абс'!D$2 - 1</f>
        <v>4.1565135532083222</v>
      </c>
      <c r="E69" s="2">
        <f>'вместе-абс'!E69 / 'вместе-абс'!E$2 - 1</f>
        <v>5.2039593173747365</v>
      </c>
      <c r="F69" s="2">
        <f>'вместе-абс'!F69 / 'вместе-абс'!F$2 - 1</f>
        <v>2.0816299564101679</v>
      </c>
      <c r="G69" s="2">
        <f>'вместе-абс'!G69 / 'вместе-абс'!G$2 - 1</f>
        <v>3.9185343378489579</v>
      </c>
      <c r="H69" s="2">
        <f>'вместе-абс'!H69 / 'вместе-абс'!H$2 - 1</f>
        <v>4.9481378962901044</v>
      </c>
      <c r="I69" s="2">
        <f>'вместе-абс'!I69 / 'вместе-абс'!I$2 - 1</f>
        <v>6.7356568213645662</v>
      </c>
      <c r="J69" s="2">
        <f>'вместе-абс'!J69 / 'вместе-абс'!J$2 - 1</f>
        <v>4.0794205697087769</v>
      </c>
      <c r="K69" s="2">
        <f>'вместе-абс'!K69 / 'вместе-абс'!K$2 - 1</f>
        <v>5.6011178199251779</v>
      </c>
      <c r="L69" s="2">
        <f>'вместе-абс'!L69 / 'вместе-абс'!L$2 - 1</f>
        <v>2.6662742467491163</v>
      </c>
      <c r="M69" s="2">
        <f>'вместе-абс'!M69 / 'вместе-абс'!M$2 - 1</f>
        <v>4.0718184499128416</v>
      </c>
      <c r="N69" s="2">
        <f>'вместе-абс'!N69 / 'вместе-абс'!N$2 - 1</f>
        <v>4.9789977253317428</v>
      </c>
      <c r="O69" s="2">
        <f>'вместе-абс'!O69 / 'вместе-абс'!O$2 - 1</f>
        <v>4.1101227957809501</v>
      </c>
      <c r="P69" s="2">
        <f>'вместе-абс'!P69 / 'вместе-абс'!P$2 - 1</f>
        <v>4.2312652434928761</v>
      </c>
      <c r="Q69" s="2">
        <f>'вместе-абс'!Q69 / 'вместе-абс'!Q$2 - 1</f>
        <v>3.229032316554882</v>
      </c>
      <c r="R69" s="2">
        <f>'вместе-абс'!R69 / 'вместе-абс'!R$2 - 1</f>
        <v>1.6970027050234422</v>
      </c>
      <c r="S69" s="2">
        <f>'вместе-абс'!S69 / 'вместе-абс'!S$2 - 1</f>
        <v>3.2972984426690495</v>
      </c>
      <c r="T69" s="2">
        <f>'вместе-абс'!T69 / 'вместе-абс'!T$2 - 1</f>
        <v>1.1801576720569593</v>
      </c>
      <c r="U69" s="2">
        <f>'вместе-абс'!U69 / 'вместе-абс'!U$2 - 1</f>
        <v>2.3641630061784165</v>
      </c>
      <c r="V69" s="2">
        <f>'вместе-абс'!V69 / 'вместе-абс'!V$2 - 1</f>
        <v>4.8775922953451056</v>
      </c>
      <c r="W69" s="2">
        <f>'вместе-абс'!W69 / 'вместе-абс'!W$2 - 1</f>
        <v>0.55870329670329677</v>
      </c>
    </row>
    <row r="70" spans="1:23" x14ac:dyDescent="0.25">
      <c r="A70" s="9">
        <f>'вместе-абс'!A70</f>
        <v>1985</v>
      </c>
      <c r="B70" s="2">
        <f>'вместе-абс'!B70 / 'вместе-абс'!B$2 - 1</f>
        <v>2.6324248637355461</v>
      </c>
      <c r="C70" s="2">
        <f>'вместе-абс'!C70 / 'вместе-абс'!C$2 - 1</f>
        <v>2.0515617905909531</v>
      </c>
      <c r="D70" s="2">
        <f>'вместе-абс'!D70 / 'вместе-абс'!D$2 - 1</f>
        <v>4.2669719267721531</v>
      </c>
      <c r="E70" s="2">
        <f>'вместе-абс'!E70 / 'вместе-абс'!E$2 - 1</f>
        <v>5.3701362070822416</v>
      </c>
      <c r="F70" s="2">
        <f>'вместе-абс'!F70 / 'вместе-абс'!F$2 - 1</f>
        <v>2.1480077259461354</v>
      </c>
      <c r="G70" s="2">
        <f>'вместе-абс'!G70 / 'вместе-абс'!G$2 - 1</f>
        <v>4.0491292668167249</v>
      </c>
      <c r="H70" s="2">
        <f>'вместе-абс'!H70 / 'вместе-абс'!H$2 - 1</f>
        <v>5.1262575157542809</v>
      </c>
      <c r="I70" s="2">
        <f>'вместе-абс'!I70 / 'вместе-абс'!I$2 - 1</f>
        <v>6.9060232291676877</v>
      </c>
      <c r="J70" s="2">
        <f>'вместе-абс'!J70 / 'вместе-абс'!J$2 - 1</f>
        <v>4.189386313193566</v>
      </c>
      <c r="K70" s="2">
        <f>'вместе-абс'!K70 / 'вместе-абс'!K$2 - 1</f>
        <v>5.7869372034943778</v>
      </c>
      <c r="L70" s="2">
        <f>'вместе-абс'!L70 / 'вместе-абс'!L$2 - 1</f>
        <v>2.6920260735283428</v>
      </c>
      <c r="M70" s="2">
        <f>'вместе-абс'!M70 / 'вместе-абс'!M$2 - 1</f>
        <v>4.1725953326122731</v>
      </c>
      <c r="N70" s="2">
        <f>'вместе-абс'!N70 / 'вместе-абс'!N$2 - 1</f>
        <v>5.1254354825121453</v>
      </c>
      <c r="O70" s="2">
        <f>'вместе-абс'!O70 / 'вместе-абс'!O$2 - 1</f>
        <v>4.2243451811231783</v>
      </c>
      <c r="P70" s="2">
        <f>'вместе-абс'!P70 / 'вместе-абс'!P$2 - 1</f>
        <v>4.3829060926207317</v>
      </c>
      <c r="Q70" s="2">
        <f>'вместе-абс'!Q70 / 'вместе-абс'!Q$2 - 1</f>
        <v>3.3303226083210911</v>
      </c>
      <c r="R70" s="2">
        <f>'вместе-абс'!R70 / 'вместе-абс'!R$2 - 1</f>
        <v>1.7236683504194596</v>
      </c>
      <c r="S70" s="2">
        <f>'вместе-абс'!S70 / 'вместе-абс'!S$2 - 1</f>
        <v>3.3696840045804377</v>
      </c>
      <c r="T70" s="2">
        <f>'вместе-абс'!T70 / 'вместе-абс'!T$2 - 1</f>
        <v>1.1925369432510062</v>
      </c>
      <c r="U70" s="2">
        <f>'вместе-абс'!U70 / 'вместе-абс'!U$2 - 1</f>
        <v>2.4178713119104316</v>
      </c>
      <c r="V70" s="2">
        <f>'вместе-абс'!V70 / 'вместе-абс'!V$2 - 1</f>
        <v>5.0307413109706172</v>
      </c>
      <c r="W70" s="2">
        <f>'вместе-абс'!W70 / 'вместе-абс'!W$2 - 1</f>
        <v>0.56948351648351658</v>
      </c>
    </row>
    <row r="71" spans="1:23" x14ac:dyDescent="0.25">
      <c r="A71" s="9">
        <f>'вместе-абс'!A71</f>
        <v>1986</v>
      </c>
      <c r="B71" s="2">
        <f>'вместе-абс'!B71 / 'вместе-абс'!B$2 - 1</f>
        <v>2.6880758351716438</v>
      </c>
      <c r="C71" s="2">
        <f>'вместе-абс'!C71 / 'вместе-абс'!C$2 - 1</f>
        <v>2.1178750991478097</v>
      </c>
      <c r="D71" s="2">
        <f>'вместе-абс'!D71 / 'вместе-абс'!D$2 - 1</f>
        <v>4.3753342505505568</v>
      </c>
      <c r="E71" s="2">
        <f>'вместе-абс'!E71 / 'вместе-абс'!E$2 - 1</f>
        <v>5.5410998698079803</v>
      </c>
      <c r="F71" s="2">
        <f>'вместе-абс'!F71 / 'вместе-абс'!F$2 - 1</f>
        <v>2.214983610643547</v>
      </c>
      <c r="G71" s="2">
        <f>'вместе-абс'!G71 / 'вместе-абс'!G$2 - 1</f>
        <v>4.1803799271907609</v>
      </c>
      <c r="H71" s="2">
        <f>'вместе-абс'!H71 / 'вместе-абс'!H$2 - 1</f>
        <v>5.30812982414459</v>
      </c>
      <c r="I71" s="2">
        <f>'вместе-абс'!I71 / 'вместе-абс'!I$2 - 1</f>
        <v>7.0763112923917628</v>
      </c>
      <c r="J71" s="2">
        <f>'вместе-абс'!J71 / 'вместе-абс'!J$2 - 1</f>
        <v>4.2983219264643617</v>
      </c>
      <c r="K71" s="2">
        <f>'вместе-абс'!K71 / 'вместе-абс'!K$2 - 1</f>
        <v>5.974760037310813</v>
      </c>
      <c r="L71" s="2">
        <f>'вместе-абс'!L71 / 'вместе-абс'!L$2 - 1</f>
        <v>2.722709318719343</v>
      </c>
      <c r="M71" s="2">
        <f>'вместе-абс'!M71 / 'вместе-абс'!M$2 - 1</f>
        <v>4.2758510151760722</v>
      </c>
      <c r="N71" s="2">
        <f>'вместе-абс'!N71 / 'вместе-абс'!N$2 - 1</f>
        <v>5.269061703473783</v>
      </c>
      <c r="O71" s="2">
        <f>'вместе-абс'!O71 / 'вместе-абс'!O$2 - 1</f>
        <v>4.3384380299900931</v>
      </c>
      <c r="P71" s="2">
        <f>'вместе-абс'!P71 / 'вместе-абс'!P$2 - 1</f>
        <v>4.5374620498598421</v>
      </c>
      <c r="Q71" s="2">
        <f>'вместе-абс'!Q71 / 'вместе-абс'!Q$2 - 1</f>
        <v>3.4316113522324931</v>
      </c>
      <c r="R71" s="2">
        <f>'вместе-абс'!R71 / 'вместе-абс'!R$2 - 1</f>
        <v>1.7492165107213258</v>
      </c>
      <c r="S71" s="2">
        <f>'вместе-абс'!S71 / 'вместе-абс'!S$2 - 1</f>
        <v>3.4427202569565161</v>
      </c>
      <c r="T71" s="2">
        <f>'вместе-абс'!T71 / 'вместе-абс'!T$2 - 1</f>
        <v>1.205282792158437</v>
      </c>
      <c r="U71" s="2">
        <f>'вместе-абс'!U71 / 'вместе-абс'!U$2 - 1</f>
        <v>2.4732075141066687</v>
      </c>
      <c r="V71" s="2">
        <f>'вместе-абс'!V71 / 'вместе-абс'!V$2 - 1</f>
        <v>5.1840167720378689</v>
      </c>
      <c r="W71" s="2">
        <f>'вместе-абс'!W71 / 'вместе-абс'!W$2 - 1</f>
        <v>0.58060439560439558</v>
      </c>
    </row>
    <row r="72" spans="1:23" x14ac:dyDescent="0.25">
      <c r="A72" s="9">
        <f>'вместе-абс'!A72</f>
        <v>1987</v>
      </c>
      <c r="B72" s="2">
        <f>'вместе-абс'!B72 / 'вместе-абс'!B$2 - 1</f>
        <v>2.744270727013137</v>
      </c>
      <c r="C72" s="2">
        <f>'вместе-абс'!C72 / 'вместе-абс'!C$2 - 1</f>
        <v>2.1860419602896077</v>
      </c>
      <c r="D72" s="2">
        <f>'вместе-абс'!D72 / 'вместе-абс'!D$2 - 1</f>
        <v>4.4819624391134747</v>
      </c>
      <c r="E72" s="2">
        <f>'вместе-абс'!E72 / 'вместе-абс'!E$2 - 1</f>
        <v>5.7159861441109179</v>
      </c>
      <c r="F72" s="2">
        <f>'вместе-абс'!F72 / 'вместе-абс'!F$2 - 1</f>
        <v>2.2832142858930413</v>
      </c>
      <c r="G72" s="2">
        <f>'вместе-абс'!G72 / 'вместе-абс'!G$2 - 1</f>
        <v>4.3134581827146894</v>
      </c>
      <c r="H72" s="2">
        <f>'вместе-абс'!H72 / 'вместе-абс'!H$2 - 1</f>
        <v>5.4941899158292777</v>
      </c>
      <c r="I72" s="2">
        <f>'вместе-абс'!I72 / 'вместе-абс'!I$2 - 1</f>
        <v>7.2472554914653387</v>
      </c>
      <c r="J72" s="2">
        <f>'вместе-абс'!J72 / 'вместе-абс'!J$2 - 1</f>
        <v>4.408547786148401</v>
      </c>
      <c r="K72" s="2">
        <f>'вместе-абс'!K72 / 'вместе-абс'!K$2 - 1</f>
        <v>6.1642152192010276</v>
      </c>
      <c r="L72" s="2">
        <f>'вместе-абс'!L72 / 'вместе-абс'!L$2 - 1</f>
        <v>2.7583378582125002</v>
      </c>
      <c r="M72" s="2">
        <f>'вместе-абс'!M72 / 'вместе-абс'!M$2 - 1</f>
        <v>4.3805985737451367</v>
      </c>
      <c r="N72" s="2">
        <f>'вместе-абс'!N72 / 'вместе-абс'!N$2 - 1</f>
        <v>5.4104297751927355</v>
      </c>
      <c r="O72" s="2">
        <f>'вместе-абс'!O72 / 'вместе-абс'!O$2 - 1</f>
        <v>4.4523533659093584</v>
      </c>
      <c r="P72" s="2">
        <f>'вместе-абс'!P72 / 'вместе-абс'!P$2 - 1</f>
        <v>4.6956958495905718</v>
      </c>
      <c r="Q72" s="2">
        <f>'вместе-абс'!Q72 / 'вместе-абс'!Q$2 - 1</f>
        <v>3.5329657694120895</v>
      </c>
      <c r="R72" s="2">
        <f>'вместе-абс'!R72 / 'вместе-абс'!R$2 - 1</f>
        <v>1.7733859556472908</v>
      </c>
      <c r="S72" s="2">
        <f>'вместе-абс'!S72 / 'вместе-абс'!S$2 - 1</f>
        <v>3.5159375019313233</v>
      </c>
      <c r="T72" s="2">
        <f>'вместе-абс'!T72 / 'вместе-абс'!T$2 - 1</f>
        <v>1.2184512237076865</v>
      </c>
      <c r="U72" s="2">
        <f>'вместе-абс'!U72 / 'вместе-абс'!U$2 - 1</f>
        <v>2.5305731456797123</v>
      </c>
      <c r="V72" s="2">
        <f>'вместе-абс'!V72 / 'вместе-абс'!V$2 - 1</f>
        <v>5.3377272578373249</v>
      </c>
      <c r="W72" s="2">
        <f>'вместе-абс'!W72 / 'вместе-абс'!W$2 - 1</f>
        <v>0.59467032967032973</v>
      </c>
    </row>
    <row r="73" spans="1:23" x14ac:dyDescent="0.25">
      <c r="A73" s="9">
        <f>'вместе-абс'!A73</f>
        <v>1988</v>
      </c>
      <c r="B73" s="2">
        <f>'вместе-абс'!B73 / 'вместе-абс'!B$2 - 1</f>
        <v>2.8010864040850896</v>
      </c>
      <c r="C73" s="2">
        <f>'вместе-абс'!C73 / 'вместе-абс'!C$2 - 1</f>
        <v>2.256102304271502</v>
      </c>
      <c r="D73" s="2">
        <f>'вместе-абс'!D73 / 'вместе-абс'!D$2 - 1</f>
        <v>4.5868573065360971</v>
      </c>
      <c r="E73" s="2">
        <f>'вместе-абс'!E73 / 'вместе-абс'!E$2 - 1</f>
        <v>5.8927443408232216</v>
      </c>
      <c r="F73" s="2">
        <f>'вместе-абс'!F73 / 'вместе-абс'!F$2 - 1</f>
        <v>2.3526522027905705</v>
      </c>
      <c r="G73" s="2">
        <f>'вместе-абс'!G73 / 'вместе-абс'!G$2 - 1</f>
        <v>4.4505457491122975</v>
      </c>
      <c r="H73" s="2">
        <f>'вместе-абс'!H73 / 'вместе-абс'!H$2 - 1</f>
        <v>5.6839311348663726</v>
      </c>
      <c r="I73" s="2">
        <f>'вместе-абс'!I73 / 'вместе-абс'!I$2 - 1</f>
        <v>7.419718840891953</v>
      </c>
      <c r="J73" s="2">
        <f>'вместе-абс'!J73 / 'вместе-абс'!J$2 - 1</f>
        <v>4.5200201016397479</v>
      </c>
      <c r="K73" s="2">
        <f>'вместе-абс'!K73 / 'вместе-абс'!K$2 - 1</f>
        <v>6.3551874065975946</v>
      </c>
      <c r="L73" s="2">
        <f>'вместе-абс'!L73 / 'вместе-абс'!L$2 - 1</f>
        <v>2.7968164325597038</v>
      </c>
      <c r="M73" s="2">
        <f>'вместе-абс'!M73 / 'вместе-абс'!M$2 - 1</f>
        <v>4.4866314588136786</v>
      </c>
      <c r="N73" s="2">
        <f>'вместе-абс'!N73 / 'вместе-абс'!N$2 - 1</f>
        <v>5.5532977734020736</v>
      </c>
      <c r="O73" s="2">
        <f>'вместе-абс'!O73 / 'вместе-абс'!O$2 - 1</f>
        <v>4.5666812994907309</v>
      </c>
      <c r="P73" s="2">
        <f>'вместе-абс'!P73 / 'вместе-абс'!P$2 - 1</f>
        <v>4.85663728174005</v>
      </c>
      <c r="Q73" s="2">
        <f>'вместе-абс'!Q73 / 'вместе-абс'!Q$2 - 1</f>
        <v>3.6352250182867989</v>
      </c>
      <c r="R73" s="2">
        <f>'вместе-абс'!R73 / 'вместе-абс'!R$2 - 1</f>
        <v>1.7968491112929685</v>
      </c>
      <c r="S73" s="2">
        <f>'вместе-абс'!S73 / 'вместе-абс'!S$2 - 1</f>
        <v>3.5909964569595187</v>
      </c>
      <c r="T73" s="2">
        <f>'вместе-абс'!T73 / 'вместе-абс'!T$2 - 1</f>
        <v>1.2320487839293497</v>
      </c>
      <c r="U73" s="2">
        <f>'вместе-абс'!U73 / 'вместе-абс'!U$2 - 1</f>
        <v>2.5899001218271502</v>
      </c>
      <c r="V73" s="2">
        <f>'вместе-абс'!V73 / 'вместе-абс'!V$2 - 1</f>
        <v>5.4910990270907725</v>
      </c>
      <c r="W73" s="2">
        <f>'вместе-абс'!W73 / 'вместе-абс'!W$2 - 1</f>
        <v>0.60816483516483522</v>
      </c>
    </row>
    <row r="74" spans="1:23" x14ac:dyDescent="0.25">
      <c r="A74" s="9">
        <f>'вместе-абс'!A74</f>
        <v>1989</v>
      </c>
      <c r="B74" s="2">
        <f>'вместе-абс'!B74 / 'вместе-абс'!B$2 - 1</f>
        <v>2.8578866363557451</v>
      </c>
      <c r="C74" s="2">
        <f>'вместе-абс'!C74 / 'вместе-абс'!C$2 - 1</f>
        <v>2.3278983819373273</v>
      </c>
      <c r="D74" s="2">
        <f>'вместе-абс'!D74 / 'вместе-абс'!D$2 - 1</f>
        <v>4.6899576421172737</v>
      </c>
      <c r="E74" s="2">
        <f>'вместе-абс'!E74 / 'вместе-абс'!E$2 - 1</f>
        <v>6.0697428469485466</v>
      </c>
      <c r="F74" s="2">
        <f>'вместе-абс'!F74 / 'вместе-абс'!F$2 - 1</f>
        <v>2.4231006590278099</v>
      </c>
      <c r="G74" s="2">
        <f>'вместе-абс'!G74 / 'вместе-абс'!G$2 - 1</f>
        <v>4.5914524386612579</v>
      </c>
      <c r="H74" s="2">
        <f>'вместе-абс'!H74 / 'вместе-абс'!H$2 - 1</f>
        <v>5.8769198181191049</v>
      </c>
      <c r="I74" s="2">
        <f>'вместе-абс'!I74 / 'вместе-абс'!I$2 - 1</f>
        <v>7.5946292342796706</v>
      </c>
      <c r="J74" s="2">
        <f>'вместе-абс'!J74 / 'вместе-абс'!J$2 - 1</f>
        <v>4.6329926832903983</v>
      </c>
      <c r="K74" s="2">
        <f>'вместе-абс'!K74 / 'вместе-абс'!K$2 - 1</f>
        <v>6.5484338485301343</v>
      </c>
      <c r="L74" s="2">
        <f>'вместе-абс'!L74 / 'вместе-абс'!L$2 - 1</f>
        <v>2.8351354341674813</v>
      </c>
      <c r="M74" s="2">
        <f>'вместе-абс'!M74 / 'вместе-абс'!M$2 - 1</f>
        <v>4.5932769267738438</v>
      </c>
      <c r="N74" s="2">
        <f>'вместе-абс'!N74 / 'вместе-абс'!N$2 - 1</f>
        <v>5.7015807044698796</v>
      </c>
      <c r="O74" s="2">
        <f>'вместе-абс'!O74 / 'вместе-абс'!O$2 - 1</f>
        <v>4.6823741637101168</v>
      </c>
      <c r="P74" s="2">
        <f>'вместе-абс'!P74 / 'вместе-абс'!P$2 - 1</f>
        <v>5.0192370267986952</v>
      </c>
      <c r="Q74" s="2">
        <f>'вместе-абс'!Q74 / 'вместе-абс'!Q$2 - 1</f>
        <v>3.7378354090803363</v>
      </c>
      <c r="R74" s="2">
        <f>'вместе-абс'!R74 / 'вместе-абс'!R$2 - 1</f>
        <v>1.8202767912213722</v>
      </c>
      <c r="S74" s="2">
        <f>'вместе-абс'!S74 / 'вместе-абс'!S$2 - 1</f>
        <v>3.6667767337104458</v>
      </c>
      <c r="T74" s="2">
        <f>'вместе-абс'!T74 / 'вместе-абс'!T$2 - 1</f>
        <v>1.2459016393442623</v>
      </c>
      <c r="U74" s="2">
        <f>'вместе-абс'!U74 / 'вместе-абс'!U$2 - 1</f>
        <v>2.6508831770824322</v>
      </c>
      <c r="V74" s="2">
        <f>'вместе-абс'!V74 / 'вместе-абс'!V$2 - 1</f>
        <v>5.6439145674321098</v>
      </c>
      <c r="W74" s="2">
        <f>'вместе-абс'!W74 / 'вместе-абс'!W$2 - 1</f>
        <v>0.61562527472527462</v>
      </c>
    </row>
    <row r="75" spans="1:23" x14ac:dyDescent="0.25">
      <c r="A75" s="9">
        <f>'вместе-абс'!A75</f>
        <v>1990</v>
      </c>
      <c r="B75" s="2">
        <f>'вместе-абс'!B75 / 'вместе-абс'!B$2 - 1</f>
        <v>2.9140418985132879</v>
      </c>
      <c r="C75" s="2">
        <f>'вместе-абс'!C75 / 'вместе-абс'!C$2 - 1</f>
        <v>2.4011738509083149</v>
      </c>
      <c r="D75" s="2">
        <f>'вместе-абс'!D75 / 'вместе-абс'!D$2 - 1</f>
        <v>4.7913262847085312</v>
      </c>
      <c r="E75" s="2">
        <f>'вместе-абс'!E75 / 'вместе-абс'!E$2 - 1</f>
        <v>6.2455170938386289</v>
      </c>
      <c r="F75" s="2">
        <f>'вместе-абс'!F75 / 'вместе-абс'!F$2 - 1</f>
        <v>2.4943364250131257</v>
      </c>
      <c r="G75" s="2">
        <f>'вместе-абс'!G75 / 'вместе-абс'!G$2 - 1</f>
        <v>4.7360540209974928</v>
      </c>
      <c r="H75" s="2">
        <f>'вместе-абс'!H75 / 'вместе-абс'!H$2 - 1</f>
        <v>6.0732919325775478</v>
      </c>
      <c r="I75" s="2">
        <f>'вместе-абс'!I75 / 'вместе-абс'!I$2 - 1</f>
        <v>7.7713231909747034</v>
      </c>
      <c r="J75" s="2">
        <f>'вместе-абс'!J75 / 'вместе-абс'!J$2 - 1</f>
        <v>4.7476319354029011</v>
      </c>
      <c r="K75" s="2">
        <f>'вместе-абс'!K75 / 'вместе-абс'!K$2 - 1</f>
        <v>6.7465873644724823</v>
      </c>
      <c r="L75" s="2">
        <f>'вместе-абс'!L75 / 'вместе-абс'!L$2 - 1</f>
        <v>2.8698477997402287</v>
      </c>
      <c r="M75" s="2">
        <f>'вместе-абс'!M75 / 'вместе-абс'!M$2 - 1</f>
        <v>4.7013436144818987</v>
      </c>
      <c r="N75" s="2">
        <f>'вместе-абс'!N75 / 'вместе-абс'!N$2 - 1</f>
        <v>5.8557344931883835</v>
      </c>
      <c r="O75" s="2">
        <f>'вместе-абс'!O75 / 'вместе-абс'!O$2 - 1</f>
        <v>4.8009863962712682</v>
      </c>
      <c r="P75" s="2">
        <f>'вместе-абс'!P75 / 'вместе-абс'!P$2 - 1</f>
        <v>5.1820024538851692</v>
      </c>
      <c r="Q75" s="2">
        <f>'вместе-абс'!Q75 / 'вместе-абс'!Q$2 - 1</f>
        <v>3.84029831142308</v>
      </c>
      <c r="R75" s="2">
        <f>'вместе-абс'!R75 / 'вместе-абс'!R$2 - 1</f>
        <v>1.8443430340607194</v>
      </c>
      <c r="S75" s="2">
        <f>'вместе-абс'!S75 / 'вместе-абс'!S$2 - 1</f>
        <v>3.7429057522979443</v>
      </c>
      <c r="T75" s="2">
        <f>'вместе-абс'!T75 / 'вместе-абс'!T$2 - 1</f>
        <v>1.2599792418096429</v>
      </c>
      <c r="U75" s="2">
        <f>'вместе-абс'!U75 / 'вместе-абс'!U$2 - 1</f>
        <v>2.7134553427874479</v>
      </c>
      <c r="V75" s="2">
        <f>'вместе-абс'!V75 / 'вместе-абс'!V$2 - 1</f>
        <v>5.7958607134667668</v>
      </c>
      <c r="W75" s="2">
        <f>'вместе-абс'!W75 / 'вместе-абс'!W$2 - 1</f>
        <v>0.62269340659340666</v>
      </c>
    </row>
    <row r="76" spans="1:23" x14ac:dyDescent="0.25">
      <c r="A76" s="9">
        <f>'вместе-абс'!A76</f>
        <v>1991</v>
      </c>
      <c r="B76" s="2">
        <f>'вместе-абс'!B76 / 'вместе-абс'!B$2 - 1</f>
        <v>2.9693089050054922</v>
      </c>
      <c r="C76" s="2">
        <f>'вместе-абс'!C76 / 'вместе-абс'!C$2 - 1</f>
        <v>2.4763536479738848</v>
      </c>
      <c r="D76" s="2">
        <f>'вместе-абс'!D76 / 'вместе-абс'!D$2 - 1</f>
        <v>4.8901014388081201</v>
      </c>
      <c r="E76" s="2">
        <f>'вместе-абс'!E76 / 'вместе-абс'!E$2 - 1</f>
        <v>6.4198795229272037</v>
      </c>
      <c r="F76" s="2">
        <f>'вместе-абс'!F76 / 'вместе-абс'!F$2 - 1</f>
        <v>2.5659125410484682</v>
      </c>
      <c r="G76" s="2">
        <f>'вместе-абс'!G76 / 'вместе-абс'!G$2 - 1</f>
        <v>4.8821309989978321</v>
      </c>
      <c r="H76" s="2">
        <f>'вместе-абс'!H76 / 'вместе-абс'!H$2 - 1</f>
        <v>6.2738446741729996</v>
      </c>
      <c r="I76" s="2">
        <f>'вместе-абс'!I76 / 'вместе-абс'!I$2 - 1</f>
        <v>7.94878345558352</v>
      </c>
      <c r="J76" s="2">
        <f>'вместе-абс'!J76 / 'вместе-абс'!J$2 - 1</f>
        <v>4.8618422147396725</v>
      </c>
      <c r="K76" s="2">
        <f>'вместе-абс'!K76 / 'вместе-абс'!K$2 - 1</f>
        <v>6.9507938577575397</v>
      </c>
      <c r="L76" s="2">
        <f>'вместе-абс'!L76 / 'вместе-абс'!L$2 - 1</f>
        <v>2.8993340668080303</v>
      </c>
      <c r="M76" s="2">
        <f>'вместе-абс'!M76 / 'вместе-абс'!M$2 - 1</f>
        <v>4.811966343749277</v>
      </c>
      <c r="N76" s="2">
        <f>'вместе-абс'!N76 / 'вместе-абс'!N$2 - 1</f>
        <v>6.0177397693615227</v>
      </c>
      <c r="O76" s="2">
        <f>'вместе-абс'!O76 / 'вместе-абс'!O$2 - 1</f>
        <v>4.9229857677794815</v>
      </c>
      <c r="P76" s="2">
        <f>'вместе-абс'!P76 / 'вместе-абс'!P$2 - 1</f>
        <v>5.3451634281551987</v>
      </c>
      <c r="Q76" s="2">
        <f>'вместе-абс'!Q76 / 'вместе-абс'!Q$2 - 1</f>
        <v>3.9407058837056885</v>
      </c>
      <c r="R76" s="2">
        <f>'вместе-абс'!R76 / 'вместе-абс'!R$2 - 1</f>
        <v>1.8694558105596699</v>
      </c>
      <c r="S76" s="2">
        <f>'вместе-абс'!S76 / 'вместе-абс'!S$2 - 1</f>
        <v>3.8205197930857295</v>
      </c>
      <c r="T76" s="2">
        <f>'вместе-абс'!T76 / 'вместе-абс'!T$2 - 1</f>
        <v>1.2745528879268653</v>
      </c>
      <c r="U76" s="2">
        <f>'вместе-абс'!U76 / 'вместе-абс'!U$2 - 1</f>
        <v>2.7779922014997633</v>
      </c>
      <c r="V76" s="2">
        <f>'вместе-абс'!V76 / 'вместе-абс'!V$2 - 1</f>
        <v>5.9467094703049765</v>
      </c>
      <c r="W76" s="2">
        <f>'вместе-абс'!W76 / 'вместе-абс'!W$2 - 1</f>
        <v>0.62938131868131886</v>
      </c>
    </row>
    <row r="77" spans="1:23" x14ac:dyDescent="0.25">
      <c r="A77" s="9">
        <f>'вместе-абс'!A77</f>
        <v>1992</v>
      </c>
      <c r="B77" s="2">
        <f>'вместе-абс'!B77 / 'вместе-абс'!B$2 - 1</f>
        <v>3.023791339537194</v>
      </c>
      <c r="C77" s="2">
        <f>'вместе-абс'!C77 / 'вместе-абс'!C$2 - 1</f>
        <v>2.5530029770223566</v>
      </c>
      <c r="D77" s="2">
        <f>'вместе-абс'!D77 / 'вместе-абс'!D$2 - 1</f>
        <v>4.9869514989120667</v>
      </c>
      <c r="E77" s="2">
        <f>'вместе-абс'!E77 / 'вместе-абс'!E$2 - 1</f>
        <v>6.5932957337020035</v>
      </c>
      <c r="F77" s="2">
        <f>'вместе-абс'!F77 / 'вместе-абс'!F$2 - 1</f>
        <v>2.6375437137095501</v>
      </c>
      <c r="G77" s="2">
        <f>'вместе-абс'!G77 / 'вместе-абс'!G$2 - 1</f>
        <v>5.0305433797703021</v>
      </c>
      <c r="H77" s="2">
        <f>'вместе-абс'!H77 / 'вместе-абс'!H$2 - 1</f>
        <v>6.4789000699872199</v>
      </c>
      <c r="I77" s="2">
        <f>'вместе-абс'!I77 / 'вместе-абс'!I$2 - 1</f>
        <v>8.1264567195166144</v>
      </c>
      <c r="J77" s="2">
        <f>'вместе-абс'!J77 / 'вместе-абс'!J$2 - 1</f>
        <v>4.9765243816459908</v>
      </c>
      <c r="K77" s="2">
        <f>'вместе-абс'!K77 / 'вместе-абс'!K$2 - 1</f>
        <v>7.1597344112012671</v>
      </c>
      <c r="L77" s="2">
        <f>'вместе-абс'!L77 / 'вместе-абс'!L$2 - 1</f>
        <v>2.9246553758303167</v>
      </c>
      <c r="M77" s="2">
        <f>'вместе-абс'!M77 / 'вместе-абс'!M$2 - 1</f>
        <v>4.9241347986938058</v>
      </c>
      <c r="N77" s="2">
        <f>'вместе-абс'!N77 / 'вместе-абс'!N$2 - 1</f>
        <v>6.1859793214980101</v>
      </c>
      <c r="O77" s="2">
        <f>'вместе-абс'!O77 / 'вместе-абс'!O$2 - 1</f>
        <v>5.0471944558388575</v>
      </c>
      <c r="P77" s="2">
        <f>'вместе-абс'!P77 / 'вместе-абс'!P$2 - 1</f>
        <v>5.5089483221336266</v>
      </c>
      <c r="Q77" s="2">
        <f>'вместе-абс'!Q77 / 'вместе-абс'!Q$2 - 1</f>
        <v>4.0400498586145197</v>
      </c>
      <c r="R77" s="2">
        <f>'вместе-абс'!R77 / 'вместе-абс'!R$2 - 1</f>
        <v>1.8951700617196852</v>
      </c>
      <c r="S77" s="2">
        <f>'вместе-абс'!S77 / 'вместе-абс'!S$2 - 1</f>
        <v>3.8994599357432129</v>
      </c>
      <c r="T77" s="2">
        <f>'вместе-абс'!T77 / 'вместе-абс'!T$2 - 1</f>
        <v>1.2893461897374245</v>
      </c>
      <c r="U77" s="2">
        <f>'вместе-абс'!U77 / 'вместе-абс'!U$2 - 1</f>
        <v>2.8437269620840198</v>
      </c>
      <c r="V77" s="2">
        <f>'вместе-абс'!V77 / 'вместе-абс'!V$2 - 1</f>
        <v>6.097612605234711</v>
      </c>
      <c r="W77" s="2">
        <f>'вместе-абс'!W77 / 'вместе-абс'!W$2 - 1</f>
        <v>0.63202967032967039</v>
      </c>
    </row>
    <row r="78" spans="1:23" x14ac:dyDescent="0.25">
      <c r="A78" s="9">
        <f>'вместе-абс'!A78</f>
        <v>1993</v>
      </c>
      <c r="B78" s="2">
        <f>'вместе-абс'!B78 / 'вместе-абс'!B$2 - 1</f>
        <v>3.0778226421984298</v>
      </c>
      <c r="C78" s="2">
        <f>'вместе-абс'!C78 / 'вместе-абс'!C$2 - 1</f>
        <v>2.6303409797307125</v>
      </c>
      <c r="D78" s="2">
        <f>'вместе-абс'!D78 / 'вместе-абс'!D$2 - 1</f>
        <v>5.0825529615028104</v>
      </c>
      <c r="E78" s="2">
        <f>'вместе-абс'!E78 / 'вместе-абс'!E$2 - 1</f>
        <v>6.7658540105662883</v>
      </c>
      <c r="F78" s="2">
        <f>'вместе-абс'!F78 / 'вместе-абс'!F$2 - 1</f>
        <v>2.7093886061814576</v>
      </c>
      <c r="G78" s="2">
        <f>'вместе-абс'!G78 / 'вместе-абс'!G$2 - 1</f>
        <v>5.1830969861329459</v>
      </c>
      <c r="H78" s="2">
        <f>'вместе-абс'!H78 / 'вместе-абс'!H$2 - 1</f>
        <v>6.6872115174059212</v>
      </c>
      <c r="I78" s="2">
        <f>'вместе-абс'!I78 / 'вместе-абс'!I$2 - 1</f>
        <v>8.3039463633425719</v>
      </c>
      <c r="J78" s="2">
        <f>'вместе-абс'!J78 / 'вместе-абс'!J$2 - 1</f>
        <v>5.09303209133249</v>
      </c>
      <c r="K78" s="2">
        <f>'вместе-абс'!K78 / 'вместе-абс'!K$2 - 1</f>
        <v>7.3718594224847784</v>
      </c>
      <c r="L78" s="2">
        <f>'вместе-абс'!L78 / 'вместе-абс'!L$2 - 1</f>
        <v>2.9465489747725355</v>
      </c>
      <c r="M78" s="2">
        <f>'вместе-абс'!M78 / 'вместе-абс'!M$2 - 1</f>
        <v>5.0367140889057396</v>
      </c>
      <c r="N78" s="2">
        <f>'вместе-абс'!N78 / 'вместе-абс'!N$2 - 1</f>
        <v>6.3557848761817288</v>
      </c>
      <c r="O78" s="2">
        <f>'вместе-абс'!O78 / 'вместе-абс'!O$2 - 1</f>
        <v>5.1738355510457676</v>
      </c>
      <c r="P78" s="2">
        <f>'вместе-абс'!P78 / 'вместе-абс'!P$2 - 1</f>
        <v>5.6727854581929016</v>
      </c>
      <c r="Q78" s="2">
        <f>'вместе-абс'!Q78 / 'вместе-абс'!Q$2 - 1</f>
        <v>4.1395720579481461</v>
      </c>
      <c r="R78" s="2">
        <f>'вместе-абс'!R78 / 'вместе-абс'!R$2 - 1</f>
        <v>1.9208794752818905</v>
      </c>
      <c r="S78" s="2">
        <f>'вместе-абс'!S78 / 'вместе-абс'!S$2 - 1</f>
        <v>3.9713687366628321</v>
      </c>
      <c r="T78" s="2">
        <f>'вместе-абс'!T78 / 'вместе-абс'!T$2 - 1</f>
        <v>1.3040340277217126</v>
      </c>
      <c r="U78" s="2">
        <f>'вместе-абс'!U78 / 'вместе-абс'!U$2 - 1</f>
        <v>2.9092652812711544</v>
      </c>
      <c r="V78" s="2">
        <f>'вместе-абс'!V78 / 'вместе-абс'!V$2 - 1</f>
        <v>6.2462449634749575</v>
      </c>
      <c r="W78" s="2">
        <f>'вместе-абс'!W78 / 'вместе-абс'!W$2 - 1</f>
        <v>0.63254615384615387</v>
      </c>
    </row>
    <row r="79" spans="1:23" x14ac:dyDescent="0.25">
      <c r="A79" s="9">
        <f>'вместе-абс'!A79</f>
        <v>1994</v>
      </c>
      <c r="B79" s="2">
        <f>'вместе-абс'!B79 / 'вместе-абс'!B$2 - 1</f>
        <v>3.1316404713657571</v>
      </c>
      <c r="C79" s="2">
        <f>'вместе-абс'!C79 / 'вместе-абс'!C$2 - 1</f>
        <v>2.707881591511518</v>
      </c>
      <c r="D79" s="2">
        <f>'вместе-абс'!D79 / 'вместе-абс'!D$2 - 1</f>
        <v>5.177256731752494</v>
      </c>
      <c r="E79" s="2">
        <f>'вместе-абс'!E79 / 'вместе-абс'!E$2 - 1</f>
        <v>6.9376430042486419</v>
      </c>
      <c r="F79" s="2">
        <f>'вместе-абс'!F79 / 'вместе-абс'!F$2 - 1</f>
        <v>2.7813556242595512</v>
      </c>
      <c r="G79" s="2">
        <f>'вместе-абс'!G79 / 'вместе-абс'!G$2 - 1</f>
        <v>5.339260317043574</v>
      </c>
      <c r="H79" s="2">
        <f>'вместе-абс'!H79 / 'вместе-абс'!H$2 - 1</f>
        <v>6.8976011129255959</v>
      </c>
      <c r="I79" s="2">
        <f>'вместе-абс'!I79 / 'вместе-абс'!I$2 - 1</f>
        <v>8.4807970091956957</v>
      </c>
      <c r="J79" s="2">
        <f>'вместе-абс'!J79 / 'вместе-абс'!J$2 - 1</f>
        <v>5.2102227593091381</v>
      </c>
      <c r="K79" s="2">
        <f>'вместе-абс'!K79 / 'вместе-абс'!K$2 - 1</f>
        <v>7.585862511659629</v>
      </c>
      <c r="L79" s="2">
        <f>'вместе-абс'!L79 / 'вместе-абс'!L$2 - 1</f>
        <v>2.9654223766259893</v>
      </c>
      <c r="M79" s="2">
        <f>'вместе-абс'!M79 / 'вместе-абс'!M$2 - 1</f>
        <v>5.1489327578118207</v>
      </c>
      <c r="N79" s="2">
        <f>'вместе-абс'!N79 / 'вместе-абс'!N$2 - 1</f>
        <v>6.523063021691117</v>
      </c>
      <c r="O79" s="2">
        <f>'вместе-абс'!O79 / 'вместе-абс'!O$2 - 1</f>
        <v>5.3022853592598187</v>
      </c>
      <c r="P79" s="2">
        <f>'вместе-абс'!P79 / 'вместе-абс'!P$2 - 1</f>
        <v>5.8363270533376719</v>
      </c>
      <c r="Q79" s="2">
        <f>'вместе-абс'!Q79 / 'вместе-абс'!Q$2 - 1</f>
        <v>4.2387110526562513</v>
      </c>
      <c r="R79" s="2">
        <f>'вместе-абс'!R79 / 'вместе-абс'!R$2 - 1</f>
        <v>1.9459753201885048</v>
      </c>
      <c r="S79" s="2">
        <f>'вместе-абс'!S79 / 'вместе-абс'!S$2 - 1</f>
        <v>4.0309797526669922</v>
      </c>
      <c r="T79" s="2">
        <f>'вместе-абс'!T79 / 'вместе-абс'!T$2 - 1</f>
        <v>1.3185102107167248</v>
      </c>
      <c r="U79" s="2">
        <f>'вместе-абс'!U79 / 'вместе-абс'!U$2 - 1</f>
        <v>2.9734790162080893</v>
      </c>
      <c r="V79" s="2">
        <f>'вместе-абс'!V79 / 'вместе-абс'!V$2 - 1</f>
        <v>6.3901798407966721</v>
      </c>
      <c r="W79" s="2">
        <f>'вместе-абс'!W79 / 'вместе-абс'!W$2 - 1</f>
        <v>0.63028461538461533</v>
      </c>
    </row>
    <row r="80" spans="1:23" x14ac:dyDescent="0.25">
      <c r="A80" s="9">
        <f>'вместе-абс'!A80</f>
        <v>1995</v>
      </c>
      <c r="B80" s="2">
        <f>'вместе-абс'!B80 / 'вместе-абс'!B$2 - 1</f>
        <v>3.1847939346229932</v>
      </c>
      <c r="C80" s="2">
        <f>'вместе-абс'!C80 / 'вместе-абс'!C$2 - 1</f>
        <v>2.7850909300643765</v>
      </c>
      <c r="D80" s="2">
        <f>'вместе-абс'!D80 / 'вместе-абс'!D$2 - 1</f>
        <v>5.2727046054908282</v>
      </c>
      <c r="E80" s="2">
        <f>'вместе-абс'!E80 / 'вместе-абс'!E$2 - 1</f>
        <v>7.1089891106133969</v>
      </c>
      <c r="F80" s="2">
        <f>'вместе-абс'!F80 / 'вместе-абс'!F$2 - 1</f>
        <v>2.8537535855627514</v>
      </c>
      <c r="G80" s="2">
        <f>'вместе-абс'!G80 / 'вместе-абс'!G$2 - 1</f>
        <v>5.4986293036375802</v>
      </c>
      <c r="H80" s="2">
        <f>'вместе-абс'!H80 / 'вместе-абс'!H$2 - 1</f>
        <v>7.10903550742165</v>
      </c>
      <c r="I80" s="2">
        <f>'вместе-абс'!I80 / 'вместе-абс'!I$2 - 1</f>
        <v>8.6558163505136463</v>
      </c>
      <c r="J80" s="2">
        <f>'вместе-абс'!J80 / 'вместе-абс'!J$2 - 1</f>
        <v>5.3269630846943601</v>
      </c>
      <c r="K80" s="2">
        <f>'вместе-абс'!K80 / 'вместе-абс'!K$2 - 1</f>
        <v>7.8006930583833984</v>
      </c>
      <c r="L80" s="2">
        <f>'вместе-абс'!L80 / 'вместе-абс'!L$2 - 1</f>
        <v>2.9820131945111359</v>
      </c>
      <c r="M80" s="2">
        <f>'вместе-абс'!M80 / 'вместе-абс'!M$2 - 1</f>
        <v>5.2600161247183097</v>
      </c>
      <c r="N80" s="2">
        <f>'вместе-абс'!N80 / 'вместе-абс'!N$2 - 1</f>
        <v>6.6833123266535939</v>
      </c>
      <c r="O80" s="2">
        <f>'вместе-абс'!O80 / 'вместе-абс'!O$2 - 1</f>
        <v>5.4322896051776208</v>
      </c>
      <c r="P80" s="2">
        <f>'вместе-абс'!P80 / 'вместе-абс'!P$2 - 1</f>
        <v>5.9995268360106158</v>
      </c>
      <c r="Q80" s="2">
        <f>'вместе-абс'!Q80 / 'вместе-абс'!Q$2 - 1</f>
        <v>4.3373819318466262</v>
      </c>
      <c r="R80" s="2">
        <f>'вместе-абс'!R80 / 'вместе-абс'!R$2 - 1</f>
        <v>1.9698512841806517</v>
      </c>
      <c r="S80" s="2">
        <f>'вместе-абс'!S80 / 'вместе-абс'!S$2 - 1</f>
        <v>4.0811473694712284</v>
      </c>
      <c r="T80" s="2">
        <f>'вместе-абс'!T80 / 'вместе-абс'!T$2 - 1</f>
        <v>1.3325223528761443</v>
      </c>
      <c r="U80" s="2">
        <f>'вместе-абс'!U80 / 'вместе-абс'!U$2 - 1</f>
        <v>3.0352528597012194</v>
      </c>
      <c r="V80" s="2">
        <f>'вместе-абс'!V80 / 'вместе-абс'!V$2 - 1</f>
        <v>6.5301064631309993</v>
      </c>
      <c r="W80" s="2">
        <f>'вместе-абс'!W80 / 'вместе-абс'!W$2 - 1</f>
        <v>0.63142747252747244</v>
      </c>
    </row>
    <row r="81" spans="1:23" x14ac:dyDescent="0.25">
      <c r="A81" s="9">
        <f>'вместе-абс'!A81</f>
        <v>1996</v>
      </c>
      <c r="B81" s="2">
        <f>'вместе-абс'!B81 / 'вместе-абс'!B$2 - 1</f>
        <v>3.237000236461105</v>
      </c>
      <c r="C81" s="2">
        <f>'вместе-абс'!C81 / 'вместе-абс'!C$2 - 1</f>
        <v>2.8620153342039116</v>
      </c>
      <c r="D81" s="2">
        <f>'вместе-абс'!D81 / 'вместе-абс'!D$2 - 1</f>
        <v>5.3692878039945739</v>
      </c>
      <c r="E81" s="2">
        <f>'вместе-абс'!E81 / 'вместе-абс'!E$2 - 1</f>
        <v>7.2801549849183864</v>
      </c>
      <c r="F81" s="2">
        <f>'вместе-абс'!F81 / 'вместе-абс'!F$2 - 1</f>
        <v>2.9270644858236698</v>
      </c>
      <c r="G81" s="2">
        <f>'вместе-абс'!G81 / 'вместе-абс'!G$2 - 1</f>
        <v>5.6594506328384391</v>
      </c>
      <c r="H81" s="2">
        <f>'вместе-абс'!H81 / 'вместе-абс'!H$2 - 1</f>
        <v>7.3205557758061772</v>
      </c>
      <c r="I81" s="2">
        <f>'вместе-абс'!I81 / 'вместе-абс'!I$2 - 1</f>
        <v>8.8280973039671746</v>
      </c>
      <c r="J81" s="2">
        <f>'вместе-абс'!J81 / 'вместе-абс'!J$2 - 1</f>
        <v>5.4424890089958167</v>
      </c>
      <c r="K81" s="2">
        <f>'вместе-абс'!K81 / 'вместе-абс'!K$2 - 1</f>
        <v>8.0183871097158566</v>
      </c>
      <c r="L81" s="2">
        <f>'вместе-абс'!L81 / 'вместе-абс'!L$2 - 1</f>
        <v>2.9970725522838073</v>
      </c>
      <c r="M81" s="2">
        <f>'вместе-абс'!M81 / 'вместе-абс'!M$2 - 1</f>
        <v>5.3702967542230322</v>
      </c>
      <c r="N81" s="2">
        <f>'вместе-абс'!N81 / 'вместе-абс'!N$2 - 1</f>
        <v>6.8333446213263764</v>
      </c>
      <c r="O81" s="2">
        <f>'вместе-абс'!O81 / 'вместе-абс'!O$2 - 1</f>
        <v>5.5640234029232074</v>
      </c>
      <c r="P81" s="2">
        <f>'вместе-абс'!P81 / 'вместе-абс'!P$2 - 1</f>
        <v>6.1620116484913989</v>
      </c>
      <c r="Q81" s="2">
        <f>'вместе-абс'!Q81 / 'вместе-абс'!Q$2 - 1</f>
        <v>4.4353412400705121</v>
      </c>
      <c r="R81" s="2">
        <f>'вместе-абс'!R81 / 'вместе-абс'!R$2 - 1</f>
        <v>1.9927702100726847</v>
      </c>
      <c r="S81" s="2">
        <f>'вместе-абс'!S81 / 'вместе-абс'!S$2 - 1</f>
        <v>4.1234713850701414</v>
      </c>
      <c r="T81" s="2">
        <f>'вместе-абс'!T81 / 'вместе-абс'!T$2 - 1</f>
        <v>1.3470967263300992</v>
      </c>
      <c r="U81" s="2">
        <f>'вместе-абс'!U81 / 'вместе-абс'!U$2 - 1</f>
        <v>3.0943758604774976</v>
      </c>
      <c r="V81" s="2">
        <f>'вместе-абс'!V81 / 'вместе-абс'!V$2 - 1</f>
        <v>6.66678153765519</v>
      </c>
      <c r="W81" s="2">
        <f>'вместе-абс'!W81 / 'вместе-абс'!W$2 - 1</f>
        <v>0.62957802197802204</v>
      </c>
    </row>
    <row r="82" spans="1:23" x14ac:dyDescent="0.25">
      <c r="A82" s="9">
        <f>'вместе-абс'!A82</f>
        <v>1997</v>
      </c>
      <c r="B82" s="2">
        <f>'вместе-абс'!B82 / 'вместе-абс'!B$2 - 1</f>
        <v>3.2885088882436921</v>
      </c>
      <c r="C82" s="2">
        <f>'вместе-абс'!C82 / 'вместе-абс'!C$2 - 1</f>
        <v>2.9389318508856381</v>
      </c>
      <c r="D82" s="2">
        <f>'вместе-абс'!D82 / 'вместе-абс'!D$2 - 1</f>
        <v>5.4664401573522055</v>
      </c>
      <c r="E82" s="2">
        <f>'вместе-абс'!E82 / 'вместе-абс'!E$2 - 1</f>
        <v>7.4513146316928562</v>
      </c>
      <c r="F82" s="2">
        <f>'вместе-абс'!F82 / 'вместе-абс'!F$2 - 1</f>
        <v>3.0010680985393474</v>
      </c>
      <c r="G82" s="2">
        <f>'вместе-абс'!G82 / 'вместе-абс'!G$2 - 1</f>
        <v>5.8227014981285405</v>
      </c>
      <c r="H82" s="2">
        <f>'вместе-абс'!H82 / 'вместе-абс'!H$2 - 1</f>
        <v>7.5323465469393849</v>
      </c>
      <c r="I82" s="2">
        <f>'вместе-абс'!I82 / 'вместе-абс'!I$2 - 1</f>
        <v>8.9969445614172532</v>
      </c>
      <c r="J82" s="2">
        <f>'вместе-абс'!J82 / 'вместе-абс'!J$2 - 1</f>
        <v>5.5584908496025651</v>
      </c>
      <c r="K82" s="2">
        <f>'вместе-абс'!K82 / 'вместе-абс'!K$2 - 1</f>
        <v>8.2384883102815358</v>
      </c>
      <c r="L82" s="2">
        <f>'вместе-абс'!L82 / 'вместе-абс'!L$2 - 1</f>
        <v>3.011294974773266</v>
      </c>
      <c r="M82" s="2">
        <f>'вместе-абс'!M82 / 'вместе-абс'!M$2 - 1</f>
        <v>5.4800417681378555</v>
      </c>
      <c r="N82" s="2">
        <f>'вместе-абс'!N82 / 'вместе-абс'!N$2 - 1</f>
        <v>6.9750562885409249</v>
      </c>
      <c r="O82" s="2">
        <f>'вместе-абс'!O82 / 'вместе-абс'!O$2 - 1</f>
        <v>5.6982639713484504</v>
      </c>
      <c r="P82" s="2">
        <f>'вместе-абс'!P82 / 'вместе-абс'!P$2 - 1</f>
        <v>6.3237934318270703</v>
      </c>
      <c r="Q82" s="2">
        <f>'вместе-абс'!Q82 / 'вместе-абс'!Q$2 - 1</f>
        <v>4.5332483634752254</v>
      </c>
      <c r="R82" s="2">
        <f>'вместе-абс'!R82 / 'вместе-абс'!R$2 - 1</f>
        <v>2.0151997323195876</v>
      </c>
      <c r="S82" s="2">
        <f>'вместе-абс'!S82 / 'вместе-абс'!S$2 - 1</f>
        <v>4.1616934903583918</v>
      </c>
      <c r="T82" s="2">
        <f>'вместе-абс'!T82 / 'вместе-абс'!T$2 - 1</f>
        <v>1.3623984365169592</v>
      </c>
      <c r="U82" s="2">
        <f>'вместе-абс'!U82 / 'вместе-абс'!U$2 - 1</f>
        <v>3.1512498304855843</v>
      </c>
      <c r="V82" s="2">
        <f>'вместе-абс'!V82 / 'вместе-абс'!V$2 - 1</f>
        <v>6.8006610541487875</v>
      </c>
      <c r="W82" s="2">
        <f>'вместе-абс'!W82 / 'вместе-абс'!W$2 - 1</f>
        <v>0.62668791208791208</v>
      </c>
    </row>
    <row r="83" spans="1:23" x14ac:dyDescent="0.25">
      <c r="A83" s="9">
        <f>'вместе-абс'!A83</f>
        <v>1998</v>
      </c>
      <c r="B83" s="2">
        <f>'вместе-абс'!B83 / 'вместе-абс'!B$2 - 1</f>
        <v>3.3390596031643875</v>
      </c>
      <c r="C83" s="2">
        <f>'вместе-абс'!C83 / 'вместе-абс'!C$2 - 1</f>
        <v>3.0159109742637185</v>
      </c>
      <c r="D83" s="2">
        <f>'вместе-абс'!D83 / 'вместе-абс'!D$2 - 1</f>
        <v>5.5644226348101729</v>
      </c>
      <c r="E83" s="2">
        <f>'вместе-абс'!E83 / 'вместе-абс'!E$2 - 1</f>
        <v>7.6223321442413301</v>
      </c>
      <c r="F83" s="2">
        <f>'вместе-абс'!F83 / 'вместе-абс'!F$2 - 1</f>
        <v>3.0754045535833603</v>
      </c>
      <c r="G83" s="2">
        <f>'вместе-абс'!G83 / 'вместе-абс'!G$2 - 1</f>
        <v>5.9901518620146446</v>
      </c>
      <c r="H83" s="2">
        <f>'вместе-абс'!H83 / 'вместе-абс'!H$2 - 1</f>
        <v>7.7399681407873775</v>
      </c>
      <c r="I83" s="2">
        <f>'вместе-абс'!I83 / 'вместе-абс'!I$2 - 1</f>
        <v>9.1621341063331787</v>
      </c>
      <c r="J83" s="2">
        <f>'вместе-абс'!J83 / 'вместе-абс'!J$2 - 1</f>
        <v>5.6757904686067766</v>
      </c>
      <c r="K83" s="2">
        <f>'вместе-абс'!K83 / 'вместе-абс'!K$2 - 1</f>
        <v>8.4560344222340351</v>
      </c>
      <c r="L83" s="2">
        <f>'вместе-абс'!L83 / 'вместе-абс'!L$2 - 1</f>
        <v>3.0249736814526447</v>
      </c>
      <c r="M83" s="2">
        <f>'вместе-абс'!M83 / 'вместе-абс'!M$2 - 1</f>
        <v>5.5884504870102587</v>
      </c>
      <c r="N83" s="2">
        <f>'вместе-абс'!N83 / 'вместе-абс'!N$2 - 1</f>
        <v>7.109644956827557</v>
      </c>
      <c r="O83" s="2">
        <f>'вместе-абс'!O83 / 'вместе-абс'!O$2 - 1</f>
        <v>5.8341957104236091</v>
      </c>
      <c r="P83" s="2">
        <f>'вместе-абс'!P83 / 'вместе-абс'!P$2 - 1</f>
        <v>6.4846020198281087</v>
      </c>
      <c r="Q83" s="2">
        <f>'вместе-абс'!Q83 / 'вместе-абс'!Q$2 - 1</f>
        <v>4.6307402195477261</v>
      </c>
      <c r="R83" s="2">
        <f>'вместе-абс'!R83 / 'вместе-абс'!R$2 - 1</f>
        <v>2.0368342759930176</v>
      </c>
      <c r="S83" s="2">
        <f>'вместе-абс'!S83 / 'вместе-абс'!S$2 - 1</f>
        <v>4.1962312926491405</v>
      </c>
      <c r="T83" s="2">
        <f>'вместе-абс'!T83 / 'вместе-абс'!T$2 - 1</f>
        <v>1.3766324163799144</v>
      </c>
      <c r="U83" s="2">
        <f>'вместе-абс'!U83 / 'вместе-абс'!U$2 - 1</f>
        <v>3.2067319685492857</v>
      </c>
      <c r="V83" s="2">
        <f>'вместе-абс'!V83 / 'вместе-абс'!V$2 - 1</f>
        <v>6.9320739017918562</v>
      </c>
      <c r="W83" s="2">
        <f>'вместе-абс'!W83 / 'вместе-абс'!W$2 - 1</f>
        <v>0.62419890109890108</v>
      </c>
    </row>
    <row r="84" spans="1:23" x14ac:dyDescent="0.25">
      <c r="A84" s="9">
        <f>'вместе-абс'!A84</f>
        <v>1999</v>
      </c>
      <c r="B84" s="2">
        <f>'вместе-абс'!B84 / 'вместе-абс'!B$2 - 1</f>
        <v>3.3886735729272983</v>
      </c>
      <c r="C84" s="2">
        <f>'вместе-абс'!C84 / 'вместе-абс'!C$2 - 1</f>
        <v>3.0933909512126219</v>
      </c>
      <c r="D84" s="2">
        <f>'вместе-абс'!D84 / 'вместе-абс'!D$2 - 1</f>
        <v>5.6615189720416739</v>
      </c>
      <c r="E84" s="2">
        <f>'вместе-абс'!E84 / 'вместе-абс'!E$2 - 1</f>
        <v>7.7925213952305921</v>
      </c>
      <c r="F84" s="2">
        <f>'вместе-абс'!F84 / 'вместе-абс'!F$2 - 1</f>
        <v>3.1499151877706222</v>
      </c>
      <c r="G84" s="2">
        <f>'вместе-абс'!G84 / 'вместе-абс'!G$2 - 1</f>
        <v>6.1611389491007698</v>
      </c>
      <c r="H84" s="2">
        <f>'вместе-абс'!H84 / 'вместе-абс'!H$2 - 1</f>
        <v>7.9500757837065752</v>
      </c>
      <c r="I84" s="2">
        <f>'вместе-абс'!I84 / 'вместе-абс'!I$2 - 1</f>
        <v>9.3269294800857878</v>
      </c>
      <c r="J84" s="2">
        <f>'вместе-абс'!J84 / 'вместе-абс'!J$2 - 1</f>
        <v>5.7922845156242255</v>
      </c>
      <c r="K84" s="2">
        <f>'вместе-абс'!K84 / 'вместе-абс'!K$2 - 1</f>
        <v>8.6664368173475221</v>
      </c>
      <c r="L84" s="2">
        <f>'вместе-абс'!L84 / 'вместе-абс'!L$2 - 1</f>
        <v>3.0380739825959822</v>
      </c>
      <c r="M84" s="2">
        <f>'вместе-абс'!M84 / 'вместе-абс'!M$2 - 1</f>
        <v>5.6945094394358913</v>
      </c>
      <c r="N84" s="2">
        <f>'вместе-абс'!N84 / 'вместе-абс'!N$2 - 1</f>
        <v>7.2380538618977361</v>
      </c>
      <c r="O84" s="2">
        <f>'вместе-абс'!O84 / 'вместе-абс'!O$2 - 1</f>
        <v>5.9712453013042408</v>
      </c>
      <c r="P84" s="2">
        <f>'вместе-абс'!P84 / 'вместе-абс'!P$2 - 1</f>
        <v>6.6436478107582859</v>
      </c>
      <c r="Q84" s="2">
        <f>'вместе-абс'!Q84 / 'вместе-абс'!Q$2 - 1</f>
        <v>4.725552517829076</v>
      </c>
      <c r="R84" s="2">
        <f>'вместе-абс'!R84 / 'вместе-абс'!R$2 - 1</f>
        <v>2.057369878697235</v>
      </c>
      <c r="S84" s="2">
        <f>'вместе-абс'!S84 / 'вместе-абс'!S$2 - 1</f>
        <v>4.2271492429653472</v>
      </c>
      <c r="T84" s="2">
        <f>'вместе-абс'!T84 / 'вместе-абс'!T$2 - 1</f>
        <v>1.3882938062185834</v>
      </c>
      <c r="U84" s="2">
        <f>'вместе-абс'!U84 / 'вместе-абс'!U$2 - 1</f>
        <v>3.2608298086426402</v>
      </c>
      <c r="V84" s="2">
        <f>'вместе-абс'!V84 / 'вместе-абс'!V$2 - 1</f>
        <v>7.0610567694172381</v>
      </c>
      <c r="W84" s="2">
        <f>'вместе-абс'!W84 / 'вместе-абс'!W$2 - 1</f>
        <v>0.62131208791208792</v>
      </c>
    </row>
    <row r="85" spans="1:23" x14ac:dyDescent="0.25">
      <c r="A85" s="9">
        <f>'вместе-абс'!A85</f>
        <v>2000</v>
      </c>
      <c r="B85" s="2">
        <f>'вместе-абс'!B85 / 'вместе-абс'!B$2 - 1</f>
        <v>3.437084644096104</v>
      </c>
      <c r="C85" s="2">
        <f>'вместе-абс'!C85 / 'вместе-абс'!C$2 - 1</f>
        <v>3.1712199481695427</v>
      </c>
      <c r="D85" s="2">
        <f>'вместе-абс'!D85 / 'вместе-абс'!D$2 - 1</f>
        <v>5.7553579230817569</v>
      </c>
      <c r="E85" s="2">
        <f>'вместе-абс'!E85 / 'вместе-абс'!E$2 - 1</f>
        <v>7.9618201093554362</v>
      </c>
      <c r="F85" s="2">
        <f>'вместе-абс'!F85 / 'вместе-абс'!F$2 - 1</f>
        <v>3.2246910947909919</v>
      </c>
      <c r="G85" s="2">
        <f>'вместе-абс'!G85 / 'вместе-абс'!G$2 - 1</f>
        <v>6.3325979834978527</v>
      </c>
      <c r="H85" s="2">
        <f>'вместе-абс'!H85 / 'вместе-абс'!H$2 - 1</f>
        <v>8.1694678252008384</v>
      </c>
      <c r="I85" s="2">
        <f>'вместе-абс'!I85 / 'вместе-абс'!I$2 - 1</f>
        <v>9.4935549342395191</v>
      </c>
      <c r="J85" s="2">
        <f>'вместе-абс'!J85 / 'вместе-абс'!J$2 - 1</f>
        <v>5.9060274616144692</v>
      </c>
      <c r="K85" s="2">
        <f>'вместе-абс'!K85 / 'вместе-абс'!K$2 - 1</f>
        <v>8.8629780447930351</v>
      </c>
      <c r="L85" s="2">
        <f>'вместе-абс'!L85 / 'вместе-абс'!L$2 - 1</f>
        <v>3.0503603532217438</v>
      </c>
      <c r="M85" s="2">
        <f>'вместе-абс'!M85 / 'вместе-абс'!M$2 - 1</f>
        <v>5.7965845451167297</v>
      </c>
      <c r="N85" s="2">
        <f>'вместе-абс'!N85 / 'вместе-абс'!N$2 - 1</f>
        <v>7.3615599235500024</v>
      </c>
      <c r="O85" s="2">
        <f>'вместе-абс'!O85 / 'вместе-абс'!O$2 - 1</f>
        <v>6.1088442227931425</v>
      </c>
      <c r="P85" s="2">
        <f>'вместе-абс'!P85 / 'вместе-абс'!P$2 - 1</f>
        <v>6.7989485908071847</v>
      </c>
      <c r="Q85" s="2">
        <f>'вместе-абс'!Q85 / 'вместе-абс'!Q$2 - 1</f>
        <v>4.8149451130685819</v>
      </c>
      <c r="R85" s="2">
        <f>'вместе-абс'!R85 / 'вместе-абс'!R$2 - 1</f>
        <v>2.0765017717701979</v>
      </c>
      <c r="S85" s="2">
        <f>'вместе-абс'!S85 / 'вместе-абс'!S$2 - 1</f>
        <v>4.2542901867578751</v>
      </c>
      <c r="T85" s="2">
        <f>'вместе-абс'!T85 / 'вместе-абс'!T$2 - 1</f>
        <v>1.3955497174660461</v>
      </c>
      <c r="U85" s="2">
        <f>'вместе-абс'!U85 / 'вместе-абс'!U$2 - 1</f>
        <v>3.3132146462687571</v>
      </c>
      <c r="V85" s="2">
        <f>'вместе-абс'!V85 / 'вместе-абс'!V$2 - 1</f>
        <v>7.1875775542961975</v>
      </c>
      <c r="W85" s="2">
        <f>'вместе-абс'!W85 / 'вместе-абс'!W$2 - 1</f>
        <v>0.61417692307692318</v>
      </c>
    </row>
    <row r="86" spans="1:23" x14ac:dyDescent="0.25">
      <c r="A86" s="9">
        <f>'вместе-абс'!A86</f>
        <v>2001</v>
      </c>
      <c r="B86" s="2">
        <f>'вместе-абс'!B86 / 'вместе-абс'!B$2 - 1</f>
        <v>3.483741473182616</v>
      </c>
      <c r="C86" s="2">
        <f>'вместе-абс'!C86 / 'вместе-абс'!C$2 - 1</f>
        <v>3.2495414182733668</v>
      </c>
      <c r="D86" s="2">
        <f>'вместе-абс'!D86 / 'вместе-абс'!D$2 - 1</f>
        <v>5.8468146575245763</v>
      </c>
      <c r="E86" s="2">
        <f>'вместе-абс'!E86 / 'вместе-абс'!E$2 - 1</f>
        <v>8.1507699792000494</v>
      </c>
      <c r="F86" s="2">
        <f>'вместе-абс'!F86 / 'вместе-абс'!F$2 - 1</f>
        <v>3.2988678856203606</v>
      </c>
      <c r="G86" s="2">
        <f>'вместе-абс'!G86 / 'вместе-абс'!G$2 - 1</f>
        <v>6.5074746336324889</v>
      </c>
      <c r="H86" s="2">
        <f>'вместе-абс'!H86 / 'вместе-абс'!H$2 - 1</f>
        <v>8.3918124972269901</v>
      </c>
      <c r="I86" s="2">
        <f>'вместе-абс'!I86 / 'вместе-абс'!I$2 - 1</f>
        <v>9.6596882865061247</v>
      </c>
      <c r="J86" s="2">
        <f>'вместе-абс'!J86 / 'вместе-абс'!J$2 - 1</f>
        <v>6.0180599465369244</v>
      </c>
      <c r="K86" s="2">
        <f>'вместе-абс'!K86 / 'вместе-абс'!K$2 - 1</f>
        <v>9.0443843214346611</v>
      </c>
      <c r="L86" s="2">
        <f>'вместе-абс'!L86 / 'вместе-абс'!L$2 - 1</f>
        <v>3.0620884018370216</v>
      </c>
      <c r="M86" s="2">
        <f>'вместе-абс'!M86 / 'вместе-абс'!M$2 - 1</f>
        <v>5.8939454378660869</v>
      </c>
      <c r="N86" s="2">
        <f>'вместе-абс'!N86 / 'вместе-абс'!N$2 - 1</f>
        <v>7.4780057585283526</v>
      </c>
      <c r="O86" s="2">
        <f>'вместе-абс'!O86 / 'вместе-абс'!O$2 - 1</f>
        <v>6.246838950178832</v>
      </c>
      <c r="P86" s="2">
        <f>'вместе-абс'!P86 / 'вместе-абс'!P$2 - 1</f>
        <v>6.9462891703659047</v>
      </c>
      <c r="Q86" s="2">
        <f>'вместе-абс'!Q86 / 'вместе-абс'!Q$2 - 1</f>
        <v>4.8979315795106482</v>
      </c>
      <c r="R86" s="2">
        <f>'вместе-абс'!R86 / 'вместе-абс'!R$2 - 1</f>
        <v>2.0943815332766258</v>
      </c>
      <c r="S86" s="2">
        <f>'вместе-абс'!S86 / 'вместе-абс'!S$2 - 1</f>
        <v>4.2769619376979326</v>
      </c>
      <c r="T86" s="2">
        <f>'вместе-абс'!T86 / 'вместе-абс'!T$2 - 1</f>
        <v>1.3989551080495088</v>
      </c>
      <c r="U86" s="2">
        <f>'вместе-абс'!U86 / 'вместе-абс'!U$2 - 1</f>
        <v>3.364194258218868</v>
      </c>
      <c r="V86" s="2">
        <f>'вместе-абс'!V86 / 'вместе-абс'!V$2 - 1</f>
        <v>7.3127225079437874</v>
      </c>
      <c r="W86" s="2">
        <f>'вместе-абс'!W86 / 'вместе-абс'!W$2 - 1</f>
        <v>0.60773186813186819</v>
      </c>
    </row>
    <row r="87" spans="1:23" x14ac:dyDescent="0.25">
      <c r="A87" s="9">
        <f>'вместе-абс'!A87</f>
        <v>2002</v>
      </c>
      <c r="B87" s="2">
        <f>'вместе-абс'!B87 / 'вместе-абс'!B$2 - 1</f>
        <v>3.5290513719233862</v>
      </c>
      <c r="C87" s="2">
        <f>'вместе-абс'!C87 / 'вместе-абс'!C$2 - 1</f>
        <v>3.3286762824636664</v>
      </c>
      <c r="D87" s="2">
        <f>'вместе-абс'!D87 / 'вместе-абс'!D$2 - 1</f>
        <v>5.9366110274702697</v>
      </c>
      <c r="E87" s="2">
        <f>'вместе-абс'!E87 / 'вместе-абс'!E$2 - 1</f>
        <v>8.3177410622115655</v>
      </c>
      <c r="F87" s="2">
        <f>'вместе-абс'!F87 / 'вместе-абс'!F$2 - 1</f>
        <v>3.3721552616866441</v>
      </c>
      <c r="G87" s="2">
        <f>'вместе-абс'!G87 / 'вместе-абс'!G$2 - 1</f>
        <v>6.688300893626149</v>
      </c>
      <c r="H87" s="2">
        <f>'вместе-абс'!H87 / 'вместе-абс'!H$2 - 1</f>
        <v>8.6148327105091038</v>
      </c>
      <c r="I87" s="2">
        <f>'вместе-абс'!I87 / 'вместе-абс'!I$2 - 1</f>
        <v>9.8235435253101961</v>
      </c>
      <c r="J87" s="2">
        <f>'вместе-абс'!J87 / 'вместе-абс'!J$2 - 1</f>
        <v>6.1295692212996808</v>
      </c>
      <c r="K87" s="2">
        <f>'вместе-абс'!K87 / 'вместе-абс'!K$2 - 1</f>
        <v>9.2143365796415342</v>
      </c>
      <c r="L87" s="2">
        <f>'вместе-абс'!L87 / 'вместе-абс'!L$2 - 1</f>
        <v>3.0734359589317464</v>
      </c>
      <c r="M87" s="2">
        <f>'вместе-абс'!M87 / 'вместе-абс'!M$2 - 1</f>
        <v>5.9879254629991356</v>
      </c>
      <c r="N87" s="2">
        <f>'вместе-абс'!N87 / 'вместе-абс'!N$2 - 1</f>
        <v>7.5882586150788853</v>
      </c>
      <c r="O87" s="2">
        <f>'вместе-абс'!O87 / 'вместе-абс'!O$2 - 1</f>
        <v>6.3858555764253211</v>
      </c>
      <c r="P87" s="2">
        <f>'вместе-абс'!P87 / 'вместе-абс'!P$2 - 1</f>
        <v>7.0839604870753092</v>
      </c>
      <c r="Q87" s="2">
        <f>'вместе-абс'!Q87 / 'вместе-абс'!Q$2 - 1</f>
        <v>4.9751617950516414</v>
      </c>
      <c r="R87" s="2">
        <f>'вместе-абс'!R87 / 'вместе-абс'!R$2 - 1</f>
        <v>2.11136150159036</v>
      </c>
      <c r="S87" s="2">
        <f>'вместе-абс'!S87 / 'вместе-абс'!S$2 - 1</f>
        <v>4.295018818815814</v>
      </c>
      <c r="T87" s="2">
        <f>'вместе-абс'!T87 / 'вместе-абс'!T$2 - 1</f>
        <v>1.4008840050651732</v>
      </c>
      <c r="U87" s="2">
        <f>'вместе-абс'!U87 / 'вместе-абс'!U$2 - 1</f>
        <v>3.4134538917998549</v>
      </c>
      <c r="V87" s="2">
        <f>'вместе-абс'!V87 / 'вместе-абс'!V$2 - 1</f>
        <v>7.4375929505028342</v>
      </c>
      <c r="W87" s="2">
        <f>'вместе-абс'!W87 / 'вместе-абс'!W$2 - 1</f>
        <v>0.60054175824175804</v>
      </c>
    </row>
    <row r="88" spans="1:23" x14ac:dyDescent="0.25">
      <c r="A88" s="9">
        <f>'вместе-абс'!A88</f>
        <v>2003</v>
      </c>
      <c r="B88" s="2">
        <f>'вместе-абс'!B88 / 'вместе-абс'!B$2 - 1</f>
        <v>3.5732100941953284</v>
      </c>
      <c r="C88" s="2">
        <f>'вместе-абс'!C88 / 'вместе-абс'!C$2 - 1</f>
        <v>3.40866299209726</v>
      </c>
      <c r="D88" s="2">
        <f>'вместе-абс'!D88 / 'вместе-абс'!D$2 - 1</f>
        <v>6.0237542488425495</v>
      </c>
      <c r="E88" s="2">
        <f>'вместе-абс'!E88 / 'вместе-абс'!E$2 - 1</f>
        <v>8.4851517356127566</v>
      </c>
      <c r="F88" s="2">
        <f>'вместе-абс'!F88 / 'вместе-абс'!F$2 - 1</f>
        <v>3.4455437417383772</v>
      </c>
      <c r="G88" s="2">
        <f>'вместе-абс'!G88 / 'вместе-абс'!G$2 - 1</f>
        <v>6.8728655910707825</v>
      </c>
      <c r="H88" s="2">
        <f>'вместе-абс'!H88 / 'вместе-абс'!H$2 - 1</f>
        <v>8.838192125650675</v>
      </c>
      <c r="I88" s="2">
        <f>'вместе-абс'!I88 / 'вместе-абс'!I$2 - 1</f>
        <v>9.9852650984693412</v>
      </c>
      <c r="J88" s="2">
        <f>'вместе-абс'!J88 / 'вместе-абс'!J$2 - 1</f>
        <v>6.2406990942526228</v>
      </c>
      <c r="K88" s="2">
        <f>'вместе-абс'!K88 / 'вместе-абс'!K$2 - 1</f>
        <v>9.375482683570203</v>
      </c>
      <c r="L88" s="2">
        <f>'вместе-абс'!L88 / 'вместе-абс'!L$2 - 1</f>
        <v>3.0839505974483696</v>
      </c>
      <c r="M88" s="2">
        <f>'вместе-абс'!M88 / 'вместе-абс'!M$2 - 1</f>
        <v>6.0797867607872034</v>
      </c>
      <c r="N88" s="2">
        <f>'вместе-абс'!N88 / 'вместе-абс'!N$2 - 1</f>
        <v>7.6956569859737058</v>
      </c>
      <c r="O88" s="2">
        <f>'вместе-абс'!O88 / 'вместе-абс'!O$2 - 1</f>
        <v>6.5257525709392121</v>
      </c>
      <c r="P88" s="2">
        <f>'вместе-абс'!P88 / 'вместе-абс'!P$2 - 1</f>
        <v>7.2154060403786513</v>
      </c>
      <c r="Q88" s="2">
        <f>'вместе-абс'!Q88 / 'вместе-абс'!Q$2 - 1</f>
        <v>5.0479930072342309</v>
      </c>
      <c r="R88" s="2">
        <f>'вместе-абс'!R88 / 'вместе-абс'!R$2 - 1</f>
        <v>2.1274344203146853</v>
      </c>
      <c r="S88" s="2">
        <f>'вместе-абс'!S88 / 'вместе-абс'!S$2 - 1</f>
        <v>4.3093419550555643</v>
      </c>
      <c r="T88" s="2">
        <f>'вместе-абс'!T88 / 'вместе-абс'!T$2 - 1</f>
        <v>1.4019044585014391</v>
      </c>
      <c r="U88" s="2">
        <f>'вместе-абс'!U88 / 'вместе-абс'!U$2 - 1</f>
        <v>3.4611057195140527</v>
      </c>
      <c r="V88" s="2">
        <f>'вместе-абс'!V88 / 'вместе-абс'!V$2 - 1</f>
        <v>7.5628551773839554</v>
      </c>
      <c r="W88" s="2">
        <f>'вместе-абс'!W88 / 'вместе-абс'!W$2 - 1</f>
        <v>0.59300659340659356</v>
      </c>
    </row>
    <row r="89" spans="1:23" x14ac:dyDescent="0.25">
      <c r="A89" s="9">
        <f>'вместе-абс'!A89</f>
        <v>2004</v>
      </c>
      <c r="B89" s="2">
        <f>'вместе-абс'!B89 / 'вместе-абс'!B$2 - 1</f>
        <v>3.6169703645392142</v>
      </c>
      <c r="C89" s="2">
        <f>'вместе-абс'!C89 / 'вместе-абс'!C$2 - 1</f>
        <v>3.4893940805615085</v>
      </c>
      <c r="D89" s="2">
        <f>'вместе-абс'!D89 / 'вместе-абс'!D$2 - 1</f>
        <v>6.1076160494225817</v>
      </c>
      <c r="E89" s="2">
        <f>'вместе-абс'!E89 / 'вместе-абс'!E$2 - 1</f>
        <v>8.6493021136238593</v>
      </c>
      <c r="F89" s="2">
        <f>'вместе-абс'!F89 / 'вместе-абс'!F$2 - 1</f>
        <v>3.518998790255778</v>
      </c>
      <c r="G89" s="2">
        <f>'вместе-абс'!G89 / 'вместе-абс'!G$2 - 1</f>
        <v>7.0607531305731559</v>
      </c>
      <c r="H89" s="2">
        <f>'вместе-абс'!H89 / 'вместе-абс'!H$2 - 1</f>
        <v>9.0625605589817653</v>
      </c>
      <c r="I89" s="2">
        <f>'вместе-абс'!I89 / 'вместе-абс'!I$2 - 1</f>
        <v>10.144201766670259</v>
      </c>
      <c r="J89" s="2">
        <f>'вместе-абс'!J89 / 'вместе-абс'!J$2 - 1</f>
        <v>6.3511122025676361</v>
      </c>
      <c r="K89" s="2">
        <f>'вместе-абс'!K89 / 'вместе-абс'!K$2 - 1</f>
        <v>9.531974965647974</v>
      </c>
      <c r="L89" s="2">
        <f>'вместе-абс'!L89 / 'вместе-абс'!L$2 - 1</f>
        <v>3.0928698737257463</v>
      </c>
      <c r="M89" s="2">
        <f>'вместе-абс'!M89 / 'вместе-абс'!M$2 - 1</f>
        <v>6.1708225465352058</v>
      </c>
      <c r="N89" s="2">
        <f>'вместе-абс'!N89 / 'вместе-абс'!N$2 - 1</f>
        <v>7.8032899268703222</v>
      </c>
      <c r="O89" s="2">
        <f>'вместе-абс'!O89 / 'вместе-абс'!O$2 - 1</f>
        <v>6.6666354819596476</v>
      </c>
      <c r="P89" s="2">
        <f>'вместе-абс'!P89 / 'вместе-абс'!P$2 - 1</f>
        <v>7.344445472701274</v>
      </c>
      <c r="Q89" s="2">
        <f>'вместе-абс'!Q89 / 'вместе-абс'!Q$2 - 1</f>
        <v>5.1177044074944478</v>
      </c>
      <c r="R89" s="2">
        <f>'вместе-абс'!R89 / 'вместе-абс'!R$2 - 1</f>
        <v>2.142595451851792</v>
      </c>
      <c r="S89" s="2">
        <f>'вместе-абс'!S89 / 'вместе-абс'!S$2 - 1</f>
        <v>4.3212088892969804</v>
      </c>
      <c r="T89" s="2">
        <f>'вместе-абс'!T89 / 'вместе-абс'!T$2 - 1</f>
        <v>1.4028405408766882</v>
      </c>
      <c r="U89" s="2">
        <f>'вместе-абс'!U89 / 'вместе-абс'!U$2 - 1</f>
        <v>3.5078057551748634</v>
      </c>
      <c r="V89" s="2">
        <f>'вместе-абс'!V89 / 'вместе-абс'!V$2 - 1</f>
        <v>7.6881606446752073</v>
      </c>
      <c r="W89" s="2">
        <f>'вместе-абс'!W89 / 'вместе-абс'!W$2 - 1</f>
        <v>0.58608351648351653</v>
      </c>
    </row>
    <row r="90" spans="1:23" x14ac:dyDescent="0.25">
      <c r="A90" s="9">
        <f>'вместе-абс'!A90</f>
        <v>2005</v>
      </c>
      <c r="B90" s="2">
        <f>'вместе-абс'!B90 / 'вместе-абс'!B$2 - 1</f>
        <v>3.6614798873367587</v>
      </c>
      <c r="C90" s="2">
        <f>'вместе-абс'!C90 / 'вместе-абс'!C$2 - 1</f>
        <v>3.5704899639493881</v>
      </c>
      <c r="D90" s="2">
        <f>'вместе-абс'!D90 / 'вместе-абс'!D$2 - 1</f>
        <v>6.1877832279034894</v>
      </c>
      <c r="E90" s="2">
        <f>'вместе-абс'!E90 / 'вместе-абс'!E$2 - 1</f>
        <v>8.8123168831283021</v>
      </c>
      <c r="F90" s="2">
        <f>'вместе-абс'!F90 / 'вместе-абс'!F$2 - 1</f>
        <v>3.5937371586676896</v>
      </c>
      <c r="G90" s="2">
        <f>'вместе-абс'!G90 / 'вместе-абс'!G$2 - 1</f>
        <v>7.2498157356326622</v>
      </c>
      <c r="H90" s="2">
        <f>'вместе-абс'!H90 / 'вместе-абс'!H$2 - 1</f>
        <v>9.2886092580639161</v>
      </c>
      <c r="I90" s="2">
        <f>'вместе-абс'!I90 / 'вместе-абс'!I$2 - 1</f>
        <v>10.300009548245571</v>
      </c>
      <c r="J90" s="2">
        <f>'вместе-абс'!J90 / 'вместе-абс'!J$2 - 1</f>
        <v>6.4596913603061283</v>
      </c>
      <c r="K90" s="2">
        <f>'вместе-абс'!K90 / 'вместе-абс'!K$2 - 1</f>
        <v>9.6875896412344655</v>
      </c>
      <c r="L90" s="2">
        <f>'вместе-абс'!L90 / 'вместе-абс'!L$2 - 1</f>
        <v>3.0991209623441192</v>
      </c>
      <c r="M90" s="2">
        <f>'вместе-абс'!M90 / 'вместе-абс'!M$2 - 1</f>
        <v>6.2626963292153546</v>
      </c>
      <c r="N90" s="2">
        <f>'вместе-абс'!N90 / 'вместе-абс'!N$2 - 1</f>
        <v>7.9181268098644928</v>
      </c>
      <c r="O90" s="2">
        <f>'вместе-абс'!O90 / 'вместе-абс'!O$2 - 1</f>
        <v>6.8077654718126235</v>
      </c>
      <c r="P90" s="2">
        <f>'вместе-абс'!P90 / 'вместе-абс'!P$2 - 1</f>
        <v>7.4720594425322187</v>
      </c>
      <c r="Q90" s="2">
        <f>'вместе-абс'!Q90 / 'вместе-абс'!Q$2 - 1</f>
        <v>5.1841602268536002</v>
      </c>
      <c r="R90" s="2">
        <f>'вместе-абс'!R90 / 'вместе-абс'!R$2 - 1</f>
        <v>2.1568381460712658</v>
      </c>
      <c r="S90" s="2">
        <f>'вместе-абс'!S90 / 'вместе-абс'!S$2 - 1</f>
        <v>4.3319448405190331</v>
      </c>
      <c r="T90" s="2">
        <f>'вместе-абс'!T90 / 'вместе-абс'!T$2 - 1</f>
        <v>1.4042617568527849</v>
      </c>
      <c r="U90" s="2">
        <f>'вместе-абс'!U90 / 'вместе-абс'!U$2 - 1</f>
        <v>3.5542940024544007</v>
      </c>
      <c r="V90" s="2">
        <f>'вместе-абс'!V90 / 'вместе-абс'!V$2 - 1</f>
        <v>7.8137832083074006</v>
      </c>
      <c r="W90" s="2">
        <f>'вместе-абс'!W90 / 'вместе-абс'!W$2 - 1</f>
        <v>0.58023076923076933</v>
      </c>
    </row>
    <row r="91" spans="1:23" x14ac:dyDescent="0.25">
      <c r="A91" s="9">
        <f>'вместе-абс'!A91</f>
        <v>2006</v>
      </c>
      <c r="B91" s="2">
        <f>'вместе-абс'!B91 / 'вместе-абс'!B$2 - 1</f>
        <v>3.7063907355137635</v>
      </c>
      <c r="C91" s="2">
        <f>'вместе-абс'!C91 / 'вместе-абс'!C$2 - 1</f>
        <v>3.6523598041347043</v>
      </c>
      <c r="D91" s="2">
        <f>'вместе-абс'!D91 / 'вместе-абс'!D$2 - 1</f>
        <v>6.2640374570725559</v>
      </c>
      <c r="E91" s="2">
        <f>'вместе-абс'!E91 / 'вместе-абс'!E$2 - 1</f>
        <v>8.9730970681518976</v>
      </c>
      <c r="F91" s="2">
        <f>'вместе-абс'!F91 / 'вместе-абс'!F$2 - 1</f>
        <v>3.67091803920332</v>
      </c>
      <c r="G91" s="2">
        <f>'вместе-абс'!G91 / 'вместе-абс'!G$2 - 1</f>
        <v>7.4406944093134353</v>
      </c>
      <c r="H91" s="2">
        <f>'вместе-абс'!H91 / 'вместе-абс'!H$2 - 1</f>
        <v>9.516225155610643</v>
      </c>
      <c r="I91" s="2">
        <f>'вместе-абс'!I91 / 'вместе-абс'!I$2 - 1</f>
        <v>10.453192786422884</v>
      </c>
      <c r="J91" s="2">
        <f>'вместе-абс'!J91 / 'вместе-абс'!J$2 - 1</f>
        <v>6.5663132531217876</v>
      </c>
      <c r="K91" s="2">
        <f>'вместе-абс'!K91 / 'вместе-абс'!K$2 - 1</f>
        <v>9.8416822964203678</v>
      </c>
      <c r="L91" s="2">
        <f>'вместе-абс'!L91 / 'вместе-абс'!L$2 - 1</f>
        <v>3.1028196174417015</v>
      </c>
      <c r="M91" s="2">
        <f>'вместе-абс'!M91 / 'вместе-абс'!M$2 - 1</f>
        <v>6.3565030064237504</v>
      </c>
      <c r="N91" s="2">
        <f>'вместе-абс'!N91 / 'вместе-абс'!N$2 - 1</f>
        <v>8.039672064529876</v>
      </c>
      <c r="O91" s="2">
        <f>'вместе-абс'!O91 / 'вместе-абс'!O$2 - 1</f>
        <v>6.9490441887298475</v>
      </c>
      <c r="P91" s="2">
        <f>'вместе-абс'!P91 / 'вместе-абс'!P$2 - 1</f>
        <v>7.5976180596395597</v>
      </c>
      <c r="Q91" s="2">
        <f>'вместе-абс'!Q91 / 'вместе-абс'!Q$2 - 1</f>
        <v>5.2467055016066739</v>
      </c>
      <c r="R91" s="2">
        <f>'вместе-абс'!R91 / 'вместе-абс'!R$2 - 1</f>
        <v>2.1703148873041274</v>
      </c>
      <c r="S91" s="2">
        <f>'вместе-абс'!S91 / 'вместе-абс'!S$2 - 1</f>
        <v>4.3420468762001789</v>
      </c>
      <c r="T91" s="2">
        <f>'вместе-абс'!T91 / 'вместе-абс'!T$2 - 1</f>
        <v>1.4071856505190641</v>
      </c>
      <c r="U91" s="2">
        <f>'вместе-абс'!U91 / 'вместе-абс'!U$2 - 1</f>
        <v>3.6006028295374195</v>
      </c>
      <c r="V91" s="2">
        <f>'вместе-абс'!V91 / 'вместе-абс'!V$2 - 1</f>
        <v>7.9396324565139054</v>
      </c>
      <c r="W91" s="2">
        <f>'вместе-абс'!W91 / 'вместе-абс'!W$2 - 1</f>
        <v>0.57402857142857155</v>
      </c>
    </row>
    <row r="92" spans="1:23" x14ac:dyDescent="0.25">
      <c r="A92" s="9">
        <f>'вместе-абс'!A92</f>
        <v>2007</v>
      </c>
      <c r="B92" s="2">
        <f>'вместе-абс'!B92 / 'вместе-абс'!B$2 - 1</f>
        <v>3.7505470632428688</v>
      </c>
      <c r="C92" s="2">
        <f>'вместе-абс'!C92 / 'вместе-абс'!C$2 - 1</f>
        <v>3.7349469100144583</v>
      </c>
      <c r="D92" s="2">
        <f>'вместе-абс'!D92 / 'вместе-абс'!D$2 - 1</f>
        <v>6.3369234307624982</v>
      </c>
      <c r="E92" s="2">
        <f>'вместе-абс'!E92 / 'вместе-абс'!E$2 - 1</f>
        <v>9.1286754335643394</v>
      </c>
      <c r="F92" s="2">
        <f>'вместе-абс'!F92 / 'вместе-абс'!F$2 - 1</f>
        <v>3.7494613209686163</v>
      </c>
      <c r="G92" s="2">
        <f>'вместе-абс'!G92 / 'вместе-абс'!G$2 - 1</f>
        <v>7.6356470705007311</v>
      </c>
      <c r="H92" s="2">
        <f>'вместе-абс'!H92 / 'вместе-абс'!H$2 - 1</f>
        <v>9.7455098690566331</v>
      </c>
      <c r="I92" s="2">
        <f>'вместе-абс'!I92 / 'вместе-абс'!I$2 - 1</f>
        <v>10.605292665968094</v>
      </c>
      <c r="J92" s="2">
        <f>'вместе-абс'!J92 / 'вместе-абс'!J$2 - 1</f>
        <v>6.671475167135605</v>
      </c>
      <c r="K92" s="2">
        <f>'вместе-абс'!K92 / 'вместе-абс'!K$2 - 1</f>
        <v>9.9929064321033465</v>
      </c>
      <c r="L92" s="2">
        <f>'вместе-абс'!L92 / 'вместе-абс'!L$2 - 1</f>
        <v>3.104975127466485</v>
      </c>
      <c r="M92" s="2">
        <f>'вместе-абс'!M92 / 'вместе-абс'!M$2 - 1</f>
        <v>6.453343649604232</v>
      </c>
      <c r="N92" s="2">
        <f>'вместе-абс'!N92 / 'вместе-абс'!N$2 - 1</f>
        <v>8.1618186113125493</v>
      </c>
      <c r="O92" s="2">
        <f>'вместе-абс'!O92 / 'вместе-абс'!O$2 - 1</f>
        <v>7.0909226115512958</v>
      </c>
      <c r="P92" s="2">
        <f>'вместе-абс'!P92 / 'вместе-абс'!P$2 - 1</f>
        <v>7.7213168586687537</v>
      </c>
      <c r="Q92" s="2">
        <f>'вместе-абс'!Q92 / 'вместе-абс'!Q$2 - 1</f>
        <v>5.3062654066833721</v>
      </c>
      <c r="R92" s="2">
        <f>'вместе-абс'!R92 / 'вместе-абс'!R$2 - 1</f>
        <v>2.1831433904304252</v>
      </c>
      <c r="S92" s="2">
        <f>'вместе-абс'!S92 / 'вместе-абс'!S$2 - 1</f>
        <v>4.3575292479625087</v>
      </c>
      <c r="T92" s="2">
        <f>'вместе-абс'!T92 / 'вместе-абс'!T$2 - 1</f>
        <v>1.4124130196184539</v>
      </c>
      <c r="U92" s="2">
        <f>'вместе-абс'!U92 / 'вместе-абс'!U$2 - 1</f>
        <v>3.6469934141905469</v>
      </c>
      <c r="V92" s="2">
        <f>'вместе-абс'!V92 / 'вместе-абс'!V$2 - 1</f>
        <v>8.0653467422281917</v>
      </c>
      <c r="W92" s="2">
        <f>'вместе-абс'!W92 / 'вместе-абс'!W$2 - 1</f>
        <v>0.5699197802197804</v>
      </c>
    </row>
    <row r="93" spans="1:23" x14ac:dyDescent="0.25">
      <c r="A93" s="9">
        <f>'вместе-абс'!A93</f>
        <v>2008</v>
      </c>
      <c r="B93" s="2">
        <f>'вместе-абс'!B93 / 'вместе-абс'!B$2 - 1</f>
        <v>3.7954204368244771</v>
      </c>
      <c r="C93" s="2">
        <f>'вместе-абс'!C93 / 'вместе-абс'!C$2 - 1</f>
        <v>3.8175024660629804</v>
      </c>
      <c r="D93" s="2">
        <f>'вместе-абс'!D93 / 'вместе-абс'!D$2 - 1</f>
        <v>6.4065524834468466</v>
      </c>
      <c r="E93" s="2">
        <f>'вместе-абс'!E93 / 'вместе-абс'!E$2 - 1</f>
        <v>9.276780762352308</v>
      </c>
      <c r="F93" s="2">
        <f>'вместе-абс'!F93 / 'вместе-абс'!F$2 - 1</f>
        <v>3.8289280525019986</v>
      </c>
      <c r="G93" s="2">
        <f>'вместе-абс'!G93 / 'вместе-абс'!G$2 - 1</f>
        <v>7.8325528379274019</v>
      </c>
      <c r="H93" s="2">
        <f>'вместе-абс'!H93 / 'вместе-абс'!H$2 - 1</f>
        <v>9.9762258139771216</v>
      </c>
      <c r="I93" s="2">
        <f>'вместе-абс'!I93 / 'вместе-абс'!I$2 - 1</f>
        <v>10.758647282912067</v>
      </c>
      <c r="J93" s="2">
        <f>'вместе-абс'!J93 / 'вместе-абс'!J$2 - 1</f>
        <v>6.7746048467092326</v>
      </c>
      <c r="K93" s="2">
        <f>'вместе-абс'!K93 / 'вместе-абс'!K$2 - 1</f>
        <v>10.143634093256972</v>
      </c>
      <c r="L93" s="2">
        <f>'вместе-абс'!L93 / 'вместе-абс'!L$2 - 1</f>
        <v>3.1062305303913034</v>
      </c>
      <c r="M93" s="2">
        <f>'вместе-абс'!M93 / 'вместе-абс'!M$2 - 1</f>
        <v>6.5527832768849281</v>
      </c>
      <c r="N93" s="2">
        <f>'вместе-абс'!N93 / 'вместе-абс'!N$2 - 1</f>
        <v>8.2853560590918178</v>
      </c>
      <c r="O93" s="2">
        <f>'вместе-абс'!O93 / 'вместе-абс'!O$2 - 1</f>
        <v>7.2333119838031426</v>
      </c>
      <c r="P93" s="2">
        <f>'вместе-абс'!P93 / 'вместе-абс'!P$2 - 1</f>
        <v>7.8449156514288951</v>
      </c>
      <c r="Q93" s="2">
        <f>'вместе-абс'!Q93 / 'вместе-абс'!Q$2 - 1</f>
        <v>5.3632939057860582</v>
      </c>
      <c r="R93" s="2">
        <f>'вместе-абс'!R93 / 'вместе-абс'!R$2 - 1</f>
        <v>2.195265604276436</v>
      </c>
      <c r="S93" s="2">
        <f>'вместе-абс'!S93 / 'вместе-абс'!S$2 - 1</f>
        <v>4.3789358164929277</v>
      </c>
      <c r="T93" s="2">
        <f>'вместе-абс'!T93 / 'вместе-абс'!T$2 - 1</f>
        <v>1.419067423387804</v>
      </c>
      <c r="U93" s="2">
        <f>'вместе-абс'!U93 / 'вместе-абс'!U$2 - 1</f>
        <v>3.693824875842898</v>
      </c>
      <c r="V93" s="2">
        <f>'вместе-абс'!V93 / 'вместе-абс'!V$2 - 1</f>
        <v>8.1920142824384978</v>
      </c>
      <c r="W93" s="2">
        <f>'вместе-абс'!W93 / 'вместе-абс'!W$2 - 1</f>
        <v>0.56865384615384618</v>
      </c>
    </row>
    <row r="94" spans="1:23" x14ac:dyDescent="0.25">
      <c r="A94" s="9">
        <f>'вместе-абс'!A94</f>
        <v>2009</v>
      </c>
      <c r="B94" s="2">
        <f>'вместе-абс'!B94 / 'вместе-абс'!B$2 - 1</f>
        <v>3.8417402340066982</v>
      </c>
      <c r="C94" s="2">
        <f>'вместе-абс'!C94 / 'вместе-абс'!C$2 - 1</f>
        <v>3.8999436539732821</v>
      </c>
      <c r="D94" s="2">
        <f>'вместе-абс'!D94 / 'вместе-абс'!D$2 - 1</f>
        <v>6.4730416093599725</v>
      </c>
      <c r="E94" s="2">
        <f>'вместе-абс'!E94 / 'вместе-абс'!E$2 - 1</f>
        <v>9.4176694822431131</v>
      </c>
      <c r="F94" s="2">
        <f>'вместе-абс'!F94 / 'вместе-абс'!F$2 - 1</f>
        <v>3.9091530639262482</v>
      </c>
      <c r="G94" s="2">
        <f>'вместе-абс'!G94 / 'вместе-абс'!G$2 - 1</f>
        <v>8.0306983475440497</v>
      </c>
      <c r="H94" s="2">
        <f>'вместе-абс'!H94 / 'вместе-абс'!H$2 - 1</f>
        <v>10.20778189177314</v>
      </c>
      <c r="I94" s="2">
        <f>'вместе-абс'!I94 / 'вместе-абс'!I$2 - 1</f>
        <v>10.913940928187401</v>
      </c>
      <c r="J94" s="2">
        <f>'вместе-абс'!J94 / 'вместе-абс'!J$2 - 1</f>
        <v>6.8762948663221692</v>
      </c>
      <c r="K94" s="2">
        <f>'вместе-абс'!K94 / 'вместе-абс'!K$2 - 1</f>
        <v>10.291967142412966</v>
      </c>
      <c r="L94" s="2">
        <f>'вместе-абс'!L94 / 'вместе-абс'!L$2 - 1</f>
        <v>3.1071353845063996</v>
      </c>
      <c r="M94" s="2">
        <f>'вместе-абс'!M94 / 'вместе-абс'!M$2 - 1</f>
        <v>6.6525212382076937</v>
      </c>
      <c r="N94" s="2">
        <f>'вместе-абс'!N94 / 'вместе-абс'!N$2 - 1</f>
        <v>8.4109897697744973</v>
      </c>
      <c r="O94" s="2">
        <f>'вместе-абс'!O94 / 'вместе-абс'!O$2 - 1</f>
        <v>7.3761139537170983</v>
      </c>
      <c r="P94" s="2">
        <f>'вместе-абс'!P94 / 'вместе-абс'!P$2 - 1</f>
        <v>7.9708489188874534</v>
      </c>
      <c r="Q94" s="2">
        <f>'вместе-абс'!Q94 / 'вместе-абс'!Q$2 - 1</f>
        <v>5.4191524477775905</v>
      </c>
      <c r="R94" s="2">
        <f>'вместе-абс'!R94 / 'вместе-абс'!R$2 - 1</f>
        <v>2.206625090201042</v>
      </c>
      <c r="S94" s="2">
        <f>'вместе-абс'!S94 / 'вместе-абс'!S$2 - 1</f>
        <v>4.4007617581179597</v>
      </c>
      <c r="T94" s="2">
        <f>'вместе-абс'!T94 / 'вместе-абс'!T$2 - 1</f>
        <v>1.4263778848902344</v>
      </c>
      <c r="U94" s="2">
        <f>'вместе-абс'!U94 / 'вместе-абс'!U$2 - 1</f>
        <v>3.7408003201101865</v>
      </c>
      <c r="V94" s="2">
        <f>'вместе-абс'!V94 / 'вместе-абс'!V$2 - 1</f>
        <v>8.3206577783601396</v>
      </c>
      <c r="W94" s="2">
        <f>'вместе-абс'!W94 / 'вместе-абс'!W$2 - 1</f>
        <v>0.56854065934065945</v>
      </c>
    </row>
    <row r="95" spans="1:23" x14ac:dyDescent="0.25">
      <c r="A95" s="9">
        <f>'вместе-абс'!A95</f>
        <v>2010</v>
      </c>
      <c r="B95" s="2">
        <f>'вместе-абс'!B95 / 'вместе-абс'!B$2 - 1</f>
        <v>3.8883798223847847</v>
      </c>
      <c r="C95" s="2">
        <f>'вместе-абс'!C95 / 'вместе-абс'!C$2 - 1</f>
        <v>3.9822374450157918</v>
      </c>
      <c r="D95" s="2">
        <f>'вместе-абс'!D95 / 'вместе-абс'!D$2 - 1</f>
        <v>6.5370816482138432</v>
      </c>
      <c r="E95" s="2">
        <f>'вместе-абс'!E95 / 'вместе-абс'!E$2 - 1</f>
        <v>9.5549682139515735</v>
      </c>
      <c r="F95" s="2">
        <f>'вместе-абс'!F95 / 'вместе-абс'!F$2 - 1</f>
        <v>3.978234614300808</v>
      </c>
      <c r="G95" s="2">
        <f>'вместе-абс'!G95 / 'вместе-абс'!G$2 - 1</f>
        <v>8.232060399009999</v>
      </c>
      <c r="H95" s="2">
        <f>'вместе-абс'!H95 / 'вместе-абс'!H$2 - 1</f>
        <v>10.43922776474562</v>
      </c>
      <c r="I95" s="2">
        <f>'вместе-абс'!I95 / 'вместе-абс'!I$2 - 1</f>
        <v>11.069409624631536</v>
      </c>
      <c r="J95" s="2">
        <f>'вместе-абс'!J95 / 'вместе-абс'!J$2 - 1</f>
        <v>6.9765772806979589</v>
      </c>
      <c r="K95" s="2">
        <f>'вместе-абс'!K95 / 'вместе-абс'!K$2 - 1</f>
        <v>10.433382144970563</v>
      </c>
      <c r="L95" s="2">
        <f>'вместе-абс'!L95 / 'вместе-абс'!L$2 - 1</f>
        <v>3.108022346025999</v>
      </c>
      <c r="M95" s="2">
        <f>'вместе-абс'!M95 / 'вместе-абс'!M$2 - 1</f>
        <v>6.7511828920758594</v>
      </c>
      <c r="N95" s="2">
        <f>'вместе-абс'!N95 / 'вместе-абс'!N$2 - 1</f>
        <v>8.540087517737291</v>
      </c>
      <c r="O95" s="2">
        <f>'вместе-абс'!O95 / 'вместе-абс'!O$2 - 1</f>
        <v>7.5186400589151088</v>
      </c>
      <c r="P95" s="2">
        <f>'вместе-абс'!P95 / 'вместе-абс'!P$2 - 1</f>
        <v>8.1032706527871898</v>
      </c>
      <c r="Q95" s="2">
        <f>'вместе-абс'!Q95 / 'вместе-абс'!Q$2 - 1</f>
        <v>5.4768051746112896</v>
      </c>
      <c r="R95" s="2">
        <f>'вместе-абс'!R95 / 'вместе-абс'!R$2 - 1</f>
        <v>2.2171629907642192</v>
      </c>
      <c r="S95" s="2">
        <f>'вместе-абс'!S95 / 'вместе-абс'!S$2 - 1</f>
        <v>4.4236392225970578</v>
      </c>
      <c r="T95" s="2">
        <f>'вместе-абс'!T95 / 'вместе-абс'!T$2 - 1</f>
        <v>1.4336119760357096</v>
      </c>
      <c r="U95" s="2">
        <f>'вместе-абс'!U95 / 'вместе-абс'!U$2 - 1</f>
        <v>3.7875533726253332</v>
      </c>
      <c r="V95" s="2">
        <f>'вместе-абс'!V95 / 'вместе-абс'!V$2 - 1</f>
        <v>8.4505978314279169</v>
      </c>
      <c r="W95" s="2">
        <f>'вместе-абс'!W95 / 'вместе-абс'!W$2 - 1</f>
        <v>0.5695989010989011</v>
      </c>
    </row>
    <row r="96" spans="1:23" x14ac:dyDescent="0.25">
      <c r="A96" s="9">
        <f>'вместе-абс'!A96</f>
        <v>2011</v>
      </c>
      <c r="B96" s="2">
        <f>'вместе-абс'!B96 / 'вместе-абс'!B$2 - 1</f>
        <v>3.9357560918666348</v>
      </c>
      <c r="C96" s="2">
        <f>'вместе-абс'!C96 / 'вместе-абс'!C$2 - 1</f>
        <v>4.0644474318190893</v>
      </c>
      <c r="D96" s="2">
        <f>'вместе-абс'!D96 / 'вместе-абс'!D$2 - 1</f>
        <v>6.5998286255429734</v>
      </c>
      <c r="E96" s="2">
        <f>'вместе-абс'!E96 / 'вместе-абс'!E$2 - 1</f>
        <v>9.6912778672832669</v>
      </c>
      <c r="F96" s="2">
        <f>'вместе-абс'!F96 / 'вместе-абс'!F$2 - 1</f>
        <v>4.0470619031674078</v>
      </c>
      <c r="G96" s="2">
        <f>'вместе-абс'!G96 / 'вместе-абс'!G$2 - 1</f>
        <v>8.4386875126071406</v>
      </c>
      <c r="H96" s="2">
        <f>'вместе-абс'!H96 / 'вместе-абс'!H$2 - 1</f>
        <v>10.671433621631062</v>
      </c>
      <c r="I96" s="2">
        <f>'вместе-абс'!I96 / 'вместе-абс'!I$2 - 1</f>
        <v>11.223869634620469</v>
      </c>
      <c r="J96" s="2">
        <f>'вместе-абс'!J96 / 'вместе-абс'!J$2 - 1</f>
        <v>7.0740634021412205</v>
      </c>
      <c r="K96" s="2">
        <f>'вместе-абс'!K96 / 'вместе-абс'!K$2 - 1</f>
        <v>10.568536052074663</v>
      </c>
      <c r="L96" s="2">
        <f>'вместе-абс'!L96 / 'вместе-абс'!L$2 - 1</f>
        <v>3.1092547441851801</v>
      </c>
      <c r="M96" s="2">
        <f>'вместе-абс'!M96 / 'вместе-абс'!M$2 - 1</f>
        <v>6.8488045955927372</v>
      </c>
      <c r="N96" s="2">
        <f>'вместе-абс'!N96 / 'вместе-абс'!N$2 - 1</f>
        <v>8.6740319444696823</v>
      </c>
      <c r="O96" s="2">
        <f>'вместе-абс'!O96 / 'вместе-абс'!O$2 - 1</f>
        <v>7.6616267382475645</v>
      </c>
      <c r="P96" s="2">
        <f>'вместе-абс'!P96 / 'вместе-абс'!P$2 - 1</f>
        <v>8.2427838760041681</v>
      </c>
      <c r="Q96" s="2">
        <f>'вместе-абс'!Q96 / 'вместе-абс'!Q$2 - 1</f>
        <v>5.5382903899444278</v>
      </c>
      <c r="R96" s="2">
        <f>'вместе-абс'!R96 / 'вместе-абс'!R$2 - 1</f>
        <v>2.2271889122258188</v>
      </c>
      <c r="S96" s="2">
        <f>'вместе-абс'!S96 / 'вместе-абс'!S$2 - 1</f>
        <v>4.4482948289973097</v>
      </c>
      <c r="T96" s="2">
        <f>'вместе-абс'!T96 / 'вместе-абс'!T$2 - 1</f>
        <v>1.4404743981106702</v>
      </c>
      <c r="U96" s="2">
        <f>'вместе-абс'!U96 / 'вместе-абс'!U$2 - 1</f>
        <v>3.8338192281527306</v>
      </c>
      <c r="V96" s="2">
        <f>'вместе-абс'!V96 / 'вместе-абс'!V$2 - 1</f>
        <v>8.5817473056638391</v>
      </c>
      <c r="W96" s="2">
        <f>'вместе-абс'!W96 / 'вместе-абс'!W$2 - 1</f>
        <v>0.56994945054945045</v>
      </c>
    </row>
    <row r="97" spans="1:23" x14ac:dyDescent="0.25">
      <c r="A97" s="9">
        <f>'вместе-абс'!A97</f>
        <v>2012</v>
      </c>
      <c r="B97" s="2">
        <f>'вместе-абс'!B97 / 'вместе-абс'!B$2 - 1</f>
        <v>3.9826711723981045</v>
      </c>
      <c r="C97" s="2">
        <f>'вместе-абс'!C97 / 'вместе-абс'!C$2 - 1</f>
        <v>4.1465425575180532</v>
      </c>
      <c r="D97" s="2">
        <f>'вместе-абс'!D97 / 'вместе-абс'!D$2 - 1</f>
        <v>6.6619621390686197</v>
      </c>
      <c r="E97" s="2">
        <f>'вместе-абс'!E97 / 'вместе-абс'!E$2 - 1</f>
        <v>9.8263053819784059</v>
      </c>
      <c r="F97" s="2">
        <f>'вместе-абс'!F97 / 'вместе-абс'!F$2 - 1</f>
        <v>4.1271973224461362</v>
      </c>
      <c r="G97" s="2">
        <f>'вместе-абс'!G97 / 'вместе-абс'!G$2 - 1</f>
        <v>8.6502005936162245</v>
      </c>
      <c r="H97" s="2">
        <f>'вместе-абс'!H97 / 'вместе-абс'!H$2 - 1</f>
        <v>10.905468592340908</v>
      </c>
      <c r="I97" s="2">
        <f>'вместе-абс'!I97 / 'вместе-абс'!I$2 - 1</f>
        <v>11.377003907435881</v>
      </c>
      <c r="J97" s="2">
        <f>'вместе-абс'!J97 / 'вместе-абс'!J$2 - 1</f>
        <v>7.1687416699319861</v>
      </c>
      <c r="K97" s="2">
        <f>'вместе-абс'!K97 / 'вместе-абс'!K$2 - 1</f>
        <v>10.701237675897415</v>
      </c>
      <c r="L97" s="2">
        <f>'вместе-абс'!L97 / 'вместе-абс'!L$2 - 1</f>
        <v>3.1100387319919243</v>
      </c>
      <c r="M97" s="2">
        <f>'вместе-абс'!M97 / 'вместе-абс'!M$2 - 1</f>
        <v>6.9443388525931429</v>
      </c>
      <c r="N97" s="2">
        <f>'вместе-абс'!N97 / 'вместе-абс'!N$2 - 1</f>
        <v>8.8121738527131637</v>
      </c>
      <c r="O97" s="2">
        <f>'вместе-абс'!O97 / 'вместе-абс'!O$2 - 1</f>
        <v>7.8051099740687171</v>
      </c>
      <c r="P97" s="2">
        <f>'вместе-абс'!P97 / 'вместе-абс'!P$2 - 1</f>
        <v>8.3865287077697417</v>
      </c>
      <c r="Q97" s="2">
        <f>'вместе-абс'!Q97 / 'вместе-абс'!Q$2 - 1</f>
        <v>5.6031709353553918</v>
      </c>
      <c r="R97" s="2">
        <f>'вместе-абс'!R97 / 'вместе-абс'!R$2 - 1</f>
        <v>2.2368504013190518</v>
      </c>
      <c r="S97" s="2">
        <f>'вместе-абс'!S97 / 'вместе-абс'!S$2 - 1</f>
        <v>4.4748151006098125</v>
      </c>
      <c r="T97" s="2">
        <f>'вместе-абс'!T97 / 'вместе-абс'!T$2 - 1</f>
        <v>1.4476481203073144</v>
      </c>
      <c r="U97" s="2">
        <f>'вместе-абс'!U97 / 'вместе-абс'!U$2 - 1</f>
        <v>3.8794402313097454</v>
      </c>
      <c r="V97" s="2">
        <f>'вместе-абс'!V97 / 'вместе-абс'!V$2 - 1</f>
        <v>8.7128587807514659</v>
      </c>
      <c r="W97" s="2">
        <f>'вместе-абс'!W97 / 'вместе-абс'!W$2 - 1</f>
        <v>0.5733076923076923</v>
      </c>
    </row>
    <row r="98" spans="1:23" x14ac:dyDescent="0.25">
      <c r="A98" s="9">
        <f>'вместе-абс'!A98</f>
        <v>2013</v>
      </c>
      <c r="B98" s="2">
        <f>'вместе-абс'!B98 / 'вместе-абс'!B$2 - 1</f>
        <v>4.0289886947646307</v>
      </c>
      <c r="C98" s="2">
        <f>'вместе-абс'!C98 / 'вместе-абс'!C$2 - 1</f>
        <v>4.2283340160914005</v>
      </c>
      <c r="D98" s="2">
        <f>'вместе-абс'!D98 / 'вместе-абс'!D$2 - 1</f>
        <v>6.7233943074358056</v>
      </c>
      <c r="E98" s="2">
        <f>'вместе-абс'!E98 / 'вместе-абс'!E$2 - 1</f>
        <v>9.9575963783613108</v>
      </c>
      <c r="F98" s="2">
        <f>'вместе-абс'!F98 / 'вместе-абс'!F$2 - 1</f>
        <v>4.2070479488153572</v>
      </c>
      <c r="G98" s="2">
        <f>'вместе-абс'!G98 / 'вместе-абс'!G$2 - 1</f>
        <v>8.8636181132993741</v>
      </c>
      <c r="H98" s="2">
        <f>'вместе-абс'!H98 / 'вместе-абс'!H$2 - 1</f>
        <v>11.139995906677983</v>
      </c>
      <c r="I98" s="2">
        <f>'вместе-абс'!I98 / 'вместе-абс'!I$2 - 1</f>
        <v>11.528144065887791</v>
      </c>
      <c r="J98" s="2">
        <f>'вместе-абс'!J98 / 'вместе-абс'!J$2 - 1</f>
        <v>7.261036677785393</v>
      </c>
      <c r="K98" s="2">
        <f>'вместе-абс'!K98 / 'вместе-абс'!K$2 - 1</f>
        <v>10.830040219451773</v>
      </c>
      <c r="L98" s="2">
        <f>'вместе-абс'!L98 / 'вместе-абс'!L$2 - 1</f>
        <v>3.1095691426489003</v>
      </c>
      <c r="M98" s="2">
        <f>'вместе-абс'!M98 / 'вместе-абс'!M$2 - 1</f>
        <v>7.0374487767858387</v>
      </c>
      <c r="N98" s="2">
        <f>'вместе-абс'!N98 / 'вместе-абс'!N$2 - 1</f>
        <v>8.9522137956895271</v>
      </c>
      <c r="O98" s="2">
        <f>'вместе-абс'!O98 / 'вместе-абс'!O$2 - 1</f>
        <v>7.9483485298809455</v>
      </c>
      <c r="P98" s="2">
        <f>'вместе-абс'!P98 / 'вместе-абс'!P$2 - 1</f>
        <v>8.5321751512781407</v>
      </c>
      <c r="Q98" s="2">
        <f>'вместе-абс'!Q98 / 'вместе-абс'!Q$2 - 1</f>
        <v>5.6705203091817866</v>
      </c>
      <c r="R98" s="2">
        <f>'вместе-абс'!R98 / 'вместе-абс'!R$2 - 1</f>
        <v>2.2458475269796856</v>
      </c>
      <c r="S98" s="2">
        <f>'вместе-абс'!S98 / 'вместе-абс'!S$2 - 1</f>
        <v>4.5024866617283648</v>
      </c>
      <c r="T98" s="2">
        <f>'вместе-абс'!T98 / 'вместе-абс'!T$2 - 1</f>
        <v>1.455427714002469</v>
      </c>
      <c r="U98" s="2">
        <f>'вместе-абс'!U98 / 'вместе-абс'!U$2 - 1</f>
        <v>3.9247886162210373</v>
      </c>
      <c r="V98" s="2">
        <f>'вместе-абс'!V98 / 'вместе-абс'!V$2 - 1</f>
        <v>8.841086251515053</v>
      </c>
      <c r="W98" s="2">
        <f>'вместе-абс'!W98 / 'вместе-абс'!W$2 - 1</f>
        <v>0.57786703296703301</v>
      </c>
    </row>
    <row r="99" spans="1:23" x14ac:dyDescent="0.25">
      <c r="A99" s="9">
        <f>'вместе-абс'!A99</f>
        <v>2014</v>
      </c>
      <c r="B99" s="2">
        <f>'вместе-абс'!B99 / 'вместе-абс'!B$2 - 1</f>
        <v>4.076380049866354</v>
      </c>
      <c r="C99" s="2">
        <f>'вместе-абс'!C99 / 'вместе-абс'!C$2 - 1</f>
        <v>4.3096325085517293</v>
      </c>
      <c r="D99" s="2">
        <f>'вместе-абс'!D99 / 'вместе-абс'!D$2 - 1</f>
        <v>6.783874434251663</v>
      </c>
      <c r="E99" s="2">
        <f>'вместе-абс'!E99 / 'вместе-абс'!E$2 - 1</f>
        <v>10.082843006886183</v>
      </c>
      <c r="F99" s="2">
        <f>'вместе-абс'!F99 / 'вместе-абс'!F$2 - 1</f>
        <v>4.2865577246197715</v>
      </c>
      <c r="G99" s="2">
        <f>'вместе-абс'!G99 / 'вместе-абс'!G$2 - 1</f>
        <v>9.0765367904381051</v>
      </c>
      <c r="H99" s="2">
        <f>'вместе-абс'!H99 / 'вместе-абс'!H$2 - 1</f>
        <v>11.373681656908053</v>
      </c>
      <c r="I99" s="2">
        <f>'вместе-абс'!I99 / 'вместе-абс'!I$2 - 1</f>
        <v>11.676921645627882</v>
      </c>
      <c r="J99" s="2">
        <f>'вместе-абс'!J99 / 'вместе-абс'!J$2 - 1</f>
        <v>7.3507336765699414</v>
      </c>
      <c r="K99" s="2">
        <f>'вместе-абс'!K99 / 'вместе-абс'!K$2 - 1</f>
        <v>10.957140206413046</v>
      </c>
      <c r="L99" s="2">
        <f>'вместе-абс'!L99 / 'вместе-абс'!L$2 - 1</f>
        <v>3.1076261528400115</v>
      </c>
      <c r="M99" s="2">
        <f>'вместе-абс'!M99 / 'вместе-абс'!M$2 - 1</f>
        <v>7.1267343453001484</v>
      </c>
      <c r="N99" s="2">
        <f>'вместе-абс'!N99 / 'вместе-абс'!N$2 - 1</f>
        <v>9.0920175167626684</v>
      </c>
      <c r="O99" s="2">
        <f>'вместе-абс'!O99 / 'вместе-абс'!O$2 - 1</f>
        <v>8.0920428621803868</v>
      </c>
      <c r="P99" s="2">
        <f>'вместе-абс'!P99 / 'вместе-абс'!P$2 - 1</f>
        <v>8.6787410554094446</v>
      </c>
      <c r="Q99" s="2">
        <f>'вместе-абс'!Q99 / 'вместе-абс'!Q$2 - 1</f>
        <v>5.741203762260116</v>
      </c>
      <c r="R99" s="2">
        <f>'вместе-абс'!R99 / 'вместе-абс'!R$2 - 1</f>
        <v>2.2538811644097927</v>
      </c>
      <c r="S99" s="2">
        <f>'вместе-абс'!S99 / 'вместе-абс'!S$2 - 1</f>
        <v>4.5304248558460172</v>
      </c>
      <c r="T99" s="2">
        <f>'вместе-абс'!T99 / 'вместе-абс'!T$2 - 1</f>
        <v>1.4637106247167937</v>
      </c>
      <c r="U99" s="2">
        <f>'вместе-абс'!U99 / 'вместе-абс'!U$2 - 1</f>
        <v>3.9709492751479871</v>
      </c>
      <c r="V99" s="2">
        <f>'вместе-абс'!V99 / 'вместе-абс'!V$2 - 1</f>
        <v>8.9674504536967277</v>
      </c>
      <c r="W99" s="2">
        <f>'вместе-абс'!W99 / 'вместе-абс'!W$2 - 1</f>
        <v>0.58269560439560419</v>
      </c>
    </row>
    <row r="100" spans="1:23" x14ac:dyDescent="0.25">
      <c r="A100" s="9">
        <f>'вместе-абс'!A100</f>
        <v>2015</v>
      </c>
      <c r="B100" s="2">
        <f>'вместе-абс'!B100 / 'вместе-абс'!B$2 - 1</f>
        <v>4.1240923934353599</v>
      </c>
      <c r="C100" s="2">
        <f>'вместе-абс'!C100 / 'вместе-абс'!C$2 - 1</f>
        <v>4.3903473291342481</v>
      </c>
      <c r="D100" s="2">
        <f>'вместе-абс'!D100 / 'вместе-абс'!D$2 - 1</f>
        <v>6.8428650748292101</v>
      </c>
      <c r="E100" s="2">
        <f>'вместе-абс'!E100 / 'вместе-абс'!E$2 - 1</f>
        <v>10.200030478267019</v>
      </c>
      <c r="F100" s="2">
        <f>'вместе-абс'!F100 / 'вместе-абс'!F$2 - 1</f>
        <v>4.3657957208989444</v>
      </c>
      <c r="G100" s="2">
        <f>'вместе-абс'!G100 / 'вместе-абс'!G$2 - 1</f>
        <v>9.2873211386929544</v>
      </c>
      <c r="H100" s="2">
        <f>'вместе-абс'!H100 / 'вместе-абс'!H$2 - 1</f>
        <v>11.605834558228937</v>
      </c>
      <c r="I100" s="2">
        <f>'вместе-абс'!I100 / 'вместе-абс'!I$2 - 1</f>
        <v>11.82272825203451</v>
      </c>
      <c r="J100" s="2">
        <f>'вместе-абс'!J100 / 'вместе-абс'!J$2 - 1</f>
        <v>7.4388703284838442</v>
      </c>
      <c r="K100" s="2">
        <f>'вместе-абс'!K100 / 'вместе-абс'!K$2 - 1</f>
        <v>11.085233142433026</v>
      </c>
      <c r="L100" s="2">
        <f>'вместе-абс'!L100 / 'вместе-абс'!L$2 - 1</f>
        <v>3.1057959959292516</v>
      </c>
      <c r="M100" s="2">
        <f>'вместе-абс'!M100 / 'вместе-абс'!M$2 - 1</f>
        <v>7.2096771770479116</v>
      </c>
      <c r="N100" s="2">
        <f>'вместе-абс'!N100 / 'вместе-абс'!N$2 - 1</f>
        <v>9.2295300505647013</v>
      </c>
      <c r="O100" s="2">
        <f>'вместе-абс'!O100 / 'вместе-абс'!O$2 - 1</f>
        <v>8.2365408003914879</v>
      </c>
      <c r="P100" s="2">
        <f>'вместе-абс'!P100 / 'вместе-абс'!P$2 - 1</f>
        <v>8.8259144603094519</v>
      </c>
      <c r="Q100" s="2">
        <f>'вместе-абс'!Q100 / 'вместе-абс'!Q$2 - 1</f>
        <v>5.8165612946080696</v>
      </c>
      <c r="R100" s="2">
        <f>'вместе-абс'!R100 / 'вместе-абс'!R$2 - 1</f>
        <v>2.2606497700125372</v>
      </c>
      <c r="S100" s="2">
        <f>'вместе-абс'!S100 / 'вместе-абс'!S$2 - 1</f>
        <v>4.5571234713850703</v>
      </c>
      <c r="T100" s="2">
        <f>'вместе-абс'!T100 / 'вместе-абс'!T$2 - 1</f>
        <v>1.4723179276139939</v>
      </c>
      <c r="U100" s="2">
        <f>'вместе-абс'!U100 / 'вместе-абс'!U$2 - 1</f>
        <v>4.0173596713624722</v>
      </c>
      <c r="V100" s="2">
        <f>'вместе-абс'!V100 / 'вместе-абс'!V$2 - 1</f>
        <v>9.094870770137911</v>
      </c>
      <c r="W100" s="2">
        <f>'вместе-абс'!W100 / 'вместе-абс'!W$2 - 1</f>
        <v>0.58724245054945046</v>
      </c>
    </row>
    <row r="101" spans="1:23" x14ac:dyDescent="0.25">
      <c r="A101" s="9">
        <f>'вместе-абс'!A101</f>
        <v>2016</v>
      </c>
      <c r="B101" s="2">
        <f>'вместе-абс'!B101 / 'вместе-абс'!B$2 - 1</f>
        <v>4.1697421975318241</v>
      </c>
      <c r="C101" s="2">
        <f>'вместе-абс'!C101 / 'вместе-абс'!C$2 - 1</f>
        <v>4.4705534086881329</v>
      </c>
      <c r="D101" s="2">
        <f>'вместе-абс'!D101 / 'вместе-абс'!D$2 - 1</f>
        <v>6.8999261633803162</v>
      </c>
      <c r="E101" s="2">
        <f>'вместе-абс'!E101 / 'вместе-абс'!E$2 - 1</f>
        <v>10.270255043017583</v>
      </c>
      <c r="F101" s="2">
        <f>'вместе-абс'!F101 / 'вместе-абс'!F$2 - 1</f>
        <v>4.4446262981476448</v>
      </c>
      <c r="G101" s="2">
        <f>'вместе-абс'!G101 / 'вместе-абс'!G$2 - 1</f>
        <v>9.4998620018378404</v>
      </c>
      <c r="H101" s="2">
        <f>'вместе-абс'!H101 / 'вместе-абс'!H$2 - 1</f>
        <v>11.837110114655953</v>
      </c>
      <c r="I101" s="2">
        <f>'вместе-абс'!I101 / 'вместе-абс'!I$2 - 1</f>
        <v>11.965499006003153</v>
      </c>
      <c r="J101" s="2">
        <f>'вместе-абс'!J101 / 'вместе-абс'!J$2 - 1</f>
        <v>7.5319204615459796</v>
      </c>
      <c r="K101" s="2">
        <f>'вместе-абс'!K101 / 'вместе-абс'!K$2 - 1</f>
        <v>11.21231056237024</v>
      </c>
      <c r="L101" s="2">
        <f>'вместе-абс'!L101 / 'вместе-абс'!L$2 - 1</f>
        <v>3.1038544667404038</v>
      </c>
      <c r="M101" s="2">
        <f>'вместе-абс'!M101 / 'вместе-абс'!M$2 - 1</f>
        <v>7.2879431819421256</v>
      </c>
      <c r="N101" s="2">
        <f>'вместе-абс'!N101 / 'вместе-абс'!N$2 - 1</f>
        <v>9.3652221890006473</v>
      </c>
      <c r="O101" s="2">
        <f>'вместе-абс'!O101 / 'вместе-абс'!O$2 - 1</f>
        <v>8.3820006668729654</v>
      </c>
      <c r="P101" s="2">
        <f>'вместе-абс'!P101 / 'вместе-абс'!P$2 - 1</f>
        <v>8.9729639768463105</v>
      </c>
      <c r="Q101" s="2">
        <f>'вместе-абс'!Q101 / 'вместе-абс'!Q$2 - 1</f>
        <v>5.8992837412446706</v>
      </c>
      <c r="R101" s="2">
        <f>'вместе-абс'!R101 / 'вместе-абс'!R$2 - 1</f>
        <v>2.2669152654430231</v>
      </c>
      <c r="S101" s="2">
        <f>'вместе-абс'!S101 / 'вместе-абс'!S$2 - 1</f>
        <v>4.5827131761728976</v>
      </c>
      <c r="T101" s="2">
        <f>'вместе-абс'!T101 / 'вместе-абс'!T$2 - 1</f>
        <v>1.480958688000908</v>
      </c>
      <c r="U101" s="2">
        <f>'вместе-абс'!U101 / 'вместе-абс'!U$2 - 1</f>
        <v>4.068285150313943</v>
      </c>
      <c r="V101" s="2">
        <f>'вместе-абс'!V101 / 'вместе-абс'!V$2 - 1</f>
        <v>9.2251121957611311</v>
      </c>
      <c r="W101" s="2">
        <f>'вместе-абс'!W101 / 'вместе-абс'!W$2 - 1</f>
        <v>0.59151848351648351</v>
      </c>
    </row>
    <row r="102" spans="1:23" x14ac:dyDescent="0.25">
      <c r="A102" s="9">
        <f>'вместе-абс'!A102</f>
        <v>2017</v>
      </c>
      <c r="B102" s="2">
        <f>'вместе-абс'!B102 / 'вместе-абс'!B$2 - 1</f>
        <v>4.2131533435300943</v>
      </c>
      <c r="C102" s="2">
        <f>'вместе-абс'!C102 / 'вместе-абс'!C$2 - 1</f>
        <v>4.5502714517901328</v>
      </c>
      <c r="D102" s="2">
        <f>'вместе-абс'!D102 / 'вместе-абс'!D$2 - 1</f>
        <v>6.9550497917459992</v>
      </c>
      <c r="E102" s="2">
        <f>'вместе-абс'!E102 / 'вместе-абс'!E$2 - 1</f>
        <v>10.196843447941875</v>
      </c>
      <c r="F102" s="2">
        <f>'вместе-абс'!F102 / 'вместе-абс'!F$2 - 1</f>
        <v>4.5230950032108019</v>
      </c>
      <c r="G102" s="2">
        <f>'вместе-абс'!G102 / 'вместе-абс'!G$2 - 1</f>
        <v>9.713223169603264</v>
      </c>
      <c r="H102" s="2">
        <f>'вместе-абс'!H102 / 'вместе-абс'!H$2 - 1</f>
        <v>12.068158105278526</v>
      </c>
      <c r="I102" s="2">
        <f>'вместе-абс'!I102 / 'вместе-абс'!I$2 - 1</f>
        <v>12.106333179908532</v>
      </c>
      <c r="J102" s="2">
        <f>'вместе-абс'!J102 / 'вместе-абс'!J$2 - 1</f>
        <v>7.6442225214385662</v>
      </c>
      <c r="K102" s="2">
        <f>'вместе-абс'!K102 / 'вместе-абс'!K$2 - 1</f>
        <v>11.336376538318808</v>
      </c>
      <c r="L102" s="2">
        <f>'вместе-абс'!L102 / 'вместе-абс'!L$2 - 1</f>
        <v>3.1000477257598238</v>
      </c>
      <c r="M102" s="2">
        <f>'вместе-абс'!M102 / 'вместе-абс'!M$2 - 1</f>
        <v>7.3644047769392245</v>
      </c>
      <c r="N102" s="2">
        <f>'вместе-абс'!N102 / 'вместе-абс'!N$2 - 1</f>
        <v>9.5003411176434618</v>
      </c>
      <c r="O102" s="2">
        <f>'вместе-абс'!O102 / 'вместе-абс'!O$2 - 1</f>
        <v>8.5276020639478407</v>
      </c>
      <c r="P102" s="2">
        <f>'вместе-абс'!P102 / 'вместе-абс'!P$2 - 1</f>
        <v>9.1192373253248711</v>
      </c>
      <c r="Q102" s="2">
        <f>'вместе-абс'!Q102 / 'вместе-абс'!Q$2 - 1</f>
        <v>5.9874939965345746</v>
      </c>
      <c r="R102" s="2">
        <f>'вместе-абс'!R102 / 'вместе-абс'!R$2 - 1</f>
        <v>2.2731275472975967</v>
      </c>
      <c r="S102" s="2">
        <f>'вместе-абс'!S102 / 'вместе-абс'!S$2 - 1</f>
        <v>4.6070253380809305</v>
      </c>
      <c r="T102" s="2">
        <f>'вместе-абс'!T102 / 'вместе-абс'!T$2 - 1</f>
        <v>1.4890030322668397</v>
      </c>
      <c r="U102" s="2">
        <f>'вместе-абс'!U102 / 'вместе-абс'!U$2 - 1</f>
        <v>4.1288516047085659</v>
      </c>
      <c r="V102" s="2">
        <f>'вместе-абс'!V102 / 'вместе-абс'!V$2 - 1</f>
        <v>9.3609401513414365</v>
      </c>
      <c r="W102" s="2">
        <f>'вместе-абс'!W102 / 'вместе-абс'!W$2 - 1</f>
        <v>0.59510390109890099</v>
      </c>
    </row>
    <row r="103" spans="1:23" x14ac:dyDescent="0.25">
      <c r="A103" s="9">
        <f>'вместе-абс'!A103</f>
        <v>2018</v>
      </c>
      <c r="B103" s="2">
        <f>'вместе-абс'!B103 / 'вместе-абс'!B$2 - 1</f>
        <v>4.2549621811890699</v>
      </c>
      <c r="C103" s="2">
        <f>'вместе-абс'!C103 / 'вместе-абс'!C$2 - 1</f>
        <v>4.6293792028442171</v>
      </c>
      <c r="D103" s="2">
        <f>'вместе-абс'!D103 / 'вместе-абс'!D$2 - 1</f>
        <v>7.0076498257898479</v>
      </c>
      <c r="E103" s="2">
        <f>'вместе-абс'!E103 / 'вместе-абс'!E$2 - 1</f>
        <v>9.9192787493946479</v>
      </c>
      <c r="F103" s="2">
        <f>'вместе-абс'!F103 / 'вместе-абс'!F$2 - 1</f>
        <v>4.6011432758592212</v>
      </c>
      <c r="G103" s="2">
        <f>'вместе-абс'!G103 / 'вместе-абс'!G$2 - 1</f>
        <v>9.9201109108198864</v>
      </c>
      <c r="H103" s="2">
        <f>'вместе-абс'!H103 / 'вместе-абс'!H$2 - 1</f>
        <v>12.299135965558849</v>
      </c>
      <c r="I103" s="2">
        <f>'вместе-абс'!I103 / 'вместе-абс'!I$2 - 1</f>
        <v>12.245815909825389</v>
      </c>
      <c r="J103" s="2">
        <f>'вместе-абс'!J103 / 'вместе-абс'!J$2 - 1</f>
        <v>7.7733151257832596</v>
      </c>
      <c r="K103" s="2">
        <f>'вместе-абс'!K103 / 'вместе-абс'!K$2 - 1</f>
        <v>11.458551899140447</v>
      </c>
      <c r="L103" s="2">
        <f>'вместе-абс'!L103 / 'вместе-абс'!L$2 - 1</f>
        <v>3.0954573621275099</v>
      </c>
      <c r="M103" s="2">
        <f>'вместе-абс'!M103 / 'вместе-абс'!M$2 - 1</f>
        <v>7.4407970876451088</v>
      </c>
      <c r="N103" s="2">
        <f>'вместе-абс'!N103 / 'вместе-абс'!N$2 - 1</f>
        <v>9.6346522664913437</v>
      </c>
      <c r="O103" s="2">
        <f>'вместе-абс'!O103 / 'вместе-абс'!O$2 - 1</f>
        <v>8.672222342163403</v>
      </c>
      <c r="P103" s="2">
        <f>'вместе-абс'!P103 / 'вместе-абс'!P$2 - 1</f>
        <v>9.2641374533926015</v>
      </c>
      <c r="Q103" s="2">
        <f>'вместе-абс'!Q103 / 'вместе-абс'!Q$2 - 1</f>
        <v>6.088267747039839</v>
      </c>
      <c r="R103" s="2">
        <f>'вместе-абс'!R103 / 'вместе-абс'!R$2 - 1</f>
        <v>2.2785182437907414</v>
      </c>
      <c r="S103" s="2">
        <f>'вместе-абс'!S103 / 'вместе-абс'!S$2 - 1</f>
        <v>4.6289651726095515</v>
      </c>
      <c r="T103" s="2">
        <f>'вместе-абс'!T103 / 'вместе-абс'!T$2 - 1</f>
        <v>1.4960080123414499</v>
      </c>
      <c r="U103" s="2">
        <f>'вместе-абс'!U103 / 'вместе-абс'!U$2 - 1</f>
        <v>4.1948681917290358</v>
      </c>
      <c r="V103" s="2">
        <f>'вместе-абс'!V103 / 'вместе-абс'!V$2 - 1</f>
        <v>9.508604186457891</v>
      </c>
      <c r="W103" s="2">
        <f>'вместе-абс'!W103 / 'вместе-абс'!W$2 - 1</f>
        <v>0.59720631868131857</v>
      </c>
    </row>
    <row r="104" spans="1:23" x14ac:dyDescent="0.25">
      <c r="A104" s="9">
        <f>'вместе-абс'!A104</f>
        <v>2019</v>
      </c>
      <c r="B104" s="2">
        <f>'вместе-абс'!B104 / 'вместе-абс'!B$2 - 1</f>
        <v>4.2935957353192071</v>
      </c>
      <c r="C104" s="2">
        <f>'вместе-абс'!C104 / 'вместе-абс'!C$2 - 1</f>
        <v>4.7077780686277846</v>
      </c>
      <c r="D104" s="2">
        <f>'вместе-абс'!D104 / 'вместе-абс'!D$2 - 1</f>
        <v>7.0581053919572394</v>
      </c>
      <c r="E104" s="2">
        <f>'вместе-абс'!E104 / 'вместе-абс'!E$2 - 1</f>
        <v>9.6007588795427097</v>
      </c>
      <c r="F104" s="2">
        <f>'вместе-абс'!F104 / 'вместе-абс'!F$2 - 1</f>
        <v>4.6786134539373752</v>
      </c>
      <c r="G104" s="2">
        <f>'вместе-абс'!G104 / 'вместе-абс'!G$2 - 1</f>
        <v>10.120243465899085</v>
      </c>
      <c r="H104" s="2">
        <f>'вместе-абс'!H104 / 'вместе-абс'!H$2 - 1</f>
        <v>12.529554214332638</v>
      </c>
      <c r="I104" s="2">
        <f>'вместе-абс'!I104 / 'вместе-абс'!I$2 - 1</f>
        <v>12.381840461057848</v>
      </c>
      <c r="J104" s="2">
        <f>'вместе-абс'!J104 / 'вместе-абс'!J$2 - 1</f>
        <v>7.9006653894990482</v>
      </c>
      <c r="K104" s="2">
        <f>'вместе-абс'!K104 / 'вместе-абс'!K$2 - 1</f>
        <v>11.576958566943821</v>
      </c>
      <c r="L104" s="2">
        <f>'вместе-абс'!L104 / 'вместе-абс'!L$2 - 1</f>
        <v>3.090051607357581</v>
      </c>
      <c r="M104" s="2">
        <f>'вместе-абс'!M104 / 'вместе-абс'!M$2 - 1</f>
        <v>7.5166429442284084</v>
      </c>
      <c r="N104" s="2">
        <f>'вместе-абс'!N104 / 'вместе-абс'!N$2 - 1</f>
        <v>9.7671760580015619</v>
      </c>
      <c r="O104" s="2">
        <f>'вместе-абс'!O104 / 'вместе-абс'!O$2 - 1</f>
        <v>8.8134147014304194</v>
      </c>
      <c r="P104" s="2">
        <f>'вместе-абс'!P104 / 'вместе-абс'!P$2 - 1</f>
        <v>9.4073658348732305</v>
      </c>
      <c r="Q104" s="2">
        <f>'вместе-абс'!Q104 / 'вместе-абс'!Q$2 - 1</f>
        <v>6.1863592862885719</v>
      </c>
      <c r="R104" s="2">
        <f>'вместе-абс'!R104 / 'вместе-абс'!R$2 - 1</f>
        <v>2.2823189831369399</v>
      </c>
      <c r="S104" s="2">
        <f>'вместе-абс'!S104 / 'вместе-абс'!S$2 - 1</f>
        <v>4.6494658952556103</v>
      </c>
      <c r="T104" s="2">
        <f>'вместе-абс'!T104 / 'вместе-абс'!T$2 - 1</f>
        <v>1.5016754201642475</v>
      </c>
      <c r="U104" s="2">
        <f>'вместе-абс'!U104 / 'вместе-абс'!U$2 - 1</f>
        <v>4.2561598608837743</v>
      </c>
      <c r="V104" s="2">
        <f>'вместе-абс'!V104 / 'вместе-абс'!V$2 - 1</f>
        <v>9.656271497362992</v>
      </c>
      <c r="W104" s="2">
        <f>'вместе-абс'!W104 / 'вместе-абс'!W$2 - 1</f>
        <v>0.5980855934065934</v>
      </c>
    </row>
    <row r="105" spans="1:23" x14ac:dyDescent="0.25">
      <c r="A105" s="9">
        <f>'вместе-абс'!A105</f>
        <v>2020</v>
      </c>
      <c r="B105" s="2">
        <f>'вместе-абс'!B105 / 'вместе-абс'!B$2 - 1</f>
        <v>4.3258111962836692</v>
      </c>
      <c r="C105" s="2">
        <f>'вместе-абс'!C105 / 'вместе-абс'!C$2 - 1</f>
        <v>4.7811057920067519</v>
      </c>
      <c r="D105" s="2">
        <f>'вместе-абс'!D105 / 'вместе-абс'!D$2 - 1</f>
        <v>7.1046072275223473</v>
      </c>
      <c r="E105" s="2">
        <f>'вместе-абс'!E105 / 'вместе-абс'!E$2 - 1</f>
        <v>9.4197941691265417</v>
      </c>
      <c r="F105" s="2">
        <f>'вместе-абс'!F105 / 'вместе-абс'!F$2 - 1</f>
        <v>4.7547717827785876</v>
      </c>
      <c r="G105" s="2">
        <f>'вместе-абс'!G105 / 'вместе-абс'!G$2 - 1</f>
        <v>10.318301886188339</v>
      </c>
      <c r="H105" s="2">
        <f>'вместе-абс'!H105 / 'вместе-абс'!H$2 - 1</f>
        <v>12.75634715378153</v>
      </c>
      <c r="I105" s="2">
        <f>'вместе-абс'!I105 / 'вместе-абс'!I$2 - 1</f>
        <v>12.517866236424355</v>
      </c>
      <c r="J105" s="2">
        <f>'вместе-абс'!J105 / 'вместе-абс'!J$2 - 1</f>
        <v>8.012828895914458</v>
      </c>
      <c r="K105" s="2">
        <f>'вместе-абс'!K105 / 'вместе-абс'!K$2 - 1</f>
        <v>11.6858193835692</v>
      </c>
      <c r="L105" s="2">
        <f>'вместе-абс'!L105 / 'вместе-абс'!L$2 - 1</f>
        <v>3.0841996331652766</v>
      </c>
      <c r="M105" s="2">
        <f>'вместе-абс'!M105 / 'вместе-абс'!M$2 - 1</f>
        <v>7.5859876705516864</v>
      </c>
      <c r="N105" s="2">
        <f>'вместе-абс'!N105 / 'вместе-абс'!N$2 - 1</f>
        <v>9.8961135715265058</v>
      </c>
      <c r="O105" s="2">
        <f>'вместе-абс'!O105 / 'вместе-абс'!O$2 - 1</f>
        <v>8.9441721779639263</v>
      </c>
      <c r="P105" s="2">
        <f>'вместе-абс'!P105 / 'вместе-абс'!P$2 - 1</f>
        <v>9.5501135892100706</v>
      </c>
      <c r="Q105" s="2">
        <f>'вместе-абс'!Q105 / 'вместе-абс'!Q$2 - 1</f>
        <v>6.2659800530162384</v>
      </c>
      <c r="R105" s="2">
        <f>'вместе-абс'!R105 / 'вместе-абс'!R$2 - 1</f>
        <v>2.2837638123495805</v>
      </c>
      <c r="S105" s="2">
        <f>'вместе-абс'!S105 / 'вместе-абс'!S$2 - 1</f>
        <v>4.6743651794960988</v>
      </c>
      <c r="T105" s="2">
        <f>'вместе-абс'!T105 / 'вместе-абс'!T$2 - 1</f>
        <v>1.5067609586007205</v>
      </c>
      <c r="U105" s="2">
        <f>'вместе-абс'!U105 / 'вместе-абс'!U$2 - 1</f>
        <v>4.2984488942637444</v>
      </c>
      <c r="V105" s="2">
        <f>'вместе-абс'!V105 / 'вместе-абс'!V$2 - 1</f>
        <v>9.7757978183247616</v>
      </c>
      <c r="W105" s="2">
        <f>'вместе-абс'!W105 / 'вместе-абс'!W$2 - 1</f>
        <v>0.59724520879120901</v>
      </c>
    </row>
    <row r="106" spans="1:23" x14ac:dyDescent="0.25">
      <c r="A106" s="9">
        <f>'вместе-абс'!A106</f>
        <v>2021</v>
      </c>
      <c r="B106" s="2">
        <f>'вместе-абс'!B106 / 'вместе-абс'!B$2 - 1</f>
        <v>4.3517668433639738</v>
      </c>
      <c r="C106" s="2">
        <f>'вместе-абс'!C106 / 'вместе-абс'!C$2 - 1</f>
        <v>4.8480412237982353</v>
      </c>
      <c r="D106" s="2">
        <f>'вместе-абс'!D106 / 'вместе-абс'!D$2 - 1</f>
        <v>7.1438943411036284</v>
      </c>
      <c r="E106" s="2">
        <f>'вместе-абс'!E106 / 'вместе-абс'!E$2 - 1</f>
        <v>9.344221254634931</v>
      </c>
      <c r="F106" s="2">
        <f>'вместе-абс'!F106 / 'вместе-абс'!F$2 - 1</f>
        <v>4.828742862033601</v>
      </c>
      <c r="G106" s="2">
        <f>'вместе-абс'!G106 / 'вместе-абс'!G$2 - 1</f>
        <v>10.512068595652579</v>
      </c>
      <c r="H106" s="2">
        <f>'вместе-абс'!H106 / 'вместе-абс'!H$2 - 1</f>
        <v>12.977410873638005</v>
      </c>
      <c r="I106" s="2">
        <f>'вместе-абс'!I106 / 'вместе-абс'!I$2 - 1</f>
        <v>12.653091428123744</v>
      </c>
      <c r="J106" s="2">
        <f>'вместе-абс'!J106 / 'вместе-абс'!J$2 - 1</f>
        <v>8.1097429368817977</v>
      </c>
      <c r="K106" s="2">
        <f>'вместе-абс'!K106 / 'вместе-абс'!K$2 - 1</f>
        <v>11.783286360490656</v>
      </c>
      <c r="L106" s="2">
        <f>'вместе-абс'!L106 / 'вместе-абс'!L$2 - 1</f>
        <v>3.0730656917514771</v>
      </c>
      <c r="M106" s="2">
        <f>'вместе-абс'!M106 / 'вместе-абс'!M$2 - 1</f>
        <v>7.647906561421312</v>
      </c>
      <c r="N106" s="2">
        <f>'вместе-абс'!N106 / 'вместе-абс'!N$2 - 1</f>
        <v>10.021562269250019</v>
      </c>
      <c r="O106" s="2">
        <f>'вместе-абс'!O106 / 'вместе-абс'!O$2 - 1</f>
        <v>9.0666729036080707</v>
      </c>
      <c r="P106" s="2">
        <f>'вместе-абс'!P106 / 'вместе-абс'!P$2 - 1</f>
        <v>9.68577134686055</v>
      </c>
      <c r="Q106" s="2">
        <f>'вместе-абс'!Q106 / 'вместе-абс'!Q$2 - 1</f>
        <v>6.3371661166622593</v>
      </c>
      <c r="R106" s="2">
        <f>'вместе-абс'!R106 / 'вместе-абс'!R$2 - 1</f>
        <v>2.2837734875452012</v>
      </c>
      <c r="S106" s="2">
        <f>'вместе-абс'!S106 / 'вместе-абс'!S$2 - 1</f>
        <v>4.703164192071112</v>
      </c>
      <c r="T106" s="2">
        <f>'вместе-абс'!T106 / 'вместе-абс'!T$2 - 1</f>
        <v>1.5101379830515995</v>
      </c>
      <c r="U106" s="2">
        <f>'вместе-абс'!U106 / 'вместе-абс'!U$2 - 1</f>
        <v>4.3280602025913524</v>
      </c>
      <c r="V106" s="2">
        <f>'вместе-абс'!V106 / 'вместе-абс'!V$2 - 1</f>
        <v>9.8721662790316778</v>
      </c>
      <c r="W106" s="2">
        <f>'вместе-абс'!W106 / 'вместе-абс'!W$2 - 1</f>
        <v>0.59336321978021989</v>
      </c>
    </row>
    <row r="107" spans="1:23" x14ac:dyDescent="0.25">
      <c r="A107" s="9">
        <f>'вместе-абс'!A107</f>
        <v>2022</v>
      </c>
      <c r="B107" s="2">
        <f>'вместе-абс'!B107 / 'вместе-абс'!B$2 - 1</f>
        <v>4.3759378376679541</v>
      </c>
      <c r="C107" s="2">
        <f>'вместе-абс'!C107 / 'вместе-абс'!C$2 - 1</f>
        <v>4.9191422192447067</v>
      </c>
      <c r="D107" s="2">
        <f>'вместе-абс'!D107 / 'вместе-абс'!D$2 - 1</f>
        <v>7.1796901963212107</v>
      </c>
      <c r="E107" s="2">
        <f>'вместе-абс'!E107 / 'вместе-абс'!E$2 - 1</f>
        <v>9.3351363865816506</v>
      </c>
      <c r="F107" s="2">
        <f>'вместе-абс'!F107 / 'вместе-абс'!F$2 - 1</f>
        <v>4.9021188292158486</v>
      </c>
      <c r="G107" s="2">
        <f>'вместе-абс'!G107 / 'вместе-абс'!G$2 - 1</f>
        <v>10.708127163225251</v>
      </c>
      <c r="H107" s="2">
        <f>'вместе-абс'!H107 / 'вместе-абс'!H$2 - 1</f>
        <v>13.199811363691662</v>
      </c>
      <c r="I107" s="2">
        <f>'вместе-абс'!I107 / 'вместе-абс'!I$2 - 1</f>
        <v>12.782194725451216</v>
      </c>
      <c r="J107" s="2">
        <f>'вместе-абс'!J107 / 'вместе-абс'!J$2 - 1</f>
        <v>8.205160740425578</v>
      </c>
      <c r="K107" s="2">
        <f>'вместе-абс'!K107 / 'вместе-абс'!K$2 - 1</f>
        <v>11.876004232570734</v>
      </c>
      <c r="L107" s="2">
        <f>'вместе-абс'!L107 / 'вместе-абс'!L$2 - 1</f>
        <v>3.0600636173058646</v>
      </c>
      <c r="M107" s="2">
        <f>'вместе-абс'!M107 / 'вместе-абс'!M$2 - 1</f>
        <v>7.7129868053212256</v>
      </c>
      <c r="N107" s="2">
        <f>'вместе-абс'!N107 / 'вместе-абс'!N$2 - 1</f>
        <v>10.151157239540572</v>
      </c>
      <c r="O107" s="2">
        <f>'вместе-абс'!O107 / 'вместе-абс'!O$2 - 1</f>
        <v>9.1927166917343737</v>
      </c>
      <c r="P107" s="2">
        <f>'вместе-абс'!P107 / 'вместе-абс'!P$2 - 1</f>
        <v>9.8174303463799237</v>
      </c>
      <c r="Q107" s="2">
        <f>'вместе-абс'!Q107 / 'вместе-абс'!Q$2 - 1</f>
        <v>6.4082566555545428</v>
      </c>
      <c r="R107" s="2">
        <f>'вместе-абс'!R107 / 'вместе-абс'!R$2 - 1</f>
        <v>2.2837799376756145</v>
      </c>
      <c r="S107" s="2">
        <f>'вместе-абс'!S107 / 'вместе-абс'!S$2 - 1</f>
        <v>4.7336707153092368</v>
      </c>
      <c r="T107" s="2">
        <f>'вместе-абс'!T107 / 'вместе-абс'!T$2 - 1</f>
        <v>1.5121359770568903</v>
      </c>
      <c r="U107" s="2">
        <f>'вместе-абс'!U107 / 'вместе-абс'!U$2 - 1</f>
        <v>4.3587862600404153</v>
      </c>
      <c r="V107" s="2">
        <f>'вместе-абс'!V107 / 'вместе-абс'!V$2 - 1</f>
        <v>9.9700737052445376</v>
      </c>
      <c r="W107" s="2">
        <f>'вместе-абс'!W107 / 'вместе-абс'!W$2 - 1</f>
        <v>0.5878235604395603</v>
      </c>
    </row>
    <row r="108" spans="1:23" x14ac:dyDescent="0.25">
      <c r="A108" s="9"/>
    </row>
    <row r="109" spans="1:23" x14ac:dyDescent="0.25">
      <c r="A109" s="9"/>
    </row>
    <row r="110" spans="1:23" x14ac:dyDescent="0.25">
      <c r="A110" s="9"/>
    </row>
    <row r="111" spans="1:23" x14ac:dyDescent="0.25">
      <c r="A111" s="9"/>
    </row>
    <row r="112" spans="1:23" x14ac:dyDescent="0.25">
      <c r="A112" s="9"/>
    </row>
    <row r="113" spans="1:1" x14ac:dyDescent="0.25">
      <c r="A113" s="9"/>
    </row>
    <row r="114" spans="1:1" x14ac:dyDescent="0.25">
      <c r="A114" s="9"/>
    </row>
    <row r="115" spans="1:1" x14ac:dyDescent="0.25">
      <c r="A115" s="9"/>
    </row>
    <row r="116" spans="1:1" x14ac:dyDescent="0.25">
      <c r="A116" s="9"/>
    </row>
    <row r="117" spans="1:1" x14ac:dyDescent="0.25">
      <c r="A117" s="9"/>
    </row>
    <row r="118" spans="1:1" x14ac:dyDescent="0.25">
      <c r="A118" s="9"/>
    </row>
    <row r="119" spans="1:1" x14ac:dyDescent="0.25">
      <c r="A119" s="9"/>
    </row>
    <row r="120" spans="1:1" x14ac:dyDescent="0.25">
      <c r="A120" s="9"/>
    </row>
    <row r="121" spans="1:1" x14ac:dyDescent="0.25">
      <c r="A121" s="9"/>
    </row>
    <row r="122" spans="1:1" x14ac:dyDescent="0.25">
      <c r="A122" s="9"/>
    </row>
    <row r="123" spans="1:1" x14ac:dyDescent="0.25">
      <c r="A123" s="9"/>
    </row>
    <row r="124" spans="1:1" x14ac:dyDescent="0.25">
      <c r="A124" s="9"/>
    </row>
    <row r="125" spans="1:1" x14ac:dyDescent="0.25">
      <c r="A125" s="9"/>
    </row>
    <row r="126" spans="1:1" x14ac:dyDescent="0.25">
      <c r="A126" s="9"/>
    </row>
    <row r="127" spans="1:1" x14ac:dyDescent="0.25">
      <c r="A127" s="9"/>
    </row>
    <row r="128" spans="1:1" x14ac:dyDescent="0.25">
      <c r="A128" s="9"/>
    </row>
    <row r="129" spans="1:1" x14ac:dyDescent="0.25">
      <c r="A129" s="9"/>
    </row>
    <row r="130" spans="1:1" x14ac:dyDescent="0.25">
      <c r="A130" s="9"/>
    </row>
    <row r="131" spans="1:1" x14ac:dyDescent="0.25">
      <c r="A131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Notes</vt:lpstr>
      <vt:lpstr>LA</vt:lpstr>
      <vt:lpstr>RSFSR</vt:lpstr>
      <vt:lpstr>вместе-абс</vt:lpstr>
      <vt:lpstr>вместе-отн-2</vt:lpstr>
      <vt:lpstr>вместе-отн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2026-06-14T18:27:22Z</dcterms:modified>
</cp:coreProperties>
</file>