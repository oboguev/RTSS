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rtss-mexico\src\main\resources\latinamerica\"/>
    </mc:Choice>
  </mc:AlternateContent>
  <xr:revisionPtr revIDLastSave="0" documentId="13_ncr:1_{182360A6-EAB2-4773-B9CA-B70382233018}" xr6:coauthVersionLast="45" xr6:coauthVersionMax="45" xr10:uidLastSave="{00000000-0000-0000-0000-000000000000}"/>
  <bookViews>
    <workbookView xWindow="-60" yWindow="-60" windowWidth="38520" windowHeight="23700" activeTab="4" xr2:uid="{0C6DB7CF-7936-4F84-A18A-9F2841EE8776}"/>
  </bookViews>
  <sheets>
    <sheet name="Notes" sheetId="2" r:id="rId1"/>
    <sheet name="LA" sheetId="1" r:id="rId2"/>
    <sheet name="RSFSR" sheetId="3" r:id="rId3"/>
    <sheet name="вместе-абс" sheetId="4" r:id="rId4"/>
    <sheet name="вместе-отн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07" i="5" l="1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B107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B99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B98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B97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B96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B95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B94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B93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A88" i="5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87" i="5"/>
  <c r="A86" i="5"/>
  <c r="A87" i="4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86" i="4"/>
  <c r="A89" i="3" l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88" i="3"/>
  <c r="V85" i="5" l="1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29" i="3"/>
  <c r="A30" i="3" s="1"/>
  <c r="A31" i="3" s="1"/>
  <c r="A32" i="3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13" i="3" l="1"/>
  <c r="A12" i="3" s="1"/>
  <c r="A11" i="3" s="1"/>
  <c r="A10" i="3" s="1"/>
  <c r="A9" i="3" s="1"/>
  <c r="A8" i="3" s="1"/>
  <c r="A7" i="3" s="1"/>
  <c r="A6" i="3" s="1"/>
  <c r="A5" i="3" s="1"/>
  <c r="A4" i="3" s="1"/>
  <c r="A47" i="3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</calcChain>
</file>

<file path=xl/sharedStrings.xml><?xml version="1.0" encoding="utf-8"?>
<sst xmlns="http://schemas.openxmlformats.org/spreadsheetml/2006/main" count="98" uniqueCount="54">
  <si>
    <t>Statistical Abstract of Latin America (vol 38, 2002), UCLA Latin America Center Publications, стр. 150-159</t>
  </si>
  <si>
    <t>год</t>
  </si>
  <si>
    <t>Аргентина</t>
  </si>
  <si>
    <t>Боливия</t>
  </si>
  <si>
    <t>Бразилия</t>
  </si>
  <si>
    <t>Чили</t>
  </si>
  <si>
    <t>Колумбия</t>
  </si>
  <si>
    <t>Коста-Рика</t>
  </si>
  <si>
    <t>Куба</t>
  </si>
  <si>
    <t>Доминиканская республика</t>
  </si>
  <si>
    <t>Эквадор</t>
  </si>
  <si>
    <t>Эль-Сальвадор</t>
  </si>
  <si>
    <t>Гватемала</t>
  </si>
  <si>
    <t>Гаити</t>
  </si>
  <si>
    <t>Гондурас</t>
  </si>
  <si>
    <t>Мексика</t>
  </si>
  <si>
    <t>Никарагуа</t>
  </si>
  <si>
    <t>Панама</t>
  </si>
  <si>
    <t>Парагвай</t>
  </si>
  <si>
    <t>Перу</t>
  </si>
  <si>
    <t>Уругвай</t>
  </si>
  <si>
    <t>Венецуэлла</t>
  </si>
  <si>
    <t>Для Гватемалы, Перу и Уругвая  данные выправлены на недоучёт.</t>
  </si>
  <si>
    <t>Для Колумбии на 24 октября календарного года.</t>
  </si>
  <si>
    <t>Для Бразилии и Венецуэллы данные не включают туземное население в удалённых областях</t>
  </si>
  <si>
    <t>Для Эквадора данные не включают кочевое туземное население.</t>
  </si>
  <si>
    <t>Значения для большинства стран даны на середину календарного года</t>
  </si>
  <si>
    <t>Исторические данные за 1900-1950 приведены по</t>
  </si>
  <si>
    <t>Statistical Abstract ofLatin America, Supplement 3 (1974) "Statistics and National Policy", UCLA Latin American Center, стр. 173-187</t>
  </si>
  <si>
    <t>далее по UN Demographic Yearbook, отдельные годы по UN Population Division и МВФ</t>
  </si>
  <si>
    <t>где они даны с дополнительным десятичным знаком</t>
  </si>
  <si>
    <t>Источник для стран Латинской Америки:</t>
  </si>
  <si>
    <t xml:space="preserve">1927-1959 </t>
  </si>
  <si>
    <t>реконструкция АДХ</t>
  </si>
  <si>
    <t>Е.М.Андреев, Л.Е.Дарский, Т.Л. Харькова, "Демографическая история России : 1927-1959", НИИ статистики Госкомстата России, Отделение демографии, М. 1998, 157-160</t>
  </si>
  <si>
    <t>Госкомстат России, "Население России за 100 лет (1897-1997)", М. 1998, стр. 32-34</t>
  </si>
  <si>
    <t>Госкомстат России, "Население России за 100 лет (1897-1997)", М. 1998, стр. 32</t>
  </si>
  <si>
    <t>Заполнены интерполяцией</t>
  </si>
  <si>
    <t>Источники для РСФСР/РФ:</t>
  </si>
  <si>
    <t>1960-1988</t>
  </si>
  <si>
    <t>1989-2000</t>
  </si>
  <si>
    <t>Росстат, "Демографический ежегодник России 2010", стр. 25</t>
  </si>
  <si>
    <t>РСФСР</t>
  </si>
  <si>
    <t>кроме 1942-1945</t>
  </si>
  <si>
    <t>1942-1945</t>
  </si>
  <si>
    <t>2001-2014</t>
  </si>
  <si>
    <t>2015-2022</t>
  </si>
  <si>
    <t>Росстат, "Демографический ежегодник России 2023", стр. 15</t>
  </si>
  <si>
    <t>Из РосБРиС через rtss.losses199x.util.PrintPopulation (численность населения на начало календарного года в границах РФ 1991-2014)</t>
  </si>
  <si>
    <t>1900-2000</t>
  </si>
  <si>
    <t>2001-2022</t>
  </si>
  <si>
    <t>UN WPP 2024</t>
  </si>
  <si>
    <t>В переходные годы 1995-2000 склейка</t>
  </si>
  <si>
    <t>Страница "SALA WPP 2024" файла Latin-America-Population.xlsx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</si>
</sst>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3" fontId="0" fillId="0" borderId="0" xfId="0" applyNumberFormat="1"/>
    <xf numFmtId="3" fontId="0" fillId="3" borderId="0" xfId="0" applyNumberFormat="1" applyFill="1"/>
    <xf numFmtId="3" fontId="0" fillId="0" borderId="0" xfId="0" applyNumberFormat="1" applyAlignment="1">
      <alignment horizontal="right"/>
    </xf>
    <xf numFmtId="3" fontId="0" fillId="3" borderId="0" xfId="0" applyNumberFormat="1" applyFill="1" applyAlignment="1">
      <alignment horizontal="right"/>
    </xf>
    <xf numFmtId="1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'вместе-отн'!$B$1</c:f>
              <c:strCache>
                <c:ptCount val="1"/>
                <c:pt idx="0">
                  <c:v>Аргентина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'вместе-отн'!$A$2:$A$85</c:f>
              <c:numCache>
                <c:formatCode>0</c:formatCode>
                <c:ptCount val="84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</c:numCache>
            </c:numRef>
          </c:xVal>
          <c:yVal>
            <c:numRef>
              <c:f>'вместе-отн'!$B$2:$B$85</c:f>
              <c:numCache>
                <c:formatCode>0.00</c:formatCode>
                <c:ptCount val="84"/>
                <c:pt idx="0">
                  <c:v>0</c:v>
                </c:pt>
                <c:pt idx="1">
                  <c:v>1.7169923031379514E-2</c:v>
                </c:pt>
                <c:pt idx="2">
                  <c:v>3.6589698046181174E-2</c:v>
                </c:pt>
                <c:pt idx="3">
                  <c:v>6.2048549437537001E-2</c:v>
                </c:pt>
                <c:pt idx="4">
                  <c:v>9.1178211959739491E-2</c:v>
                </c:pt>
                <c:pt idx="5">
                  <c:v>0.12741267021906452</c:v>
                </c:pt>
                <c:pt idx="6">
                  <c:v>0.17134399052693902</c:v>
                </c:pt>
                <c:pt idx="7">
                  <c:v>0.20970988750740083</c:v>
                </c:pt>
                <c:pt idx="8">
                  <c:v>0.2433392539964476</c:v>
                </c:pt>
                <c:pt idx="9">
                  <c:v>0.27933688573120191</c:v>
                </c:pt>
                <c:pt idx="10">
                  <c:v>0.31746595618709295</c:v>
                </c:pt>
                <c:pt idx="11">
                  <c:v>0.35441089402013026</c:v>
                </c:pt>
                <c:pt idx="12">
                  <c:v>0.39088217880402604</c:v>
                </c:pt>
                <c:pt idx="13">
                  <c:v>0.42652457075192424</c:v>
                </c:pt>
                <c:pt idx="14">
                  <c:v>0.45494375370041445</c:v>
                </c:pt>
                <c:pt idx="15">
                  <c:v>0.4821788040260509</c:v>
                </c:pt>
                <c:pt idx="16">
                  <c:v>0.50728241563055065</c:v>
                </c:pt>
                <c:pt idx="17">
                  <c:v>0.5322676139727649</c:v>
                </c:pt>
                <c:pt idx="18">
                  <c:v>0.55689757252812311</c:v>
                </c:pt>
                <c:pt idx="19">
                  <c:v>0.58342214328004738</c:v>
                </c:pt>
                <c:pt idx="20">
                  <c:v>0.61136767317939611</c:v>
                </c:pt>
                <c:pt idx="21">
                  <c:v>0.6389579632918887</c:v>
                </c:pt>
                <c:pt idx="22">
                  <c:v>0.66429840142095919</c:v>
                </c:pt>
                <c:pt idx="23">
                  <c:v>0.67779751332149196</c:v>
                </c:pt>
                <c:pt idx="24">
                  <c:v>0.70526939017169921</c:v>
                </c:pt>
                <c:pt idx="25">
                  <c:v>0.73321492007104794</c:v>
                </c:pt>
                <c:pt idx="26">
                  <c:v>0.76163410301953816</c:v>
                </c:pt>
                <c:pt idx="27">
                  <c:v>0.79159265837773829</c:v>
                </c:pt>
                <c:pt idx="28">
                  <c:v>0.82238010657193605</c:v>
                </c:pt>
                <c:pt idx="29">
                  <c:v>0.8536412078152753</c:v>
                </c:pt>
                <c:pt idx="30">
                  <c:v>0.88608644168146833</c:v>
                </c:pt>
                <c:pt idx="31">
                  <c:v>0.92646536412078151</c:v>
                </c:pt>
                <c:pt idx="32">
                  <c:v>0.97229129662522207</c:v>
                </c:pt>
                <c:pt idx="33">
                  <c:v>1.0213143872113677</c:v>
                </c:pt>
                <c:pt idx="34">
                  <c:v>1.0613380698638248</c:v>
                </c:pt>
                <c:pt idx="35">
                  <c:v>1.1015156897572527</c:v>
                </c:pt>
                <c:pt idx="36">
                  <c:v>1.1414446417998816</c:v>
                </c:pt>
                <c:pt idx="37">
                  <c:v>1.1808880994671402</c:v>
                </c:pt>
                <c:pt idx="38">
                  <c:v>1.2196092362344582</c:v>
                </c:pt>
                <c:pt idx="39">
                  <c:v>1.2581882770870338</c:v>
                </c:pt>
                <c:pt idx="40">
                  <c:v>1.2967199526346951</c:v>
                </c:pt>
                <c:pt idx="41">
                  <c:v>1.3351687388987568</c:v>
                </c:pt>
                <c:pt idx="42">
                  <c:v>1.3743398460627589</c:v>
                </c:pt>
                <c:pt idx="43">
                  <c:v>1.4139727649496743</c:v>
                </c:pt>
                <c:pt idx="44">
                  <c:v>1.4542687981053877</c:v>
                </c:pt>
                <c:pt idx="45">
                  <c:v>1.4952634695085849</c:v>
                </c:pt>
                <c:pt idx="46">
                  <c:v>1.5366133806986384</c:v>
                </c:pt>
                <c:pt idx="47">
                  <c:v>1.5777975133214921</c:v>
                </c:pt>
                <c:pt idx="48">
                  <c:v>1.6184251036116044</c:v>
                </c:pt>
                <c:pt idx="49">
                  <c:v>1.6588395500296036</c:v>
                </c:pt>
                <c:pt idx="50">
                  <c:v>1.6997158081705148</c:v>
                </c:pt>
                <c:pt idx="51">
                  <c:v>1.7413380698638246</c:v>
                </c:pt>
                <c:pt idx="52">
                  <c:v>1.7837418590882179</c:v>
                </c:pt>
                <c:pt idx="53">
                  <c:v>1.8275074008288927</c:v>
                </c:pt>
                <c:pt idx="54">
                  <c:v>1.8723741859088219</c:v>
                </c:pt>
                <c:pt idx="55">
                  <c:v>1.9182119597394907</c:v>
                </c:pt>
                <c:pt idx="56">
                  <c:v>1.9657785671995263</c:v>
                </c:pt>
                <c:pt idx="57">
                  <c:v>2.0149674363528716</c:v>
                </c:pt>
                <c:pt idx="58">
                  <c:v>2.0638365896980462</c:v>
                </c:pt>
                <c:pt idx="59">
                  <c:v>2.1121728833629367</c:v>
                </c:pt>
                <c:pt idx="60">
                  <c:v>2.1618472468916519</c:v>
                </c:pt>
                <c:pt idx="61">
                  <c:v>2.2128123149792778</c:v>
                </c:pt>
                <c:pt idx="62">
                  <c:v>2.2645233866193015</c:v>
                </c:pt>
                <c:pt idx="63">
                  <c:v>2.3169449378330373</c:v>
                </c:pt>
                <c:pt idx="64">
                  <c:v>2.3705150976909413</c:v>
                </c:pt>
                <c:pt idx="65">
                  <c:v>2.4250207223208999</c:v>
                </c:pt>
                <c:pt idx="66">
                  <c:v>2.4803197158081702</c:v>
                </c:pt>
                <c:pt idx="67">
                  <c:v>2.5361870929544108</c:v>
                </c:pt>
                <c:pt idx="68">
                  <c:v>2.5922320899940794</c:v>
                </c:pt>
                <c:pt idx="69">
                  <c:v>2.648549437537004</c:v>
                </c:pt>
                <c:pt idx="70">
                  <c:v>2.7053641207815273</c:v>
                </c:pt>
                <c:pt idx="71">
                  <c:v>2.7632326820603907</c:v>
                </c:pt>
                <c:pt idx="72">
                  <c:v>2.8213025458851395</c:v>
                </c:pt>
                <c:pt idx="73">
                  <c:v>2.8787329780935464</c:v>
                </c:pt>
                <c:pt idx="74">
                  <c:v>2.9349082297217293</c:v>
                </c:pt>
                <c:pt idx="75">
                  <c:v>2.9897572528123151</c:v>
                </c:pt>
                <c:pt idx="76">
                  <c:v>3.0441326228537591</c:v>
                </c:pt>
                <c:pt idx="77">
                  <c:v>3.0986974541148609</c:v>
                </c:pt>
                <c:pt idx="78">
                  <c:v>3.152753108348135</c:v>
                </c:pt>
                <c:pt idx="79">
                  <c:v>3.2053049141503851</c:v>
                </c:pt>
                <c:pt idx="80">
                  <c:v>3.2566962699822382</c:v>
                </c:pt>
                <c:pt idx="81">
                  <c:v>3.3070337477797516</c:v>
                </c:pt>
                <c:pt idx="82">
                  <c:v>3.3569804618117227</c:v>
                </c:pt>
                <c:pt idx="83">
                  <c:v>3.406631142687981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F9-4868-9F54-2D1095A4FC5F}"/>
            </c:ext>
          </c:extLst>
        </c:ser>
        <c:ser>
          <c:idx val="1"/>
          <c:order val="1"/>
          <c:tx>
            <c:strRef>
              <c:f>'вместе-отн'!$C$1</c:f>
              <c:strCache>
                <c:ptCount val="1"/>
                <c:pt idx="0">
                  <c:v>Боливия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'вместе-отн'!$A$2:$A$85</c:f>
              <c:numCache>
                <c:formatCode>0</c:formatCode>
                <c:ptCount val="84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</c:numCache>
            </c:numRef>
          </c:xVal>
          <c:yVal>
            <c:numRef>
              <c:f>'вместе-отн'!$C$2:$C$85</c:f>
              <c:numCache>
                <c:formatCode>0.00</c:formatCode>
                <c:ptCount val="84"/>
                <c:pt idx="0">
                  <c:v>0</c:v>
                </c:pt>
                <c:pt idx="1">
                  <c:v>8.649687650168188E-3</c:v>
                </c:pt>
                <c:pt idx="2">
                  <c:v>1.7779913503123499E-2</c:v>
                </c:pt>
                <c:pt idx="3">
                  <c:v>2.6429601153291685E-2</c:v>
                </c:pt>
                <c:pt idx="4">
                  <c:v>3.8443056222969729E-2</c:v>
                </c:pt>
                <c:pt idx="5">
                  <c:v>5.0456511292647763E-2</c:v>
                </c:pt>
                <c:pt idx="6">
                  <c:v>6.2950504565112933E-2</c:v>
                </c:pt>
                <c:pt idx="7">
                  <c:v>7.4963959634790966E-2</c:v>
                </c:pt>
                <c:pt idx="8">
                  <c:v>8.7457952907256123E-2</c:v>
                </c:pt>
                <c:pt idx="9">
                  <c:v>9.9951946179721293E-2</c:v>
                </c:pt>
                <c:pt idx="10">
                  <c:v>0.11292647765497357</c:v>
                </c:pt>
                <c:pt idx="11">
                  <c:v>0.12590100913022587</c:v>
                </c:pt>
                <c:pt idx="12">
                  <c:v>0.13887554060547813</c:v>
                </c:pt>
                <c:pt idx="13">
                  <c:v>0.15185007208073042</c:v>
                </c:pt>
                <c:pt idx="14">
                  <c:v>0.16530514175876981</c:v>
                </c:pt>
                <c:pt idx="15">
                  <c:v>0.17876021143680923</c:v>
                </c:pt>
                <c:pt idx="16">
                  <c:v>0.19269581931763574</c:v>
                </c:pt>
                <c:pt idx="17">
                  <c:v>0.20663142719846228</c:v>
                </c:pt>
                <c:pt idx="18">
                  <c:v>0.22056703507928879</c:v>
                </c:pt>
                <c:pt idx="19">
                  <c:v>0.23450264296011533</c:v>
                </c:pt>
                <c:pt idx="20">
                  <c:v>0.24891878904372897</c:v>
                </c:pt>
                <c:pt idx="21">
                  <c:v>0.26333493512734263</c:v>
                </c:pt>
                <c:pt idx="22">
                  <c:v>0.27775108121095626</c:v>
                </c:pt>
                <c:pt idx="23">
                  <c:v>0.29264776549735705</c:v>
                </c:pt>
                <c:pt idx="24">
                  <c:v>0.30754444978375783</c:v>
                </c:pt>
                <c:pt idx="25">
                  <c:v>0.32292167227294571</c:v>
                </c:pt>
                <c:pt idx="26">
                  <c:v>0.3382988947621336</c:v>
                </c:pt>
                <c:pt idx="27">
                  <c:v>0.35367611725132148</c:v>
                </c:pt>
                <c:pt idx="28">
                  <c:v>0.36953387794329651</c:v>
                </c:pt>
                <c:pt idx="29">
                  <c:v>0.38539163863527148</c:v>
                </c:pt>
                <c:pt idx="30">
                  <c:v>0.40124939932724651</c:v>
                </c:pt>
                <c:pt idx="31">
                  <c:v>0.41758769822200864</c:v>
                </c:pt>
                <c:pt idx="32">
                  <c:v>0.41999038923594428</c:v>
                </c:pt>
                <c:pt idx="33">
                  <c:v>0.44786160499759731</c:v>
                </c:pt>
                <c:pt idx="34">
                  <c:v>0.47107160019221539</c:v>
                </c:pt>
                <c:pt idx="35">
                  <c:v>0.49750120134550707</c:v>
                </c:pt>
                <c:pt idx="36">
                  <c:v>0.52691013935607878</c:v>
                </c:pt>
                <c:pt idx="37">
                  <c:v>0.55905814512253726</c:v>
                </c:pt>
                <c:pt idx="38">
                  <c:v>0.59341662662181649</c:v>
                </c:pt>
                <c:pt idx="39">
                  <c:v>0.62955309947140792</c:v>
                </c:pt>
                <c:pt idx="40">
                  <c:v>0.66679481018740983</c:v>
                </c:pt>
                <c:pt idx="41">
                  <c:v>0.70456511292647761</c:v>
                </c:pt>
                <c:pt idx="42">
                  <c:v>0.74223930802498794</c:v>
                </c:pt>
                <c:pt idx="43">
                  <c:v>0.77909658817876026</c:v>
                </c:pt>
                <c:pt idx="44">
                  <c:v>0.81580970687169618</c:v>
                </c:pt>
                <c:pt idx="45">
                  <c:v>0.85367611725132153</c:v>
                </c:pt>
                <c:pt idx="46">
                  <c:v>0.8927919269581932</c:v>
                </c:pt>
                <c:pt idx="47">
                  <c:v>0.93320518981259015</c:v>
                </c:pt>
                <c:pt idx="48">
                  <c:v>0.97491590581451237</c:v>
                </c:pt>
                <c:pt idx="49">
                  <c:v>1.0180682364247959</c:v>
                </c:pt>
                <c:pt idx="50">
                  <c:v>1.0627582892839982</c:v>
                </c:pt>
                <c:pt idx="51">
                  <c:v>1.1090341182123977</c:v>
                </c:pt>
                <c:pt idx="52">
                  <c:v>1.1567515617491591</c:v>
                </c:pt>
                <c:pt idx="53">
                  <c:v>1.2056703507928881</c:v>
                </c:pt>
                <c:pt idx="54">
                  <c:v>1.2557904853435848</c:v>
                </c:pt>
                <c:pt idx="55">
                  <c:v>1.3070639115809708</c:v>
                </c:pt>
                <c:pt idx="56">
                  <c:v>1.3595386833253242</c:v>
                </c:pt>
                <c:pt idx="57">
                  <c:v>1.4135031234983182</c:v>
                </c:pt>
                <c:pt idx="58">
                  <c:v>1.4687650168188371</c:v>
                </c:pt>
                <c:pt idx="59">
                  <c:v>1.5259490629505046</c:v>
                </c:pt>
                <c:pt idx="60">
                  <c:v>1.5849111004324843</c:v>
                </c:pt>
                <c:pt idx="61">
                  <c:v>1.644930321960596</c:v>
                </c:pt>
                <c:pt idx="62">
                  <c:v>1.7058145122537243</c:v>
                </c:pt>
                <c:pt idx="63">
                  <c:v>1.7673714560307543</c:v>
                </c:pt>
                <c:pt idx="64">
                  <c:v>1.8294569918308508</c:v>
                </c:pt>
                <c:pt idx="65">
                  <c:v>1.8919269581931766</c:v>
                </c:pt>
                <c:pt idx="66">
                  <c:v>1.9548774627582894</c:v>
                </c:pt>
                <c:pt idx="67">
                  <c:v>2.0186929360884189</c:v>
                </c:pt>
                <c:pt idx="68">
                  <c:v>2.0832292167227293</c:v>
                </c:pt>
                <c:pt idx="69">
                  <c:v>2.1487265737626142</c:v>
                </c:pt>
                <c:pt idx="70">
                  <c:v>2.2158577606919749</c:v>
                </c:pt>
                <c:pt idx="71">
                  <c:v>2.2847188851513693</c:v>
                </c:pt>
                <c:pt idx="72">
                  <c:v>2.3550216242191255</c:v>
                </c:pt>
                <c:pt idx="73">
                  <c:v>2.4262854396924558</c:v>
                </c:pt>
                <c:pt idx="74">
                  <c:v>2.4984622777510812</c:v>
                </c:pt>
                <c:pt idx="75">
                  <c:v>2.5705430081691496</c:v>
                </c:pt>
                <c:pt idx="76">
                  <c:v>2.6420951465641518</c:v>
                </c:pt>
                <c:pt idx="77">
                  <c:v>2.7132628543969246</c:v>
                </c:pt>
                <c:pt idx="78">
                  <c:v>2.7840941854877461</c:v>
                </c:pt>
                <c:pt idx="79">
                  <c:v>2.8547333012974532</c:v>
                </c:pt>
                <c:pt idx="80">
                  <c:v>2.92498798654493</c:v>
                </c:pt>
                <c:pt idx="81">
                  <c:v>2.9949062950504564</c:v>
                </c:pt>
                <c:pt idx="82">
                  <c:v>3.0652570879384906</c:v>
                </c:pt>
                <c:pt idx="83">
                  <c:v>3.1356559346468043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F9-4868-9F54-2D1095A4FC5F}"/>
            </c:ext>
          </c:extLst>
        </c:ser>
        <c:ser>
          <c:idx val="2"/>
          <c:order val="2"/>
          <c:tx>
            <c:strRef>
              <c:f>'вместе-отн'!$D$1</c:f>
              <c:strCache>
                <c:ptCount val="1"/>
                <c:pt idx="0">
                  <c:v>Бразилия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'вместе-отн'!$A$2:$A$85</c:f>
              <c:numCache>
                <c:formatCode>0</c:formatCode>
                <c:ptCount val="84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</c:numCache>
            </c:numRef>
          </c:xVal>
          <c:yVal>
            <c:numRef>
              <c:f>'вместе-отн'!$D$2:$D$85</c:f>
              <c:numCache>
                <c:formatCode>0.00</c:formatCode>
                <c:ptCount val="84"/>
                <c:pt idx="0">
                  <c:v>0</c:v>
                </c:pt>
                <c:pt idx="1">
                  <c:v>2.1179853878439299E-2</c:v>
                </c:pt>
                <c:pt idx="2">
                  <c:v>4.286491528058449E-2</c:v>
                </c:pt>
                <c:pt idx="3">
                  <c:v>6.4977459972019272E-2</c:v>
                </c:pt>
                <c:pt idx="4">
                  <c:v>8.6934556194621482E-2</c:v>
                </c:pt>
                <c:pt idx="5">
                  <c:v>0.10920254935488885</c:v>
                </c:pt>
                <c:pt idx="6">
                  <c:v>0.13189802580444582</c:v>
                </c:pt>
                <c:pt idx="7">
                  <c:v>0.15509870977770868</c:v>
                </c:pt>
                <c:pt idx="8">
                  <c:v>0.17876573915746929</c:v>
                </c:pt>
                <c:pt idx="9">
                  <c:v>0.20289911394372764</c:v>
                </c:pt>
                <c:pt idx="10">
                  <c:v>0.22753769625369191</c:v>
                </c:pt>
                <c:pt idx="11">
                  <c:v>0.25268148608736202</c:v>
                </c:pt>
                <c:pt idx="12">
                  <c:v>0.27833048344473804</c:v>
                </c:pt>
                <c:pt idx="13">
                  <c:v>0.30452355044302815</c:v>
                </c:pt>
                <c:pt idx="14">
                  <c:v>0.33126068708223222</c:v>
                </c:pt>
                <c:pt idx="15">
                  <c:v>0.35850303124514221</c:v>
                </c:pt>
                <c:pt idx="16">
                  <c:v>0.38632830716617439</c:v>
                </c:pt>
                <c:pt idx="17">
                  <c:v>0.41473651484532875</c:v>
                </c:pt>
                <c:pt idx="18">
                  <c:v>0.4437276542826053</c:v>
                </c:pt>
                <c:pt idx="19">
                  <c:v>0.47330172547800403</c:v>
                </c:pt>
                <c:pt idx="20">
                  <c:v>0.50345872843152495</c:v>
                </c:pt>
                <c:pt idx="21">
                  <c:v>0.53427638737758432</c:v>
                </c:pt>
                <c:pt idx="22">
                  <c:v>0.56571584019897403</c:v>
                </c:pt>
                <c:pt idx="23">
                  <c:v>0.59777708689569409</c:v>
                </c:pt>
                <c:pt idx="24">
                  <c:v>0.63489040882947301</c:v>
                </c:pt>
                <c:pt idx="25">
                  <c:v>0.67348049121716147</c:v>
                </c:pt>
                <c:pt idx="26">
                  <c:v>0.70962226022073682</c:v>
                </c:pt>
                <c:pt idx="27">
                  <c:v>0.74265505984766045</c:v>
                </c:pt>
                <c:pt idx="28">
                  <c:v>0.78221669516555259</c:v>
                </c:pt>
                <c:pt idx="29">
                  <c:v>0.82554795585263485</c:v>
                </c:pt>
                <c:pt idx="30">
                  <c:v>0.8716384268614954</c:v>
                </c:pt>
                <c:pt idx="31">
                  <c:v>0.92064355666096687</c:v>
                </c:pt>
                <c:pt idx="32">
                  <c:v>0.97260220736825742</c:v>
                </c:pt>
                <c:pt idx="33">
                  <c:v>1.0277475516866159</c:v>
                </c:pt>
                <c:pt idx="34">
                  <c:v>1.0902494947924763</c:v>
                </c:pt>
                <c:pt idx="35">
                  <c:v>1.1577413337478626</c:v>
                </c:pt>
                <c:pt idx="36">
                  <c:v>1.2297372920876728</c:v>
                </c:pt>
                <c:pt idx="37">
                  <c:v>1.3057710244054095</c:v>
                </c:pt>
                <c:pt idx="38">
                  <c:v>1.3854267060469456</c:v>
                </c:pt>
                <c:pt idx="39">
                  <c:v>1.4681602673713663</c:v>
                </c:pt>
                <c:pt idx="40">
                  <c:v>1.5532372143634383</c:v>
                </c:pt>
                <c:pt idx="41">
                  <c:v>1.639798694232862</c:v>
                </c:pt>
                <c:pt idx="42">
                  <c:v>1.726904243743199</c:v>
                </c:pt>
                <c:pt idx="43">
                  <c:v>1.8131548266749575</c:v>
                </c:pt>
                <c:pt idx="44">
                  <c:v>1.899323799160578</c:v>
                </c:pt>
                <c:pt idx="45">
                  <c:v>1.9871482978392665</c:v>
                </c:pt>
                <c:pt idx="46">
                  <c:v>2.0764884190890718</c:v>
                </c:pt>
                <c:pt idx="47">
                  <c:v>2.1668195243276855</c:v>
                </c:pt>
                <c:pt idx="48">
                  <c:v>2.2573293953054563</c:v>
                </c:pt>
                <c:pt idx="49">
                  <c:v>2.3475594590393283</c:v>
                </c:pt>
                <c:pt idx="50">
                  <c:v>2.437202704803358</c:v>
                </c:pt>
                <c:pt idx="51">
                  <c:v>2.5263951500077724</c:v>
                </c:pt>
                <c:pt idx="52">
                  <c:v>2.6159567853256647</c:v>
                </c:pt>
                <c:pt idx="53">
                  <c:v>2.7065016322089228</c:v>
                </c:pt>
                <c:pt idx="54">
                  <c:v>2.7983561324420956</c:v>
                </c:pt>
                <c:pt idx="55">
                  <c:v>2.8919166796207056</c:v>
                </c:pt>
                <c:pt idx="56">
                  <c:v>2.9872920876729365</c:v>
                </c:pt>
                <c:pt idx="57">
                  <c:v>3.0840082387688481</c:v>
                </c:pt>
                <c:pt idx="58">
                  <c:v>3.1823255090937357</c:v>
                </c:pt>
                <c:pt idx="59">
                  <c:v>3.2831221824965025</c:v>
                </c:pt>
                <c:pt idx="60">
                  <c:v>3.3865731385045859</c:v>
                </c:pt>
                <c:pt idx="61">
                  <c:v>3.4924957251671067</c:v>
                </c:pt>
                <c:pt idx="62">
                  <c:v>3.6005285247940311</c:v>
                </c:pt>
                <c:pt idx="63">
                  <c:v>3.7103800715062958</c:v>
                </c:pt>
                <c:pt idx="64">
                  <c:v>3.8213547334058764</c:v>
                </c:pt>
                <c:pt idx="65">
                  <c:v>3.9325042748328927</c:v>
                </c:pt>
                <c:pt idx="66">
                  <c:v>4.0439180786569251</c:v>
                </c:pt>
                <c:pt idx="67">
                  <c:v>4.1554057205036532</c:v>
                </c:pt>
                <c:pt idx="68">
                  <c:v>4.2664231307321625</c:v>
                </c:pt>
                <c:pt idx="69">
                  <c:v>4.3760453909528989</c:v>
                </c:pt>
                <c:pt idx="70">
                  <c:v>4.4836351624436501</c:v>
                </c:pt>
                <c:pt idx="71">
                  <c:v>4.5893984144256175</c:v>
                </c:pt>
                <c:pt idx="72">
                  <c:v>4.6934167573449406</c:v>
                </c:pt>
                <c:pt idx="73">
                  <c:v>4.796020519197886</c:v>
                </c:pt>
                <c:pt idx="74">
                  <c:v>4.8963275299238296</c:v>
                </c:pt>
                <c:pt idx="75">
                  <c:v>4.9954570184983682</c:v>
                </c:pt>
                <c:pt idx="76">
                  <c:v>5.0933701228042905</c:v>
                </c:pt>
                <c:pt idx="77">
                  <c:v>5.1893750971552928</c:v>
                </c:pt>
                <c:pt idx="78">
                  <c:v>5.2853684128711338</c:v>
                </c:pt>
                <c:pt idx="79">
                  <c:v>5.3812568008705117</c:v>
                </c:pt>
                <c:pt idx="80">
                  <c:v>5.4768265195087835</c:v>
                </c:pt>
                <c:pt idx="81">
                  <c:v>5.5739040882947304</c:v>
                </c:pt>
                <c:pt idx="82">
                  <c:v>5.6703520907819058</c:v>
                </c:pt>
                <c:pt idx="83">
                  <c:v>5.7627195709622256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4F9-4868-9F54-2D1095A4FC5F}"/>
            </c:ext>
          </c:extLst>
        </c:ser>
        <c:ser>
          <c:idx val="3"/>
          <c:order val="3"/>
          <c:tx>
            <c:strRef>
              <c:f>'вместе-отн'!$E$1</c:f>
              <c:strCache>
                <c:ptCount val="1"/>
                <c:pt idx="0">
                  <c:v>Чили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'вместе-отн'!$A$2:$A$85</c:f>
              <c:numCache>
                <c:formatCode>0</c:formatCode>
                <c:ptCount val="84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</c:numCache>
            </c:numRef>
          </c:xVal>
          <c:yVal>
            <c:numRef>
              <c:f>'вместе-отн'!$E$2:$E$85</c:f>
              <c:numCache>
                <c:formatCode>0.00</c:formatCode>
                <c:ptCount val="84"/>
                <c:pt idx="0">
                  <c:v>0</c:v>
                </c:pt>
                <c:pt idx="1">
                  <c:v>1.2623490669593854E-2</c:v>
                </c:pt>
                <c:pt idx="2">
                  <c:v>2.5521405049396269E-2</c:v>
                </c:pt>
                <c:pt idx="3">
                  <c:v>3.8693743139407245E-2</c:v>
                </c:pt>
                <c:pt idx="4">
                  <c:v>5.7354555433589464E-2</c:v>
                </c:pt>
                <c:pt idx="5">
                  <c:v>7.2173435784851817E-2</c:v>
                </c:pt>
                <c:pt idx="6">
                  <c:v>8.6992316136114162E-2</c:v>
                </c:pt>
                <c:pt idx="7">
                  <c:v>0.10236004390779363</c:v>
                </c:pt>
                <c:pt idx="8">
                  <c:v>0.11772777167947311</c:v>
                </c:pt>
                <c:pt idx="9">
                  <c:v>0.13336992316136115</c:v>
                </c:pt>
                <c:pt idx="10">
                  <c:v>0.14928649835345773</c:v>
                </c:pt>
                <c:pt idx="11">
                  <c:v>0.16520307354555433</c:v>
                </c:pt>
                <c:pt idx="12">
                  <c:v>0.18139407244785949</c:v>
                </c:pt>
                <c:pt idx="13">
                  <c:v>0.1978594950603732</c:v>
                </c:pt>
                <c:pt idx="14">
                  <c:v>0.21542261251372119</c:v>
                </c:pt>
                <c:pt idx="15">
                  <c:v>0.23353457738748629</c:v>
                </c:pt>
                <c:pt idx="16">
                  <c:v>0.25219538968166849</c:v>
                </c:pt>
                <c:pt idx="17">
                  <c:v>0.2708562019758507</c:v>
                </c:pt>
                <c:pt idx="18">
                  <c:v>0.28979143798024148</c:v>
                </c:pt>
                <c:pt idx="19">
                  <c:v>0.30927552140504938</c:v>
                </c:pt>
                <c:pt idx="20">
                  <c:v>0.32875960482985728</c:v>
                </c:pt>
                <c:pt idx="21">
                  <c:v>0.34851811196487376</c:v>
                </c:pt>
                <c:pt idx="22">
                  <c:v>0.36882546652030734</c:v>
                </c:pt>
                <c:pt idx="23">
                  <c:v>0.38940724478594951</c:v>
                </c:pt>
                <c:pt idx="24">
                  <c:v>0.41300768386388587</c:v>
                </c:pt>
                <c:pt idx="25">
                  <c:v>0.43907793633369924</c:v>
                </c:pt>
                <c:pt idx="26">
                  <c:v>0.46569703622392977</c:v>
                </c:pt>
                <c:pt idx="27">
                  <c:v>0.49286498353457736</c:v>
                </c:pt>
                <c:pt idx="28">
                  <c:v>0.52058177826564211</c:v>
                </c:pt>
                <c:pt idx="29">
                  <c:v>0.54857299670691551</c:v>
                </c:pt>
                <c:pt idx="30">
                  <c:v>0.57738748627881453</c:v>
                </c:pt>
                <c:pt idx="31">
                  <c:v>0.60647639956092203</c:v>
                </c:pt>
                <c:pt idx="32">
                  <c:v>0.6361141602634468</c:v>
                </c:pt>
                <c:pt idx="33">
                  <c:v>0.6665751920965971</c:v>
                </c:pt>
                <c:pt idx="34">
                  <c:v>0.70293633369923159</c:v>
                </c:pt>
                <c:pt idx="35">
                  <c:v>0.74865532381997812</c:v>
                </c:pt>
                <c:pt idx="36">
                  <c:v>0.80214050493962674</c:v>
                </c:pt>
                <c:pt idx="37">
                  <c:v>0.86185510428100998</c:v>
                </c:pt>
                <c:pt idx="38">
                  <c:v>0.9259879253567509</c:v>
                </c:pt>
                <c:pt idx="39">
                  <c:v>0.99294731064763997</c:v>
                </c:pt>
                <c:pt idx="40">
                  <c:v>1.0603732162458837</c:v>
                </c:pt>
                <c:pt idx="41">
                  <c:v>1.1254665203073546</c:v>
                </c:pt>
                <c:pt idx="42">
                  <c:v>1.1854829857299669</c:v>
                </c:pt>
                <c:pt idx="43">
                  <c:v>1.2374862788144896</c:v>
                </c:pt>
                <c:pt idx="44">
                  <c:v>1.2845225027442368</c:v>
                </c:pt>
                <c:pt idx="45">
                  <c:v>1.3318057080131724</c:v>
                </c:pt>
                <c:pt idx="46">
                  <c:v>1.3792810098792536</c:v>
                </c:pt>
                <c:pt idx="47">
                  <c:v>1.4265916575192097</c:v>
                </c:pt>
                <c:pt idx="48">
                  <c:v>1.4733534577387486</c:v>
                </c:pt>
                <c:pt idx="49">
                  <c:v>1.519676180021954</c:v>
                </c:pt>
                <c:pt idx="50">
                  <c:v>1.5655598243688253</c:v>
                </c:pt>
                <c:pt idx="51">
                  <c:v>1.6110592755214053</c:v>
                </c:pt>
                <c:pt idx="52">
                  <c:v>1.6565038419319427</c:v>
                </c:pt>
                <c:pt idx="53">
                  <c:v>1.7017837541163554</c:v>
                </c:pt>
                <c:pt idx="54">
                  <c:v>1.7468990120746435</c:v>
                </c:pt>
                <c:pt idx="55">
                  <c:v>1.7921789242590562</c:v>
                </c:pt>
                <c:pt idx="56">
                  <c:v>1.8376509330406146</c:v>
                </c:pt>
                <c:pt idx="57">
                  <c:v>1.8830406147091108</c:v>
                </c:pt>
                <c:pt idx="58">
                  <c:v>1.9285400658616905</c:v>
                </c:pt>
                <c:pt idx="59">
                  <c:v>1.9742864983534576</c:v>
                </c:pt>
                <c:pt idx="60">
                  <c:v>2.0201701427003291</c:v>
                </c:pt>
                <c:pt idx="61">
                  <c:v>2.0660537870472009</c:v>
                </c:pt>
                <c:pt idx="62">
                  <c:v>2.1119099890230513</c:v>
                </c:pt>
                <c:pt idx="63">
                  <c:v>2.1582327113062569</c:v>
                </c:pt>
                <c:pt idx="64">
                  <c:v>2.2049121844127333</c:v>
                </c:pt>
                <c:pt idx="65">
                  <c:v>2.2519758507135017</c:v>
                </c:pt>
                <c:pt idx="66">
                  <c:v>2.3002469813391877</c:v>
                </c:pt>
                <c:pt idx="67">
                  <c:v>2.3500823271130629</c:v>
                </c:pt>
                <c:pt idx="68">
                  <c:v>2.4015642151481886</c:v>
                </c:pt>
                <c:pt idx="69">
                  <c:v>2.4546926454445663</c:v>
                </c:pt>
                <c:pt idx="70">
                  <c:v>2.5099341383095504</c:v>
                </c:pt>
                <c:pt idx="71">
                  <c:v>2.5673435784851808</c:v>
                </c:pt>
                <c:pt idx="72">
                  <c:v>2.6265093304061469</c:v>
                </c:pt>
                <c:pt idx="73">
                  <c:v>2.68748627881449</c:v>
                </c:pt>
                <c:pt idx="74">
                  <c:v>2.7493139407244787</c:v>
                </c:pt>
                <c:pt idx="75">
                  <c:v>2.8102634467618004</c:v>
                </c:pt>
                <c:pt idx="76">
                  <c:v>2.8700054884742041</c:v>
                </c:pt>
                <c:pt idx="77">
                  <c:v>2.9287321624588363</c:v>
                </c:pt>
                <c:pt idx="78">
                  <c:v>2.9866630076838638</c:v>
                </c:pt>
                <c:pt idx="79">
                  <c:v>3.0433589462129529</c:v>
                </c:pt>
                <c:pt idx="80">
                  <c:v>3.0978046103183314</c:v>
                </c:pt>
                <c:pt idx="81">
                  <c:v>3.1514270032930845</c:v>
                </c:pt>
                <c:pt idx="82">
                  <c:v>3.2039791437980241</c:v>
                </c:pt>
                <c:pt idx="83">
                  <c:v>3.2545554335894624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4F9-4868-9F54-2D1095A4FC5F}"/>
            </c:ext>
          </c:extLst>
        </c:ser>
        <c:ser>
          <c:idx val="4"/>
          <c:order val="4"/>
          <c:tx>
            <c:strRef>
              <c:f>'вместе-отн'!$F$1</c:f>
              <c:strCache>
                <c:ptCount val="1"/>
                <c:pt idx="0">
                  <c:v>Колумбия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'вместе-отн'!$A$2:$A$85</c:f>
              <c:numCache>
                <c:formatCode>0</c:formatCode>
                <c:ptCount val="84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</c:numCache>
            </c:numRef>
          </c:xVal>
          <c:yVal>
            <c:numRef>
              <c:f>'вместе-отн'!$F$2:$F$85</c:f>
              <c:numCache>
                <c:formatCode>0.00</c:formatCode>
                <c:ptCount val="84"/>
                <c:pt idx="0">
                  <c:v>0</c:v>
                </c:pt>
                <c:pt idx="1">
                  <c:v>2.4496937882764653E-2</c:v>
                </c:pt>
                <c:pt idx="2">
                  <c:v>5.4943132108486441E-2</c:v>
                </c:pt>
                <c:pt idx="3">
                  <c:v>6.5441819772528428E-2</c:v>
                </c:pt>
                <c:pt idx="4">
                  <c:v>8.6789151356080493E-2</c:v>
                </c:pt>
                <c:pt idx="5">
                  <c:v>0.10866141732283464</c:v>
                </c:pt>
                <c:pt idx="6">
                  <c:v>0.13088363954505686</c:v>
                </c:pt>
                <c:pt idx="7">
                  <c:v>0.15345581802274716</c:v>
                </c:pt>
                <c:pt idx="8">
                  <c:v>0.17655293088363955</c:v>
                </c:pt>
                <c:pt idx="9">
                  <c:v>0.20017497812773402</c:v>
                </c:pt>
                <c:pt idx="10">
                  <c:v>0.2241469816272966</c:v>
                </c:pt>
                <c:pt idx="11">
                  <c:v>0.24864391951006123</c:v>
                </c:pt>
                <c:pt idx="12">
                  <c:v>0.27366579177602801</c:v>
                </c:pt>
                <c:pt idx="13">
                  <c:v>0.29921259842519687</c:v>
                </c:pt>
                <c:pt idx="14">
                  <c:v>0.32528433945756779</c:v>
                </c:pt>
                <c:pt idx="15">
                  <c:v>0.35188101487314088</c:v>
                </c:pt>
                <c:pt idx="16">
                  <c:v>0.378827646544182</c:v>
                </c:pt>
                <c:pt idx="17">
                  <c:v>0.40647419072615926</c:v>
                </c:pt>
                <c:pt idx="18">
                  <c:v>0.43464566929133858</c:v>
                </c:pt>
                <c:pt idx="19">
                  <c:v>0.46334208223972001</c:v>
                </c:pt>
                <c:pt idx="20">
                  <c:v>0.49273840769903759</c:v>
                </c:pt>
                <c:pt idx="21">
                  <c:v>0.52265966754155735</c:v>
                </c:pt>
                <c:pt idx="22">
                  <c:v>0.55660542432195981</c:v>
                </c:pt>
                <c:pt idx="23">
                  <c:v>0.59177602799650042</c:v>
                </c:pt>
                <c:pt idx="24">
                  <c:v>0.62992125984251968</c:v>
                </c:pt>
                <c:pt idx="25">
                  <c:v>0.6692913385826772</c:v>
                </c:pt>
                <c:pt idx="26">
                  <c:v>0.71023622047244095</c:v>
                </c:pt>
                <c:pt idx="27">
                  <c:v>0.752580927384077</c:v>
                </c:pt>
                <c:pt idx="28">
                  <c:v>0.79650043744531929</c:v>
                </c:pt>
                <c:pt idx="29">
                  <c:v>0.84216972878390206</c:v>
                </c:pt>
                <c:pt idx="30">
                  <c:v>0.88976377952755903</c:v>
                </c:pt>
                <c:pt idx="31">
                  <c:v>0.93893263342082245</c:v>
                </c:pt>
                <c:pt idx="32">
                  <c:v>0.99002624671916006</c:v>
                </c:pt>
                <c:pt idx="33">
                  <c:v>1.0435695538057743</c:v>
                </c:pt>
                <c:pt idx="34">
                  <c:v>1.0981627296587926</c:v>
                </c:pt>
                <c:pt idx="35">
                  <c:v>1.1562029746281717</c:v>
                </c:pt>
                <c:pt idx="36">
                  <c:v>1.2172003499562554</c:v>
                </c:pt>
                <c:pt idx="37">
                  <c:v>1.2812423447069115</c:v>
                </c:pt>
                <c:pt idx="38">
                  <c:v>1.3486614173228346</c:v>
                </c:pt>
                <c:pt idx="39">
                  <c:v>1.4191076115485566</c:v>
                </c:pt>
                <c:pt idx="40">
                  <c:v>1.4929483814523186</c:v>
                </c:pt>
                <c:pt idx="41">
                  <c:v>1.5689938757655293</c:v>
                </c:pt>
                <c:pt idx="42">
                  <c:v>1.6479440069991251</c:v>
                </c:pt>
                <c:pt idx="43">
                  <c:v>1.7307436570428698</c:v>
                </c:pt>
                <c:pt idx="44">
                  <c:v>1.8163079615048121</c:v>
                </c:pt>
                <c:pt idx="45">
                  <c:v>1.9044619422572178</c:v>
                </c:pt>
                <c:pt idx="46">
                  <c:v>1.9945406824146981</c:v>
                </c:pt>
                <c:pt idx="47">
                  <c:v>2.0861592300962384</c:v>
                </c:pt>
                <c:pt idx="48">
                  <c:v>2.1791951006124233</c:v>
                </c:pt>
                <c:pt idx="49">
                  <c:v>2.2725634295713038</c:v>
                </c:pt>
                <c:pt idx="50">
                  <c:v>2.3658092738407697</c:v>
                </c:pt>
                <c:pt idx="51">
                  <c:v>2.4587576552930881</c:v>
                </c:pt>
                <c:pt idx="52">
                  <c:v>2.5506386701662294</c:v>
                </c:pt>
                <c:pt idx="53">
                  <c:v>2.641609798775153</c:v>
                </c:pt>
                <c:pt idx="54">
                  <c:v>2.7303762029746279</c:v>
                </c:pt>
                <c:pt idx="55">
                  <c:v>2.8179527559055115</c:v>
                </c:pt>
                <c:pt idx="56">
                  <c:v>2.9064566929133862</c:v>
                </c:pt>
                <c:pt idx="57">
                  <c:v>2.9953630796150481</c:v>
                </c:pt>
                <c:pt idx="58">
                  <c:v>3.0847944006999124</c:v>
                </c:pt>
                <c:pt idx="59">
                  <c:v>3.1747681539807524</c:v>
                </c:pt>
                <c:pt idx="60">
                  <c:v>3.2683289588801401</c:v>
                </c:pt>
                <c:pt idx="61">
                  <c:v>3.3657567804024495</c:v>
                </c:pt>
                <c:pt idx="62">
                  <c:v>3.4646719160104986</c:v>
                </c:pt>
                <c:pt idx="63">
                  <c:v>3.5677165354330707</c:v>
                </c:pt>
                <c:pt idx="64">
                  <c:v>3.6742432195975501</c:v>
                </c:pt>
                <c:pt idx="65">
                  <c:v>3.7836045494313209</c:v>
                </c:pt>
                <c:pt idx="66">
                  <c:v>3.8973228346456694</c:v>
                </c:pt>
                <c:pt idx="67">
                  <c:v>4.011846019247594</c:v>
                </c:pt>
                <c:pt idx="68">
                  <c:v>4.1213473315835518</c:v>
                </c:pt>
                <c:pt idx="69">
                  <c:v>4.2281889763779521</c:v>
                </c:pt>
                <c:pt idx="70">
                  <c:v>4.3367454068241473</c:v>
                </c:pt>
                <c:pt idx="71">
                  <c:v>4.4471566054243219</c:v>
                </c:pt>
                <c:pt idx="72">
                  <c:v>4.5601574803149605</c:v>
                </c:pt>
                <c:pt idx="73">
                  <c:v>4.6763079615048113</c:v>
                </c:pt>
                <c:pt idx="74">
                  <c:v>4.7914960629921266</c:v>
                </c:pt>
                <c:pt idx="75">
                  <c:v>4.9073665791776024</c:v>
                </c:pt>
                <c:pt idx="76">
                  <c:v>5.0265091863517064</c:v>
                </c:pt>
                <c:pt idx="77">
                  <c:v>5.1465266841644794</c:v>
                </c:pt>
                <c:pt idx="78">
                  <c:v>5.2650393700787399</c:v>
                </c:pt>
                <c:pt idx="79">
                  <c:v>5.3801749781277337</c:v>
                </c:pt>
                <c:pt idx="80">
                  <c:v>5.495380577427821</c:v>
                </c:pt>
                <c:pt idx="81">
                  <c:v>5.612808398950131</c:v>
                </c:pt>
                <c:pt idx="82">
                  <c:v>5.728766404199475</c:v>
                </c:pt>
                <c:pt idx="83">
                  <c:v>5.8398775153105866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F9-4868-9F54-2D1095A4FC5F}"/>
            </c:ext>
          </c:extLst>
        </c:ser>
        <c:ser>
          <c:idx val="5"/>
          <c:order val="5"/>
          <c:tx>
            <c:strRef>
              <c:f>'вместе-отн'!$G$1</c:f>
              <c:strCache>
                <c:ptCount val="1"/>
                <c:pt idx="0">
                  <c:v>Коста-Рика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'вместе-отн'!$A$2:$A$85</c:f>
              <c:numCache>
                <c:formatCode>0</c:formatCode>
                <c:ptCount val="84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</c:numCache>
            </c:numRef>
          </c:xVal>
          <c:yVal>
            <c:numRef>
              <c:f>'вместе-отн'!$G$2:$G$85</c:f>
              <c:numCache>
                <c:formatCode>0.00</c:formatCode>
                <c:ptCount val="84"/>
                <c:pt idx="0">
                  <c:v>0</c:v>
                </c:pt>
                <c:pt idx="1">
                  <c:v>1.4851485148514851E-2</c:v>
                </c:pt>
                <c:pt idx="2">
                  <c:v>2.7227722772277228E-2</c:v>
                </c:pt>
                <c:pt idx="3">
                  <c:v>4.2079207920792082E-2</c:v>
                </c:pt>
                <c:pt idx="4">
                  <c:v>5.1980198019801978E-2</c:v>
                </c:pt>
                <c:pt idx="5">
                  <c:v>6.6831683168316836E-2</c:v>
                </c:pt>
                <c:pt idx="6">
                  <c:v>8.6633663366336627E-2</c:v>
                </c:pt>
                <c:pt idx="7">
                  <c:v>0.10643564356435643</c:v>
                </c:pt>
                <c:pt idx="8">
                  <c:v>0.12871287128712872</c:v>
                </c:pt>
                <c:pt idx="9">
                  <c:v>0.15346534653465346</c:v>
                </c:pt>
                <c:pt idx="10">
                  <c:v>0.16831683168316833</c:v>
                </c:pt>
                <c:pt idx="11">
                  <c:v>0.18564356435643564</c:v>
                </c:pt>
                <c:pt idx="12">
                  <c:v>0.21039603960396039</c:v>
                </c:pt>
                <c:pt idx="13">
                  <c:v>0.23514851485148514</c:v>
                </c:pt>
                <c:pt idx="14">
                  <c:v>0.25742574257425743</c:v>
                </c:pt>
                <c:pt idx="15">
                  <c:v>0.28217821782178215</c:v>
                </c:pt>
                <c:pt idx="16">
                  <c:v>0.30693069306930693</c:v>
                </c:pt>
                <c:pt idx="17">
                  <c:v>0.33663366336633666</c:v>
                </c:pt>
                <c:pt idx="18">
                  <c:v>0.36386138613861385</c:v>
                </c:pt>
                <c:pt idx="19">
                  <c:v>0.39356435643564358</c:v>
                </c:pt>
                <c:pt idx="20">
                  <c:v>0.42574257425742573</c:v>
                </c:pt>
                <c:pt idx="21">
                  <c:v>0.46039603960396042</c:v>
                </c:pt>
                <c:pt idx="22">
                  <c:v>0.49752475247524752</c:v>
                </c:pt>
                <c:pt idx="23">
                  <c:v>0.53217821782178221</c:v>
                </c:pt>
                <c:pt idx="24">
                  <c:v>0.56683168316831678</c:v>
                </c:pt>
                <c:pt idx="25">
                  <c:v>0.60148514851485146</c:v>
                </c:pt>
                <c:pt idx="26">
                  <c:v>0.63613861386138615</c:v>
                </c:pt>
                <c:pt idx="27">
                  <c:v>0.67574257425742579</c:v>
                </c:pt>
                <c:pt idx="28">
                  <c:v>0.72029702970297027</c:v>
                </c:pt>
                <c:pt idx="29">
                  <c:v>0.75495049504950495</c:v>
                </c:pt>
                <c:pt idx="30">
                  <c:v>0.79702970297029707</c:v>
                </c:pt>
                <c:pt idx="31">
                  <c:v>0.84653465346534651</c:v>
                </c:pt>
                <c:pt idx="32">
                  <c:v>0.90841584158415845</c:v>
                </c:pt>
                <c:pt idx="33">
                  <c:v>0.98267326732673266</c:v>
                </c:pt>
                <c:pt idx="34">
                  <c:v>1.0586633663366338</c:v>
                </c:pt>
                <c:pt idx="35">
                  <c:v>1.154207920792079</c:v>
                </c:pt>
                <c:pt idx="36">
                  <c:v>1.2673267326732673</c:v>
                </c:pt>
                <c:pt idx="37">
                  <c:v>1.3965346534653467</c:v>
                </c:pt>
                <c:pt idx="38">
                  <c:v>1.5383663366336633</c:v>
                </c:pt>
                <c:pt idx="39">
                  <c:v>1.6896039603960393</c:v>
                </c:pt>
                <c:pt idx="40">
                  <c:v>1.8460396039603959</c:v>
                </c:pt>
                <c:pt idx="41">
                  <c:v>2.0024752475247523</c:v>
                </c:pt>
                <c:pt idx="42">
                  <c:v>2.1519801980198023</c:v>
                </c:pt>
                <c:pt idx="43">
                  <c:v>2.2858910891089108</c:v>
                </c:pt>
                <c:pt idx="44">
                  <c:v>2.4106435643564357</c:v>
                </c:pt>
                <c:pt idx="45">
                  <c:v>2.5381188118811884</c:v>
                </c:pt>
                <c:pt idx="46">
                  <c:v>2.667326732673267</c:v>
                </c:pt>
                <c:pt idx="47">
                  <c:v>2.7970297029702968</c:v>
                </c:pt>
                <c:pt idx="48">
                  <c:v>2.9262376237623764</c:v>
                </c:pt>
                <c:pt idx="49">
                  <c:v>3.0547029702970296</c:v>
                </c:pt>
                <c:pt idx="50">
                  <c:v>3.1819306930693068</c:v>
                </c:pt>
                <c:pt idx="51">
                  <c:v>3.3061881188118813</c:v>
                </c:pt>
                <c:pt idx="52">
                  <c:v>3.4289603960396038</c:v>
                </c:pt>
                <c:pt idx="53">
                  <c:v>3.5517326732673271</c:v>
                </c:pt>
                <c:pt idx="54">
                  <c:v>3.6745049504950495</c:v>
                </c:pt>
                <c:pt idx="55">
                  <c:v>3.7975247524752476</c:v>
                </c:pt>
                <c:pt idx="56">
                  <c:v>3.9215346534653466</c:v>
                </c:pt>
                <c:pt idx="57">
                  <c:v>4.0485148514851481</c:v>
                </c:pt>
                <c:pt idx="58">
                  <c:v>4.1799504950495043</c:v>
                </c:pt>
                <c:pt idx="59">
                  <c:v>4.3163366336633668</c:v>
                </c:pt>
                <c:pt idx="60">
                  <c:v>4.4579207920792081</c:v>
                </c:pt>
                <c:pt idx="61">
                  <c:v>4.6051980198019802</c:v>
                </c:pt>
                <c:pt idx="62">
                  <c:v>4.7586633663366333</c:v>
                </c:pt>
                <c:pt idx="63">
                  <c:v>4.917326732673267</c:v>
                </c:pt>
                <c:pt idx="64">
                  <c:v>5.0806930693069301</c:v>
                </c:pt>
                <c:pt idx="65">
                  <c:v>5.2495049504950497</c:v>
                </c:pt>
                <c:pt idx="66">
                  <c:v>5.4237623762376233</c:v>
                </c:pt>
                <c:pt idx="67">
                  <c:v>5.6029702970297031</c:v>
                </c:pt>
                <c:pt idx="68">
                  <c:v>5.7868811881188122</c:v>
                </c:pt>
                <c:pt idx="69">
                  <c:v>5.9732673267326728</c:v>
                </c:pt>
                <c:pt idx="70">
                  <c:v>6.1601485148514845</c:v>
                </c:pt>
                <c:pt idx="71">
                  <c:v>6.346782178217822</c:v>
                </c:pt>
                <c:pt idx="72">
                  <c:v>6.5341584158415849</c:v>
                </c:pt>
                <c:pt idx="73">
                  <c:v>6.7269801980198016</c:v>
                </c:pt>
                <c:pt idx="74">
                  <c:v>6.9262376237623755</c:v>
                </c:pt>
                <c:pt idx="75">
                  <c:v>7.1294554455445551</c:v>
                </c:pt>
                <c:pt idx="76">
                  <c:v>7.3351485148514852</c:v>
                </c:pt>
                <c:pt idx="77">
                  <c:v>7.542326732673267</c:v>
                </c:pt>
                <c:pt idx="78">
                  <c:v>7.7504950495049503</c:v>
                </c:pt>
                <c:pt idx="79">
                  <c:v>7.9579207920792081</c:v>
                </c:pt>
                <c:pt idx="80">
                  <c:v>8.1626237623762368</c:v>
                </c:pt>
                <c:pt idx="81">
                  <c:v>8.3633663366336641</c:v>
                </c:pt>
                <c:pt idx="82">
                  <c:v>8.5596534653465337</c:v>
                </c:pt>
                <c:pt idx="83">
                  <c:v>8.7467821782178206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4F9-4868-9F54-2D1095A4FC5F}"/>
            </c:ext>
          </c:extLst>
        </c:ser>
        <c:ser>
          <c:idx val="6"/>
          <c:order val="6"/>
          <c:tx>
            <c:strRef>
              <c:f>'вместе-отн'!$H$1</c:f>
              <c:strCache>
                <c:ptCount val="1"/>
                <c:pt idx="0">
                  <c:v>Куба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'вместе-отн'!$A$2:$A$85</c:f>
              <c:numCache>
                <c:formatCode>0</c:formatCode>
                <c:ptCount val="84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</c:numCache>
            </c:numRef>
          </c:xVal>
          <c:yVal>
            <c:numRef>
              <c:f>'вместе-отн'!$H$2:$H$85</c:f>
              <c:numCache>
                <c:formatCode>0.00</c:formatCode>
                <c:ptCount val="84"/>
                <c:pt idx="0">
                  <c:v>0</c:v>
                </c:pt>
                <c:pt idx="1">
                  <c:v>2.9861616897305172E-2</c:v>
                </c:pt>
                <c:pt idx="2">
                  <c:v>6.0451565914056808E-2</c:v>
                </c:pt>
                <c:pt idx="3">
                  <c:v>9.1405680990531687E-2</c:v>
                </c:pt>
                <c:pt idx="4">
                  <c:v>0.12272396212672979</c:v>
                </c:pt>
                <c:pt idx="5">
                  <c:v>0.15440640932265112</c:v>
                </c:pt>
                <c:pt idx="6">
                  <c:v>0.18608885651857246</c:v>
                </c:pt>
                <c:pt idx="7">
                  <c:v>0.21813546977421705</c:v>
                </c:pt>
                <c:pt idx="8">
                  <c:v>0.24981791697013839</c:v>
                </c:pt>
                <c:pt idx="9">
                  <c:v>0.28150036416605972</c:v>
                </c:pt>
                <c:pt idx="10">
                  <c:v>0.31318281136198106</c:v>
                </c:pt>
                <c:pt idx="11">
                  <c:v>0.27713037144938091</c:v>
                </c:pt>
                <c:pt idx="12">
                  <c:v>0.3026219956300073</c:v>
                </c:pt>
                <c:pt idx="13">
                  <c:v>0.32811361981063364</c:v>
                </c:pt>
                <c:pt idx="14">
                  <c:v>0.44282592862345227</c:v>
                </c:pt>
                <c:pt idx="15">
                  <c:v>0.44282592862345227</c:v>
                </c:pt>
                <c:pt idx="16">
                  <c:v>0.44282592862345227</c:v>
                </c:pt>
                <c:pt idx="17">
                  <c:v>0.4708667152221413</c:v>
                </c:pt>
                <c:pt idx="18">
                  <c:v>0.48252002913328479</c:v>
                </c:pt>
                <c:pt idx="19">
                  <c:v>0.49635833940276763</c:v>
                </c:pt>
                <c:pt idx="20">
                  <c:v>0.5167516387472687</c:v>
                </c:pt>
                <c:pt idx="21">
                  <c:v>0.53969410050983246</c:v>
                </c:pt>
                <c:pt idx="22">
                  <c:v>0.54879825200291332</c:v>
                </c:pt>
                <c:pt idx="23">
                  <c:v>0.56263656227239622</c:v>
                </c:pt>
                <c:pt idx="24">
                  <c:v>0.57538237436270945</c:v>
                </c:pt>
                <c:pt idx="25">
                  <c:v>0.59213401310997815</c:v>
                </c:pt>
                <c:pt idx="26">
                  <c:v>0.74034959941733436</c:v>
                </c:pt>
                <c:pt idx="27">
                  <c:v>0.7658412235979607</c:v>
                </c:pt>
                <c:pt idx="28">
                  <c:v>0.79606700655498908</c:v>
                </c:pt>
                <c:pt idx="29">
                  <c:v>0.83503277494537509</c:v>
                </c:pt>
                <c:pt idx="30">
                  <c:v>0.87618353969410046</c:v>
                </c:pt>
                <c:pt idx="31">
                  <c:v>0.91842680262199561</c:v>
                </c:pt>
                <c:pt idx="32">
                  <c:v>0.96139839766933721</c:v>
                </c:pt>
                <c:pt idx="33">
                  <c:v>1.0058266569555718</c:v>
                </c:pt>
                <c:pt idx="34">
                  <c:v>1.0498543335761106</c:v>
                </c:pt>
                <c:pt idx="35">
                  <c:v>1.1021849963583394</c:v>
                </c:pt>
                <c:pt idx="36">
                  <c:v>1.16190823015295</c:v>
                </c:pt>
                <c:pt idx="37">
                  <c:v>1.2276037873270211</c:v>
                </c:pt>
                <c:pt idx="38">
                  <c:v>1.2974872541879094</c:v>
                </c:pt>
                <c:pt idx="39">
                  <c:v>1.3695921340131099</c:v>
                </c:pt>
                <c:pt idx="40">
                  <c:v>1.4418426802621995</c:v>
                </c:pt>
                <c:pt idx="41">
                  <c:v>1.5119446467589222</c:v>
                </c:pt>
                <c:pt idx="42">
                  <c:v>1.5775309541150764</c:v>
                </c:pt>
                <c:pt idx="43">
                  <c:v>1.6358703568827386</c:v>
                </c:pt>
                <c:pt idx="44">
                  <c:v>1.6901310997815004</c:v>
                </c:pt>
                <c:pt idx="45">
                  <c:v>1.7462126729788785</c:v>
                </c:pt>
                <c:pt idx="46">
                  <c:v>1.8046977421704296</c:v>
                </c:pt>
                <c:pt idx="47">
                  <c:v>1.864530225782957</c:v>
                </c:pt>
                <c:pt idx="48">
                  <c:v>1.924544792425346</c:v>
                </c:pt>
                <c:pt idx="49">
                  <c:v>1.9837946103423161</c:v>
                </c:pt>
                <c:pt idx="50">
                  <c:v>2.0417334304442827</c:v>
                </c:pt>
                <c:pt idx="51">
                  <c:v>2.0988710852148578</c:v>
                </c:pt>
                <c:pt idx="52">
                  <c:v>2.1560815731973779</c:v>
                </c:pt>
                <c:pt idx="53">
                  <c:v>2.213546977421704</c:v>
                </c:pt>
                <c:pt idx="54">
                  <c:v>2.2698834668608887</c:v>
                </c:pt>
                <c:pt idx="55">
                  <c:v>2.3226147123088126</c:v>
                </c:pt>
                <c:pt idx="56">
                  <c:v>2.3704661325564453</c:v>
                </c:pt>
                <c:pt idx="57">
                  <c:v>2.4137654770575385</c:v>
                </c:pt>
                <c:pt idx="58">
                  <c:v>2.4521849963583398</c:v>
                </c:pt>
                <c:pt idx="59">
                  <c:v>2.4855061908230156</c:v>
                </c:pt>
                <c:pt idx="60">
                  <c:v>2.5136198106336489</c:v>
                </c:pt>
                <c:pt idx="61">
                  <c:v>2.5367807720320465</c:v>
                </c:pt>
                <c:pt idx="62">
                  <c:v>2.5554989075018208</c:v>
                </c:pt>
                <c:pt idx="63">
                  <c:v>2.5705753823743622</c:v>
                </c:pt>
                <c:pt idx="64">
                  <c:v>2.5867807720320464</c:v>
                </c:pt>
                <c:pt idx="65">
                  <c:v>2.6098689002184998</c:v>
                </c:pt>
                <c:pt idx="66">
                  <c:v>2.6383831026948288</c:v>
                </c:pt>
                <c:pt idx="67">
                  <c:v>2.6683539694100507</c:v>
                </c:pt>
                <c:pt idx="68">
                  <c:v>2.6989075018208304</c:v>
                </c:pt>
                <c:pt idx="69">
                  <c:v>2.730589949016752</c:v>
                </c:pt>
                <c:pt idx="70">
                  <c:v>2.7637654770575382</c:v>
                </c:pt>
                <c:pt idx="71">
                  <c:v>2.799198834668609</c:v>
                </c:pt>
                <c:pt idx="72">
                  <c:v>2.8358339402767663</c:v>
                </c:pt>
                <c:pt idx="73">
                  <c:v>2.8717407137654769</c:v>
                </c:pt>
                <c:pt idx="74">
                  <c:v>2.9029861616897308</c:v>
                </c:pt>
                <c:pt idx="75">
                  <c:v>2.9278222869628547</c:v>
                </c:pt>
                <c:pt idx="76">
                  <c:v>2.9479242534595778</c:v>
                </c:pt>
                <c:pt idx="77">
                  <c:v>2.9643117261471232</c:v>
                </c:pt>
                <c:pt idx="78">
                  <c:v>2.9786598689002184</c:v>
                </c:pt>
                <c:pt idx="79">
                  <c:v>2.9919883466860888</c:v>
                </c:pt>
                <c:pt idx="80">
                  <c:v>3.0050619082301528</c:v>
                </c:pt>
                <c:pt idx="81">
                  <c:v>3.0184632192279683</c:v>
                </c:pt>
                <c:pt idx="82">
                  <c:v>3.0321194464675894</c:v>
                </c:pt>
                <c:pt idx="83">
                  <c:v>3.0455571740713765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4F9-4868-9F54-2D1095A4FC5F}"/>
            </c:ext>
          </c:extLst>
        </c:ser>
        <c:ser>
          <c:idx val="7"/>
          <c:order val="7"/>
          <c:tx>
            <c:strRef>
              <c:f>'вместе-отн'!$I$1</c:f>
              <c:strCache>
                <c:ptCount val="1"/>
                <c:pt idx="0">
                  <c:v>Доминиканская республика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'вместе-отн'!$A$2:$A$85</c:f>
              <c:numCache>
                <c:formatCode>0</c:formatCode>
                <c:ptCount val="84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</c:numCache>
            </c:numRef>
          </c:xVal>
          <c:yVal>
            <c:numRef>
              <c:f>'вместе-отн'!$I$2:$I$85</c:f>
              <c:numCache>
                <c:formatCode>0.00</c:formatCode>
                <c:ptCount val="84"/>
                <c:pt idx="0">
                  <c:v>0</c:v>
                </c:pt>
                <c:pt idx="1">
                  <c:v>1.6726403823178016E-2</c:v>
                </c:pt>
                <c:pt idx="2">
                  <c:v>3.3452807646356032E-2</c:v>
                </c:pt>
                <c:pt idx="3">
                  <c:v>5.0179211469534052E-2</c:v>
                </c:pt>
                <c:pt idx="4">
                  <c:v>8.9605734767025089E-2</c:v>
                </c:pt>
                <c:pt idx="5">
                  <c:v>0.13022700119474312</c:v>
                </c:pt>
                <c:pt idx="6">
                  <c:v>0.17204301075268819</c:v>
                </c:pt>
                <c:pt idx="7">
                  <c:v>0.21505376344086022</c:v>
                </c:pt>
                <c:pt idx="8">
                  <c:v>0.25925925925925924</c:v>
                </c:pt>
                <c:pt idx="9">
                  <c:v>0.30465949820788529</c:v>
                </c:pt>
                <c:pt idx="10">
                  <c:v>0.35125448028673834</c:v>
                </c:pt>
                <c:pt idx="11">
                  <c:v>0.40023894862604542</c:v>
                </c:pt>
                <c:pt idx="12">
                  <c:v>0.44922341696535245</c:v>
                </c:pt>
                <c:pt idx="13">
                  <c:v>0.50059737156511352</c:v>
                </c:pt>
                <c:pt idx="14">
                  <c:v>0.55316606929510159</c:v>
                </c:pt>
                <c:pt idx="15">
                  <c:v>0.6069295101553166</c:v>
                </c:pt>
                <c:pt idx="16">
                  <c:v>0.66188769414575865</c:v>
                </c:pt>
                <c:pt idx="17">
                  <c:v>0.71804062126642776</c:v>
                </c:pt>
                <c:pt idx="18">
                  <c:v>0.77299880525686981</c:v>
                </c:pt>
                <c:pt idx="19">
                  <c:v>0.81600955794504182</c:v>
                </c:pt>
                <c:pt idx="20">
                  <c:v>0.86140979689366781</c:v>
                </c:pt>
                <c:pt idx="21">
                  <c:v>0.90681003584229392</c:v>
                </c:pt>
                <c:pt idx="22">
                  <c:v>0.95221027479091991</c:v>
                </c:pt>
                <c:pt idx="23">
                  <c:v>1.1015531660692952</c:v>
                </c:pt>
                <c:pt idx="24">
                  <c:v>1.1517323775388291</c:v>
                </c:pt>
                <c:pt idx="25">
                  <c:v>1.2031063321385902</c:v>
                </c:pt>
                <c:pt idx="26">
                  <c:v>1.2568697729988052</c:v>
                </c:pt>
                <c:pt idx="27">
                  <c:v>1.3106332138590202</c:v>
                </c:pt>
                <c:pt idx="28">
                  <c:v>1.3679808841099164</c:v>
                </c:pt>
                <c:pt idx="29">
                  <c:v>1.4253285543608125</c:v>
                </c:pt>
                <c:pt idx="30">
                  <c:v>1.4850657108721625</c:v>
                </c:pt>
                <c:pt idx="31">
                  <c:v>1.5459976105137396</c:v>
                </c:pt>
                <c:pt idx="32">
                  <c:v>1.6105137395459976</c:v>
                </c:pt>
                <c:pt idx="33">
                  <c:v>1.6798088410991636</c:v>
                </c:pt>
                <c:pt idx="34">
                  <c:v>1.7634408602150538</c:v>
                </c:pt>
                <c:pt idx="35">
                  <c:v>1.8608124253285543</c:v>
                </c:pt>
                <c:pt idx="36">
                  <c:v>1.970848267622461</c:v>
                </c:pt>
                <c:pt idx="37">
                  <c:v>2.091756272401434</c:v>
                </c:pt>
                <c:pt idx="38">
                  <c:v>2.2217443249701314</c:v>
                </c:pt>
                <c:pt idx="39">
                  <c:v>2.358183990442055</c:v>
                </c:pt>
                <c:pt idx="40">
                  <c:v>2.498327359617682</c:v>
                </c:pt>
                <c:pt idx="41">
                  <c:v>2.638590203106332</c:v>
                </c:pt>
                <c:pt idx="42">
                  <c:v>2.7755077658303464</c:v>
                </c:pt>
                <c:pt idx="43">
                  <c:v>2.9047789725209081</c:v>
                </c:pt>
                <c:pt idx="44">
                  <c:v>3.0301075268817201</c:v>
                </c:pt>
                <c:pt idx="45">
                  <c:v>3.1575866188769415</c:v>
                </c:pt>
                <c:pt idx="46">
                  <c:v>3.2870967741935484</c:v>
                </c:pt>
                <c:pt idx="47">
                  <c:v>3.4188769414575866</c:v>
                </c:pt>
                <c:pt idx="48">
                  <c:v>3.5507765830346476</c:v>
                </c:pt>
                <c:pt idx="49">
                  <c:v>3.6855436081242536</c:v>
                </c:pt>
                <c:pt idx="50">
                  <c:v>3.825448028673835</c:v>
                </c:pt>
                <c:pt idx="51">
                  <c:v>3.9667861409796892</c:v>
                </c:pt>
                <c:pt idx="52">
                  <c:v>4.1099163679808841</c:v>
                </c:pt>
                <c:pt idx="53">
                  <c:v>4.2560334528076469</c:v>
                </c:pt>
                <c:pt idx="54">
                  <c:v>4.405256869772999</c:v>
                </c:pt>
                <c:pt idx="55">
                  <c:v>4.5578255675029862</c:v>
                </c:pt>
                <c:pt idx="56">
                  <c:v>4.7135005973715645</c:v>
                </c:pt>
                <c:pt idx="57">
                  <c:v>4.8712066905615288</c:v>
                </c:pt>
                <c:pt idx="58">
                  <c:v>5.0296296296296301</c:v>
                </c:pt>
                <c:pt idx="59">
                  <c:v>5.1892473118279563</c:v>
                </c:pt>
                <c:pt idx="60">
                  <c:v>5.3505376344086013</c:v>
                </c:pt>
                <c:pt idx="61">
                  <c:v>5.5136200716845876</c:v>
                </c:pt>
                <c:pt idx="62">
                  <c:v>5.6782556750298685</c:v>
                </c:pt>
                <c:pt idx="63">
                  <c:v>5.8446833930704898</c:v>
                </c:pt>
                <c:pt idx="64">
                  <c:v>6.0113500597371567</c:v>
                </c:pt>
                <c:pt idx="65">
                  <c:v>6.1769414575866195</c:v>
                </c:pt>
                <c:pt idx="66">
                  <c:v>6.3443249701314217</c:v>
                </c:pt>
                <c:pt idx="67">
                  <c:v>6.5137395459976108</c:v>
                </c:pt>
                <c:pt idx="68">
                  <c:v>6.6826762246117077</c:v>
                </c:pt>
                <c:pt idx="69">
                  <c:v>6.8508960573476703</c:v>
                </c:pt>
                <c:pt idx="70">
                  <c:v>7.0197132616487457</c:v>
                </c:pt>
                <c:pt idx="71">
                  <c:v>7.1908004778972519</c:v>
                </c:pt>
                <c:pt idx="72">
                  <c:v>7.365949820788531</c:v>
                </c:pt>
                <c:pt idx="73">
                  <c:v>7.5438470728793305</c:v>
                </c:pt>
                <c:pt idx="74">
                  <c:v>7.7215053763440853</c:v>
                </c:pt>
                <c:pt idx="75">
                  <c:v>7.897849462365591</c:v>
                </c:pt>
                <c:pt idx="76">
                  <c:v>8.0735961768219831</c:v>
                </c:pt>
                <c:pt idx="77">
                  <c:v>8.2493428912783742</c:v>
                </c:pt>
                <c:pt idx="78">
                  <c:v>8.4242532855436085</c:v>
                </c:pt>
                <c:pt idx="79">
                  <c:v>8.5972520908004775</c:v>
                </c:pt>
                <c:pt idx="80">
                  <c:v>8.7659498207885314</c:v>
                </c:pt>
                <c:pt idx="81">
                  <c:v>8.9287933094384702</c:v>
                </c:pt>
                <c:pt idx="82">
                  <c:v>9.0910394265232988</c:v>
                </c:pt>
                <c:pt idx="83">
                  <c:v>9.2559139784946254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4F9-4868-9F54-2D1095A4FC5F}"/>
            </c:ext>
          </c:extLst>
        </c:ser>
        <c:ser>
          <c:idx val="8"/>
          <c:order val="8"/>
          <c:tx>
            <c:strRef>
              <c:f>'вместе-отн'!$J$1</c:f>
              <c:strCache>
                <c:ptCount val="1"/>
                <c:pt idx="0">
                  <c:v>Эквадор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'вместе-отн'!$A$2:$A$85</c:f>
              <c:numCache>
                <c:formatCode>0</c:formatCode>
                <c:ptCount val="84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</c:numCache>
            </c:numRef>
          </c:xVal>
          <c:yVal>
            <c:numRef>
              <c:f>'вместе-отн'!$J$2:$J$85</c:f>
              <c:numCache>
                <c:formatCode>0.00</c:formatCode>
                <c:ptCount val="84"/>
                <c:pt idx="0">
                  <c:v>0</c:v>
                </c:pt>
                <c:pt idx="1">
                  <c:v>7.9734219269102981E-3</c:v>
                </c:pt>
                <c:pt idx="2">
                  <c:v>1.5946843853820596E-2</c:v>
                </c:pt>
                <c:pt idx="3">
                  <c:v>2.3920265780730896E-2</c:v>
                </c:pt>
                <c:pt idx="4">
                  <c:v>4.3189368770764118E-2</c:v>
                </c:pt>
                <c:pt idx="5">
                  <c:v>6.9767441860465115E-2</c:v>
                </c:pt>
                <c:pt idx="6">
                  <c:v>9.3687707641196008E-2</c:v>
                </c:pt>
                <c:pt idx="7">
                  <c:v>0.11960132890365449</c:v>
                </c:pt>
                <c:pt idx="8">
                  <c:v>0.14551495016611296</c:v>
                </c:pt>
                <c:pt idx="9">
                  <c:v>0.1707641196013289</c:v>
                </c:pt>
                <c:pt idx="10">
                  <c:v>0.19601328903654486</c:v>
                </c:pt>
                <c:pt idx="11">
                  <c:v>0.22657807308970099</c:v>
                </c:pt>
                <c:pt idx="12">
                  <c:v>0.25647840531561461</c:v>
                </c:pt>
                <c:pt idx="13">
                  <c:v>0.29169435215946843</c:v>
                </c:pt>
                <c:pt idx="14">
                  <c:v>0.32558139534883723</c:v>
                </c:pt>
                <c:pt idx="15">
                  <c:v>0.36212624584717606</c:v>
                </c:pt>
                <c:pt idx="16">
                  <c:v>0.39202657807308972</c:v>
                </c:pt>
                <c:pt idx="17">
                  <c:v>0.42192691029900331</c:v>
                </c:pt>
                <c:pt idx="18">
                  <c:v>0.45913621262458471</c:v>
                </c:pt>
                <c:pt idx="19">
                  <c:v>0.49435215946843852</c:v>
                </c:pt>
                <c:pt idx="20">
                  <c:v>0.52691029900332231</c:v>
                </c:pt>
                <c:pt idx="21">
                  <c:v>0.56478405315614622</c:v>
                </c:pt>
                <c:pt idx="22">
                  <c:v>0.60265780730897012</c:v>
                </c:pt>
                <c:pt idx="23">
                  <c:v>0.6385382059800665</c:v>
                </c:pt>
                <c:pt idx="24">
                  <c:v>0.67508305647840527</c:v>
                </c:pt>
                <c:pt idx="25">
                  <c:v>0.71096345514950166</c:v>
                </c:pt>
                <c:pt idx="26">
                  <c:v>0.75481727574750834</c:v>
                </c:pt>
                <c:pt idx="27">
                  <c:v>0.80199335548172757</c:v>
                </c:pt>
                <c:pt idx="28">
                  <c:v>0.84784053156146177</c:v>
                </c:pt>
                <c:pt idx="29">
                  <c:v>0.89568106312292362</c:v>
                </c:pt>
                <c:pt idx="30">
                  <c:v>0.95083056478405314</c:v>
                </c:pt>
                <c:pt idx="31">
                  <c:v>1.0046511627906978</c:v>
                </c:pt>
                <c:pt idx="32">
                  <c:v>1.0624584717607974</c:v>
                </c:pt>
                <c:pt idx="33">
                  <c:v>1.1242524916943522</c:v>
                </c:pt>
                <c:pt idx="34">
                  <c:v>1.1850498338870432</c:v>
                </c:pt>
                <c:pt idx="35">
                  <c:v>1.258671096345515</c:v>
                </c:pt>
                <c:pt idx="36">
                  <c:v>1.3432558139534883</c:v>
                </c:pt>
                <c:pt idx="37">
                  <c:v>1.4370764119601329</c:v>
                </c:pt>
                <c:pt idx="38">
                  <c:v>1.5380066445182723</c:v>
                </c:pt>
                <c:pt idx="39">
                  <c:v>1.6436544850498338</c:v>
                </c:pt>
                <c:pt idx="40">
                  <c:v>1.7512956810631228</c:v>
                </c:pt>
                <c:pt idx="41">
                  <c:v>1.8575415282392029</c:v>
                </c:pt>
                <c:pt idx="42">
                  <c:v>1.9587375415282389</c:v>
                </c:pt>
                <c:pt idx="43">
                  <c:v>2.0504318936877075</c:v>
                </c:pt>
                <c:pt idx="44">
                  <c:v>2.1377408637873754</c:v>
                </c:pt>
                <c:pt idx="45">
                  <c:v>2.2287707641196013</c:v>
                </c:pt>
                <c:pt idx="46">
                  <c:v>2.323388704318937</c:v>
                </c:pt>
                <c:pt idx="47">
                  <c:v>2.4218604651162789</c:v>
                </c:pt>
                <c:pt idx="48">
                  <c:v>2.5242524916943521</c:v>
                </c:pt>
                <c:pt idx="49">
                  <c:v>2.6303654485049832</c:v>
                </c:pt>
                <c:pt idx="50">
                  <c:v>2.7402657807308972</c:v>
                </c:pt>
                <c:pt idx="51">
                  <c:v>2.8536212624584718</c:v>
                </c:pt>
                <c:pt idx="52">
                  <c:v>2.9702325581395348</c:v>
                </c:pt>
                <c:pt idx="53">
                  <c:v>3.0899667774086375</c:v>
                </c:pt>
                <c:pt idx="54">
                  <c:v>3.2126910299003324</c:v>
                </c:pt>
                <c:pt idx="55">
                  <c:v>3.3382059800664452</c:v>
                </c:pt>
                <c:pt idx="56">
                  <c:v>3.4664451827242524</c:v>
                </c:pt>
                <c:pt idx="57">
                  <c:v>3.5970764119601331</c:v>
                </c:pt>
                <c:pt idx="58">
                  <c:v>3.7297674418604654</c:v>
                </c:pt>
                <c:pt idx="59">
                  <c:v>3.8643853820598006</c:v>
                </c:pt>
                <c:pt idx="60">
                  <c:v>4.0011960132890367</c:v>
                </c:pt>
                <c:pt idx="61">
                  <c:v>4.140332225913621</c:v>
                </c:pt>
                <c:pt idx="62">
                  <c:v>4.2816611295681062</c:v>
                </c:pt>
                <c:pt idx="63">
                  <c:v>4.425847176079734</c:v>
                </c:pt>
                <c:pt idx="64">
                  <c:v>4.5726910299003318</c:v>
                </c:pt>
                <c:pt idx="65">
                  <c:v>4.7217940199335544</c:v>
                </c:pt>
                <c:pt idx="66">
                  <c:v>4.8740199335548171</c:v>
                </c:pt>
                <c:pt idx="67">
                  <c:v>5.0297674418604643</c:v>
                </c:pt>
                <c:pt idx="68">
                  <c:v>5.1868438538205988</c:v>
                </c:pt>
                <c:pt idx="69">
                  <c:v>5.3428571428571425</c:v>
                </c:pt>
                <c:pt idx="70">
                  <c:v>5.4978737541528231</c:v>
                </c:pt>
                <c:pt idx="71">
                  <c:v>5.6516943521594678</c:v>
                </c:pt>
                <c:pt idx="72">
                  <c:v>5.805249169435216</c:v>
                </c:pt>
                <c:pt idx="73">
                  <c:v>5.9592691029900333</c:v>
                </c:pt>
                <c:pt idx="74">
                  <c:v>6.1112292358803986</c:v>
                </c:pt>
                <c:pt idx="75">
                  <c:v>6.262524916943522</c:v>
                </c:pt>
                <c:pt idx="76">
                  <c:v>6.411495016611295</c:v>
                </c:pt>
                <c:pt idx="77">
                  <c:v>6.5562790697674425</c:v>
                </c:pt>
                <c:pt idx="78">
                  <c:v>6.7013289036544847</c:v>
                </c:pt>
                <c:pt idx="79">
                  <c:v>6.8478405315614621</c:v>
                </c:pt>
                <c:pt idx="80">
                  <c:v>6.994086378737542</c:v>
                </c:pt>
                <c:pt idx="81">
                  <c:v>7.1403322259136219</c:v>
                </c:pt>
                <c:pt idx="82">
                  <c:v>7.2862458471760796</c:v>
                </c:pt>
                <c:pt idx="83">
                  <c:v>7.4313621262458476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4F9-4868-9F54-2D1095A4FC5F}"/>
            </c:ext>
          </c:extLst>
        </c:ser>
        <c:ser>
          <c:idx val="9"/>
          <c:order val="9"/>
          <c:tx>
            <c:strRef>
              <c:f>'вместе-отн'!$K$1</c:f>
              <c:strCache>
                <c:ptCount val="1"/>
                <c:pt idx="0">
                  <c:v>Эль-Сальвадор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'вместе-отн'!$A$2:$A$85</c:f>
              <c:numCache>
                <c:formatCode>0</c:formatCode>
                <c:ptCount val="84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</c:numCache>
            </c:numRef>
          </c:xVal>
          <c:yVal>
            <c:numRef>
              <c:f>'вместе-отн'!$K$2:$K$85</c:f>
              <c:numCache>
                <c:formatCode>0.00</c:formatCode>
                <c:ptCount val="84"/>
                <c:pt idx="0">
                  <c:v>0</c:v>
                </c:pt>
                <c:pt idx="1">
                  <c:v>1.6172506738544475E-2</c:v>
                </c:pt>
                <c:pt idx="2">
                  <c:v>3.324348607367475E-2</c:v>
                </c:pt>
                <c:pt idx="3">
                  <c:v>4.9415992812219228E-2</c:v>
                </c:pt>
                <c:pt idx="4">
                  <c:v>7.1877807726864335E-2</c:v>
                </c:pt>
                <c:pt idx="5">
                  <c:v>9.3441150044923635E-2</c:v>
                </c:pt>
                <c:pt idx="6">
                  <c:v>0.11769991015274034</c:v>
                </c:pt>
                <c:pt idx="7">
                  <c:v>0.14465408805031446</c:v>
                </c:pt>
                <c:pt idx="8">
                  <c:v>0.16891284815813118</c:v>
                </c:pt>
                <c:pt idx="9">
                  <c:v>0.19047619047619047</c:v>
                </c:pt>
                <c:pt idx="10">
                  <c:v>0.21383647798742139</c:v>
                </c:pt>
                <c:pt idx="11">
                  <c:v>0.24438454627133874</c:v>
                </c:pt>
                <c:pt idx="12">
                  <c:v>0.26864330637915546</c:v>
                </c:pt>
                <c:pt idx="13">
                  <c:v>0.29649595687331537</c:v>
                </c:pt>
                <c:pt idx="14">
                  <c:v>0.3081761006289308</c:v>
                </c:pt>
                <c:pt idx="15">
                  <c:v>0.32434860736747528</c:v>
                </c:pt>
                <c:pt idx="16">
                  <c:v>0.34141958670260558</c:v>
                </c:pt>
                <c:pt idx="17">
                  <c:v>0.35849056603773582</c:v>
                </c:pt>
                <c:pt idx="18">
                  <c:v>0.37556154537286612</c:v>
                </c:pt>
                <c:pt idx="19">
                  <c:v>0.39353099730458219</c:v>
                </c:pt>
                <c:pt idx="20">
                  <c:v>0.4115004492362983</c:v>
                </c:pt>
                <c:pt idx="21">
                  <c:v>0.42946990116801437</c:v>
                </c:pt>
                <c:pt idx="22">
                  <c:v>0.44833782569631625</c:v>
                </c:pt>
                <c:pt idx="23">
                  <c:v>0.46720575022461813</c:v>
                </c:pt>
                <c:pt idx="24">
                  <c:v>0.48607367475292002</c:v>
                </c:pt>
                <c:pt idx="25">
                  <c:v>0.50494159928122195</c:v>
                </c:pt>
                <c:pt idx="26">
                  <c:v>0.51931716082659474</c:v>
                </c:pt>
                <c:pt idx="27">
                  <c:v>0.54447439353099736</c:v>
                </c:pt>
                <c:pt idx="28">
                  <c:v>0.56513926325247077</c:v>
                </c:pt>
                <c:pt idx="29">
                  <c:v>0.58490566037735847</c:v>
                </c:pt>
                <c:pt idx="30">
                  <c:v>0.60646900269541781</c:v>
                </c:pt>
                <c:pt idx="31">
                  <c:v>0.62713387241689134</c:v>
                </c:pt>
                <c:pt idx="32">
                  <c:v>0.64869721473495057</c:v>
                </c:pt>
                <c:pt idx="33">
                  <c:v>0.67834681042228206</c:v>
                </c:pt>
                <c:pt idx="34">
                  <c:v>0.72569631626235409</c:v>
                </c:pt>
                <c:pt idx="35">
                  <c:v>0.78742138364779879</c:v>
                </c:pt>
                <c:pt idx="36">
                  <c:v>0.86190476190476206</c:v>
                </c:pt>
                <c:pt idx="37">
                  <c:v>0.94716981132075451</c:v>
                </c:pt>
                <c:pt idx="38">
                  <c:v>1.0415094339622639</c:v>
                </c:pt>
                <c:pt idx="39">
                  <c:v>1.1415992812219227</c:v>
                </c:pt>
                <c:pt idx="40">
                  <c:v>1.2433962264150944</c:v>
                </c:pt>
                <c:pt idx="41">
                  <c:v>1.3414195867026055</c:v>
                </c:pt>
                <c:pt idx="42">
                  <c:v>1.43099730458221</c:v>
                </c:pt>
                <c:pt idx="43">
                  <c:v>1.5080862533692723</c:v>
                </c:pt>
                <c:pt idx="44">
                  <c:v>1.578616352201258</c:v>
                </c:pt>
                <c:pt idx="45">
                  <c:v>1.6497753818508534</c:v>
                </c:pt>
                <c:pt idx="46">
                  <c:v>1.7212039532794248</c:v>
                </c:pt>
                <c:pt idx="47">
                  <c:v>1.7959568733153639</c:v>
                </c:pt>
                <c:pt idx="48">
                  <c:v>1.8746630727762803</c:v>
                </c:pt>
                <c:pt idx="49">
                  <c:v>1.9568733153638813</c:v>
                </c:pt>
                <c:pt idx="50">
                  <c:v>2.0415094339622639</c:v>
                </c:pt>
                <c:pt idx="51">
                  <c:v>2.1274034141958671</c:v>
                </c:pt>
                <c:pt idx="52">
                  <c:v>2.2133872416891283</c:v>
                </c:pt>
                <c:pt idx="53">
                  <c:v>2.2963162623539985</c:v>
                </c:pt>
                <c:pt idx="54">
                  <c:v>2.3760107816711589</c:v>
                </c:pt>
                <c:pt idx="55">
                  <c:v>2.4562443845462716</c:v>
                </c:pt>
                <c:pt idx="56">
                  <c:v>2.5382749326145553</c:v>
                </c:pt>
                <c:pt idx="57">
                  <c:v>2.6205750224618147</c:v>
                </c:pt>
                <c:pt idx="58">
                  <c:v>2.7020664869721469</c:v>
                </c:pt>
                <c:pt idx="59">
                  <c:v>2.7828391734052111</c:v>
                </c:pt>
                <c:pt idx="60">
                  <c:v>2.8646001796945195</c:v>
                </c:pt>
                <c:pt idx="61">
                  <c:v>2.9479784366576824</c:v>
                </c:pt>
                <c:pt idx="62">
                  <c:v>3.0255166217430367</c:v>
                </c:pt>
                <c:pt idx="63">
                  <c:v>3.0794249775381846</c:v>
                </c:pt>
                <c:pt idx="64">
                  <c:v>3.1065588499550767</c:v>
                </c:pt>
                <c:pt idx="65">
                  <c:v>3.1531895777178796</c:v>
                </c:pt>
                <c:pt idx="66">
                  <c:v>3.2294699011680139</c:v>
                </c:pt>
                <c:pt idx="67">
                  <c:v>3.3108715184186881</c:v>
                </c:pt>
                <c:pt idx="68">
                  <c:v>3.3977538185085354</c:v>
                </c:pt>
                <c:pt idx="69">
                  <c:v>3.4858939802336031</c:v>
                </c:pt>
                <c:pt idx="70">
                  <c:v>3.5753818508535486</c:v>
                </c:pt>
                <c:pt idx="71">
                  <c:v>3.6682839173405211</c:v>
                </c:pt>
                <c:pt idx="72">
                  <c:v>3.7610062893081762</c:v>
                </c:pt>
                <c:pt idx="73">
                  <c:v>3.8514824797843663</c:v>
                </c:pt>
                <c:pt idx="74">
                  <c:v>3.9371967654986526</c:v>
                </c:pt>
                <c:pt idx="75">
                  <c:v>4.0185085354896675</c:v>
                </c:pt>
                <c:pt idx="76">
                  <c:v>4.0853548966756517</c:v>
                </c:pt>
                <c:pt idx="77">
                  <c:v>4.1339622641509441</c:v>
                </c:pt>
                <c:pt idx="78">
                  <c:v>4.1770889487870626</c:v>
                </c:pt>
                <c:pt idx="79">
                  <c:v>4.215902964959569</c:v>
                </c:pt>
                <c:pt idx="80">
                  <c:v>4.2512129380053914</c:v>
                </c:pt>
                <c:pt idx="81">
                  <c:v>4.2837376460017973</c:v>
                </c:pt>
                <c:pt idx="82">
                  <c:v>4.3134770889487868</c:v>
                </c:pt>
                <c:pt idx="83">
                  <c:v>4.3399820305480681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4F9-4868-9F54-2D1095A4FC5F}"/>
            </c:ext>
          </c:extLst>
        </c:ser>
        <c:ser>
          <c:idx val="10"/>
          <c:order val="10"/>
          <c:tx>
            <c:strRef>
              <c:f>'вместе-отн'!$L$1</c:f>
              <c:strCache>
                <c:ptCount val="1"/>
                <c:pt idx="0">
                  <c:v>Гватемала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'вместе-отн'!$A$2:$A$85</c:f>
              <c:numCache>
                <c:formatCode>0</c:formatCode>
                <c:ptCount val="84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</c:numCache>
            </c:numRef>
          </c:xVal>
          <c:yVal>
            <c:numRef>
              <c:f>'вместе-отн'!$L$2:$L$85</c:f>
              <c:numCache>
                <c:formatCode>0.00</c:formatCode>
                <c:ptCount val="84"/>
                <c:pt idx="0">
                  <c:v>0</c:v>
                </c:pt>
                <c:pt idx="1">
                  <c:v>1.2234910277324634E-2</c:v>
                </c:pt>
                <c:pt idx="2">
                  <c:v>2.5285481239804241E-2</c:v>
                </c:pt>
                <c:pt idx="3">
                  <c:v>3.7520391517128875E-2</c:v>
                </c:pt>
                <c:pt idx="4">
                  <c:v>7.5856443719412719E-2</c:v>
                </c:pt>
                <c:pt idx="5">
                  <c:v>0.11500815660685156</c:v>
                </c:pt>
                <c:pt idx="6">
                  <c:v>0.15497553017944535</c:v>
                </c:pt>
                <c:pt idx="7">
                  <c:v>0.199836867862969</c:v>
                </c:pt>
                <c:pt idx="8">
                  <c:v>0.23491027732463296</c:v>
                </c:pt>
                <c:pt idx="9">
                  <c:v>0.26998368678629692</c:v>
                </c:pt>
                <c:pt idx="10">
                  <c:v>0.30668841761827081</c:v>
                </c:pt>
                <c:pt idx="11">
                  <c:v>0.35399673735725939</c:v>
                </c:pt>
                <c:pt idx="12">
                  <c:v>0.39151712887438828</c:v>
                </c:pt>
                <c:pt idx="13">
                  <c:v>0.43148450244698205</c:v>
                </c:pt>
                <c:pt idx="14">
                  <c:v>0.47879282218597063</c:v>
                </c:pt>
                <c:pt idx="15">
                  <c:v>0.52039151712887444</c:v>
                </c:pt>
                <c:pt idx="16">
                  <c:v>0.55709624796084833</c:v>
                </c:pt>
                <c:pt idx="17">
                  <c:v>0.58482871125611746</c:v>
                </c:pt>
                <c:pt idx="18">
                  <c:v>0.61092985318107662</c:v>
                </c:pt>
                <c:pt idx="19">
                  <c:v>0.65008156606851553</c:v>
                </c:pt>
                <c:pt idx="20">
                  <c:v>0.68515497553017946</c:v>
                </c:pt>
                <c:pt idx="21">
                  <c:v>0.72349102773246332</c:v>
                </c:pt>
                <c:pt idx="22">
                  <c:v>0.75367047308319735</c:v>
                </c:pt>
                <c:pt idx="23">
                  <c:v>0.79526916802610115</c:v>
                </c:pt>
                <c:pt idx="24">
                  <c:v>0.83686786296900484</c:v>
                </c:pt>
                <c:pt idx="25">
                  <c:v>0.87601957585644374</c:v>
                </c:pt>
                <c:pt idx="26">
                  <c:v>0.90783034257748774</c:v>
                </c:pt>
                <c:pt idx="27">
                  <c:v>0.94453507340946163</c:v>
                </c:pt>
                <c:pt idx="28">
                  <c:v>0.98858075040783033</c:v>
                </c:pt>
                <c:pt idx="29">
                  <c:v>1.0375203915171289</c:v>
                </c:pt>
                <c:pt idx="30">
                  <c:v>1.0929853181076672</c:v>
                </c:pt>
                <c:pt idx="31">
                  <c:v>1.1541598694942903</c:v>
                </c:pt>
                <c:pt idx="32">
                  <c:v>1.2218597063621532</c:v>
                </c:pt>
                <c:pt idx="33">
                  <c:v>1.2879282218597063</c:v>
                </c:pt>
                <c:pt idx="34">
                  <c:v>1.3536704730831972</c:v>
                </c:pt>
                <c:pt idx="35">
                  <c:v>1.4343393148450245</c:v>
                </c:pt>
                <c:pt idx="36">
                  <c:v>1.5273246329526917</c:v>
                </c:pt>
                <c:pt idx="37">
                  <c:v>1.6306688417618269</c:v>
                </c:pt>
                <c:pt idx="38">
                  <c:v>1.7426590538336053</c:v>
                </c:pt>
                <c:pt idx="39">
                  <c:v>1.8602773246329525</c:v>
                </c:pt>
                <c:pt idx="40">
                  <c:v>1.980179445350734</c:v>
                </c:pt>
                <c:pt idx="41">
                  <c:v>2.0976345840130506</c:v>
                </c:pt>
                <c:pt idx="42">
                  <c:v>2.2101141924959218</c:v>
                </c:pt>
                <c:pt idx="43">
                  <c:v>2.3146003262642738</c:v>
                </c:pt>
                <c:pt idx="44">
                  <c:v>2.4145187601957585</c:v>
                </c:pt>
                <c:pt idx="45">
                  <c:v>2.5171288743882543</c:v>
                </c:pt>
                <c:pt idx="46">
                  <c:v>2.621778140293638</c:v>
                </c:pt>
                <c:pt idx="47">
                  <c:v>2.7284665579119087</c:v>
                </c:pt>
                <c:pt idx="48">
                  <c:v>2.8376835236541598</c:v>
                </c:pt>
                <c:pt idx="49">
                  <c:v>2.9486133768352367</c:v>
                </c:pt>
                <c:pt idx="50">
                  <c:v>3.0610929853181075</c:v>
                </c:pt>
                <c:pt idx="51">
                  <c:v>3.1746329526916806</c:v>
                </c:pt>
                <c:pt idx="52">
                  <c:v>3.288009787928222</c:v>
                </c:pt>
                <c:pt idx="53">
                  <c:v>3.4021207177814028</c:v>
                </c:pt>
                <c:pt idx="54">
                  <c:v>3.5174551386623163</c:v>
                </c:pt>
                <c:pt idx="55">
                  <c:v>3.6352365415986951</c:v>
                </c:pt>
                <c:pt idx="56">
                  <c:v>3.7566068515497557</c:v>
                </c:pt>
                <c:pt idx="57">
                  <c:v>3.8786296900489394</c:v>
                </c:pt>
                <c:pt idx="58">
                  <c:v>3.9989396411092986</c:v>
                </c:pt>
                <c:pt idx="59">
                  <c:v>4.1079934747145188</c:v>
                </c:pt>
                <c:pt idx="60">
                  <c:v>4.2214518760195761</c:v>
                </c:pt>
                <c:pt idx="61">
                  <c:v>4.3519575856443717</c:v>
                </c:pt>
                <c:pt idx="62">
                  <c:v>4.4876019575856443</c:v>
                </c:pt>
                <c:pt idx="63">
                  <c:v>4.628221859706362</c:v>
                </c:pt>
                <c:pt idx="64">
                  <c:v>4.7712887438825451</c:v>
                </c:pt>
                <c:pt idx="65">
                  <c:v>4.9055464926590533</c:v>
                </c:pt>
                <c:pt idx="66">
                  <c:v>5.0518760195758565</c:v>
                </c:pt>
                <c:pt idx="67">
                  <c:v>5.2240619902120713</c:v>
                </c:pt>
                <c:pt idx="68">
                  <c:v>5.402691680261011</c:v>
                </c:pt>
                <c:pt idx="69">
                  <c:v>5.5830342577487766</c:v>
                </c:pt>
                <c:pt idx="70">
                  <c:v>5.7671288743882547</c:v>
                </c:pt>
                <c:pt idx="71">
                  <c:v>5.9592985318107674</c:v>
                </c:pt>
                <c:pt idx="72">
                  <c:v>6.1578303425774878</c:v>
                </c:pt>
                <c:pt idx="73">
                  <c:v>6.3611745513866227</c:v>
                </c:pt>
                <c:pt idx="74">
                  <c:v>6.5632952691680266</c:v>
                </c:pt>
                <c:pt idx="75">
                  <c:v>6.766965742251223</c:v>
                </c:pt>
                <c:pt idx="76">
                  <c:v>6.976998368678629</c:v>
                </c:pt>
                <c:pt idx="77">
                  <c:v>7.1922512234910281</c:v>
                </c:pt>
                <c:pt idx="78">
                  <c:v>7.4119086460032628</c:v>
                </c:pt>
                <c:pt idx="79">
                  <c:v>7.6325448613376832</c:v>
                </c:pt>
                <c:pt idx="80">
                  <c:v>7.8562805872756929</c:v>
                </c:pt>
                <c:pt idx="81">
                  <c:v>8.085725938009789</c:v>
                </c:pt>
                <c:pt idx="82">
                  <c:v>8.3172920065252853</c:v>
                </c:pt>
                <c:pt idx="83">
                  <c:v>8.5412724306688421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4F9-4868-9F54-2D1095A4FC5F}"/>
            </c:ext>
          </c:extLst>
        </c:ser>
        <c:ser>
          <c:idx val="11"/>
          <c:order val="11"/>
          <c:tx>
            <c:strRef>
              <c:f>'вместе-отн'!$M$1</c:f>
              <c:strCache>
                <c:ptCount val="1"/>
                <c:pt idx="0">
                  <c:v>Гаити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'вместе-отн'!$A$2:$A$85</c:f>
              <c:numCache>
                <c:formatCode>0</c:formatCode>
                <c:ptCount val="84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</c:numCache>
            </c:numRef>
          </c:xVal>
          <c:yVal>
            <c:numRef>
              <c:f>'вместе-отн'!$M$2:$M$85</c:f>
              <c:numCache>
                <c:formatCode>0.00</c:formatCode>
                <c:ptCount val="84"/>
                <c:pt idx="0">
                  <c:v>0</c:v>
                </c:pt>
                <c:pt idx="1">
                  <c:v>2.207727044656297E-2</c:v>
                </c:pt>
                <c:pt idx="2">
                  <c:v>4.3652784746613146E-2</c:v>
                </c:pt>
                <c:pt idx="3">
                  <c:v>6.573005519317611E-2</c:v>
                </c:pt>
                <c:pt idx="4">
                  <c:v>7.9277471149021575E-2</c:v>
                </c:pt>
                <c:pt idx="5">
                  <c:v>9.282488710486704E-2</c:v>
                </c:pt>
                <c:pt idx="6">
                  <c:v>0.10687405920722529</c:v>
                </c:pt>
                <c:pt idx="7">
                  <c:v>0.11991971901655796</c:v>
                </c:pt>
                <c:pt idx="8">
                  <c:v>0.13396889111891622</c:v>
                </c:pt>
                <c:pt idx="9">
                  <c:v>0.15002508780732565</c:v>
                </c:pt>
                <c:pt idx="10">
                  <c:v>0.16658304064224785</c:v>
                </c:pt>
                <c:pt idx="11">
                  <c:v>0.18263923733065729</c:v>
                </c:pt>
                <c:pt idx="12">
                  <c:v>0.19919719016557952</c:v>
                </c:pt>
                <c:pt idx="13">
                  <c:v>0.21525338685398895</c:v>
                </c:pt>
                <c:pt idx="14">
                  <c:v>0.23432012042147515</c:v>
                </c:pt>
                <c:pt idx="15">
                  <c:v>0.25338685398896138</c:v>
                </c:pt>
                <c:pt idx="16">
                  <c:v>0.27195183140993479</c:v>
                </c:pt>
                <c:pt idx="17">
                  <c:v>0.29101856497742096</c:v>
                </c:pt>
                <c:pt idx="18">
                  <c:v>0.31008529854490718</c:v>
                </c:pt>
                <c:pt idx="19">
                  <c:v>0.33166081284495735</c:v>
                </c:pt>
                <c:pt idx="20">
                  <c:v>0.35323632714500752</c:v>
                </c:pt>
                <c:pt idx="21">
                  <c:v>0.37531359759157051</c:v>
                </c:pt>
                <c:pt idx="22">
                  <c:v>0.39688911189162068</c:v>
                </c:pt>
                <c:pt idx="23">
                  <c:v>0.41846462619167085</c:v>
                </c:pt>
                <c:pt idx="24">
                  <c:v>0.44305067737079779</c:v>
                </c:pt>
                <c:pt idx="25">
                  <c:v>0.47315604616156548</c:v>
                </c:pt>
                <c:pt idx="26">
                  <c:v>0.49473156046161565</c:v>
                </c:pt>
                <c:pt idx="27">
                  <c:v>0.52132463622679381</c:v>
                </c:pt>
                <c:pt idx="28">
                  <c:v>0.54892122428499746</c:v>
                </c:pt>
                <c:pt idx="29">
                  <c:v>0.57701956848971403</c:v>
                </c:pt>
                <c:pt idx="30">
                  <c:v>0.60561966884094331</c:v>
                </c:pt>
                <c:pt idx="31">
                  <c:v>0.63472152533868542</c:v>
                </c:pt>
                <c:pt idx="32">
                  <c:v>0.66482689412945306</c:v>
                </c:pt>
                <c:pt idx="33">
                  <c:v>0.69593577521324634</c:v>
                </c:pt>
                <c:pt idx="34">
                  <c:v>0.7198193677872553</c:v>
                </c:pt>
                <c:pt idx="35">
                  <c:v>0.74189663823381835</c:v>
                </c:pt>
                <c:pt idx="36">
                  <c:v>0.76281986954340197</c:v>
                </c:pt>
                <c:pt idx="37">
                  <c:v>0.7831911690918214</c:v>
                </c:pt>
                <c:pt idx="38">
                  <c:v>0.80381334671349725</c:v>
                </c:pt>
                <c:pt idx="39">
                  <c:v>0.82568991470145503</c:v>
                </c:pt>
                <c:pt idx="40">
                  <c:v>0.84902157551430002</c:v>
                </c:pt>
                <c:pt idx="41">
                  <c:v>0.87461113898645249</c:v>
                </c:pt>
                <c:pt idx="42">
                  <c:v>0.90331159056698451</c:v>
                </c:pt>
                <c:pt idx="43">
                  <c:v>0.93597591570496741</c:v>
                </c:pt>
                <c:pt idx="44">
                  <c:v>0.97139989964877071</c:v>
                </c:pt>
                <c:pt idx="45">
                  <c:v>1.0078273958855997</c:v>
                </c:pt>
                <c:pt idx="46">
                  <c:v>1.0437029603612644</c:v>
                </c:pt>
                <c:pt idx="47">
                  <c:v>1.0803813346713496</c:v>
                </c:pt>
                <c:pt idx="48">
                  <c:v>1.1193176116407426</c:v>
                </c:pt>
                <c:pt idx="49">
                  <c:v>1.158855995985951</c:v>
                </c:pt>
                <c:pt idx="50">
                  <c:v>1.1991971901655796</c:v>
                </c:pt>
                <c:pt idx="51">
                  <c:v>1.2404917210235826</c:v>
                </c:pt>
                <c:pt idx="52">
                  <c:v>1.2826392373306574</c:v>
                </c:pt>
                <c:pt idx="53">
                  <c:v>1.3256899147014554</c:v>
                </c:pt>
                <c:pt idx="54">
                  <c:v>1.3698946312092322</c:v>
                </c:pt>
                <c:pt idx="55">
                  <c:v>1.4154039136979426</c:v>
                </c:pt>
                <c:pt idx="56">
                  <c:v>1.4619668840943301</c:v>
                </c:pt>
                <c:pt idx="57">
                  <c:v>1.5096838936276971</c:v>
                </c:pt>
                <c:pt idx="58">
                  <c:v>1.558504766683392</c:v>
                </c:pt>
                <c:pt idx="59">
                  <c:v>1.6083291520321121</c:v>
                </c:pt>
                <c:pt idx="60">
                  <c:v>1.6590566984445561</c:v>
                </c:pt>
                <c:pt idx="61">
                  <c:v>1.7107877571500252</c:v>
                </c:pt>
                <c:pt idx="62">
                  <c:v>1.7634721525338688</c:v>
                </c:pt>
                <c:pt idx="63">
                  <c:v>1.8171098845960862</c:v>
                </c:pt>
                <c:pt idx="64">
                  <c:v>1.8719016557952834</c:v>
                </c:pt>
                <c:pt idx="65">
                  <c:v>1.9281986954340189</c:v>
                </c:pt>
                <c:pt idx="66">
                  <c:v>1.9860010035122933</c:v>
                </c:pt>
                <c:pt idx="67">
                  <c:v>2.045258404415454</c:v>
                </c:pt>
                <c:pt idx="68">
                  <c:v>2.1063221274460608</c:v>
                </c:pt>
                <c:pt idx="69">
                  <c:v>2.1691419969894632</c:v>
                </c:pt>
                <c:pt idx="70">
                  <c:v>2.2338685398896136</c:v>
                </c:pt>
                <c:pt idx="71">
                  <c:v>2.3006021073758154</c:v>
                </c:pt>
                <c:pt idx="72">
                  <c:v>2.3691419969894629</c:v>
                </c:pt>
                <c:pt idx="73">
                  <c:v>2.4392373306573005</c:v>
                </c:pt>
                <c:pt idx="74">
                  <c:v>2.510035122930256</c:v>
                </c:pt>
                <c:pt idx="75">
                  <c:v>2.5808329152032115</c:v>
                </c:pt>
                <c:pt idx="76">
                  <c:v>2.6518815855494231</c:v>
                </c:pt>
                <c:pt idx="77">
                  <c:v>2.7229302558956348</c:v>
                </c:pt>
                <c:pt idx="78">
                  <c:v>2.7945308580030104</c:v>
                </c:pt>
                <c:pt idx="79">
                  <c:v>2.8673356748620171</c:v>
                </c:pt>
                <c:pt idx="80">
                  <c:v>2.940943301555444</c:v>
                </c:pt>
                <c:pt idx="81">
                  <c:v>3.0151028600100354</c:v>
                </c:pt>
                <c:pt idx="82">
                  <c:v>3.0899648770697441</c:v>
                </c:pt>
                <c:pt idx="83">
                  <c:v>3.1661816357250379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4F9-4868-9F54-2D1095A4FC5F}"/>
            </c:ext>
          </c:extLst>
        </c:ser>
        <c:ser>
          <c:idx val="12"/>
          <c:order val="12"/>
          <c:tx>
            <c:strRef>
              <c:f>'вместе-отн'!$N$1</c:f>
              <c:strCache>
                <c:ptCount val="1"/>
                <c:pt idx="0">
                  <c:v>Гондурас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'вместе-отн'!$A$2:$A$85</c:f>
              <c:numCache>
                <c:formatCode>0</c:formatCode>
                <c:ptCount val="84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</c:numCache>
            </c:numRef>
          </c:xVal>
          <c:yVal>
            <c:numRef>
              <c:f>'вместе-отн'!$N$2:$N$85</c:f>
              <c:numCache>
                <c:formatCode>0.00</c:formatCode>
                <c:ptCount val="84"/>
                <c:pt idx="0">
                  <c:v>0</c:v>
                </c:pt>
                <c:pt idx="1">
                  <c:v>4.2654028436018961E-2</c:v>
                </c:pt>
                <c:pt idx="2">
                  <c:v>8.6887835703001584E-2</c:v>
                </c:pt>
                <c:pt idx="3">
                  <c:v>0.12954186413902052</c:v>
                </c:pt>
                <c:pt idx="4">
                  <c:v>0.17219589257503951</c:v>
                </c:pt>
                <c:pt idx="5">
                  <c:v>0.21484992101105846</c:v>
                </c:pt>
                <c:pt idx="6">
                  <c:v>0.25750394944707738</c:v>
                </c:pt>
                <c:pt idx="7">
                  <c:v>0.30173775671406006</c:v>
                </c:pt>
                <c:pt idx="8">
                  <c:v>0.34439178515007901</c:v>
                </c:pt>
                <c:pt idx="9">
                  <c:v>0.38704581358609796</c:v>
                </c:pt>
                <c:pt idx="10">
                  <c:v>0.41074249605055291</c:v>
                </c:pt>
                <c:pt idx="11">
                  <c:v>0.4391785150078989</c:v>
                </c:pt>
                <c:pt idx="12">
                  <c:v>0.46603475513428122</c:v>
                </c:pt>
                <c:pt idx="13">
                  <c:v>0.49763033175355448</c:v>
                </c:pt>
                <c:pt idx="14">
                  <c:v>0.52922590837282779</c:v>
                </c:pt>
                <c:pt idx="15">
                  <c:v>0.56240126382306477</c:v>
                </c:pt>
                <c:pt idx="16">
                  <c:v>0.5908372827804107</c:v>
                </c:pt>
                <c:pt idx="17">
                  <c:v>0.61611374407582942</c:v>
                </c:pt>
                <c:pt idx="18">
                  <c:v>0.64612954186413907</c:v>
                </c:pt>
                <c:pt idx="19">
                  <c:v>0.67140600315955767</c:v>
                </c:pt>
                <c:pt idx="20">
                  <c:v>0.69984202211690361</c:v>
                </c:pt>
                <c:pt idx="21">
                  <c:v>0.7345971563981043</c:v>
                </c:pt>
                <c:pt idx="22">
                  <c:v>0.77251184834123221</c:v>
                </c:pt>
                <c:pt idx="23">
                  <c:v>0.81042654028436023</c:v>
                </c:pt>
                <c:pt idx="24">
                  <c:v>0.84992101105845186</c:v>
                </c:pt>
                <c:pt idx="25">
                  <c:v>0.88783570300157977</c:v>
                </c:pt>
                <c:pt idx="26">
                  <c:v>0.9162717219589257</c:v>
                </c:pt>
                <c:pt idx="27">
                  <c:v>0.95418641390205372</c:v>
                </c:pt>
                <c:pt idx="28">
                  <c:v>0.99210110584518163</c:v>
                </c:pt>
                <c:pt idx="29">
                  <c:v>1.033175355450237</c:v>
                </c:pt>
                <c:pt idx="30">
                  <c:v>1.0853080568720379</c:v>
                </c:pt>
                <c:pt idx="31">
                  <c:v>1.1374407582938388</c:v>
                </c:pt>
                <c:pt idx="32">
                  <c:v>1.1943127962085307</c:v>
                </c:pt>
                <c:pt idx="33">
                  <c:v>1.2559241706161137</c:v>
                </c:pt>
                <c:pt idx="34">
                  <c:v>1.3232227488151658</c:v>
                </c:pt>
                <c:pt idx="35">
                  <c:v>1.4034755134281203</c:v>
                </c:pt>
                <c:pt idx="36">
                  <c:v>1.4952606635071091</c:v>
                </c:pt>
                <c:pt idx="37">
                  <c:v>1.5966824644549764</c:v>
                </c:pt>
                <c:pt idx="38">
                  <c:v>1.7055292259083727</c:v>
                </c:pt>
                <c:pt idx="39">
                  <c:v>1.8194312796208532</c:v>
                </c:pt>
                <c:pt idx="40">
                  <c:v>1.9352290679304898</c:v>
                </c:pt>
                <c:pt idx="41">
                  <c:v>2.0497630331753554</c:v>
                </c:pt>
                <c:pt idx="42">
                  <c:v>2.1586097946287519</c:v>
                </c:pt>
                <c:pt idx="43">
                  <c:v>2.2576619273301737</c:v>
                </c:pt>
                <c:pt idx="44">
                  <c:v>2.351026856240126</c:v>
                </c:pt>
                <c:pt idx="45">
                  <c:v>2.4472353870458132</c:v>
                </c:pt>
                <c:pt idx="46">
                  <c:v>2.5464454976303319</c:v>
                </c:pt>
                <c:pt idx="47">
                  <c:v>2.64913112164297</c:v>
                </c:pt>
                <c:pt idx="48">
                  <c:v>2.7554502369668246</c:v>
                </c:pt>
                <c:pt idx="49">
                  <c:v>2.8654028436018959</c:v>
                </c:pt>
                <c:pt idx="50">
                  <c:v>2.9788309636650867</c:v>
                </c:pt>
                <c:pt idx="51">
                  <c:v>3.0965244865718797</c:v>
                </c:pt>
                <c:pt idx="52">
                  <c:v>3.218483412322275</c:v>
                </c:pt>
                <c:pt idx="53">
                  <c:v>3.3454976303317534</c:v>
                </c:pt>
                <c:pt idx="54">
                  <c:v>3.4780410742496048</c:v>
                </c:pt>
                <c:pt idx="55">
                  <c:v>3.6162717219589258</c:v>
                </c:pt>
                <c:pt idx="56">
                  <c:v>3.7575039494470772</c:v>
                </c:pt>
                <c:pt idx="57">
                  <c:v>3.8969984202211694</c:v>
                </c:pt>
                <c:pt idx="58">
                  <c:v>4.0445497630331753</c:v>
                </c:pt>
                <c:pt idx="59">
                  <c:v>4.2045813586097944</c:v>
                </c:pt>
                <c:pt idx="60">
                  <c:v>4.3691943127962078</c:v>
                </c:pt>
                <c:pt idx="61">
                  <c:v>4.5379146919431284</c:v>
                </c:pt>
                <c:pt idx="62">
                  <c:v>4.7109004739336493</c:v>
                </c:pt>
                <c:pt idx="63">
                  <c:v>4.8881516587677725</c:v>
                </c:pt>
                <c:pt idx="64">
                  <c:v>5.0691943127962089</c:v>
                </c:pt>
                <c:pt idx="65">
                  <c:v>5.2538704581358608</c:v>
                </c:pt>
                <c:pt idx="66">
                  <c:v>5.442654028436019</c:v>
                </c:pt>
                <c:pt idx="67">
                  <c:v>5.6349131121642966</c:v>
                </c:pt>
                <c:pt idx="68">
                  <c:v>5.8298578199052136</c:v>
                </c:pt>
                <c:pt idx="69">
                  <c:v>6.0282780410742491</c:v>
                </c:pt>
                <c:pt idx="70">
                  <c:v>6.230489731437598</c:v>
                </c:pt>
                <c:pt idx="71">
                  <c:v>6.437124802527646</c:v>
                </c:pt>
                <c:pt idx="72">
                  <c:v>6.648973143759874</c:v>
                </c:pt>
                <c:pt idx="73">
                  <c:v>6.868088467614534</c:v>
                </c:pt>
                <c:pt idx="74">
                  <c:v>7.0944707740916275</c:v>
                </c:pt>
                <c:pt idx="75">
                  <c:v>7.327646129541864</c:v>
                </c:pt>
                <c:pt idx="76">
                  <c:v>7.5674565560821483</c:v>
                </c:pt>
                <c:pt idx="77">
                  <c:v>7.8139020537124804</c:v>
                </c:pt>
                <c:pt idx="78">
                  <c:v>8.0672985781990523</c:v>
                </c:pt>
                <c:pt idx="79">
                  <c:v>8.3270142180094791</c:v>
                </c:pt>
                <c:pt idx="80">
                  <c:v>8.5916271721958921</c:v>
                </c:pt>
                <c:pt idx="81">
                  <c:v>8.8489731437598724</c:v>
                </c:pt>
                <c:pt idx="82">
                  <c:v>9.1113744075829377</c:v>
                </c:pt>
                <c:pt idx="83">
                  <c:v>9.3914691943127959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64F9-4868-9F54-2D1095A4FC5F}"/>
            </c:ext>
          </c:extLst>
        </c:ser>
        <c:ser>
          <c:idx val="13"/>
          <c:order val="13"/>
          <c:tx>
            <c:strRef>
              <c:f>'вместе-отн'!$O$1</c:f>
              <c:strCache>
                <c:ptCount val="1"/>
                <c:pt idx="0">
                  <c:v>Мексика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'вместе-отн'!$A$2:$A$85</c:f>
              <c:numCache>
                <c:formatCode>0</c:formatCode>
                <c:ptCount val="84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</c:numCache>
            </c:numRef>
          </c:xVal>
          <c:yVal>
            <c:numRef>
              <c:f>'вместе-отн'!$O$2:$O$85</c:f>
              <c:numCache>
                <c:formatCode>0.00</c:formatCode>
                <c:ptCount val="84"/>
                <c:pt idx="0">
                  <c:v>0</c:v>
                </c:pt>
                <c:pt idx="1">
                  <c:v>7.3391854943157288E-3</c:v>
                </c:pt>
                <c:pt idx="2">
                  <c:v>1.8132105338897683E-2</c:v>
                </c:pt>
                <c:pt idx="3">
                  <c:v>1.8132105338897683E-2</c:v>
                </c:pt>
                <c:pt idx="4">
                  <c:v>3.1443373147215424E-2</c:v>
                </c:pt>
                <c:pt idx="5">
                  <c:v>3.9286228234278311E-2</c:v>
                </c:pt>
                <c:pt idx="6">
                  <c:v>5.7202475176284358E-2</c:v>
                </c:pt>
                <c:pt idx="7">
                  <c:v>7.5334580515182034E-2</c:v>
                </c:pt>
                <c:pt idx="8">
                  <c:v>9.3970355446826886E-2</c:v>
                </c:pt>
                <c:pt idx="9">
                  <c:v>0.11296589437329112</c:v>
                </c:pt>
                <c:pt idx="10">
                  <c:v>0.13239315009353864</c:v>
                </c:pt>
                <c:pt idx="11">
                  <c:v>0.15210821700964167</c:v>
                </c:pt>
                <c:pt idx="12">
                  <c:v>0.21787307526262772</c:v>
                </c:pt>
                <c:pt idx="13">
                  <c:v>0.19103468124910059</c:v>
                </c:pt>
                <c:pt idx="14">
                  <c:v>0.21427543531443374</c:v>
                </c:pt>
                <c:pt idx="15">
                  <c:v>0.23542955820981437</c:v>
                </c:pt>
                <c:pt idx="16">
                  <c:v>0.25701539789897826</c:v>
                </c:pt>
                <c:pt idx="17">
                  <c:v>0.27910490718088932</c:v>
                </c:pt>
                <c:pt idx="18">
                  <c:v>0.30155418045761978</c:v>
                </c:pt>
                <c:pt idx="19">
                  <c:v>0.32465102892502518</c:v>
                </c:pt>
                <c:pt idx="20">
                  <c:v>0.3501223197582386</c:v>
                </c:pt>
                <c:pt idx="21">
                  <c:v>0.37221182904014966</c:v>
                </c:pt>
                <c:pt idx="22">
                  <c:v>0.3968196862857965</c:v>
                </c:pt>
                <c:pt idx="23">
                  <c:v>0.41416031083609151</c:v>
                </c:pt>
                <c:pt idx="24">
                  <c:v>0.45402216146208085</c:v>
                </c:pt>
                <c:pt idx="25">
                  <c:v>0.48632896819686283</c:v>
                </c:pt>
                <c:pt idx="26">
                  <c:v>0.5228809900705137</c:v>
                </c:pt>
                <c:pt idx="27">
                  <c:v>0.5595049647431285</c:v>
                </c:pt>
                <c:pt idx="28">
                  <c:v>0.59972657936393725</c:v>
                </c:pt>
                <c:pt idx="29">
                  <c:v>0.63901280759821555</c:v>
                </c:pt>
                <c:pt idx="30">
                  <c:v>0.68657360771334008</c:v>
                </c:pt>
                <c:pt idx="31">
                  <c:v>0.73614908619945318</c:v>
                </c:pt>
                <c:pt idx="32">
                  <c:v>0.78622823427831345</c:v>
                </c:pt>
                <c:pt idx="33">
                  <c:v>0.85573463807742123</c:v>
                </c:pt>
                <c:pt idx="34">
                  <c:v>0.90860555475607996</c:v>
                </c:pt>
                <c:pt idx="35">
                  <c:v>0.97054252410418751</c:v>
                </c:pt>
                <c:pt idx="36">
                  <c:v>1.0406821125341776</c:v>
                </c:pt>
                <c:pt idx="37">
                  <c:v>1.1182688156569291</c:v>
                </c:pt>
                <c:pt idx="38">
                  <c:v>1.2019355302921284</c:v>
                </c:pt>
                <c:pt idx="39">
                  <c:v>1.289854655346093</c:v>
                </c:pt>
                <c:pt idx="40">
                  <c:v>1.3800546841272125</c:v>
                </c:pt>
                <c:pt idx="41">
                  <c:v>1.470405813786156</c:v>
                </c:pt>
                <c:pt idx="42">
                  <c:v>1.5586487264354583</c:v>
                </c:pt>
                <c:pt idx="43">
                  <c:v>1.642437760828896</c:v>
                </c:pt>
                <c:pt idx="44">
                  <c:v>1.7262987480212979</c:v>
                </c:pt>
                <c:pt idx="45">
                  <c:v>1.8154554612174412</c:v>
                </c:pt>
                <c:pt idx="46">
                  <c:v>1.9086271405957691</c:v>
                </c:pt>
                <c:pt idx="47">
                  <c:v>2.0056123183191827</c:v>
                </c:pt>
                <c:pt idx="48">
                  <c:v>2.1065261188660238</c:v>
                </c:pt>
                <c:pt idx="49">
                  <c:v>2.2111886602388831</c:v>
                </c:pt>
                <c:pt idx="50">
                  <c:v>2.3191538350841845</c:v>
                </c:pt>
                <c:pt idx="51">
                  <c:v>2.4298676068499065</c:v>
                </c:pt>
                <c:pt idx="52">
                  <c:v>2.5424665419484818</c:v>
                </c:pt>
                <c:pt idx="53">
                  <c:v>2.6562814793495466</c:v>
                </c:pt>
                <c:pt idx="54">
                  <c:v>2.7712332709742409</c:v>
                </c:pt>
                <c:pt idx="55">
                  <c:v>2.8876241185782123</c:v>
                </c:pt>
                <c:pt idx="56">
                  <c:v>3.0054180457619806</c:v>
                </c:pt>
                <c:pt idx="57">
                  <c:v>3.1243416318894806</c:v>
                </c:pt>
                <c:pt idx="58">
                  <c:v>3.2439487696071376</c:v>
                </c:pt>
                <c:pt idx="59">
                  <c:v>3.3636134695639659</c:v>
                </c:pt>
                <c:pt idx="60">
                  <c:v>3.4832709742408978</c:v>
                </c:pt>
                <c:pt idx="61">
                  <c:v>3.6034681249100591</c:v>
                </c:pt>
                <c:pt idx="62">
                  <c:v>3.7236221038998414</c:v>
                </c:pt>
                <c:pt idx="63">
                  <c:v>3.842444956108793</c:v>
                </c:pt>
                <c:pt idx="64">
                  <c:v>3.9569794214994967</c:v>
                </c:pt>
                <c:pt idx="65">
                  <c:v>4.0678730752626278</c:v>
                </c:pt>
                <c:pt idx="66">
                  <c:v>4.1785292847891782</c:v>
                </c:pt>
                <c:pt idx="67">
                  <c:v>4.2890200028781118</c:v>
                </c:pt>
                <c:pt idx="68">
                  <c:v>4.3995826737660089</c:v>
                </c:pt>
                <c:pt idx="69">
                  <c:v>4.5105482803281056</c:v>
                </c:pt>
                <c:pt idx="70">
                  <c:v>4.6221542668009787</c:v>
                </c:pt>
                <c:pt idx="71">
                  <c:v>4.7343142898258739</c:v>
                </c:pt>
                <c:pt idx="72">
                  <c:v>4.8459634479781259</c:v>
                </c:pt>
                <c:pt idx="73">
                  <c:v>4.959145200748309</c:v>
                </c:pt>
                <c:pt idx="74">
                  <c:v>5.0750179881997415</c:v>
                </c:pt>
                <c:pt idx="75">
                  <c:v>5.1911641962872359</c:v>
                </c:pt>
                <c:pt idx="76">
                  <c:v>5.3069362498201178</c:v>
                </c:pt>
                <c:pt idx="77">
                  <c:v>5.4224492732767304</c:v>
                </c:pt>
                <c:pt idx="78">
                  <c:v>5.537811195855519</c:v>
                </c:pt>
                <c:pt idx="79">
                  <c:v>5.6522305367678802</c:v>
                </c:pt>
                <c:pt idx="80">
                  <c:v>5.7650885019427252</c:v>
                </c:pt>
                <c:pt idx="81">
                  <c:v>5.876903151532594</c:v>
                </c:pt>
                <c:pt idx="82">
                  <c:v>5.9877464383364511</c:v>
                </c:pt>
                <c:pt idx="83">
                  <c:v>6.0963879694920138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4F9-4868-9F54-2D1095A4FC5F}"/>
            </c:ext>
          </c:extLst>
        </c:ser>
        <c:ser>
          <c:idx val="14"/>
          <c:order val="14"/>
          <c:tx>
            <c:strRef>
              <c:f>'вместе-отн'!$P$1</c:f>
              <c:strCache>
                <c:ptCount val="1"/>
                <c:pt idx="0">
                  <c:v>Никарагуа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'вместе-отн'!$A$2:$A$85</c:f>
              <c:numCache>
                <c:formatCode>0</c:formatCode>
                <c:ptCount val="84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</c:numCache>
            </c:numRef>
          </c:xVal>
          <c:yVal>
            <c:numRef>
              <c:f>'вместе-отн'!$P$2:$P$85</c:f>
              <c:numCache>
                <c:formatCode>0.00</c:formatCode>
                <c:ptCount val="84"/>
                <c:pt idx="0">
                  <c:v>0</c:v>
                </c:pt>
                <c:pt idx="1">
                  <c:v>1.4754098360655738E-2</c:v>
                </c:pt>
                <c:pt idx="2">
                  <c:v>3.1147540983606559E-2</c:v>
                </c:pt>
                <c:pt idx="3">
                  <c:v>4.5901639344262293E-2</c:v>
                </c:pt>
                <c:pt idx="4">
                  <c:v>5.4098360655737705E-2</c:v>
                </c:pt>
                <c:pt idx="5">
                  <c:v>6.0655737704918035E-2</c:v>
                </c:pt>
                <c:pt idx="6">
                  <c:v>6.8852459016393447E-2</c:v>
                </c:pt>
                <c:pt idx="7">
                  <c:v>7.5409836065573776E-2</c:v>
                </c:pt>
                <c:pt idx="8">
                  <c:v>8.1967213114754092E-2</c:v>
                </c:pt>
                <c:pt idx="9">
                  <c:v>9.0163934426229511E-2</c:v>
                </c:pt>
                <c:pt idx="10">
                  <c:v>9.8360655737704916E-2</c:v>
                </c:pt>
                <c:pt idx="11">
                  <c:v>0.10491803278688525</c:v>
                </c:pt>
                <c:pt idx="12">
                  <c:v>0.11311475409836065</c:v>
                </c:pt>
                <c:pt idx="13">
                  <c:v>0.11967213114754098</c:v>
                </c:pt>
                <c:pt idx="14">
                  <c:v>0.12622950819672132</c:v>
                </c:pt>
                <c:pt idx="15">
                  <c:v>0.13442622950819672</c:v>
                </c:pt>
                <c:pt idx="16">
                  <c:v>0.14262295081967213</c:v>
                </c:pt>
                <c:pt idx="17">
                  <c:v>0.16557377049180327</c:v>
                </c:pt>
                <c:pt idx="18">
                  <c:v>0.19344262295081968</c:v>
                </c:pt>
                <c:pt idx="19">
                  <c:v>0.22295081967213115</c:v>
                </c:pt>
                <c:pt idx="20">
                  <c:v>0.25409836065573771</c:v>
                </c:pt>
                <c:pt idx="21">
                  <c:v>0.28688524590163933</c:v>
                </c:pt>
                <c:pt idx="22">
                  <c:v>0.32131147540983607</c:v>
                </c:pt>
                <c:pt idx="23">
                  <c:v>0.35245901639344263</c:v>
                </c:pt>
                <c:pt idx="24">
                  <c:v>0.38360655737704918</c:v>
                </c:pt>
                <c:pt idx="25">
                  <c:v>0.41475409836065574</c:v>
                </c:pt>
                <c:pt idx="26">
                  <c:v>0.44262295081967212</c:v>
                </c:pt>
                <c:pt idx="27">
                  <c:v>0.47540983606557374</c:v>
                </c:pt>
                <c:pt idx="28">
                  <c:v>0.5131147540983606</c:v>
                </c:pt>
                <c:pt idx="29">
                  <c:v>0.55573770491803276</c:v>
                </c:pt>
                <c:pt idx="30">
                  <c:v>0.60163934426229504</c:v>
                </c:pt>
                <c:pt idx="31">
                  <c:v>0.64098360655737707</c:v>
                </c:pt>
                <c:pt idx="32">
                  <c:v>0.68524590163934429</c:v>
                </c:pt>
                <c:pt idx="33">
                  <c:v>0.73770491803278693</c:v>
                </c:pt>
                <c:pt idx="34">
                  <c:v>0.7990163934426231</c:v>
                </c:pt>
                <c:pt idx="35">
                  <c:v>0.88311475409836071</c:v>
                </c:pt>
                <c:pt idx="36">
                  <c:v>0.98786885245901623</c:v>
                </c:pt>
                <c:pt idx="37">
                  <c:v>1.1103278688524589</c:v>
                </c:pt>
                <c:pt idx="38">
                  <c:v>1.2470491803278689</c:v>
                </c:pt>
                <c:pt idx="39">
                  <c:v>1.3934426229508197</c:v>
                </c:pt>
                <c:pt idx="40">
                  <c:v>1.5429508196721313</c:v>
                </c:pt>
                <c:pt idx="41">
                  <c:v>1.6875409836065576</c:v>
                </c:pt>
                <c:pt idx="42">
                  <c:v>1.8177049180327869</c:v>
                </c:pt>
                <c:pt idx="43">
                  <c:v>1.9219672131147543</c:v>
                </c:pt>
                <c:pt idx="44">
                  <c:v>2.0106557377049179</c:v>
                </c:pt>
                <c:pt idx="45">
                  <c:v>2.1021311475409834</c:v>
                </c:pt>
                <c:pt idx="46">
                  <c:v>2.1970491803278689</c:v>
                </c:pt>
                <c:pt idx="47">
                  <c:v>2.2954098360655739</c:v>
                </c:pt>
                <c:pt idx="48">
                  <c:v>2.3978688524590162</c:v>
                </c:pt>
                <c:pt idx="49">
                  <c:v>2.5045901639344264</c:v>
                </c:pt>
                <c:pt idx="50">
                  <c:v>2.6157377049180326</c:v>
                </c:pt>
                <c:pt idx="51">
                  <c:v>2.730819672131148</c:v>
                </c:pt>
                <c:pt idx="52">
                  <c:v>2.8498360655737707</c:v>
                </c:pt>
                <c:pt idx="53">
                  <c:v>2.9722950819672129</c:v>
                </c:pt>
                <c:pt idx="54">
                  <c:v>3.0980327868852462</c:v>
                </c:pt>
                <c:pt idx="55">
                  <c:v>3.2190163934426228</c:v>
                </c:pt>
                <c:pt idx="56">
                  <c:v>3.343114754098361</c:v>
                </c:pt>
                <c:pt idx="57">
                  <c:v>3.4788524590163932</c:v>
                </c:pt>
                <c:pt idx="58">
                  <c:v>3.6178688524590163</c:v>
                </c:pt>
                <c:pt idx="59">
                  <c:v>3.7604918032786885</c:v>
                </c:pt>
                <c:pt idx="60">
                  <c:v>3.9057377049180326</c:v>
                </c:pt>
                <c:pt idx="61">
                  <c:v>4.049672131147541</c:v>
                </c:pt>
                <c:pt idx="62">
                  <c:v>4.1877049180327868</c:v>
                </c:pt>
                <c:pt idx="63">
                  <c:v>4.3318032786885245</c:v>
                </c:pt>
                <c:pt idx="64">
                  <c:v>4.4847540983606553</c:v>
                </c:pt>
                <c:pt idx="65">
                  <c:v>4.6372131147540978</c:v>
                </c:pt>
                <c:pt idx="66">
                  <c:v>4.7873770491803285</c:v>
                </c:pt>
                <c:pt idx="67">
                  <c:v>4.932950819672131</c:v>
                </c:pt>
                <c:pt idx="68">
                  <c:v>5.0762295081967217</c:v>
                </c:pt>
                <c:pt idx="69">
                  <c:v>5.22</c:v>
                </c:pt>
                <c:pt idx="70">
                  <c:v>5.3642622950819669</c:v>
                </c:pt>
                <c:pt idx="71">
                  <c:v>5.5119672131147546</c:v>
                </c:pt>
                <c:pt idx="72">
                  <c:v>5.666393442622951</c:v>
                </c:pt>
                <c:pt idx="73">
                  <c:v>5.823934426229509</c:v>
                </c:pt>
                <c:pt idx="74">
                  <c:v>5.9829508196721317</c:v>
                </c:pt>
                <c:pt idx="75">
                  <c:v>6.1426229508196721</c:v>
                </c:pt>
                <c:pt idx="76">
                  <c:v>6.3011475409836066</c:v>
                </c:pt>
                <c:pt idx="77">
                  <c:v>6.4578688524590167</c:v>
                </c:pt>
                <c:pt idx="78">
                  <c:v>6.6113114754098357</c:v>
                </c:pt>
                <c:pt idx="79">
                  <c:v>6.7540983606557381</c:v>
                </c:pt>
                <c:pt idx="80">
                  <c:v>6.8845901639344271</c:v>
                </c:pt>
                <c:pt idx="81">
                  <c:v>7.0060655737704911</c:v>
                </c:pt>
                <c:pt idx="82">
                  <c:v>7.1213114754098363</c:v>
                </c:pt>
                <c:pt idx="83">
                  <c:v>7.2337704918032797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64F9-4868-9F54-2D1095A4FC5F}"/>
            </c:ext>
          </c:extLst>
        </c:ser>
        <c:ser>
          <c:idx val="15"/>
          <c:order val="15"/>
          <c:tx>
            <c:strRef>
              <c:f>'вместе-отн'!$Q$1</c:f>
              <c:strCache>
                <c:ptCount val="1"/>
                <c:pt idx="0">
                  <c:v>Панама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'вместе-отн'!$A$2:$A$85</c:f>
              <c:numCache>
                <c:formatCode>0</c:formatCode>
                <c:ptCount val="84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</c:numCache>
            </c:numRef>
          </c:xVal>
          <c:yVal>
            <c:numRef>
              <c:f>'вместе-отн'!$Q$2:$Q$85</c:f>
              <c:numCache>
                <c:formatCode>0.00</c:formatCode>
                <c:ptCount val="84"/>
                <c:pt idx="0">
                  <c:v>0</c:v>
                </c:pt>
                <c:pt idx="1">
                  <c:v>3.1476997578692496E-2</c:v>
                </c:pt>
                <c:pt idx="2">
                  <c:v>5.8111380145278453E-2</c:v>
                </c:pt>
                <c:pt idx="3">
                  <c:v>8.2324455205811137E-2</c:v>
                </c:pt>
                <c:pt idx="4">
                  <c:v>8.7167070217917669E-2</c:v>
                </c:pt>
                <c:pt idx="5">
                  <c:v>9.2009685230024216E-2</c:v>
                </c:pt>
                <c:pt idx="6">
                  <c:v>9.6852300242130748E-2</c:v>
                </c:pt>
                <c:pt idx="7">
                  <c:v>0.10169491525423729</c:v>
                </c:pt>
                <c:pt idx="8">
                  <c:v>0.10653753026634383</c:v>
                </c:pt>
                <c:pt idx="9">
                  <c:v>0.11138014527845036</c:v>
                </c:pt>
                <c:pt idx="10">
                  <c:v>0.11864406779661017</c:v>
                </c:pt>
                <c:pt idx="11">
                  <c:v>0.12348668280871671</c:v>
                </c:pt>
                <c:pt idx="12">
                  <c:v>0.12832929782082325</c:v>
                </c:pt>
                <c:pt idx="13">
                  <c:v>0.14043583535108958</c:v>
                </c:pt>
                <c:pt idx="14">
                  <c:v>0.17675544794188863</c:v>
                </c:pt>
                <c:pt idx="15">
                  <c:v>0.21307506053268765</c:v>
                </c:pt>
                <c:pt idx="16">
                  <c:v>0.24939467312348668</c:v>
                </c:pt>
                <c:pt idx="17">
                  <c:v>0.2857142857142857</c:v>
                </c:pt>
                <c:pt idx="18">
                  <c:v>0.32203389830508472</c:v>
                </c:pt>
                <c:pt idx="19">
                  <c:v>0.3583535108958838</c:v>
                </c:pt>
                <c:pt idx="20">
                  <c:v>0.39225181598062953</c:v>
                </c:pt>
                <c:pt idx="21">
                  <c:v>0.42857142857142855</c:v>
                </c:pt>
                <c:pt idx="22">
                  <c:v>0.46489104116222763</c:v>
                </c:pt>
                <c:pt idx="23">
                  <c:v>0.50121065375302665</c:v>
                </c:pt>
                <c:pt idx="24">
                  <c:v>0.53995157384987891</c:v>
                </c:pt>
                <c:pt idx="25">
                  <c:v>0.57627118644067798</c:v>
                </c:pt>
                <c:pt idx="26">
                  <c:v>0.61985472154963683</c:v>
                </c:pt>
                <c:pt idx="27">
                  <c:v>0.65859564164648909</c:v>
                </c:pt>
                <c:pt idx="28">
                  <c:v>0.70217917675544794</c:v>
                </c:pt>
                <c:pt idx="29">
                  <c:v>0.74576271186440679</c:v>
                </c:pt>
                <c:pt idx="30">
                  <c:v>0.78934624697336564</c:v>
                </c:pt>
                <c:pt idx="31">
                  <c:v>0.83535108958837767</c:v>
                </c:pt>
                <c:pt idx="32">
                  <c:v>0.88135593220338981</c:v>
                </c:pt>
                <c:pt idx="33">
                  <c:v>0.92978208232445525</c:v>
                </c:pt>
                <c:pt idx="34">
                  <c:v>0.98135593220338968</c:v>
                </c:pt>
                <c:pt idx="35">
                  <c:v>1.0438256658595642</c:v>
                </c:pt>
                <c:pt idx="36">
                  <c:v>1.1157384987893462</c:v>
                </c:pt>
                <c:pt idx="37">
                  <c:v>1.1953995157384989</c:v>
                </c:pt>
                <c:pt idx="38">
                  <c:v>1.2808716707021792</c:v>
                </c:pt>
                <c:pt idx="39">
                  <c:v>1.3704600484261502</c:v>
                </c:pt>
                <c:pt idx="40">
                  <c:v>1.4619854721549637</c:v>
                </c:pt>
                <c:pt idx="41">
                  <c:v>1.5537530266343826</c:v>
                </c:pt>
                <c:pt idx="42">
                  <c:v>1.6426150121065377</c:v>
                </c:pt>
                <c:pt idx="43">
                  <c:v>1.7263922518159807</c:v>
                </c:pt>
                <c:pt idx="44">
                  <c:v>1.8084745762711867</c:v>
                </c:pt>
                <c:pt idx="45">
                  <c:v>1.8941888619854721</c:v>
                </c:pt>
                <c:pt idx="46">
                  <c:v>1.9832929782082322</c:v>
                </c:pt>
                <c:pt idx="47">
                  <c:v>2.0753026634382565</c:v>
                </c:pt>
                <c:pt idx="48">
                  <c:v>2.1690072639225182</c:v>
                </c:pt>
                <c:pt idx="49">
                  <c:v>2.2648910411622278</c:v>
                </c:pt>
                <c:pt idx="50">
                  <c:v>2.3622276029055689</c:v>
                </c:pt>
                <c:pt idx="51">
                  <c:v>2.4610169491525427</c:v>
                </c:pt>
                <c:pt idx="52">
                  <c:v>2.5615012106537534</c:v>
                </c:pt>
                <c:pt idx="53">
                  <c:v>2.6636803874092005</c:v>
                </c:pt>
                <c:pt idx="54">
                  <c:v>2.7677966101694915</c:v>
                </c:pt>
                <c:pt idx="55">
                  <c:v>2.8733656174334143</c:v>
                </c:pt>
                <c:pt idx="56">
                  <c:v>2.9799031476997579</c:v>
                </c:pt>
                <c:pt idx="57">
                  <c:v>3.0869249394673126</c:v>
                </c:pt>
                <c:pt idx="58">
                  <c:v>3.194673123486683</c:v>
                </c:pt>
                <c:pt idx="59">
                  <c:v>3.3024213075060533</c:v>
                </c:pt>
                <c:pt idx="60">
                  <c:v>3.4104116222760292</c:v>
                </c:pt>
                <c:pt idx="61">
                  <c:v>3.5188861985472153</c:v>
                </c:pt>
                <c:pt idx="62">
                  <c:v>3.6285714285714286</c:v>
                </c:pt>
                <c:pt idx="63">
                  <c:v>3.7397094430992737</c:v>
                </c:pt>
                <c:pt idx="64">
                  <c:v>3.8532687651331723</c:v>
                </c:pt>
                <c:pt idx="65">
                  <c:v>3.969249394673124</c:v>
                </c:pt>
                <c:pt idx="66">
                  <c:v>4.0874092009685228</c:v>
                </c:pt>
                <c:pt idx="67">
                  <c:v>4.2077481840193709</c:v>
                </c:pt>
                <c:pt idx="68">
                  <c:v>4.3290556900726394</c:v>
                </c:pt>
                <c:pt idx="69">
                  <c:v>4.4510895883777248</c:v>
                </c:pt>
                <c:pt idx="70">
                  <c:v>4.5738498789346247</c:v>
                </c:pt>
                <c:pt idx="71">
                  <c:v>4.6968523002421314</c:v>
                </c:pt>
                <c:pt idx="72">
                  <c:v>4.8203389830508483</c:v>
                </c:pt>
                <c:pt idx="73">
                  <c:v>4.9457627118644067</c:v>
                </c:pt>
                <c:pt idx="74">
                  <c:v>5.0733656174334145</c:v>
                </c:pt>
                <c:pt idx="75">
                  <c:v>5.2016949152542376</c:v>
                </c:pt>
                <c:pt idx="76">
                  <c:v>5.331961259079903</c:v>
                </c:pt>
                <c:pt idx="77">
                  <c:v>5.4636803874092008</c:v>
                </c:pt>
                <c:pt idx="78">
                  <c:v>5.597094430992736</c:v>
                </c:pt>
                <c:pt idx="79">
                  <c:v>5.7317191283292974</c:v>
                </c:pt>
                <c:pt idx="80">
                  <c:v>5.8685230024213073</c:v>
                </c:pt>
                <c:pt idx="81">
                  <c:v>6.0070217917675546</c:v>
                </c:pt>
                <c:pt idx="82">
                  <c:v>6.1472154963680392</c:v>
                </c:pt>
                <c:pt idx="83">
                  <c:v>6.2891041162227603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4F9-4868-9F54-2D1095A4FC5F}"/>
            </c:ext>
          </c:extLst>
        </c:ser>
        <c:ser>
          <c:idx val="16"/>
          <c:order val="16"/>
          <c:tx>
            <c:strRef>
              <c:f>'вместе-отн'!$R$1</c:f>
              <c:strCache>
                <c:ptCount val="1"/>
                <c:pt idx="0">
                  <c:v>Парагвай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'вместе-отн'!$A$2:$A$85</c:f>
              <c:numCache>
                <c:formatCode>0</c:formatCode>
                <c:ptCount val="84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</c:numCache>
            </c:numRef>
          </c:xVal>
          <c:yVal>
            <c:numRef>
              <c:f>'вместе-отн'!$R$2:$R$85</c:f>
              <c:numCache>
                <c:formatCode>0.00</c:formatCode>
                <c:ptCount val="84"/>
                <c:pt idx="0">
                  <c:v>0</c:v>
                </c:pt>
                <c:pt idx="1">
                  <c:v>1.0324483775811209E-2</c:v>
                </c:pt>
                <c:pt idx="2">
                  <c:v>2.0648967551622419E-2</c:v>
                </c:pt>
                <c:pt idx="3">
                  <c:v>3.0973451327433628E-2</c:v>
                </c:pt>
                <c:pt idx="4">
                  <c:v>5.4572271386430678E-2</c:v>
                </c:pt>
                <c:pt idx="5">
                  <c:v>7.9646017699115043E-2</c:v>
                </c:pt>
                <c:pt idx="6">
                  <c:v>0.10471976401179942</c:v>
                </c:pt>
                <c:pt idx="7">
                  <c:v>0.13126843657817108</c:v>
                </c:pt>
                <c:pt idx="8">
                  <c:v>0.15781710914454278</c:v>
                </c:pt>
                <c:pt idx="9">
                  <c:v>0.18436578171091444</c:v>
                </c:pt>
                <c:pt idx="10">
                  <c:v>0.21238938053097345</c:v>
                </c:pt>
                <c:pt idx="11">
                  <c:v>0.24041297935103245</c:v>
                </c:pt>
                <c:pt idx="12">
                  <c:v>0.26843657817109146</c:v>
                </c:pt>
                <c:pt idx="13">
                  <c:v>0.29793510324483774</c:v>
                </c:pt>
                <c:pt idx="14">
                  <c:v>0.32890855457227136</c:v>
                </c:pt>
                <c:pt idx="15">
                  <c:v>0.35988200589970504</c:v>
                </c:pt>
                <c:pt idx="16">
                  <c:v>0.39233038348082594</c:v>
                </c:pt>
                <c:pt idx="17">
                  <c:v>0.4247787610619469</c:v>
                </c:pt>
                <c:pt idx="18">
                  <c:v>0.45722713864306785</c:v>
                </c:pt>
                <c:pt idx="19">
                  <c:v>0.49262536873156343</c:v>
                </c:pt>
                <c:pt idx="20">
                  <c:v>0.528023598820059</c:v>
                </c:pt>
                <c:pt idx="21">
                  <c:v>0.56489675516224191</c:v>
                </c:pt>
                <c:pt idx="22">
                  <c:v>0.60176991150442483</c:v>
                </c:pt>
                <c:pt idx="23">
                  <c:v>0.63864306784660763</c:v>
                </c:pt>
                <c:pt idx="24">
                  <c:v>0.67699115044247793</c:v>
                </c:pt>
                <c:pt idx="25">
                  <c:v>0.7168141592920354</c:v>
                </c:pt>
                <c:pt idx="26">
                  <c:v>0.75663716814159288</c:v>
                </c:pt>
                <c:pt idx="27">
                  <c:v>0.79793510324483774</c:v>
                </c:pt>
                <c:pt idx="28">
                  <c:v>0.83923303834808261</c:v>
                </c:pt>
                <c:pt idx="29">
                  <c:v>0.88053097345132747</c:v>
                </c:pt>
                <c:pt idx="30">
                  <c:v>0.9247787610619469</c:v>
                </c:pt>
                <c:pt idx="31">
                  <c:v>0.96902654867256632</c:v>
                </c:pt>
                <c:pt idx="32">
                  <c:v>1.0147492625368733</c:v>
                </c:pt>
                <c:pt idx="33">
                  <c:v>1.0604719764011798</c:v>
                </c:pt>
                <c:pt idx="34">
                  <c:v>1.1109144542772862</c:v>
                </c:pt>
                <c:pt idx="35">
                  <c:v>1.1706489675516225</c:v>
                </c:pt>
                <c:pt idx="36">
                  <c:v>1.2383480825958701</c:v>
                </c:pt>
                <c:pt idx="37">
                  <c:v>1.3125368731563423</c:v>
                </c:pt>
                <c:pt idx="38">
                  <c:v>1.3911504424778762</c:v>
                </c:pt>
                <c:pt idx="39">
                  <c:v>1.4722713864306785</c:v>
                </c:pt>
                <c:pt idx="40">
                  <c:v>1.5539823008849556</c:v>
                </c:pt>
                <c:pt idx="41">
                  <c:v>1.6339233038348082</c:v>
                </c:pt>
                <c:pt idx="42">
                  <c:v>1.7097345132743365</c:v>
                </c:pt>
                <c:pt idx="43">
                  <c:v>1.778023598820059</c:v>
                </c:pt>
                <c:pt idx="44">
                  <c:v>1.8427728613569323</c:v>
                </c:pt>
                <c:pt idx="45">
                  <c:v>1.9101769911504423</c:v>
                </c:pt>
                <c:pt idx="46">
                  <c:v>1.9821533923303836</c:v>
                </c:pt>
                <c:pt idx="47">
                  <c:v>2.0576696165191741</c:v>
                </c:pt>
                <c:pt idx="48">
                  <c:v>2.1345132743362831</c:v>
                </c:pt>
                <c:pt idx="49">
                  <c:v>2.2117994100294984</c:v>
                </c:pt>
                <c:pt idx="50">
                  <c:v>2.2890855457227137</c:v>
                </c:pt>
                <c:pt idx="51">
                  <c:v>2.3663716814159295</c:v>
                </c:pt>
                <c:pt idx="52">
                  <c:v>2.443952802359882</c:v>
                </c:pt>
                <c:pt idx="53">
                  <c:v>2.5221238938053099</c:v>
                </c:pt>
                <c:pt idx="54">
                  <c:v>2.6025073746312684</c:v>
                </c:pt>
                <c:pt idx="55">
                  <c:v>2.6871681415929203</c:v>
                </c:pt>
                <c:pt idx="56">
                  <c:v>2.7774336283185841</c:v>
                </c:pt>
                <c:pt idx="57">
                  <c:v>2.8725663716814158</c:v>
                </c:pt>
                <c:pt idx="58">
                  <c:v>2.9699115044247786</c:v>
                </c:pt>
                <c:pt idx="59">
                  <c:v>3.0690265486725665</c:v>
                </c:pt>
                <c:pt idx="60">
                  <c:v>3.17094395280236</c:v>
                </c:pt>
                <c:pt idx="61">
                  <c:v>3.2762536873156343</c:v>
                </c:pt>
                <c:pt idx="62">
                  <c:v>3.3864306784660765</c:v>
                </c:pt>
                <c:pt idx="63">
                  <c:v>3.5032448377581118</c:v>
                </c:pt>
                <c:pt idx="64">
                  <c:v>3.6277286135693214</c:v>
                </c:pt>
                <c:pt idx="65">
                  <c:v>3.7584070796460174</c:v>
                </c:pt>
                <c:pt idx="66">
                  <c:v>3.8939528023598817</c:v>
                </c:pt>
                <c:pt idx="67">
                  <c:v>4.0337758112094395</c:v>
                </c:pt>
                <c:pt idx="68">
                  <c:v>4.1780235988200589</c:v>
                </c:pt>
                <c:pt idx="69">
                  <c:v>4.3266961651917404</c:v>
                </c:pt>
                <c:pt idx="70">
                  <c:v>4.4792035398230086</c:v>
                </c:pt>
                <c:pt idx="71">
                  <c:v>4.634955752212389</c:v>
                </c:pt>
                <c:pt idx="72">
                  <c:v>4.793215339233039</c:v>
                </c:pt>
                <c:pt idx="73">
                  <c:v>4.9523598820058998</c:v>
                </c:pt>
                <c:pt idx="74">
                  <c:v>5.1126843657817105</c:v>
                </c:pt>
                <c:pt idx="75">
                  <c:v>5.2737463126843664</c:v>
                </c:pt>
                <c:pt idx="76">
                  <c:v>5.4346607669616516</c:v>
                </c:pt>
                <c:pt idx="77">
                  <c:v>5.5949852507374622</c:v>
                </c:pt>
                <c:pt idx="78">
                  <c:v>5.7548672566371684</c:v>
                </c:pt>
                <c:pt idx="79">
                  <c:v>5.913716814159292</c:v>
                </c:pt>
                <c:pt idx="80">
                  <c:v>6.0713864306784657</c:v>
                </c:pt>
                <c:pt idx="81">
                  <c:v>6.227138643067847</c:v>
                </c:pt>
                <c:pt idx="82">
                  <c:v>6.3792035398230098</c:v>
                </c:pt>
                <c:pt idx="83">
                  <c:v>6.5234513274336274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4F9-4868-9F54-2D1095A4FC5F}"/>
            </c:ext>
          </c:extLst>
        </c:ser>
        <c:ser>
          <c:idx val="17"/>
          <c:order val="17"/>
          <c:tx>
            <c:strRef>
              <c:f>'вместе-отн'!$S$1</c:f>
              <c:strCache>
                <c:ptCount val="1"/>
                <c:pt idx="0">
                  <c:v>Перу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'вместе-отн'!$A$2:$A$85</c:f>
              <c:numCache>
                <c:formatCode>0</c:formatCode>
                <c:ptCount val="84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</c:numCache>
            </c:numRef>
          </c:xVal>
          <c:yVal>
            <c:numRef>
              <c:f>'вместе-отн'!$S$2:$S$85</c:f>
              <c:numCache>
                <c:formatCode>0.00</c:formatCode>
                <c:ptCount val="84"/>
                <c:pt idx="0">
                  <c:v>0</c:v>
                </c:pt>
                <c:pt idx="1">
                  <c:v>1.7436791630340016E-2</c:v>
                </c:pt>
                <c:pt idx="2">
                  <c:v>3.4873583260680033E-2</c:v>
                </c:pt>
                <c:pt idx="3">
                  <c:v>5.2310374891020049E-2</c:v>
                </c:pt>
                <c:pt idx="4">
                  <c:v>6.9747166521360066E-2</c:v>
                </c:pt>
                <c:pt idx="5">
                  <c:v>8.7401918047079336E-2</c:v>
                </c:pt>
                <c:pt idx="6">
                  <c:v>0.10483870967741936</c:v>
                </c:pt>
                <c:pt idx="7">
                  <c:v>0.12205754141238012</c:v>
                </c:pt>
                <c:pt idx="8">
                  <c:v>0.13971229293809939</c:v>
                </c:pt>
                <c:pt idx="9">
                  <c:v>0.15802092414995642</c:v>
                </c:pt>
                <c:pt idx="10">
                  <c:v>0.17676547515257193</c:v>
                </c:pt>
                <c:pt idx="11">
                  <c:v>0.1948561464690497</c:v>
                </c:pt>
                <c:pt idx="12">
                  <c:v>0.21338273757628595</c:v>
                </c:pt>
                <c:pt idx="13">
                  <c:v>0.23169136878814298</c:v>
                </c:pt>
                <c:pt idx="14">
                  <c:v>0.25283347863993028</c:v>
                </c:pt>
                <c:pt idx="15">
                  <c:v>0.27375762859633829</c:v>
                </c:pt>
                <c:pt idx="16">
                  <c:v>0.29489973844812556</c:v>
                </c:pt>
                <c:pt idx="17">
                  <c:v>0.31582388840453357</c:v>
                </c:pt>
                <c:pt idx="18">
                  <c:v>0.33696599825632084</c:v>
                </c:pt>
                <c:pt idx="19">
                  <c:v>0.36072362685265913</c:v>
                </c:pt>
                <c:pt idx="20">
                  <c:v>0.38469921534437662</c:v>
                </c:pt>
                <c:pt idx="21">
                  <c:v>0.40845684394071491</c:v>
                </c:pt>
                <c:pt idx="22">
                  <c:v>0.43243243243243246</c:v>
                </c:pt>
                <c:pt idx="23">
                  <c:v>0.45619006102877069</c:v>
                </c:pt>
                <c:pt idx="24">
                  <c:v>0.48147340889276374</c:v>
                </c:pt>
                <c:pt idx="25">
                  <c:v>0.50719267654751521</c:v>
                </c:pt>
                <c:pt idx="26">
                  <c:v>0.53334786399302525</c:v>
                </c:pt>
                <c:pt idx="27">
                  <c:v>0.56037489102005233</c:v>
                </c:pt>
                <c:pt idx="28">
                  <c:v>0.58783783783783783</c:v>
                </c:pt>
                <c:pt idx="29">
                  <c:v>0.61617262423714037</c:v>
                </c:pt>
                <c:pt idx="30">
                  <c:v>0.64494333042720142</c:v>
                </c:pt>
                <c:pt idx="31">
                  <c:v>0.67436791630340021</c:v>
                </c:pt>
                <c:pt idx="32">
                  <c:v>0.70488230165649524</c:v>
                </c:pt>
                <c:pt idx="33">
                  <c:v>0.73692240627724503</c:v>
                </c:pt>
                <c:pt idx="34">
                  <c:v>0.78397994768962498</c:v>
                </c:pt>
                <c:pt idx="35">
                  <c:v>0.8291848299912814</c:v>
                </c:pt>
                <c:pt idx="36">
                  <c:v>0.87279860505666951</c:v>
                </c:pt>
                <c:pt idx="37">
                  <c:v>0.91567131647776812</c:v>
                </c:pt>
                <c:pt idx="38">
                  <c:v>0.95902353966870091</c:v>
                </c:pt>
                <c:pt idx="39">
                  <c:v>1.0037707061900609</c:v>
                </c:pt>
                <c:pt idx="40">
                  <c:v>1.050850043591979</c:v>
                </c:pt>
                <c:pt idx="41">
                  <c:v>1.1013295553618134</c:v>
                </c:pt>
                <c:pt idx="42">
                  <c:v>1.1564952048823016</c:v>
                </c:pt>
                <c:pt idx="43">
                  <c:v>1.2175457715780298</c:v>
                </c:pt>
                <c:pt idx="44">
                  <c:v>1.2831517000871839</c:v>
                </c:pt>
                <c:pt idx="45">
                  <c:v>1.350610287707062</c:v>
                </c:pt>
                <c:pt idx="46">
                  <c:v>1.419812554489974</c:v>
                </c:pt>
                <c:pt idx="47">
                  <c:v>1.4908456843940714</c:v>
                </c:pt>
                <c:pt idx="48">
                  <c:v>1.5634481255448998</c:v>
                </c:pt>
                <c:pt idx="49">
                  <c:v>1.6375980819529206</c:v>
                </c:pt>
                <c:pt idx="50">
                  <c:v>1.71333914559721</c:v>
                </c:pt>
                <c:pt idx="51">
                  <c:v>1.7907585004359199</c:v>
                </c:pt>
                <c:pt idx="52">
                  <c:v>1.8698343504795116</c:v>
                </c:pt>
                <c:pt idx="53">
                  <c:v>1.9427201394943332</c:v>
                </c:pt>
                <c:pt idx="54">
                  <c:v>2.0161508282476026</c:v>
                </c:pt>
                <c:pt idx="55">
                  <c:v>2.0972319093286838</c:v>
                </c:pt>
                <c:pt idx="56">
                  <c:v>2.178487358326068</c:v>
                </c:pt>
                <c:pt idx="57">
                  <c:v>2.2599389712292939</c:v>
                </c:pt>
                <c:pt idx="58">
                  <c:v>2.3421970357454227</c:v>
                </c:pt>
                <c:pt idx="59">
                  <c:v>2.4256320836965997</c:v>
                </c:pt>
                <c:pt idx="60">
                  <c:v>2.5112903225806451</c:v>
                </c:pt>
                <c:pt idx="61">
                  <c:v>2.5998474280732342</c:v>
                </c:pt>
                <c:pt idx="62">
                  <c:v>2.6907367044463815</c:v>
                </c:pt>
                <c:pt idx="63">
                  <c:v>2.7839799476896254</c:v>
                </c:pt>
                <c:pt idx="64">
                  <c:v>2.8794245858761984</c:v>
                </c:pt>
                <c:pt idx="65">
                  <c:v>2.9770052310374893</c:v>
                </c:pt>
                <c:pt idx="66">
                  <c:v>3.0771578029642548</c:v>
                </c:pt>
                <c:pt idx="67">
                  <c:v>3.1793156059285095</c:v>
                </c:pt>
                <c:pt idx="68">
                  <c:v>3.2825196163905841</c:v>
                </c:pt>
                <c:pt idx="69">
                  <c:v>3.3847210113339141</c:v>
                </c:pt>
                <c:pt idx="70">
                  <c:v>3.4861159546643417</c:v>
                </c:pt>
                <c:pt idx="71">
                  <c:v>3.5890802092414997</c:v>
                </c:pt>
                <c:pt idx="72">
                  <c:v>3.6932432432432427</c:v>
                </c:pt>
                <c:pt idx="73">
                  <c:v>3.7983435047951177</c:v>
                </c:pt>
                <c:pt idx="74">
                  <c:v>3.9005666957279859</c:v>
                </c:pt>
                <c:pt idx="75">
                  <c:v>4.0013731473408889</c:v>
                </c:pt>
                <c:pt idx="76">
                  <c:v>4.1032693984306885</c:v>
                </c:pt>
                <c:pt idx="77">
                  <c:v>4.2052092414995643</c:v>
                </c:pt>
                <c:pt idx="78">
                  <c:v>4.3070836965998263</c:v>
                </c:pt>
                <c:pt idx="79">
                  <c:v>4.4078465562336531</c:v>
                </c:pt>
                <c:pt idx="80">
                  <c:v>4.5087401918047076</c:v>
                </c:pt>
                <c:pt idx="81">
                  <c:v>4.6098735832606801</c:v>
                </c:pt>
                <c:pt idx="82">
                  <c:v>4.7076068003487359</c:v>
                </c:pt>
                <c:pt idx="83">
                  <c:v>4.7973626852659113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64F9-4868-9F54-2D1095A4FC5F}"/>
            </c:ext>
          </c:extLst>
        </c:ser>
        <c:ser>
          <c:idx val="18"/>
          <c:order val="18"/>
          <c:tx>
            <c:strRef>
              <c:f>'вместе-отн'!$T$1</c:f>
              <c:strCache>
                <c:ptCount val="1"/>
                <c:pt idx="0">
                  <c:v>Уругвай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'вместе-отн'!$A$2:$A$85</c:f>
              <c:numCache>
                <c:formatCode>0</c:formatCode>
                <c:ptCount val="84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</c:numCache>
            </c:numRef>
          </c:xVal>
          <c:yVal>
            <c:numRef>
              <c:f>'вместе-отн'!$T$2:$T$85</c:f>
              <c:numCache>
                <c:formatCode>0.00</c:formatCode>
                <c:ptCount val="84"/>
                <c:pt idx="0">
                  <c:v>0</c:v>
                </c:pt>
                <c:pt idx="1">
                  <c:v>1.6346837242359632E-2</c:v>
                </c:pt>
                <c:pt idx="2">
                  <c:v>3.9800995024875621E-2</c:v>
                </c:pt>
                <c:pt idx="3">
                  <c:v>5.2594171997157074E-2</c:v>
                </c:pt>
                <c:pt idx="4">
                  <c:v>6.5387348969438527E-2</c:v>
                </c:pt>
                <c:pt idx="5">
                  <c:v>7.8180525941719967E-2</c:v>
                </c:pt>
                <c:pt idx="6">
                  <c:v>9.097370291400142E-2</c:v>
                </c:pt>
                <c:pt idx="7">
                  <c:v>0.10376687988628287</c:v>
                </c:pt>
                <c:pt idx="8">
                  <c:v>0.11656005685856433</c:v>
                </c:pt>
                <c:pt idx="9">
                  <c:v>0.14001421464108033</c:v>
                </c:pt>
                <c:pt idx="10">
                  <c:v>0.16275764036958068</c:v>
                </c:pt>
                <c:pt idx="11">
                  <c:v>0.18621179815209665</c:v>
                </c:pt>
                <c:pt idx="12">
                  <c:v>0.20895522388059701</c:v>
                </c:pt>
                <c:pt idx="13">
                  <c:v>0.23240938166311301</c:v>
                </c:pt>
                <c:pt idx="14">
                  <c:v>0.25159914712153519</c:v>
                </c:pt>
                <c:pt idx="15">
                  <c:v>0.27078891257995735</c:v>
                </c:pt>
                <c:pt idx="16">
                  <c:v>0.28997867803837951</c:v>
                </c:pt>
                <c:pt idx="17">
                  <c:v>0.30916844349680173</c:v>
                </c:pt>
                <c:pt idx="18">
                  <c:v>0.32835820895522388</c:v>
                </c:pt>
                <c:pt idx="19">
                  <c:v>0.34328358208955223</c:v>
                </c:pt>
                <c:pt idx="20">
                  <c:v>0.35820895522388058</c:v>
                </c:pt>
                <c:pt idx="21">
                  <c:v>0.37313432835820898</c:v>
                </c:pt>
                <c:pt idx="22">
                  <c:v>0.38805970149253732</c:v>
                </c:pt>
                <c:pt idx="23">
                  <c:v>0.40298507462686567</c:v>
                </c:pt>
                <c:pt idx="24">
                  <c:v>0.4171997157071784</c:v>
                </c:pt>
                <c:pt idx="25">
                  <c:v>0.43141435678749113</c:v>
                </c:pt>
                <c:pt idx="26">
                  <c:v>0.44562899786780386</c:v>
                </c:pt>
                <c:pt idx="27">
                  <c:v>0.4605543710021322</c:v>
                </c:pt>
                <c:pt idx="28">
                  <c:v>0.47547974413646055</c:v>
                </c:pt>
                <c:pt idx="29">
                  <c:v>0.49111584932480457</c:v>
                </c:pt>
                <c:pt idx="30">
                  <c:v>0.5074626865671642</c:v>
                </c:pt>
                <c:pt idx="31">
                  <c:v>0.52380952380952384</c:v>
                </c:pt>
                <c:pt idx="32">
                  <c:v>0.54157782515991471</c:v>
                </c:pt>
                <c:pt idx="33">
                  <c:v>0.5600568585643213</c:v>
                </c:pt>
                <c:pt idx="34">
                  <c:v>0.57619047619047603</c:v>
                </c:pt>
                <c:pt idx="35">
                  <c:v>0.59559346126510304</c:v>
                </c:pt>
                <c:pt idx="36">
                  <c:v>0.61769722814498929</c:v>
                </c:pt>
                <c:pt idx="37">
                  <c:v>0.64186211798152093</c:v>
                </c:pt>
                <c:pt idx="38">
                  <c:v>0.66744847192608381</c:v>
                </c:pt>
                <c:pt idx="39">
                  <c:v>0.69395877754086721</c:v>
                </c:pt>
                <c:pt idx="40">
                  <c:v>0.72096659559346132</c:v>
                </c:pt>
                <c:pt idx="41">
                  <c:v>0.74790334044065399</c:v>
                </c:pt>
                <c:pt idx="42">
                  <c:v>0.77391613361762623</c:v>
                </c:pt>
                <c:pt idx="43">
                  <c:v>0.79815209665955933</c:v>
                </c:pt>
                <c:pt idx="44">
                  <c:v>0.82089552238805974</c:v>
                </c:pt>
                <c:pt idx="45">
                  <c:v>0.84314143567874922</c:v>
                </c:pt>
                <c:pt idx="46">
                  <c:v>0.86481876332622609</c:v>
                </c:pt>
                <c:pt idx="47">
                  <c:v>0.88571428571428557</c:v>
                </c:pt>
                <c:pt idx="48">
                  <c:v>0.9056147832267234</c:v>
                </c:pt>
                <c:pt idx="49">
                  <c:v>0.92437810945273624</c:v>
                </c:pt>
                <c:pt idx="50">
                  <c:v>0.94193319118692265</c:v>
                </c:pt>
                <c:pt idx="51">
                  <c:v>0.95778251599147113</c:v>
                </c:pt>
                <c:pt idx="52">
                  <c:v>0.97157071783937454</c:v>
                </c:pt>
                <c:pt idx="53">
                  <c:v>0.98351101634683735</c:v>
                </c:pt>
                <c:pt idx="54">
                  <c:v>0.99466950959488276</c:v>
                </c:pt>
                <c:pt idx="55">
                  <c:v>1.0054015636105187</c:v>
                </c:pt>
                <c:pt idx="56">
                  <c:v>1.0164179104477611</c:v>
                </c:pt>
                <c:pt idx="57">
                  <c:v>1.0283582089552239</c:v>
                </c:pt>
                <c:pt idx="58">
                  <c:v>1.0414356787491117</c:v>
                </c:pt>
                <c:pt idx="59">
                  <c:v>1.0550106609808103</c:v>
                </c:pt>
                <c:pt idx="60">
                  <c:v>1.0678749111584933</c:v>
                </c:pt>
                <c:pt idx="61">
                  <c:v>1.0793887704335465</c:v>
                </c:pt>
                <c:pt idx="62">
                  <c:v>1.0894811656005687</c:v>
                </c:pt>
                <c:pt idx="63">
                  <c:v>1.0980810234541578</c:v>
                </c:pt>
                <c:pt idx="64">
                  <c:v>1.1060412224591327</c:v>
                </c:pt>
                <c:pt idx="65">
                  <c:v>1.1147832267235251</c:v>
                </c:pt>
                <c:pt idx="66">
                  <c:v>1.1242359630419334</c:v>
                </c:pt>
                <c:pt idx="67">
                  <c:v>1.1339729921819475</c:v>
                </c:pt>
                <c:pt idx="68">
                  <c:v>1.144278606965174</c:v>
                </c:pt>
                <c:pt idx="69">
                  <c:v>1.1555081734186212</c:v>
                </c:pt>
                <c:pt idx="70">
                  <c:v>1.1676616915422886</c:v>
                </c:pt>
                <c:pt idx="71">
                  <c:v>1.1805259417199716</c:v>
                </c:pt>
                <c:pt idx="72">
                  <c:v>1.1935323383084577</c:v>
                </c:pt>
                <c:pt idx="73">
                  <c:v>1.2063965884861407</c:v>
                </c:pt>
                <c:pt idx="74">
                  <c:v>1.2191897654584223</c:v>
                </c:pt>
                <c:pt idx="75">
                  <c:v>1.2314854299928926</c:v>
                </c:pt>
                <c:pt idx="76">
                  <c:v>1.2432835820895525</c:v>
                </c:pt>
                <c:pt idx="77">
                  <c:v>1.2550106609808103</c:v>
                </c:pt>
                <c:pt idx="78">
                  <c:v>1.26680881307747</c:v>
                </c:pt>
                <c:pt idx="79">
                  <c:v>1.2788201847903342</c:v>
                </c:pt>
                <c:pt idx="80">
                  <c:v>1.2909026297085999</c:v>
                </c:pt>
                <c:pt idx="81">
                  <c:v>1.3022743425728502</c:v>
                </c:pt>
                <c:pt idx="82">
                  <c:v>1.3127221037668799</c:v>
                </c:pt>
                <c:pt idx="83">
                  <c:v>1.3213930348258704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64F9-4868-9F54-2D1095A4FC5F}"/>
            </c:ext>
          </c:extLst>
        </c:ser>
        <c:ser>
          <c:idx val="19"/>
          <c:order val="19"/>
          <c:tx>
            <c:strRef>
              <c:f>'вместе-отн'!$U$1</c:f>
              <c:strCache>
                <c:ptCount val="1"/>
                <c:pt idx="0">
                  <c:v>Венецуэлла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'вместе-отн'!$A$2:$A$85</c:f>
              <c:numCache>
                <c:formatCode>0</c:formatCode>
                <c:ptCount val="84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</c:numCache>
            </c:numRef>
          </c:xVal>
          <c:yVal>
            <c:numRef>
              <c:f>'вместе-отн'!$U$2:$U$85</c:f>
              <c:numCache>
                <c:formatCode>0.00</c:formatCode>
                <c:ptCount val="84"/>
                <c:pt idx="0">
                  <c:v>0</c:v>
                </c:pt>
                <c:pt idx="1">
                  <c:v>8.0000000000000002E-3</c:v>
                </c:pt>
                <c:pt idx="2">
                  <c:v>1.6363636363636365E-2</c:v>
                </c:pt>
                <c:pt idx="3">
                  <c:v>2.4727272727272726E-2</c:v>
                </c:pt>
                <c:pt idx="4">
                  <c:v>3.3818181818181817E-2</c:v>
                </c:pt>
                <c:pt idx="5">
                  <c:v>4.363636363636364E-2</c:v>
                </c:pt>
                <c:pt idx="6">
                  <c:v>5.3818181818181821E-2</c:v>
                </c:pt>
                <c:pt idx="7">
                  <c:v>6.363636363636363E-2</c:v>
                </c:pt>
                <c:pt idx="8">
                  <c:v>7.3818181818181824E-2</c:v>
                </c:pt>
                <c:pt idx="9">
                  <c:v>8.4000000000000005E-2</c:v>
                </c:pt>
                <c:pt idx="10">
                  <c:v>9.5272727272727273E-2</c:v>
                </c:pt>
                <c:pt idx="11">
                  <c:v>0.108</c:v>
                </c:pt>
                <c:pt idx="12">
                  <c:v>0.12072727272727272</c:v>
                </c:pt>
                <c:pt idx="13">
                  <c:v>0.13381818181818181</c:v>
                </c:pt>
                <c:pt idx="14">
                  <c:v>0.14690909090909091</c:v>
                </c:pt>
                <c:pt idx="15">
                  <c:v>0.16036363636363637</c:v>
                </c:pt>
                <c:pt idx="16">
                  <c:v>0.17345454545454544</c:v>
                </c:pt>
                <c:pt idx="17">
                  <c:v>0.18690909090909091</c:v>
                </c:pt>
                <c:pt idx="18">
                  <c:v>0.2</c:v>
                </c:pt>
                <c:pt idx="19">
                  <c:v>0.22981818181818181</c:v>
                </c:pt>
                <c:pt idx="20">
                  <c:v>0.25963636363636361</c:v>
                </c:pt>
                <c:pt idx="21">
                  <c:v>0.28945454545454546</c:v>
                </c:pt>
                <c:pt idx="22">
                  <c:v>0.31927272727272726</c:v>
                </c:pt>
                <c:pt idx="23">
                  <c:v>0.34909090909090912</c:v>
                </c:pt>
                <c:pt idx="24">
                  <c:v>0.38290909090909092</c:v>
                </c:pt>
                <c:pt idx="25">
                  <c:v>0.4232727272727273</c:v>
                </c:pt>
                <c:pt idx="26">
                  <c:v>0.46472727272727271</c:v>
                </c:pt>
                <c:pt idx="27">
                  <c:v>0.50763636363636366</c:v>
                </c:pt>
                <c:pt idx="28">
                  <c:v>0.55163636363636359</c:v>
                </c:pt>
                <c:pt idx="29">
                  <c:v>0.59672727272727277</c:v>
                </c:pt>
                <c:pt idx="30">
                  <c:v>0.65381818181818185</c:v>
                </c:pt>
                <c:pt idx="31">
                  <c:v>0.70399999999999996</c:v>
                </c:pt>
                <c:pt idx="32">
                  <c:v>0.75563636363636366</c:v>
                </c:pt>
                <c:pt idx="33">
                  <c:v>0.80872727272727274</c:v>
                </c:pt>
                <c:pt idx="34">
                  <c:v>0.89425454545454541</c:v>
                </c:pt>
                <c:pt idx="35">
                  <c:v>0.99130909090909103</c:v>
                </c:pt>
                <c:pt idx="36">
                  <c:v>1.0986909090909089</c:v>
                </c:pt>
                <c:pt idx="37">
                  <c:v>1.2150545454545454</c:v>
                </c:pt>
                <c:pt idx="38">
                  <c:v>1.3386181818181817</c:v>
                </c:pt>
                <c:pt idx="39">
                  <c:v>1.4672727272727273</c:v>
                </c:pt>
                <c:pt idx="40">
                  <c:v>1.5984727272727273</c:v>
                </c:pt>
                <c:pt idx="41">
                  <c:v>1.7289818181818182</c:v>
                </c:pt>
                <c:pt idx="42">
                  <c:v>1.8536727272727274</c:v>
                </c:pt>
                <c:pt idx="43">
                  <c:v>1.9673090909090911</c:v>
                </c:pt>
                <c:pt idx="44">
                  <c:v>2.074872727272727</c:v>
                </c:pt>
                <c:pt idx="45">
                  <c:v>2.1843272727272725</c:v>
                </c:pt>
                <c:pt idx="46">
                  <c:v>2.2959999999999998</c:v>
                </c:pt>
                <c:pt idx="47">
                  <c:v>2.4100727272727274</c:v>
                </c:pt>
                <c:pt idx="48">
                  <c:v>2.526472727272727</c:v>
                </c:pt>
                <c:pt idx="49">
                  <c:v>2.6454181818181817</c:v>
                </c:pt>
                <c:pt idx="50">
                  <c:v>2.7667272727272727</c:v>
                </c:pt>
                <c:pt idx="51">
                  <c:v>2.89</c:v>
                </c:pt>
                <c:pt idx="52">
                  <c:v>3.0146545454545453</c:v>
                </c:pt>
                <c:pt idx="53">
                  <c:v>3.1410181818181817</c:v>
                </c:pt>
                <c:pt idx="54">
                  <c:v>3.2694545454545456</c:v>
                </c:pt>
                <c:pt idx="55">
                  <c:v>3.399709090909091</c:v>
                </c:pt>
                <c:pt idx="56">
                  <c:v>3.5321818181818183</c:v>
                </c:pt>
                <c:pt idx="57">
                  <c:v>3.6674181818181815</c:v>
                </c:pt>
                <c:pt idx="58">
                  <c:v>3.8057818181818179</c:v>
                </c:pt>
                <c:pt idx="59">
                  <c:v>3.9477454545454544</c:v>
                </c:pt>
                <c:pt idx="60">
                  <c:v>4.0933818181818182</c:v>
                </c:pt>
                <c:pt idx="61">
                  <c:v>4.2424363636363642</c:v>
                </c:pt>
                <c:pt idx="62">
                  <c:v>4.3944000000000001</c:v>
                </c:pt>
                <c:pt idx="63">
                  <c:v>4.5484363636363643</c:v>
                </c:pt>
                <c:pt idx="64">
                  <c:v>4.7044727272727274</c:v>
                </c:pt>
                <c:pt idx="65">
                  <c:v>4.8625090909090911</c:v>
                </c:pt>
                <c:pt idx="66">
                  <c:v>5.0226181818181823</c:v>
                </c:pt>
                <c:pt idx="67">
                  <c:v>5.1850181818181813</c:v>
                </c:pt>
                <c:pt idx="68">
                  <c:v>5.3496000000000006</c:v>
                </c:pt>
                <c:pt idx="69">
                  <c:v>5.5176363636363632</c:v>
                </c:pt>
                <c:pt idx="70">
                  <c:v>5.6890909090909094</c:v>
                </c:pt>
                <c:pt idx="71">
                  <c:v>5.8621818181818179</c:v>
                </c:pt>
                <c:pt idx="72">
                  <c:v>6.0359636363636371</c:v>
                </c:pt>
                <c:pt idx="73">
                  <c:v>6.2098181818181821</c:v>
                </c:pt>
                <c:pt idx="74">
                  <c:v>6.3836000000000004</c:v>
                </c:pt>
                <c:pt idx="75">
                  <c:v>6.5566909090909098</c:v>
                </c:pt>
                <c:pt idx="76">
                  <c:v>6.7289090909090907</c:v>
                </c:pt>
                <c:pt idx="77">
                  <c:v>6.9000727272727271</c:v>
                </c:pt>
                <c:pt idx="78">
                  <c:v>7.070472727272727</c:v>
                </c:pt>
                <c:pt idx="79">
                  <c:v>7.2407636363636358</c:v>
                </c:pt>
                <c:pt idx="80">
                  <c:v>7.4115272727272732</c:v>
                </c:pt>
                <c:pt idx="81">
                  <c:v>7.5822909090909087</c:v>
                </c:pt>
                <c:pt idx="82">
                  <c:v>7.7514909090909088</c:v>
                </c:pt>
                <c:pt idx="83">
                  <c:v>7.9188000000000001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4F9-4868-9F54-2D1095A4FC5F}"/>
            </c:ext>
          </c:extLst>
        </c:ser>
        <c:ser>
          <c:idx val="20"/>
          <c:order val="20"/>
          <c:tx>
            <c:strRef>
              <c:f>'вместе-отн'!$V$1</c:f>
              <c:strCache>
                <c:ptCount val="1"/>
                <c:pt idx="0">
                  <c:v>РСФСР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'вместе-отн'!$A$2:$A$85</c:f>
              <c:numCache>
                <c:formatCode>0</c:formatCode>
                <c:ptCount val="84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</c:numCache>
            </c:numRef>
          </c:xVal>
          <c:yVal>
            <c:numRef>
              <c:f>'вместе-отн'!$V$2:$V$85</c:f>
              <c:numCache>
                <c:formatCode>0.00</c:formatCode>
                <c:ptCount val="84"/>
                <c:pt idx="0">
                  <c:v>0</c:v>
                </c:pt>
                <c:pt idx="1">
                  <c:v>-1.0186813186813188E-2</c:v>
                </c:pt>
                <c:pt idx="2">
                  <c:v>-2.0274725274725274E-2</c:v>
                </c:pt>
                <c:pt idx="3">
                  <c:v>-3.0252747252747254E-2</c:v>
                </c:pt>
                <c:pt idx="4">
                  <c:v>-3.2054945054945057E-2</c:v>
                </c:pt>
                <c:pt idx="5">
                  <c:v>-3.3857142857142856E-2</c:v>
                </c:pt>
                <c:pt idx="6">
                  <c:v>-3.5659340659340656E-2</c:v>
                </c:pt>
                <c:pt idx="7">
                  <c:v>-1.7747252747252747E-2</c:v>
                </c:pt>
                <c:pt idx="8">
                  <c:v>4.8351648351648349E-4</c:v>
                </c:pt>
                <c:pt idx="9">
                  <c:v>1.9065934065934067E-2</c:v>
                </c:pt>
                <c:pt idx="10">
                  <c:v>2.8615384615384615E-2</c:v>
                </c:pt>
                <c:pt idx="11">
                  <c:v>5.0406593406593404E-2</c:v>
                </c:pt>
                <c:pt idx="12">
                  <c:v>7.3857142857142857E-2</c:v>
                </c:pt>
                <c:pt idx="13">
                  <c:v>9.4131868131868135E-2</c:v>
                </c:pt>
                <c:pt idx="14">
                  <c:v>0.11287912087912087</c:v>
                </c:pt>
                <c:pt idx="15">
                  <c:v>0.12774725274725274</c:v>
                </c:pt>
                <c:pt idx="16">
                  <c:v>0.13898901098901098</c:v>
                </c:pt>
                <c:pt idx="17">
                  <c:v>0.11827472527472528</c:v>
                </c:pt>
                <c:pt idx="18">
                  <c:v>0.12175824175824176</c:v>
                </c:pt>
                <c:pt idx="19">
                  <c:v>0.13503296703296702</c:v>
                </c:pt>
                <c:pt idx="20">
                  <c:v>0.14857142857142858</c:v>
                </c:pt>
                <c:pt idx="21">
                  <c:v>0.16697802197802197</c:v>
                </c:pt>
                <c:pt idx="22">
                  <c:v>0.18563736263736264</c:v>
                </c:pt>
                <c:pt idx="23">
                  <c:v>0.20525274725274725</c:v>
                </c:pt>
                <c:pt idx="24">
                  <c:v>0.21964835164835164</c:v>
                </c:pt>
                <c:pt idx="25">
                  <c:v>0.18856043956043955</c:v>
                </c:pt>
                <c:pt idx="26">
                  <c:v>0.15827472527472528</c:v>
                </c:pt>
                <c:pt idx="27">
                  <c:v>0.12875824175824177</c:v>
                </c:pt>
                <c:pt idx="28">
                  <c:v>9.9989010989010987E-2</c:v>
                </c:pt>
                <c:pt idx="29">
                  <c:v>7.195604395604395E-2</c:v>
                </c:pt>
                <c:pt idx="30">
                  <c:v>8.251648351648351E-2</c:v>
                </c:pt>
                <c:pt idx="31">
                  <c:v>8.9659340659340656E-2</c:v>
                </c:pt>
                <c:pt idx="32">
                  <c:v>0.10167032967032967</c:v>
                </c:pt>
                <c:pt idx="33">
                  <c:v>0.12161538461538461</c:v>
                </c:pt>
                <c:pt idx="34">
                  <c:v>0.13845054945054944</c:v>
                </c:pt>
                <c:pt idx="35">
                  <c:v>0.15690109890109891</c:v>
                </c:pt>
                <c:pt idx="36">
                  <c:v>0.17636263736263735</c:v>
                </c:pt>
                <c:pt idx="37">
                  <c:v>0.19348351648351647</c:v>
                </c:pt>
                <c:pt idx="38">
                  <c:v>0.21624175824175823</c:v>
                </c:pt>
                <c:pt idx="39">
                  <c:v>0.23587912087912088</c:v>
                </c:pt>
                <c:pt idx="40">
                  <c:v>0.25482417582417582</c:v>
                </c:pt>
                <c:pt idx="41">
                  <c:v>0.27341758241758241</c:v>
                </c:pt>
                <c:pt idx="42">
                  <c:v>0.2924835164835165</c:v>
                </c:pt>
                <c:pt idx="43">
                  <c:v>0.30819780219780218</c:v>
                </c:pt>
                <c:pt idx="44">
                  <c:v>0.32709890109890111</c:v>
                </c:pt>
                <c:pt idx="45">
                  <c:v>0.34513186813186814</c:v>
                </c:pt>
                <c:pt idx="46">
                  <c:v>0.36096703296703297</c:v>
                </c:pt>
                <c:pt idx="47">
                  <c:v>0.37559340659340662</c:v>
                </c:pt>
                <c:pt idx="48">
                  <c:v>0.38801098901098902</c:v>
                </c:pt>
                <c:pt idx="49">
                  <c:v>0.39768131868131867</c:v>
                </c:pt>
                <c:pt idx="50">
                  <c:v>0.40687912087912087</c:v>
                </c:pt>
                <c:pt idx="51">
                  <c:v>0.41424175824175824</c:v>
                </c:pt>
                <c:pt idx="52">
                  <c:v>0.42174725274725272</c:v>
                </c:pt>
                <c:pt idx="53">
                  <c:v>0.42943956043956044</c:v>
                </c:pt>
                <c:pt idx="54">
                  <c:v>0.43630769230769229</c:v>
                </c:pt>
                <c:pt idx="55">
                  <c:v>0.44445054945054946</c:v>
                </c:pt>
                <c:pt idx="56">
                  <c:v>0.45285714285714285</c:v>
                </c:pt>
                <c:pt idx="57">
                  <c:v>0.46089010989010987</c:v>
                </c:pt>
                <c:pt idx="58">
                  <c:v>0.47005494505494505</c:v>
                </c:pt>
                <c:pt idx="59">
                  <c:v>0.48010989010989014</c:v>
                </c:pt>
                <c:pt idx="60">
                  <c:v>0.49060439560439562</c:v>
                </c:pt>
                <c:pt idx="61">
                  <c:v>0.50105494505494508</c:v>
                </c:pt>
                <c:pt idx="62">
                  <c:v>0.51154945054945056</c:v>
                </c:pt>
                <c:pt idx="63">
                  <c:v>0.51968131868131873</c:v>
                </c:pt>
                <c:pt idx="64">
                  <c:v>0.52778021978021983</c:v>
                </c:pt>
                <c:pt idx="65">
                  <c:v>0.53643956043956043</c:v>
                </c:pt>
                <c:pt idx="66">
                  <c:v>0.54687912087912083</c:v>
                </c:pt>
                <c:pt idx="67">
                  <c:v>0.55870329670329666</c:v>
                </c:pt>
                <c:pt idx="68">
                  <c:v>0.56948351648351647</c:v>
                </c:pt>
                <c:pt idx="69">
                  <c:v>0.58060439560439558</c:v>
                </c:pt>
                <c:pt idx="70">
                  <c:v>0.59467032967032962</c:v>
                </c:pt>
                <c:pt idx="71">
                  <c:v>0.60816483516483522</c:v>
                </c:pt>
                <c:pt idx="72">
                  <c:v>0.61562527472527462</c:v>
                </c:pt>
                <c:pt idx="73">
                  <c:v>0.62269340659340666</c:v>
                </c:pt>
                <c:pt idx="74">
                  <c:v>0.62938131868131886</c:v>
                </c:pt>
                <c:pt idx="75">
                  <c:v>0.6320296703296705</c:v>
                </c:pt>
                <c:pt idx="76">
                  <c:v>0.63254615384615398</c:v>
                </c:pt>
                <c:pt idx="77">
                  <c:v>0.63028461538461533</c:v>
                </c:pt>
                <c:pt idx="78">
                  <c:v>0.63142747252747244</c:v>
                </c:pt>
                <c:pt idx="79">
                  <c:v>0.62957802197802204</c:v>
                </c:pt>
                <c:pt idx="80">
                  <c:v>0.62668791208791219</c:v>
                </c:pt>
                <c:pt idx="81">
                  <c:v>0.62419890109890119</c:v>
                </c:pt>
                <c:pt idx="82">
                  <c:v>0.62131208791208781</c:v>
                </c:pt>
                <c:pt idx="83">
                  <c:v>0.61417692307692318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64F9-4868-9F54-2D1095A4F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718072"/>
        <c:axId val="942718400"/>
      </c:scatterChart>
      <c:valAx>
        <c:axId val="942718072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2718400"/>
        <c:crosses val="autoZero"/>
        <c:crossBetween val="midCat"/>
      </c:valAx>
      <c:valAx>
        <c:axId val="942718400"/>
        <c:scaling>
          <c:orientation val="minMax"/>
          <c:min val="-1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2718072"/>
        <c:crosses val="max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'вместе-отн'!$B$1</c:f>
              <c:strCache>
                <c:ptCount val="1"/>
                <c:pt idx="0">
                  <c:v>Аргентина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'вместе-отн'!$A$2:$A$107</c:f>
              <c:numCache>
                <c:formatCode>0</c:formatCode>
                <c:ptCount val="106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  <c:pt idx="98">
                  <c:v>2015</c:v>
                </c:pt>
                <c:pt idx="99">
                  <c:v>2016</c:v>
                </c:pt>
                <c:pt idx="100">
                  <c:v>2017</c:v>
                </c:pt>
                <c:pt idx="101">
                  <c:v>2018</c:v>
                </c:pt>
                <c:pt idx="102">
                  <c:v>2019</c:v>
                </c:pt>
                <c:pt idx="103">
                  <c:v>2020</c:v>
                </c:pt>
                <c:pt idx="104">
                  <c:v>2021</c:v>
                </c:pt>
                <c:pt idx="105">
                  <c:v>2022</c:v>
                </c:pt>
              </c:numCache>
            </c:numRef>
          </c:xVal>
          <c:yVal>
            <c:numRef>
              <c:f>'вместе-отн'!$B$2:$B$107</c:f>
              <c:numCache>
                <c:formatCode>0.00</c:formatCode>
                <c:ptCount val="106"/>
                <c:pt idx="0">
                  <c:v>0</c:v>
                </c:pt>
                <c:pt idx="1">
                  <c:v>1.7169923031379514E-2</c:v>
                </c:pt>
                <c:pt idx="2">
                  <c:v>3.6589698046181174E-2</c:v>
                </c:pt>
                <c:pt idx="3">
                  <c:v>6.2048549437537001E-2</c:v>
                </c:pt>
                <c:pt idx="4">
                  <c:v>9.1178211959739491E-2</c:v>
                </c:pt>
                <c:pt idx="5">
                  <c:v>0.12741267021906452</c:v>
                </c:pt>
                <c:pt idx="6">
                  <c:v>0.17134399052693902</c:v>
                </c:pt>
                <c:pt idx="7">
                  <c:v>0.20970988750740083</c:v>
                </c:pt>
                <c:pt idx="8">
                  <c:v>0.2433392539964476</c:v>
                </c:pt>
                <c:pt idx="9">
                  <c:v>0.27933688573120191</c:v>
                </c:pt>
                <c:pt idx="10">
                  <c:v>0.31746595618709295</c:v>
                </c:pt>
                <c:pt idx="11">
                  <c:v>0.35441089402013026</c:v>
                </c:pt>
                <c:pt idx="12">
                  <c:v>0.39088217880402604</c:v>
                </c:pt>
                <c:pt idx="13">
                  <c:v>0.42652457075192424</c:v>
                </c:pt>
                <c:pt idx="14">
                  <c:v>0.45494375370041445</c:v>
                </c:pt>
                <c:pt idx="15">
                  <c:v>0.4821788040260509</c:v>
                </c:pt>
                <c:pt idx="16">
                  <c:v>0.50728241563055065</c:v>
                </c:pt>
                <c:pt idx="17">
                  <c:v>0.5322676139727649</c:v>
                </c:pt>
                <c:pt idx="18">
                  <c:v>0.55689757252812311</c:v>
                </c:pt>
                <c:pt idx="19">
                  <c:v>0.58342214328004738</c:v>
                </c:pt>
                <c:pt idx="20">
                  <c:v>0.61136767317939611</c:v>
                </c:pt>
                <c:pt idx="21">
                  <c:v>0.6389579632918887</c:v>
                </c:pt>
                <c:pt idx="22">
                  <c:v>0.66429840142095919</c:v>
                </c:pt>
                <c:pt idx="23">
                  <c:v>0.67779751332149196</c:v>
                </c:pt>
                <c:pt idx="24">
                  <c:v>0.70526939017169921</c:v>
                </c:pt>
                <c:pt idx="25">
                  <c:v>0.73321492007104794</c:v>
                </c:pt>
                <c:pt idx="26">
                  <c:v>0.76163410301953816</c:v>
                </c:pt>
                <c:pt idx="27">
                  <c:v>0.79159265837773829</c:v>
                </c:pt>
                <c:pt idx="28">
                  <c:v>0.82238010657193605</c:v>
                </c:pt>
                <c:pt idx="29">
                  <c:v>0.8536412078152753</c:v>
                </c:pt>
                <c:pt idx="30">
                  <c:v>0.88608644168146833</c:v>
                </c:pt>
                <c:pt idx="31">
                  <c:v>0.92646536412078151</c:v>
                </c:pt>
                <c:pt idx="32">
                  <c:v>0.97229129662522207</c:v>
                </c:pt>
                <c:pt idx="33">
                  <c:v>1.0213143872113677</c:v>
                </c:pt>
                <c:pt idx="34">
                  <c:v>1.0613380698638248</c:v>
                </c:pt>
                <c:pt idx="35">
                  <c:v>1.1015156897572527</c:v>
                </c:pt>
                <c:pt idx="36">
                  <c:v>1.1414446417998816</c:v>
                </c:pt>
                <c:pt idx="37">
                  <c:v>1.1808880994671402</c:v>
                </c:pt>
                <c:pt idx="38">
                  <c:v>1.2196092362344582</c:v>
                </c:pt>
                <c:pt idx="39">
                  <c:v>1.2581882770870338</c:v>
                </c:pt>
                <c:pt idx="40">
                  <c:v>1.2967199526346951</c:v>
                </c:pt>
                <c:pt idx="41">
                  <c:v>1.3351687388987568</c:v>
                </c:pt>
                <c:pt idx="42">
                  <c:v>1.3743398460627589</c:v>
                </c:pt>
                <c:pt idx="43">
                  <c:v>1.4139727649496743</c:v>
                </c:pt>
                <c:pt idx="44">
                  <c:v>1.4542687981053877</c:v>
                </c:pt>
                <c:pt idx="45">
                  <c:v>1.4952634695085849</c:v>
                </c:pt>
                <c:pt idx="46">
                  <c:v>1.5366133806986384</c:v>
                </c:pt>
                <c:pt idx="47">
                  <c:v>1.5777975133214921</c:v>
                </c:pt>
                <c:pt idx="48">
                  <c:v>1.6184251036116044</c:v>
                </c:pt>
                <c:pt idx="49">
                  <c:v>1.6588395500296036</c:v>
                </c:pt>
                <c:pt idx="50">
                  <c:v>1.6997158081705148</c:v>
                </c:pt>
                <c:pt idx="51">
                  <c:v>1.7413380698638246</c:v>
                </c:pt>
                <c:pt idx="52">
                  <c:v>1.7837418590882179</c:v>
                </c:pt>
                <c:pt idx="53">
                  <c:v>1.8275074008288927</c:v>
                </c:pt>
                <c:pt idx="54">
                  <c:v>1.8723741859088219</c:v>
                </c:pt>
                <c:pt idx="55">
                  <c:v>1.9182119597394907</c:v>
                </c:pt>
                <c:pt idx="56">
                  <c:v>1.9657785671995263</c:v>
                </c:pt>
                <c:pt idx="57">
                  <c:v>2.0149674363528716</c:v>
                </c:pt>
                <c:pt idx="58">
                  <c:v>2.0638365896980462</c:v>
                </c:pt>
                <c:pt idx="59">
                  <c:v>2.1121728833629367</c:v>
                </c:pt>
                <c:pt idx="60">
                  <c:v>2.1618472468916519</c:v>
                </c:pt>
                <c:pt idx="61">
                  <c:v>2.2128123149792778</c:v>
                </c:pt>
                <c:pt idx="62">
                  <c:v>2.2645233866193015</c:v>
                </c:pt>
                <c:pt idx="63">
                  <c:v>2.3169449378330373</c:v>
                </c:pt>
                <c:pt idx="64">
                  <c:v>2.3705150976909413</c:v>
                </c:pt>
                <c:pt idx="65">
                  <c:v>2.4250207223208999</c:v>
                </c:pt>
                <c:pt idx="66">
                  <c:v>2.4803197158081702</c:v>
                </c:pt>
                <c:pt idx="67">
                  <c:v>2.5361870929544108</c:v>
                </c:pt>
                <c:pt idx="68">
                  <c:v>2.5922320899940794</c:v>
                </c:pt>
                <c:pt idx="69">
                  <c:v>2.648549437537004</c:v>
                </c:pt>
                <c:pt idx="70">
                  <c:v>2.7053641207815273</c:v>
                </c:pt>
                <c:pt idx="71">
                  <c:v>2.7632326820603907</c:v>
                </c:pt>
                <c:pt idx="72">
                  <c:v>2.8213025458851395</c:v>
                </c:pt>
                <c:pt idx="73">
                  <c:v>2.8787329780935464</c:v>
                </c:pt>
                <c:pt idx="74">
                  <c:v>2.9349082297217293</c:v>
                </c:pt>
                <c:pt idx="75">
                  <c:v>2.9897572528123151</c:v>
                </c:pt>
                <c:pt idx="76">
                  <c:v>3.0441326228537591</c:v>
                </c:pt>
                <c:pt idx="77">
                  <c:v>3.0986974541148609</c:v>
                </c:pt>
                <c:pt idx="78">
                  <c:v>3.152753108348135</c:v>
                </c:pt>
                <c:pt idx="79">
                  <c:v>3.2053049141503851</c:v>
                </c:pt>
                <c:pt idx="80">
                  <c:v>3.2566962699822382</c:v>
                </c:pt>
                <c:pt idx="81">
                  <c:v>3.3070337477797516</c:v>
                </c:pt>
                <c:pt idx="82">
                  <c:v>3.3569804618117227</c:v>
                </c:pt>
                <c:pt idx="83">
                  <c:v>3.406631142687981</c:v>
                </c:pt>
                <c:pt idx="84">
                  <c:v>3.4552753108348138</c:v>
                </c:pt>
                <c:pt idx="85">
                  <c:v>3.5031734754292483</c:v>
                </c:pt>
                <c:pt idx="86">
                  <c:v>3.549946714031972</c:v>
                </c:pt>
                <c:pt idx="87">
                  <c:v>3.5963173475429251</c:v>
                </c:pt>
                <c:pt idx="88">
                  <c:v>3.6437892243931325</c:v>
                </c:pt>
                <c:pt idx="89">
                  <c:v>3.6917821195973946</c:v>
                </c:pt>
                <c:pt idx="90">
                  <c:v>3.738519834221433</c:v>
                </c:pt>
                <c:pt idx="91">
                  <c:v>3.7867495559502662</c:v>
                </c:pt>
                <c:pt idx="92">
                  <c:v>3.8377501480165783</c:v>
                </c:pt>
                <c:pt idx="93">
                  <c:v>3.889129662522202</c:v>
                </c:pt>
                <c:pt idx="94">
                  <c:v>3.9414683244523383</c:v>
                </c:pt>
                <c:pt idx="95">
                  <c:v>3.9925044404973353</c:v>
                </c:pt>
                <c:pt idx="96">
                  <c:v>4.042332741267022</c:v>
                </c:pt>
                <c:pt idx="97">
                  <c:v>4.0946240378922436</c:v>
                </c:pt>
                <c:pt idx="98">
                  <c:v>4.1482534043812906</c:v>
                </c:pt>
                <c:pt idx="99">
                  <c:v>4.1983777383066903</c:v>
                </c:pt>
                <c:pt idx="100">
                  <c:v>4.2443931320307877</c:v>
                </c:pt>
                <c:pt idx="101">
                  <c:v>4.2877323860272352</c:v>
                </c:pt>
                <c:pt idx="102">
                  <c:v>4.3254588513913559</c:v>
                </c:pt>
                <c:pt idx="103">
                  <c:v>4.3513321492007107</c:v>
                </c:pt>
                <c:pt idx="104">
                  <c:v>4.3655772646536413</c:v>
                </c:pt>
                <c:pt idx="105">
                  <c:v>4.3768975725281232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DE-4083-8C5B-1136608130D6}"/>
            </c:ext>
          </c:extLst>
        </c:ser>
        <c:ser>
          <c:idx val="1"/>
          <c:order val="1"/>
          <c:tx>
            <c:strRef>
              <c:f>'вместе-отн'!$C$1</c:f>
              <c:strCache>
                <c:ptCount val="1"/>
                <c:pt idx="0">
                  <c:v>Боливия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'вместе-отн'!$A$2:$A$107</c:f>
              <c:numCache>
                <c:formatCode>0</c:formatCode>
                <c:ptCount val="106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  <c:pt idx="98">
                  <c:v>2015</c:v>
                </c:pt>
                <c:pt idx="99">
                  <c:v>2016</c:v>
                </c:pt>
                <c:pt idx="100">
                  <c:v>2017</c:v>
                </c:pt>
                <c:pt idx="101">
                  <c:v>2018</c:v>
                </c:pt>
                <c:pt idx="102">
                  <c:v>2019</c:v>
                </c:pt>
                <c:pt idx="103">
                  <c:v>2020</c:v>
                </c:pt>
                <c:pt idx="104">
                  <c:v>2021</c:v>
                </c:pt>
                <c:pt idx="105">
                  <c:v>2022</c:v>
                </c:pt>
              </c:numCache>
            </c:numRef>
          </c:xVal>
          <c:yVal>
            <c:numRef>
              <c:f>'вместе-отн'!$C$2:$C$107</c:f>
              <c:numCache>
                <c:formatCode>0.00</c:formatCode>
                <c:ptCount val="106"/>
                <c:pt idx="0">
                  <c:v>0</c:v>
                </c:pt>
                <c:pt idx="1">
                  <c:v>8.649687650168188E-3</c:v>
                </c:pt>
                <c:pt idx="2">
                  <c:v>1.7779913503123499E-2</c:v>
                </c:pt>
                <c:pt idx="3">
                  <c:v>2.6429601153291685E-2</c:v>
                </c:pt>
                <c:pt idx="4">
                  <c:v>3.8443056222969729E-2</c:v>
                </c:pt>
                <c:pt idx="5">
                  <c:v>5.0456511292647763E-2</c:v>
                </c:pt>
                <c:pt idx="6">
                  <c:v>6.2950504565112933E-2</c:v>
                </c:pt>
                <c:pt idx="7">
                  <c:v>7.4963959634790966E-2</c:v>
                </c:pt>
                <c:pt idx="8">
                  <c:v>8.7457952907256123E-2</c:v>
                </c:pt>
                <c:pt idx="9">
                  <c:v>9.9951946179721293E-2</c:v>
                </c:pt>
                <c:pt idx="10">
                  <c:v>0.11292647765497357</c:v>
                </c:pt>
                <c:pt idx="11">
                  <c:v>0.12590100913022587</c:v>
                </c:pt>
                <c:pt idx="12">
                  <c:v>0.13887554060547813</c:v>
                </c:pt>
                <c:pt idx="13">
                  <c:v>0.15185007208073042</c:v>
                </c:pt>
                <c:pt idx="14">
                  <c:v>0.16530514175876981</c:v>
                </c:pt>
                <c:pt idx="15">
                  <c:v>0.17876021143680923</c:v>
                </c:pt>
                <c:pt idx="16">
                  <c:v>0.19269581931763574</c:v>
                </c:pt>
                <c:pt idx="17">
                  <c:v>0.20663142719846228</c:v>
                </c:pt>
                <c:pt idx="18">
                  <c:v>0.22056703507928879</c:v>
                </c:pt>
                <c:pt idx="19">
                  <c:v>0.23450264296011533</c:v>
                </c:pt>
                <c:pt idx="20">
                  <c:v>0.24891878904372897</c:v>
                </c:pt>
                <c:pt idx="21">
                  <c:v>0.26333493512734263</c:v>
                </c:pt>
                <c:pt idx="22">
                  <c:v>0.27775108121095626</c:v>
                </c:pt>
                <c:pt idx="23">
                  <c:v>0.29264776549735705</c:v>
                </c:pt>
                <c:pt idx="24">
                  <c:v>0.30754444978375783</c:v>
                </c:pt>
                <c:pt idx="25">
                  <c:v>0.32292167227294571</c:v>
                </c:pt>
                <c:pt idx="26">
                  <c:v>0.3382988947621336</c:v>
                </c:pt>
                <c:pt idx="27">
                  <c:v>0.35367611725132148</c:v>
                </c:pt>
                <c:pt idx="28">
                  <c:v>0.36953387794329651</c:v>
                </c:pt>
                <c:pt idx="29">
                  <c:v>0.38539163863527148</c:v>
                </c:pt>
                <c:pt idx="30">
                  <c:v>0.40124939932724651</c:v>
                </c:pt>
                <c:pt idx="31">
                  <c:v>0.41758769822200864</c:v>
                </c:pt>
                <c:pt idx="32">
                  <c:v>0.41999038923594428</c:v>
                </c:pt>
                <c:pt idx="33">
                  <c:v>0.44786160499759731</c:v>
                </c:pt>
                <c:pt idx="34">
                  <c:v>0.47107160019221539</c:v>
                </c:pt>
                <c:pt idx="35">
                  <c:v>0.49750120134550707</c:v>
                </c:pt>
                <c:pt idx="36">
                  <c:v>0.52691013935607878</c:v>
                </c:pt>
                <c:pt idx="37">
                  <c:v>0.55905814512253726</c:v>
                </c:pt>
                <c:pt idx="38">
                  <c:v>0.59341662662181649</c:v>
                </c:pt>
                <c:pt idx="39">
                  <c:v>0.62955309947140792</c:v>
                </c:pt>
                <c:pt idx="40">
                  <c:v>0.66679481018740983</c:v>
                </c:pt>
                <c:pt idx="41">
                  <c:v>0.70456511292647761</c:v>
                </c:pt>
                <c:pt idx="42">
                  <c:v>0.74223930802498794</c:v>
                </c:pt>
                <c:pt idx="43">
                  <c:v>0.77909658817876026</c:v>
                </c:pt>
                <c:pt idx="44">
                  <c:v>0.81580970687169618</c:v>
                </c:pt>
                <c:pt idx="45">
                  <c:v>0.85367611725132153</c:v>
                </c:pt>
                <c:pt idx="46">
                  <c:v>0.8927919269581932</c:v>
                </c:pt>
                <c:pt idx="47">
                  <c:v>0.93320518981259015</c:v>
                </c:pt>
                <c:pt idx="48">
                  <c:v>0.97491590581451237</c:v>
                </c:pt>
                <c:pt idx="49">
                  <c:v>1.0180682364247959</c:v>
                </c:pt>
                <c:pt idx="50">
                  <c:v>1.0627582892839982</c:v>
                </c:pt>
                <c:pt idx="51">
                  <c:v>1.1090341182123977</c:v>
                </c:pt>
                <c:pt idx="52">
                  <c:v>1.1567515617491591</c:v>
                </c:pt>
                <c:pt idx="53">
                  <c:v>1.2056703507928881</c:v>
                </c:pt>
                <c:pt idx="54">
                  <c:v>1.2557904853435848</c:v>
                </c:pt>
                <c:pt idx="55">
                  <c:v>1.3070639115809708</c:v>
                </c:pt>
                <c:pt idx="56">
                  <c:v>1.3595386833253242</c:v>
                </c:pt>
                <c:pt idx="57">
                  <c:v>1.4135031234983182</c:v>
                </c:pt>
                <c:pt idx="58">
                  <c:v>1.4687650168188371</c:v>
                </c:pt>
                <c:pt idx="59">
                  <c:v>1.5259490629505046</c:v>
                </c:pt>
                <c:pt idx="60">
                  <c:v>1.5849111004324843</c:v>
                </c:pt>
                <c:pt idx="61">
                  <c:v>1.644930321960596</c:v>
                </c:pt>
                <c:pt idx="62">
                  <c:v>1.7058145122537243</c:v>
                </c:pt>
                <c:pt idx="63">
                  <c:v>1.7673714560307543</c:v>
                </c:pt>
                <c:pt idx="64">
                  <c:v>1.8294569918308508</c:v>
                </c:pt>
                <c:pt idx="65">
                  <c:v>1.8919269581931766</c:v>
                </c:pt>
                <c:pt idx="66">
                  <c:v>1.9548774627582894</c:v>
                </c:pt>
                <c:pt idx="67">
                  <c:v>2.0186929360884189</c:v>
                </c:pt>
                <c:pt idx="68">
                  <c:v>2.0832292167227293</c:v>
                </c:pt>
                <c:pt idx="69">
                  <c:v>2.1487265737626142</c:v>
                </c:pt>
                <c:pt idx="70">
                  <c:v>2.2158577606919749</c:v>
                </c:pt>
                <c:pt idx="71">
                  <c:v>2.2847188851513693</c:v>
                </c:pt>
                <c:pt idx="72">
                  <c:v>2.3550216242191255</c:v>
                </c:pt>
                <c:pt idx="73">
                  <c:v>2.4262854396924558</c:v>
                </c:pt>
                <c:pt idx="74">
                  <c:v>2.4984622777510812</c:v>
                </c:pt>
                <c:pt idx="75">
                  <c:v>2.5705430081691496</c:v>
                </c:pt>
                <c:pt idx="76">
                  <c:v>2.6420951465641518</c:v>
                </c:pt>
                <c:pt idx="77">
                  <c:v>2.7132628543969246</c:v>
                </c:pt>
                <c:pt idx="78">
                  <c:v>2.7840941854877461</c:v>
                </c:pt>
                <c:pt idx="79">
                  <c:v>2.8547333012974532</c:v>
                </c:pt>
                <c:pt idx="80">
                  <c:v>2.92498798654493</c:v>
                </c:pt>
                <c:pt idx="81">
                  <c:v>2.9949062950504564</c:v>
                </c:pt>
                <c:pt idx="82">
                  <c:v>3.0652570879384906</c:v>
                </c:pt>
                <c:pt idx="83">
                  <c:v>3.1356559346468043</c:v>
                </c:pt>
                <c:pt idx="84">
                  <c:v>3.2060067275348394</c:v>
                </c:pt>
                <c:pt idx="85">
                  <c:v>3.2769822200864969</c:v>
                </c:pt>
                <c:pt idx="86">
                  <c:v>3.3492071119654017</c:v>
                </c:pt>
                <c:pt idx="87">
                  <c:v>3.4230177799135029</c:v>
                </c:pt>
                <c:pt idx="88">
                  <c:v>3.4982220086496874</c:v>
                </c:pt>
                <c:pt idx="89">
                  <c:v>3.5755406054781358</c:v>
                </c:pt>
                <c:pt idx="90">
                  <c:v>3.6544930321960596</c:v>
                </c:pt>
                <c:pt idx="91">
                  <c:v>3.7337337818356557</c:v>
                </c:pt>
                <c:pt idx="92">
                  <c:v>3.8132148005766453</c:v>
                </c:pt>
                <c:pt idx="93">
                  <c:v>3.8929841422393077</c:v>
                </c:pt>
                <c:pt idx="94">
                  <c:v>3.9730418068236424</c:v>
                </c:pt>
                <c:pt idx="95">
                  <c:v>4.0532436328688126</c:v>
                </c:pt>
                <c:pt idx="96">
                  <c:v>4.1333974050937048</c:v>
                </c:pt>
                <c:pt idx="97">
                  <c:v>4.2133109082172027</c:v>
                </c:pt>
                <c:pt idx="98">
                  <c:v>4.292984142239308</c:v>
                </c:pt>
                <c:pt idx="99">
                  <c:v>4.3724171071600191</c:v>
                </c:pt>
                <c:pt idx="100">
                  <c:v>4.4515136953387797</c:v>
                </c:pt>
                <c:pt idx="101">
                  <c:v>4.5302258529553097</c:v>
                </c:pt>
                <c:pt idx="102">
                  <c:v>4.6085535800096107</c:v>
                </c:pt>
                <c:pt idx="103">
                  <c:v>4.6781835655934643</c:v>
                </c:pt>
                <c:pt idx="104">
                  <c:v>4.736376741950985</c:v>
                </c:pt>
                <c:pt idx="105">
                  <c:v>4.8035559827006251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DE-4083-8C5B-1136608130D6}"/>
            </c:ext>
          </c:extLst>
        </c:ser>
        <c:ser>
          <c:idx val="2"/>
          <c:order val="2"/>
          <c:tx>
            <c:strRef>
              <c:f>'вместе-отн'!$D$1</c:f>
              <c:strCache>
                <c:ptCount val="1"/>
                <c:pt idx="0">
                  <c:v>Бразилия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'вместе-отн'!$A$2:$A$107</c:f>
              <c:numCache>
                <c:formatCode>0</c:formatCode>
                <c:ptCount val="106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  <c:pt idx="98">
                  <c:v>2015</c:v>
                </c:pt>
                <c:pt idx="99">
                  <c:v>2016</c:v>
                </c:pt>
                <c:pt idx="100">
                  <c:v>2017</c:v>
                </c:pt>
                <c:pt idx="101">
                  <c:v>2018</c:v>
                </c:pt>
                <c:pt idx="102">
                  <c:v>2019</c:v>
                </c:pt>
                <c:pt idx="103">
                  <c:v>2020</c:v>
                </c:pt>
                <c:pt idx="104">
                  <c:v>2021</c:v>
                </c:pt>
                <c:pt idx="105">
                  <c:v>2022</c:v>
                </c:pt>
              </c:numCache>
            </c:numRef>
          </c:xVal>
          <c:yVal>
            <c:numRef>
              <c:f>'вместе-отн'!$D$2:$D$107</c:f>
              <c:numCache>
                <c:formatCode>0.00</c:formatCode>
                <c:ptCount val="106"/>
                <c:pt idx="0">
                  <c:v>0</c:v>
                </c:pt>
                <c:pt idx="1">
                  <c:v>2.1179853878439299E-2</c:v>
                </c:pt>
                <c:pt idx="2">
                  <c:v>4.286491528058449E-2</c:v>
                </c:pt>
                <c:pt idx="3">
                  <c:v>6.4977459972019272E-2</c:v>
                </c:pt>
                <c:pt idx="4">
                  <c:v>8.6934556194621482E-2</c:v>
                </c:pt>
                <c:pt idx="5">
                  <c:v>0.10920254935488885</c:v>
                </c:pt>
                <c:pt idx="6">
                  <c:v>0.13189802580444582</c:v>
                </c:pt>
                <c:pt idx="7">
                  <c:v>0.15509870977770868</c:v>
                </c:pt>
                <c:pt idx="8">
                  <c:v>0.17876573915746929</c:v>
                </c:pt>
                <c:pt idx="9">
                  <c:v>0.20289911394372764</c:v>
                </c:pt>
                <c:pt idx="10">
                  <c:v>0.22753769625369191</c:v>
                </c:pt>
                <c:pt idx="11">
                  <c:v>0.25268148608736202</c:v>
                </c:pt>
                <c:pt idx="12">
                  <c:v>0.27833048344473804</c:v>
                </c:pt>
                <c:pt idx="13">
                  <c:v>0.30452355044302815</c:v>
                </c:pt>
                <c:pt idx="14">
                  <c:v>0.33126068708223222</c:v>
                </c:pt>
                <c:pt idx="15">
                  <c:v>0.35850303124514221</c:v>
                </c:pt>
                <c:pt idx="16">
                  <c:v>0.38632830716617439</c:v>
                </c:pt>
                <c:pt idx="17">
                  <c:v>0.41473651484532875</c:v>
                </c:pt>
                <c:pt idx="18">
                  <c:v>0.4437276542826053</c:v>
                </c:pt>
                <c:pt idx="19">
                  <c:v>0.47330172547800403</c:v>
                </c:pt>
                <c:pt idx="20">
                  <c:v>0.50345872843152495</c:v>
                </c:pt>
                <c:pt idx="21">
                  <c:v>0.53427638737758432</c:v>
                </c:pt>
                <c:pt idx="22">
                  <c:v>0.56571584019897403</c:v>
                </c:pt>
                <c:pt idx="23">
                  <c:v>0.59777708689569409</c:v>
                </c:pt>
                <c:pt idx="24">
                  <c:v>0.63489040882947301</c:v>
                </c:pt>
                <c:pt idx="25">
                  <c:v>0.67348049121716147</c:v>
                </c:pt>
                <c:pt idx="26">
                  <c:v>0.70962226022073682</c:v>
                </c:pt>
                <c:pt idx="27">
                  <c:v>0.74265505984766045</c:v>
                </c:pt>
                <c:pt idx="28">
                  <c:v>0.78221669516555259</c:v>
                </c:pt>
                <c:pt idx="29">
                  <c:v>0.82554795585263485</c:v>
                </c:pt>
                <c:pt idx="30">
                  <c:v>0.8716384268614954</c:v>
                </c:pt>
                <c:pt idx="31">
                  <c:v>0.92064355666096687</c:v>
                </c:pt>
                <c:pt idx="32">
                  <c:v>0.97260220736825742</c:v>
                </c:pt>
                <c:pt idx="33">
                  <c:v>1.0277475516866159</c:v>
                </c:pt>
                <c:pt idx="34">
                  <c:v>1.0902494947924763</c:v>
                </c:pt>
                <c:pt idx="35">
                  <c:v>1.1577413337478626</c:v>
                </c:pt>
                <c:pt idx="36">
                  <c:v>1.2297372920876728</c:v>
                </c:pt>
                <c:pt idx="37">
                  <c:v>1.3057710244054095</c:v>
                </c:pt>
                <c:pt idx="38">
                  <c:v>1.3854267060469456</c:v>
                </c:pt>
                <c:pt idx="39">
                  <c:v>1.4681602673713663</c:v>
                </c:pt>
                <c:pt idx="40">
                  <c:v>1.5532372143634383</c:v>
                </c:pt>
                <c:pt idx="41">
                  <c:v>1.639798694232862</c:v>
                </c:pt>
                <c:pt idx="42">
                  <c:v>1.726904243743199</c:v>
                </c:pt>
                <c:pt idx="43">
                  <c:v>1.8131548266749575</c:v>
                </c:pt>
                <c:pt idx="44">
                  <c:v>1.899323799160578</c:v>
                </c:pt>
                <c:pt idx="45">
                  <c:v>1.9871482978392665</c:v>
                </c:pt>
                <c:pt idx="46">
                  <c:v>2.0764884190890718</c:v>
                </c:pt>
                <c:pt idx="47">
                  <c:v>2.1668195243276855</c:v>
                </c:pt>
                <c:pt idx="48">
                  <c:v>2.2573293953054563</c:v>
                </c:pt>
                <c:pt idx="49">
                  <c:v>2.3475594590393283</c:v>
                </c:pt>
                <c:pt idx="50">
                  <c:v>2.437202704803358</c:v>
                </c:pt>
                <c:pt idx="51">
                  <c:v>2.5263951500077724</c:v>
                </c:pt>
                <c:pt idx="52">
                  <c:v>2.6159567853256647</c:v>
                </c:pt>
                <c:pt idx="53">
                  <c:v>2.7065016322089228</c:v>
                </c:pt>
                <c:pt idx="54">
                  <c:v>2.7983561324420956</c:v>
                </c:pt>
                <c:pt idx="55">
                  <c:v>2.8919166796207056</c:v>
                </c:pt>
                <c:pt idx="56">
                  <c:v>2.9872920876729365</c:v>
                </c:pt>
                <c:pt idx="57">
                  <c:v>3.0840082387688481</c:v>
                </c:pt>
                <c:pt idx="58">
                  <c:v>3.1823255090937357</c:v>
                </c:pt>
                <c:pt idx="59">
                  <c:v>3.2831221824965025</c:v>
                </c:pt>
                <c:pt idx="60">
                  <c:v>3.3865731385045859</c:v>
                </c:pt>
                <c:pt idx="61">
                  <c:v>3.4924957251671067</c:v>
                </c:pt>
                <c:pt idx="62">
                  <c:v>3.6005285247940311</c:v>
                </c:pt>
                <c:pt idx="63">
                  <c:v>3.7103800715062958</c:v>
                </c:pt>
                <c:pt idx="64">
                  <c:v>3.8213547334058764</c:v>
                </c:pt>
                <c:pt idx="65">
                  <c:v>3.9325042748328927</c:v>
                </c:pt>
                <c:pt idx="66">
                  <c:v>4.0439180786569251</c:v>
                </c:pt>
                <c:pt idx="67">
                  <c:v>4.1554057205036532</c:v>
                </c:pt>
                <c:pt idx="68">
                  <c:v>4.2664231307321625</c:v>
                </c:pt>
                <c:pt idx="69">
                  <c:v>4.3760453909528989</c:v>
                </c:pt>
                <c:pt idx="70">
                  <c:v>4.4836351624436501</c:v>
                </c:pt>
                <c:pt idx="71">
                  <c:v>4.5893984144256175</c:v>
                </c:pt>
                <c:pt idx="72">
                  <c:v>4.6934167573449406</c:v>
                </c:pt>
                <c:pt idx="73">
                  <c:v>4.796020519197886</c:v>
                </c:pt>
                <c:pt idx="74">
                  <c:v>4.8963275299238296</c:v>
                </c:pt>
                <c:pt idx="75">
                  <c:v>4.9954570184983682</c:v>
                </c:pt>
                <c:pt idx="76">
                  <c:v>5.0933701228042905</c:v>
                </c:pt>
                <c:pt idx="77">
                  <c:v>5.1893750971552928</c:v>
                </c:pt>
                <c:pt idx="78">
                  <c:v>5.2853684128711338</c:v>
                </c:pt>
                <c:pt idx="79">
                  <c:v>5.3812568008705117</c:v>
                </c:pt>
                <c:pt idx="80">
                  <c:v>5.4768265195087835</c:v>
                </c:pt>
                <c:pt idx="81">
                  <c:v>5.5739040882947304</c:v>
                </c:pt>
                <c:pt idx="82">
                  <c:v>5.6703520907819058</c:v>
                </c:pt>
                <c:pt idx="83">
                  <c:v>5.7627195709622256</c:v>
                </c:pt>
                <c:pt idx="84">
                  <c:v>5.8514378983367017</c:v>
                </c:pt>
                <c:pt idx="85">
                  <c:v>5.9370239390642006</c:v>
                </c:pt>
                <c:pt idx="86">
                  <c:v>6.0193805378517027</c:v>
                </c:pt>
                <c:pt idx="87">
                  <c:v>6.0991411472096999</c:v>
                </c:pt>
                <c:pt idx="88">
                  <c:v>6.1773705891496968</c:v>
                </c:pt>
                <c:pt idx="89">
                  <c:v>6.2537346494637029</c:v>
                </c:pt>
                <c:pt idx="90">
                  <c:v>6.327541582465412</c:v>
                </c:pt>
                <c:pt idx="91">
                  <c:v>6.398076325198196</c:v>
                </c:pt>
                <c:pt idx="92">
                  <c:v>6.4646354733405875</c:v>
                </c:pt>
                <c:pt idx="93">
                  <c:v>6.5276659412404783</c:v>
                </c:pt>
                <c:pt idx="94">
                  <c:v>6.5891769003575318</c:v>
                </c:pt>
                <c:pt idx="95">
                  <c:v>6.651022073682574</c:v>
                </c:pt>
                <c:pt idx="96">
                  <c:v>6.7132869578734642</c:v>
                </c:pt>
                <c:pt idx="97">
                  <c:v>6.7757306078035135</c:v>
                </c:pt>
                <c:pt idx="98">
                  <c:v>6.837536919011348</c:v>
                </c:pt>
                <c:pt idx="99">
                  <c:v>6.8974856210166333</c:v>
                </c:pt>
                <c:pt idx="100">
                  <c:v>6.9552075237058917</c:v>
                </c:pt>
                <c:pt idx="101">
                  <c:v>7.0097660500544068</c:v>
                </c:pt>
                <c:pt idx="102">
                  <c:v>7.0621599564744288</c:v>
                </c:pt>
                <c:pt idx="103">
                  <c:v>7.1090004663454058</c:v>
                </c:pt>
                <c:pt idx="104">
                  <c:v>7.1435683196020516</c:v>
                </c:pt>
                <c:pt idx="105">
                  <c:v>7.1729519664231303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DE-4083-8C5B-1136608130D6}"/>
            </c:ext>
          </c:extLst>
        </c:ser>
        <c:ser>
          <c:idx val="3"/>
          <c:order val="3"/>
          <c:tx>
            <c:strRef>
              <c:f>'вместе-отн'!$E$1</c:f>
              <c:strCache>
                <c:ptCount val="1"/>
                <c:pt idx="0">
                  <c:v>Чили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'вместе-отн'!$A$2:$A$107</c:f>
              <c:numCache>
                <c:formatCode>0</c:formatCode>
                <c:ptCount val="106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  <c:pt idx="98">
                  <c:v>2015</c:v>
                </c:pt>
                <c:pt idx="99">
                  <c:v>2016</c:v>
                </c:pt>
                <c:pt idx="100">
                  <c:v>2017</c:v>
                </c:pt>
                <c:pt idx="101">
                  <c:v>2018</c:v>
                </c:pt>
                <c:pt idx="102">
                  <c:v>2019</c:v>
                </c:pt>
                <c:pt idx="103">
                  <c:v>2020</c:v>
                </c:pt>
                <c:pt idx="104">
                  <c:v>2021</c:v>
                </c:pt>
                <c:pt idx="105">
                  <c:v>2022</c:v>
                </c:pt>
              </c:numCache>
            </c:numRef>
          </c:xVal>
          <c:yVal>
            <c:numRef>
              <c:f>'вместе-отн'!$E$2:$E$107</c:f>
              <c:numCache>
                <c:formatCode>0.00</c:formatCode>
                <c:ptCount val="106"/>
                <c:pt idx="0">
                  <c:v>0</c:v>
                </c:pt>
                <c:pt idx="1">
                  <c:v>1.2623490669593854E-2</c:v>
                </c:pt>
                <c:pt idx="2">
                  <c:v>2.5521405049396269E-2</c:v>
                </c:pt>
                <c:pt idx="3">
                  <c:v>3.8693743139407245E-2</c:v>
                </c:pt>
                <c:pt idx="4">
                  <c:v>5.7354555433589464E-2</c:v>
                </c:pt>
                <c:pt idx="5">
                  <c:v>7.2173435784851817E-2</c:v>
                </c:pt>
                <c:pt idx="6">
                  <c:v>8.6992316136114162E-2</c:v>
                </c:pt>
                <c:pt idx="7">
                  <c:v>0.10236004390779363</c:v>
                </c:pt>
                <c:pt idx="8">
                  <c:v>0.11772777167947311</c:v>
                </c:pt>
                <c:pt idx="9">
                  <c:v>0.13336992316136115</c:v>
                </c:pt>
                <c:pt idx="10">
                  <c:v>0.14928649835345773</c:v>
                </c:pt>
                <c:pt idx="11">
                  <c:v>0.16520307354555433</c:v>
                </c:pt>
                <c:pt idx="12">
                  <c:v>0.18139407244785949</c:v>
                </c:pt>
                <c:pt idx="13">
                  <c:v>0.1978594950603732</c:v>
                </c:pt>
                <c:pt idx="14">
                  <c:v>0.21542261251372119</c:v>
                </c:pt>
                <c:pt idx="15">
                  <c:v>0.23353457738748629</c:v>
                </c:pt>
                <c:pt idx="16">
                  <c:v>0.25219538968166849</c:v>
                </c:pt>
                <c:pt idx="17">
                  <c:v>0.2708562019758507</c:v>
                </c:pt>
                <c:pt idx="18">
                  <c:v>0.28979143798024148</c:v>
                </c:pt>
                <c:pt idx="19">
                  <c:v>0.30927552140504938</c:v>
                </c:pt>
                <c:pt idx="20">
                  <c:v>0.32875960482985728</c:v>
                </c:pt>
                <c:pt idx="21">
                  <c:v>0.34851811196487376</c:v>
                </c:pt>
                <c:pt idx="22">
                  <c:v>0.36882546652030734</c:v>
                </c:pt>
                <c:pt idx="23">
                  <c:v>0.38940724478594951</c:v>
                </c:pt>
                <c:pt idx="24">
                  <c:v>0.41300768386388587</c:v>
                </c:pt>
                <c:pt idx="25">
                  <c:v>0.43907793633369924</c:v>
                </c:pt>
                <c:pt idx="26">
                  <c:v>0.46569703622392977</c:v>
                </c:pt>
                <c:pt idx="27">
                  <c:v>0.49286498353457736</c:v>
                </c:pt>
                <c:pt idx="28">
                  <c:v>0.52058177826564211</c:v>
                </c:pt>
                <c:pt idx="29">
                  <c:v>0.54857299670691551</c:v>
                </c:pt>
                <c:pt idx="30">
                  <c:v>0.57738748627881453</c:v>
                </c:pt>
                <c:pt idx="31">
                  <c:v>0.60647639956092203</c:v>
                </c:pt>
                <c:pt idx="32">
                  <c:v>0.6361141602634468</c:v>
                </c:pt>
                <c:pt idx="33">
                  <c:v>0.6665751920965971</c:v>
                </c:pt>
                <c:pt idx="34">
                  <c:v>0.70293633369923159</c:v>
                </c:pt>
                <c:pt idx="35">
                  <c:v>0.74865532381997812</c:v>
                </c:pt>
                <c:pt idx="36">
                  <c:v>0.80214050493962674</c:v>
                </c:pt>
                <c:pt idx="37">
                  <c:v>0.86185510428100998</c:v>
                </c:pt>
                <c:pt idx="38">
                  <c:v>0.9259879253567509</c:v>
                </c:pt>
                <c:pt idx="39">
                  <c:v>0.99294731064763997</c:v>
                </c:pt>
                <c:pt idx="40">
                  <c:v>1.0603732162458837</c:v>
                </c:pt>
                <c:pt idx="41">
                  <c:v>1.1254665203073546</c:v>
                </c:pt>
                <c:pt idx="42">
                  <c:v>1.1854829857299669</c:v>
                </c:pt>
                <c:pt idx="43">
                  <c:v>1.2374862788144896</c:v>
                </c:pt>
                <c:pt idx="44">
                  <c:v>1.2845225027442368</c:v>
                </c:pt>
                <c:pt idx="45">
                  <c:v>1.3318057080131724</c:v>
                </c:pt>
                <c:pt idx="46">
                  <c:v>1.3792810098792536</c:v>
                </c:pt>
                <c:pt idx="47">
                  <c:v>1.4265916575192097</c:v>
                </c:pt>
                <c:pt idx="48">
                  <c:v>1.4733534577387486</c:v>
                </c:pt>
                <c:pt idx="49">
                  <c:v>1.519676180021954</c:v>
                </c:pt>
                <c:pt idx="50">
                  <c:v>1.5655598243688253</c:v>
                </c:pt>
                <c:pt idx="51">
                  <c:v>1.6110592755214053</c:v>
                </c:pt>
                <c:pt idx="52">
                  <c:v>1.6565038419319427</c:v>
                </c:pt>
                <c:pt idx="53">
                  <c:v>1.7017837541163554</c:v>
                </c:pt>
                <c:pt idx="54">
                  <c:v>1.7468990120746435</c:v>
                </c:pt>
                <c:pt idx="55">
                  <c:v>1.7921789242590562</c:v>
                </c:pt>
                <c:pt idx="56">
                  <c:v>1.8376509330406146</c:v>
                </c:pt>
                <c:pt idx="57">
                  <c:v>1.8830406147091108</c:v>
                </c:pt>
                <c:pt idx="58">
                  <c:v>1.9285400658616905</c:v>
                </c:pt>
                <c:pt idx="59">
                  <c:v>1.9742864983534576</c:v>
                </c:pt>
                <c:pt idx="60">
                  <c:v>2.0201701427003291</c:v>
                </c:pt>
                <c:pt idx="61">
                  <c:v>2.0660537870472009</c:v>
                </c:pt>
                <c:pt idx="62">
                  <c:v>2.1119099890230513</c:v>
                </c:pt>
                <c:pt idx="63">
                  <c:v>2.1582327113062569</c:v>
                </c:pt>
                <c:pt idx="64">
                  <c:v>2.2049121844127333</c:v>
                </c:pt>
                <c:pt idx="65">
                  <c:v>2.2519758507135017</c:v>
                </c:pt>
                <c:pt idx="66">
                  <c:v>2.3002469813391877</c:v>
                </c:pt>
                <c:pt idx="67">
                  <c:v>2.3500823271130629</c:v>
                </c:pt>
                <c:pt idx="68">
                  <c:v>2.4015642151481886</c:v>
                </c:pt>
                <c:pt idx="69">
                  <c:v>2.4546926454445663</c:v>
                </c:pt>
                <c:pt idx="70">
                  <c:v>2.5099341383095504</c:v>
                </c:pt>
                <c:pt idx="71">
                  <c:v>2.5673435784851808</c:v>
                </c:pt>
                <c:pt idx="72">
                  <c:v>2.6265093304061469</c:v>
                </c:pt>
                <c:pt idx="73">
                  <c:v>2.68748627881449</c:v>
                </c:pt>
                <c:pt idx="74">
                  <c:v>2.7493139407244787</c:v>
                </c:pt>
                <c:pt idx="75">
                  <c:v>2.8102634467618004</c:v>
                </c:pt>
                <c:pt idx="76">
                  <c:v>2.8700054884742041</c:v>
                </c:pt>
                <c:pt idx="77">
                  <c:v>2.9287321624588363</c:v>
                </c:pt>
                <c:pt idx="78">
                  <c:v>2.9866630076838638</c:v>
                </c:pt>
                <c:pt idx="79">
                  <c:v>3.0433589462129529</c:v>
                </c:pt>
                <c:pt idx="80">
                  <c:v>3.0978046103183314</c:v>
                </c:pt>
                <c:pt idx="81">
                  <c:v>3.1514270032930845</c:v>
                </c:pt>
                <c:pt idx="82">
                  <c:v>3.2039791437980241</c:v>
                </c:pt>
                <c:pt idx="83">
                  <c:v>3.2545554335894624</c:v>
                </c:pt>
                <c:pt idx="84">
                  <c:v>3.3040065861690446</c:v>
                </c:pt>
                <c:pt idx="85">
                  <c:v>3.3517837541163558</c:v>
                </c:pt>
                <c:pt idx="86">
                  <c:v>3.3975850713501643</c:v>
                </c:pt>
                <c:pt idx="87">
                  <c:v>3.4421789242590557</c:v>
                </c:pt>
                <c:pt idx="88">
                  <c:v>3.4864983534577387</c:v>
                </c:pt>
                <c:pt idx="89">
                  <c:v>3.5305159165751925</c:v>
                </c:pt>
                <c:pt idx="90">
                  <c:v>3.5750823271130621</c:v>
                </c:pt>
                <c:pt idx="91">
                  <c:v>3.6210208562019757</c:v>
                </c:pt>
                <c:pt idx="92">
                  <c:v>3.6678649835345776</c:v>
                </c:pt>
                <c:pt idx="93">
                  <c:v>3.7150109769484083</c:v>
                </c:pt>
                <c:pt idx="94">
                  <c:v>3.7617453347969261</c:v>
                </c:pt>
                <c:pt idx="95">
                  <c:v>3.8076564215148183</c:v>
                </c:pt>
                <c:pt idx="96">
                  <c:v>3.8537321624588365</c:v>
                </c:pt>
                <c:pt idx="97">
                  <c:v>3.9023600439077937</c:v>
                </c:pt>
                <c:pt idx="98">
                  <c:v>3.9526893523600437</c:v>
                </c:pt>
                <c:pt idx="99">
                  <c:v>4.0129527991218445</c:v>
                </c:pt>
                <c:pt idx="100">
                  <c:v>4.0930021953896825</c:v>
                </c:pt>
                <c:pt idx="101">
                  <c:v>4.1847420417124042</c:v>
                </c:pt>
                <c:pt idx="102">
                  <c:v>4.2683040614709116</c:v>
                </c:pt>
                <c:pt idx="103">
                  <c:v>4.3157519209659707</c:v>
                </c:pt>
                <c:pt idx="104">
                  <c:v>4.3392700329308447</c:v>
                </c:pt>
                <c:pt idx="105">
                  <c:v>4.3658068057080133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DE-4083-8C5B-1136608130D6}"/>
            </c:ext>
          </c:extLst>
        </c:ser>
        <c:ser>
          <c:idx val="4"/>
          <c:order val="4"/>
          <c:tx>
            <c:strRef>
              <c:f>'вместе-отн'!$F$1</c:f>
              <c:strCache>
                <c:ptCount val="1"/>
                <c:pt idx="0">
                  <c:v>Колумбия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'вместе-отн'!$A$2:$A$107</c:f>
              <c:numCache>
                <c:formatCode>0</c:formatCode>
                <c:ptCount val="106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  <c:pt idx="98">
                  <c:v>2015</c:v>
                </c:pt>
                <c:pt idx="99">
                  <c:v>2016</c:v>
                </c:pt>
                <c:pt idx="100">
                  <c:v>2017</c:v>
                </c:pt>
                <c:pt idx="101">
                  <c:v>2018</c:v>
                </c:pt>
                <c:pt idx="102">
                  <c:v>2019</c:v>
                </c:pt>
                <c:pt idx="103">
                  <c:v>2020</c:v>
                </c:pt>
                <c:pt idx="104">
                  <c:v>2021</c:v>
                </c:pt>
                <c:pt idx="105">
                  <c:v>2022</c:v>
                </c:pt>
              </c:numCache>
            </c:numRef>
          </c:xVal>
          <c:yVal>
            <c:numRef>
              <c:f>'вместе-отн'!$F$2:$F$107</c:f>
              <c:numCache>
                <c:formatCode>0.00</c:formatCode>
                <c:ptCount val="106"/>
                <c:pt idx="0">
                  <c:v>0</c:v>
                </c:pt>
                <c:pt idx="1">
                  <c:v>2.4496937882764653E-2</c:v>
                </c:pt>
                <c:pt idx="2">
                  <c:v>5.4943132108486441E-2</c:v>
                </c:pt>
                <c:pt idx="3">
                  <c:v>6.5441819772528428E-2</c:v>
                </c:pt>
                <c:pt idx="4">
                  <c:v>8.6789151356080493E-2</c:v>
                </c:pt>
                <c:pt idx="5">
                  <c:v>0.10866141732283464</c:v>
                </c:pt>
                <c:pt idx="6">
                  <c:v>0.13088363954505686</c:v>
                </c:pt>
                <c:pt idx="7">
                  <c:v>0.15345581802274716</c:v>
                </c:pt>
                <c:pt idx="8">
                  <c:v>0.17655293088363955</c:v>
                </c:pt>
                <c:pt idx="9">
                  <c:v>0.20017497812773402</c:v>
                </c:pt>
                <c:pt idx="10">
                  <c:v>0.2241469816272966</c:v>
                </c:pt>
                <c:pt idx="11">
                  <c:v>0.24864391951006123</c:v>
                </c:pt>
                <c:pt idx="12">
                  <c:v>0.27366579177602801</c:v>
                </c:pt>
                <c:pt idx="13">
                  <c:v>0.29921259842519687</c:v>
                </c:pt>
                <c:pt idx="14">
                  <c:v>0.32528433945756779</c:v>
                </c:pt>
                <c:pt idx="15">
                  <c:v>0.35188101487314088</c:v>
                </c:pt>
                <c:pt idx="16">
                  <c:v>0.378827646544182</c:v>
                </c:pt>
                <c:pt idx="17">
                  <c:v>0.40647419072615926</c:v>
                </c:pt>
                <c:pt idx="18">
                  <c:v>0.43464566929133858</c:v>
                </c:pt>
                <c:pt idx="19">
                  <c:v>0.46334208223972001</c:v>
                </c:pt>
                <c:pt idx="20">
                  <c:v>0.49273840769903759</c:v>
                </c:pt>
                <c:pt idx="21">
                  <c:v>0.52265966754155735</c:v>
                </c:pt>
                <c:pt idx="22">
                  <c:v>0.55660542432195981</c:v>
                </c:pt>
                <c:pt idx="23">
                  <c:v>0.59177602799650042</c:v>
                </c:pt>
                <c:pt idx="24">
                  <c:v>0.62992125984251968</c:v>
                </c:pt>
                <c:pt idx="25">
                  <c:v>0.6692913385826772</c:v>
                </c:pt>
                <c:pt idx="26">
                  <c:v>0.71023622047244095</c:v>
                </c:pt>
                <c:pt idx="27">
                  <c:v>0.752580927384077</c:v>
                </c:pt>
                <c:pt idx="28">
                  <c:v>0.79650043744531929</c:v>
                </c:pt>
                <c:pt idx="29">
                  <c:v>0.84216972878390206</c:v>
                </c:pt>
                <c:pt idx="30">
                  <c:v>0.88976377952755903</c:v>
                </c:pt>
                <c:pt idx="31">
                  <c:v>0.93893263342082245</c:v>
                </c:pt>
                <c:pt idx="32">
                  <c:v>0.99002624671916006</c:v>
                </c:pt>
                <c:pt idx="33">
                  <c:v>1.0435695538057743</c:v>
                </c:pt>
                <c:pt idx="34">
                  <c:v>1.0981627296587926</c:v>
                </c:pt>
                <c:pt idx="35">
                  <c:v>1.1562029746281717</c:v>
                </c:pt>
                <c:pt idx="36">
                  <c:v>1.2172003499562554</c:v>
                </c:pt>
                <c:pt idx="37">
                  <c:v>1.2812423447069115</c:v>
                </c:pt>
                <c:pt idx="38">
                  <c:v>1.3486614173228346</c:v>
                </c:pt>
                <c:pt idx="39">
                  <c:v>1.4191076115485566</c:v>
                </c:pt>
                <c:pt idx="40">
                  <c:v>1.4929483814523186</c:v>
                </c:pt>
                <c:pt idx="41">
                  <c:v>1.5689938757655293</c:v>
                </c:pt>
                <c:pt idx="42">
                  <c:v>1.6479440069991251</c:v>
                </c:pt>
                <c:pt idx="43">
                  <c:v>1.7307436570428698</c:v>
                </c:pt>
                <c:pt idx="44">
                  <c:v>1.8163079615048121</c:v>
                </c:pt>
                <c:pt idx="45">
                  <c:v>1.9044619422572178</c:v>
                </c:pt>
                <c:pt idx="46">
                  <c:v>1.9945406824146981</c:v>
                </c:pt>
                <c:pt idx="47">
                  <c:v>2.0861592300962384</c:v>
                </c:pt>
                <c:pt idx="48">
                  <c:v>2.1791951006124233</c:v>
                </c:pt>
                <c:pt idx="49">
                  <c:v>2.2725634295713038</c:v>
                </c:pt>
                <c:pt idx="50">
                  <c:v>2.3658092738407697</c:v>
                </c:pt>
                <c:pt idx="51">
                  <c:v>2.4587576552930881</c:v>
                </c:pt>
                <c:pt idx="52">
                  <c:v>2.5506386701662294</c:v>
                </c:pt>
                <c:pt idx="53">
                  <c:v>2.641609798775153</c:v>
                </c:pt>
                <c:pt idx="54">
                  <c:v>2.7303762029746279</c:v>
                </c:pt>
                <c:pt idx="55">
                  <c:v>2.8179527559055115</c:v>
                </c:pt>
                <c:pt idx="56">
                  <c:v>2.9064566929133862</c:v>
                </c:pt>
                <c:pt idx="57">
                  <c:v>2.9953630796150481</c:v>
                </c:pt>
                <c:pt idx="58">
                  <c:v>3.0847944006999124</c:v>
                </c:pt>
                <c:pt idx="59">
                  <c:v>3.1747681539807524</c:v>
                </c:pt>
                <c:pt idx="60">
                  <c:v>3.2683289588801401</c:v>
                </c:pt>
                <c:pt idx="61">
                  <c:v>3.3657567804024495</c:v>
                </c:pt>
                <c:pt idx="62">
                  <c:v>3.4646719160104986</c:v>
                </c:pt>
                <c:pt idx="63">
                  <c:v>3.5677165354330707</c:v>
                </c:pt>
                <c:pt idx="64">
                  <c:v>3.6742432195975501</c:v>
                </c:pt>
                <c:pt idx="65">
                  <c:v>3.7836045494313209</c:v>
                </c:pt>
                <c:pt idx="66">
                  <c:v>3.8973228346456694</c:v>
                </c:pt>
                <c:pt idx="67">
                  <c:v>4.011846019247594</c:v>
                </c:pt>
                <c:pt idx="68">
                  <c:v>4.1213473315835518</c:v>
                </c:pt>
                <c:pt idx="69">
                  <c:v>4.2281889763779521</c:v>
                </c:pt>
                <c:pt idx="70">
                  <c:v>4.3367454068241473</c:v>
                </c:pt>
                <c:pt idx="71">
                  <c:v>4.4471566054243219</c:v>
                </c:pt>
                <c:pt idx="72">
                  <c:v>4.5601574803149605</c:v>
                </c:pt>
                <c:pt idx="73">
                  <c:v>4.6763079615048113</c:v>
                </c:pt>
                <c:pt idx="74">
                  <c:v>4.7914960629921266</c:v>
                </c:pt>
                <c:pt idx="75">
                  <c:v>4.9073665791776024</c:v>
                </c:pt>
                <c:pt idx="76">
                  <c:v>5.0265091863517064</c:v>
                </c:pt>
                <c:pt idx="77">
                  <c:v>5.1465266841644794</c:v>
                </c:pt>
                <c:pt idx="78">
                  <c:v>5.2650393700787399</c:v>
                </c:pt>
                <c:pt idx="79">
                  <c:v>5.3801749781277337</c:v>
                </c:pt>
                <c:pt idx="80">
                  <c:v>5.495380577427821</c:v>
                </c:pt>
                <c:pt idx="81">
                  <c:v>5.612808398950131</c:v>
                </c:pt>
                <c:pt idx="82">
                  <c:v>5.728766404199475</c:v>
                </c:pt>
                <c:pt idx="83">
                  <c:v>5.8398775153105866</c:v>
                </c:pt>
                <c:pt idx="84">
                  <c:v>5.9482589676290472</c:v>
                </c:pt>
                <c:pt idx="85">
                  <c:v>6.0559405074365698</c:v>
                </c:pt>
                <c:pt idx="86">
                  <c:v>6.1631496062992133</c:v>
                </c:pt>
                <c:pt idx="87">
                  <c:v>6.2691513560804895</c:v>
                </c:pt>
                <c:pt idx="88">
                  <c:v>6.3716535433070867</c:v>
                </c:pt>
                <c:pt idx="89">
                  <c:v>6.4700087489063867</c:v>
                </c:pt>
                <c:pt idx="90">
                  <c:v>6.5652493438320212</c:v>
                </c:pt>
                <c:pt idx="91">
                  <c:v>6.6568328958880141</c:v>
                </c:pt>
                <c:pt idx="92">
                  <c:v>6.7465441819772529</c:v>
                </c:pt>
                <c:pt idx="93">
                  <c:v>6.8350481189851271</c:v>
                </c:pt>
                <c:pt idx="94">
                  <c:v>6.9194400699912508</c:v>
                </c:pt>
                <c:pt idx="95">
                  <c:v>6.999265091863518</c:v>
                </c:pt>
                <c:pt idx="96">
                  <c:v>7.0755205599300082</c:v>
                </c:pt>
                <c:pt idx="97">
                  <c:v>7.1479265091863518</c:v>
                </c:pt>
                <c:pt idx="98">
                  <c:v>7.2187051618547686</c:v>
                </c:pt>
                <c:pt idx="99">
                  <c:v>7.3005249343832022</c:v>
                </c:pt>
                <c:pt idx="100">
                  <c:v>7.4218897637795269</c:v>
                </c:pt>
                <c:pt idx="101">
                  <c:v>7.5782152230971125</c:v>
                </c:pt>
                <c:pt idx="102">
                  <c:v>7.7328083989501311</c:v>
                </c:pt>
                <c:pt idx="103">
                  <c:v>7.8591426071741033</c:v>
                </c:pt>
                <c:pt idx="104">
                  <c:v>7.9568153980752401</c:v>
                </c:pt>
                <c:pt idx="105">
                  <c:v>8.053000874890639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DE-4083-8C5B-1136608130D6}"/>
            </c:ext>
          </c:extLst>
        </c:ser>
        <c:ser>
          <c:idx val="5"/>
          <c:order val="5"/>
          <c:tx>
            <c:strRef>
              <c:f>'вместе-отн'!$G$1</c:f>
              <c:strCache>
                <c:ptCount val="1"/>
                <c:pt idx="0">
                  <c:v>Коста-Рика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'вместе-отн'!$A$2:$A$107</c:f>
              <c:numCache>
                <c:formatCode>0</c:formatCode>
                <c:ptCount val="106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  <c:pt idx="98">
                  <c:v>2015</c:v>
                </c:pt>
                <c:pt idx="99">
                  <c:v>2016</c:v>
                </c:pt>
                <c:pt idx="100">
                  <c:v>2017</c:v>
                </c:pt>
                <c:pt idx="101">
                  <c:v>2018</c:v>
                </c:pt>
                <c:pt idx="102">
                  <c:v>2019</c:v>
                </c:pt>
                <c:pt idx="103">
                  <c:v>2020</c:v>
                </c:pt>
                <c:pt idx="104">
                  <c:v>2021</c:v>
                </c:pt>
                <c:pt idx="105">
                  <c:v>2022</c:v>
                </c:pt>
              </c:numCache>
            </c:numRef>
          </c:xVal>
          <c:yVal>
            <c:numRef>
              <c:f>'вместе-отн'!$G$2:$G$107</c:f>
              <c:numCache>
                <c:formatCode>0.00</c:formatCode>
                <c:ptCount val="106"/>
                <c:pt idx="0">
                  <c:v>0</c:v>
                </c:pt>
                <c:pt idx="1">
                  <c:v>1.4851485148514851E-2</c:v>
                </c:pt>
                <c:pt idx="2">
                  <c:v>2.7227722772277228E-2</c:v>
                </c:pt>
                <c:pt idx="3">
                  <c:v>4.2079207920792082E-2</c:v>
                </c:pt>
                <c:pt idx="4">
                  <c:v>5.1980198019801978E-2</c:v>
                </c:pt>
                <c:pt idx="5">
                  <c:v>6.6831683168316836E-2</c:v>
                </c:pt>
                <c:pt idx="6">
                  <c:v>8.6633663366336627E-2</c:v>
                </c:pt>
                <c:pt idx="7">
                  <c:v>0.10643564356435643</c:v>
                </c:pt>
                <c:pt idx="8">
                  <c:v>0.12871287128712872</c:v>
                </c:pt>
                <c:pt idx="9">
                  <c:v>0.15346534653465346</c:v>
                </c:pt>
                <c:pt idx="10">
                  <c:v>0.16831683168316833</c:v>
                </c:pt>
                <c:pt idx="11">
                  <c:v>0.18564356435643564</c:v>
                </c:pt>
                <c:pt idx="12">
                  <c:v>0.21039603960396039</c:v>
                </c:pt>
                <c:pt idx="13">
                  <c:v>0.23514851485148514</c:v>
                </c:pt>
                <c:pt idx="14">
                  <c:v>0.25742574257425743</c:v>
                </c:pt>
                <c:pt idx="15">
                  <c:v>0.28217821782178215</c:v>
                </c:pt>
                <c:pt idx="16">
                  <c:v>0.30693069306930693</c:v>
                </c:pt>
                <c:pt idx="17">
                  <c:v>0.33663366336633666</c:v>
                </c:pt>
                <c:pt idx="18">
                  <c:v>0.36386138613861385</c:v>
                </c:pt>
                <c:pt idx="19">
                  <c:v>0.39356435643564358</c:v>
                </c:pt>
                <c:pt idx="20">
                  <c:v>0.42574257425742573</c:v>
                </c:pt>
                <c:pt idx="21">
                  <c:v>0.46039603960396042</c:v>
                </c:pt>
                <c:pt idx="22">
                  <c:v>0.49752475247524752</c:v>
                </c:pt>
                <c:pt idx="23">
                  <c:v>0.53217821782178221</c:v>
                </c:pt>
                <c:pt idx="24">
                  <c:v>0.56683168316831678</c:v>
                </c:pt>
                <c:pt idx="25">
                  <c:v>0.60148514851485146</c:v>
                </c:pt>
                <c:pt idx="26">
                  <c:v>0.63613861386138615</c:v>
                </c:pt>
                <c:pt idx="27">
                  <c:v>0.67574257425742579</c:v>
                </c:pt>
                <c:pt idx="28">
                  <c:v>0.72029702970297027</c:v>
                </c:pt>
                <c:pt idx="29">
                  <c:v>0.75495049504950495</c:v>
                </c:pt>
                <c:pt idx="30">
                  <c:v>0.79702970297029707</c:v>
                </c:pt>
                <c:pt idx="31">
                  <c:v>0.84653465346534651</c:v>
                </c:pt>
                <c:pt idx="32">
                  <c:v>0.90841584158415845</c:v>
                </c:pt>
                <c:pt idx="33">
                  <c:v>0.98267326732673266</c:v>
                </c:pt>
                <c:pt idx="34">
                  <c:v>1.0586633663366338</c:v>
                </c:pt>
                <c:pt idx="35">
                  <c:v>1.154207920792079</c:v>
                </c:pt>
                <c:pt idx="36">
                  <c:v>1.2673267326732673</c:v>
                </c:pt>
                <c:pt idx="37">
                  <c:v>1.3965346534653467</c:v>
                </c:pt>
                <c:pt idx="38">
                  <c:v>1.5383663366336633</c:v>
                </c:pt>
                <c:pt idx="39">
                  <c:v>1.6896039603960393</c:v>
                </c:pt>
                <c:pt idx="40">
                  <c:v>1.8460396039603959</c:v>
                </c:pt>
                <c:pt idx="41">
                  <c:v>2.0024752475247523</c:v>
                </c:pt>
                <c:pt idx="42">
                  <c:v>2.1519801980198023</c:v>
                </c:pt>
                <c:pt idx="43">
                  <c:v>2.2858910891089108</c:v>
                </c:pt>
                <c:pt idx="44">
                  <c:v>2.4106435643564357</c:v>
                </c:pt>
                <c:pt idx="45">
                  <c:v>2.5381188118811884</c:v>
                </c:pt>
                <c:pt idx="46">
                  <c:v>2.667326732673267</c:v>
                </c:pt>
                <c:pt idx="47">
                  <c:v>2.7970297029702968</c:v>
                </c:pt>
                <c:pt idx="48">
                  <c:v>2.9262376237623764</c:v>
                </c:pt>
                <c:pt idx="49">
                  <c:v>3.0547029702970296</c:v>
                </c:pt>
                <c:pt idx="50">
                  <c:v>3.1819306930693068</c:v>
                </c:pt>
                <c:pt idx="51">
                  <c:v>3.3061881188118813</c:v>
                </c:pt>
                <c:pt idx="52">
                  <c:v>3.4289603960396038</c:v>
                </c:pt>
                <c:pt idx="53">
                  <c:v>3.5517326732673271</c:v>
                </c:pt>
                <c:pt idx="54">
                  <c:v>3.6745049504950495</c:v>
                </c:pt>
                <c:pt idx="55">
                  <c:v>3.7975247524752476</c:v>
                </c:pt>
                <c:pt idx="56">
                  <c:v>3.9215346534653466</c:v>
                </c:pt>
                <c:pt idx="57">
                  <c:v>4.0485148514851481</c:v>
                </c:pt>
                <c:pt idx="58">
                  <c:v>4.1799504950495043</c:v>
                </c:pt>
                <c:pt idx="59">
                  <c:v>4.3163366336633668</c:v>
                </c:pt>
                <c:pt idx="60">
                  <c:v>4.4579207920792081</c:v>
                </c:pt>
                <c:pt idx="61">
                  <c:v>4.6051980198019802</c:v>
                </c:pt>
                <c:pt idx="62">
                  <c:v>4.7586633663366333</c:v>
                </c:pt>
                <c:pt idx="63">
                  <c:v>4.917326732673267</c:v>
                </c:pt>
                <c:pt idx="64">
                  <c:v>5.0806930693069301</c:v>
                </c:pt>
                <c:pt idx="65">
                  <c:v>5.2495049504950497</c:v>
                </c:pt>
                <c:pt idx="66">
                  <c:v>5.4237623762376233</c:v>
                </c:pt>
                <c:pt idx="67">
                  <c:v>5.6029702970297031</c:v>
                </c:pt>
                <c:pt idx="68">
                  <c:v>5.7868811881188122</c:v>
                </c:pt>
                <c:pt idx="69">
                  <c:v>5.9732673267326728</c:v>
                </c:pt>
                <c:pt idx="70">
                  <c:v>6.1601485148514845</c:v>
                </c:pt>
                <c:pt idx="71">
                  <c:v>6.346782178217822</c:v>
                </c:pt>
                <c:pt idx="72">
                  <c:v>6.5341584158415849</c:v>
                </c:pt>
                <c:pt idx="73">
                  <c:v>6.7269801980198016</c:v>
                </c:pt>
                <c:pt idx="74">
                  <c:v>6.9262376237623755</c:v>
                </c:pt>
                <c:pt idx="75">
                  <c:v>7.1294554455445551</c:v>
                </c:pt>
                <c:pt idx="76">
                  <c:v>7.3351485148514852</c:v>
                </c:pt>
                <c:pt idx="77">
                  <c:v>7.542326732673267</c:v>
                </c:pt>
                <c:pt idx="78">
                  <c:v>7.7504950495049503</c:v>
                </c:pt>
                <c:pt idx="79">
                  <c:v>7.9579207920792081</c:v>
                </c:pt>
                <c:pt idx="80">
                  <c:v>8.1626237623762368</c:v>
                </c:pt>
                <c:pt idx="81">
                  <c:v>8.3633663366336641</c:v>
                </c:pt>
                <c:pt idx="82">
                  <c:v>8.5596534653465337</c:v>
                </c:pt>
                <c:pt idx="83">
                  <c:v>8.7467821782178206</c:v>
                </c:pt>
                <c:pt idx="84">
                  <c:v>8.9230198019801978</c:v>
                </c:pt>
                <c:pt idx="85">
                  <c:v>9.0883663366336638</c:v>
                </c:pt>
                <c:pt idx="86">
                  <c:v>9.2445544554455452</c:v>
                </c:pt>
                <c:pt idx="87">
                  <c:v>9.3962871287128724</c:v>
                </c:pt>
                <c:pt idx="88">
                  <c:v>9.5475247524752476</c:v>
                </c:pt>
                <c:pt idx="89">
                  <c:v>9.6962871287128714</c:v>
                </c:pt>
                <c:pt idx="90">
                  <c:v>9.8420792079207917</c:v>
                </c:pt>
                <c:pt idx="91">
                  <c:v>9.990346534653467</c:v>
                </c:pt>
                <c:pt idx="92">
                  <c:v>10.138118811881188</c:v>
                </c:pt>
                <c:pt idx="93">
                  <c:v>10.277227722772277</c:v>
                </c:pt>
                <c:pt idx="94">
                  <c:v>10.410396039603961</c:v>
                </c:pt>
                <c:pt idx="95">
                  <c:v>10.544306930693068</c:v>
                </c:pt>
                <c:pt idx="96">
                  <c:v>10.67351485148515</c:v>
                </c:pt>
                <c:pt idx="97">
                  <c:v>10.799752475247526</c:v>
                </c:pt>
                <c:pt idx="98">
                  <c:v>10.925742574257425</c:v>
                </c:pt>
                <c:pt idx="99">
                  <c:v>11.047029702970297</c:v>
                </c:pt>
                <c:pt idx="100">
                  <c:v>11.16138613861386</c:v>
                </c:pt>
                <c:pt idx="101">
                  <c:v>11.271782178217823</c:v>
                </c:pt>
                <c:pt idx="102">
                  <c:v>11.375247524752476</c:v>
                </c:pt>
                <c:pt idx="103">
                  <c:v>11.461138613861387</c:v>
                </c:pt>
                <c:pt idx="104">
                  <c:v>11.524752475247524</c:v>
                </c:pt>
                <c:pt idx="105">
                  <c:v>11.578712871287129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7DE-4083-8C5B-1136608130D6}"/>
            </c:ext>
          </c:extLst>
        </c:ser>
        <c:ser>
          <c:idx val="6"/>
          <c:order val="6"/>
          <c:tx>
            <c:strRef>
              <c:f>'вместе-отн'!$H$1</c:f>
              <c:strCache>
                <c:ptCount val="1"/>
                <c:pt idx="0">
                  <c:v>Куба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'вместе-отн'!$A$2:$A$107</c:f>
              <c:numCache>
                <c:formatCode>0</c:formatCode>
                <c:ptCount val="106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  <c:pt idx="98">
                  <c:v>2015</c:v>
                </c:pt>
                <c:pt idx="99">
                  <c:v>2016</c:v>
                </c:pt>
                <c:pt idx="100">
                  <c:v>2017</c:v>
                </c:pt>
                <c:pt idx="101">
                  <c:v>2018</c:v>
                </c:pt>
                <c:pt idx="102">
                  <c:v>2019</c:v>
                </c:pt>
                <c:pt idx="103">
                  <c:v>2020</c:v>
                </c:pt>
                <c:pt idx="104">
                  <c:v>2021</c:v>
                </c:pt>
                <c:pt idx="105">
                  <c:v>2022</c:v>
                </c:pt>
              </c:numCache>
            </c:numRef>
          </c:xVal>
          <c:yVal>
            <c:numRef>
              <c:f>'вместе-отн'!$H$2:$H$107</c:f>
              <c:numCache>
                <c:formatCode>0.00</c:formatCode>
                <c:ptCount val="106"/>
                <c:pt idx="0">
                  <c:v>0</c:v>
                </c:pt>
                <c:pt idx="1">
                  <c:v>2.9861616897305172E-2</c:v>
                </c:pt>
                <c:pt idx="2">
                  <c:v>6.0451565914056808E-2</c:v>
                </c:pt>
                <c:pt idx="3">
                  <c:v>9.1405680990531687E-2</c:v>
                </c:pt>
                <c:pt idx="4">
                  <c:v>0.12272396212672979</c:v>
                </c:pt>
                <c:pt idx="5">
                  <c:v>0.15440640932265112</c:v>
                </c:pt>
                <c:pt idx="6">
                  <c:v>0.18608885651857246</c:v>
                </c:pt>
                <c:pt idx="7">
                  <c:v>0.21813546977421705</c:v>
                </c:pt>
                <c:pt idx="8">
                  <c:v>0.24981791697013839</c:v>
                </c:pt>
                <c:pt idx="9">
                  <c:v>0.28150036416605972</c:v>
                </c:pt>
                <c:pt idx="10">
                  <c:v>0.31318281136198106</c:v>
                </c:pt>
                <c:pt idx="11">
                  <c:v>0.27713037144938091</c:v>
                </c:pt>
                <c:pt idx="12">
                  <c:v>0.3026219956300073</c:v>
                </c:pt>
                <c:pt idx="13">
                  <c:v>0.32811361981063364</c:v>
                </c:pt>
                <c:pt idx="14">
                  <c:v>0.44282592862345227</c:v>
                </c:pt>
                <c:pt idx="15">
                  <c:v>0.44282592862345227</c:v>
                </c:pt>
                <c:pt idx="16">
                  <c:v>0.44282592862345227</c:v>
                </c:pt>
                <c:pt idx="17">
                  <c:v>0.4708667152221413</c:v>
                </c:pt>
                <c:pt idx="18">
                  <c:v>0.48252002913328479</c:v>
                </c:pt>
                <c:pt idx="19">
                  <c:v>0.49635833940276763</c:v>
                </c:pt>
                <c:pt idx="20">
                  <c:v>0.5167516387472687</c:v>
                </c:pt>
                <c:pt idx="21">
                  <c:v>0.53969410050983246</c:v>
                </c:pt>
                <c:pt idx="22">
                  <c:v>0.54879825200291332</c:v>
                </c:pt>
                <c:pt idx="23">
                  <c:v>0.56263656227239622</c:v>
                </c:pt>
                <c:pt idx="24">
                  <c:v>0.57538237436270945</c:v>
                </c:pt>
                <c:pt idx="25">
                  <c:v>0.59213401310997815</c:v>
                </c:pt>
                <c:pt idx="26">
                  <c:v>0.74034959941733436</c:v>
                </c:pt>
                <c:pt idx="27">
                  <c:v>0.7658412235979607</c:v>
                </c:pt>
                <c:pt idx="28">
                  <c:v>0.79606700655498908</c:v>
                </c:pt>
                <c:pt idx="29">
                  <c:v>0.83503277494537509</c:v>
                </c:pt>
                <c:pt idx="30">
                  <c:v>0.87618353969410046</c:v>
                </c:pt>
                <c:pt idx="31">
                  <c:v>0.91842680262199561</c:v>
                </c:pt>
                <c:pt idx="32">
                  <c:v>0.96139839766933721</c:v>
                </c:pt>
                <c:pt idx="33">
                  <c:v>1.0058266569555718</c:v>
                </c:pt>
                <c:pt idx="34">
                  <c:v>1.0498543335761106</c:v>
                </c:pt>
                <c:pt idx="35">
                  <c:v>1.1021849963583394</c:v>
                </c:pt>
                <c:pt idx="36">
                  <c:v>1.16190823015295</c:v>
                </c:pt>
                <c:pt idx="37">
                  <c:v>1.2276037873270211</c:v>
                </c:pt>
                <c:pt idx="38">
                  <c:v>1.2974872541879094</c:v>
                </c:pt>
                <c:pt idx="39">
                  <c:v>1.3695921340131099</c:v>
                </c:pt>
                <c:pt idx="40">
                  <c:v>1.4418426802621995</c:v>
                </c:pt>
                <c:pt idx="41">
                  <c:v>1.5119446467589222</c:v>
                </c:pt>
                <c:pt idx="42">
                  <c:v>1.5775309541150764</c:v>
                </c:pt>
                <c:pt idx="43">
                  <c:v>1.6358703568827386</c:v>
                </c:pt>
                <c:pt idx="44">
                  <c:v>1.6901310997815004</c:v>
                </c:pt>
                <c:pt idx="45">
                  <c:v>1.7462126729788785</c:v>
                </c:pt>
                <c:pt idx="46">
                  <c:v>1.8046977421704296</c:v>
                </c:pt>
                <c:pt idx="47">
                  <c:v>1.864530225782957</c:v>
                </c:pt>
                <c:pt idx="48">
                  <c:v>1.924544792425346</c:v>
                </c:pt>
                <c:pt idx="49">
                  <c:v>1.9837946103423161</c:v>
                </c:pt>
                <c:pt idx="50">
                  <c:v>2.0417334304442827</c:v>
                </c:pt>
                <c:pt idx="51">
                  <c:v>2.0988710852148578</c:v>
                </c:pt>
                <c:pt idx="52">
                  <c:v>2.1560815731973779</c:v>
                </c:pt>
                <c:pt idx="53">
                  <c:v>2.213546977421704</c:v>
                </c:pt>
                <c:pt idx="54">
                  <c:v>2.2698834668608887</c:v>
                </c:pt>
                <c:pt idx="55">
                  <c:v>2.3226147123088126</c:v>
                </c:pt>
                <c:pt idx="56">
                  <c:v>2.3704661325564453</c:v>
                </c:pt>
                <c:pt idx="57">
                  <c:v>2.4137654770575385</c:v>
                </c:pt>
                <c:pt idx="58">
                  <c:v>2.4521849963583398</c:v>
                </c:pt>
                <c:pt idx="59">
                  <c:v>2.4855061908230156</c:v>
                </c:pt>
                <c:pt idx="60">
                  <c:v>2.5136198106336489</c:v>
                </c:pt>
                <c:pt idx="61">
                  <c:v>2.5367807720320465</c:v>
                </c:pt>
                <c:pt idx="62">
                  <c:v>2.5554989075018208</c:v>
                </c:pt>
                <c:pt idx="63">
                  <c:v>2.5705753823743622</c:v>
                </c:pt>
                <c:pt idx="64">
                  <c:v>2.5867807720320464</c:v>
                </c:pt>
                <c:pt idx="65">
                  <c:v>2.6098689002184998</c:v>
                </c:pt>
                <c:pt idx="66">
                  <c:v>2.6383831026948288</c:v>
                </c:pt>
                <c:pt idx="67">
                  <c:v>2.6683539694100507</c:v>
                </c:pt>
                <c:pt idx="68">
                  <c:v>2.6989075018208304</c:v>
                </c:pt>
                <c:pt idx="69">
                  <c:v>2.730589949016752</c:v>
                </c:pt>
                <c:pt idx="70">
                  <c:v>2.7637654770575382</c:v>
                </c:pt>
                <c:pt idx="71">
                  <c:v>2.799198834668609</c:v>
                </c:pt>
                <c:pt idx="72">
                  <c:v>2.8358339402767663</c:v>
                </c:pt>
                <c:pt idx="73">
                  <c:v>2.8717407137654769</c:v>
                </c:pt>
                <c:pt idx="74">
                  <c:v>2.9029861616897308</c:v>
                </c:pt>
                <c:pt idx="75">
                  <c:v>2.9278222869628547</c:v>
                </c:pt>
                <c:pt idx="76">
                  <c:v>2.9479242534595778</c:v>
                </c:pt>
                <c:pt idx="77">
                  <c:v>2.9643117261471232</c:v>
                </c:pt>
                <c:pt idx="78">
                  <c:v>2.9786598689002184</c:v>
                </c:pt>
                <c:pt idx="79">
                  <c:v>2.9919883466860888</c:v>
                </c:pt>
                <c:pt idx="80">
                  <c:v>3.0050619082301528</c:v>
                </c:pt>
                <c:pt idx="81">
                  <c:v>3.0184632192279683</c:v>
                </c:pt>
                <c:pt idx="82">
                  <c:v>3.0321194464675894</c:v>
                </c:pt>
                <c:pt idx="83">
                  <c:v>3.0455571740713765</c:v>
                </c:pt>
                <c:pt idx="84">
                  <c:v>3.0583029861616899</c:v>
                </c:pt>
                <c:pt idx="85">
                  <c:v>3.0704297159504734</c:v>
                </c:pt>
                <c:pt idx="86">
                  <c:v>3.0820830298616166</c:v>
                </c:pt>
                <c:pt idx="87">
                  <c:v>3.0927895120174798</c:v>
                </c:pt>
                <c:pt idx="88">
                  <c:v>3.101456664238893</c:v>
                </c:pt>
                <c:pt idx="89">
                  <c:v>3.1072833211944646</c:v>
                </c:pt>
                <c:pt idx="90">
                  <c:v>3.1104515659140564</c:v>
                </c:pt>
                <c:pt idx="91">
                  <c:v>3.112090313182811</c:v>
                </c:pt>
                <c:pt idx="92">
                  <c:v>3.1131463947560092</c:v>
                </c:pt>
                <c:pt idx="93">
                  <c:v>3.1141296431172614</c:v>
                </c:pt>
                <c:pt idx="94">
                  <c:v>3.1156591405680993</c:v>
                </c:pt>
                <c:pt idx="95">
                  <c:v>3.1162418062636563</c:v>
                </c:pt>
                <c:pt idx="96">
                  <c:v>3.1144209759650403</c:v>
                </c:pt>
                <c:pt idx="97">
                  <c:v>3.1099053168244719</c:v>
                </c:pt>
                <c:pt idx="98">
                  <c:v>3.1060087399854335</c:v>
                </c:pt>
                <c:pt idx="99">
                  <c:v>3.1025491624180628</c:v>
                </c:pt>
                <c:pt idx="100">
                  <c:v>3.0960670065549887</c:v>
                </c:pt>
                <c:pt idx="101">
                  <c:v>3.0885287691187182</c:v>
                </c:pt>
                <c:pt idx="102">
                  <c:v>3.0796795338674432</c:v>
                </c:pt>
                <c:pt idx="103">
                  <c:v>3.0700655498907499</c:v>
                </c:pt>
                <c:pt idx="104">
                  <c:v>3.0503277494537513</c:v>
                </c:pt>
                <c:pt idx="105">
                  <c:v>3.027603787327021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7DE-4083-8C5B-1136608130D6}"/>
            </c:ext>
          </c:extLst>
        </c:ser>
        <c:ser>
          <c:idx val="7"/>
          <c:order val="7"/>
          <c:tx>
            <c:strRef>
              <c:f>'вместе-отн'!$I$1</c:f>
              <c:strCache>
                <c:ptCount val="1"/>
                <c:pt idx="0">
                  <c:v>Доминиканская республика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'вместе-отн'!$A$2:$A$107</c:f>
              <c:numCache>
                <c:formatCode>0</c:formatCode>
                <c:ptCount val="106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  <c:pt idx="98">
                  <c:v>2015</c:v>
                </c:pt>
                <c:pt idx="99">
                  <c:v>2016</c:v>
                </c:pt>
                <c:pt idx="100">
                  <c:v>2017</c:v>
                </c:pt>
                <c:pt idx="101">
                  <c:v>2018</c:v>
                </c:pt>
                <c:pt idx="102">
                  <c:v>2019</c:v>
                </c:pt>
                <c:pt idx="103">
                  <c:v>2020</c:v>
                </c:pt>
                <c:pt idx="104">
                  <c:v>2021</c:v>
                </c:pt>
                <c:pt idx="105">
                  <c:v>2022</c:v>
                </c:pt>
              </c:numCache>
            </c:numRef>
          </c:xVal>
          <c:yVal>
            <c:numRef>
              <c:f>'вместе-отн'!$I$2:$I$107</c:f>
              <c:numCache>
                <c:formatCode>0.00</c:formatCode>
                <c:ptCount val="106"/>
                <c:pt idx="0">
                  <c:v>0</c:v>
                </c:pt>
                <c:pt idx="1">
                  <c:v>1.6726403823178016E-2</c:v>
                </c:pt>
                <c:pt idx="2">
                  <c:v>3.3452807646356032E-2</c:v>
                </c:pt>
                <c:pt idx="3">
                  <c:v>5.0179211469534052E-2</c:v>
                </c:pt>
                <c:pt idx="4">
                  <c:v>8.9605734767025089E-2</c:v>
                </c:pt>
                <c:pt idx="5">
                  <c:v>0.13022700119474312</c:v>
                </c:pt>
                <c:pt idx="6">
                  <c:v>0.17204301075268819</c:v>
                </c:pt>
                <c:pt idx="7">
                  <c:v>0.21505376344086022</c:v>
                </c:pt>
                <c:pt idx="8">
                  <c:v>0.25925925925925924</c:v>
                </c:pt>
                <c:pt idx="9">
                  <c:v>0.30465949820788529</c:v>
                </c:pt>
                <c:pt idx="10">
                  <c:v>0.35125448028673834</c:v>
                </c:pt>
                <c:pt idx="11">
                  <c:v>0.40023894862604542</c:v>
                </c:pt>
                <c:pt idx="12">
                  <c:v>0.44922341696535245</c:v>
                </c:pt>
                <c:pt idx="13">
                  <c:v>0.50059737156511352</c:v>
                </c:pt>
                <c:pt idx="14">
                  <c:v>0.55316606929510159</c:v>
                </c:pt>
                <c:pt idx="15">
                  <c:v>0.6069295101553166</c:v>
                </c:pt>
                <c:pt idx="16">
                  <c:v>0.66188769414575865</c:v>
                </c:pt>
                <c:pt idx="17">
                  <c:v>0.71804062126642776</c:v>
                </c:pt>
                <c:pt idx="18">
                  <c:v>0.77299880525686981</c:v>
                </c:pt>
                <c:pt idx="19">
                  <c:v>0.81600955794504182</c:v>
                </c:pt>
                <c:pt idx="20">
                  <c:v>0.86140979689366781</c:v>
                </c:pt>
                <c:pt idx="21">
                  <c:v>0.90681003584229392</c:v>
                </c:pt>
                <c:pt idx="22">
                  <c:v>0.95221027479091991</c:v>
                </c:pt>
                <c:pt idx="23">
                  <c:v>1.1015531660692952</c:v>
                </c:pt>
                <c:pt idx="24">
                  <c:v>1.1517323775388291</c:v>
                </c:pt>
                <c:pt idx="25">
                  <c:v>1.2031063321385902</c:v>
                </c:pt>
                <c:pt idx="26">
                  <c:v>1.2568697729988052</c:v>
                </c:pt>
                <c:pt idx="27">
                  <c:v>1.3106332138590202</c:v>
                </c:pt>
                <c:pt idx="28">
                  <c:v>1.3679808841099164</c:v>
                </c:pt>
                <c:pt idx="29">
                  <c:v>1.4253285543608125</c:v>
                </c:pt>
                <c:pt idx="30">
                  <c:v>1.4850657108721625</c:v>
                </c:pt>
                <c:pt idx="31">
                  <c:v>1.5459976105137396</c:v>
                </c:pt>
                <c:pt idx="32">
                  <c:v>1.6105137395459976</c:v>
                </c:pt>
                <c:pt idx="33">
                  <c:v>1.6798088410991636</c:v>
                </c:pt>
                <c:pt idx="34">
                  <c:v>1.7634408602150538</c:v>
                </c:pt>
                <c:pt idx="35">
                  <c:v>1.8608124253285543</c:v>
                </c:pt>
                <c:pt idx="36">
                  <c:v>1.970848267622461</c:v>
                </c:pt>
                <c:pt idx="37">
                  <c:v>2.091756272401434</c:v>
                </c:pt>
                <c:pt idx="38">
                  <c:v>2.2217443249701314</c:v>
                </c:pt>
                <c:pt idx="39">
                  <c:v>2.358183990442055</c:v>
                </c:pt>
                <c:pt idx="40">
                  <c:v>2.498327359617682</c:v>
                </c:pt>
                <c:pt idx="41">
                  <c:v>2.638590203106332</c:v>
                </c:pt>
                <c:pt idx="42">
                  <c:v>2.7755077658303464</c:v>
                </c:pt>
                <c:pt idx="43">
                  <c:v>2.9047789725209081</c:v>
                </c:pt>
                <c:pt idx="44">
                  <c:v>3.0301075268817201</c:v>
                </c:pt>
                <c:pt idx="45">
                  <c:v>3.1575866188769415</c:v>
                </c:pt>
                <c:pt idx="46">
                  <c:v>3.2870967741935484</c:v>
                </c:pt>
                <c:pt idx="47">
                  <c:v>3.4188769414575866</c:v>
                </c:pt>
                <c:pt idx="48">
                  <c:v>3.5507765830346476</c:v>
                </c:pt>
                <c:pt idx="49">
                  <c:v>3.6855436081242536</c:v>
                </c:pt>
                <c:pt idx="50">
                  <c:v>3.825448028673835</c:v>
                </c:pt>
                <c:pt idx="51">
                  <c:v>3.9667861409796892</c:v>
                </c:pt>
                <c:pt idx="52">
                  <c:v>4.1099163679808841</c:v>
                </c:pt>
                <c:pt idx="53">
                  <c:v>4.2560334528076469</c:v>
                </c:pt>
                <c:pt idx="54">
                  <c:v>4.405256869772999</c:v>
                </c:pt>
                <c:pt idx="55">
                  <c:v>4.5578255675029862</c:v>
                </c:pt>
                <c:pt idx="56">
                  <c:v>4.7135005973715645</c:v>
                </c:pt>
                <c:pt idx="57">
                  <c:v>4.8712066905615288</c:v>
                </c:pt>
                <c:pt idx="58">
                  <c:v>5.0296296296296301</c:v>
                </c:pt>
                <c:pt idx="59">
                  <c:v>5.1892473118279563</c:v>
                </c:pt>
                <c:pt idx="60">
                  <c:v>5.3505376344086013</c:v>
                </c:pt>
                <c:pt idx="61">
                  <c:v>5.5136200716845876</c:v>
                </c:pt>
                <c:pt idx="62">
                  <c:v>5.6782556750298685</c:v>
                </c:pt>
                <c:pt idx="63">
                  <c:v>5.8446833930704898</c:v>
                </c:pt>
                <c:pt idx="64">
                  <c:v>6.0113500597371567</c:v>
                </c:pt>
                <c:pt idx="65">
                  <c:v>6.1769414575866195</c:v>
                </c:pt>
                <c:pt idx="66">
                  <c:v>6.3443249701314217</c:v>
                </c:pt>
                <c:pt idx="67">
                  <c:v>6.5137395459976108</c:v>
                </c:pt>
                <c:pt idx="68">
                  <c:v>6.6826762246117077</c:v>
                </c:pt>
                <c:pt idx="69">
                  <c:v>6.8508960573476703</c:v>
                </c:pt>
                <c:pt idx="70">
                  <c:v>7.0197132616487457</c:v>
                </c:pt>
                <c:pt idx="71">
                  <c:v>7.1908004778972519</c:v>
                </c:pt>
                <c:pt idx="72">
                  <c:v>7.365949820788531</c:v>
                </c:pt>
                <c:pt idx="73">
                  <c:v>7.5438470728793305</c:v>
                </c:pt>
                <c:pt idx="74">
                  <c:v>7.7215053763440853</c:v>
                </c:pt>
                <c:pt idx="75">
                  <c:v>7.897849462365591</c:v>
                </c:pt>
                <c:pt idx="76">
                  <c:v>8.0735961768219831</c:v>
                </c:pt>
                <c:pt idx="77">
                  <c:v>8.2493428912783742</c:v>
                </c:pt>
                <c:pt idx="78">
                  <c:v>8.4242532855436085</c:v>
                </c:pt>
                <c:pt idx="79">
                  <c:v>8.5972520908004775</c:v>
                </c:pt>
                <c:pt idx="80">
                  <c:v>8.7659498207885314</c:v>
                </c:pt>
                <c:pt idx="81">
                  <c:v>8.9287933094384702</c:v>
                </c:pt>
                <c:pt idx="82">
                  <c:v>9.0910394265232988</c:v>
                </c:pt>
                <c:pt idx="83">
                  <c:v>9.2559139784946254</c:v>
                </c:pt>
                <c:pt idx="84">
                  <c:v>9.4185185185185176</c:v>
                </c:pt>
                <c:pt idx="85">
                  <c:v>9.5761051373954604</c:v>
                </c:pt>
                <c:pt idx="86">
                  <c:v>9.729510155316607</c:v>
                </c:pt>
                <c:pt idx="87">
                  <c:v>9.878016726403823</c:v>
                </c:pt>
                <c:pt idx="88">
                  <c:v>10.021505376344086</c:v>
                </c:pt>
                <c:pt idx="89">
                  <c:v>10.160334528076465</c:v>
                </c:pt>
                <c:pt idx="90">
                  <c:v>10.297132616487456</c:v>
                </c:pt>
                <c:pt idx="91">
                  <c:v>10.437395459976106</c:v>
                </c:pt>
                <c:pt idx="92">
                  <c:v>10.583393070489844</c:v>
                </c:pt>
                <c:pt idx="93">
                  <c:v>10.732616487455198</c:v>
                </c:pt>
                <c:pt idx="94">
                  <c:v>10.882437275985664</c:v>
                </c:pt>
                <c:pt idx="95">
                  <c:v>11.031541218637992</c:v>
                </c:pt>
                <c:pt idx="96">
                  <c:v>11.178972520908005</c:v>
                </c:pt>
                <c:pt idx="97">
                  <c:v>11.324372759856631</c:v>
                </c:pt>
                <c:pt idx="98">
                  <c:v>11.466905615292712</c:v>
                </c:pt>
                <c:pt idx="99">
                  <c:v>11.60621266427718</c:v>
                </c:pt>
                <c:pt idx="100">
                  <c:v>11.744086021505375</c:v>
                </c:pt>
                <c:pt idx="101">
                  <c:v>11.88183990442055</c:v>
                </c:pt>
                <c:pt idx="102">
                  <c:v>12.01553166069295</c:v>
                </c:pt>
                <c:pt idx="103">
                  <c:v>12.152090800477897</c:v>
                </c:pt>
                <c:pt idx="104">
                  <c:v>12.289725209080048</c:v>
                </c:pt>
                <c:pt idx="105">
                  <c:v>12.417801672640383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7DE-4083-8C5B-1136608130D6}"/>
            </c:ext>
          </c:extLst>
        </c:ser>
        <c:ser>
          <c:idx val="8"/>
          <c:order val="8"/>
          <c:tx>
            <c:strRef>
              <c:f>'вместе-отн'!$J$1</c:f>
              <c:strCache>
                <c:ptCount val="1"/>
                <c:pt idx="0">
                  <c:v>Эквадор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'вместе-отн'!$A$2:$A$107</c:f>
              <c:numCache>
                <c:formatCode>0</c:formatCode>
                <c:ptCount val="106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  <c:pt idx="98">
                  <c:v>2015</c:v>
                </c:pt>
                <c:pt idx="99">
                  <c:v>2016</c:v>
                </c:pt>
                <c:pt idx="100">
                  <c:v>2017</c:v>
                </c:pt>
                <c:pt idx="101">
                  <c:v>2018</c:v>
                </c:pt>
                <c:pt idx="102">
                  <c:v>2019</c:v>
                </c:pt>
                <c:pt idx="103">
                  <c:v>2020</c:v>
                </c:pt>
                <c:pt idx="104">
                  <c:v>2021</c:v>
                </c:pt>
                <c:pt idx="105">
                  <c:v>2022</c:v>
                </c:pt>
              </c:numCache>
            </c:numRef>
          </c:xVal>
          <c:yVal>
            <c:numRef>
              <c:f>'вместе-отн'!$J$2:$J$107</c:f>
              <c:numCache>
                <c:formatCode>0.00</c:formatCode>
                <c:ptCount val="106"/>
                <c:pt idx="0">
                  <c:v>0</c:v>
                </c:pt>
                <c:pt idx="1">
                  <c:v>7.9734219269102981E-3</c:v>
                </c:pt>
                <c:pt idx="2">
                  <c:v>1.5946843853820596E-2</c:v>
                </c:pt>
                <c:pt idx="3">
                  <c:v>2.3920265780730896E-2</c:v>
                </c:pt>
                <c:pt idx="4">
                  <c:v>4.3189368770764118E-2</c:v>
                </c:pt>
                <c:pt idx="5">
                  <c:v>6.9767441860465115E-2</c:v>
                </c:pt>
                <c:pt idx="6">
                  <c:v>9.3687707641196008E-2</c:v>
                </c:pt>
                <c:pt idx="7">
                  <c:v>0.11960132890365449</c:v>
                </c:pt>
                <c:pt idx="8">
                  <c:v>0.14551495016611296</c:v>
                </c:pt>
                <c:pt idx="9">
                  <c:v>0.1707641196013289</c:v>
                </c:pt>
                <c:pt idx="10">
                  <c:v>0.19601328903654486</c:v>
                </c:pt>
                <c:pt idx="11">
                  <c:v>0.22657807308970099</c:v>
                </c:pt>
                <c:pt idx="12">
                  <c:v>0.25647840531561461</c:v>
                </c:pt>
                <c:pt idx="13">
                  <c:v>0.29169435215946843</c:v>
                </c:pt>
                <c:pt idx="14">
                  <c:v>0.32558139534883723</c:v>
                </c:pt>
                <c:pt idx="15">
                  <c:v>0.36212624584717606</c:v>
                </c:pt>
                <c:pt idx="16">
                  <c:v>0.39202657807308972</c:v>
                </c:pt>
                <c:pt idx="17">
                  <c:v>0.42192691029900331</c:v>
                </c:pt>
                <c:pt idx="18">
                  <c:v>0.45913621262458471</c:v>
                </c:pt>
                <c:pt idx="19">
                  <c:v>0.49435215946843852</c:v>
                </c:pt>
                <c:pt idx="20">
                  <c:v>0.52691029900332231</c:v>
                </c:pt>
                <c:pt idx="21">
                  <c:v>0.56478405315614622</c:v>
                </c:pt>
                <c:pt idx="22">
                  <c:v>0.60265780730897012</c:v>
                </c:pt>
                <c:pt idx="23">
                  <c:v>0.6385382059800665</c:v>
                </c:pt>
                <c:pt idx="24">
                  <c:v>0.67508305647840527</c:v>
                </c:pt>
                <c:pt idx="25">
                  <c:v>0.71096345514950166</c:v>
                </c:pt>
                <c:pt idx="26">
                  <c:v>0.75481727574750834</c:v>
                </c:pt>
                <c:pt idx="27">
                  <c:v>0.80199335548172757</c:v>
                </c:pt>
                <c:pt idx="28">
                  <c:v>0.84784053156146177</c:v>
                </c:pt>
                <c:pt idx="29">
                  <c:v>0.89568106312292362</c:v>
                </c:pt>
                <c:pt idx="30">
                  <c:v>0.95083056478405314</c:v>
                </c:pt>
                <c:pt idx="31">
                  <c:v>1.0046511627906978</c:v>
                </c:pt>
                <c:pt idx="32">
                  <c:v>1.0624584717607974</c:v>
                </c:pt>
                <c:pt idx="33">
                  <c:v>1.1242524916943522</c:v>
                </c:pt>
                <c:pt idx="34">
                  <c:v>1.1850498338870432</c:v>
                </c:pt>
                <c:pt idx="35">
                  <c:v>1.258671096345515</c:v>
                </c:pt>
                <c:pt idx="36">
                  <c:v>1.3432558139534883</c:v>
                </c:pt>
                <c:pt idx="37">
                  <c:v>1.4370764119601329</c:v>
                </c:pt>
                <c:pt idx="38">
                  <c:v>1.5380066445182723</c:v>
                </c:pt>
                <c:pt idx="39">
                  <c:v>1.6436544850498338</c:v>
                </c:pt>
                <c:pt idx="40">
                  <c:v>1.7512956810631228</c:v>
                </c:pt>
                <c:pt idx="41">
                  <c:v>1.8575415282392029</c:v>
                </c:pt>
                <c:pt idx="42">
                  <c:v>1.9587375415282389</c:v>
                </c:pt>
                <c:pt idx="43">
                  <c:v>2.0504318936877075</c:v>
                </c:pt>
                <c:pt idx="44">
                  <c:v>2.1377408637873754</c:v>
                </c:pt>
                <c:pt idx="45">
                  <c:v>2.2287707641196013</c:v>
                </c:pt>
                <c:pt idx="46">
                  <c:v>2.323388704318937</c:v>
                </c:pt>
                <c:pt idx="47">
                  <c:v>2.4218604651162789</c:v>
                </c:pt>
                <c:pt idx="48">
                  <c:v>2.5242524916943521</c:v>
                </c:pt>
                <c:pt idx="49">
                  <c:v>2.6303654485049832</c:v>
                </c:pt>
                <c:pt idx="50">
                  <c:v>2.7402657807308972</c:v>
                </c:pt>
                <c:pt idx="51">
                  <c:v>2.8536212624584718</c:v>
                </c:pt>
                <c:pt idx="52">
                  <c:v>2.9702325581395348</c:v>
                </c:pt>
                <c:pt idx="53">
                  <c:v>3.0899667774086375</c:v>
                </c:pt>
                <c:pt idx="54">
                  <c:v>3.2126910299003324</c:v>
                </c:pt>
                <c:pt idx="55">
                  <c:v>3.3382059800664452</c:v>
                </c:pt>
                <c:pt idx="56">
                  <c:v>3.4664451827242524</c:v>
                </c:pt>
                <c:pt idx="57">
                  <c:v>3.5970764119601331</c:v>
                </c:pt>
                <c:pt idx="58">
                  <c:v>3.7297674418604654</c:v>
                </c:pt>
                <c:pt idx="59">
                  <c:v>3.8643853820598006</c:v>
                </c:pt>
                <c:pt idx="60">
                  <c:v>4.0011960132890367</c:v>
                </c:pt>
                <c:pt idx="61">
                  <c:v>4.140332225913621</c:v>
                </c:pt>
                <c:pt idx="62">
                  <c:v>4.2816611295681062</c:v>
                </c:pt>
                <c:pt idx="63">
                  <c:v>4.425847176079734</c:v>
                </c:pt>
                <c:pt idx="64">
                  <c:v>4.5726910299003318</c:v>
                </c:pt>
                <c:pt idx="65">
                  <c:v>4.7217940199335544</c:v>
                </c:pt>
                <c:pt idx="66">
                  <c:v>4.8740199335548171</c:v>
                </c:pt>
                <c:pt idx="67">
                  <c:v>5.0297674418604643</c:v>
                </c:pt>
                <c:pt idx="68">
                  <c:v>5.1868438538205988</c:v>
                </c:pt>
                <c:pt idx="69">
                  <c:v>5.3428571428571425</c:v>
                </c:pt>
                <c:pt idx="70">
                  <c:v>5.4978737541528231</c:v>
                </c:pt>
                <c:pt idx="71">
                  <c:v>5.6516943521594678</c:v>
                </c:pt>
                <c:pt idx="72">
                  <c:v>5.805249169435216</c:v>
                </c:pt>
                <c:pt idx="73">
                  <c:v>5.9592691029900333</c:v>
                </c:pt>
                <c:pt idx="74">
                  <c:v>6.1112292358803986</c:v>
                </c:pt>
                <c:pt idx="75">
                  <c:v>6.262524916943522</c:v>
                </c:pt>
                <c:pt idx="76">
                  <c:v>6.411495016611295</c:v>
                </c:pt>
                <c:pt idx="77">
                  <c:v>6.5562790697674425</c:v>
                </c:pt>
                <c:pt idx="78">
                  <c:v>6.7013289036544847</c:v>
                </c:pt>
                <c:pt idx="79">
                  <c:v>6.8478405315614621</c:v>
                </c:pt>
                <c:pt idx="80">
                  <c:v>6.994086378737542</c:v>
                </c:pt>
                <c:pt idx="81">
                  <c:v>7.1403322259136219</c:v>
                </c:pt>
                <c:pt idx="82">
                  <c:v>7.2862458471760796</c:v>
                </c:pt>
                <c:pt idx="83">
                  <c:v>7.4313621262458476</c:v>
                </c:pt>
                <c:pt idx="84">
                  <c:v>7.5785382059800668</c:v>
                </c:pt>
                <c:pt idx="85">
                  <c:v>7.7299003322259132</c:v>
                </c:pt>
                <c:pt idx="86">
                  <c:v>7.8852491694352151</c:v>
                </c:pt>
                <c:pt idx="87">
                  <c:v>8.0423255813953496</c:v>
                </c:pt>
                <c:pt idx="88">
                  <c:v>8.2001328903654489</c:v>
                </c:pt>
                <c:pt idx="89">
                  <c:v>8.3595348837209311</c:v>
                </c:pt>
                <c:pt idx="90">
                  <c:v>8.5207973421926901</c:v>
                </c:pt>
                <c:pt idx="91">
                  <c:v>8.6845182724252492</c:v>
                </c:pt>
                <c:pt idx="92">
                  <c:v>8.8511627906976749</c:v>
                </c:pt>
                <c:pt idx="93">
                  <c:v>9.0177408637873757</c:v>
                </c:pt>
                <c:pt idx="94">
                  <c:v>9.183521594684386</c:v>
                </c:pt>
                <c:pt idx="95">
                  <c:v>9.3469767441860476</c:v>
                </c:pt>
                <c:pt idx="96">
                  <c:v>9.5030564784053162</c:v>
                </c:pt>
                <c:pt idx="97">
                  <c:v>9.6545514950166123</c:v>
                </c:pt>
                <c:pt idx="98">
                  <c:v>9.8081063122923595</c:v>
                </c:pt>
                <c:pt idx="99">
                  <c:v>9.9668438538205972</c:v>
                </c:pt>
                <c:pt idx="100">
                  <c:v>10.135880398671096</c:v>
                </c:pt>
                <c:pt idx="101">
                  <c:v>10.328571428571429</c:v>
                </c:pt>
                <c:pt idx="102">
                  <c:v>10.521594684385382</c:v>
                </c:pt>
                <c:pt idx="103">
                  <c:v>10.658538205980065</c:v>
                </c:pt>
                <c:pt idx="104">
                  <c:v>10.749169435215947</c:v>
                </c:pt>
                <c:pt idx="105">
                  <c:v>10.843122923588041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7DE-4083-8C5B-1136608130D6}"/>
            </c:ext>
          </c:extLst>
        </c:ser>
        <c:ser>
          <c:idx val="9"/>
          <c:order val="9"/>
          <c:tx>
            <c:strRef>
              <c:f>'вместе-отн'!$K$1</c:f>
              <c:strCache>
                <c:ptCount val="1"/>
                <c:pt idx="0">
                  <c:v>Эль-Сальвадор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'вместе-отн'!$A$2:$A$107</c:f>
              <c:numCache>
                <c:formatCode>0</c:formatCode>
                <c:ptCount val="106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  <c:pt idx="98">
                  <c:v>2015</c:v>
                </c:pt>
                <c:pt idx="99">
                  <c:v>2016</c:v>
                </c:pt>
                <c:pt idx="100">
                  <c:v>2017</c:v>
                </c:pt>
                <c:pt idx="101">
                  <c:v>2018</c:v>
                </c:pt>
                <c:pt idx="102">
                  <c:v>2019</c:v>
                </c:pt>
                <c:pt idx="103">
                  <c:v>2020</c:v>
                </c:pt>
                <c:pt idx="104">
                  <c:v>2021</c:v>
                </c:pt>
                <c:pt idx="105">
                  <c:v>2022</c:v>
                </c:pt>
              </c:numCache>
            </c:numRef>
          </c:xVal>
          <c:yVal>
            <c:numRef>
              <c:f>'вместе-отн'!$K$2:$K$107</c:f>
              <c:numCache>
                <c:formatCode>0.00</c:formatCode>
                <c:ptCount val="106"/>
                <c:pt idx="0">
                  <c:v>0</c:v>
                </c:pt>
                <c:pt idx="1">
                  <c:v>1.6172506738544475E-2</c:v>
                </c:pt>
                <c:pt idx="2">
                  <c:v>3.324348607367475E-2</c:v>
                </c:pt>
                <c:pt idx="3">
                  <c:v>4.9415992812219228E-2</c:v>
                </c:pt>
                <c:pt idx="4">
                  <c:v>7.1877807726864335E-2</c:v>
                </c:pt>
                <c:pt idx="5">
                  <c:v>9.3441150044923635E-2</c:v>
                </c:pt>
                <c:pt idx="6">
                  <c:v>0.11769991015274034</c:v>
                </c:pt>
                <c:pt idx="7">
                  <c:v>0.14465408805031446</c:v>
                </c:pt>
                <c:pt idx="8">
                  <c:v>0.16891284815813118</c:v>
                </c:pt>
                <c:pt idx="9">
                  <c:v>0.19047619047619047</c:v>
                </c:pt>
                <c:pt idx="10">
                  <c:v>0.21383647798742139</c:v>
                </c:pt>
                <c:pt idx="11">
                  <c:v>0.24438454627133874</c:v>
                </c:pt>
                <c:pt idx="12">
                  <c:v>0.26864330637915546</c:v>
                </c:pt>
                <c:pt idx="13">
                  <c:v>0.29649595687331537</c:v>
                </c:pt>
                <c:pt idx="14">
                  <c:v>0.3081761006289308</c:v>
                </c:pt>
                <c:pt idx="15">
                  <c:v>0.32434860736747528</c:v>
                </c:pt>
                <c:pt idx="16">
                  <c:v>0.34141958670260558</c:v>
                </c:pt>
                <c:pt idx="17">
                  <c:v>0.35849056603773582</c:v>
                </c:pt>
                <c:pt idx="18">
                  <c:v>0.37556154537286612</c:v>
                </c:pt>
                <c:pt idx="19">
                  <c:v>0.39353099730458219</c:v>
                </c:pt>
                <c:pt idx="20">
                  <c:v>0.4115004492362983</c:v>
                </c:pt>
                <c:pt idx="21">
                  <c:v>0.42946990116801437</c:v>
                </c:pt>
                <c:pt idx="22">
                  <c:v>0.44833782569631625</c:v>
                </c:pt>
                <c:pt idx="23">
                  <c:v>0.46720575022461813</c:v>
                </c:pt>
                <c:pt idx="24">
                  <c:v>0.48607367475292002</c:v>
                </c:pt>
                <c:pt idx="25">
                  <c:v>0.50494159928122195</c:v>
                </c:pt>
                <c:pt idx="26">
                  <c:v>0.51931716082659474</c:v>
                </c:pt>
                <c:pt idx="27">
                  <c:v>0.54447439353099736</c:v>
                </c:pt>
                <c:pt idx="28">
                  <c:v>0.56513926325247077</c:v>
                </c:pt>
                <c:pt idx="29">
                  <c:v>0.58490566037735847</c:v>
                </c:pt>
                <c:pt idx="30">
                  <c:v>0.60646900269541781</c:v>
                </c:pt>
                <c:pt idx="31">
                  <c:v>0.62713387241689134</c:v>
                </c:pt>
                <c:pt idx="32">
                  <c:v>0.64869721473495057</c:v>
                </c:pt>
                <c:pt idx="33">
                  <c:v>0.67834681042228206</c:v>
                </c:pt>
                <c:pt idx="34">
                  <c:v>0.72569631626235409</c:v>
                </c:pt>
                <c:pt idx="35">
                  <c:v>0.78742138364779879</c:v>
                </c:pt>
                <c:pt idx="36">
                  <c:v>0.86190476190476206</c:v>
                </c:pt>
                <c:pt idx="37">
                  <c:v>0.94716981132075451</c:v>
                </c:pt>
                <c:pt idx="38">
                  <c:v>1.0415094339622639</c:v>
                </c:pt>
                <c:pt idx="39">
                  <c:v>1.1415992812219227</c:v>
                </c:pt>
                <c:pt idx="40">
                  <c:v>1.2433962264150944</c:v>
                </c:pt>
                <c:pt idx="41">
                  <c:v>1.3414195867026055</c:v>
                </c:pt>
                <c:pt idx="42">
                  <c:v>1.43099730458221</c:v>
                </c:pt>
                <c:pt idx="43">
                  <c:v>1.5080862533692723</c:v>
                </c:pt>
                <c:pt idx="44">
                  <c:v>1.578616352201258</c:v>
                </c:pt>
                <c:pt idx="45">
                  <c:v>1.6497753818508534</c:v>
                </c:pt>
                <c:pt idx="46">
                  <c:v>1.7212039532794248</c:v>
                </c:pt>
                <c:pt idx="47">
                  <c:v>1.7959568733153639</c:v>
                </c:pt>
                <c:pt idx="48">
                  <c:v>1.8746630727762803</c:v>
                </c:pt>
                <c:pt idx="49">
                  <c:v>1.9568733153638813</c:v>
                </c:pt>
                <c:pt idx="50">
                  <c:v>2.0415094339622639</c:v>
                </c:pt>
                <c:pt idx="51">
                  <c:v>2.1274034141958671</c:v>
                </c:pt>
                <c:pt idx="52">
                  <c:v>2.2133872416891283</c:v>
                </c:pt>
                <c:pt idx="53">
                  <c:v>2.2963162623539985</c:v>
                </c:pt>
                <c:pt idx="54">
                  <c:v>2.3760107816711589</c:v>
                </c:pt>
                <c:pt idx="55">
                  <c:v>2.4562443845462716</c:v>
                </c:pt>
                <c:pt idx="56">
                  <c:v>2.5382749326145553</c:v>
                </c:pt>
                <c:pt idx="57">
                  <c:v>2.6205750224618147</c:v>
                </c:pt>
                <c:pt idx="58">
                  <c:v>2.7020664869721469</c:v>
                </c:pt>
                <c:pt idx="59">
                  <c:v>2.7828391734052111</c:v>
                </c:pt>
                <c:pt idx="60">
                  <c:v>2.8646001796945195</c:v>
                </c:pt>
                <c:pt idx="61">
                  <c:v>2.9479784366576824</c:v>
                </c:pt>
                <c:pt idx="62">
                  <c:v>3.0255166217430367</c:v>
                </c:pt>
                <c:pt idx="63">
                  <c:v>3.0794249775381846</c:v>
                </c:pt>
                <c:pt idx="64">
                  <c:v>3.1065588499550767</c:v>
                </c:pt>
                <c:pt idx="65">
                  <c:v>3.1531895777178796</c:v>
                </c:pt>
                <c:pt idx="66">
                  <c:v>3.2294699011680139</c:v>
                </c:pt>
                <c:pt idx="67">
                  <c:v>3.3108715184186881</c:v>
                </c:pt>
                <c:pt idx="68">
                  <c:v>3.3977538185085354</c:v>
                </c:pt>
                <c:pt idx="69">
                  <c:v>3.4858939802336031</c:v>
                </c:pt>
                <c:pt idx="70">
                  <c:v>3.5753818508535486</c:v>
                </c:pt>
                <c:pt idx="71">
                  <c:v>3.6682839173405211</c:v>
                </c:pt>
                <c:pt idx="72">
                  <c:v>3.7610062893081762</c:v>
                </c:pt>
                <c:pt idx="73">
                  <c:v>3.8514824797843663</c:v>
                </c:pt>
                <c:pt idx="74">
                  <c:v>3.9371967654986526</c:v>
                </c:pt>
                <c:pt idx="75">
                  <c:v>4.0185085354896675</c:v>
                </c:pt>
                <c:pt idx="76">
                  <c:v>4.0853548966756517</c:v>
                </c:pt>
                <c:pt idx="77">
                  <c:v>4.1339622641509441</c:v>
                </c:pt>
                <c:pt idx="78">
                  <c:v>4.1770889487870626</c:v>
                </c:pt>
                <c:pt idx="79">
                  <c:v>4.215902964959569</c:v>
                </c:pt>
                <c:pt idx="80">
                  <c:v>4.2512129380053914</c:v>
                </c:pt>
                <c:pt idx="81">
                  <c:v>4.2837376460017973</c:v>
                </c:pt>
                <c:pt idx="82">
                  <c:v>4.3134770889487868</c:v>
                </c:pt>
                <c:pt idx="83">
                  <c:v>4.3399820305480681</c:v>
                </c:pt>
                <c:pt idx="84">
                  <c:v>4.3621743036837382</c:v>
                </c:pt>
                <c:pt idx="85">
                  <c:v>4.3787960467205753</c:v>
                </c:pt>
                <c:pt idx="86">
                  <c:v>4.3895777178796047</c:v>
                </c:pt>
                <c:pt idx="87">
                  <c:v>4.3950584007187778</c:v>
                </c:pt>
                <c:pt idx="88">
                  <c:v>4.395867026055706</c:v>
                </c:pt>
                <c:pt idx="89">
                  <c:v>4.3929020664869727</c:v>
                </c:pt>
                <c:pt idx="90">
                  <c:v>4.3996406109613657</c:v>
                </c:pt>
                <c:pt idx="91">
                  <c:v>4.417160826594789</c:v>
                </c:pt>
                <c:pt idx="92">
                  <c:v>4.4342318059299197</c:v>
                </c:pt>
                <c:pt idx="93">
                  <c:v>4.4521114106019768</c:v>
                </c:pt>
                <c:pt idx="94">
                  <c:v>4.4717879604672062</c:v>
                </c:pt>
                <c:pt idx="95">
                  <c:v>4.4932614555256061</c:v>
                </c:pt>
                <c:pt idx="96">
                  <c:v>4.5155435759209341</c:v>
                </c:pt>
                <c:pt idx="97">
                  <c:v>4.5372866127583107</c:v>
                </c:pt>
                <c:pt idx="98">
                  <c:v>4.555884995507637</c:v>
                </c:pt>
                <c:pt idx="99">
                  <c:v>4.5712488769092543</c:v>
                </c:pt>
                <c:pt idx="100">
                  <c:v>4.5826594788858941</c:v>
                </c:pt>
                <c:pt idx="101">
                  <c:v>4.588319856244385</c:v>
                </c:pt>
                <c:pt idx="102">
                  <c:v>4.590566037735849</c:v>
                </c:pt>
                <c:pt idx="103">
                  <c:v>4.6017070979335131</c:v>
                </c:pt>
                <c:pt idx="104">
                  <c:v>4.6206648697214741</c:v>
                </c:pt>
                <c:pt idx="105">
                  <c:v>4.6426774483378255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7DE-4083-8C5B-1136608130D6}"/>
            </c:ext>
          </c:extLst>
        </c:ser>
        <c:ser>
          <c:idx val="10"/>
          <c:order val="10"/>
          <c:tx>
            <c:strRef>
              <c:f>'вместе-отн'!$L$1</c:f>
              <c:strCache>
                <c:ptCount val="1"/>
                <c:pt idx="0">
                  <c:v>Гватемала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'вместе-отн'!$A$2:$A$107</c:f>
              <c:numCache>
                <c:formatCode>0</c:formatCode>
                <c:ptCount val="106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  <c:pt idx="98">
                  <c:v>2015</c:v>
                </c:pt>
                <c:pt idx="99">
                  <c:v>2016</c:v>
                </c:pt>
                <c:pt idx="100">
                  <c:v>2017</c:v>
                </c:pt>
                <c:pt idx="101">
                  <c:v>2018</c:v>
                </c:pt>
                <c:pt idx="102">
                  <c:v>2019</c:v>
                </c:pt>
                <c:pt idx="103">
                  <c:v>2020</c:v>
                </c:pt>
                <c:pt idx="104">
                  <c:v>2021</c:v>
                </c:pt>
                <c:pt idx="105">
                  <c:v>2022</c:v>
                </c:pt>
              </c:numCache>
            </c:numRef>
          </c:xVal>
          <c:yVal>
            <c:numRef>
              <c:f>'вместе-отн'!$L$2:$L$107</c:f>
              <c:numCache>
                <c:formatCode>0.00</c:formatCode>
                <c:ptCount val="106"/>
                <c:pt idx="0">
                  <c:v>0</c:v>
                </c:pt>
                <c:pt idx="1">
                  <c:v>1.2234910277324634E-2</c:v>
                </c:pt>
                <c:pt idx="2">
                  <c:v>2.5285481239804241E-2</c:v>
                </c:pt>
                <c:pt idx="3">
                  <c:v>3.7520391517128875E-2</c:v>
                </c:pt>
                <c:pt idx="4">
                  <c:v>7.5856443719412719E-2</c:v>
                </c:pt>
                <c:pt idx="5">
                  <c:v>0.11500815660685156</c:v>
                </c:pt>
                <c:pt idx="6">
                  <c:v>0.15497553017944535</c:v>
                </c:pt>
                <c:pt idx="7">
                  <c:v>0.199836867862969</c:v>
                </c:pt>
                <c:pt idx="8">
                  <c:v>0.23491027732463296</c:v>
                </c:pt>
                <c:pt idx="9">
                  <c:v>0.26998368678629692</c:v>
                </c:pt>
                <c:pt idx="10">
                  <c:v>0.30668841761827081</c:v>
                </c:pt>
                <c:pt idx="11">
                  <c:v>0.35399673735725939</c:v>
                </c:pt>
                <c:pt idx="12">
                  <c:v>0.39151712887438828</c:v>
                </c:pt>
                <c:pt idx="13">
                  <c:v>0.43148450244698205</c:v>
                </c:pt>
                <c:pt idx="14">
                  <c:v>0.47879282218597063</c:v>
                </c:pt>
                <c:pt idx="15">
                  <c:v>0.52039151712887444</c:v>
                </c:pt>
                <c:pt idx="16">
                  <c:v>0.55709624796084833</c:v>
                </c:pt>
                <c:pt idx="17">
                  <c:v>0.58482871125611746</c:v>
                </c:pt>
                <c:pt idx="18">
                  <c:v>0.61092985318107662</c:v>
                </c:pt>
                <c:pt idx="19">
                  <c:v>0.65008156606851553</c:v>
                </c:pt>
                <c:pt idx="20">
                  <c:v>0.68515497553017946</c:v>
                </c:pt>
                <c:pt idx="21">
                  <c:v>0.72349102773246332</c:v>
                </c:pt>
                <c:pt idx="22">
                  <c:v>0.75367047308319735</c:v>
                </c:pt>
                <c:pt idx="23">
                  <c:v>0.79526916802610115</c:v>
                </c:pt>
                <c:pt idx="24">
                  <c:v>0.83686786296900484</c:v>
                </c:pt>
                <c:pt idx="25">
                  <c:v>0.87601957585644374</c:v>
                </c:pt>
                <c:pt idx="26">
                  <c:v>0.90783034257748774</c:v>
                </c:pt>
                <c:pt idx="27">
                  <c:v>0.94453507340946163</c:v>
                </c:pt>
                <c:pt idx="28">
                  <c:v>0.98858075040783033</c:v>
                </c:pt>
                <c:pt idx="29">
                  <c:v>1.0375203915171289</c:v>
                </c:pt>
                <c:pt idx="30">
                  <c:v>1.0929853181076672</c:v>
                </c:pt>
                <c:pt idx="31">
                  <c:v>1.1541598694942903</c:v>
                </c:pt>
                <c:pt idx="32">
                  <c:v>1.2218597063621532</c:v>
                </c:pt>
                <c:pt idx="33">
                  <c:v>1.2879282218597063</c:v>
                </c:pt>
                <c:pt idx="34">
                  <c:v>1.3536704730831972</c:v>
                </c:pt>
                <c:pt idx="35">
                  <c:v>1.4343393148450245</c:v>
                </c:pt>
                <c:pt idx="36">
                  <c:v>1.5273246329526917</c:v>
                </c:pt>
                <c:pt idx="37">
                  <c:v>1.6306688417618269</c:v>
                </c:pt>
                <c:pt idx="38">
                  <c:v>1.7426590538336053</c:v>
                </c:pt>
                <c:pt idx="39">
                  <c:v>1.8602773246329525</c:v>
                </c:pt>
                <c:pt idx="40">
                  <c:v>1.980179445350734</c:v>
                </c:pt>
                <c:pt idx="41">
                  <c:v>2.0976345840130506</c:v>
                </c:pt>
                <c:pt idx="42">
                  <c:v>2.2101141924959218</c:v>
                </c:pt>
                <c:pt idx="43">
                  <c:v>2.3146003262642738</c:v>
                </c:pt>
                <c:pt idx="44">
                  <c:v>2.4145187601957585</c:v>
                </c:pt>
                <c:pt idx="45">
                  <c:v>2.5171288743882543</c:v>
                </c:pt>
                <c:pt idx="46">
                  <c:v>2.621778140293638</c:v>
                </c:pt>
                <c:pt idx="47">
                  <c:v>2.7284665579119087</c:v>
                </c:pt>
                <c:pt idx="48">
                  <c:v>2.8376835236541598</c:v>
                </c:pt>
                <c:pt idx="49">
                  <c:v>2.9486133768352367</c:v>
                </c:pt>
                <c:pt idx="50">
                  <c:v>3.0610929853181075</c:v>
                </c:pt>
                <c:pt idx="51">
                  <c:v>3.1746329526916806</c:v>
                </c:pt>
                <c:pt idx="52">
                  <c:v>3.288009787928222</c:v>
                </c:pt>
                <c:pt idx="53">
                  <c:v>3.4021207177814028</c:v>
                </c:pt>
                <c:pt idx="54">
                  <c:v>3.5174551386623163</c:v>
                </c:pt>
                <c:pt idx="55">
                  <c:v>3.6352365415986951</c:v>
                </c:pt>
                <c:pt idx="56">
                  <c:v>3.7566068515497557</c:v>
                </c:pt>
                <c:pt idx="57">
                  <c:v>3.8786296900489394</c:v>
                </c:pt>
                <c:pt idx="58">
                  <c:v>3.9989396411092986</c:v>
                </c:pt>
                <c:pt idx="59">
                  <c:v>4.1079934747145188</c:v>
                </c:pt>
                <c:pt idx="60">
                  <c:v>4.2214518760195761</c:v>
                </c:pt>
                <c:pt idx="61">
                  <c:v>4.3519575856443717</c:v>
                </c:pt>
                <c:pt idx="62">
                  <c:v>4.4876019575856443</c:v>
                </c:pt>
                <c:pt idx="63">
                  <c:v>4.628221859706362</c:v>
                </c:pt>
                <c:pt idx="64">
                  <c:v>4.7712887438825451</c:v>
                </c:pt>
                <c:pt idx="65">
                  <c:v>4.9055464926590533</c:v>
                </c:pt>
                <c:pt idx="66">
                  <c:v>5.0518760195758565</c:v>
                </c:pt>
                <c:pt idx="67">
                  <c:v>5.2240619902120713</c:v>
                </c:pt>
                <c:pt idx="68">
                  <c:v>5.402691680261011</c:v>
                </c:pt>
                <c:pt idx="69">
                  <c:v>5.5830342577487766</c:v>
                </c:pt>
                <c:pt idx="70">
                  <c:v>5.7671288743882547</c:v>
                </c:pt>
                <c:pt idx="71">
                  <c:v>5.9592985318107674</c:v>
                </c:pt>
                <c:pt idx="72">
                  <c:v>6.1578303425774878</c:v>
                </c:pt>
                <c:pt idx="73">
                  <c:v>6.3611745513866227</c:v>
                </c:pt>
                <c:pt idx="74">
                  <c:v>6.5632952691680266</c:v>
                </c:pt>
                <c:pt idx="75">
                  <c:v>6.766965742251223</c:v>
                </c:pt>
                <c:pt idx="76">
                  <c:v>6.976998368678629</c:v>
                </c:pt>
                <c:pt idx="77">
                  <c:v>7.1922512234910281</c:v>
                </c:pt>
                <c:pt idx="78">
                  <c:v>7.4119086460032628</c:v>
                </c:pt>
                <c:pt idx="79">
                  <c:v>7.6325448613376832</c:v>
                </c:pt>
                <c:pt idx="80">
                  <c:v>7.8562805872756929</c:v>
                </c:pt>
                <c:pt idx="81">
                  <c:v>8.085725938009789</c:v>
                </c:pt>
                <c:pt idx="82">
                  <c:v>8.3172920065252853</c:v>
                </c:pt>
                <c:pt idx="83">
                  <c:v>8.5412724306688421</c:v>
                </c:pt>
                <c:pt idx="84">
                  <c:v>8.7629690048939644</c:v>
                </c:pt>
                <c:pt idx="85">
                  <c:v>8.9893148450244702</c:v>
                </c:pt>
                <c:pt idx="86">
                  <c:v>9.2168026101141916</c:v>
                </c:pt>
                <c:pt idx="87">
                  <c:v>9.446492659053833</c:v>
                </c:pt>
                <c:pt idx="88">
                  <c:v>9.6750407830342589</c:v>
                </c:pt>
                <c:pt idx="89">
                  <c:v>9.9033442088091359</c:v>
                </c:pt>
                <c:pt idx="90">
                  <c:v>10.135399673735726</c:v>
                </c:pt>
                <c:pt idx="91">
                  <c:v>10.366394779771616</c:v>
                </c:pt>
                <c:pt idx="92">
                  <c:v>10.595106035889071</c:v>
                </c:pt>
                <c:pt idx="93">
                  <c:v>10.827161500815661</c:v>
                </c:pt>
                <c:pt idx="94">
                  <c:v>11.065334420880914</c:v>
                </c:pt>
                <c:pt idx="95">
                  <c:v>11.30799347471452</c:v>
                </c:pt>
                <c:pt idx="96">
                  <c:v>11.550815660685155</c:v>
                </c:pt>
                <c:pt idx="97">
                  <c:v>11.790946166394781</c:v>
                </c:pt>
                <c:pt idx="98">
                  <c:v>12.027487765089724</c:v>
                </c:pt>
                <c:pt idx="99">
                  <c:v>12.269820554649264</c:v>
                </c:pt>
                <c:pt idx="100">
                  <c:v>12.513376835236542</c:v>
                </c:pt>
                <c:pt idx="101">
                  <c:v>12.740375203915171</c:v>
                </c:pt>
                <c:pt idx="102">
                  <c:v>12.950897226753669</c:v>
                </c:pt>
                <c:pt idx="103">
                  <c:v>13.157667210440456</c:v>
                </c:pt>
                <c:pt idx="104">
                  <c:v>13.354567699836869</c:v>
                </c:pt>
                <c:pt idx="105">
                  <c:v>13.557830342577489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7DE-4083-8C5B-1136608130D6}"/>
            </c:ext>
          </c:extLst>
        </c:ser>
        <c:ser>
          <c:idx val="11"/>
          <c:order val="11"/>
          <c:tx>
            <c:strRef>
              <c:f>'вместе-отн'!$M$1</c:f>
              <c:strCache>
                <c:ptCount val="1"/>
                <c:pt idx="0">
                  <c:v>Гаити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'вместе-отн'!$A$2:$A$107</c:f>
              <c:numCache>
                <c:formatCode>0</c:formatCode>
                <c:ptCount val="106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  <c:pt idx="98">
                  <c:v>2015</c:v>
                </c:pt>
                <c:pt idx="99">
                  <c:v>2016</c:v>
                </c:pt>
                <c:pt idx="100">
                  <c:v>2017</c:v>
                </c:pt>
                <c:pt idx="101">
                  <c:v>2018</c:v>
                </c:pt>
                <c:pt idx="102">
                  <c:v>2019</c:v>
                </c:pt>
                <c:pt idx="103">
                  <c:v>2020</c:v>
                </c:pt>
                <c:pt idx="104">
                  <c:v>2021</c:v>
                </c:pt>
                <c:pt idx="105">
                  <c:v>2022</c:v>
                </c:pt>
              </c:numCache>
            </c:numRef>
          </c:xVal>
          <c:yVal>
            <c:numRef>
              <c:f>'вместе-отн'!$M$2:$M$107</c:f>
              <c:numCache>
                <c:formatCode>0.00</c:formatCode>
                <c:ptCount val="106"/>
                <c:pt idx="0">
                  <c:v>0</c:v>
                </c:pt>
                <c:pt idx="1">
                  <c:v>2.207727044656297E-2</c:v>
                </c:pt>
                <c:pt idx="2">
                  <c:v>4.3652784746613146E-2</c:v>
                </c:pt>
                <c:pt idx="3">
                  <c:v>6.573005519317611E-2</c:v>
                </c:pt>
                <c:pt idx="4">
                  <c:v>7.9277471149021575E-2</c:v>
                </c:pt>
                <c:pt idx="5">
                  <c:v>9.282488710486704E-2</c:v>
                </c:pt>
                <c:pt idx="6">
                  <c:v>0.10687405920722529</c:v>
                </c:pt>
                <c:pt idx="7">
                  <c:v>0.11991971901655796</c:v>
                </c:pt>
                <c:pt idx="8">
                  <c:v>0.13396889111891622</c:v>
                </c:pt>
                <c:pt idx="9">
                  <c:v>0.15002508780732565</c:v>
                </c:pt>
                <c:pt idx="10">
                  <c:v>0.16658304064224785</c:v>
                </c:pt>
                <c:pt idx="11">
                  <c:v>0.18263923733065729</c:v>
                </c:pt>
                <c:pt idx="12">
                  <c:v>0.19919719016557952</c:v>
                </c:pt>
                <c:pt idx="13">
                  <c:v>0.21525338685398895</c:v>
                </c:pt>
                <c:pt idx="14">
                  <c:v>0.23432012042147515</c:v>
                </c:pt>
                <c:pt idx="15">
                  <c:v>0.25338685398896138</c:v>
                </c:pt>
                <c:pt idx="16">
                  <c:v>0.27195183140993479</c:v>
                </c:pt>
                <c:pt idx="17">
                  <c:v>0.29101856497742096</c:v>
                </c:pt>
                <c:pt idx="18">
                  <c:v>0.31008529854490718</c:v>
                </c:pt>
                <c:pt idx="19">
                  <c:v>0.33166081284495735</c:v>
                </c:pt>
                <c:pt idx="20">
                  <c:v>0.35323632714500752</c:v>
                </c:pt>
                <c:pt idx="21">
                  <c:v>0.37531359759157051</c:v>
                </c:pt>
                <c:pt idx="22">
                  <c:v>0.39688911189162068</c:v>
                </c:pt>
                <c:pt idx="23">
                  <c:v>0.41846462619167085</c:v>
                </c:pt>
                <c:pt idx="24">
                  <c:v>0.44305067737079779</c:v>
                </c:pt>
                <c:pt idx="25">
                  <c:v>0.47315604616156548</c:v>
                </c:pt>
                <c:pt idx="26">
                  <c:v>0.49473156046161565</c:v>
                </c:pt>
                <c:pt idx="27">
                  <c:v>0.52132463622679381</c:v>
                </c:pt>
                <c:pt idx="28">
                  <c:v>0.54892122428499746</c:v>
                </c:pt>
                <c:pt idx="29">
                  <c:v>0.57701956848971403</c:v>
                </c:pt>
                <c:pt idx="30">
                  <c:v>0.60561966884094331</c:v>
                </c:pt>
                <c:pt idx="31">
                  <c:v>0.63472152533868542</c:v>
                </c:pt>
                <c:pt idx="32">
                  <c:v>0.66482689412945306</c:v>
                </c:pt>
                <c:pt idx="33">
                  <c:v>0.69593577521324634</c:v>
                </c:pt>
                <c:pt idx="34">
                  <c:v>0.7198193677872553</c:v>
                </c:pt>
                <c:pt idx="35">
                  <c:v>0.74189663823381835</c:v>
                </c:pt>
                <c:pt idx="36">
                  <c:v>0.76281986954340197</c:v>
                </c:pt>
                <c:pt idx="37">
                  <c:v>0.7831911690918214</c:v>
                </c:pt>
                <c:pt idx="38">
                  <c:v>0.80381334671349725</c:v>
                </c:pt>
                <c:pt idx="39">
                  <c:v>0.82568991470145503</c:v>
                </c:pt>
                <c:pt idx="40">
                  <c:v>0.84902157551430002</c:v>
                </c:pt>
                <c:pt idx="41">
                  <c:v>0.87461113898645249</c:v>
                </c:pt>
                <c:pt idx="42">
                  <c:v>0.90331159056698451</c:v>
                </c:pt>
                <c:pt idx="43">
                  <c:v>0.93597591570496741</c:v>
                </c:pt>
                <c:pt idx="44">
                  <c:v>0.97139989964877071</c:v>
                </c:pt>
                <c:pt idx="45">
                  <c:v>1.0078273958855997</c:v>
                </c:pt>
                <c:pt idx="46">
                  <c:v>1.0437029603612644</c:v>
                </c:pt>
                <c:pt idx="47">
                  <c:v>1.0803813346713496</c:v>
                </c:pt>
                <c:pt idx="48">
                  <c:v>1.1193176116407426</c:v>
                </c:pt>
                <c:pt idx="49">
                  <c:v>1.158855995985951</c:v>
                </c:pt>
                <c:pt idx="50">
                  <c:v>1.1991971901655796</c:v>
                </c:pt>
                <c:pt idx="51">
                  <c:v>1.2404917210235826</c:v>
                </c:pt>
                <c:pt idx="52">
                  <c:v>1.2826392373306574</c:v>
                </c:pt>
                <c:pt idx="53">
                  <c:v>1.3256899147014554</c:v>
                </c:pt>
                <c:pt idx="54">
                  <c:v>1.3698946312092322</c:v>
                </c:pt>
                <c:pt idx="55">
                  <c:v>1.4154039136979426</c:v>
                </c:pt>
                <c:pt idx="56">
                  <c:v>1.4619668840943301</c:v>
                </c:pt>
                <c:pt idx="57">
                  <c:v>1.5096838936276971</c:v>
                </c:pt>
                <c:pt idx="58">
                  <c:v>1.558504766683392</c:v>
                </c:pt>
                <c:pt idx="59">
                  <c:v>1.6083291520321121</c:v>
                </c:pt>
                <c:pt idx="60">
                  <c:v>1.6590566984445561</c:v>
                </c:pt>
                <c:pt idx="61">
                  <c:v>1.7107877571500252</c:v>
                </c:pt>
                <c:pt idx="62">
                  <c:v>1.7634721525338688</c:v>
                </c:pt>
                <c:pt idx="63">
                  <c:v>1.8171098845960862</c:v>
                </c:pt>
                <c:pt idx="64">
                  <c:v>1.8719016557952834</c:v>
                </c:pt>
                <c:pt idx="65">
                  <c:v>1.9281986954340189</c:v>
                </c:pt>
                <c:pt idx="66">
                  <c:v>1.9860010035122933</c:v>
                </c:pt>
                <c:pt idx="67">
                  <c:v>2.045258404415454</c:v>
                </c:pt>
                <c:pt idx="68">
                  <c:v>2.1063221274460608</c:v>
                </c:pt>
                <c:pt idx="69">
                  <c:v>2.1691419969894632</c:v>
                </c:pt>
                <c:pt idx="70">
                  <c:v>2.2338685398896136</c:v>
                </c:pt>
                <c:pt idx="71">
                  <c:v>2.3006021073758154</c:v>
                </c:pt>
                <c:pt idx="72">
                  <c:v>2.3691419969894629</c:v>
                </c:pt>
                <c:pt idx="73">
                  <c:v>2.4392373306573005</c:v>
                </c:pt>
                <c:pt idx="74">
                  <c:v>2.510035122930256</c:v>
                </c:pt>
                <c:pt idx="75">
                  <c:v>2.5808329152032115</c:v>
                </c:pt>
                <c:pt idx="76">
                  <c:v>2.6518815855494231</c:v>
                </c:pt>
                <c:pt idx="77">
                  <c:v>2.7229302558956348</c:v>
                </c:pt>
                <c:pt idx="78">
                  <c:v>2.7945308580030104</c:v>
                </c:pt>
                <c:pt idx="79">
                  <c:v>2.8673356748620171</c:v>
                </c:pt>
                <c:pt idx="80">
                  <c:v>2.940943301555444</c:v>
                </c:pt>
                <c:pt idx="81">
                  <c:v>3.0151028600100354</c:v>
                </c:pt>
                <c:pt idx="82">
                  <c:v>3.0899648770697441</c:v>
                </c:pt>
                <c:pt idx="83">
                  <c:v>3.1661816357250379</c:v>
                </c:pt>
                <c:pt idx="84">
                  <c:v>3.2427997992975413</c:v>
                </c:pt>
                <c:pt idx="85">
                  <c:v>3.3189162067235327</c:v>
                </c:pt>
                <c:pt idx="86">
                  <c:v>3.3953336678374306</c:v>
                </c:pt>
                <c:pt idx="87">
                  <c:v>3.4707977922729549</c:v>
                </c:pt>
                <c:pt idx="88">
                  <c:v>3.546562970396387</c:v>
                </c:pt>
                <c:pt idx="89">
                  <c:v>3.6244856999498247</c:v>
                </c:pt>
                <c:pt idx="90">
                  <c:v>3.703110888108379</c:v>
                </c:pt>
                <c:pt idx="91">
                  <c:v>3.7821374811841442</c:v>
                </c:pt>
                <c:pt idx="92">
                  <c:v>3.8618163572503765</c:v>
                </c:pt>
                <c:pt idx="93">
                  <c:v>3.9188660311088808</c:v>
                </c:pt>
                <c:pt idx="94">
                  <c:v>3.9748620170597087</c:v>
                </c:pt>
                <c:pt idx="95">
                  <c:v>4.0525840441545409</c:v>
                </c:pt>
                <c:pt idx="96">
                  <c:v>4.1291520321123931</c:v>
                </c:pt>
                <c:pt idx="97">
                  <c:v>4.2048168590065229</c:v>
                </c:pt>
                <c:pt idx="98">
                  <c:v>4.2800802809834426</c:v>
                </c:pt>
                <c:pt idx="99">
                  <c:v>4.3544907175112897</c:v>
                </c:pt>
                <c:pt idx="100">
                  <c:v>4.4278976417461111</c:v>
                </c:pt>
                <c:pt idx="101">
                  <c:v>4.5004515805318617</c:v>
                </c:pt>
                <c:pt idx="102">
                  <c:v>4.5721023582538889</c:v>
                </c:pt>
                <c:pt idx="103">
                  <c:v>4.6416457601605616</c:v>
                </c:pt>
                <c:pt idx="104">
                  <c:v>4.7072754641244359</c:v>
                </c:pt>
                <c:pt idx="105">
                  <c:v>4.7720020070245859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7DE-4083-8C5B-1136608130D6}"/>
            </c:ext>
          </c:extLst>
        </c:ser>
        <c:ser>
          <c:idx val="12"/>
          <c:order val="12"/>
          <c:tx>
            <c:strRef>
              <c:f>'вместе-отн'!$N$1</c:f>
              <c:strCache>
                <c:ptCount val="1"/>
                <c:pt idx="0">
                  <c:v>Гондурас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'вместе-отн'!$A$2:$A$107</c:f>
              <c:numCache>
                <c:formatCode>0</c:formatCode>
                <c:ptCount val="106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  <c:pt idx="98">
                  <c:v>2015</c:v>
                </c:pt>
                <c:pt idx="99">
                  <c:v>2016</c:v>
                </c:pt>
                <c:pt idx="100">
                  <c:v>2017</c:v>
                </c:pt>
                <c:pt idx="101">
                  <c:v>2018</c:v>
                </c:pt>
                <c:pt idx="102">
                  <c:v>2019</c:v>
                </c:pt>
                <c:pt idx="103">
                  <c:v>2020</c:v>
                </c:pt>
                <c:pt idx="104">
                  <c:v>2021</c:v>
                </c:pt>
                <c:pt idx="105">
                  <c:v>2022</c:v>
                </c:pt>
              </c:numCache>
            </c:numRef>
          </c:xVal>
          <c:yVal>
            <c:numRef>
              <c:f>'вместе-отн'!$N$2:$N$107</c:f>
              <c:numCache>
                <c:formatCode>0.00</c:formatCode>
                <c:ptCount val="106"/>
                <c:pt idx="0">
                  <c:v>0</c:v>
                </c:pt>
                <c:pt idx="1">
                  <c:v>4.2654028436018961E-2</c:v>
                </c:pt>
                <c:pt idx="2">
                  <c:v>8.6887835703001584E-2</c:v>
                </c:pt>
                <c:pt idx="3">
                  <c:v>0.12954186413902052</c:v>
                </c:pt>
                <c:pt idx="4">
                  <c:v>0.17219589257503951</c:v>
                </c:pt>
                <c:pt idx="5">
                  <c:v>0.21484992101105846</c:v>
                </c:pt>
                <c:pt idx="6">
                  <c:v>0.25750394944707738</c:v>
                </c:pt>
                <c:pt idx="7">
                  <c:v>0.30173775671406006</c:v>
                </c:pt>
                <c:pt idx="8">
                  <c:v>0.34439178515007901</c:v>
                </c:pt>
                <c:pt idx="9">
                  <c:v>0.38704581358609796</c:v>
                </c:pt>
                <c:pt idx="10">
                  <c:v>0.41074249605055291</c:v>
                </c:pt>
                <c:pt idx="11">
                  <c:v>0.4391785150078989</c:v>
                </c:pt>
                <c:pt idx="12">
                  <c:v>0.46603475513428122</c:v>
                </c:pt>
                <c:pt idx="13">
                  <c:v>0.49763033175355448</c:v>
                </c:pt>
                <c:pt idx="14">
                  <c:v>0.52922590837282779</c:v>
                </c:pt>
                <c:pt idx="15">
                  <c:v>0.56240126382306477</c:v>
                </c:pt>
                <c:pt idx="16">
                  <c:v>0.5908372827804107</c:v>
                </c:pt>
                <c:pt idx="17">
                  <c:v>0.61611374407582942</c:v>
                </c:pt>
                <c:pt idx="18">
                  <c:v>0.64612954186413907</c:v>
                </c:pt>
                <c:pt idx="19">
                  <c:v>0.67140600315955767</c:v>
                </c:pt>
                <c:pt idx="20">
                  <c:v>0.69984202211690361</c:v>
                </c:pt>
                <c:pt idx="21">
                  <c:v>0.7345971563981043</c:v>
                </c:pt>
                <c:pt idx="22">
                  <c:v>0.77251184834123221</c:v>
                </c:pt>
                <c:pt idx="23">
                  <c:v>0.81042654028436023</c:v>
                </c:pt>
                <c:pt idx="24">
                  <c:v>0.84992101105845186</c:v>
                </c:pt>
                <c:pt idx="25">
                  <c:v>0.88783570300157977</c:v>
                </c:pt>
                <c:pt idx="26">
                  <c:v>0.9162717219589257</c:v>
                </c:pt>
                <c:pt idx="27">
                  <c:v>0.95418641390205372</c:v>
                </c:pt>
                <c:pt idx="28">
                  <c:v>0.99210110584518163</c:v>
                </c:pt>
                <c:pt idx="29">
                  <c:v>1.033175355450237</c:v>
                </c:pt>
                <c:pt idx="30">
                  <c:v>1.0853080568720379</c:v>
                </c:pt>
                <c:pt idx="31">
                  <c:v>1.1374407582938388</c:v>
                </c:pt>
                <c:pt idx="32">
                  <c:v>1.1943127962085307</c:v>
                </c:pt>
                <c:pt idx="33">
                  <c:v>1.2559241706161137</c:v>
                </c:pt>
                <c:pt idx="34">
                  <c:v>1.3232227488151658</c:v>
                </c:pt>
                <c:pt idx="35">
                  <c:v>1.4034755134281203</c:v>
                </c:pt>
                <c:pt idx="36">
                  <c:v>1.4952606635071091</c:v>
                </c:pt>
                <c:pt idx="37">
                  <c:v>1.5966824644549764</c:v>
                </c:pt>
                <c:pt idx="38">
                  <c:v>1.7055292259083727</c:v>
                </c:pt>
                <c:pt idx="39">
                  <c:v>1.8194312796208532</c:v>
                </c:pt>
                <c:pt idx="40">
                  <c:v>1.9352290679304898</c:v>
                </c:pt>
                <c:pt idx="41">
                  <c:v>2.0497630331753554</c:v>
                </c:pt>
                <c:pt idx="42">
                  <c:v>2.1586097946287519</c:v>
                </c:pt>
                <c:pt idx="43">
                  <c:v>2.2576619273301737</c:v>
                </c:pt>
                <c:pt idx="44">
                  <c:v>2.351026856240126</c:v>
                </c:pt>
                <c:pt idx="45">
                  <c:v>2.4472353870458132</c:v>
                </c:pt>
                <c:pt idx="46">
                  <c:v>2.5464454976303319</c:v>
                </c:pt>
                <c:pt idx="47">
                  <c:v>2.64913112164297</c:v>
                </c:pt>
                <c:pt idx="48">
                  <c:v>2.7554502369668246</c:v>
                </c:pt>
                <c:pt idx="49">
                  <c:v>2.8654028436018959</c:v>
                </c:pt>
                <c:pt idx="50">
                  <c:v>2.9788309636650867</c:v>
                </c:pt>
                <c:pt idx="51">
                  <c:v>3.0965244865718797</c:v>
                </c:pt>
                <c:pt idx="52">
                  <c:v>3.218483412322275</c:v>
                </c:pt>
                <c:pt idx="53">
                  <c:v>3.3454976303317534</c:v>
                </c:pt>
                <c:pt idx="54">
                  <c:v>3.4780410742496048</c:v>
                </c:pt>
                <c:pt idx="55">
                  <c:v>3.6162717219589258</c:v>
                </c:pt>
                <c:pt idx="56">
                  <c:v>3.7575039494470772</c:v>
                </c:pt>
                <c:pt idx="57">
                  <c:v>3.8969984202211694</c:v>
                </c:pt>
                <c:pt idx="58">
                  <c:v>4.0445497630331753</c:v>
                </c:pt>
                <c:pt idx="59">
                  <c:v>4.2045813586097944</c:v>
                </c:pt>
                <c:pt idx="60">
                  <c:v>4.3691943127962078</c:v>
                </c:pt>
                <c:pt idx="61">
                  <c:v>4.5379146919431284</c:v>
                </c:pt>
                <c:pt idx="62">
                  <c:v>4.7109004739336493</c:v>
                </c:pt>
                <c:pt idx="63">
                  <c:v>4.8881516587677725</c:v>
                </c:pt>
                <c:pt idx="64">
                  <c:v>5.0691943127962089</c:v>
                </c:pt>
                <c:pt idx="65">
                  <c:v>5.2538704581358608</c:v>
                </c:pt>
                <c:pt idx="66">
                  <c:v>5.442654028436019</c:v>
                </c:pt>
                <c:pt idx="67">
                  <c:v>5.6349131121642966</c:v>
                </c:pt>
                <c:pt idx="68">
                  <c:v>5.8298578199052136</c:v>
                </c:pt>
                <c:pt idx="69">
                  <c:v>6.0282780410742491</c:v>
                </c:pt>
                <c:pt idx="70">
                  <c:v>6.230489731437598</c:v>
                </c:pt>
                <c:pt idx="71">
                  <c:v>6.437124802527646</c:v>
                </c:pt>
                <c:pt idx="72">
                  <c:v>6.648973143759874</c:v>
                </c:pt>
                <c:pt idx="73">
                  <c:v>6.868088467614534</c:v>
                </c:pt>
                <c:pt idx="74">
                  <c:v>7.0944707740916275</c:v>
                </c:pt>
                <c:pt idx="75">
                  <c:v>7.327646129541864</c:v>
                </c:pt>
                <c:pt idx="76">
                  <c:v>7.5674565560821483</c:v>
                </c:pt>
                <c:pt idx="77">
                  <c:v>7.8139020537124804</c:v>
                </c:pt>
                <c:pt idx="78">
                  <c:v>8.0672985781990523</c:v>
                </c:pt>
                <c:pt idx="79">
                  <c:v>8.3270142180094791</c:v>
                </c:pt>
                <c:pt idx="80">
                  <c:v>8.5916271721958921</c:v>
                </c:pt>
                <c:pt idx="81">
                  <c:v>8.8489731437598724</c:v>
                </c:pt>
                <c:pt idx="82">
                  <c:v>9.1113744075829377</c:v>
                </c:pt>
                <c:pt idx="83">
                  <c:v>9.3914691943127959</c:v>
                </c:pt>
                <c:pt idx="84">
                  <c:v>9.6761453396524484</c:v>
                </c:pt>
                <c:pt idx="85">
                  <c:v>9.9619273301737756</c:v>
                </c:pt>
                <c:pt idx="86">
                  <c:v>10.246761453396525</c:v>
                </c:pt>
                <c:pt idx="87">
                  <c:v>10.530805687203792</c:v>
                </c:pt>
                <c:pt idx="88">
                  <c:v>10.814218009478672</c:v>
                </c:pt>
                <c:pt idx="89">
                  <c:v>11.096050552922591</c:v>
                </c:pt>
                <c:pt idx="90">
                  <c:v>11.377251184834124</c:v>
                </c:pt>
                <c:pt idx="91">
                  <c:v>11.658135860979463</c:v>
                </c:pt>
                <c:pt idx="92">
                  <c:v>11.93823064770932</c:v>
                </c:pt>
                <c:pt idx="93">
                  <c:v>12.216271721958925</c:v>
                </c:pt>
                <c:pt idx="94">
                  <c:v>12.492259083728278</c:v>
                </c:pt>
                <c:pt idx="95">
                  <c:v>12.767930489731437</c:v>
                </c:pt>
                <c:pt idx="96">
                  <c:v>13.043127962085308</c:v>
                </c:pt>
                <c:pt idx="97">
                  <c:v>13.317693522906794</c:v>
                </c:pt>
                <c:pt idx="98">
                  <c:v>13.592890995260662</c:v>
                </c:pt>
                <c:pt idx="99">
                  <c:v>13.869510268562401</c:v>
                </c:pt>
                <c:pt idx="100">
                  <c:v>14.147077409162717</c:v>
                </c:pt>
                <c:pt idx="101">
                  <c:v>14.426856240126384</c:v>
                </c:pt>
                <c:pt idx="102">
                  <c:v>14.708688783570301</c:v>
                </c:pt>
                <c:pt idx="103">
                  <c:v>14.986729857819906</c:v>
                </c:pt>
                <c:pt idx="104">
                  <c:v>15.255766192733017</c:v>
                </c:pt>
                <c:pt idx="105">
                  <c:v>15.530647709320695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7DE-4083-8C5B-1136608130D6}"/>
            </c:ext>
          </c:extLst>
        </c:ser>
        <c:ser>
          <c:idx val="13"/>
          <c:order val="13"/>
          <c:tx>
            <c:strRef>
              <c:f>'вместе-отн'!$O$1</c:f>
              <c:strCache>
                <c:ptCount val="1"/>
                <c:pt idx="0">
                  <c:v>Мексика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'вместе-отн'!$A$2:$A$107</c:f>
              <c:numCache>
                <c:formatCode>0</c:formatCode>
                <c:ptCount val="106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  <c:pt idx="98">
                  <c:v>2015</c:v>
                </c:pt>
                <c:pt idx="99">
                  <c:v>2016</c:v>
                </c:pt>
                <c:pt idx="100">
                  <c:v>2017</c:v>
                </c:pt>
                <c:pt idx="101">
                  <c:v>2018</c:v>
                </c:pt>
                <c:pt idx="102">
                  <c:v>2019</c:v>
                </c:pt>
                <c:pt idx="103">
                  <c:v>2020</c:v>
                </c:pt>
                <c:pt idx="104">
                  <c:v>2021</c:v>
                </c:pt>
                <c:pt idx="105">
                  <c:v>2022</c:v>
                </c:pt>
              </c:numCache>
            </c:numRef>
          </c:xVal>
          <c:yVal>
            <c:numRef>
              <c:f>'вместе-отн'!$O$2:$O$107</c:f>
              <c:numCache>
                <c:formatCode>0.00</c:formatCode>
                <c:ptCount val="106"/>
                <c:pt idx="0">
                  <c:v>0</c:v>
                </c:pt>
                <c:pt idx="1">
                  <c:v>7.3391854943157288E-3</c:v>
                </c:pt>
                <c:pt idx="2">
                  <c:v>1.8132105338897683E-2</c:v>
                </c:pt>
                <c:pt idx="3">
                  <c:v>1.8132105338897683E-2</c:v>
                </c:pt>
                <c:pt idx="4">
                  <c:v>3.1443373147215424E-2</c:v>
                </c:pt>
                <c:pt idx="5">
                  <c:v>3.9286228234278311E-2</c:v>
                </c:pt>
                <c:pt idx="6">
                  <c:v>5.7202475176284358E-2</c:v>
                </c:pt>
                <c:pt idx="7">
                  <c:v>7.5334580515182034E-2</c:v>
                </c:pt>
                <c:pt idx="8">
                  <c:v>9.3970355446826886E-2</c:v>
                </c:pt>
                <c:pt idx="9">
                  <c:v>0.11296589437329112</c:v>
                </c:pt>
                <c:pt idx="10">
                  <c:v>0.13239315009353864</c:v>
                </c:pt>
                <c:pt idx="11">
                  <c:v>0.15210821700964167</c:v>
                </c:pt>
                <c:pt idx="12">
                  <c:v>0.21787307526262772</c:v>
                </c:pt>
                <c:pt idx="13">
                  <c:v>0.19103468124910059</c:v>
                </c:pt>
                <c:pt idx="14">
                  <c:v>0.21427543531443374</c:v>
                </c:pt>
                <c:pt idx="15">
                  <c:v>0.23542955820981437</c:v>
                </c:pt>
                <c:pt idx="16">
                  <c:v>0.25701539789897826</c:v>
                </c:pt>
                <c:pt idx="17">
                  <c:v>0.27910490718088932</c:v>
                </c:pt>
                <c:pt idx="18">
                  <c:v>0.30155418045761978</c:v>
                </c:pt>
                <c:pt idx="19">
                  <c:v>0.32465102892502518</c:v>
                </c:pt>
                <c:pt idx="20">
                  <c:v>0.3501223197582386</c:v>
                </c:pt>
                <c:pt idx="21">
                  <c:v>0.37221182904014966</c:v>
                </c:pt>
                <c:pt idx="22">
                  <c:v>0.3968196862857965</c:v>
                </c:pt>
                <c:pt idx="23">
                  <c:v>0.41416031083609151</c:v>
                </c:pt>
                <c:pt idx="24">
                  <c:v>0.45402216146208085</c:v>
                </c:pt>
                <c:pt idx="25">
                  <c:v>0.48632896819686283</c:v>
                </c:pt>
                <c:pt idx="26">
                  <c:v>0.5228809900705137</c:v>
                </c:pt>
                <c:pt idx="27">
                  <c:v>0.5595049647431285</c:v>
                </c:pt>
                <c:pt idx="28">
                  <c:v>0.59972657936393725</c:v>
                </c:pt>
                <c:pt idx="29">
                  <c:v>0.63901280759821555</c:v>
                </c:pt>
                <c:pt idx="30">
                  <c:v>0.68657360771334008</c:v>
                </c:pt>
                <c:pt idx="31">
                  <c:v>0.73614908619945318</c:v>
                </c:pt>
                <c:pt idx="32">
                  <c:v>0.78622823427831345</c:v>
                </c:pt>
                <c:pt idx="33">
                  <c:v>0.85573463807742123</c:v>
                </c:pt>
                <c:pt idx="34">
                  <c:v>0.90860555475607996</c:v>
                </c:pt>
                <c:pt idx="35">
                  <c:v>0.97054252410418751</c:v>
                </c:pt>
                <c:pt idx="36">
                  <c:v>1.0406821125341776</c:v>
                </c:pt>
                <c:pt idx="37">
                  <c:v>1.1182688156569291</c:v>
                </c:pt>
                <c:pt idx="38">
                  <c:v>1.2019355302921284</c:v>
                </c:pt>
                <c:pt idx="39">
                  <c:v>1.289854655346093</c:v>
                </c:pt>
                <c:pt idx="40">
                  <c:v>1.3800546841272125</c:v>
                </c:pt>
                <c:pt idx="41">
                  <c:v>1.470405813786156</c:v>
                </c:pt>
                <c:pt idx="42">
                  <c:v>1.5586487264354583</c:v>
                </c:pt>
                <c:pt idx="43">
                  <c:v>1.642437760828896</c:v>
                </c:pt>
                <c:pt idx="44">
                  <c:v>1.7262987480212979</c:v>
                </c:pt>
                <c:pt idx="45">
                  <c:v>1.8154554612174412</c:v>
                </c:pt>
                <c:pt idx="46">
                  <c:v>1.9086271405957691</c:v>
                </c:pt>
                <c:pt idx="47">
                  <c:v>2.0056123183191827</c:v>
                </c:pt>
                <c:pt idx="48">
                  <c:v>2.1065261188660238</c:v>
                </c:pt>
                <c:pt idx="49">
                  <c:v>2.2111886602388831</c:v>
                </c:pt>
                <c:pt idx="50">
                  <c:v>2.3191538350841845</c:v>
                </c:pt>
                <c:pt idx="51">
                  <c:v>2.4298676068499065</c:v>
                </c:pt>
                <c:pt idx="52">
                  <c:v>2.5424665419484818</c:v>
                </c:pt>
                <c:pt idx="53">
                  <c:v>2.6562814793495466</c:v>
                </c:pt>
                <c:pt idx="54">
                  <c:v>2.7712332709742409</c:v>
                </c:pt>
                <c:pt idx="55">
                  <c:v>2.8876241185782123</c:v>
                </c:pt>
                <c:pt idx="56">
                  <c:v>3.0054180457619806</c:v>
                </c:pt>
                <c:pt idx="57">
                  <c:v>3.1243416318894806</c:v>
                </c:pt>
                <c:pt idx="58">
                  <c:v>3.2439487696071376</c:v>
                </c:pt>
                <c:pt idx="59">
                  <c:v>3.3636134695639659</c:v>
                </c:pt>
                <c:pt idx="60">
                  <c:v>3.4832709742408978</c:v>
                </c:pt>
                <c:pt idx="61">
                  <c:v>3.6034681249100591</c:v>
                </c:pt>
                <c:pt idx="62">
                  <c:v>3.7236221038998414</c:v>
                </c:pt>
                <c:pt idx="63">
                  <c:v>3.842444956108793</c:v>
                </c:pt>
                <c:pt idx="64">
                  <c:v>3.9569794214994967</c:v>
                </c:pt>
                <c:pt idx="65">
                  <c:v>4.0678730752626278</c:v>
                </c:pt>
                <c:pt idx="66">
                  <c:v>4.1785292847891782</c:v>
                </c:pt>
                <c:pt idx="67">
                  <c:v>4.2890200028781118</c:v>
                </c:pt>
                <c:pt idx="68">
                  <c:v>4.3995826737660089</c:v>
                </c:pt>
                <c:pt idx="69">
                  <c:v>4.5105482803281056</c:v>
                </c:pt>
                <c:pt idx="70">
                  <c:v>4.6221542668009787</c:v>
                </c:pt>
                <c:pt idx="71">
                  <c:v>4.7343142898258739</c:v>
                </c:pt>
                <c:pt idx="72">
                  <c:v>4.8459634479781259</c:v>
                </c:pt>
                <c:pt idx="73">
                  <c:v>4.959145200748309</c:v>
                </c:pt>
                <c:pt idx="74">
                  <c:v>5.0750179881997415</c:v>
                </c:pt>
                <c:pt idx="75">
                  <c:v>5.1911641962872359</c:v>
                </c:pt>
                <c:pt idx="76">
                  <c:v>5.3069362498201178</c:v>
                </c:pt>
                <c:pt idx="77">
                  <c:v>5.4224492732767304</c:v>
                </c:pt>
                <c:pt idx="78">
                  <c:v>5.537811195855519</c:v>
                </c:pt>
                <c:pt idx="79">
                  <c:v>5.6522305367678802</c:v>
                </c:pt>
                <c:pt idx="80">
                  <c:v>5.7650885019427252</c:v>
                </c:pt>
                <c:pt idx="81">
                  <c:v>5.876903151532594</c:v>
                </c:pt>
                <c:pt idx="82">
                  <c:v>5.9877464383364511</c:v>
                </c:pt>
                <c:pt idx="83">
                  <c:v>6.0963879694920138</c:v>
                </c:pt>
                <c:pt idx="84">
                  <c:v>6.2024104187652904</c:v>
                </c:pt>
                <c:pt idx="85">
                  <c:v>6.3067060008634339</c:v>
                </c:pt>
                <c:pt idx="86">
                  <c:v>6.4095913081018852</c:v>
                </c:pt>
                <c:pt idx="87">
                  <c:v>6.5114476903151539</c:v>
                </c:pt>
                <c:pt idx="88">
                  <c:v>6.613433587566556</c:v>
                </c:pt>
                <c:pt idx="89">
                  <c:v>6.7172039142322637</c:v>
                </c:pt>
                <c:pt idx="90">
                  <c:v>6.826622535616635</c:v>
                </c:pt>
                <c:pt idx="91">
                  <c:v>6.941739818678947</c:v>
                </c:pt>
                <c:pt idx="92">
                  <c:v>7.0586918981148363</c:v>
                </c:pt>
                <c:pt idx="93">
                  <c:v>7.1755576341919696</c:v>
                </c:pt>
                <c:pt idx="94">
                  <c:v>7.2920923873938692</c:v>
                </c:pt>
                <c:pt idx="95">
                  <c:v>7.405396459922291</c:v>
                </c:pt>
                <c:pt idx="96">
                  <c:v>7.5151532594617931</c:v>
                </c:pt>
                <c:pt idx="97">
                  <c:v>7.6188156569290548</c:v>
                </c:pt>
                <c:pt idx="98">
                  <c:v>7.7114908619945322</c:v>
                </c:pt>
                <c:pt idx="99">
                  <c:v>7.7963304072528414</c:v>
                </c:pt>
                <c:pt idx="100">
                  <c:v>7.8789825874226516</c:v>
                </c:pt>
                <c:pt idx="101">
                  <c:v>7.9634263922866602</c:v>
                </c:pt>
                <c:pt idx="102">
                  <c:v>8.0489998560944027</c:v>
                </c:pt>
                <c:pt idx="103">
                  <c:v>8.1235501511008774</c:v>
                </c:pt>
                <c:pt idx="104">
                  <c:v>8.1846380774212122</c:v>
                </c:pt>
                <c:pt idx="105">
                  <c:v>8.2540725284213554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7DE-4083-8C5B-1136608130D6}"/>
            </c:ext>
          </c:extLst>
        </c:ser>
        <c:ser>
          <c:idx val="14"/>
          <c:order val="14"/>
          <c:tx>
            <c:strRef>
              <c:f>'вместе-отн'!$P$1</c:f>
              <c:strCache>
                <c:ptCount val="1"/>
                <c:pt idx="0">
                  <c:v>Никарагуа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'вместе-отн'!$A$2:$A$107</c:f>
              <c:numCache>
                <c:formatCode>0</c:formatCode>
                <c:ptCount val="106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  <c:pt idx="98">
                  <c:v>2015</c:v>
                </c:pt>
                <c:pt idx="99">
                  <c:v>2016</c:v>
                </c:pt>
                <c:pt idx="100">
                  <c:v>2017</c:v>
                </c:pt>
                <c:pt idx="101">
                  <c:v>2018</c:v>
                </c:pt>
                <c:pt idx="102">
                  <c:v>2019</c:v>
                </c:pt>
                <c:pt idx="103">
                  <c:v>2020</c:v>
                </c:pt>
                <c:pt idx="104">
                  <c:v>2021</c:v>
                </c:pt>
                <c:pt idx="105">
                  <c:v>2022</c:v>
                </c:pt>
              </c:numCache>
            </c:numRef>
          </c:xVal>
          <c:yVal>
            <c:numRef>
              <c:f>'вместе-отн'!$P$2:$P$107</c:f>
              <c:numCache>
                <c:formatCode>0.00</c:formatCode>
                <c:ptCount val="106"/>
                <c:pt idx="0">
                  <c:v>0</c:v>
                </c:pt>
                <c:pt idx="1">
                  <c:v>1.4754098360655738E-2</c:v>
                </c:pt>
                <c:pt idx="2">
                  <c:v>3.1147540983606559E-2</c:v>
                </c:pt>
                <c:pt idx="3">
                  <c:v>4.5901639344262293E-2</c:v>
                </c:pt>
                <c:pt idx="4">
                  <c:v>5.4098360655737705E-2</c:v>
                </c:pt>
                <c:pt idx="5">
                  <c:v>6.0655737704918035E-2</c:v>
                </c:pt>
                <c:pt idx="6">
                  <c:v>6.8852459016393447E-2</c:v>
                </c:pt>
                <c:pt idx="7">
                  <c:v>7.5409836065573776E-2</c:v>
                </c:pt>
                <c:pt idx="8">
                  <c:v>8.1967213114754092E-2</c:v>
                </c:pt>
                <c:pt idx="9">
                  <c:v>9.0163934426229511E-2</c:v>
                </c:pt>
                <c:pt idx="10">
                  <c:v>9.8360655737704916E-2</c:v>
                </c:pt>
                <c:pt idx="11">
                  <c:v>0.10491803278688525</c:v>
                </c:pt>
                <c:pt idx="12">
                  <c:v>0.11311475409836065</c:v>
                </c:pt>
                <c:pt idx="13">
                  <c:v>0.11967213114754098</c:v>
                </c:pt>
                <c:pt idx="14">
                  <c:v>0.12622950819672132</c:v>
                </c:pt>
                <c:pt idx="15">
                  <c:v>0.13442622950819672</c:v>
                </c:pt>
                <c:pt idx="16">
                  <c:v>0.14262295081967213</c:v>
                </c:pt>
                <c:pt idx="17">
                  <c:v>0.16557377049180327</c:v>
                </c:pt>
                <c:pt idx="18">
                  <c:v>0.19344262295081968</c:v>
                </c:pt>
                <c:pt idx="19">
                  <c:v>0.22295081967213115</c:v>
                </c:pt>
                <c:pt idx="20">
                  <c:v>0.25409836065573771</c:v>
                </c:pt>
                <c:pt idx="21">
                  <c:v>0.28688524590163933</c:v>
                </c:pt>
                <c:pt idx="22">
                  <c:v>0.32131147540983607</c:v>
                </c:pt>
                <c:pt idx="23">
                  <c:v>0.35245901639344263</c:v>
                </c:pt>
                <c:pt idx="24">
                  <c:v>0.38360655737704918</c:v>
                </c:pt>
                <c:pt idx="25">
                  <c:v>0.41475409836065574</c:v>
                </c:pt>
                <c:pt idx="26">
                  <c:v>0.44262295081967212</c:v>
                </c:pt>
                <c:pt idx="27">
                  <c:v>0.47540983606557374</c:v>
                </c:pt>
                <c:pt idx="28">
                  <c:v>0.5131147540983606</c:v>
                </c:pt>
                <c:pt idx="29">
                  <c:v>0.55573770491803276</c:v>
                </c:pt>
                <c:pt idx="30">
                  <c:v>0.60163934426229504</c:v>
                </c:pt>
                <c:pt idx="31">
                  <c:v>0.64098360655737707</c:v>
                </c:pt>
                <c:pt idx="32">
                  <c:v>0.68524590163934429</c:v>
                </c:pt>
                <c:pt idx="33">
                  <c:v>0.73770491803278693</c:v>
                </c:pt>
                <c:pt idx="34">
                  <c:v>0.7990163934426231</c:v>
                </c:pt>
                <c:pt idx="35">
                  <c:v>0.88311475409836071</c:v>
                </c:pt>
                <c:pt idx="36">
                  <c:v>0.98786885245901623</c:v>
                </c:pt>
                <c:pt idx="37">
                  <c:v>1.1103278688524589</c:v>
                </c:pt>
                <c:pt idx="38">
                  <c:v>1.2470491803278689</c:v>
                </c:pt>
                <c:pt idx="39">
                  <c:v>1.3934426229508197</c:v>
                </c:pt>
                <c:pt idx="40">
                  <c:v>1.5429508196721313</c:v>
                </c:pt>
                <c:pt idx="41">
                  <c:v>1.6875409836065576</c:v>
                </c:pt>
                <c:pt idx="42">
                  <c:v>1.8177049180327869</c:v>
                </c:pt>
                <c:pt idx="43">
                  <c:v>1.9219672131147543</c:v>
                </c:pt>
                <c:pt idx="44">
                  <c:v>2.0106557377049179</c:v>
                </c:pt>
                <c:pt idx="45">
                  <c:v>2.1021311475409834</c:v>
                </c:pt>
                <c:pt idx="46">
                  <c:v>2.1970491803278689</c:v>
                </c:pt>
                <c:pt idx="47">
                  <c:v>2.2954098360655739</c:v>
                </c:pt>
                <c:pt idx="48">
                  <c:v>2.3978688524590162</c:v>
                </c:pt>
                <c:pt idx="49">
                  <c:v>2.5045901639344264</c:v>
                </c:pt>
                <c:pt idx="50">
                  <c:v>2.6157377049180326</c:v>
                </c:pt>
                <c:pt idx="51">
                  <c:v>2.730819672131148</c:v>
                </c:pt>
                <c:pt idx="52">
                  <c:v>2.8498360655737707</c:v>
                </c:pt>
                <c:pt idx="53">
                  <c:v>2.9722950819672129</c:v>
                </c:pt>
                <c:pt idx="54">
                  <c:v>3.0980327868852462</c:v>
                </c:pt>
                <c:pt idx="55">
                  <c:v>3.2190163934426228</c:v>
                </c:pt>
                <c:pt idx="56">
                  <c:v>3.343114754098361</c:v>
                </c:pt>
                <c:pt idx="57">
                  <c:v>3.4788524590163932</c:v>
                </c:pt>
                <c:pt idx="58">
                  <c:v>3.6178688524590163</c:v>
                </c:pt>
                <c:pt idx="59">
                  <c:v>3.7604918032786885</c:v>
                </c:pt>
                <c:pt idx="60">
                  <c:v>3.9057377049180326</c:v>
                </c:pt>
                <c:pt idx="61">
                  <c:v>4.049672131147541</c:v>
                </c:pt>
                <c:pt idx="62">
                  <c:v>4.1877049180327868</c:v>
                </c:pt>
                <c:pt idx="63">
                  <c:v>4.3318032786885245</c:v>
                </c:pt>
                <c:pt idx="64">
                  <c:v>4.4847540983606553</c:v>
                </c:pt>
                <c:pt idx="65">
                  <c:v>4.6372131147540978</c:v>
                </c:pt>
                <c:pt idx="66">
                  <c:v>4.7873770491803285</c:v>
                </c:pt>
                <c:pt idx="67">
                  <c:v>4.932950819672131</c:v>
                </c:pt>
                <c:pt idx="68">
                  <c:v>5.0762295081967217</c:v>
                </c:pt>
                <c:pt idx="69">
                  <c:v>5.22</c:v>
                </c:pt>
                <c:pt idx="70">
                  <c:v>5.3642622950819669</c:v>
                </c:pt>
                <c:pt idx="71">
                  <c:v>5.5119672131147546</c:v>
                </c:pt>
                <c:pt idx="72">
                  <c:v>5.666393442622951</c:v>
                </c:pt>
                <c:pt idx="73">
                  <c:v>5.823934426229509</c:v>
                </c:pt>
                <c:pt idx="74">
                  <c:v>5.9829508196721317</c:v>
                </c:pt>
                <c:pt idx="75">
                  <c:v>6.1426229508196721</c:v>
                </c:pt>
                <c:pt idx="76">
                  <c:v>6.3011475409836066</c:v>
                </c:pt>
                <c:pt idx="77">
                  <c:v>6.4578688524590167</c:v>
                </c:pt>
                <c:pt idx="78">
                  <c:v>6.6113114754098357</c:v>
                </c:pt>
                <c:pt idx="79">
                  <c:v>6.7540983606557381</c:v>
                </c:pt>
                <c:pt idx="80">
                  <c:v>6.8845901639344271</c:v>
                </c:pt>
                <c:pt idx="81">
                  <c:v>7.0060655737704911</c:v>
                </c:pt>
                <c:pt idx="82">
                  <c:v>7.1213114754098363</c:v>
                </c:pt>
                <c:pt idx="83">
                  <c:v>7.2337704918032797</c:v>
                </c:pt>
                <c:pt idx="84">
                  <c:v>7.3406557377049184</c:v>
                </c:pt>
                <c:pt idx="85">
                  <c:v>7.4424590163934417</c:v>
                </c:pt>
                <c:pt idx="86">
                  <c:v>7.5426229508196725</c:v>
                </c:pt>
                <c:pt idx="87">
                  <c:v>7.6440983606557369</c:v>
                </c:pt>
                <c:pt idx="88">
                  <c:v>7.7575409836065576</c:v>
                </c:pt>
                <c:pt idx="89">
                  <c:v>7.8834426229508194</c:v>
                </c:pt>
                <c:pt idx="90">
                  <c:v>8.0118032786885252</c:v>
                </c:pt>
                <c:pt idx="91">
                  <c:v>8.1419672131147554</c:v>
                </c:pt>
                <c:pt idx="92">
                  <c:v>8.2731147540983621</c:v>
                </c:pt>
                <c:pt idx="93">
                  <c:v>8.4057377049180335</c:v>
                </c:pt>
                <c:pt idx="94">
                  <c:v>8.5395081967213127</c:v>
                </c:pt>
                <c:pt idx="95">
                  <c:v>8.6742622950819683</c:v>
                </c:pt>
                <c:pt idx="96">
                  <c:v>8.8095081967213122</c:v>
                </c:pt>
                <c:pt idx="97">
                  <c:v>8.945081967213115</c:v>
                </c:pt>
                <c:pt idx="98">
                  <c:v>9.0809836065573766</c:v>
                </c:pt>
                <c:pt idx="99">
                  <c:v>9.2175409836065576</c:v>
                </c:pt>
                <c:pt idx="100">
                  <c:v>9.3544262295081957</c:v>
                </c:pt>
                <c:pt idx="101">
                  <c:v>9.491967213114755</c:v>
                </c:pt>
                <c:pt idx="102">
                  <c:v>9.6290163934426225</c:v>
                </c:pt>
                <c:pt idx="103">
                  <c:v>9.7627868852459017</c:v>
                </c:pt>
                <c:pt idx="104">
                  <c:v>9.8929508196721301</c:v>
                </c:pt>
                <c:pt idx="105">
                  <c:v>10.033934426229507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07DE-4083-8C5B-1136608130D6}"/>
            </c:ext>
          </c:extLst>
        </c:ser>
        <c:ser>
          <c:idx val="15"/>
          <c:order val="15"/>
          <c:tx>
            <c:strRef>
              <c:f>'вместе-отн'!$Q$1</c:f>
              <c:strCache>
                <c:ptCount val="1"/>
                <c:pt idx="0">
                  <c:v>Панама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'вместе-отн'!$A$2:$A$107</c:f>
              <c:numCache>
                <c:formatCode>0</c:formatCode>
                <c:ptCount val="106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  <c:pt idx="98">
                  <c:v>2015</c:v>
                </c:pt>
                <c:pt idx="99">
                  <c:v>2016</c:v>
                </c:pt>
                <c:pt idx="100">
                  <c:v>2017</c:v>
                </c:pt>
                <c:pt idx="101">
                  <c:v>2018</c:v>
                </c:pt>
                <c:pt idx="102">
                  <c:v>2019</c:v>
                </c:pt>
                <c:pt idx="103">
                  <c:v>2020</c:v>
                </c:pt>
                <c:pt idx="104">
                  <c:v>2021</c:v>
                </c:pt>
                <c:pt idx="105">
                  <c:v>2022</c:v>
                </c:pt>
              </c:numCache>
            </c:numRef>
          </c:xVal>
          <c:yVal>
            <c:numRef>
              <c:f>'вместе-отн'!$Q$2:$Q$107</c:f>
              <c:numCache>
                <c:formatCode>0.00</c:formatCode>
                <c:ptCount val="106"/>
                <c:pt idx="0">
                  <c:v>0</c:v>
                </c:pt>
                <c:pt idx="1">
                  <c:v>3.1476997578692496E-2</c:v>
                </c:pt>
                <c:pt idx="2">
                  <c:v>5.8111380145278453E-2</c:v>
                </c:pt>
                <c:pt idx="3">
                  <c:v>8.2324455205811137E-2</c:v>
                </c:pt>
                <c:pt idx="4">
                  <c:v>8.7167070217917669E-2</c:v>
                </c:pt>
                <c:pt idx="5">
                  <c:v>9.2009685230024216E-2</c:v>
                </c:pt>
                <c:pt idx="6">
                  <c:v>9.6852300242130748E-2</c:v>
                </c:pt>
                <c:pt idx="7">
                  <c:v>0.10169491525423729</c:v>
                </c:pt>
                <c:pt idx="8">
                  <c:v>0.10653753026634383</c:v>
                </c:pt>
                <c:pt idx="9">
                  <c:v>0.11138014527845036</c:v>
                </c:pt>
                <c:pt idx="10">
                  <c:v>0.11864406779661017</c:v>
                </c:pt>
                <c:pt idx="11">
                  <c:v>0.12348668280871671</c:v>
                </c:pt>
                <c:pt idx="12">
                  <c:v>0.12832929782082325</c:v>
                </c:pt>
                <c:pt idx="13">
                  <c:v>0.14043583535108958</c:v>
                </c:pt>
                <c:pt idx="14">
                  <c:v>0.17675544794188863</c:v>
                </c:pt>
                <c:pt idx="15">
                  <c:v>0.21307506053268765</c:v>
                </c:pt>
                <c:pt idx="16">
                  <c:v>0.24939467312348668</c:v>
                </c:pt>
                <c:pt idx="17">
                  <c:v>0.2857142857142857</c:v>
                </c:pt>
                <c:pt idx="18">
                  <c:v>0.32203389830508472</c:v>
                </c:pt>
                <c:pt idx="19">
                  <c:v>0.3583535108958838</c:v>
                </c:pt>
                <c:pt idx="20">
                  <c:v>0.39225181598062953</c:v>
                </c:pt>
                <c:pt idx="21">
                  <c:v>0.42857142857142855</c:v>
                </c:pt>
                <c:pt idx="22">
                  <c:v>0.46489104116222763</c:v>
                </c:pt>
                <c:pt idx="23">
                  <c:v>0.50121065375302665</c:v>
                </c:pt>
                <c:pt idx="24">
                  <c:v>0.53995157384987891</c:v>
                </c:pt>
                <c:pt idx="25">
                  <c:v>0.57627118644067798</c:v>
                </c:pt>
                <c:pt idx="26">
                  <c:v>0.61985472154963683</c:v>
                </c:pt>
                <c:pt idx="27">
                  <c:v>0.65859564164648909</c:v>
                </c:pt>
                <c:pt idx="28">
                  <c:v>0.70217917675544794</c:v>
                </c:pt>
                <c:pt idx="29">
                  <c:v>0.74576271186440679</c:v>
                </c:pt>
                <c:pt idx="30">
                  <c:v>0.78934624697336564</c:v>
                </c:pt>
                <c:pt idx="31">
                  <c:v>0.83535108958837767</c:v>
                </c:pt>
                <c:pt idx="32">
                  <c:v>0.88135593220338981</c:v>
                </c:pt>
                <c:pt idx="33">
                  <c:v>0.92978208232445525</c:v>
                </c:pt>
                <c:pt idx="34">
                  <c:v>0.98135593220338968</c:v>
                </c:pt>
                <c:pt idx="35">
                  <c:v>1.0438256658595642</c:v>
                </c:pt>
                <c:pt idx="36">
                  <c:v>1.1157384987893462</c:v>
                </c:pt>
                <c:pt idx="37">
                  <c:v>1.1953995157384989</c:v>
                </c:pt>
                <c:pt idx="38">
                  <c:v>1.2808716707021792</c:v>
                </c:pt>
                <c:pt idx="39">
                  <c:v>1.3704600484261502</c:v>
                </c:pt>
                <c:pt idx="40">
                  <c:v>1.4619854721549637</c:v>
                </c:pt>
                <c:pt idx="41">
                  <c:v>1.5537530266343826</c:v>
                </c:pt>
                <c:pt idx="42">
                  <c:v>1.6426150121065377</c:v>
                </c:pt>
                <c:pt idx="43">
                  <c:v>1.7263922518159807</c:v>
                </c:pt>
                <c:pt idx="44">
                  <c:v>1.8084745762711867</c:v>
                </c:pt>
                <c:pt idx="45">
                  <c:v>1.8941888619854721</c:v>
                </c:pt>
                <c:pt idx="46">
                  <c:v>1.9832929782082322</c:v>
                </c:pt>
                <c:pt idx="47">
                  <c:v>2.0753026634382565</c:v>
                </c:pt>
                <c:pt idx="48">
                  <c:v>2.1690072639225182</c:v>
                </c:pt>
                <c:pt idx="49">
                  <c:v>2.2648910411622278</c:v>
                </c:pt>
                <c:pt idx="50">
                  <c:v>2.3622276029055689</c:v>
                </c:pt>
                <c:pt idx="51">
                  <c:v>2.4610169491525427</c:v>
                </c:pt>
                <c:pt idx="52">
                  <c:v>2.5615012106537534</c:v>
                </c:pt>
                <c:pt idx="53">
                  <c:v>2.6636803874092005</c:v>
                </c:pt>
                <c:pt idx="54">
                  <c:v>2.7677966101694915</c:v>
                </c:pt>
                <c:pt idx="55">
                  <c:v>2.8733656174334143</c:v>
                </c:pt>
                <c:pt idx="56">
                  <c:v>2.9799031476997579</c:v>
                </c:pt>
                <c:pt idx="57">
                  <c:v>3.0869249394673126</c:v>
                </c:pt>
                <c:pt idx="58">
                  <c:v>3.194673123486683</c:v>
                </c:pt>
                <c:pt idx="59">
                  <c:v>3.3024213075060533</c:v>
                </c:pt>
                <c:pt idx="60">
                  <c:v>3.4104116222760292</c:v>
                </c:pt>
                <c:pt idx="61">
                  <c:v>3.5188861985472153</c:v>
                </c:pt>
                <c:pt idx="62">
                  <c:v>3.6285714285714286</c:v>
                </c:pt>
                <c:pt idx="63">
                  <c:v>3.7397094430992737</c:v>
                </c:pt>
                <c:pt idx="64">
                  <c:v>3.8532687651331723</c:v>
                </c:pt>
                <c:pt idx="65">
                  <c:v>3.969249394673124</c:v>
                </c:pt>
                <c:pt idx="66">
                  <c:v>4.0874092009685228</c:v>
                </c:pt>
                <c:pt idx="67">
                  <c:v>4.2077481840193709</c:v>
                </c:pt>
                <c:pt idx="68">
                  <c:v>4.3290556900726394</c:v>
                </c:pt>
                <c:pt idx="69">
                  <c:v>4.4510895883777248</c:v>
                </c:pt>
                <c:pt idx="70">
                  <c:v>4.5738498789346247</c:v>
                </c:pt>
                <c:pt idx="71">
                  <c:v>4.6968523002421314</c:v>
                </c:pt>
                <c:pt idx="72">
                  <c:v>4.8203389830508483</c:v>
                </c:pt>
                <c:pt idx="73">
                  <c:v>4.9457627118644067</c:v>
                </c:pt>
                <c:pt idx="74">
                  <c:v>5.0733656174334145</c:v>
                </c:pt>
                <c:pt idx="75">
                  <c:v>5.2016949152542376</c:v>
                </c:pt>
                <c:pt idx="76">
                  <c:v>5.331961259079903</c:v>
                </c:pt>
                <c:pt idx="77">
                  <c:v>5.4636803874092008</c:v>
                </c:pt>
                <c:pt idx="78">
                  <c:v>5.597094430992736</c:v>
                </c:pt>
                <c:pt idx="79">
                  <c:v>5.7317191283292974</c:v>
                </c:pt>
                <c:pt idx="80">
                  <c:v>5.8685230024213073</c:v>
                </c:pt>
                <c:pt idx="81">
                  <c:v>6.0070217917675546</c:v>
                </c:pt>
                <c:pt idx="82">
                  <c:v>6.1472154963680392</c:v>
                </c:pt>
                <c:pt idx="83">
                  <c:v>6.2891041162227603</c:v>
                </c:pt>
                <c:pt idx="84">
                  <c:v>6.4322033898305087</c:v>
                </c:pt>
                <c:pt idx="85">
                  <c:v>6.5769975786924944</c:v>
                </c:pt>
                <c:pt idx="86">
                  <c:v>6.7234866828087174</c:v>
                </c:pt>
                <c:pt idx="87">
                  <c:v>6.8721549636803871</c:v>
                </c:pt>
                <c:pt idx="88">
                  <c:v>7.021791767554479</c:v>
                </c:pt>
                <c:pt idx="89">
                  <c:v>7.1719128329297819</c:v>
                </c:pt>
                <c:pt idx="90">
                  <c:v>7.3232445520581111</c:v>
                </c:pt>
                <c:pt idx="91">
                  <c:v>7.4760290556900726</c:v>
                </c:pt>
                <c:pt idx="92">
                  <c:v>7.6305084745762715</c:v>
                </c:pt>
                <c:pt idx="93">
                  <c:v>7.7857142857142856</c:v>
                </c:pt>
                <c:pt idx="94">
                  <c:v>7.9430992736077481</c:v>
                </c:pt>
                <c:pt idx="95">
                  <c:v>8.102421307506054</c:v>
                </c:pt>
                <c:pt idx="96">
                  <c:v>8.2622276029055701</c:v>
                </c:pt>
                <c:pt idx="97">
                  <c:v>8.4239709443099269</c:v>
                </c:pt>
                <c:pt idx="98">
                  <c:v>8.5883777239709449</c:v>
                </c:pt>
                <c:pt idx="99">
                  <c:v>8.7556900726392257</c:v>
                </c:pt>
                <c:pt idx="100">
                  <c:v>8.924213075060532</c:v>
                </c:pt>
                <c:pt idx="101">
                  <c:v>9.0917675544794179</c:v>
                </c:pt>
                <c:pt idx="102">
                  <c:v>9.2535108958837764</c:v>
                </c:pt>
                <c:pt idx="103">
                  <c:v>9.3953995157384984</c:v>
                </c:pt>
                <c:pt idx="104">
                  <c:v>9.5215496368038739</c:v>
                </c:pt>
                <c:pt idx="105">
                  <c:v>9.6556900726392261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07DE-4083-8C5B-1136608130D6}"/>
            </c:ext>
          </c:extLst>
        </c:ser>
        <c:ser>
          <c:idx val="16"/>
          <c:order val="16"/>
          <c:tx>
            <c:strRef>
              <c:f>'вместе-отн'!$R$1</c:f>
              <c:strCache>
                <c:ptCount val="1"/>
                <c:pt idx="0">
                  <c:v>Парагвай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'вместе-отн'!$A$2:$A$107</c:f>
              <c:numCache>
                <c:formatCode>0</c:formatCode>
                <c:ptCount val="106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  <c:pt idx="98">
                  <c:v>2015</c:v>
                </c:pt>
                <c:pt idx="99">
                  <c:v>2016</c:v>
                </c:pt>
                <c:pt idx="100">
                  <c:v>2017</c:v>
                </c:pt>
                <c:pt idx="101">
                  <c:v>2018</c:v>
                </c:pt>
                <c:pt idx="102">
                  <c:v>2019</c:v>
                </c:pt>
                <c:pt idx="103">
                  <c:v>2020</c:v>
                </c:pt>
                <c:pt idx="104">
                  <c:v>2021</c:v>
                </c:pt>
                <c:pt idx="105">
                  <c:v>2022</c:v>
                </c:pt>
              </c:numCache>
            </c:numRef>
          </c:xVal>
          <c:yVal>
            <c:numRef>
              <c:f>'вместе-отн'!$R$2:$R$107</c:f>
              <c:numCache>
                <c:formatCode>0.00</c:formatCode>
                <c:ptCount val="106"/>
                <c:pt idx="0">
                  <c:v>0</c:v>
                </c:pt>
                <c:pt idx="1">
                  <c:v>1.0324483775811209E-2</c:v>
                </c:pt>
                <c:pt idx="2">
                  <c:v>2.0648967551622419E-2</c:v>
                </c:pt>
                <c:pt idx="3">
                  <c:v>3.0973451327433628E-2</c:v>
                </c:pt>
                <c:pt idx="4">
                  <c:v>5.4572271386430678E-2</c:v>
                </c:pt>
                <c:pt idx="5">
                  <c:v>7.9646017699115043E-2</c:v>
                </c:pt>
                <c:pt idx="6">
                  <c:v>0.10471976401179942</c:v>
                </c:pt>
                <c:pt idx="7">
                  <c:v>0.13126843657817108</c:v>
                </c:pt>
                <c:pt idx="8">
                  <c:v>0.15781710914454278</c:v>
                </c:pt>
                <c:pt idx="9">
                  <c:v>0.18436578171091444</c:v>
                </c:pt>
                <c:pt idx="10">
                  <c:v>0.21238938053097345</c:v>
                </c:pt>
                <c:pt idx="11">
                  <c:v>0.24041297935103245</c:v>
                </c:pt>
                <c:pt idx="12">
                  <c:v>0.26843657817109146</c:v>
                </c:pt>
                <c:pt idx="13">
                  <c:v>0.29793510324483774</c:v>
                </c:pt>
                <c:pt idx="14">
                  <c:v>0.32890855457227136</c:v>
                </c:pt>
                <c:pt idx="15">
                  <c:v>0.35988200589970504</c:v>
                </c:pt>
                <c:pt idx="16">
                  <c:v>0.39233038348082594</c:v>
                </c:pt>
                <c:pt idx="17">
                  <c:v>0.4247787610619469</c:v>
                </c:pt>
                <c:pt idx="18">
                  <c:v>0.45722713864306785</c:v>
                </c:pt>
                <c:pt idx="19">
                  <c:v>0.49262536873156343</c:v>
                </c:pt>
                <c:pt idx="20">
                  <c:v>0.528023598820059</c:v>
                </c:pt>
                <c:pt idx="21">
                  <c:v>0.56489675516224191</c:v>
                </c:pt>
                <c:pt idx="22">
                  <c:v>0.60176991150442483</c:v>
                </c:pt>
                <c:pt idx="23">
                  <c:v>0.63864306784660763</c:v>
                </c:pt>
                <c:pt idx="24">
                  <c:v>0.67699115044247793</c:v>
                </c:pt>
                <c:pt idx="25">
                  <c:v>0.7168141592920354</c:v>
                </c:pt>
                <c:pt idx="26">
                  <c:v>0.75663716814159288</c:v>
                </c:pt>
                <c:pt idx="27">
                  <c:v>0.79793510324483774</c:v>
                </c:pt>
                <c:pt idx="28">
                  <c:v>0.83923303834808261</c:v>
                </c:pt>
                <c:pt idx="29">
                  <c:v>0.88053097345132747</c:v>
                </c:pt>
                <c:pt idx="30">
                  <c:v>0.9247787610619469</c:v>
                </c:pt>
                <c:pt idx="31">
                  <c:v>0.96902654867256632</c:v>
                </c:pt>
                <c:pt idx="32">
                  <c:v>1.0147492625368733</c:v>
                </c:pt>
                <c:pt idx="33">
                  <c:v>1.0604719764011798</c:v>
                </c:pt>
                <c:pt idx="34">
                  <c:v>1.1109144542772862</c:v>
                </c:pt>
                <c:pt idx="35">
                  <c:v>1.1706489675516225</c:v>
                </c:pt>
                <c:pt idx="36">
                  <c:v>1.2383480825958701</c:v>
                </c:pt>
                <c:pt idx="37">
                  <c:v>1.3125368731563423</c:v>
                </c:pt>
                <c:pt idx="38">
                  <c:v>1.3911504424778762</c:v>
                </c:pt>
                <c:pt idx="39">
                  <c:v>1.4722713864306785</c:v>
                </c:pt>
                <c:pt idx="40">
                  <c:v>1.5539823008849556</c:v>
                </c:pt>
                <c:pt idx="41">
                  <c:v>1.6339233038348082</c:v>
                </c:pt>
                <c:pt idx="42">
                  <c:v>1.7097345132743365</c:v>
                </c:pt>
                <c:pt idx="43">
                  <c:v>1.778023598820059</c:v>
                </c:pt>
                <c:pt idx="44">
                  <c:v>1.8427728613569323</c:v>
                </c:pt>
                <c:pt idx="45">
                  <c:v>1.9101769911504423</c:v>
                </c:pt>
                <c:pt idx="46">
                  <c:v>1.9821533923303836</c:v>
                </c:pt>
                <c:pt idx="47">
                  <c:v>2.0576696165191741</c:v>
                </c:pt>
                <c:pt idx="48">
                  <c:v>2.1345132743362831</c:v>
                </c:pt>
                <c:pt idx="49">
                  <c:v>2.2117994100294984</c:v>
                </c:pt>
                <c:pt idx="50">
                  <c:v>2.2890855457227137</c:v>
                </c:pt>
                <c:pt idx="51">
                  <c:v>2.3663716814159295</c:v>
                </c:pt>
                <c:pt idx="52">
                  <c:v>2.443952802359882</c:v>
                </c:pt>
                <c:pt idx="53">
                  <c:v>2.5221238938053099</c:v>
                </c:pt>
                <c:pt idx="54">
                  <c:v>2.6025073746312684</c:v>
                </c:pt>
                <c:pt idx="55">
                  <c:v>2.6871681415929203</c:v>
                </c:pt>
                <c:pt idx="56">
                  <c:v>2.7774336283185841</c:v>
                </c:pt>
                <c:pt idx="57">
                  <c:v>2.8725663716814158</c:v>
                </c:pt>
                <c:pt idx="58">
                  <c:v>2.9699115044247786</c:v>
                </c:pt>
                <c:pt idx="59">
                  <c:v>3.0690265486725665</c:v>
                </c:pt>
                <c:pt idx="60">
                  <c:v>3.17094395280236</c:v>
                </c:pt>
                <c:pt idx="61">
                  <c:v>3.2762536873156343</c:v>
                </c:pt>
                <c:pt idx="62">
                  <c:v>3.3864306784660765</c:v>
                </c:pt>
                <c:pt idx="63">
                  <c:v>3.5032448377581118</c:v>
                </c:pt>
                <c:pt idx="64">
                  <c:v>3.6277286135693214</c:v>
                </c:pt>
                <c:pt idx="65">
                  <c:v>3.7584070796460174</c:v>
                </c:pt>
                <c:pt idx="66">
                  <c:v>3.8939528023598817</c:v>
                </c:pt>
                <c:pt idx="67">
                  <c:v>4.0337758112094395</c:v>
                </c:pt>
                <c:pt idx="68">
                  <c:v>4.1780235988200589</c:v>
                </c:pt>
                <c:pt idx="69">
                  <c:v>4.3266961651917404</c:v>
                </c:pt>
                <c:pt idx="70">
                  <c:v>4.4792035398230086</c:v>
                </c:pt>
                <c:pt idx="71">
                  <c:v>4.634955752212389</c:v>
                </c:pt>
                <c:pt idx="72">
                  <c:v>4.793215339233039</c:v>
                </c:pt>
                <c:pt idx="73">
                  <c:v>4.9523598820058998</c:v>
                </c:pt>
                <c:pt idx="74">
                  <c:v>5.1126843657817105</c:v>
                </c:pt>
                <c:pt idx="75">
                  <c:v>5.2737463126843664</c:v>
                </c:pt>
                <c:pt idx="76">
                  <c:v>5.4346607669616516</c:v>
                </c:pt>
                <c:pt idx="77">
                  <c:v>5.5949852507374622</c:v>
                </c:pt>
                <c:pt idx="78">
                  <c:v>5.7548672566371684</c:v>
                </c:pt>
                <c:pt idx="79">
                  <c:v>5.913716814159292</c:v>
                </c:pt>
                <c:pt idx="80">
                  <c:v>6.0713864306784657</c:v>
                </c:pt>
                <c:pt idx="81">
                  <c:v>6.227138643067847</c:v>
                </c:pt>
                <c:pt idx="82">
                  <c:v>6.3792035398230098</c:v>
                </c:pt>
                <c:pt idx="83">
                  <c:v>6.5234513274336274</c:v>
                </c:pt>
                <c:pt idx="84">
                  <c:v>6.6514749262536874</c:v>
                </c:pt>
                <c:pt idx="85">
                  <c:v>6.760029498525074</c:v>
                </c:pt>
                <c:pt idx="86">
                  <c:v>6.8560471976401178</c:v>
                </c:pt>
                <c:pt idx="87">
                  <c:v>6.9471976401179942</c:v>
                </c:pt>
                <c:pt idx="88">
                  <c:v>7.0355457227138647</c:v>
                </c:pt>
                <c:pt idx="89">
                  <c:v>7.1196165191740421</c:v>
                </c:pt>
                <c:pt idx="90">
                  <c:v>7.1997050147492621</c:v>
                </c:pt>
                <c:pt idx="91">
                  <c:v>7.2796460176991156</c:v>
                </c:pt>
                <c:pt idx="92">
                  <c:v>7.3646017699115038</c:v>
                </c:pt>
                <c:pt idx="93">
                  <c:v>7.4631268436578173</c:v>
                </c:pt>
                <c:pt idx="94">
                  <c:v>7.5761061946902659</c:v>
                </c:pt>
                <c:pt idx="95">
                  <c:v>7.6976401179941005</c:v>
                </c:pt>
                <c:pt idx="96">
                  <c:v>7.8235988200589963</c:v>
                </c:pt>
                <c:pt idx="97">
                  <c:v>7.9525073746312689</c:v>
                </c:pt>
                <c:pt idx="98">
                  <c:v>8.0842182890855465</c:v>
                </c:pt>
                <c:pt idx="99">
                  <c:v>8.2169616519174049</c:v>
                </c:pt>
                <c:pt idx="100">
                  <c:v>8.3491150442477871</c:v>
                </c:pt>
                <c:pt idx="101">
                  <c:v>8.4799410029498521</c:v>
                </c:pt>
                <c:pt idx="102">
                  <c:v>8.6092920353982301</c:v>
                </c:pt>
                <c:pt idx="103">
                  <c:v>8.7399705014749252</c:v>
                </c:pt>
                <c:pt idx="104">
                  <c:v>8.8587020648967556</c:v>
                </c:pt>
                <c:pt idx="105">
                  <c:v>8.9712389380530979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07DE-4083-8C5B-1136608130D6}"/>
            </c:ext>
          </c:extLst>
        </c:ser>
        <c:ser>
          <c:idx val="17"/>
          <c:order val="17"/>
          <c:tx>
            <c:strRef>
              <c:f>'вместе-отн'!$S$1</c:f>
              <c:strCache>
                <c:ptCount val="1"/>
                <c:pt idx="0">
                  <c:v>Перу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'вместе-отн'!$A$2:$A$107</c:f>
              <c:numCache>
                <c:formatCode>0</c:formatCode>
                <c:ptCount val="106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  <c:pt idx="98">
                  <c:v>2015</c:v>
                </c:pt>
                <c:pt idx="99">
                  <c:v>2016</c:v>
                </c:pt>
                <c:pt idx="100">
                  <c:v>2017</c:v>
                </c:pt>
                <c:pt idx="101">
                  <c:v>2018</c:v>
                </c:pt>
                <c:pt idx="102">
                  <c:v>2019</c:v>
                </c:pt>
                <c:pt idx="103">
                  <c:v>2020</c:v>
                </c:pt>
                <c:pt idx="104">
                  <c:v>2021</c:v>
                </c:pt>
                <c:pt idx="105">
                  <c:v>2022</c:v>
                </c:pt>
              </c:numCache>
            </c:numRef>
          </c:xVal>
          <c:yVal>
            <c:numRef>
              <c:f>'вместе-отн'!$S$2:$S$107</c:f>
              <c:numCache>
                <c:formatCode>0.00</c:formatCode>
                <c:ptCount val="106"/>
                <c:pt idx="0">
                  <c:v>0</c:v>
                </c:pt>
                <c:pt idx="1">
                  <c:v>1.7436791630340016E-2</c:v>
                </c:pt>
                <c:pt idx="2">
                  <c:v>3.4873583260680033E-2</c:v>
                </c:pt>
                <c:pt idx="3">
                  <c:v>5.2310374891020049E-2</c:v>
                </c:pt>
                <c:pt idx="4">
                  <c:v>6.9747166521360066E-2</c:v>
                </c:pt>
                <c:pt idx="5">
                  <c:v>8.7401918047079336E-2</c:v>
                </c:pt>
                <c:pt idx="6">
                  <c:v>0.10483870967741936</c:v>
                </c:pt>
                <c:pt idx="7">
                  <c:v>0.12205754141238012</c:v>
                </c:pt>
                <c:pt idx="8">
                  <c:v>0.13971229293809939</c:v>
                </c:pt>
                <c:pt idx="9">
                  <c:v>0.15802092414995642</c:v>
                </c:pt>
                <c:pt idx="10">
                  <c:v>0.17676547515257193</c:v>
                </c:pt>
                <c:pt idx="11">
                  <c:v>0.1948561464690497</c:v>
                </c:pt>
                <c:pt idx="12">
                  <c:v>0.21338273757628595</c:v>
                </c:pt>
                <c:pt idx="13">
                  <c:v>0.23169136878814298</c:v>
                </c:pt>
                <c:pt idx="14">
                  <c:v>0.25283347863993028</c:v>
                </c:pt>
                <c:pt idx="15">
                  <c:v>0.27375762859633829</c:v>
                </c:pt>
                <c:pt idx="16">
                  <c:v>0.29489973844812556</c:v>
                </c:pt>
                <c:pt idx="17">
                  <c:v>0.31582388840453357</c:v>
                </c:pt>
                <c:pt idx="18">
                  <c:v>0.33696599825632084</c:v>
                </c:pt>
                <c:pt idx="19">
                  <c:v>0.36072362685265913</c:v>
                </c:pt>
                <c:pt idx="20">
                  <c:v>0.38469921534437662</c:v>
                </c:pt>
                <c:pt idx="21">
                  <c:v>0.40845684394071491</c:v>
                </c:pt>
                <c:pt idx="22">
                  <c:v>0.43243243243243246</c:v>
                </c:pt>
                <c:pt idx="23">
                  <c:v>0.45619006102877069</c:v>
                </c:pt>
                <c:pt idx="24">
                  <c:v>0.48147340889276374</c:v>
                </c:pt>
                <c:pt idx="25">
                  <c:v>0.50719267654751521</c:v>
                </c:pt>
                <c:pt idx="26">
                  <c:v>0.53334786399302525</c:v>
                </c:pt>
                <c:pt idx="27">
                  <c:v>0.56037489102005233</c:v>
                </c:pt>
                <c:pt idx="28">
                  <c:v>0.58783783783783783</c:v>
                </c:pt>
                <c:pt idx="29">
                  <c:v>0.61617262423714037</c:v>
                </c:pt>
                <c:pt idx="30">
                  <c:v>0.64494333042720142</c:v>
                </c:pt>
                <c:pt idx="31">
                  <c:v>0.67436791630340021</c:v>
                </c:pt>
                <c:pt idx="32">
                  <c:v>0.70488230165649524</c:v>
                </c:pt>
                <c:pt idx="33">
                  <c:v>0.73692240627724503</c:v>
                </c:pt>
                <c:pt idx="34">
                  <c:v>0.78397994768962498</c:v>
                </c:pt>
                <c:pt idx="35">
                  <c:v>0.8291848299912814</c:v>
                </c:pt>
                <c:pt idx="36">
                  <c:v>0.87279860505666951</c:v>
                </c:pt>
                <c:pt idx="37">
                  <c:v>0.91567131647776812</c:v>
                </c:pt>
                <c:pt idx="38">
                  <c:v>0.95902353966870091</c:v>
                </c:pt>
                <c:pt idx="39">
                  <c:v>1.0037707061900609</c:v>
                </c:pt>
                <c:pt idx="40">
                  <c:v>1.050850043591979</c:v>
                </c:pt>
                <c:pt idx="41">
                  <c:v>1.1013295553618134</c:v>
                </c:pt>
                <c:pt idx="42">
                  <c:v>1.1564952048823016</c:v>
                </c:pt>
                <c:pt idx="43">
                  <c:v>1.2175457715780298</c:v>
                </c:pt>
                <c:pt idx="44">
                  <c:v>1.2831517000871839</c:v>
                </c:pt>
                <c:pt idx="45">
                  <c:v>1.350610287707062</c:v>
                </c:pt>
                <c:pt idx="46">
                  <c:v>1.419812554489974</c:v>
                </c:pt>
                <c:pt idx="47">
                  <c:v>1.4908456843940714</c:v>
                </c:pt>
                <c:pt idx="48">
                  <c:v>1.5634481255448998</c:v>
                </c:pt>
                <c:pt idx="49">
                  <c:v>1.6375980819529206</c:v>
                </c:pt>
                <c:pt idx="50">
                  <c:v>1.71333914559721</c:v>
                </c:pt>
                <c:pt idx="51">
                  <c:v>1.7907585004359199</c:v>
                </c:pt>
                <c:pt idx="52">
                  <c:v>1.8698343504795116</c:v>
                </c:pt>
                <c:pt idx="53">
                  <c:v>1.9427201394943332</c:v>
                </c:pt>
                <c:pt idx="54">
                  <c:v>2.0161508282476026</c:v>
                </c:pt>
                <c:pt idx="55">
                  <c:v>2.0972319093286838</c:v>
                </c:pt>
                <c:pt idx="56">
                  <c:v>2.178487358326068</c:v>
                </c:pt>
                <c:pt idx="57">
                  <c:v>2.2599389712292939</c:v>
                </c:pt>
                <c:pt idx="58">
                  <c:v>2.3421970357454227</c:v>
                </c:pt>
                <c:pt idx="59">
                  <c:v>2.4256320836965997</c:v>
                </c:pt>
                <c:pt idx="60">
                  <c:v>2.5112903225806451</c:v>
                </c:pt>
                <c:pt idx="61">
                  <c:v>2.5998474280732342</c:v>
                </c:pt>
                <c:pt idx="62">
                  <c:v>2.6907367044463815</c:v>
                </c:pt>
                <c:pt idx="63">
                  <c:v>2.7839799476896254</c:v>
                </c:pt>
                <c:pt idx="64">
                  <c:v>2.8794245858761984</c:v>
                </c:pt>
                <c:pt idx="65">
                  <c:v>2.9770052310374893</c:v>
                </c:pt>
                <c:pt idx="66">
                  <c:v>3.0771578029642548</c:v>
                </c:pt>
                <c:pt idx="67">
                  <c:v>3.1793156059285095</c:v>
                </c:pt>
                <c:pt idx="68">
                  <c:v>3.2825196163905841</c:v>
                </c:pt>
                <c:pt idx="69">
                  <c:v>3.3847210113339141</c:v>
                </c:pt>
                <c:pt idx="70">
                  <c:v>3.4861159546643417</c:v>
                </c:pt>
                <c:pt idx="71">
                  <c:v>3.5890802092414997</c:v>
                </c:pt>
                <c:pt idx="72">
                  <c:v>3.6932432432432427</c:v>
                </c:pt>
                <c:pt idx="73">
                  <c:v>3.7983435047951177</c:v>
                </c:pt>
                <c:pt idx="74">
                  <c:v>3.9005666957279859</c:v>
                </c:pt>
                <c:pt idx="75">
                  <c:v>4.0013731473408889</c:v>
                </c:pt>
                <c:pt idx="76">
                  <c:v>4.1032693984306885</c:v>
                </c:pt>
                <c:pt idx="77">
                  <c:v>4.2052092414995643</c:v>
                </c:pt>
                <c:pt idx="78">
                  <c:v>4.3070836965998263</c:v>
                </c:pt>
                <c:pt idx="79">
                  <c:v>4.4078465562336531</c:v>
                </c:pt>
                <c:pt idx="80">
                  <c:v>4.5087401918047076</c:v>
                </c:pt>
                <c:pt idx="81">
                  <c:v>4.6098735832606801</c:v>
                </c:pt>
                <c:pt idx="82">
                  <c:v>4.7076068003487359</c:v>
                </c:pt>
                <c:pt idx="83">
                  <c:v>4.7973626852659113</c:v>
                </c:pt>
                <c:pt idx="84">
                  <c:v>4.8772013949433299</c:v>
                </c:pt>
                <c:pt idx="85">
                  <c:v>4.9477332170880564</c:v>
                </c:pt>
                <c:pt idx="86">
                  <c:v>5.011442894507411</c:v>
                </c:pt>
                <c:pt idx="87">
                  <c:v>5.0706625980819533</c:v>
                </c:pt>
                <c:pt idx="88">
                  <c:v>5.1249346120313861</c:v>
                </c:pt>
                <c:pt idx="89">
                  <c:v>5.1736050566695724</c:v>
                </c:pt>
                <c:pt idx="90">
                  <c:v>5.2185483870967744</c:v>
                </c:pt>
                <c:pt idx="91">
                  <c:v>5.2595902353966872</c:v>
                </c:pt>
                <c:pt idx="92">
                  <c:v>5.2983435047951177</c:v>
                </c:pt>
                <c:pt idx="93">
                  <c:v>5.3395815170008722</c:v>
                </c:pt>
                <c:pt idx="94">
                  <c:v>5.3871185701830857</c:v>
                </c:pt>
                <c:pt idx="95">
                  <c:v>5.4408020924149962</c:v>
                </c:pt>
                <c:pt idx="96">
                  <c:v>5.4991063644289451</c:v>
                </c:pt>
                <c:pt idx="97">
                  <c:v>5.5640366172624232</c:v>
                </c:pt>
                <c:pt idx="98">
                  <c:v>5.6385353095030508</c:v>
                </c:pt>
                <c:pt idx="99">
                  <c:v>5.7276591107236268</c:v>
                </c:pt>
                <c:pt idx="100">
                  <c:v>5.827506538796861</c:v>
                </c:pt>
                <c:pt idx="101">
                  <c:v>5.9523975588491718</c:v>
                </c:pt>
                <c:pt idx="102">
                  <c:v>6.0726460331299039</c:v>
                </c:pt>
                <c:pt idx="103">
                  <c:v>6.157497820401046</c:v>
                </c:pt>
                <c:pt idx="104">
                  <c:v>6.2266564952048826</c:v>
                </c:pt>
                <c:pt idx="105">
                  <c:v>6.2962946817785532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07DE-4083-8C5B-1136608130D6}"/>
            </c:ext>
          </c:extLst>
        </c:ser>
        <c:ser>
          <c:idx val="18"/>
          <c:order val="18"/>
          <c:tx>
            <c:strRef>
              <c:f>'вместе-отн'!$T$1</c:f>
              <c:strCache>
                <c:ptCount val="1"/>
                <c:pt idx="0">
                  <c:v>Уругвай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'вместе-отн'!$A$2:$A$107</c:f>
              <c:numCache>
                <c:formatCode>0</c:formatCode>
                <c:ptCount val="106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  <c:pt idx="98">
                  <c:v>2015</c:v>
                </c:pt>
                <c:pt idx="99">
                  <c:v>2016</c:v>
                </c:pt>
                <c:pt idx="100">
                  <c:v>2017</c:v>
                </c:pt>
                <c:pt idx="101">
                  <c:v>2018</c:v>
                </c:pt>
                <c:pt idx="102">
                  <c:v>2019</c:v>
                </c:pt>
                <c:pt idx="103">
                  <c:v>2020</c:v>
                </c:pt>
                <c:pt idx="104">
                  <c:v>2021</c:v>
                </c:pt>
                <c:pt idx="105">
                  <c:v>2022</c:v>
                </c:pt>
              </c:numCache>
            </c:numRef>
          </c:xVal>
          <c:yVal>
            <c:numRef>
              <c:f>'вместе-отн'!$T$2:$T$107</c:f>
              <c:numCache>
                <c:formatCode>0.00</c:formatCode>
                <c:ptCount val="106"/>
                <c:pt idx="0">
                  <c:v>0</c:v>
                </c:pt>
                <c:pt idx="1">
                  <c:v>1.6346837242359632E-2</c:v>
                </c:pt>
                <c:pt idx="2">
                  <c:v>3.9800995024875621E-2</c:v>
                </c:pt>
                <c:pt idx="3">
                  <c:v>5.2594171997157074E-2</c:v>
                </c:pt>
                <c:pt idx="4">
                  <c:v>6.5387348969438527E-2</c:v>
                </c:pt>
                <c:pt idx="5">
                  <c:v>7.8180525941719967E-2</c:v>
                </c:pt>
                <c:pt idx="6">
                  <c:v>9.097370291400142E-2</c:v>
                </c:pt>
                <c:pt idx="7">
                  <c:v>0.10376687988628287</c:v>
                </c:pt>
                <c:pt idx="8">
                  <c:v>0.11656005685856433</c:v>
                </c:pt>
                <c:pt idx="9">
                  <c:v>0.14001421464108033</c:v>
                </c:pt>
                <c:pt idx="10">
                  <c:v>0.16275764036958068</c:v>
                </c:pt>
                <c:pt idx="11">
                  <c:v>0.18621179815209665</c:v>
                </c:pt>
                <c:pt idx="12">
                  <c:v>0.20895522388059701</c:v>
                </c:pt>
                <c:pt idx="13">
                  <c:v>0.23240938166311301</c:v>
                </c:pt>
                <c:pt idx="14">
                  <c:v>0.25159914712153519</c:v>
                </c:pt>
                <c:pt idx="15">
                  <c:v>0.27078891257995735</c:v>
                </c:pt>
                <c:pt idx="16">
                  <c:v>0.28997867803837951</c:v>
                </c:pt>
                <c:pt idx="17">
                  <c:v>0.30916844349680173</c:v>
                </c:pt>
                <c:pt idx="18">
                  <c:v>0.32835820895522388</c:v>
                </c:pt>
                <c:pt idx="19">
                  <c:v>0.34328358208955223</c:v>
                </c:pt>
                <c:pt idx="20">
                  <c:v>0.35820895522388058</c:v>
                </c:pt>
                <c:pt idx="21">
                  <c:v>0.37313432835820898</c:v>
                </c:pt>
                <c:pt idx="22">
                  <c:v>0.38805970149253732</c:v>
                </c:pt>
                <c:pt idx="23">
                  <c:v>0.40298507462686567</c:v>
                </c:pt>
                <c:pt idx="24">
                  <c:v>0.4171997157071784</c:v>
                </c:pt>
                <c:pt idx="25">
                  <c:v>0.43141435678749113</c:v>
                </c:pt>
                <c:pt idx="26">
                  <c:v>0.44562899786780386</c:v>
                </c:pt>
                <c:pt idx="27">
                  <c:v>0.4605543710021322</c:v>
                </c:pt>
                <c:pt idx="28">
                  <c:v>0.47547974413646055</c:v>
                </c:pt>
                <c:pt idx="29">
                  <c:v>0.49111584932480457</c:v>
                </c:pt>
                <c:pt idx="30">
                  <c:v>0.5074626865671642</c:v>
                </c:pt>
                <c:pt idx="31">
                  <c:v>0.52380952380952384</c:v>
                </c:pt>
                <c:pt idx="32">
                  <c:v>0.54157782515991471</c:v>
                </c:pt>
                <c:pt idx="33">
                  <c:v>0.5600568585643213</c:v>
                </c:pt>
                <c:pt idx="34">
                  <c:v>0.57619047619047603</c:v>
                </c:pt>
                <c:pt idx="35">
                  <c:v>0.59559346126510304</c:v>
                </c:pt>
                <c:pt idx="36">
                  <c:v>0.61769722814498929</c:v>
                </c:pt>
                <c:pt idx="37">
                  <c:v>0.64186211798152093</c:v>
                </c:pt>
                <c:pt idx="38">
                  <c:v>0.66744847192608381</c:v>
                </c:pt>
                <c:pt idx="39">
                  <c:v>0.69395877754086721</c:v>
                </c:pt>
                <c:pt idx="40">
                  <c:v>0.72096659559346132</c:v>
                </c:pt>
                <c:pt idx="41">
                  <c:v>0.74790334044065399</c:v>
                </c:pt>
                <c:pt idx="42">
                  <c:v>0.77391613361762623</c:v>
                </c:pt>
                <c:pt idx="43">
                  <c:v>0.79815209665955933</c:v>
                </c:pt>
                <c:pt idx="44">
                  <c:v>0.82089552238805974</c:v>
                </c:pt>
                <c:pt idx="45">
                  <c:v>0.84314143567874922</c:v>
                </c:pt>
                <c:pt idx="46">
                  <c:v>0.86481876332622609</c:v>
                </c:pt>
                <c:pt idx="47">
                  <c:v>0.88571428571428557</c:v>
                </c:pt>
                <c:pt idx="48">
                  <c:v>0.9056147832267234</c:v>
                </c:pt>
                <c:pt idx="49">
                  <c:v>0.92437810945273624</c:v>
                </c:pt>
                <c:pt idx="50">
                  <c:v>0.94193319118692265</c:v>
                </c:pt>
                <c:pt idx="51">
                  <c:v>0.95778251599147113</c:v>
                </c:pt>
                <c:pt idx="52">
                  <c:v>0.97157071783937454</c:v>
                </c:pt>
                <c:pt idx="53">
                  <c:v>0.98351101634683735</c:v>
                </c:pt>
                <c:pt idx="54">
                  <c:v>0.99466950959488276</c:v>
                </c:pt>
                <c:pt idx="55">
                  <c:v>1.0054015636105187</c:v>
                </c:pt>
                <c:pt idx="56">
                  <c:v>1.0164179104477611</c:v>
                </c:pt>
                <c:pt idx="57">
                  <c:v>1.0283582089552239</c:v>
                </c:pt>
                <c:pt idx="58">
                  <c:v>1.0414356787491117</c:v>
                </c:pt>
                <c:pt idx="59">
                  <c:v>1.0550106609808103</c:v>
                </c:pt>
                <c:pt idx="60">
                  <c:v>1.0678749111584933</c:v>
                </c:pt>
                <c:pt idx="61">
                  <c:v>1.0793887704335465</c:v>
                </c:pt>
                <c:pt idx="62">
                  <c:v>1.0894811656005687</c:v>
                </c:pt>
                <c:pt idx="63">
                  <c:v>1.0980810234541578</c:v>
                </c:pt>
                <c:pt idx="64">
                  <c:v>1.1060412224591327</c:v>
                </c:pt>
                <c:pt idx="65">
                  <c:v>1.1147832267235251</c:v>
                </c:pt>
                <c:pt idx="66">
                  <c:v>1.1242359630419334</c:v>
                </c:pt>
                <c:pt idx="67">
                  <c:v>1.1339729921819475</c:v>
                </c:pt>
                <c:pt idx="68">
                  <c:v>1.144278606965174</c:v>
                </c:pt>
                <c:pt idx="69">
                  <c:v>1.1555081734186212</c:v>
                </c:pt>
                <c:pt idx="70">
                  <c:v>1.1676616915422886</c:v>
                </c:pt>
                <c:pt idx="71">
                  <c:v>1.1805259417199716</c:v>
                </c:pt>
                <c:pt idx="72">
                  <c:v>1.1935323383084577</c:v>
                </c:pt>
                <c:pt idx="73">
                  <c:v>1.2063965884861407</c:v>
                </c:pt>
                <c:pt idx="74">
                  <c:v>1.2191897654584223</c:v>
                </c:pt>
                <c:pt idx="75">
                  <c:v>1.2314854299928926</c:v>
                </c:pt>
                <c:pt idx="76">
                  <c:v>1.2432835820895525</c:v>
                </c:pt>
                <c:pt idx="77">
                  <c:v>1.2550106609808103</c:v>
                </c:pt>
                <c:pt idx="78">
                  <c:v>1.26680881307747</c:v>
                </c:pt>
                <c:pt idx="79">
                  <c:v>1.2788201847903342</c:v>
                </c:pt>
                <c:pt idx="80">
                  <c:v>1.2909026297085999</c:v>
                </c:pt>
                <c:pt idx="81">
                  <c:v>1.3022743425728502</c:v>
                </c:pt>
                <c:pt idx="82">
                  <c:v>1.3127221037668799</c:v>
                </c:pt>
                <c:pt idx="83">
                  <c:v>1.3213930348258704</c:v>
                </c:pt>
                <c:pt idx="84">
                  <c:v>1.3271499644633975</c:v>
                </c:pt>
                <c:pt idx="85">
                  <c:v>1.3304193319118693</c:v>
                </c:pt>
                <c:pt idx="86">
                  <c:v>1.3320540156361051</c:v>
                </c:pt>
                <c:pt idx="87">
                  <c:v>1.3334044065387349</c:v>
                </c:pt>
                <c:pt idx="88">
                  <c:v>1.3353233830845772</c:v>
                </c:pt>
                <c:pt idx="89">
                  <c:v>1.3379530916844349</c:v>
                </c:pt>
                <c:pt idx="90">
                  <c:v>1.342004264392324</c:v>
                </c:pt>
                <c:pt idx="91">
                  <c:v>1.3469793887704333</c:v>
                </c:pt>
                <c:pt idx="92">
                  <c:v>1.352594171997157</c:v>
                </c:pt>
                <c:pt idx="93">
                  <c:v>1.3586353944562899</c:v>
                </c:pt>
                <c:pt idx="94">
                  <c:v>1.3644633972992184</c:v>
                </c:pt>
                <c:pt idx="95">
                  <c:v>1.3705756929637527</c:v>
                </c:pt>
                <c:pt idx="96">
                  <c:v>1.3776119402985076</c:v>
                </c:pt>
                <c:pt idx="97">
                  <c:v>1.3854299928926797</c:v>
                </c:pt>
                <c:pt idx="98">
                  <c:v>1.3937455579246625</c:v>
                </c:pt>
                <c:pt idx="99">
                  <c:v>1.4017768301350393</c:v>
                </c:pt>
                <c:pt idx="100">
                  <c:v>1.4082444918265815</c:v>
                </c:pt>
                <c:pt idx="101">
                  <c:v>1.4125799573560767</c:v>
                </c:pt>
                <c:pt idx="102">
                  <c:v>1.4144989339019189</c:v>
                </c:pt>
                <c:pt idx="103">
                  <c:v>1.4157782515991471</c:v>
                </c:pt>
                <c:pt idx="104">
                  <c:v>1.414143567874911</c:v>
                </c:pt>
                <c:pt idx="105">
                  <c:v>1.4100213219616204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07DE-4083-8C5B-1136608130D6}"/>
            </c:ext>
          </c:extLst>
        </c:ser>
        <c:ser>
          <c:idx val="19"/>
          <c:order val="19"/>
          <c:tx>
            <c:strRef>
              <c:f>'вместе-отн'!$U$1</c:f>
              <c:strCache>
                <c:ptCount val="1"/>
                <c:pt idx="0">
                  <c:v>Венецуэлла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'вместе-отн'!$A$2:$A$107</c:f>
              <c:numCache>
                <c:formatCode>0</c:formatCode>
                <c:ptCount val="106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  <c:pt idx="98">
                  <c:v>2015</c:v>
                </c:pt>
                <c:pt idx="99">
                  <c:v>2016</c:v>
                </c:pt>
                <c:pt idx="100">
                  <c:v>2017</c:v>
                </c:pt>
                <c:pt idx="101">
                  <c:v>2018</c:v>
                </c:pt>
                <c:pt idx="102">
                  <c:v>2019</c:v>
                </c:pt>
                <c:pt idx="103">
                  <c:v>2020</c:v>
                </c:pt>
                <c:pt idx="104">
                  <c:v>2021</c:v>
                </c:pt>
                <c:pt idx="105">
                  <c:v>2022</c:v>
                </c:pt>
              </c:numCache>
            </c:numRef>
          </c:xVal>
          <c:yVal>
            <c:numRef>
              <c:f>'вместе-отн'!$U$2:$U$107</c:f>
              <c:numCache>
                <c:formatCode>0.00</c:formatCode>
                <c:ptCount val="106"/>
                <c:pt idx="0">
                  <c:v>0</c:v>
                </c:pt>
                <c:pt idx="1">
                  <c:v>8.0000000000000002E-3</c:v>
                </c:pt>
                <c:pt idx="2">
                  <c:v>1.6363636363636365E-2</c:v>
                </c:pt>
                <c:pt idx="3">
                  <c:v>2.4727272727272726E-2</c:v>
                </c:pt>
                <c:pt idx="4">
                  <c:v>3.3818181818181817E-2</c:v>
                </c:pt>
                <c:pt idx="5">
                  <c:v>4.363636363636364E-2</c:v>
                </c:pt>
                <c:pt idx="6">
                  <c:v>5.3818181818181821E-2</c:v>
                </c:pt>
                <c:pt idx="7">
                  <c:v>6.363636363636363E-2</c:v>
                </c:pt>
                <c:pt idx="8">
                  <c:v>7.3818181818181824E-2</c:v>
                </c:pt>
                <c:pt idx="9">
                  <c:v>8.4000000000000005E-2</c:v>
                </c:pt>
                <c:pt idx="10">
                  <c:v>9.5272727272727273E-2</c:v>
                </c:pt>
                <c:pt idx="11">
                  <c:v>0.108</c:v>
                </c:pt>
                <c:pt idx="12">
                  <c:v>0.12072727272727272</c:v>
                </c:pt>
                <c:pt idx="13">
                  <c:v>0.13381818181818181</c:v>
                </c:pt>
                <c:pt idx="14">
                  <c:v>0.14690909090909091</c:v>
                </c:pt>
                <c:pt idx="15">
                  <c:v>0.16036363636363637</c:v>
                </c:pt>
                <c:pt idx="16">
                  <c:v>0.17345454545454544</c:v>
                </c:pt>
                <c:pt idx="17">
                  <c:v>0.18690909090909091</c:v>
                </c:pt>
                <c:pt idx="18">
                  <c:v>0.2</c:v>
                </c:pt>
                <c:pt idx="19">
                  <c:v>0.22981818181818181</c:v>
                </c:pt>
                <c:pt idx="20">
                  <c:v>0.25963636363636361</c:v>
                </c:pt>
                <c:pt idx="21">
                  <c:v>0.28945454545454546</c:v>
                </c:pt>
                <c:pt idx="22">
                  <c:v>0.31927272727272726</c:v>
                </c:pt>
                <c:pt idx="23">
                  <c:v>0.34909090909090912</c:v>
                </c:pt>
                <c:pt idx="24">
                  <c:v>0.38290909090909092</c:v>
                </c:pt>
                <c:pt idx="25">
                  <c:v>0.4232727272727273</c:v>
                </c:pt>
                <c:pt idx="26">
                  <c:v>0.46472727272727271</c:v>
                </c:pt>
                <c:pt idx="27">
                  <c:v>0.50763636363636366</c:v>
                </c:pt>
                <c:pt idx="28">
                  <c:v>0.55163636363636359</c:v>
                </c:pt>
                <c:pt idx="29">
                  <c:v>0.59672727272727277</c:v>
                </c:pt>
                <c:pt idx="30">
                  <c:v>0.65381818181818185</c:v>
                </c:pt>
                <c:pt idx="31">
                  <c:v>0.70399999999999996</c:v>
                </c:pt>
                <c:pt idx="32">
                  <c:v>0.75563636363636366</c:v>
                </c:pt>
                <c:pt idx="33">
                  <c:v>0.80872727272727274</c:v>
                </c:pt>
                <c:pt idx="34">
                  <c:v>0.89425454545454541</c:v>
                </c:pt>
                <c:pt idx="35">
                  <c:v>0.99130909090909103</c:v>
                </c:pt>
                <c:pt idx="36">
                  <c:v>1.0986909090909089</c:v>
                </c:pt>
                <c:pt idx="37">
                  <c:v>1.2150545454545454</c:v>
                </c:pt>
                <c:pt idx="38">
                  <c:v>1.3386181818181817</c:v>
                </c:pt>
                <c:pt idx="39">
                  <c:v>1.4672727272727273</c:v>
                </c:pt>
                <c:pt idx="40">
                  <c:v>1.5984727272727273</c:v>
                </c:pt>
                <c:pt idx="41">
                  <c:v>1.7289818181818182</c:v>
                </c:pt>
                <c:pt idx="42">
                  <c:v>1.8536727272727274</c:v>
                </c:pt>
                <c:pt idx="43">
                  <c:v>1.9673090909090911</c:v>
                </c:pt>
                <c:pt idx="44">
                  <c:v>2.074872727272727</c:v>
                </c:pt>
                <c:pt idx="45">
                  <c:v>2.1843272727272725</c:v>
                </c:pt>
                <c:pt idx="46">
                  <c:v>2.2959999999999998</c:v>
                </c:pt>
                <c:pt idx="47">
                  <c:v>2.4100727272727274</c:v>
                </c:pt>
                <c:pt idx="48">
                  <c:v>2.526472727272727</c:v>
                </c:pt>
                <c:pt idx="49">
                  <c:v>2.6454181818181817</c:v>
                </c:pt>
                <c:pt idx="50">
                  <c:v>2.7667272727272727</c:v>
                </c:pt>
                <c:pt idx="51">
                  <c:v>2.89</c:v>
                </c:pt>
                <c:pt idx="52">
                  <c:v>3.0146545454545453</c:v>
                </c:pt>
                <c:pt idx="53">
                  <c:v>3.1410181818181817</c:v>
                </c:pt>
                <c:pt idx="54">
                  <c:v>3.2694545454545456</c:v>
                </c:pt>
                <c:pt idx="55">
                  <c:v>3.399709090909091</c:v>
                </c:pt>
                <c:pt idx="56">
                  <c:v>3.5321818181818183</c:v>
                </c:pt>
                <c:pt idx="57">
                  <c:v>3.6674181818181815</c:v>
                </c:pt>
                <c:pt idx="58">
                  <c:v>3.8057818181818179</c:v>
                </c:pt>
                <c:pt idx="59">
                  <c:v>3.9477454545454544</c:v>
                </c:pt>
                <c:pt idx="60">
                  <c:v>4.0933818181818182</c:v>
                </c:pt>
                <c:pt idx="61">
                  <c:v>4.2424363636363642</c:v>
                </c:pt>
                <c:pt idx="62">
                  <c:v>4.3944000000000001</c:v>
                </c:pt>
                <c:pt idx="63">
                  <c:v>4.5484363636363643</c:v>
                </c:pt>
                <c:pt idx="64">
                  <c:v>4.7044727272727274</c:v>
                </c:pt>
                <c:pt idx="65">
                  <c:v>4.8625090909090911</c:v>
                </c:pt>
                <c:pt idx="66">
                  <c:v>5.0226181818181823</c:v>
                </c:pt>
                <c:pt idx="67">
                  <c:v>5.1850181818181813</c:v>
                </c:pt>
                <c:pt idx="68">
                  <c:v>5.3496000000000006</c:v>
                </c:pt>
                <c:pt idx="69">
                  <c:v>5.5176363636363632</c:v>
                </c:pt>
                <c:pt idx="70">
                  <c:v>5.6890909090909094</c:v>
                </c:pt>
                <c:pt idx="71">
                  <c:v>5.8621818181818179</c:v>
                </c:pt>
                <c:pt idx="72">
                  <c:v>6.0359636363636371</c:v>
                </c:pt>
                <c:pt idx="73">
                  <c:v>6.2098181818181821</c:v>
                </c:pt>
                <c:pt idx="74">
                  <c:v>6.3836000000000004</c:v>
                </c:pt>
                <c:pt idx="75">
                  <c:v>6.5566909090909098</c:v>
                </c:pt>
                <c:pt idx="76">
                  <c:v>6.7289090909090907</c:v>
                </c:pt>
                <c:pt idx="77">
                  <c:v>6.9000727272727271</c:v>
                </c:pt>
                <c:pt idx="78">
                  <c:v>7.070472727272727</c:v>
                </c:pt>
                <c:pt idx="79">
                  <c:v>7.2407636363636358</c:v>
                </c:pt>
                <c:pt idx="80">
                  <c:v>7.4115272727272732</c:v>
                </c:pt>
                <c:pt idx="81">
                  <c:v>7.5822909090909087</c:v>
                </c:pt>
                <c:pt idx="82">
                  <c:v>7.7514909090909088</c:v>
                </c:pt>
                <c:pt idx="83">
                  <c:v>7.9188000000000001</c:v>
                </c:pt>
                <c:pt idx="84">
                  <c:v>8.0836000000000006</c:v>
                </c:pt>
                <c:pt idx="85">
                  <c:v>8.2493454545454554</c:v>
                </c:pt>
                <c:pt idx="86">
                  <c:v>8.4155272727272727</c:v>
                </c:pt>
                <c:pt idx="87">
                  <c:v>8.578472727272727</c:v>
                </c:pt>
                <c:pt idx="88">
                  <c:v>8.7402909090909091</c:v>
                </c:pt>
                <c:pt idx="89">
                  <c:v>8.8998909090909102</c:v>
                </c:pt>
                <c:pt idx="90">
                  <c:v>9.0543272727272726</c:v>
                </c:pt>
                <c:pt idx="91">
                  <c:v>9.2013454545454554</c:v>
                </c:pt>
                <c:pt idx="92">
                  <c:v>9.3412000000000006</c:v>
                </c:pt>
                <c:pt idx="93">
                  <c:v>9.4774909090909087</c:v>
                </c:pt>
                <c:pt idx="94">
                  <c:v>9.6128</c:v>
                </c:pt>
                <c:pt idx="95">
                  <c:v>9.7468363636363637</c:v>
                </c:pt>
                <c:pt idx="96">
                  <c:v>9.8771636363636368</c:v>
                </c:pt>
                <c:pt idx="97">
                  <c:v>10.001490909090908</c:v>
                </c:pt>
                <c:pt idx="98">
                  <c:v>10.117818181818182</c:v>
                </c:pt>
                <c:pt idx="99">
                  <c:v>10.187527272727273</c:v>
                </c:pt>
                <c:pt idx="100">
                  <c:v>10.114654545454545</c:v>
                </c:pt>
                <c:pt idx="101">
                  <c:v>9.8391272727272714</c:v>
                </c:pt>
                <c:pt idx="102">
                  <c:v>9.5229454545454537</c:v>
                </c:pt>
                <c:pt idx="103">
                  <c:v>9.3433090909090897</c:v>
                </c:pt>
                <c:pt idx="104">
                  <c:v>9.2682909090909096</c:v>
                </c:pt>
                <c:pt idx="105">
                  <c:v>9.2592727272727267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07DE-4083-8C5B-1136608130D6}"/>
            </c:ext>
          </c:extLst>
        </c:ser>
        <c:ser>
          <c:idx val="20"/>
          <c:order val="20"/>
          <c:tx>
            <c:strRef>
              <c:f>'вместе-отн'!$V$1</c:f>
              <c:strCache>
                <c:ptCount val="1"/>
                <c:pt idx="0">
                  <c:v>РСФСР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'вместе-отн'!$A$2:$A$107</c:f>
              <c:numCache>
                <c:formatCode>0</c:formatCode>
                <c:ptCount val="106"/>
                <c:pt idx="0">
                  <c:v>1917</c:v>
                </c:pt>
                <c:pt idx="1">
                  <c:v>1918</c:v>
                </c:pt>
                <c:pt idx="2">
                  <c:v>1919</c:v>
                </c:pt>
                <c:pt idx="3">
                  <c:v>1920</c:v>
                </c:pt>
                <c:pt idx="4">
                  <c:v>1921</c:v>
                </c:pt>
                <c:pt idx="5">
                  <c:v>1922</c:v>
                </c:pt>
                <c:pt idx="6">
                  <c:v>1923</c:v>
                </c:pt>
                <c:pt idx="7">
                  <c:v>1924</c:v>
                </c:pt>
                <c:pt idx="8">
                  <c:v>1925</c:v>
                </c:pt>
                <c:pt idx="9">
                  <c:v>1926</c:v>
                </c:pt>
                <c:pt idx="10">
                  <c:v>1927</c:v>
                </c:pt>
                <c:pt idx="11">
                  <c:v>1928</c:v>
                </c:pt>
                <c:pt idx="12">
                  <c:v>1929</c:v>
                </c:pt>
                <c:pt idx="13">
                  <c:v>1930</c:v>
                </c:pt>
                <c:pt idx="14">
                  <c:v>1931</c:v>
                </c:pt>
                <c:pt idx="15">
                  <c:v>1932</c:v>
                </c:pt>
                <c:pt idx="16">
                  <c:v>1933</c:v>
                </c:pt>
                <c:pt idx="17">
                  <c:v>1934</c:v>
                </c:pt>
                <c:pt idx="18">
                  <c:v>1935</c:v>
                </c:pt>
                <c:pt idx="19">
                  <c:v>1936</c:v>
                </c:pt>
                <c:pt idx="20">
                  <c:v>1937</c:v>
                </c:pt>
                <c:pt idx="21">
                  <c:v>1938</c:v>
                </c:pt>
                <c:pt idx="22">
                  <c:v>1939</c:v>
                </c:pt>
                <c:pt idx="23">
                  <c:v>1940</c:v>
                </c:pt>
                <c:pt idx="24">
                  <c:v>1941</c:v>
                </c:pt>
                <c:pt idx="25">
                  <c:v>1942</c:v>
                </c:pt>
                <c:pt idx="26">
                  <c:v>1943</c:v>
                </c:pt>
                <c:pt idx="27">
                  <c:v>1944</c:v>
                </c:pt>
                <c:pt idx="28">
                  <c:v>1945</c:v>
                </c:pt>
                <c:pt idx="29">
                  <c:v>1946</c:v>
                </c:pt>
                <c:pt idx="30">
                  <c:v>1947</c:v>
                </c:pt>
                <c:pt idx="31">
                  <c:v>1948</c:v>
                </c:pt>
                <c:pt idx="32">
                  <c:v>1949</c:v>
                </c:pt>
                <c:pt idx="33">
                  <c:v>1950</c:v>
                </c:pt>
                <c:pt idx="34">
                  <c:v>1951</c:v>
                </c:pt>
                <c:pt idx="35">
                  <c:v>1952</c:v>
                </c:pt>
                <c:pt idx="36">
                  <c:v>1953</c:v>
                </c:pt>
                <c:pt idx="37">
                  <c:v>1954</c:v>
                </c:pt>
                <c:pt idx="38">
                  <c:v>1955</c:v>
                </c:pt>
                <c:pt idx="39">
                  <c:v>1956</c:v>
                </c:pt>
                <c:pt idx="40">
                  <c:v>1957</c:v>
                </c:pt>
                <c:pt idx="41">
                  <c:v>1958</c:v>
                </c:pt>
                <c:pt idx="42">
                  <c:v>1959</c:v>
                </c:pt>
                <c:pt idx="43">
                  <c:v>1960</c:v>
                </c:pt>
                <c:pt idx="44">
                  <c:v>1961</c:v>
                </c:pt>
                <c:pt idx="45">
                  <c:v>1962</c:v>
                </c:pt>
                <c:pt idx="46">
                  <c:v>1963</c:v>
                </c:pt>
                <c:pt idx="47">
                  <c:v>1964</c:v>
                </c:pt>
                <c:pt idx="48">
                  <c:v>1965</c:v>
                </c:pt>
                <c:pt idx="49">
                  <c:v>1966</c:v>
                </c:pt>
                <c:pt idx="50">
                  <c:v>1967</c:v>
                </c:pt>
                <c:pt idx="51">
                  <c:v>1968</c:v>
                </c:pt>
                <c:pt idx="52">
                  <c:v>1969</c:v>
                </c:pt>
                <c:pt idx="53">
                  <c:v>1970</c:v>
                </c:pt>
                <c:pt idx="54">
                  <c:v>1971</c:v>
                </c:pt>
                <c:pt idx="55">
                  <c:v>1972</c:v>
                </c:pt>
                <c:pt idx="56">
                  <c:v>1973</c:v>
                </c:pt>
                <c:pt idx="57">
                  <c:v>1974</c:v>
                </c:pt>
                <c:pt idx="58">
                  <c:v>1975</c:v>
                </c:pt>
                <c:pt idx="59">
                  <c:v>1976</c:v>
                </c:pt>
                <c:pt idx="60">
                  <c:v>1977</c:v>
                </c:pt>
                <c:pt idx="61">
                  <c:v>1978</c:v>
                </c:pt>
                <c:pt idx="62">
                  <c:v>1979</c:v>
                </c:pt>
                <c:pt idx="63">
                  <c:v>1980</c:v>
                </c:pt>
                <c:pt idx="64">
                  <c:v>1981</c:v>
                </c:pt>
                <c:pt idx="65">
                  <c:v>1982</c:v>
                </c:pt>
                <c:pt idx="66">
                  <c:v>1983</c:v>
                </c:pt>
                <c:pt idx="67">
                  <c:v>1984</c:v>
                </c:pt>
                <c:pt idx="68">
                  <c:v>1985</c:v>
                </c:pt>
                <c:pt idx="69">
                  <c:v>1986</c:v>
                </c:pt>
                <c:pt idx="70">
                  <c:v>1987</c:v>
                </c:pt>
                <c:pt idx="71">
                  <c:v>1988</c:v>
                </c:pt>
                <c:pt idx="72">
                  <c:v>1989</c:v>
                </c:pt>
                <c:pt idx="73">
                  <c:v>1990</c:v>
                </c:pt>
                <c:pt idx="74">
                  <c:v>1991</c:v>
                </c:pt>
                <c:pt idx="75">
                  <c:v>1992</c:v>
                </c:pt>
                <c:pt idx="76">
                  <c:v>1993</c:v>
                </c:pt>
                <c:pt idx="77">
                  <c:v>1994</c:v>
                </c:pt>
                <c:pt idx="78">
                  <c:v>1995</c:v>
                </c:pt>
                <c:pt idx="79">
                  <c:v>1996</c:v>
                </c:pt>
                <c:pt idx="80">
                  <c:v>1997</c:v>
                </c:pt>
                <c:pt idx="81">
                  <c:v>1998</c:v>
                </c:pt>
                <c:pt idx="82">
                  <c:v>1999</c:v>
                </c:pt>
                <c:pt idx="83">
                  <c:v>2000</c:v>
                </c:pt>
                <c:pt idx="84">
                  <c:v>2001</c:v>
                </c:pt>
                <c:pt idx="85">
                  <c:v>2002</c:v>
                </c:pt>
                <c:pt idx="86">
                  <c:v>2003</c:v>
                </c:pt>
                <c:pt idx="87">
                  <c:v>2004</c:v>
                </c:pt>
                <c:pt idx="88">
                  <c:v>2005</c:v>
                </c:pt>
                <c:pt idx="89">
                  <c:v>2006</c:v>
                </c:pt>
                <c:pt idx="90">
                  <c:v>2007</c:v>
                </c:pt>
                <c:pt idx="91">
                  <c:v>2008</c:v>
                </c:pt>
                <c:pt idx="92">
                  <c:v>2009</c:v>
                </c:pt>
                <c:pt idx="93">
                  <c:v>2010</c:v>
                </c:pt>
                <c:pt idx="94">
                  <c:v>2011</c:v>
                </c:pt>
                <c:pt idx="95">
                  <c:v>2012</c:v>
                </c:pt>
                <c:pt idx="96">
                  <c:v>2013</c:v>
                </c:pt>
                <c:pt idx="97">
                  <c:v>2014</c:v>
                </c:pt>
                <c:pt idx="98">
                  <c:v>2015</c:v>
                </c:pt>
                <c:pt idx="99">
                  <c:v>2016</c:v>
                </c:pt>
                <c:pt idx="100">
                  <c:v>2017</c:v>
                </c:pt>
                <c:pt idx="101">
                  <c:v>2018</c:v>
                </c:pt>
                <c:pt idx="102">
                  <c:v>2019</c:v>
                </c:pt>
                <c:pt idx="103">
                  <c:v>2020</c:v>
                </c:pt>
                <c:pt idx="104">
                  <c:v>2021</c:v>
                </c:pt>
                <c:pt idx="105">
                  <c:v>2022</c:v>
                </c:pt>
              </c:numCache>
            </c:numRef>
          </c:xVal>
          <c:yVal>
            <c:numRef>
              <c:f>'вместе-отн'!$V$2:$V$107</c:f>
              <c:numCache>
                <c:formatCode>0.00</c:formatCode>
                <c:ptCount val="106"/>
                <c:pt idx="0">
                  <c:v>0</c:v>
                </c:pt>
                <c:pt idx="1">
                  <c:v>-1.0186813186813188E-2</c:v>
                </c:pt>
                <c:pt idx="2">
                  <c:v>-2.0274725274725274E-2</c:v>
                </c:pt>
                <c:pt idx="3">
                  <c:v>-3.0252747252747254E-2</c:v>
                </c:pt>
                <c:pt idx="4">
                  <c:v>-3.2054945054945057E-2</c:v>
                </c:pt>
                <c:pt idx="5">
                  <c:v>-3.3857142857142856E-2</c:v>
                </c:pt>
                <c:pt idx="6">
                  <c:v>-3.5659340659340656E-2</c:v>
                </c:pt>
                <c:pt idx="7">
                  <c:v>-1.7747252747252747E-2</c:v>
                </c:pt>
                <c:pt idx="8">
                  <c:v>4.8351648351648349E-4</c:v>
                </c:pt>
                <c:pt idx="9">
                  <c:v>1.9065934065934067E-2</c:v>
                </c:pt>
                <c:pt idx="10">
                  <c:v>2.8615384615384615E-2</c:v>
                </c:pt>
                <c:pt idx="11">
                  <c:v>5.0406593406593404E-2</c:v>
                </c:pt>
                <c:pt idx="12">
                  <c:v>7.3857142857142857E-2</c:v>
                </c:pt>
                <c:pt idx="13">
                  <c:v>9.4131868131868135E-2</c:v>
                </c:pt>
                <c:pt idx="14">
                  <c:v>0.11287912087912087</c:v>
                </c:pt>
                <c:pt idx="15">
                  <c:v>0.12774725274725274</c:v>
                </c:pt>
                <c:pt idx="16">
                  <c:v>0.13898901098901098</c:v>
                </c:pt>
                <c:pt idx="17">
                  <c:v>0.11827472527472528</c:v>
                </c:pt>
                <c:pt idx="18">
                  <c:v>0.12175824175824176</c:v>
                </c:pt>
                <c:pt idx="19">
                  <c:v>0.13503296703296702</c:v>
                </c:pt>
                <c:pt idx="20">
                  <c:v>0.14857142857142858</c:v>
                </c:pt>
                <c:pt idx="21">
                  <c:v>0.16697802197802197</c:v>
                </c:pt>
                <c:pt idx="22">
                  <c:v>0.18563736263736264</c:v>
                </c:pt>
                <c:pt idx="23">
                  <c:v>0.20525274725274725</c:v>
                </c:pt>
                <c:pt idx="24">
                  <c:v>0.21964835164835164</c:v>
                </c:pt>
                <c:pt idx="25">
                  <c:v>0.18856043956043955</c:v>
                </c:pt>
                <c:pt idx="26">
                  <c:v>0.15827472527472528</c:v>
                </c:pt>
                <c:pt idx="27">
                  <c:v>0.12875824175824177</c:v>
                </c:pt>
                <c:pt idx="28">
                  <c:v>9.9989010989010987E-2</c:v>
                </c:pt>
                <c:pt idx="29">
                  <c:v>7.195604395604395E-2</c:v>
                </c:pt>
                <c:pt idx="30">
                  <c:v>8.251648351648351E-2</c:v>
                </c:pt>
                <c:pt idx="31">
                  <c:v>8.9659340659340656E-2</c:v>
                </c:pt>
                <c:pt idx="32">
                  <c:v>0.10167032967032967</c:v>
                </c:pt>
                <c:pt idx="33">
                  <c:v>0.12161538461538461</c:v>
                </c:pt>
                <c:pt idx="34">
                  <c:v>0.13845054945054944</c:v>
                </c:pt>
                <c:pt idx="35">
                  <c:v>0.15690109890109891</c:v>
                </c:pt>
                <c:pt idx="36">
                  <c:v>0.17636263736263735</c:v>
                </c:pt>
                <c:pt idx="37">
                  <c:v>0.19348351648351647</c:v>
                </c:pt>
                <c:pt idx="38">
                  <c:v>0.21624175824175823</c:v>
                </c:pt>
                <c:pt idx="39">
                  <c:v>0.23587912087912088</c:v>
                </c:pt>
                <c:pt idx="40">
                  <c:v>0.25482417582417582</c:v>
                </c:pt>
                <c:pt idx="41">
                  <c:v>0.27341758241758241</c:v>
                </c:pt>
                <c:pt idx="42">
                  <c:v>0.2924835164835165</c:v>
                </c:pt>
                <c:pt idx="43">
                  <c:v>0.30819780219780218</c:v>
                </c:pt>
                <c:pt idx="44">
                  <c:v>0.32709890109890111</c:v>
                </c:pt>
                <c:pt idx="45">
                  <c:v>0.34513186813186814</c:v>
                </c:pt>
                <c:pt idx="46">
                  <c:v>0.36096703296703297</c:v>
                </c:pt>
                <c:pt idx="47">
                  <c:v>0.37559340659340662</c:v>
                </c:pt>
                <c:pt idx="48">
                  <c:v>0.38801098901098902</c:v>
                </c:pt>
                <c:pt idx="49">
                  <c:v>0.39768131868131867</c:v>
                </c:pt>
                <c:pt idx="50">
                  <c:v>0.40687912087912087</c:v>
                </c:pt>
                <c:pt idx="51">
                  <c:v>0.41424175824175824</c:v>
                </c:pt>
                <c:pt idx="52">
                  <c:v>0.42174725274725272</c:v>
                </c:pt>
                <c:pt idx="53">
                  <c:v>0.42943956043956044</c:v>
                </c:pt>
                <c:pt idx="54">
                  <c:v>0.43630769230769229</c:v>
                </c:pt>
                <c:pt idx="55">
                  <c:v>0.44445054945054946</c:v>
                </c:pt>
                <c:pt idx="56">
                  <c:v>0.45285714285714285</c:v>
                </c:pt>
                <c:pt idx="57">
                  <c:v>0.46089010989010987</c:v>
                </c:pt>
                <c:pt idx="58">
                  <c:v>0.47005494505494505</c:v>
                </c:pt>
                <c:pt idx="59">
                  <c:v>0.48010989010989014</c:v>
                </c:pt>
                <c:pt idx="60">
                  <c:v>0.49060439560439562</c:v>
                </c:pt>
                <c:pt idx="61">
                  <c:v>0.50105494505494508</c:v>
                </c:pt>
                <c:pt idx="62">
                  <c:v>0.51154945054945056</c:v>
                </c:pt>
                <c:pt idx="63">
                  <c:v>0.51968131868131873</c:v>
                </c:pt>
                <c:pt idx="64">
                  <c:v>0.52778021978021983</c:v>
                </c:pt>
                <c:pt idx="65">
                  <c:v>0.53643956043956043</c:v>
                </c:pt>
                <c:pt idx="66">
                  <c:v>0.54687912087912083</c:v>
                </c:pt>
                <c:pt idx="67">
                  <c:v>0.55870329670329666</c:v>
                </c:pt>
                <c:pt idx="68">
                  <c:v>0.56948351648351647</c:v>
                </c:pt>
                <c:pt idx="69">
                  <c:v>0.58060439560439558</c:v>
                </c:pt>
                <c:pt idx="70">
                  <c:v>0.59467032967032962</c:v>
                </c:pt>
                <c:pt idx="71">
                  <c:v>0.60816483516483522</c:v>
                </c:pt>
                <c:pt idx="72">
                  <c:v>0.61562527472527462</c:v>
                </c:pt>
                <c:pt idx="73">
                  <c:v>0.62269340659340666</c:v>
                </c:pt>
                <c:pt idx="74">
                  <c:v>0.62938131868131886</c:v>
                </c:pt>
                <c:pt idx="75">
                  <c:v>0.6320296703296705</c:v>
                </c:pt>
                <c:pt idx="76">
                  <c:v>0.63254615384615398</c:v>
                </c:pt>
                <c:pt idx="77">
                  <c:v>0.63028461538461533</c:v>
                </c:pt>
                <c:pt idx="78">
                  <c:v>0.63142747252747244</c:v>
                </c:pt>
                <c:pt idx="79">
                  <c:v>0.62957802197802204</c:v>
                </c:pt>
                <c:pt idx="80">
                  <c:v>0.62668791208791219</c:v>
                </c:pt>
                <c:pt idx="81">
                  <c:v>0.62419890109890119</c:v>
                </c:pt>
                <c:pt idx="82">
                  <c:v>0.62131208791208781</c:v>
                </c:pt>
                <c:pt idx="83">
                  <c:v>0.61417692307692318</c:v>
                </c:pt>
                <c:pt idx="84">
                  <c:v>0.60773186813186819</c:v>
                </c:pt>
                <c:pt idx="85">
                  <c:v>0.60054175824175815</c:v>
                </c:pt>
                <c:pt idx="86">
                  <c:v>0.59300659340659345</c:v>
                </c:pt>
                <c:pt idx="87">
                  <c:v>0.58608351648351653</c:v>
                </c:pt>
                <c:pt idx="88">
                  <c:v>0.58023076923076922</c:v>
                </c:pt>
                <c:pt idx="89">
                  <c:v>0.57402857142857144</c:v>
                </c:pt>
                <c:pt idx="90">
                  <c:v>0.5699197802197804</c:v>
                </c:pt>
                <c:pt idx="91">
                  <c:v>0.56865384615384618</c:v>
                </c:pt>
                <c:pt idx="92">
                  <c:v>0.56854065934065945</c:v>
                </c:pt>
                <c:pt idx="93">
                  <c:v>0.5695989010989011</c:v>
                </c:pt>
                <c:pt idx="94">
                  <c:v>0.56994945054945045</c:v>
                </c:pt>
                <c:pt idx="95">
                  <c:v>0.5733076923076923</c:v>
                </c:pt>
                <c:pt idx="96">
                  <c:v>0.5778670329670329</c:v>
                </c:pt>
                <c:pt idx="97">
                  <c:v>0.58269560439560431</c:v>
                </c:pt>
                <c:pt idx="98">
                  <c:v>0.58724245054945046</c:v>
                </c:pt>
                <c:pt idx="99">
                  <c:v>0.59151848351648351</c:v>
                </c:pt>
                <c:pt idx="100">
                  <c:v>0.59510390109890099</c:v>
                </c:pt>
                <c:pt idx="101">
                  <c:v>0.59720631868131857</c:v>
                </c:pt>
                <c:pt idx="102">
                  <c:v>0.59808559340659329</c:v>
                </c:pt>
                <c:pt idx="103">
                  <c:v>0.5972452087912089</c:v>
                </c:pt>
                <c:pt idx="104">
                  <c:v>0.59336321978021989</c:v>
                </c:pt>
                <c:pt idx="105">
                  <c:v>0.5878235604395603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07DE-4083-8C5B-113660813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600560"/>
        <c:axId val="770595312"/>
      </c:scatterChart>
      <c:valAx>
        <c:axId val="770600560"/>
        <c:scaling>
          <c:orientation val="minMax"/>
          <c:max val="2020"/>
          <c:min val="19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0595312"/>
        <c:crosses val="autoZero"/>
        <c:crossBetween val="midCat"/>
        <c:majorUnit val="10"/>
      </c:valAx>
      <c:valAx>
        <c:axId val="770595312"/>
        <c:scaling>
          <c:orientation val="minMax"/>
          <c:max val="15"/>
          <c:min val="-1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0600560"/>
        <c:crosses val="max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 i="0" baseline="0"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165</xdr:row>
      <xdr:rowOff>180974</xdr:rowOff>
    </xdr:from>
    <xdr:to>
      <xdr:col>30</xdr:col>
      <xdr:colOff>0</xdr:colOff>
      <xdr:row>225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94A377-01EA-44DB-923B-2D72107F3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</xdr:colOff>
      <xdr:row>107</xdr:row>
      <xdr:rowOff>185736</xdr:rowOff>
    </xdr:from>
    <xdr:to>
      <xdr:col>30</xdr:col>
      <xdr:colOff>0</xdr:colOff>
      <xdr:row>163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08B135-A690-4C47-970D-6229F4917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0.11063</cdr:x>
      <cdr:y>0.07179</cdr:y>
    </cdr:from>
    <cdr:to>
      <cdr:x>0.56503</cdr:x>
      <cdr:y>0.18614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7B6B43-2DB4-41F1-8B6E-1858F8AC778D}"/>
            </a:ext>
          </a:extLst>
        </cdr:cNvPr>
        <cdr:cNvSpPr txBox="1"/>
      </cdr:nvSpPr>
      <cdr:spPr>
        <a:xfrm xmlns:a="http://schemas.openxmlformats.org/drawingml/2006/main">
          <a:off x="1952623" y="819150"/>
          <a:ext cx="8020051" cy="13049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3600" b="1"/>
            <a:t>Прирост численности населения стран</a:t>
          </a:r>
        </a:p>
        <a:p xmlns:a="http://schemas.openxmlformats.org/drawingml/2006/main">
          <a:r>
            <a:rPr lang="ru-RU" sz="3600" b="1"/>
            <a:t>сравнительно с 1917 годом (разы)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0.06236</cdr:x>
      <cdr:y>0.0577</cdr:y>
    </cdr:from>
    <cdr:to>
      <cdr:x>0.54696</cdr:x>
      <cdr:y>0.31304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268D55E-16F6-45E5-AE5B-6BAB91CFD801}"/>
            </a:ext>
          </a:extLst>
        </cdr:cNvPr>
        <cdr:cNvSpPr txBox="1"/>
      </cdr:nvSpPr>
      <cdr:spPr>
        <a:xfrm xmlns:a="http://schemas.openxmlformats.org/drawingml/2006/main">
          <a:off x="1166813" y="604838"/>
          <a:ext cx="9067800" cy="2676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0.06134</cdr:x>
      <cdr:y>0.05498</cdr:y>
    </cdr:from>
    <cdr:to>
      <cdr:x>0.43395</cdr:x>
      <cdr:y>0.29214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124FAD8-BD93-4EDB-9210-6A75AC948357}"/>
            </a:ext>
          </a:extLst>
        </cdr:cNvPr>
        <cdr:cNvSpPr txBox="1"/>
      </cdr:nvSpPr>
      <cdr:spPr>
        <a:xfrm xmlns:a="http://schemas.openxmlformats.org/drawingml/2006/main">
          <a:off x="1147763" y="576263"/>
          <a:ext cx="6972300" cy="2486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0.05828</cdr:x>
      <cdr:y>0.04316</cdr:y>
    </cdr:from>
    <cdr:to>
      <cdr:x>0.51285</cdr:x>
      <cdr:y>0.18855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CF327FC-A6A0-48DC-A189-FF5ED33E8FE1}"/>
            </a:ext>
          </a:extLst>
        </cdr:cNvPr>
        <cdr:cNvSpPr txBox="1"/>
      </cdr:nvSpPr>
      <cdr:spPr>
        <a:xfrm xmlns:a="http://schemas.openxmlformats.org/drawingml/2006/main">
          <a:off x="1090613" y="452439"/>
          <a:ext cx="8505825" cy="152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ru-RU" sz="3600" b="1">
              <a:effectLst/>
              <a:latin typeface="+mn-lt"/>
              <a:ea typeface="+mn-ea"/>
              <a:cs typeface="+mn-cs"/>
            </a:rPr>
            <a:t>Прирост численности населения стран</a:t>
          </a:r>
          <a:endParaRPr lang="ru-RU" sz="3600">
            <a:effectLst/>
          </a:endParaRPr>
        </a:p>
        <a:p xmlns:a="http://schemas.openxmlformats.org/drawingml/2006/main">
          <a:r>
            <a:rPr lang="ru-RU" sz="3600" b="1">
              <a:effectLst/>
              <a:latin typeface="+mn-lt"/>
              <a:ea typeface="+mn-ea"/>
              <a:cs typeface="+mn-cs"/>
            </a:rPr>
            <a:t>сравнительно с 1917 годом</a:t>
          </a:r>
          <a:r>
            <a:rPr lang="en-US" sz="3600" b="1">
              <a:effectLst/>
              <a:latin typeface="+mn-lt"/>
              <a:ea typeface="+mn-ea"/>
              <a:cs typeface="+mn-cs"/>
            </a:rPr>
            <a:t> (</a:t>
          </a:r>
          <a:r>
            <a:rPr lang="ru-RU" sz="3600" b="1">
              <a:effectLst/>
              <a:latin typeface="+mn-lt"/>
              <a:ea typeface="+mn-ea"/>
              <a:cs typeface="+mn-cs"/>
            </a:rPr>
            <a:t>разы)</a:t>
          </a:r>
          <a:endParaRPr lang="ru-RU" sz="36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652F-D782-4B7C-88EB-67D8DCBAAE8F}">
  <dimension ref="A1:C50"/>
  <sheetViews>
    <sheetView workbookViewId="0">
      <selection activeCell="B4" sqref="B4"/>
    </sheetView>
  </sheetViews>
  <sheetFormatPr defaultRowHeight="15" x14ac:dyDescent="0.25"/>
  <sheetData>
    <row r="1" spans="1:2" x14ac:dyDescent="0.25">
      <c r="A1" s="11" t="s">
        <v>31</v>
      </c>
    </row>
    <row r="2" spans="1:2" x14ac:dyDescent="0.25">
      <c r="A2" s="11"/>
    </row>
    <row r="3" spans="1:2" x14ac:dyDescent="0.25">
      <c r="A3" s="11"/>
      <c r="B3" t="s">
        <v>53</v>
      </c>
    </row>
    <row r="4" spans="1:2" x14ac:dyDescent="0.25">
      <c r="A4" s="11"/>
    </row>
    <row r="5" spans="1:2" x14ac:dyDescent="0.25">
      <c r="B5" s="1" t="s">
        <v>49</v>
      </c>
    </row>
    <row r="6" spans="1:2" x14ac:dyDescent="0.25">
      <c r="B6" s="1" t="s">
        <v>0</v>
      </c>
    </row>
    <row r="7" spans="1:2" x14ac:dyDescent="0.25">
      <c r="B7" t="s">
        <v>26</v>
      </c>
    </row>
    <row r="8" spans="1:2" x14ac:dyDescent="0.25">
      <c r="B8" t="s">
        <v>23</v>
      </c>
    </row>
    <row r="10" spans="1:2" x14ac:dyDescent="0.25">
      <c r="B10" t="s">
        <v>24</v>
      </c>
    </row>
    <row r="12" spans="1:2" x14ac:dyDescent="0.25">
      <c r="B12" t="s">
        <v>25</v>
      </c>
    </row>
    <row r="14" spans="1:2" x14ac:dyDescent="0.25">
      <c r="B14" t="s">
        <v>22</v>
      </c>
    </row>
    <row r="16" spans="1:2" x14ac:dyDescent="0.25">
      <c r="B16" t="s">
        <v>27</v>
      </c>
    </row>
    <row r="17" spans="1:3" x14ac:dyDescent="0.25">
      <c r="B17" t="s">
        <v>28</v>
      </c>
    </row>
    <row r="18" spans="1:3" x14ac:dyDescent="0.25">
      <c r="B18" t="s">
        <v>30</v>
      </c>
    </row>
    <row r="19" spans="1:3" x14ac:dyDescent="0.25">
      <c r="B19" t="s">
        <v>29</v>
      </c>
    </row>
    <row r="21" spans="1:3" x14ac:dyDescent="0.25">
      <c r="B21" s="1" t="s">
        <v>50</v>
      </c>
    </row>
    <row r="22" spans="1:3" x14ac:dyDescent="0.25">
      <c r="B22" t="s">
        <v>51</v>
      </c>
    </row>
    <row r="24" spans="1:3" x14ac:dyDescent="0.25">
      <c r="B24" t="s">
        <v>52</v>
      </c>
    </row>
    <row r="26" spans="1:3" x14ac:dyDescent="0.25">
      <c r="A26" s="11" t="s">
        <v>38</v>
      </c>
    </row>
    <row r="28" spans="1:3" x14ac:dyDescent="0.25">
      <c r="A28">
        <v>1917</v>
      </c>
      <c r="C28" t="s">
        <v>36</v>
      </c>
    </row>
    <row r="29" spans="1:3" x14ac:dyDescent="0.25">
      <c r="A29">
        <v>1920</v>
      </c>
    </row>
    <row r="30" spans="1:3" x14ac:dyDescent="0.25">
      <c r="A30">
        <v>1923</v>
      </c>
    </row>
    <row r="31" spans="1:3" x14ac:dyDescent="0.25">
      <c r="A31">
        <v>1926</v>
      </c>
    </row>
    <row r="33" spans="1:3" x14ac:dyDescent="0.25">
      <c r="A33">
        <v>1918</v>
      </c>
      <c r="C33" t="s">
        <v>37</v>
      </c>
    </row>
    <row r="34" spans="1:3" x14ac:dyDescent="0.25">
      <c r="A34">
        <v>1919</v>
      </c>
    </row>
    <row r="35" spans="1:3" x14ac:dyDescent="0.25">
      <c r="A35">
        <v>1921</v>
      </c>
    </row>
    <row r="36" spans="1:3" x14ac:dyDescent="0.25">
      <c r="A36">
        <v>1922</v>
      </c>
    </row>
    <row r="37" spans="1:3" x14ac:dyDescent="0.25">
      <c r="A37">
        <v>1924</v>
      </c>
    </row>
    <row r="38" spans="1:3" x14ac:dyDescent="0.25">
      <c r="A38">
        <v>1925</v>
      </c>
    </row>
    <row r="40" spans="1:3" x14ac:dyDescent="0.25">
      <c r="A40" t="s">
        <v>32</v>
      </c>
      <c r="C40" t="s">
        <v>33</v>
      </c>
    </row>
    <row r="41" spans="1:3" x14ac:dyDescent="0.25">
      <c r="C41" t="s">
        <v>34</v>
      </c>
    </row>
    <row r="42" spans="1:3" x14ac:dyDescent="0.25">
      <c r="C42" t="s">
        <v>43</v>
      </c>
    </row>
    <row r="44" spans="1:3" x14ac:dyDescent="0.25">
      <c r="A44" t="s">
        <v>44</v>
      </c>
      <c r="C44" t="s">
        <v>37</v>
      </c>
    </row>
    <row r="46" spans="1:3" x14ac:dyDescent="0.25">
      <c r="A46" t="s">
        <v>39</v>
      </c>
      <c r="C46" t="s">
        <v>35</v>
      </c>
    </row>
    <row r="48" spans="1:3" x14ac:dyDescent="0.25">
      <c r="A48" t="s">
        <v>40</v>
      </c>
      <c r="C48" t="s">
        <v>41</v>
      </c>
    </row>
    <row r="49" spans="1:3" x14ac:dyDescent="0.25">
      <c r="A49" t="s">
        <v>45</v>
      </c>
      <c r="C49" t="s">
        <v>47</v>
      </c>
    </row>
    <row r="50" spans="1:3" x14ac:dyDescent="0.25">
      <c r="A50" t="s">
        <v>46</v>
      </c>
      <c r="C5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A5DEC-991A-4AEF-944B-3BBCD9B2F2C6}">
  <dimension ref="A1:U125"/>
  <sheetViews>
    <sheetView workbookViewId="0">
      <pane ySplit="1" topLeftCell="A62" activePane="bottomLeft" state="frozen"/>
      <selection pane="bottomLeft" activeCell="B19" sqref="B19:U124"/>
    </sheetView>
  </sheetViews>
  <sheetFormatPr defaultRowHeight="15" x14ac:dyDescent="0.25"/>
  <cols>
    <col min="1" max="1" width="5" bestFit="1" customWidth="1"/>
    <col min="2" max="2" width="10.5703125" style="2" bestFit="1" customWidth="1"/>
    <col min="3" max="3" width="8.7109375" style="2" bestFit="1" customWidth="1"/>
    <col min="4" max="4" width="9.5703125" style="2" bestFit="1" customWidth="1"/>
    <col min="5" max="5" width="6.5703125" style="2" bestFit="1" customWidth="1"/>
    <col min="6" max="6" width="10.28515625" style="2" bestFit="1" customWidth="1"/>
    <col min="7" max="7" width="11" style="2" bestFit="1" customWidth="1"/>
    <col min="8" max="8" width="6.5703125" style="2" bestFit="1" customWidth="1"/>
    <col min="9" max="9" width="27.28515625" style="2" bestFit="1" customWidth="1"/>
    <col min="10" max="10" width="8.7109375" style="2" bestFit="1" customWidth="1"/>
    <col min="11" max="11" width="15" style="2" bestFit="1" customWidth="1"/>
    <col min="12" max="12" width="10.5703125" style="2" bestFit="1" customWidth="1"/>
    <col min="13" max="13" width="6.5703125" style="2" bestFit="1" customWidth="1"/>
    <col min="14" max="14" width="9.42578125" style="2" bestFit="1" customWidth="1"/>
    <col min="15" max="15" width="9" style="2" bestFit="1" customWidth="1"/>
    <col min="16" max="16" width="10.28515625" style="2" bestFit="1" customWidth="1"/>
    <col min="17" max="17" width="8" style="2" bestFit="1" customWidth="1"/>
    <col min="18" max="18" width="9.28515625" style="2" bestFit="1" customWidth="1"/>
    <col min="19" max="19" width="6.5703125" style="2" bestFit="1" customWidth="1"/>
    <col min="20" max="20" width="8.140625" style="2" bestFit="1" customWidth="1"/>
    <col min="21" max="21" width="12" style="2" bestFit="1" customWidth="1"/>
  </cols>
  <sheetData>
    <row r="1" spans="1:21" x14ac:dyDescent="0.25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x14ac:dyDescent="0.25">
      <c r="A2" s="10">
        <v>1900</v>
      </c>
      <c r="B2" s="5">
        <v>4607</v>
      </c>
      <c r="C2" s="5">
        <v>1766</v>
      </c>
      <c r="D2" s="5">
        <v>17984</v>
      </c>
      <c r="E2" s="5">
        <v>2959</v>
      </c>
      <c r="F2" s="5">
        <v>3894</v>
      </c>
      <c r="G2" s="5">
        <v>307</v>
      </c>
      <c r="H2" s="5">
        <v>1600</v>
      </c>
      <c r="I2" s="5">
        <v>600</v>
      </c>
      <c r="J2" s="5">
        <v>1300</v>
      </c>
      <c r="K2" s="5">
        <v>801</v>
      </c>
      <c r="L2" s="5">
        <v>885</v>
      </c>
      <c r="M2" s="5">
        <v>1250</v>
      </c>
      <c r="N2" s="5">
        <v>420</v>
      </c>
      <c r="O2" s="5">
        <v>13607</v>
      </c>
      <c r="P2" s="5">
        <v>420</v>
      </c>
      <c r="Q2" s="5">
        <v>263</v>
      </c>
      <c r="R2" s="5">
        <v>490</v>
      </c>
      <c r="S2" s="5">
        <v>3000</v>
      </c>
      <c r="T2" s="5">
        <v>963</v>
      </c>
      <c r="U2" s="5">
        <v>2445</v>
      </c>
    </row>
    <row r="3" spans="1:21" x14ac:dyDescent="0.25">
      <c r="A3" s="10">
        <v>1901</v>
      </c>
      <c r="B3" s="5">
        <v>4741</v>
      </c>
      <c r="C3" s="5">
        <v>1785</v>
      </c>
      <c r="D3" s="5">
        <v>18392</v>
      </c>
      <c r="E3" s="5">
        <v>2994</v>
      </c>
      <c r="F3" s="5">
        <v>3944</v>
      </c>
      <c r="G3" s="5">
        <v>313</v>
      </c>
      <c r="H3" s="5">
        <v>1679</v>
      </c>
      <c r="I3" s="5">
        <v>614</v>
      </c>
      <c r="J3" s="5">
        <v>1312</v>
      </c>
      <c r="K3" s="5">
        <v>819</v>
      </c>
      <c r="L3" s="5">
        <v>910</v>
      </c>
      <c r="M3" s="5">
        <v>1294</v>
      </c>
      <c r="N3" s="5">
        <v>436</v>
      </c>
      <c r="O3" s="5">
        <v>13755</v>
      </c>
      <c r="P3" s="5">
        <v>434</v>
      </c>
      <c r="Q3" s="5">
        <v>270</v>
      </c>
      <c r="R3" s="5">
        <v>506</v>
      </c>
      <c r="S3" s="5">
        <v>3100</v>
      </c>
      <c r="T3" s="5">
        <v>965</v>
      </c>
      <c r="U3" s="5">
        <v>2451</v>
      </c>
    </row>
    <row r="4" spans="1:21" x14ac:dyDescent="0.25">
      <c r="A4" s="10">
        <v>1902</v>
      </c>
      <c r="B4" s="5">
        <v>4872</v>
      </c>
      <c r="C4" s="5">
        <v>1803</v>
      </c>
      <c r="D4" s="5">
        <v>18782</v>
      </c>
      <c r="E4" s="5">
        <v>3030</v>
      </c>
      <c r="F4" s="5">
        <v>3994</v>
      </c>
      <c r="G4" s="5">
        <v>318</v>
      </c>
      <c r="H4" s="5">
        <v>1758</v>
      </c>
      <c r="I4" s="5">
        <v>628</v>
      </c>
      <c r="J4" s="5">
        <v>1324</v>
      </c>
      <c r="K4" s="5">
        <v>838</v>
      </c>
      <c r="L4" s="5">
        <v>936</v>
      </c>
      <c r="M4" s="5">
        <v>1338</v>
      </c>
      <c r="N4" s="5">
        <v>452</v>
      </c>
      <c r="O4" s="5">
        <v>13905</v>
      </c>
      <c r="P4" s="5">
        <v>448</v>
      </c>
      <c r="Q4" s="5">
        <v>276</v>
      </c>
      <c r="R4" s="5">
        <v>522</v>
      </c>
      <c r="S4" s="5">
        <v>3200</v>
      </c>
      <c r="T4" s="5">
        <v>990</v>
      </c>
      <c r="U4" s="5">
        <v>2458</v>
      </c>
    </row>
    <row r="5" spans="1:21" x14ac:dyDescent="0.25">
      <c r="A5" s="10">
        <v>1903</v>
      </c>
      <c r="B5" s="5">
        <v>4976</v>
      </c>
      <c r="C5" s="5">
        <v>1822</v>
      </c>
      <c r="D5" s="5">
        <v>19180</v>
      </c>
      <c r="E5" s="5">
        <v>3066</v>
      </c>
      <c r="F5" s="5">
        <v>4044</v>
      </c>
      <c r="G5" s="5">
        <v>324</v>
      </c>
      <c r="H5" s="5">
        <v>1837</v>
      </c>
      <c r="I5" s="5">
        <v>642</v>
      </c>
      <c r="J5" s="5">
        <v>1336</v>
      </c>
      <c r="K5" s="5">
        <v>856</v>
      </c>
      <c r="L5" s="5">
        <v>961</v>
      </c>
      <c r="M5" s="5">
        <v>1381</v>
      </c>
      <c r="N5" s="5">
        <v>468</v>
      </c>
      <c r="O5" s="5">
        <v>14065</v>
      </c>
      <c r="P5" s="5">
        <v>462</v>
      </c>
      <c r="Q5" s="5">
        <v>283</v>
      </c>
      <c r="R5" s="5">
        <v>539</v>
      </c>
      <c r="S5" s="5">
        <v>3300</v>
      </c>
      <c r="T5" s="5">
        <v>1019</v>
      </c>
      <c r="U5" s="5">
        <v>2465</v>
      </c>
    </row>
    <row r="6" spans="1:21" x14ac:dyDescent="0.25">
      <c r="A6" s="10">
        <v>1904</v>
      </c>
      <c r="B6" s="5">
        <v>5104</v>
      </c>
      <c r="C6" s="5">
        <v>1840</v>
      </c>
      <c r="D6" s="5">
        <v>19587</v>
      </c>
      <c r="E6" s="5">
        <v>3102</v>
      </c>
      <c r="F6" s="5">
        <v>4094</v>
      </c>
      <c r="G6" s="5">
        <v>330</v>
      </c>
      <c r="H6" s="5">
        <v>1879</v>
      </c>
      <c r="I6" s="5">
        <v>656</v>
      </c>
      <c r="J6" s="5">
        <v>1348</v>
      </c>
      <c r="K6" s="5">
        <v>874</v>
      </c>
      <c r="L6" s="5">
        <v>987</v>
      </c>
      <c r="M6" s="5">
        <v>1425</v>
      </c>
      <c r="N6" s="5">
        <v>484</v>
      </c>
      <c r="O6" s="5">
        <v>14208</v>
      </c>
      <c r="P6" s="5">
        <v>477</v>
      </c>
      <c r="Q6" s="5">
        <v>290</v>
      </c>
      <c r="R6" s="5">
        <v>555</v>
      </c>
      <c r="S6" s="5">
        <v>3400</v>
      </c>
      <c r="T6" s="5">
        <v>1038</v>
      </c>
      <c r="U6" s="5">
        <v>2471</v>
      </c>
    </row>
    <row r="7" spans="1:21" x14ac:dyDescent="0.25">
      <c r="A7" s="10">
        <v>1905</v>
      </c>
      <c r="B7" s="5">
        <v>5290</v>
      </c>
      <c r="C7" s="5">
        <v>1859</v>
      </c>
      <c r="D7" s="5">
        <v>20003</v>
      </c>
      <c r="E7" s="5">
        <v>3139</v>
      </c>
      <c r="F7" s="5">
        <v>4144</v>
      </c>
      <c r="G7" s="5">
        <v>336</v>
      </c>
      <c r="H7" s="5">
        <v>1927</v>
      </c>
      <c r="I7" s="5">
        <v>670</v>
      </c>
      <c r="J7" s="5">
        <v>1360</v>
      </c>
      <c r="K7" s="5">
        <v>893</v>
      </c>
      <c r="L7" s="5">
        <v>1013</v>
      </c>
      <c r="M7" s="5">
        <v>1468</v>
      </c>
      <c r="N7" s="5">
        <v>500</v>
      </c>
      <c r="O7" s="5">
        <v>14363</v>
      </c>
      <c r="P7" s="5">
        <v>491</v>
      </c>
      <c r="Q7" s="5">
        <v>297</v>
      </c>
      <c r="R7" s="5">
        <v>571</v>
      </c>
      <c r="S7" s="5">
        <v>3500</v>
      </c>
      <c r="T7" s="5">
        <v>1071</v>
      </c>
      <c r="U7" s="5">
        <v>2492</v>
      </c>
    </row>
    <row r="8" spans="1:21" x14ac:dyDescent="0.25">
      <c r="A8" s="10">
        <v>1906</v>
      </c>
      <c r="B8" s="5">
        <v>5524</v>
      </c>
      <c r="C8" s="5">
        <v>1877</v>
      </c>
      <c r="D8" s="5">
        <v>20427</v>
      </c>
      <c r="E8" s="5">
        <v>3176</v>
      </c>
      <c r="F8" s="5">
        <v>4277</v>
      </c>
      <c r="G8" s="5">
        <v>341</v>
      </c>
      <c r="H8" s="5">
        <v>1979</v>
      </c>
      <c r="I8" s="5">
        <v>684</v>
      </c>
      <c r="J8" s="5">
        <v>1372</v>
      </c>
      <c r="K8" s="5">
        <v>911</v>
      </c>
      <c r="L8" s="5">
        <v>1029</v>
      </c>
      <c r="M8" s="5">
        <v>1512</v>
      </c>
      <c r="N8" s="5">
        <v>511</v>
      </c>
      <c r="O8" s="5">
        <v>14519</v>
      </c>
      <c r="P8" s="5">
        <v>505</v>
      </c>
      <c r="Q8" s="5">
        <v>304</v>
      </c>
      <c r="R8" s="5">
        <v>580</v>
      </c>
      <c r="S8" s="5">
        <v>3600</v>
      </c>
      <c r="T8" s="5">
        <v>1103</v>
      </c>
      <c r="U8" s="5">
        <v>2512</v>
      </c>
    </row>
    <row r="9" spans="1:21" x14ac:dyDescent="0.25">
      <c r="A9" s="10">
        <v>1907</v>
      </c>
      <c r="B9" s="5">
        <v>5822</v>
      </c>
      <c r="C9" s="5">
        <v>1896</v>
      </c>
      <c r="D9" s="5">
        <v>20860</v>
      </c>
      <c r="E9" s="5">
        <v>3213</v>
      </c>
      <c r="F9" s="5">
        <v>4409</v>
      </c>
      <c r="G9" s="5">
        <v>347</v>
      </c>
      <c r="H9" s="5">
        <v>2034</v>
      </c>
      <c r="I9" s="5">
        <v>698</v>
      </c>
      <c r="J9" s="5">
        <v>1384</v>
      </c>
      <c r="K9" s="5">
        <v>929</v>
      </c>
      <c r="L9" s="5">
        <v>1046</v>
      </c>
      <c r="M9" s="5">
        <v>1555</v>
      </c>
      <c r="N9" s="5">
        <v>521</v>
      </c>
      <c r="O9" s="5">
        <v>14677</v>
      </c>
      <c r="P9" s="5">
        <v>515</v>
      </c>
      <c r="Q9" s="5">
        <v>311</v>
      </c>
      <c r="R9" s="5">
        <v>590</v>
      </c>
      <c r="S9" s="5">
        <v>3700</v>
      </c>
      <c r="T9" s="5">
        <v>1141</v>
      </c>
      <c r="U9" s="5">
        <v>2532</v>
      </c>
    </row>
    <row r="10" spans="1:21" x14ac:dyDescent="0.25">
      <c r="A10" s="10">
        <v>1908</v>
      </c>
      <c r="B10" s="5">
        <v>6145</v>
      </c>
      <c r="C10" s="5">
        <v>1914</v>
      </c>
      <c r="D10" s="5">
        <v>21303</v>
      </c>
      <c r="E10" s="5">
        <v>3253</v>
      </c>
      <c r="F10" s="5">
        <v>4542</v>
      </c>
      <c r="G10" s="5">
        <v>353</v>
      </c>
      <c r="H10" s="5">
        <v>2092</v>
      </c>
      <c r="I10" s="5">
        <v>712</v>
      </c>
      <c r="J10" s="5">
        <v>1396</v>
      </c>
      <c r="K10" s="5">
        <v>948</v>
      </c>
      <c r="L10" s="5">
        <v>1062</v>
      </c>
      <c r="M10" s="5">
        <v>1559</v>
      </c>
      <c r="N10" s="5">
        <v>532</v>
      </c>
      <c r="O10" s="5">
        <v>14836</v>
      </c>
      <c r="P10" s="5">
        <v>524</v>
      </c>
      <c r="Q10" s="5">
        <v>318</v>
      </c>
      <c r="R10" s="5">
        <v>600</v>
      </c>
      <c r="S10" s="5">
        <v>3800</v>
      </c>
      <c r="T10" s="5">
        <v>1054</v>
      </c>
      <c r="U10" s="5">
        <v>2554</v>
      </c>
    </row>
    <row r="11" spans="1:21" x14ac:dyDescent="0.25">
      <c r="A11" s="10">
        <v>1909</v>
      </c>
      <c r="B11" s="5">
        <v>6432</v>
      </c>
      <c r="C11" s="5">
        <v>1933</v>
      </c>
      <c r="D11" s="5">
        <v>21754</v>
      </c>
      <c r="E11" s="5">
        <v>3294</v>
      </c>
      <c r="F11" s="5">
        <v>4674</v>
      </c>
      <c r="G11" s="5">
        <v>358</v>
      </c>
      <c r="H11" s="5">
        <v>2154</v>
      </c>
      <c r="I11" s="5">
        <v>726</v>
      </c>
      <c r="J11" s="5">
        <v>1408</v>
      </c>
      <c r="K11" s="5">
        <v>966</v>
      </c>
      <c r="L11" s="5">
        <v>1079</v>
      </c>
      <c r="M11" s="5">
        <v>1643</v>
      </c>
      <c r="N11" s="5">
        <v>542</v>
      </c>
      <c r="O11" s="5">
        <v>14997</v>
      </c>
      <c r="P11" s="5">
        <v>534</v>
      </c>
      <c r="Q11" s="5">
        <v>325</v>
      </c>
      <c r="R11" s="5">
        <v>610</v>
      </c>
      <c r="S11" s="5">
        <v>3900</v>
      </c>
      <c r="T11" s="5">
        <v>1095</v>
      </c>
      <c r="U11" s="5">
        <v>2575</v>
      </c>
    </row>
    <row r="12" spans="1:21" x14ac:dyDescent="0.25">
      <c r="A12" s="10">
        <v>1910</v>
      </c>
      <c r="B12" s="5">
        <v>6799</v>
      </c>
      <c r="C12" s="5">
        <v>1951</v>
      </c>
      <c r="D12" s="5">
        <v>22216</v>
      </c>
      <c r="E12" s="5">
        <v>3336</v>
      </c>
      <c r="F12" s="5">
        <v>4807</v>
      </c>
      <c r="G12" s="5">
        <v>364</v>
      </c>
      <c r="H12" s="5">
        <v>2219</v>
      </c>
      <c r="I12" s="5">
        <v>740</v>
      </c>
      <c r="J12" s="5">
        <v>1421</v>
      </c>
      <c r="K12" s="5">
        <v>985</v>
      </c>
      <c r="L12" s="5">
        <v>1096</v>
      </c>
      <c r="M12" s="5">
        <v>1687</v>
      </c>
      <c r="N12" s="5">
        <v>553</v>
      </c>
      <c r="O12" s="5">
        <v>15160</v>
      </c>
      <c r="P12" s="5">
        <v>543</v>
      </c>
      <c r="Q12" s="5">
        <v>332</v>
      </c>
      <c r="R12" s="5">
        <v>620</v>
      </c>
      <c r="S12" s="5">
        <v>4000</v>
      </c>
      <c r="T12" s="5">
        <v>1132</v>
      </c>
      <c r="U12" s="5">
        <v>2596</v>
      </c>
    </row>
    <row r="13" spans="1:21" x14ac:dyDescent="0.25">
      <c r="A13" s="10">
        <v>1911</v>
      </c>
      <c r="B13" s="5">
        <v>7070</v>
      </c>
      <c r="C13" s="5">
        <v>1970</v>
      </c>
      <c r="D13" s="5">
        <v>22687</v>
      </c>
      <c r="E13" s="5">
        <v>3378</v>
      </c>
      <c r="F13" s="5">
        <v>4940</v>
      </c>
      <c r="G13" s="5">
        <v>370</v>
      </c>
      <c r="H13" s="5">
        <v>2287</v>
      </c>
      <c r="I13" s="5">
        <v>753</v>
      </c>
      <c r="J13" s="5">
        <v>1433</v>
      </c>
      <c r="K13" s="5">
        <v>1003</v>
      </c>
      <c r="L13" s="5">
        <v>1119</v>
      </c>
      <c r="M13" s="5">
        <v>1730</v>
      </c>
      <c r="N13" s="5">
        <v>562</v>
      </c>
      <c r="O13" s="5">
        <v>15333</v>
      </c>
      <c r="P13" s="5">
        <v>553</v>
      </c>
      <c r="Q13" s="5">
        <v>339</v>
      </c>
      <c r="R13" s="5">
        <v>630</v>
      </c>
      <c r="S13" s="5">
        <v>4100</v>
      </c>
      <c r="T13" s="5">
        <v>1178</v>
      </c>
      <c r="U13" s="5">
        <v>2612</v>
      </c>
    </row>
    <row r="14" spans="1:21" x14ac:dyDescent="0.25">
      <c r="A14" s="10">
        <v>1912</v>
      </c>
      <c r="B14" s="5">
        <v>7467</v>
      </c>
      <c r="C14" s="5">
        <v>1988</v>
      </c>
      <c r="D14" s="5">
        <v>23168</v>
      </c>
      <c r="E14" s="5">
        <v>3421</v>
      </c>
      <c r="F14" s="5">
        <v>5072</v>
      </c>
      <c r="G14" s="5">
        <v>375</v>
      </c>
      <c r="H14" s="5">
        <v>2358</v>
      </c>
      <c r="I14" s="5">
        <v>767</v>
      </c>
      <c r="J14" s="5">
        <v>1445</v>
      </c>
      <c r="K14" s="5">
        <v>1021</v>
      </c>
      <c r="L14" s="5">
        <v>1142</v>
      </c>
      <c r="M14" s="5">
        <v>1774</v>
      </c>
      <c r="N14" s="5">
        <v>571</v>
      </c>
      <c r="O14" s="5">
        <v>15508</v>
      </c>
      <c r="P14" s="5">
        <v>562</v>
      </c>
      <c r="Q14" s="5">
        <v>352</v>
      </c>
      <c r="R14" s="5">
        <v>640</v>
      </c>
      <c r="S14" s="5">
        <v>4187</v>
      </c>
      <c r="T14" s="5">
        <v>1226</v>
      </c>
      <c r="U14" s="5">
        <v>2639</v>
      </c>
    </row>
    <row r="15" spans="1:21" x14ac:dyDescent="0.25">
      <c r="A15" s="10">
        <v>1913</v>
      </c>
      <c r="B15" s="5">
        <v>7838</v>
      </c>
      <c r="C15" s="5">
        <v>2007</v>
      </c>
      <c r="D15" s="5">
        <v>23660</v>
      </c>
      <c r="E15" s="5">
        <v>3465</v>
      </c>
      <c r="F15" s="5">
        <v>5193</v>
      </c>
      <c r="G15" s="5">
        <v>381</v>
      </c>
      <c r="H15" s="5">
        <v>2413</v>
      </c>
      <c r="I15" s="5">
        <v>781</v>
      </c>
      <c r="J15" s="5">
        <v>1457</v>
      </c>
      <c r="K15" s="5">
        <v>1040</v>
      </c>
      <c r="L15" s="5">
        <v>1165</v>
      </c>
      <c r="M15" s="5">
        <v>1818</v>
      </c>
      <c r="N15" s="5">
        <v>579</v>
      </c>
      <c r="O15" s="5">
        <v>15373</v>
      </c>
      <c r="P15" s="5">
        <v>572</v>
      </c>
      <c r="Q15" s="5">
        <v>364</v>
      </c>
      <c r="R15" s="5">
        <v>650</v>
      </c>
      <c r="S15" s="5">
        <v>4267</v>
      </c>
      <c r="T15" s="5">
        <v>1279</v>
      </c>
      <c r="U15" s="5">
        <v>2661</v>
      </c>
    </row>
    <row r="16" spans="1:21" x14ac:dyDescent="0.25">
      <c r="A16" s="10">
        <v>1914</v>
      </c>
      <c r="B16" s="5">
        <v>7996</v>
      </c>
      <c r="C16" s="5">
        <v>2025</v>
      </c>
      <c r="D16" s="5">
        <v>24161</v>
      </c>
      <c r="E16" s="5">
        <v>3509</v>
      </c>
      <c r="F16" s="5">
        <v>5318</v>
      </c>
      <c r="G16" s="5">
        <v>387</v>
      </c>
      <c r="H16" s="5">
        <v>2507</v>
      </c>
      <c r="I16" s="5">
        <v>795</v>
      </c>
      <c r="J16" s="5">
        <v>1469</v>
      </c>
      <c r="K16" s="5">
        <v>1058</v>
      </c>
      <c r="L16" s="5">
        <v>1180</v>
      </c>
      <c r="M16" s="5">
        <v>1862</v>
      </c>
      <c r="N16" s="5">
        <v>588</v>
      </c>
      <c r="O16" s="5">
        <v>15083</v>
      </c>
      <c r="P16" s="5">
        <v>581</v>
      </c>
      <c r="Q16" s="5">
        <v>378</v>
      </c>
      <c r="R16" s="5">
        <v>657</v>
      </c>
      <c r="S16" s="5">
        <v>4347</v>
      </c>
      <c r="T16" s="5">
        <v>1316</v>
      </c>
      <c r="U16" s="5">
        <v>2683</v>
      </c>
    </row>
    <row r="17" spans="1:21" x14ac:dyDescent="0.25">
      <c r="A17" s="10">
        <v>1915</v>
      </c>
      <c r="B17" s="5">
        <v>8148</v>
      </c>
      <c r="C17" s="5">
        <v>2044</v>
      </c>
      <c r="D17" s="5">
        <v>24674</v>
      </c>
      <c r="E17" s="5">
        <v>3553</v>
      </c>
      <c r="F17" s="5">
        <v>5447</v>
      </c>
      <c r="G17" s="5">
        <v>393</v>
      </c>
      <c r="H17" s="5">
        <v>2585</v>
      </c>
      <c r="I17" s="5">
        <v>809</v>
      </c>
      <c r="J17" s="5">
        <v>1481</v>
      </c>
      <c r="K17" s="5">
        <v>1076</v>
      </c>
      <c r="L17" s="5">
        <v>1196</v>
      </c>
      <c r="M17" s="5">
        <v>1907</v>
      </c>
      <c r="N17" s="5">
        <v>597</v>
      </c>
      <c r="O17" s="5">
        <v>14637</v>
      </c>
      <c r="P17" s="5">
        <v>591</v>
      </c>
      <c r="Q17" s="5">
        <v>389</v>
      </c>
      <c r="R17" s="5">
        <v>664</v>
      </c>
      <c r="S17" s="5">
        <v>4427</v>
      </c>
      <c r="T17" s="5">
        <v>1346</v>
      </c>
      <c r="U17" s="5">
        <v>2705</v>
      </c>
    </row>
    <row r="18" spans="1:21" x14ac:dyDescent="0.25">
      <c r="A18" s="10">
        <v>1916</v>
      </c>
      <c r="B18" s="5">
        <v>8303</v>
      </c>
      <c r="C18" s="5">
        <v>2062</v>
      </c>
      <c r="D18" s="5">
        <v>25197</v>
      </c>
      <c r="E18" s="5">
        <v>3598</v>
      </c>
      <c r="F18" s="5">
        <v>5579</v>
      </c>
      <c r="G18" s="5">
        <v>398</v>
      </c>
      <c r="H18" s="5">
        <v>2664</v>
      </c>
      <c r="I18" s="5">
        <v>823</v>
      </c>
      <c r="J18" s="5">
        <v>1493</v>
      </c>
      <c r="K18" s="5">
        <v>1095</v>
      </c>
      <c r="L18" s="5">
        <v>1211</v>
      </c>
      <c r="M18" s="5">
        <v>1949</v>
      </c>
      <c r="N18" s="5">
        <v>606</v>
      </c>
      <c r="O18" s="5">
        <v>14029</v>
      </c>
      <c r="P18" s="5">
        <v>600</v>
      </c>
      <c r="Q18" s="5">
        <v>401</v>
      </c>
      <c r="R18" s="5">
        <v>671</v>
      </c>
      <c r="S18" s="5">
        <v>4508</v>
      </c>
      <c r="T18" s="5">
        <v>1379</v>
      </c>
      <c r="U18" s="5">
        <v>2727</v>
      </c>
    </row>
    <row r="19" spans="1:21" x14ac:dyDescent="0.25">
      <c r="A19" s="10">
        <v>1917</v>
      </c>
      <c r="B19" s="5">
        <v>8445</v>
      </c>
      <c r="C19" s="5">
        <v>2081</v>
      </c>
      <c r="D19" s="5">
        <v>25732</v>
      </c>
      <c r="E19" s="5">
        <v>3644</v>
      </c>
      <c r="F19" s="5">
        <v>5715</v>
      </c>
      <c r="G19" s="5">
        <v>404</v>
      </c>
      <c r="H19" s="5">
        <v>2746</v>
      </c>
      <c r="I19" s="5">
        <v>837</v>
      </c>
      <c r="J19" s="5">
        <v>1505</v>
      </c>
      <c r="K19" s="5">
        <v>1113</v>
      </c>
      <c r="L19" s="5">
        <v>1226</v>
      </c>
      <c r="M19" s="5">
        <v>1993</v>
      </c>
      <c r="N19" s="5">
        <v>633</v>
      </c>
      <c r="O19" s="5">
        <v>13898</v>
      </c>
      <c r="P19" s="5">
        <v>610</v>
      </c>
      <c r="Q19" s="5">
        <v>413</v>
      </c>
      <c r="R19" s="5">
        <v>678</v>
      </c>
      <c r="S19" s="5">
        <v>4588</v>
      </c>
      <c r="T19" s="5">
        <v>1407</v>
      </c>
      <c r="U19" s="5">
        <v>2750</v>
      </c>
    </row>
    <row r="20" spans="1:21" x14ac:dyDescent="0.25">
      <c r="A20" s="10">
        <v>1918</v>
      </c>
      <c r="B20" s="5">
        <v>8590</v>
      </c>
      <c r="C20" s="5">
        <v>2099</v>
      </c>
      <c r="D20" s="5">
        <v>26277</v>
      </c>
      <c r="E20" s="5">
        <v>3690</v>
      </c>
      <c r="F20" s="5">
        <v>5855</v>
      </c>
      <c r="G20" s="5">
        <v>410</v>
      </c>
      <c r="H20" s="5">
        <v>2828</v>
      </c>
      <c r="I20" s="5">
        <v>851</v>
      </c>
      <c r="J20" s="5">
        <v>1517</v>
      </c>
      <c r="K20" s="5">
        <v>1131</v>
      </c>
      <c r="L20" s="5">
        <v>1241</v>
      </c>
      <c r="M20" s="5">
        <v>2037</v>
      </c>
      <c r="N20" s="5">
        <v>660</v>
      </c>
      <c r="O20" s="5">
        <v>14000</v>
      </c>
      <c r="P20" s="5">
        <v>619</v>
      </c>
      <c r="Q20" s="5">
        <v>426</v>
      </c>
      <c r="R20" s="5">
        <v>685</v>
      </c>
      <c r="S20" s="5">
        <v>4668</v>
      </c>
      <c r="T20" s="5">
        <v>1430</v>
      </c>
      <c r="U20" s="5">
        <v>2772</v>
      </c>
    </row>
    <row r="21" spans="1:21" x14ac:dyDescent="0.25">
      <c r="A21" s="10">
        <v>1919</v>
      </c>
      <c r="B21" s="5">
        <v>8754</v>
      </c>
      <c r="C21" s="5">
        <v>2118</v>
      </c>
      <c r="D21" s="5">
        <v>26835</v>
      </c>
      <c r="E21" s="5">
        <v>3737</v>
      </c>
      <c r="F21" s="5">
        <v>6029</v>
      </c>
      <c r="G21" s="5">
        <v>415</v>
      </c>
      <c r="H21" s="5">
        <v>2912</v>
      </c>
      <c r="I21" s="5">
        <v>865</v>
      </c>
      <c r="J21" s="5">
        <v>1529</v>
      </c>
      <c r="K21" s="5">
        <v>1150</v>
      </c>
      <c r="L21" s="5">
        <v>1257</v>
      </c>
      <c r="M21" s="5">
        <v>2080</v>
      </c>
      <c r="N21" s="5">
        <v>688</v>
      </c>
      <c r="O21" s="5">
        <v>14150</v>
      </c>
      <c r="P21" s="5">
        <v>629</v>
      </c>
      <c r="Q21" s="5">
        <v>437</v>
      </c>
      <c r="R21" s="5">
        <v>692</v>
      </c>
      <c r="S21" s="5">
        <v>4748</v>
      </c>
      <c r="T21" s="5">
        <v>1463</v>
      </c>
      <c r="U21" s="5">
        <v>2795</v>
      </c>
    </row>
    <row r="22" spans="1:21" x14ac:dyDescent="0.25">
      <c r="A22" s="10">
        <v>1920</v>
      </c>
      <c r="B22" s="5">
        <v>8969</v>
      </c>
      <c r="C22" s="5">
        <v>2136</v>
      </c>
      <c r="D22" s="5">
        <v>27404</v>
      </c>
      <c r="E22" s="5">
        <v>3785</v>
      </c>
      <c r="F22" s="5">
        <v>6089</v>
      </c>
      <c r="G22" s="5">
        <v>421</v>
      </c>
      <c r="H22" s="5">
        <v>2997</v>
      </c>
      <c r="I22" s="5">
        <v>879</v>
      </c>
      <c r="J22" s="5">
        <v>1541</v>
      </c>
      <c r="K22" s="5">
        <v>1168</v>
      </c>
      <c r="L22" s="5">
        <v>1272</v>
      </c>
      <c r="M22" s="5">
        <v>2124</v>
      </c>
      <c r="N22" s="5">
        <v>715</v>
      </c>
      <c r="O22" s="5">
        <v>14150</v>
      </c>
      <c r="P22" s="5">
        <v>638</v>
      </c>
      <c r="Q22" s="5">
        <v>447</v>
      </c>
      <c r="R22" s="5">
        <v>699</v>
      </c>
      <c r="S22" s="5">
        <v>4828</v>
      </c>
      <c r="T22" s="5">
        <v>1481</v>
      </c>
      <c r="U22" s="5">
        <v>2818</v>
      </c>
    </row>
    <row r="23" spans="1:21" x14ac:dyDescent="0.25">
      <c r="A23" s="10">
        <v>1921</v>
      </c>
      <c r="B23" s="5">
        <v>9215</v>
      </c>
      <c r="C23" s="5">
        <v>2161</v>
      </c>
      <c r="D23" s="5">
        <v>27969</v>
      </c>
      <c r="E23" s="5">
        <v>3853</v>
      </c>
      <c r="F23" s="5">
        <v>6211</v>
      </c>
      <c r="G23" s="5">
        <v>425</v>
      </c>
      <c r="H23" s="5">
        <v>3083</v>
      </c>
      <c r="I23" s="5">
        <v>912</v>
      </c>
      <c r="J23" s="5">
        <v>1570</v>
      </c>
      <c r="K23" s="5">
        <v>1193</v>
      </c>
      <c r="L23" s="5">
        <v>1319</v>
      </c>
      <c r="M23" s="5">
        <v>2151</v>
      </c>
      <c r="N23" s="5">
        <v>742</v>
      </c>
      <c r="O23" s="5">
        <v>14335</v>
      </c>
      <c r="P23" s="5">
        <v>643</v>
      </c>
      <c r="Q23" s="5">
        <v>449</v>
      </c>
      <c r="R23" s="5">
        <v>715</v>
      </c>
      <c r="S23" s="5">
        <v>4908</v>
      </c>
      <c r="T23" s="5">
        <v>1499</v>
      </c>
      <c r="U23" s="5">
        <v>2843</v>
      </c>
    </row>
    <row r="24" spans="1:21" x14ac:dyDescent="0.25">
      <c r="A24" s="10">
        <v>1922</v>
      </c>
      <c r="B24" s="5">
        <v>9521</v>
      </c>
      <c r="C24" s="5">
        <v>2186</v>
      </c>
      <c r="D24" s="5">
        <v>28542</v>
      </c>
      <c r="E24" s="5">
        <v>3907</v>
      </c>
      <c r="F24" s="5">
        <v>6336</v>
      </c>
      <c r="G24" s="5">
        <v>431</v>
      </c>
      <c r="H24" s="5">
        <v>3170</v>
      </c>
      <c r="I24" s="5">
        <v>946</v>
      </c>
      <c r="J24" s="5">
        <v>1610</v>
      </c>
      <c r="K24" s="5">
        <v>1217</v>
      </c>
      <c r="L24" s="5">
        <v>1367</v>
      </c>
      <c r="M24" s="5">
        <v>2178</v>
      </c>
      <c r="N24" s="5">
        <v>769</v>
      </c>
      <c r="O24" s="5">
        <v>14444</v>
      </c>
      <c r="P24" s="5">
        <v>647</v>
      </c>
      <c r="Q24" s="5">
        <v>451</v>
      </c>
      <c r="R24" s="5">
        <v>732</v>
      </c>
      <c r="S24" s="5">
        <v>4989</v>
      </c>
      <c r="T24" s="5">
        <v>1517</v>
      </c>
      <c r="U24" s="5">
        <v>2870</v>
      </c>
    </row>
    <row r="25" spans="1:21" x14ac:dyDescent="0.25">
      <c r="A25" s="10">
        <v>1923</v>
      </c>
      <c r="B25" s="5">
        <v>9892</v>
      </c>
      <c r="C25" s="5">
        <v>2212</v>
      </c>
      <c r="D25" s="5">
        <v>29126</v>
      </c>
      <c r="E25" s="5">
        <v>3961</v>
      </c>
      <c r="F25" s="5">
        <v>6463</v>
      </c>
      <c r="G25" s="5">
        <v>439</v>
      </c>
      <c r="H25" s="5">
        <v>3257</v>
      </c>
      <c r="I25" s="5">
        <v>981</v>
      </c>
      <c r="J25" s="5">
        <v>1646</v>
      </c>
      <c r="K25" s="5">
        <v>1244</v>
      </c>
      <c r="L25" s="5">
        <v>1416</v>
      </c>
      <c r="M25" s="5">
        <v>2206</v>
      </c>
      <c r="N25" s="5">
        <v>796</v>
      </c>
      <c r="O25" s="5">
        <v>14693</v>
      </c>
      <c r="P25" s="5">
        <v>652</v>
      </c>
      <c r="Q25" s="5">
        <v>453</v>
      </c>
      <c r="R25" s="5">
        <v>749</v>
      </c>
      <c r="S25" s="5">
        <v>5069</v>
      </c>
      <c r="T25" s="5">
        <v>1535</v>
      </c>
      <c r="U25" s="5">
        <v>2898</v>
      </c>
    </row>
    <row r="26" spans="1:21" x14ac:dyDescent="0.25">
      <c r="A26" s="10">
        <v>1924</v>
      </c>
      <c r="B26" s="5">
        <v>10216</v>
      </c>
      <c r="C26" s="5">
        <v>2237</v>
      </c>
      <c r="D26" s="5">
        <v>29723</v>
      </c>
      <c r="E26" s="5">
        <v>4017</v>
      </c>
      <c r="F26" s="5">
        <v>6592</v>
      </c>
      <c r="G26" s="5">
        <v>447</v>
      </c>
      <c r="H26" s="5">
        <v>3345</v>
      </c>
      <c r="I26" s="5">
        <v>1017</v>
      </c>
      <c r="J26" s="5">
        <v>1685</v>
      </c>
      <c r="K26" s="5">
        <v>1274</v>
      </c>
      <c r="L26" s="5">
        <v>1471</v>
      </c>
      <c r="M26" s="5">
        <v>2232</v>
      </c>
      <c r="N26" s="5">
        <v>824</v>
      </c>
      <c r="O26" s="5">
        <v>14945</v>
      </c>
      <c r="P26" s="5">
        <v>656</v>
      </c>
      <c r="Q26" s="5">
        <v>455</v>
      </c>
      <c r="R26" s="5">
        <v>767</v>
      </c>
      <c r="S26" s="5">
        <v>5148</v>
      </c>
      <c r="T26" s="5">
        <v>1553</v>
      </c>
      <c r="U26" s="5">
        <v>2925</v>
      </c>
    </row>
    <row r="27" spans="1:21" x14ac:dyDescent="0.25">
      <c r="A27" s="10">
        <v>1925</v>
      </c>
      <c r="B27" s="5">
        <v>10500</v>
      </c>
      <c r="C27" s="5">
        <v>2263</v>
      </c>
      <c r="D27" s="5">
        <v>30332</v>
      </c>
      <c r="E27" s="5">
        <v>4073</v>
      </c>
      <c r="F27" s="5">
        <v>6724</v>
      </c>
      <c r="G27" s="5">
        <v>456</v>
      </c>
      <c r="H27" s="5">
        <v>3432</v>
      </c>
      <c r="I27" s="5">
        <v>1054</v>
      </c>
      <c r="J27" s="5">
        <v>1724</v>
      </c>
      <c r="K27" s="5">
        <v>1301</v>
      </c>
      <c r="L27" s="5">
        <v>1514</v>
      </c>
      <c r="M27" s="5">
        <v>2260</v>
      </c>
      <c r="N27" s="5">
        <v>851</v>
      </c>
      <c r="O27" s="5">
        <v>15204</v>
      </c>
      <c r="P27" s="5">
        <v>660</v>
      </c>
      <c r="Q27" s="5">
        <v>457</v>
      </c>
      <c r="R27" s="5">
        <v>785</v>
      </c>
      <c r="S27" s="5">
        <v>5229</v>
      </c>
      <c r="T27" s="5">
        <v>1571</v>
      </c>
      <c r="U27" s="5">
        <v>2953</v>
      </c>
    </row>
    <row r="28" spans="1:21" x14ac:dyDescent="0.25">
      <c r="A28" s="10">
        <v>1926</v>
      </c>
      <c r="B28" s="5">
        <v>10804</v>
      </c>
      <c r="C28" s="5">
        <v>2289</v>
      </c>
      <c r="D28" s="5">
        <v>30953</v>
      </c>
      <c r="E28" s="5">
        <v>4130</v>
      </c>
      <c r="F28" s="5">
        <v>6859</v>
      </c>
      <c r="G28" s="5">
        <v>466</v>
      </c>
      <c r="H28" s="5">
        <v>3519</v>
      </c>
      <c r="I28" s="5">
        <v>1092</v>
      </c>
      <c r="J28" s="5">
        <v>1762</v>
      </c>
      <c r="K28" s="5">
        <v>1325</v>
      </c>
      <c r="L28" s="5">
        <v>1557</v>
      </c>
      <c r="M28" s="5">
        <v>2292</v>
      </c>
      <c r="N28" s="5">
        <v>878</v>
      </c>
      <c r="O28" s="5">
        <v>15468</v>
      </c>
      <c r="P28" s="5">
        <v>665</v>
      </c>
      <c r="Q28" s="5">
        <v>459</v>
      </c>
      <c r="R28" s="5">
        <v>803</v>
      </c>
      <c r="S28" s="5">
        <v>5313</v>
      </c>
      <c r="T28" s="5">
        <v>1604</v>
      </c>
      <c r="U28" s="5">
        <v>2981</v>
      </c>
    </row>
    <row r="29" spans="1:21" x14ac:dyDescent="0.25">
      <c r="A29" s="10">
        <v>1927</v>
      </c>
      <c r="B29" s="5">
        <v>11126</v>
      </c>
      <c r="C29" s="5">
        <v>2316</v>
      </c>
      <c r="D29" s="5">
        <v>31587</v>
      </c>
      <c r="E29" s="5">
        <v>4188</v>
      </c>
      <c r="F29" s="5">
        <v>6996</v>
      </c>
      <c r="G29" s="5">
        <v>472</v>
      </c>
      <c r="H29" s="5">
        <v>3606</v>
      </c>
      <c r="I29" s="5">
        <v>1131</v>
      </c>
      <c r="J29" s="5">
        <v>1800</v>
      </c>
      <c r="K29" s="5">
        <v>1351</v>
      </c>
      <c r="L29" s="5">
        <v>1602</v>
      </c>
      <c r="M29" s="5">
        <v>2325</v>
      </c>
      <c r="N29" s="5">
        <v>893</v>
      </c>
      <c r="O29" s="5">
        <v>15738</v>
      </c>
      <c r="P29" s="5">
        <v>670</v>
      </c>
      <c r="Q29" s="5">
        <v>462</v>
      </c>
      <c r="R29" s="5">
        <v>822</v>
      </c>
      <c r="S29" s="5">
        <v>5399</v>
      </c>
      <c r="T29" s="5">
        <v>1636</v>
      </c>
      <c r="U29" s="5">
        <v>3012</v>
      </c>
    </row>
    <row r="30" spans="1:21" x14ac:dyDescent="0.25">
      <c r="A30" s="10">
        <v>1928</v>
      </c>
      <c r="B30" s="5">
        <v>11438</v>
      </c>
      <c r="C30" s="5">
        <v>2343</v>
      </c>
      <c r="D30" s="5">
        <v>32234</v>
      </c>
      <c r="E30" s="5">
        <v>4246</v>
      </c>
      <c r="F30" s="5">
        <v>7136</v>
      </c>
      <c r="G30" s="5">
        <v>479</v>
      </c>
      <c r="H30" s="5">
        <v>3507</v>
      </c>
      <c r="I30" s="5">
        <v>1172</v>
      </c>
      <c r="J30" s="5">
        <v>1846</v>
      </c>
      <c r="K30" s="5">
        <v>1385</v>
      </c>
      <c r="L30" s="5">
        <v>1660</v>
      </c>
      <c r="M30" s="5">
        <v>2357</v>
      </c>
      <c r="N30" s="5">
        <v>911</v>
      </c>
      <c r="O30" s="5">
        <v>16012</v>
      </c>
      <c r="P30" s="5">
        <v>674</v>
      </c>
      <c r="Q30" s="5">
        <v>464</v>
      </c>
      <c r="R30" s="5">
        <v>841</v>
      </c>
      <c r="S30" s="5">
        <v>5482</v>
      </c>
      <c r="T30" s="5">
        <v>1669</v>
      </c>
      <c r="U30" s="5">
        <v>3047</v>
      </c>
    </row>
    <row r="31" spans="1:21" x14ac:dyDescent="0.25">
      <c r="A31" s="10">
        <v>1929</v>
      </c>
      <c r="B31" s="5">
        <v>11746</v>
      </c>
      <c r="C31" s="5">
        <v>2370</v>
      </c>
      <c r="D31" s="5">
        <v>32894</v>
      </c>
      <c r="E31" s="5">
        <v>4305</v>
      </c>
      <c r="F31" s="5">
        <v>7279</v>
      </c>
      <c r="G31" s="5">
        <v>489</v>
      </c>
      <c r="H31" s="5">
        <v>3577</v>
      </c>
      <c r="I31" s="5">
        <v>1213</v>
      </c>
      <c r="J31" s="5">
        <v>1891</v>
      </c>
      <c r="K31" s="5">
        <v>1412</v>
      </c>
      <c r="L31" s="5">
        <v>1706</v>
      </c>
      <c r="M31" s="5">
        <v>2390</v>
      </c>
      <c r="N31" s="5">
        <v>928</v>
      </c>
      <c r="O31" s="5">
        <v>16926</v>
      </c>
      <c r="P31" s="5">
        <v>679</v>
      </c>
      <c r="Q31" s="5">
        <v>466</v>
      </c>
      <c r="R31" s="5">
        <v>860</v>
      </c>
      <c r="S31" s="5">
        <v>5567</v>
      </c>
      <c r="T31" s="5">
        <v>1701</v>
      </c>
      <c r="U31" s="5">
        <v>3082</v>
      </c>
    </row>
    <row r="32" spans="1:21" x14ac:dyDescent="0.25">
      <c r="A32" s="10">
        <v>1930</v>
      </c>
      <c r="B32" s="5">
        <v>12047</v>
      </c>
      <c r="C32" s="5">
        <v>2397</v>
      </c>
      <c r="D32" s="5">
        <v>33568</v>
      </c>
      <c r="E32" s="5">
        <v>4365</v>
      </c>
      <c r="F32" s="5">
        <v>7425</v>
      </c>
      <c r="G32" s="5">
        <v>499</v>
      </c>
      <c r="H32" s="5">
        <v>3647</v>
      </c>
      <c r="I32" s="5">
        <v>1256</v>
      </c>
      <c r="J32" s="5">
        <v>1944</v>
      </c>
      <c r="K32" s="5">
        <v>1443</v>
      </c>
      <c r="L32" s="5">
        <v>1755</v>
      </c>
      <c r="M32" s="5">
        <v>2422</v>
      </c>
      <c r="N32" s="5">
        <v>948</v>
      </c>
      <c r="O32" s="5">
        <v>16553</v>
      </c>
      <c r="P32" s="5">
        <v>683</v>
      </c>
      <c r="Q32" s="5">
        <v>471</v>
      </c>
      <c r="R32" s="5">
        <v>880</v>
      </c>
      <c r="S32" s="5">
        <v>5651</v>
      </c>
      <c r="T32" s="5">
        <v>1734</v>
      </c>
      <c r="U32" s="5">
        <v>3118</v>
      </c>
    </row>
    <row r="33" spans="1:21" x14ac:dyDescent="0.25">
      <c r="A33" s="10">
        <v>1931</v>
      </c>
      <c r="B33" s="5">
        <v>12287</v>
      </c>
      <c r="C33" s="5">
        <v>2425</v>
      </c>
      <c r="D33" s="5">
        <v>34256</v>
      </c>
      <c r="E33" s="5">
        <v>4429</v>
      </c>
      <c r="F33" s="5">
        <v>7574</v>
      </c>
      <c r="G33" s="5">
        <v>508</v>
      </c>
      <c r="H33" s="5">
        <v>3962</v>
      </c>
      <c r="I33" s="5">
        <v>1300</v>
      </c>
      <c r="J33" s="5">
        <v>1995</v>
      </c>
      <c r="K33" s="5">
        <v>1456</v>
      </c>
      <c r="L33" s="5">
        <v>1813</v>
      </c>
      <c r="M33" s="5">
        <v>2460</v>
      </c>
      <c r="N33" s="5">
        <v>968</v>
      </c>
      <c r="O33" s="5">
        <v>16876</v>
      </c>
      <c r="P33" s="5">
        <v>687</v>
      </c>
      <c r="Q33" s="5">
        <v>486</v>
      </c>
      <c r="R33" s="5">
        <v>901</v>
      </c>
      <c r="S33" s="5">
        <v>5748</v>
      </c>
      <c r="T33" s="5">
        <v>1761</v>
      </c>
      <c r="U33" s="5">
        <v>3154</v>
      </c>
    </row>
    <row r="34" spans="1:21" x14ac:dyDescent="0.25">
      <c r="A34" s="10">
        <v>1932</v>
      </c>
      <c r="B34" s="5">
        <v>12517</v>
      </c>
      <c r="C34" s="5">
        <v>2453</v>
      </c>
      <c r="D34" s="5">
        <v>34957</v>
      </c>
      <c r="E34" s="5">
        <v>4495</v>
      </c>
      <c r="F34" s="5">
        <v>7726</v>
      </c>
      <c r="G34" s="5">
        <v>518</v>
      </c>
      <c r="H34" s="5">
        <v>3962</v>
      </c>
      <c r="I34" s="5">
        <v>1345</v>
      </c>
      <c r="J34" s="5">
        <v>2050</v>
      </c>
      <c r="K34" s="5">
        <v>1474</v>
      </c>
      <c r="L34" s="5">
        <v>1864</v>
      </c>
      <c r="M34" s="5">
        <v>2498</v>
      </c>
      <c r="N34" s="5">
        <v>989</v>
      </c>
      <c r="O34" s="5">
        <v>17170</v>
      </c>
      <c r="P34" s="5">
        <v>692</v>
      </c>
      <c r="Q34" s="5">
        <v>501</v>
      </c>
      <c r="R34" s="5">
        <v>922</v>
      </c>
      <c r="S34" s="5">
        <v>5844</v>
      </c>
      <c r="T34" s="5">
        <v>1788</v>
      </c>
      <c r="U34" s="5">
        <v>3191</v>
      </c>
    </row>
    <row r="35" spans="1:21" x14ac:dyDescent="0.25">
      <c r="A35" s="10">
        <v>1933</v>
      </c>
      <c r="B35" s="5">
        <v>12729</v>
      </c>
      <c r="C35" s="5">
        <v>2482</v>
      </c>
      <c r="D35" s="5">
        <v>35673</v>
      </c>
      <c r="E35" s="5">
        <v>4563</v>
      </c>
      <c r="F35" s="5">
        <v>7880</v>
      </c>
      <c r="G35" s="5">
        <v>528</v>
      </c>
      <c r="H35" s="5">
        <v>3962</v>
      </c>
      <c r="I35" s="5">
        <v>1391</v>
      </c>
      <c r="J35" s="5">
        <v>2095</v>
      </c>
      <c r="K35" s="5">
        <v>1493</v>
      </c>
      <c r="L35" s="5">
        <v>1909</v>
      </c>
      <c r="M35" s="5">
        <v>2535</v>
      </c>
      <c r="N35" s="5">
        <v>1007</v>
      </c>
      <c r="O35" s="5">
        <v>17470</v>
      </c>
      <c r="P35" s="5">
        <v>697</v>
      </c>
      <c r="Q35" s="5">
        <v>516</v>
      </c>
      <c r="R35" s="5">
        <v>944</v>
      </c>
      <c r="S35" s="5">
        <v>5941</v>
      </c>
      <c r="T35" s="5">
        <v>1815</v>
      </c>
      <c r="U35" s="5">
        <v>3227</v>
      </c>
    </row>
    <row r="36" spans="1:21" x14ac:dyDescent="0.25">
      <c r="A36" s="10">
        <v>1934</v>
      </c>
      <c r="B36" s="5">
        <v>12940</v>
      </c>
      <c r="C36" s="5">
        <v>2511</v>
      </c>
      <c r="D36" s="5">
        <v>36404</v>
      </c>
      <c r="E36" s="5">
        <v>4631</v>
      </c>
      <c r="F36" s="5">
        <v>8038</v>
      </c>
      <c r="G36" s="5">
        <v>540</v>
      </c>
      <c r="H36" s="5">
        <v>4039</v>
      </c>
      <c r="I36" s="5">
        <v>1438</v>
      </c>
      <c r="J36" s="5">
        <v>2140</v>
      </c>
      <c r="K36" s="5">
        <v>1512</v>
      </c>
      <c r="L36" s="5">
        <v>1943</v>
      </c>
      <c r="M36" s="5">
        <v>2573</v>
      </c>
      <c r="N36" s="5">
        <v>1023</v>
      </c>
      <c r="O36" s="5">
        <v>17777</v>
      </c>
      <c r="P36" s="5">
        <v>711</v>
      </c>
      <c r="Q36" s="5">
        <v>531</v>
      </c>
      <c r="R36" s="5">
        <v>966</v>
      </c>
      <c r="S36" s="5">
        <v>6037</v>
      </c>
      <c r="T36" s="5">
        <v>1842</v>
      </c>
      <c r="U36" s="5">
        <v>3264</v>
      </c>
    </row>
    <row r="37" spans="1:21" x14ac:dyDescent="0.25">
      <c r="A37" s="10">
        <v>1935</v>
      </c>
      <c r="B37" s="5">
        <v>13148</v>
      </c>
      <c r="C37" s="5">
        <v>2540</v>
      </c>
      <c r="D37" s="5">
        <v>37150</v>
      </c>
      <c r="E37" s="5">
        <v>4700</v>
      </c>
      <c r="F37" s="5">
        <v>8199</v>
      </c>
      <c r="G37" s="5">
        <v>551</v>
      </c>
      <c r="H37" s="5">
        <v>4071</v>
      </c>
      <c r="I37" s="5">
        <v>1484</v>
      </c>
      <c r="J37" s="5">
        <v>2196</v>
      </c>
      <c r="K37" s="5">
        <v>1531</v>
      </c>
      <c r="L37" s="5">
        <v>1975</v>
      </c>
      <c r="M37" s="5">
        <v>2611</v>
      </c>
      <c r="N37" s="5">
        <v>1042</v>
      </c>
      <c r="O37" s="5">
        <v>18089</v>
      </c>
      <c r="P37" s="5">
        <v>728</v>
      </c>
      <c r="Q37" s="5">
        <v>546</v>
      </c>
      <c r="R37" s="5">
        <v>988</v>
      </c>
      <c r="S37" s="5">
        <v>6134</v>
      </c>
      <c r="T37" s="5">
        <v>1869</v>
      </c>
      <c r="U37" s="5">
        <v>3300</v>
      </c>
    </row>
    <row r="38" spans="1:21" x14ac:dyDescent="0.25">
      <c r="A38" s="10">
        <v>1936</v>
      </c>
      <c r="B38" s="5">
        <v>13372</v>
      </c>
      <c r="C38" s="5">
        <v>2569</v>
      </c>
      <c r="D38" s="5">
        <v>37911</v>
      </c>
      <c r="E38" s="5">
        <v>4771</v>
      </c>
      <c r="F38" s="5">
        <v>8363</v>
      </c>
      <c r="G38" s="5">
        <v>563</v>
      </c>
      <c r="H38" s="5">
        <v>4109</v>
      </c>
      <c r="I38" s="5">
        <v>1520</v>
      </c>
      <c r="J38" s="5">
        <v>2249</v>
      </c>
      <c r="K38" s="5">
        <v>1551</v>
      </c>
      <c r="L38" s="5">
        <v>2023</v>
      </c>
      <c r="M38" s="5">
        <v>2654</v>
      </c>
      <c r="N38" s="5">
        <v>1058</v>
      </c>
      <c r="O38" s="5">
        <v>18410</v>
      </c>
      <c r="P38" s="5">
        <v>746</v>
      </c>
      <c r="Q38" s="5">
        <v>561</v>
      </c>
      <c r="R38" s="5">
        <v>1012</v>
      </c>
      <c r="S38" s="5">
        <v>6243</v>
      </c>
      <c r="T38" s="5">
        <v>1890</v>
      </c>
      <c r="U38" s="5">
        <v>3382</v>
      </c>
    </row>
    <row r="39" spans="1:21" x14ac:dyDescent="0.25">
      <c r="A39" s="10">
        <v>1937</v>
      </c>
      <c r="B39" s="5">
        <v>13608</v>
      </c>
      <c r="C39" s="5">
        <v>2599</v>
      </c>
      <c r="D39" s="5">
        <v>38687</v>
      </c>
      <c r="E39" s="5">
        <v>4842</v>
      </c>
      <c r="F39" s="5">
        <v>8531</v>
      </c>
      <c r="G39" s="5">
        <v>576</v>
      </c>
      <c r="H39" s="5">
        <v>4165</v>
      </c>
      <c r="I39" s="5">
        <v>1558</v>
      </c>
      <c r="J39" s="5">
        <v>2298</v>
      </c>
      <c r="K39" s="5">
        <v>1571</v>
      </c>
      <c r="L39" s="5">
        <v>2066</v>
      </c>
      <c r="M39" s="5">
        <v>2697</v>
      </c>
      <c r="N39" s="5">
        <v>1076</v>
      </c>
      <c r="O39" s="5">
        <v>18764</v>
      </c>
      <c r="P39" s="5">
        <v>765</v>
      </c>
      <c r="Q39" s="5">
        <v>575</v>
      </c>
      <c r="R39" s="5">
        <v>1036</v>
      </c>
      <c r="S39" s="5">
        <v>6353</v>
      </c>
      <c r="T39" s="5">
        <v>1911</v>
      </c>
      <c r="U39" s="5">
        <v>3464</v>
      </c>
    </row>
    <row r="40" spans="1:21" x14ac:dyDescent="0.25">
      <c r="A40" s="10">
        <v>1938</v>
      </c>
      <c r="B40" s="5">
        <v>13841</v>
      </c>
      <c r="C40" s="5">
        <v>2629</v>
      </c>
      <c r="D40" s="5">
        <v>39480</v>
      </c>
      <c r="E40" s="5">
        <v>4914</v>
      </c>
      <c r="F40" s="5">
        <v>8702</v>
      </c>
      <c r="G40" s="5">
        <v>590</v>
      </c>
      <c r="H40" s="5">
        <v>4228</v>
      </c>
      <c r="I40" s="5">
        <v>1596</v>
      </c>
      <c r="J40" s="5">
        <v>2355</v>
      </c>
      <c r="K40" s="5">
        <v>1591</v>
      </c>
      <c r="L40" s="5">
        <v>2113</v>
      </c>
      <c r="M40" s="5">
        <v>2741</v>
      </c>
      <c r="N40" s="5">
        <v>1098</v>
      </c>
      <c r="O40" s="5">
        <v>19071</v>
      </c>
      <c r="P40" s="5">
        <v>785</v>
      </c>
      <c r="Q40" s="5">
        <v>590</v>
      </c>
      <c r="R40" s="5">
        <v>1061</v>
      </c>
      <c r="S40" s="5">
        <v>6462</v>
      </c>
      <c r="T40" s="5">
        <v>1932</v>
      </c>
      <c r="U40" s="5">
        <v>3546</v>
      </c>
    </row>
    <row r="41" spans="1:21" x14ac:dyDescent="0.25">
      <c r="A41" s="10">
        <v>1939</v>
      </c>
      <c r="B41" s="5">
        <v>14055</v>
      </c>
      <c r="C41" s="5">
        <v>2659</v>
      </c>
      <c r="D41" s="5">
        <v>40289</v>
      </c>
      <c r="E41" s="5">
        <v>4988</v>
      </c>
      <c r="F41" s="5">
        <v>8896</v>
      </c>
      <c r="G41" s="5">
        <v>605</v>
      </c>
      <c r="H41" s="5">
        <v>4253</v>
      </c>
      <c r="I41" s="5">
        <v>1634</v>
      </c>
      <c r="J41" s="5">
        <v>2412</v>
      </c>
      <c r="K41" s="5">
        <v>1612</v>
      </c>
      <c r="L41" s="5">
        <v>2150</v>
      </c>
      <c r="M41" s="5">
        <v>2784</v>
      </c>
      <c r="N41" s="5">
        <v>1122</v>
      </c>
      <c r="O41" s="5">
        <v>19413</v>
      </c>
      <c r="P41" s="5">
        <v>806</v>
      </c>
      <c r="Q41" s="5">
        <v>605</v>
      </c>
      <c r="R41" s="5">
        <v>1086</v>
      </c>
      <c r="S41" s="5">
        <v>6572</v>
      </c>
      <c r="T41" s="5">
        <v>1953</v>
      </c>
      <c r="U41" s="5">
        <v>3628</v>
      </c>
    </row>
    <row r="42" spans="1:21" x14ac:dyDescent="0.25">
      <c r="A42" s="10">
        <v>1940</v>
      </c>
      <c r="B42" s="5">
        <v>14169</v>
      </c>
      <c r="C42" s="5">
        <v>2690</v>
      </c>
      <c r="D42" s="5">
        <v>41114</v>
      </c>
      <c r="E42" s="5">
        <v>5063</v>
      </c>
      <c r="F42" s="5">
        <v>9097</v>
      </c>
      <c r="G42" s="5">
        <v>619</v>
      </c>
      <c r="H42" s="5">
        <v>4291</v>
      </c>
      <c r="I42" s="5">
        <v>1759</v>
      </c>
      <c r="J42" s="5">
        <v>2466</v>
      </c>
      <c r="K42" s="5">
        <v>1633</v>
      </c>
      <c r="L42" s="5">
        <v>2201</v>
      </c>
      <c r="M42" s="5">
        <v>2827</v>
      </c>
      <c r="N42" s="5">
        <v>1146</v>
      </c>
      <c r="O42" s="5">
        <v>19654</v>
      </c>
      <c r="P42" s="5">
        <v>825</v>
      </c>
      <c r="Q42" s="5">
        <v>620</v>
      </c>
      <c r="R42" s="5">
        <v>1111</v>
      </c>
      <c r="S42" s="5">
        <v>6681</v>
      </c>
      <c r="T42" s="5">
        <v>1974</v>
      </c>
      <c r="U42" s="5">
        <v>3710</v>
      </c>
    </row>
    <row r="43" spans="1:21" x14ac:dyDescent="0.25">
      <c r="A43" s="10">
        <v>1941</v>
      </c>
      <c r="B43" s="5">
        <v>14401</v>
      </c>
      <c r="C43" s="5">
        <v>2721</v>
      </c>
      <c r="D43" s="5">
        <v>42069</v>
      </c>
      <c r="E43" s="5">
        <v>5149</v>
      </c>
      <c r="F43" s="5">
        <v>9315</v>
      </c>
      <c r="G43" s="5">
        <v>633</v>
      </c>
      <c r="H43" s="5">
        <v>4326</v>
      </c>
      <c r="I43" s="5">
        <v>1801</v>
      </c>
      <c r="J43" s="5">
        <v>2521</v>
      </c>
      <c r="K43" s="5">
        <v>1654</v>
      </c>
      <c r="L43" s="5">
        <v>2252</v>
      </c>
      <c r="M43" s="5">
        <v>2876</v>
      </c>
      <c r="N43" s="5">
        <v>1171</v>
      </c>
      <c r="O43" s="5">
        <v>20208</v>
      </c>
      <c r="P43" s="5">
        <v>844</v>
      </c>
      <c r="Q43" s="5">
        <v>636</v>
      </c>
      <c r="R43" s="5">
        <v>1137</v>
      </c>
      <c r="S43" s="5">
        <v>6797</v>
      </c>
      <c r="T43" s="5">
        <v>1994</v>
      </c>
      <c r="U43" s="5">
        <v>3803</v>
      </c>
    </row>
    <row r="44" spans="1:21" x14ac:dyDescent="0.25">
      <c r="A44" s="10">
        <v>1942</v>
      </c>
      <c r="B44" s="5">
        <v>14637</v>
      </c>
      <c r="C44" s="5">
        <v>2753</v>
      </c>
      <c r="D44" s="5">
        <v>43062</v>
      </c>
      <c r="E44" s="5">
        <v>5244</v>
      </c>
      <c r="F44" s="5">
        <v>9540</v>
      </c>
      <c r="G44" s="5">
        <v>647</v>
      </c>
      <c r="H44" s="5">
        <v>4372</v>
      </c>
      <c r="I44" s="5">
        <v>1844</v>
      </c>
      <c r="J44" s="5">
        <v>2575</v>
      </c>
      <c r="K44" s="5">
        <v>1675</v>
      </c>
      <c r="L44" s="5">
        <v>2300</v>
      </c>
      <c r="M44" s="5">
        <v>2936</v>
      </c>
      <c r="N44" s="5">
        <v>1195</v>
      </c>
      <c r="O44" s="5">
        <v>20657</v>
      </c>
      <c r="P44" s="5">
        <v>863</v>
      </c>
      <c r="Q44" s="5">
        <v>651</v>
      </c>
      <c r="R44" s="5">
        <v>1164</v>
      </c>
      <c r="S44" s="5">
        <v>6915</v>
      </c>
      <c r="T44" s="5">
        <v>2014</v>
      </c>
      <c r="U44" s="5">
        <v>3914</v>
      </c>
    </row>
    <row r="45" spans="1:21" x14ac:dyDescent="0.25">
      <c r="A45" s="10">
        <v>1943</v>
      </c>
      <c r="B45" s="5">
        <v>14877</v>
      </c>
      <c r="C45" s="5">
        <v>2785</v>
      </c>
      <c r="D45" s="5">
        <v>43992</v>
      </c>
      <c r="E45" s="5">
        <v>5341</v>
      </c>
      <c r="F45" s="5">
        <v>9774</v>
      </c>
      <c r="G45" s="5">
        <v>661</v>
      </c>
      <c r="H45" s="5">
        <v>4779</v>
      </c>
      <c r="I45" s="5">
        <v>1889</v>
      </c>
      <c r="J45" s="5">
        <v>2641</v>
      </c>
      <c r="K45" s="5">
        <v>1691</v>
      </c>
      <c r="L45" s="5">
        <v>2339</v>
      </c>
      <c r="M45" s="5">
        <v>2979</v>
      </c>
      <c r="N45" s="5">
        <v>1213</v>
      </c>
      <c r="O45" s="5">
        <v>21165</v>
      </c>
      <c r="P45" s="5">
        <v>880</v>
      </c>
      <c r="Q45" s="5">
        <v>669</v>
      </c>
      <c r="R45" s="5">
        <v>1191</v>
      </c>
      <c r="S45" s="5">
        <v>7035</v>
      </c>
      <c r="T45" s="5">
        <v>2034</v>
      </c>
      <c r="U45" s="5">
        <v>4028</v>
      </c>
    </row>
    <row r="46" spans="1:21" x14ac:dyDescent="0.25">
      <c r="A46" s="10">
        <v>1944</v>
      </c>
      <c r="B46" s="5">
        <v>15130</v>
      </c>
      <c r="C46" s="5">
        <v>2817</v>
      </c>
      <c r="D46" s="5">
        <v>44842</v>
      </c>
      <c r="E46" s="5">
        <v>5440</v>
      </c>
      <c r="F46" s="5">
        <v>10016</v>
      </c>
      <c r="G46" s="5">
        <v>677</v>
      </c>
      <c r="H46" s="5">
        <v>4849</v>
      </c>
      <c r="I46" s="5">
        <v>1934</v>
      </c>
      <c r="J46" s="5">
        <v>2712</v>
      </c>
      <c r="K46" s="5">
        <v>1719</v>
      </c>
      <c r="L46" s="5">
        <v>2384</v>
      </c>
      <c r="M46" s="5">
        <v>3032</v>
      </c>
      <c r="N46" s="5">
        <v>1237</v>
      </c>
      <c r="O46" s="5">
        <v>21674</v>
      </c>
      <c r="P46" s="5">
        <v>900</v>
      </c>
      <c r="Q46" s="5">
        <v>685</v>
      </c>
      <c r="R46" s="5">
        <v>1219</v>
      </c>
      <c r="S46" s="5">
        <v>7159</v>
      </c>
      <c r="T46" s="5">
        <v>2055</v>
      </c>
      <c r="U46" s="5">
        <v>4146</v>
      </c>
    </row>
    <row r="47" spans="1:21" x14ac:dyDescent="0.25">
      <c r="A47" s="10">
        <v>1945</v>
      </c>
      <c r="B47" s="5">
        <v>15390</v>
      </c>
      <c r="C47" s="5">
        <v>2850</v>
      </c>
      <c r="D47" s="5">
        <v>45860</v>
      </c>
      <c r="E47" s="5">
        <v>5541</v>
      </c>
      <c r="F47" s="5">
        <v>10267</v>
      </c>
      <c r="G47" s="5">
        <v>695</v>
      </c>
      <c r="H47" s="5">
        <v>4932</v>
      </c>
      <c r="I47" s="5">
        <v>1982</v>
      </c>
      <c r="J47" s="5">
        <v>2781</v>
      </c>
      <c r="K47" s="5">
        <v>1742</v>
      </c>
      <c r="L47" s="5">
        <v>2438</v>
      </c>
      <c r="M47" s="5">
        <v>3087</v>
      </c>
      <c r="N47" s="5">
        <v>1261</v>
      </c>
      <c r="O47" s="5">
        <v>22233</v>
      </c>
      <c r="P47" s="5">
        <v>923</v>
      </c>
      <c r="Q47" s="5">
        <v>703</v>
      </c>
      <c r="R47" s="5">
        <v>1247</v>
      </c>
      <c r="S47" s="5">
        <v>7285</v>
      </c>
      <c r="T47" s="5">
        <v>2076</v>
      </c>
      <c r="U47" s="5">
        <v>4267</v>
      </c>
    </row>
    <row r="48" spans="1:21" x14ac:dyDescent="0.25">
      <c r="A48" s="10">
        <v>1946</v>
      </c>
      <c r="B48" s="5">
        <v>15654</v>
      </c>
      <c r="C48" s="5">
        <v>2883</v>
      </c>
      <c r="D48" s="5">
        <v>46975</v>
      </c>
      <c r="E48" s="5">
        <v>5643</v>
      </c>
      <c r="F48" s="5">
        <v>10528</v>
      </c>
      <c r="G48" s="5">
        <v>709</v>
      </c>
      <c r="H48" s="5">
        <v>5039</v>
      </c>
      <c r="I48" s="5">
        <v>2030</v>
      </c>
      <c r="J48" s="5">
        <v>2853</v>
      </c>
      <c r="K48" s="5">
        <v>1764</v>
      </c>
      <c r="L48" s="5">
        <v>2498</v>
      </c>
      <c r="M48" s="5">
        <v>3143</v>
      </c>
      <c r="N48" s="5">
        <v>1287</v>
      </c>
      <c r="O48" s="5">
        <v>22779</v>
      </c>
      <c r="P48" s="5">
        <v>949</v>
      </c>
      <c r="Q48" s="5">
        <v>721</v>
      </c>
      <c r="R48" s="5">
        <v>1275</v>
      </c>
      <c r="S48" s="5">
        <v>7415</v>
      </c>
      <c r="T48" s="5">
        <v>2098</v>
      </c>
      <c r="U48" s="5">
        <v>4391</v>
      </c>
    </row>
    <row r="49" spans="1:21" x14ac:dyDescent="0.25">
      <c r="A49" s="10">
        <v>1947</v>
      </c>
      <c r="B49" s="5">
        <v>15928</v>
      </c>
      <c r="C49" s="5">
        <v>2916</v>
      </c>
      <c r="D49" s="5">
        <v>48161</v>
      </c>
      <c r="E49" s="5">
        <v>5748</v>
      </c>
      <c r="F49" s="5">
        <v>10800</v>
      </c>
      <c r="G49" s="5">
        <v>726</v>
      </c>
      <c r="H49" s="5">
        <v>5152</v>
      </c>
      <c r="I49" s="5">
        <v>2080</v>
      </c>
      <c r="J49" s="5">
        <v>2936</v>
      </c>
      <c r="K49" s="5">
        <v>1788</v>
      </c>
      <c r="L49" s="5">
        <v>2566</v>
      </c>
      <c r="M49" s="5">
        <v>3200</v>
      </c>
      <c r="N49" s="5">
        <v>1320</v>
      </c>
      <c r="O49" s="5">
        <v>23440</v>
      </c>
      <c r="P49" s="5">
        <v>977</v>
      </c>
      <c r="Q49" s="5">
        <v>739</v>
      </c>
      <c r="R49" s="5">
        <v>1305</v>
      </c>
      <c r="S49" s="5">
        <v>7547</v>
      </c>
      <c r="T49" s="5">
        <v>2121</v>
      </c>
      <c r="U49" s="5">
        <v>4548</v>
      </c>
    </row>
    <row r="50" spans="1:21" x14ac:dyDescent="0.25">
      <c r="A50" s="10">
        <v>1948</v>
      </c>
      <c r="B50" s="5">
        <v>16269</v>
      </c>
      <c r="C50" s="5">
        <v>2950</v>
      </c>
      <c r="D50" s="5">
        <v>49422</v>
      </c>
      <c r="E50" s="5">
        <v>5854</v>
      </c>
      <c r="F50" s="5">
        <v>11081</v>
      </c>
      <c r="G50" s="5">
        <v>746</v>
      </c>
      <c r="H50" s="5">
        <v>5268</v>
      </c>
      <c r="I50" s="5">
        <v>2131</v>
      </c>
      <c r="J50" s="5">
        <v>3017</v>
      </c>
      <c r="K50" s="5">
        <v>1811</v>
      </c>
      <c r="L50" s="5">
        <v>2641</v>
      </c>
      <c r="M50" s="5">
        <v>3258</v>
      </c>
      <c r="N50" s="5">
        <v>1353</v>
      </c>
      <c r="O50" s="5">
        <v>24129</v>
      </c>
      <c r="P50" s="5">
        <v>1001</v>
      </c>
      <c r="Q50" s="5">
        <v>758</v>
      </c>
      <c r="R50" s="5">
        <v>1335</v>
      </c>
      <c r="S50" s="5">
        <v>7682</v>
      </c>
      <c r="T50" s="5">
        <v>2144</v>
      </c>
      <c r="U50" s="5">
        <v>4686</v>
      </c>
    </row>
    <row r="51" spans="1:21" x14ac:dyDescent="0.25">
      <c r="A51" s="10">
        <v>1949</v>
      </c>
      <c r="B51" s="5">
        <v>16656</v>
      </c>
      <c r="C51" s="5">
        <v>2955</v>
      </c>
      <c r="D51" s="5">
        <v>50759</v>
      </c>
      <c r="E51" s="5">
        <v>5962</v>
      </c>
      <c r="F51" s="5">
        <v>11373</v>
      </c>
      <c r="G51" s="5">
        <v>771</v>
      </c>
      <c r="H51" s="5">
        <v>5386</v>
      </c>
      <c r="I51" s="5">
        <v>2185</v>
      </c>
      <c r="J51" s="5">
        <v>3104</v>
      </c>
      <c r="K51" s="5">
        <v>1835</v>
      </c>
      <c r="L51" s="5">
        <v>2724</v>
      </c>
      <c r="M51" s="5">
        <v>3318</v>
      </c>
      <c r="N51" s="5">
        <v>1389</v>
      </c>
      <c r="O51" s="5">
        <v>24825</v>
      </c>
      <c r="P51" s="5">
        <v>1028</v>
      </c>
      <c r="Q51" s="5">
        <v>777</v>
      </c>
      <c r="R51" s="5">
        <v>1366</v>
      </c>
      <c r="S51" s="5">
        <v>7822</v>
      </c>
      <c r="T51" s="5">
        <v>2169</v>
      </c>
      <c r="U51" s="5">
        <v>4828</v>
      </c>
    </row>
    <row r="52" spans="1:21" x14ac:dyDescent="0.25">
      <c r="A52" s="10">
        <v>1950</v>
      </c>
      <c r="B52" s="5">
        <v>17070</v>
      </c>
      <c r="C52" s="5">
        <v>3013</v>
      </c>
      <c r="D52" s="5">
        <v>52178</v>
      </c>
      <c r="E52" s="5">
        <v>6073</v>
      </c>
      <c r="F52" s="5">
        <v>11679</v>
      </c>
      <c r="G52" s="5">
        <v>801</v>
      </c>
      <c r="H52" s="5">
        <v>5508</v>
      </c>
      <c r="I52" s="5">
        <v>2243</v>
      </c>
      <c r="J52" s="5">
        <v>3197</v>
      </c>
      <c r="K52" s="5">
        <v>1868</v>
      </c>
      <c r="L52" s="5">
        <v>2805</v>
      </c>
      <c r="M52" s="5">
        <v>3380</v>
      </c>
      <c r="N52" s="5">
        <v>1428</v>
      </c>
      <c r="O52" s="5">
        <v>25791</v>
      </c>
      <c r="P52" s="5">
        <v>1060</v>
      </c>
      <c r="Q52" s="5">
        <v>797</v>
      </c>
      <c r="R52" s="5">
        <v>1397</v>
      </c>
      <c r="S52" s="5">
        <v>7969</v>
      </c>
      <c r="T52" s="5">
        <v>2195</v>
      </c>
      <c r="U52" s="5">
        <v>4974</v>
      </c>
    </row>
    <row r="53" spans="1:21" x14ac:dyDescent="0.25">
      <c r="A53" s="10">
        <v>1951</v>
      </c>
      <c r="B53" s="5">
        <v>17408</v>
      </c>
      <c r="C53" s="5">
        <v>3061.3</v>
      </c>
      <c r="D53" s="5">
        <v>53786.3</v>
      </c>
      <c r="E53" s="5">
        <v>6205.5</v>
      </c>
      <c r="F53" s="5">
        <v>11991</v>
      </c>
      <c r="G53" s="5">
        <v>831.7</v>
      </c>
      <c r="H53" s="5">
        <v>5628.9</v>
      </c>
      <c r="I53" s="5">
        <v>2313</v>
      </c>
      <c r="J53" s="5">
        <v>3288.5</v>
      </c>
      <c r="K53" s="5">
        <v>1920.7</v>
      </c>
      <c r="L53" s="5">
        <v>2885.6</v>
      </c>
      <c r="M53" s="5">
        <v>3427.6</v>
      </c>
      <c r="N53" s="5">
        <v>1470.6</v>
      </c>
      <c r="O53" s="5">
        <v>26525.8</v>
      </c>
      <c r="P53" s="5">
        <v>1097.4000000000001</v>
      </c>
      <c r="Q53" s="5">
        <v>818.3</v>
      </c>
      <c r="R53" s="5">
        <v>1431.2</v>
      </c>
      <c r="S53" s="5">
        <v>8184.9</v>
      </c>
      <c r="T53" s="5">
        <v>2217.6999999999998</v>
      </c>
      <c r="U53" s="5">
        <v>5209.2</v>
      </c>
    </row>
    <row r="54" spans="1:21" x14ac:dyDescent="0.25">
      <c r="A54" s="10">
        <v>1952</v>
      </c>
      <c r="B54" s="5">
        <v>17747.3</v>
      </c>
      <c r="C54" s="5">
        <v>3116.3</v>
      </c>
      <c r="D54" s="5">
        <v>55523</v>
      </c>
      <c r="E54" s="5">
        <v>6372.1</v>
      </c>
      <c r="F54" s="5">
        <v>12322.7</v>
      </c>
      <c r="G54" s="5">
        <v>870.3</v>
      </c>
      <c r="H54" s="5">
        <v>5772.6</v>
      </c>
      <c r="I54" s="5">
        <v>2394.5</v>
      </c>
      <c r="J54" s="5">
        <v>3399.3</v>
      </c>
      <c r="K54" s="5">
        <v>1989.4</v>
      </c>
      <c r="L54" s="5">
        <v>2984.5</v>
      </c>
      <c r="M54" s="5">
        <v>3471.6</v>
      </c>
      <c r="N54" s="5">
        <v>1521.4</v>
      </c>
      <c r="O54" s="5">
        <v>27386.6</v>
      </c>
      <c r="P54" s="5">
        <v>1148.7</v>
      </c>
      <c r="Q54" s="5">
        <v>844.1</v>
      </c>
      <c r="R54" s="5">
        <v>1471.7</v>
      </c>
      <c r="S54" s="5">
        <v>8392.2999999999993</v>
      </c>
      <c r="T54" s="5">
        <v>2245</v>
      </c>
      <c r="U54" s="5">
        <v>5476.1</v>
      </c>
    </row>
    <row r="55" spans="1:21" x14ac:dyDescent="0.25">
      <c r="A55" s="10">
        <v>1953</v>
      </c>
      <c r="B55" s="5">
        <v>18084.5</v>
      </c>
      <c r="C55" s="5">
        <v>3177.5</v>
      </c>
      <c r="D55" s="5">
        <v>57375.6</v>
      </c>
      <c r="E55" s="5">
        <v>6567</v>
      </c>
      <c r="F55" s="5">
        <v>12671.3</v>
      </c>
      <c r="G55" s="5">
        <v>916</v>
      </c>
      <c r="H55" s="5">
        <v>5936.6</v>
      </c>
      <c r="I55" s="5">
        <v>2486.6</v>
      </c>
      <c r="J55" s="5">
        <v>3526.6</v>
      </c>
      <c r="K55" s="5">
        <v>2072.3000000000002</v>
      </c>
      <c r="L55" s="5">
        <v>3098.5</v>
      </c>
      <c r="M55" s="5">
        <v>3513.3</v>
      </c>
      <c r="N55" s="5">
        <v>1579.5</v>
      </c>
      <c r="O55" s="5">
        <v>28361.4</v>
      </c>
      <c r="P55" s="5">
        <v>1212.5999999999999</v>
      </c>
      <c r="Q55" s="5">
        <v>873.8</v>
      </c>
      <c r="R55" s="5">
        <v>1517.6</v>
      </c>
      <c r="S55" s="5">
        <v>8592.4</v>
      </c>
      <c r="T55" s="5">
        <v>2276.1</v>
      </c>
      <c r="U55" s="5">
        <v>5771.4</v>
      </c>
    </row>
    <row r="56" spans="1:21" x14ac:dyDescent="0.25">
      <c r="A56" s="10">
        <v>1954</v>
      </c>
      <c r="B56" s="5">
        <v>18417.599999999999</v>
      </c>
      <c r="C56" s="5">
        <v>3244.4</v>
      </c>
      <c r="D56" s="5">
        <v>59332.1</v>
      </c>
      <c r="E56" s="5">
        <v>6784.6</v>
      </c>
      <c r="F56" s="5">
        <v>13037.3</v>
      </c>
      <c r="G56" s="5">
        <v>968.2</v>
      </c>
      <c r="H56" s="5">
        <v>6117</v>
      </c>
      <c r="I56" s="5">
        <v>2587.8000000000002</v>
      </c>
      <c r="J56" s="5">
        <v>3667.8</v>
      </c>
      <c r="K56" s="5">
        <v>2167.1999999999998</v>
      </c>
      <c r="L56" s="5">
        <v>3225.2</v>
      </c>
      <c r="M56" s="5">
        <v>3553.9</v>
      </c>
      <c r="N56" s="5">
        <v>1643.7</v>
      </c>
      <c r="O56" s="5">
        <v>29439.7</v>
      </c>
      <c r="P56" s="5">
        <v>1287.3</v>
      </c>
      <c r="Q56" s="5">
        <v>906.7</v>
      </c>
      <c r="R56" s="5">
        <v>1567.9</v>
      </c>
      <c r="S56" s="5">
        <v>8789.1</v>
      </c>
      <c r="T56" s="5">
        <v>2310.1</v>
      </c>
      <c r="U56" s="5">
        <v>6091.4</v>
      </c>
    </row>
    <row r="57" spans="1:21" x14ac:dyDescent="0.25">
      <c r="A57" s="10">
        <v>1955</v>
      </c>
      <c r="B57" s="5">
        <v>18744.599999999999</v>
      </c>
      <c r="C57" s="5">
        <v>3315.9</v>
      </c>
      <c r="D57" s="5">
        <v>61381.8</v>
      </c>
      <c r="E57" s="5">
        <v>7018.3</v>
      </c>
      <c r="F57" s="5">
        <v>13422.6</v>
      </c>
      <c r="G57" s="5">
        <v>1025.5</v>
      </c>
      <c r="H57" s="5">
        <v>6308.9</v>
      </c>
      <c r="I57" s="5">
        <v>2696.6</v>
      </c>
      <c r="J57" s="5">
        <v>3819.7</v>
      </c>
      <c r="K57" s="5">
        <v>2272.1999999999998</v>
      </c>
      <c r="L57" s="5">
        <v>3362.5</v>
      </c>
      <c r="M57" s="5">
        <v>3595</v>
      </c>
      <c r="N57" s="5">
        <v>1712.6</v>
      </c>
      <c r="O57" s="5">
        <v>30602.5</v>
      </c>
      <c r="P57" s="5">
        <v>1370.7</v>
      </c>
      <c r="Q57" s="5">
        <v>942</v>
      </c>
      <c r="R57" s="5">
        <v>1621.2</v>
      </c>
      <c r="S57" s="5">
        <v>8988</v>
      </c>
      <c r="T57" s="5">
        <v>2346.1</v>
      </c>
      <c r="U57" s="5">
        <v>6431.2</v>
      </c>
    </row>
    <row r="58" spans="1:21" x14ac:dyDescent="0.25">
      <c r="A58" s="10">
        <v>1956</v>
      </c>
      <c r="B58" s="5">
        <v>19070.400000000001</v>
      </c>
      <c r="C58" s="5">
        <v>3391.1</v>
      </c>
      <c r="D58" s="5">
        <v>63510.7</v>
      </c>
      <c r="E58" s="5">
        <v>7262.3</v>
      </c>
      <c r="F58" s="5">
        <v>13825.2</v>
      </c>
      <c r="G58" s="5">
        <v>1086.5999999999999</v>
      </c>
      <c r="H58" s="5">
        <v>6506.9</v>
      </c>
      <c r="I58" s="5">
        <v>2810.8</v>
      </c>
      <c r="J58" s="5">
        <v>3978.7</v>
      </c>
      <c r="K58" s="5">
        <v>2383.6</v>
      </c>
      <c r="L58" s="5">
        <v>3506.7</v>
      </c>
      <c r="M58" s="5">
        <v>3638.6</v>
      </c>
      <c r="N58" s="5">
        <v>1784.7</v>
      </c>
      <c r="O58" s="5">
        <v>31824.400000000001</v>
      </c>
      <c r="P58" s="5">
        <v>1460</v>
      </c>
      <c r="Q58" s="5">
        <v>979</v>
      </c>
      <c r="R58" s="5">
        <v>1676.2</v>
      </c>
      <c r="S58" s="5">
        <v>9193.2999999999993</v>
      </c>
      <c r="T58" s="5">
        <v>2383.4</v>
      </c>
      <c r="U58" s="5">
        <v>6785</v>
      </c>
    </row>
    <row r="59" spans="1:21" x14ac:dyDescent="0.25">
      <c r="A59" s="10">
        <v>1957</v>
      </c>
      <c r="B59" s="5">
        <v>19395.8</v>
      </c>
      <c r="C59" s="5">
        <v>3468.6</v>
      </c>
      <c r="D59" s="5">
        <v>65699.899999999994</v>
      </c>
      <c r="E59" s="5">
        <v>7508</v>
      </c>
      <c r="F59" s="5">
        <v>14247.2</v>
      </c>
      <c r="G59" s="5">
        <v>1149.8</v>
      </c>
      <c r="H59" s="5">
        <v>6705.3</v>
      </c>
      <c r="I59" s="5">
        <v>2928.1</v>
      </c>
      <c r="J59" s="5">
        <v>4140.7</v>
      </c>
      <c r="K59" s="5">
        <v>2496.9</v>
      </c>
      <c r="L59" s="5">
        <v>3653.7</v>
      </c>
      <c r="M59" s="5">
        <v>3685.1</v>
      </c>
      <c r="N59" s="5">
        <v>1858</v>
      </c>
      <c r="O59" s="5">
        <v>33078</v>
      </c>
      <c r="P59" s="5">
        <v>1551.2</v>
      </c>
      <c r="Q59" s="5">
        <v>1016.8</v>
      </c>
      <c r="R59" s="5">
        <v>1731.6</v>
      </c>
      <c r="S59" s="5">
        <v>9409.2999999999993</v>
      </c>
      <c r="T59" s="5">
        <v>2421.4</v>
      </c>
      <c r="U59" s="5">
        <v>7145.8</v>
      </c>
    </row>
    <row r="60" spans="1:21" x14ac:dyDescent="0.25">
      <c r="A60" s="10">
        <v>1958</v>
      </c>
      <c r="B60" s="5">
        <v>19720.5</v>
      </c>
      <c r="C60" s="5">
        <v>3547.2</v>
      </c>
      <c r="D60" s="5">
        <v>67927.3</v>
      </c>
      <c r="E60" s="5">
        <v>7745.2</v>
      </c>
      <c r="F60" s="5">
        <v>14681.8</v>
      </c>
      <c r="G60" s="5">
        <v>1213</v>
      </c>
      <c r="H60" s="5">
        <v>6897.8</v>
      </c>
      <c r="I60" s="5">
        <v>3045.5</v>
      </c>
      <c r="J60" s="5">
        <v>4300.6000000000004</v>
      </c>
      <c r="K60" s="5">
        <v>2606</v>
      </c>
      <c r="L60" s="5">
        <v>3797.7</v>
      </c>
      <c r="M60" s="5">
        <v>3736.1</v>
      </c>
      <c r="N60" s="5">
        <v>1930.5</v>
      </c>
      <c r="O60" s="5">
        <v>34333.699999999997</v>
      </c>
      <c r="P60" s="5">
        <v>1639.4</v>
      </c>
      <c r="Q60" s="5">
        <v>1054.7</v>
      </c>
      <c r="R60" s="5">
        <v>1785.8</v>
      </c>
      <c r="S60" s="5">
        <v>9640.9</v>
      </c>
      <c r="T60" s="5">
        <v>2459.3000000000002</v>
      </c>
      <c r="U60" s="5">
        <v>7504.7</v>
      </c>
    </row>
    <row r="61" spans="1:21" x14ac:dyDescent="0.25">
      <c r="A61" s="10">
        <v>1959</v>
      </c>
      <c r="B61" s="5">
        <v>20051.3</v>
      </c>
      <c r="C61" s="5">
        <v>3625.6</v>
      </c>
      <c r="D61" s="5">
        <v>70168.7</v>
      </c>
      <c r="E61" s="5">
        <v>7963.9</v>
      </c>
      <c r="F61" s="5">
        <v>15133</v>
      </c>
      <c r="G61" s="5">
        <v>1273.4000000000001</v>
      </c>
      <c r="H61" s="5">
        <v>7077.9</v>
      </c>
      <c r="I61" s="5">
        <v>3160.1</v>
      </c>
      <c r="J61" s="5">
        <v>4452.8999999999996</v>
      </c>
      <c r="K61" s="5">
        <v>2705.7</v>
      </c>
      <c r="L61" s="5">
        <v>3935.6</v>
      </c>
      <c r="M61" s="5">
        <v>3793.3</v>
      </c>
      <c r="N61" s="5">
        <v>1999.4</v>
      </c>
      <c r="O61" s="5">
        <v>35560.1</v>
      </c>
      <c r="P61" s="5">
        <v>1718.8</v>
      </c>
      <c r="Q61" s="5">
        <v>1091.4000000000001</v>
      </c>
      <c r="R61" s="5">
        <v>1837.2</v>
      </c>
      <c r="S61" s="5">
        <v>9894</v>
      </c>
      <c r="T61" s="5">
        <v>2495.9</v>
      </c>
      <c r="U61" s="5">
        <v>7847.6</v>
      </c>
    </row>
    <row r="62" spans="1:21" x14ac:dyDescent="0.25">
      <c r="A62" s="10">
        <v>1960</v>
      </c>
      <c r="B62" s="5">
        <v>20386</v>
      </c>
      <c r="C62" s="5">
        <v>3702.3</v>
      </c>
      <c r="D62" s="5">
        <v>72388.100000000006</v>
      </c>
      <c r="E62" s="5">
        <v>8153.4</v>
      </c>
      <c r="F62" s="5">
        <v>15606.2</v>
      </c>
      <c r="G62" s="5">
        <v>1327.5</v>
      </c>
      <c r="H62" s="5">
        <v>7238.1</v>
      </c>
      <c r="I62" s="5">
        <v>3268.3</v>
      </c>
      <c r="J62" s="5">
        <v>4590.8999999999996</v>
      </c>
      <c r="K62" s="5">
        <v>2791.5</v>
      </c>
      <c r="L62" s="5">
        <v>4063.7</v>
      </c>
      <c r="M62" s="5">
        <v>3858.4</v>
      </c>
      <c r="N62" s="5">
        <v>2062.1</v>
      </c>
      <c r="O62" s="5">
        <v>36724.6</v>
      </c>
      <c r="P62" s="5">
        <v>1782.4</v>
      </c>
      <c r="Q62" s="5">
        <v>1126</v>
      </c>
      <c r="R62" s="5">
        <v>1883.5</v>
      </c>
      <c r="S62" s="5">
        <v>10174.1</v>
      </c>
      <c r="T62" s="5">
        <v>2530</v>
      </c>
      <c r="U62" s="5">
        <v>8160.1</v>
      </c>
    </row>
    <row r="63" spans="1:21" x14ac:dyDescent="0.25">
      <c r="A63" s="10">
        <v>1961</v>
      </c>
      <c r="B63" s="5">
        <v>20726.3</v>
      </c>
      <c r="C63" s="5">
        <v>3778.7</v>
      </c>
      <c r="D63" s="5">
        <v>74605.399999999994</v>
      </c>
      <c r="E63" s="5">
        <v>8324.7999999999993</v>
      </c>
      <c r="F63" s="5">
        <v>16095.2</v>
      </c>
      <c r="G63" s="5">
        <v>1377.9</v>
      </c>
      <c r="H63" s="5">
        <v>7387.1</v>
      </c>
      <c r="I63" s="5">
        <v>3373.2</v>
      </c>
      <c r="J63" s="5">
        <v>4722.3</v>
      </c>
      <c r="K63" s="5">
        <v>2870</v>
      </c>
      <c r="L63" s="5">
        <v>4186.2</v>
      </c>
      <c r="M63" s="5">
        <v>3929</v>
      </c>
      <c r="N63" s="5">
        <v>2121.1999999999998</v>
      </c>
      <c r="O63" s="5">
        <v>37890.1</v>
      </c>
      <c r="P63" s="5">
        <v>1836.5</v>
      </c>
      <c r="Q63" s="5">
        <v>1159.9000000000001</v>
      </c>
      <c r="R63" s="5">
        <v>1927.4</v>
      </c>
      <c r="S63" s="5">
        <v>10475.1</v>
      </c>
      <c r="T63" s="5">
        <v>2562</v>
      </c>
      <c r="U63" s="5">
        <v>8455.9</v>
      </c>
    </row>
    <row r="64" spans="1:21" x14ac:dyDescent="0.25">
      <c r="A64" s="10">
        <v>1962</v>
      </c>
      <c r="B64" s="5">
        <v>21072.5</v>
      </c>
      <c r="C64" s="5">
        <v>3857.5</v>
      </c>
      <c r="D64" s="5">
        <v>76865.3</v>
      </c>
      <c r="E64" s="5">
        <v>8497.1</v>
      </c>
      <c r="F64" s="5">
        <v>16599</v>
      </c>
      <c r="G64" s="5">
        <v>1429.4</v>
      </c>
      <c r="H64" s="5">
        <v>7541.1</v>
      </c>
      <c r="I64" s="5">
        <v>3479.9</v>
      </c>
      <c r="J64" s="5">
        <v>4859.3</v>
      </c>
      <c r="K64" s="5">
        <v>2949.2</v>
      </c>
      <c r="L64" s="5">
        <v>4312</v>
      </c>
      <c r="M64" s="5">
        <v>4001.6</v>
      </c>
      <c r="N64" s="5">
        <v>2182.1</v>
      </c>
      <c r="O64" s="5">
        <v>39129.199999999997</v>
      </c>
      <c r="P64" s="5">
        <v>1892.3</v>
      </c>
      <c r="Q64" s="5">
        <v>1195.3</v>
      </c>
      <c r="R64" s="5">
        <v>1973.1</v>
      </c>
      <c r="S64" s="5">
        <v>10784.6</v>
      </c>
      <c r="T64" s="5">
        <v>2593.3000000000002</v>
      </c>
      <c r="U64" s="5">
        <v>8756.9</v>
      </c>
    </row>
    <row r="65" spans="1:21" x14ac:dyDescent="0.25">
      <c r="A65" s="10">
        <v>1963</v>
      </c>
      <c r="B65" s="5">
        <v>21421.7</v>
      </c>
      <c r="C65" s="5">
        <v>3938.9</v>
      </c>
      <c r="D65" s="5">
        <v>79164.2</v>
      </c>
      <c r="E65" s="5">
        <v>8670.1</v>
      </c>
      <c r="F65" s="5">
        <v>17113.8</v>
      </c>
      <c r="G65" s="5">
        <v>1481.6</v>
      </c>
      <c r="H65" s="5">
        <v>7701.7</v>
      </c>
      <c r="I65" s="5">
        <v>3588.3</v>
      </c>
      <c r="J65" s="5">
        <v>5001.7</v>
      </c>
      <c r="K65" s="5">
        <v>3028.7</v>
      </c>
      <c r="L65" s="5">
        <v>4440.3</v>
      </c>
      <c r="M65" s="5">
        <v>4073.1</v>
      </c>
      <c r="N65" s="5">
        <v>2244.9</v>
      </c>
      <c r="O65" s="5">
        <v>40424.1</v>
      </c>
      <c r="P65" s="5">
        <v>1950.2</v>
      </c>
      <c r="Q65" s="5">
        <v>1232.0999999999999</v>
      </c>
      <c r="R65" s="5">
        <v>2021.9</v>
      </c>
      <c r="S65" s="5">
        <v>11102.1</v>
      </c>
      <c r="T65" s="5">
        <v>2623.8</v>
      </c>
      <c r="U65" s="5">
        <v>9064</v>
      </c>
    </row>
    <row r="66" spans="1:21" x14ac:dyDescent="0.25">
      <c r="A66" s="10">
        <v>1964</v>
      </c>
      <c r="B66" s="5">
        <v>21769.5</v>
      </c>
      <c r="C66" s="5">
        <v>4023</v>
      </c>
      <c r="D66" s="5">
        <v>81488.600000000006</v>
      </c>
      <c r="E66" s="5">
        <v>8842.5</v>
      </c>
      <c r="F66" s="5">
        <v>17637.400000000001</v>
      </c>
      <c r="G66" s="5">
        <v>1534</v>
      </c>
      <c r="H66" s="5">
        <v>7866</v>
      </c>
      <c r="I66" s="5">
        <v>3698.6</v>
      </c>
      <c r="J66" s="5">
        <v>5149.8999999999996</v>
      </c>
      <c r="K66" s="5">
        <v>3111.9</v>
      </c>
      <c r="L66" s="5">
        <v>4571.1000000000004</v>
      </c>
      <c r="M66" s="5">
        <v>4146.2</v>
      </c>
      <c r="N66" s="5">
        <v>2309.9</v>
      </c>
      <c r="O66" s="5">
        <v>41772</v>
      </c>
      <c r="P66" s="5">
        <v>2010.2</v>
      </c>
      <c r="Q66" s="5">
        <v>1270.0999999999999</v>
      </c>
      <c r="R66" s="5">
        <v>2073.1</v>
      </c>
      <c r="S66" s="5">
        <v>11428</v>
      </c>
      <c r="T66" s="5">
        <v>2653.2</v>
      </c>
      <c r="U66" s="5">
        <v>9377.7000000000007</v>
      </c>
    </row>
    <row r="67" spans="1:21" x14ac:dyDescent="0.25">
      <c r="A67" s="10">
        <v>1965</v>
      </c>
      <c r="B67" s="5">
        <v>22112.6</v>
      </c>
      <c r="C67" s="5">
        <v>4109.8</v>
      </c>
      <c r="D67" s="5">
        <v>83817.600000000006</v>
      </c>
      <c r="E67" s="5">
        <v>9012.9</v>
      </c>
      <c r="F67" s="5">
        <v>18169.099999999999</v>
      </c>
      <c r="G67" s="5">
        <v>1586.2</v>
      </c>
      <c r="H67" s="5">
        <v>8030.8</v>
      </c>
      <c r="I67" s="5">
        <v>3809</v>
      </c>
      <c r="J67" s="5">
        <v>5304</v>
      </c>
      <c r="K67" s="5">
        <v>3199.5</v>
      </c>
      <c r="L67" s="5">
        <v>4705</v>
      </c>
      <c r="M67" s="5">
        <v>4223.8</v>
      </c>
      <c r="N67" s="5">
        <v>2377.1999999999998</v>
      </c>
      <c r="O67" s="5">
        <v>43174.5</v>
      </c>
      <c r="P67" s="5">
        <v>2072.6999999999998</v>
      </c>
      <c r="Q67" s="5">
        <v>1308.8</v>
      </c>
      <c r="R67" s="5">
        <v>2125.1999999999998</v>
      </c>
      <c r="S67" s="5">
        <v>11761.1</v>
      </c>
      <c r="T67" s="5">
        <v>2681.2</v>
      </c>
      <c r="U67" s="5">
        <v>9697.7999999999993</v>
      </c>
    </row>
    <row r="68" spans="1:21" x14ac:dyDescent="0.25">
      <c r="A68" s="10">
        <v>1966</v>
      </c>
      <c r="B68" s="5">
        <v>22453.9</v>
      </c>
      <c r="C68" s="5">
        <v>4199.6000000000004</v>
      </c>
      <c r="D68" s="5">
        <v>86139.4</v>
      </c>
      <c r="E68" s="5">
        <v>9181.7000000000007</v>
      </c>
      <c r="F68" s="5">
        <v>18702.7</v>
      </c>
      <c r="G68" s="5">
        <v>1638.1</v>
      </c>
      <c r="H68" s="5">
        <v>8193.5</v>
      </c>
      <c r="I68" s="5">
        <v>3921.8</v>
      </c>
      <c r="J68" s="5">
        <v>5463.7</v>
      </c>
      <c r="K68" s="5">
        <v>3291</v>
      </c>
      <c r="L68" s="5">
        <v>4841</v>
      </c>
      <c r="M68" s="5">
        <v>4302.6000000000004</v>
      </c>
      <c r="N68" s="5">
        <v>2446.8000000000002</v>
      </c>
      <c r="O68" s="5">
        <v>44629.1</v>
      </c>
      <c r="P68" s="5">
        <v>2137.8000000000002</v>
      </c>
      <c r="Q68" s="5">
        <v>1348.4</v>
      </c>
      <c r="R68" s="5">
        <v>2177.6</v>
      </c>
      <c r="S68" s="5">
        <v>12101.3</v>
      </c>
      <c r="T68" s="5">
        <v>2707.6</v>
      </c>
      <c r="U68" s="5">
        <v>10024.9</v>
      </c>
    </row>
    <row r="69" spans="1:21" x14ac:dyDescent="0.25">
      <c r="A69" s="10">
        <v>1967</v>
      </c>
      <c r="B69" s="5">
        <v>22799.1</v>
      </c>
      <c r="C69" s="5">
        <v>4292.6000000000004</v>
      </c>
      <c r="D69" s="5">
        <v>88446.1</v>
      </c>
      <c r="E69" s="5">
        <v>9348.9</v>
      </c>
      <c r="F69" s="5">
        <v>19235.599999999999</v>
      </c>
      <c r="G69" s="5">
        <v>1689.5</v>
      </c>
      <c r="H69" s="5">
        <v>8352.6</v>
      </c>
      <c r="I69" s="5">
        <v>4038.9</v>
      </c>
      <c r="J69" s="5">
        <v>5629.1</v>
      </c>
      <c r="K69" s="5">
        <v>3385.2</v>
      </c>
      <c r="L69" s="5">
        <v>4978.8999999999996</v>
      </c>
      <c r="M69" s="5">
        <v>4383</v>
      </c>
      <c r="N69" s="5">
        <v>2518.6</v>
      </c>
      <c r="O69" s="5">
        <v>46129.599999999999</v>
      </c>
      <c r="P69" s="5">
        <v>2205.6</v>
      </c>
      <c r="Q69" s="5">
        <v>1388.6</v>
      </c>
      <c r="R69" s="5">
        <v>2230</v>
      </c>
      <c r="S69" s="5">
        <v>12448.8</v>
      </c>
      <c r="T69" s="5">
        <v>2732.3</v>
      </c>
      <c r="U69" s="5">
        <v>10358.5</v>
      </c>
    </row>
    <row r="70" spans="1:21" x14ac:dyDescent="0.25">
      <c r="A70" s="10">
        <v>1968</v>
      </c>
      <c r="B70" s="5">
        <v>23150.6</v>
      </c>
      <c r="C70" s="5">
        <v>4388.8999999999996</v>
      </c>
      <c r="D70" s="5">
        <v>90741.2</v>
      </c>
      <c r="E70" s="5">
        <v>9514.7000000000007</v>
      </c>
      <c r="F70" s="5">
        <v>19766.8</v>
      </c>
      <c r="G70" s="5">
        <v>1739.7</v>
      </c>
      <c r="H70" s="5">
        <v>8509.5</v>
      </c>
      <c r="I70" s="5">
        <v>4157.2</v>
      </c>
      <c r="J70" s="5">
        <v>5799.7</v>
      </c>
      <c r="K70" s="5">
        <v>3480.8</v>
      </c>
      <c r="L70" s="5">
        <v>5118.1000000000004</v>
      </c>
      <c r="M70" s="5">
        <v>4465.3</v>
      </c>
      <c r="N70" s="5">
        <v>2593.1</v>
      </c>
      <c r="O70" s="5">
        <v>47668.3</v>
      </c>
      <c r="P70" s="5">
        <v>2275.8000000000002</v>
      </c>
      <c r="Q70" s="5">
        <v>1429.4</v>
      </c>
      <c r="R70" s="5">
        <v>2282.4</v>
      </c>
      <c r="S70" s="5">
        <v>12804</v>
      </c>
      <c r="T70" s="5">
        <v>2754.6</v>
      </c>
      <c r="U70" s="5">
        <v>10697.5</v>
      </c>
    </row>
    <row r="71" spans="1:21" x14ac:dyDescent="0.25">
      <c r="A71" s="10">
        <v>1969</v>
      </c>
      <c r="B71" s="5">
        <v>23508.7</v>
      </c>
      <c r="C71" s="5">
        <v>4488.2</v>
      </c>
      <c r="D71" s="5">
        <v>93045.8</v>
      </c>
      <c r="E71" s="5">
        <v>9680.2999999999993</v>
      </c>
      <c r="F71" s="5">
        <v>20291.900000000001</v>
      </c>
      <c r="G71" s="5">
        <v>1789.3</v>
      </c>
      <c r="H71" s="5">
        <v>8666.6</v>
      </c>
      <c r="I71" s="5">
        <v>4277</v>
      </c>
      <c r="J71" s="5">
        <v>5975.2</v>
      </c>
      <c r="K71" s="5">
        <v>3576.5</v>
      </c>
      <c r="L71" s="5">
        <v>5257.1</v>
      </c>
      <c r="M71" s="5">
        <v>4549.3</v>
      </c>
      <c r="N71" s="5">
        <v>2670.3</v>
      </c>
      <c r="O71" s="5">
        <v>49233.2</v>
      </c>
      <c r="P71" s="5">
        <v>2348.4</v>
      </c>
      <c r="Q71" s="5">
        <v>1470.9</v>
      </c>
      <c r="R71" s="5">
        <v>2335</v>
      </c>
      <c r="S71" s="5">
        <v>13166.8</v>
      </c>
      <c r="T71" s="5">
        <v>2774</v>
      </c>
      <c r="U71" s="5">
        <v>11040.3</v>
      </c>
    </row>
    <row r="72" spans="1:21" x14ac:dyDescent="0.25">
      <c r="A72" s="10">
        <v>1970</v>
      </c>
      <c r="B72" s="5">
        <v>23878.3</v>
      </c>
      <c r="C72" s="5">
        <v>4590</v>
      </c>
      <c r="D72" s="5">
        <v>95375.7</v>
      </c>
      <c r="E72" s="5">
        <v>9845.2999999999993</v>
      </c>
      <c r="F72" s="5">
        <v>20811.8</v>
      </c>
      <c r="G72" s="5">
        <v>1838.9</v>
      </c>
      <c r="H72" s="5">
        <v>8824.4</v>
      </c>
      <c r="I72" s="5">
        <v>4399.3</v>
      </c>
      <c r="J72" s="5">
        <v>6155.4</v>
      </c>
      <c r="K72" s="5">
        <v>3668.8</v>
      </c>
      <c r="L72" s="5">
        <v>5397</v>
      </c>
      <c r="M72" s="5">
        <v>4635.1000000000004</v>
      </c>
      <c r="N72" s="5">
        <v>2750.7</v>
      </c>
      <c r="O72" s="5">
        <v>50815</v>
      </c>
      <c r="P72" s="5">
        <v>2423.1</v>
      </c>
      <c r="Q72" s="5">
        <v>1513.1</v>
      </c>
      <c r="R72" s="5">
        <v>2388</v>
      </c>
      <c r="S72" s="5">
        <v>13501.2</v>
      </c>
      <c r="T72" s="5">
        <v>2790.8</v>
      </c>
      <c r="U72" s="5">
        <v>11387.8</v>
      </c>
    </row>
    <row r="73" spans="1:21" x14ac:dyDescent="0.25">
      <c r="A73" s="10">
        <v>1971</v>
      </c>
      <c r="B73" s="5">
        <v>24257.200000000001</v>
      </c>
      <c r="C73" s="5">
        <v>4694.3</v>
      </c>
      <c r="D73" s="5">
        <v>97739.3</v>
      </c>
      <c r="E73" s="5">
        <v>10009.700000000001</v>
      </c>
      <c r="F73" s="5">
        <v>21319.1</v>
      </c>
      <c r="G73" s="5">
        <v>1888.5</v>
      </c>
      <c r="H73" s="5">
        <v>8979.1</v>
      </c>
      <c r="I73" s="5">
        <v>4524.2</v>
      </c>
      <c r="J73" s="5">
        <v>6340.1</v>
      </c>
      <c r="K73" s="5">
        <v>3757.5</v>
      </c>
      <c r="L73" s="5">
        <v>5538.4</v>
      </c>
      <c r="M73" s="5">
        <v>4723.2</v>
      </c>
      <c r="N73" s="5">
        <v>2834.6</v>
      </c>
      <c r="O73" s="5">
        <v>52412.6</v>
      </c>
      <c r="P73" s="5">
        <v>2499.8000000000002</v>
      </c>
      <c r="Q73" s="5">
        <v>1556.1</v>
      </c>
      <c r="R73" s="5">
        <v>2442.5</v>
      </c>
      <c r="S73" s="5">
        <v>13838.1</v>
      </c>
      <c r="T73" s="5">
        <v>2806.5</v>
      </c>
      <c r="U73" s="5">
        <v>11741</v>
      </c>
    </row>
    <row r="74" spans="1:21" x14ac:dyDescent="0.25">
      <c r="A74" s="10">
        <v>1972</v>
      </c>
      <c r="B74" s="5">
        <v>24644.3</v>
      </c>
      <c r="C74" s="5">
        <v>4801</v>
      </c>
      <c r="D74" s="5">
        <v>100146.8</v>
      </c>
      <c r="E74" s="5">
        <v>10174.700000000001</v>
      </c>
      <c r="F74" s="5">
        <v>21819.599999999999</v>
      </c>
      <c r="G74" s="5">
        <v>1938.2</v>
      </c>
      <c r="H74" s="5">
        <v>9123.9</v>
      </c>
      <c r="I74" s="5">
        <v>4651.8999999999996</v>
      </c>
      <c r="J74" s="5">
        <v>6529</v>
      </c>
      <c r="K74" s="5">
        <v>3846.8</v>
      </c>
      <c r="L74" s="5">
        <v>5682.8</v>
      </c>
      <c r="M74" s="5">
        <v>4813.8999999999996</v>
      </c>
      <c r="N74" s="5">
        <v>2922.1</v>
      </c>
      <c r="O74" s="5">
        <v>54030.2</v>
      </c>
      <c r="P74" s="5">
        <v>2573.6</v>
      </c>
      <c r="Q74" s="5">
        <v>1599.7</v>
      </c>
      <c r="R74" s="5">
        <v>2499.9</v>
      </c>
      <c r="S74" s="5">
        <v>14210.1</v>
      </c>
      <c r="T74" s="5">
        <v>2821.6</v>
      </c>
      <c r="U74" s="5">
        <v>12099.2</v>
      </c>
    </row>
    <row r="75" spans="1:21" x14ac:dyDescent="0.25">
      <c r="A75" s="10">
        <v>1973</v>
      </c>
      <c r="B75" s="5">
        <v>25046</v>
      </c>
      <c r="C75" s="5">
        <v>4910.2</v>
      </c>
      <c r="D75" s="5">
        <v>102601</v>
      </c>
      <c r="E75" s="5">
        <v>10340.4</v>
      </c>
      <c r="F75" s="5">
        <v>22325.4</v>
      </c>
      <c r="G75" s="5">
        <v>1988.3</v>
      </c>
      <c r="H75" s="5">
        <v>9255.2999999999993</v>
      </c>
      <c r="I75" s="5">
        <v>4782.2</v>
      </c>
      <c r="J75" s="5">
        <v>6722</v>
      </c>
      <c r="K75" s="5">
        <v>3938.1</v>
      </c>
      <c r="L75" s="5">
        <v>5831.6</v>
      </c>
      <c r="M75" s="5">
        <v>4906.7</v>
      </c>
      <c r="N75" s="5">
        <v>3011.5</v>
      </c>
      <c r="O75" s="5">
        <v>55667.3</v>
      </c>
      <c r="P75" s="5">
        <v>2649.3</v>
      </c>
      <c r="Q75" s="5">
        <v>1643.7</v>
      </c>
      <c r="R75" s="5">
        <v>2561.1</v>
      </c>
      <c r="S75" s="5">
        <v>14582.9</v>
      </c>
      <c r="T75" s="5">
        <v>2837.1</v>
      </c>
      <c r="U75" s="5">
        <v>12463.5</v>
      </c>
    </row>
    <row r="76" spans="1:21" x14ac:dyDescent="0.25">
      <c r="A76" s="10">
        <v>1974</v>
      </c>
      <c r="B76" s="5">
        <v>25461.4</v>
      </c>
      <c r="C76" s="5">
        <v>5022.5</v>
      </c>
      <c r="D76" s="5">
        <v>105089.7</v>
      </c>
      <c r="E76" s="5">
        <v>10505.8</v>
      </c>
      <c r="F76" s="5">
        <v>22833.5</v>
      </c>
      <c r="G76" s="5">
        <v>2039.6</v>
      </c>
      <c r="H76" s="5">
        <v>9374.2000000000007</v>
      </c>
      <c r="I76" s="5">
        <v>4914.2</v>
      </c>
      <c r="J76" s="5">
        <v>6918.6</v>
      </c>
      <c r="K76" s="5">
        <v>4029.7</v>
      </c>
      <c r="L76" s="5">
        <v>5981.2</v>
      </c>
      <c r="M76" s="5">
        <v>5001.8</v>
      </c>
      <c r="N76" s="5">
        <v>3099.8</v>
      </c>
      <c r="O76" s="5">
        <v>57320.1</v>
      </c>
      <c r="P76" s="5">
        <v>2732.1</v>
      </c>
      <c r="Q76" s="5">
        <v>1687.9</v>
      </c>
      <c r="R76" s="5">
        <v>2625.6</v>
      </c>
      <c r="S76" s="5">
        <v>14956.6</v>
      </c>
      <c r="T76" s="5">
        <v>2853.9</v>
      </c>
      <c r="U76" s="5">
        <v>12835.4</v>
      </c>
    </row>
    <row r="77" spans="1:21" x14ac:dyDescent="0.25">
      <c r="A77" s="10">
        <v>1975</v>
      </c>
      <c r="B77" s="5">
        <v>25874.1</v>
      </c>
      <c r="C77" s="5">
        <v>5137.5</v>
      </c>
      <c r="D77" s="5">
        <v>107619.6</v>
      </c>
      <c r="E77" s="5">
        <v>10671.6</v>
      </c>
      <c r="F77" s="5">
        <v>23344.6</v>
      </c>
      <c r="G77" s="5">
        <v>2092.6999999999998</v>
      </c>
      <c r="H77" s="5">
        <v>9479.7000000000007</v>
      </c>
      <c r="I77" s="5">
        <v>5046.8</v>
      </c>
      <c r="J77" s="5">
        <v>7118.3</v>
      </c>
      <c r="K77" s="5">
        <v>4120.3999999999996</v>
      </c>
      <c r="L77" s="5">
        <v>6128.7</v>
      </c>
      <c r="M77" s="5">
        <v>5099.1000000000004</v>
      </c>
      <c r="N77" s="5">
        <v>3193.2</v>
      </c>
      <c r="O77" s="5">
        <v>58982.400000000001</v>
      </c>
      <c r="P77" s="5">
        <v>2816.9</v>
      </c>
      <c r="Q77" s="5">
        <v>1732.4</v>
      </c>
      <c r="R77" s="5">
        <v>2691.6</v>
      </c>
      <c r="S77" s="5">
        <v>15334</v>
      </c>
      <c r="T77" s="5">
        <v>2872.3</v>
      </c>
      <c r="U77" s="5">
        <v>13215.9</v>
      </c>
    </row>
    <row r="78" spans="1:21" x14ac:dyDescent="0.25">
      <c r="A78" s="10">
        <v>1976</v>
      </c>
      <c r="B78" s="5">
        <v>26282.3</v>
      </c>
      <c r="C78" s="5">
        <v>5256.5</v>
      </c>
      <c r="D78" s="5">
        <v>110213.3</v>
      </c>
      <c r="E78" s="5">
        <v>10838.3</v>
      </c>
      <c r="F78" s="5">
        <v>23858.799999999999</v>
      </c>
      <c r="G78" s="5">
        <v>2147.8000000000002</v>
      </c>
      <c r="H78" s="5">
        <v>9571.2000000000007</v>
      </c>
      <c r="I78" s="5">
        <v>5180.3999999999996</v>
      </c>
      <c r="J78" s="5">
        <v>7320.9</v>
      </c>
      <c r="K78" s="5">
        <v>4210.3</v>
      </c>
      <c r="L78" s="5">
        <v>6262.4</v>
      </c>
      <c r="M78" s="5">
        <v>5198.3999999999996</v>
      </c>
      <c r="N78" s="5">
        <v>3294.5</v>
      </c>
      <c r="O78" s="5">
        <v>60645.5</v>
      </c>
      <c r="P78" s="5">
        <v>2903.9</v>
      </c>
      <c r="Q78" s="5">
        <v>1776.9</v>
      </c>
      <c r="R78" s="5">
        <v>2758.8</v>
      </c>
      <c r="S78" s="5">
        <v>15716.8</v>
      </c>
      <c r="T78" s="5">
        <v>2891.4</v>
      </c>
      <c r="U78" s="5">
        <v>13606.3</v>
      </c>
    </row>
    <row r="79" spans="1:21" x14ac:dyDescent="0.25">
      <c r="A79" s="10">
        <v>1977</v>
      </c>
      <c r="B79" s="5">
        <v>26701.8</v>
      </c>
      <c r="C79" s="5">
        <v>5379.2</v>
      </c>
      <c r="D79" s="5">
        <v>112875.3</v>
      </c>
      <c r="E79" s="5">
        <v>11005.5</v>
      </c>
      <c r="F79" s="5">
        <v>24393.5</v>
      </c>
      <c r="G79" s="5">
        <v>2205</v>
      </c>
      <c r="H79" s="5">
        <v>9648.4</v>
      </c>
      <c r="I79" s="5">
        <v>5315.4</v>
      </c>
      <c r="J79" s="5">
        <v>7526.8</v>
      </c>
      <c r="K79" s="5">
        <v>4301.3</v>
      </c>
      <c r="L79" s="5">
        <v>6401.5</v>
      </c>
      <c r="M79" s="5">
        <v>5299.5</v>
      </c>
      <c r="N79" s="5">
        <v>3398.7</v>
      </c>
      <c r="O79" s="5">
        <v>62308.5</v>
      </c>
      <c r="P79" s="5">
        <v>2992.5</v>
      </c>
      <c r="Q79" s="5">
        <v>1821.5</v>
      </c>
      <c r="R79" s="5">
        <v>2827.9</v>
      </c>
      <c r="S79" s="5">
        <v>16109.8</v>
      </c>
      <c r="T79" s="5">
        <v>2909.5</v>
      </c>
      <c r="U79" s="5">
        <v>14006.8</v>
      </c>
    </row>
    <row r="80" spans="1:21" x14ac:dyDescent="0.25">
      <c r="A80" s="10">
        <v>1978</v>
      </c>
      <c r="B80" s="5">
        <v>27132.2</v>
      </c>
      <c r="C80" s="5">
        <v>5504.1</v>
      </c>
      <c r="D80" s="5">
        <v>115600.9</v>
      </c>
      <c r="E80" s="5">
        <v>11172.7</v>
      </c>
      <c r="F80" s="5">
        <v>24950.3</v>
      </c>
      <c r="G80" s="5">
        <v>2264.5</v>
      </c>
      <c r="H80" s="5">
        <v>9712</v>
      </c>
      <c r="I80" s="5">
        <v>5451.9</v>
      </c>
      <c r="J80" s="5">
        <v>7736.2</v>
      </c>
      <c r="K80" s="5">
        <v>4394.1000000000004</v>
      </c>
      <c r="L80" s="5">
        <v>6561.5</v>
      </c>
      <c r="M80" s="5">
        <v>5402.6</v>
      </c>
      <c r="N80" s="5">
        <v>3505.5</v>
      </c>
      <c r="O80" s="5">
        <v>63979</v>
      </c>
      <c r="P80" s="5">
        <v>3080.3</v>
      </c>
      <c r="Q80" s="5">
        <v>1866.3</v>
      </c>
      <c r="R80" s="5">
        <v>2899.3</v>
      </c>
      <c r="S80" s="5">
        <v>16516.099999999999</v>
      </c>
      <c r="T80" s="5">
        <v>2925.7</v>
      </c>
      <c r="U80" s="5">
        <v>14416.7</v>
      </c>
    </row>
    <row r="81" spans="1:21" x14ac:dyDescent="0.25">
      <c r="A81" s="10">
        <v>1979</v>
      </c>
      <c r="B81" s="5">
        <v>27568.9</v>
      </c>
      <c r="C81" s="5">
        <v>5630.8</v>
      </c>
      <c r="D81" s="5">
        <v>118380.8</v>
      </c>
      <c r="E81" s="5">
        <v>11339.8</v>
      </c>
      <c r="F81" s="5">
        <v>25515.599999999999</v>
      </c>
      <c r="G81" s="5">
        <v>2326.5</v>
      </c>
      <c r="H81" s="5">
        <v>9763.4</v>
      </c>
      <c r="I81" s="5">
        <v>5589.7</v>
      </c>
      <c r="J81" s="5">
        <v>7948.9</v>
      </c>
      <c r="K81" s="5">
        <v>4480.3999999999996</v>
      </c>
      <c r="L81" s="5">
        <v>6727.8</v>
      </c>
      <c r="M81" s="5">
        <v>5507.6</v>
      </c>
      <c r="N81" s="5">
        <v>3615</v>
      </c>
      <c r="O81" s="5">
        <v>65648.899999999994</v>
      </c>
      <c r="P81" s="5">
        <v>3164.5</v>
      </c>
      <c r="Q81" s="5">
        <v>1911.6</v>
      </c>
      <c r="R81" s="5">
        <v>2974</v>
      </c>
      <c r="S81" s="5">
        <v>16933.099999999999</v>
      </c>
      <c r="T81" s="5">
        <v>2939.9</v>
      </c>
      <c r="U81" s="5">
        <v>14834.6</v>
      </c>
    </row>
    <row r="82" spans="1:21" x14ac:dyDescent="0.25">
      <c r="A82" s="10">
        <v>1980</v>
      </c>
      <c r="B82" s="5">
        <v>28011.599999999999</v>
      </c>
      <c r="C82" s="5">
        <v>5758.9</v>
      </c>
      <c r="D82" s="5">
        <v>121207.5</v>
      </c>
      <c r="E82" s="5">
        <v>11508.6</v>
      </c>
      <c r="F82" s="5">
        <v>26104.5</v>
      </c>
      <c r="G82" s="5">
        <v>2390.6</v>
      </c>
      <c r="H82" s="5">
        <v>9804.7999999999993</v>
      </c>
      <c r="I82" s="5">
        <v>5729</v>
      </c>
      <c r="J82" s="5">
        <v>8165.9</v>
      </c>
      <c r="K82" s="5">
        <v>4540.3999999999996</v>
      </c>
      <c r="L82" s="5">
        <v>6900.2</v>
      </c>
      <c r="M82" s="5">
        <v>5614.5</v>
      </c>
      <c r="N82" s="5">
        <v>3727.2</v>
      </c>
      <c r="O82" s="5">
        <v>67300.3</v>
      </c>
      <c r="P82" s="5">
        <v>3252.4</v>
      </c>
      <c r="Q82" s="5">
        <v>1957.5</v>
      </c>
      <c r="R82" s="5">
        <v>3053.2</v>
      </c>
      <c r="S82" s="5">
        <v>17360.900000000001</v>
      </c>
      <c r="T82" s="5">
        <v>2952</v>
      </c>
      <c r="U82" s="5">
        <v>15258.2</v>
      </c>
    </row>
    <row r="83" spans="1:21" x14ac:dyDescent="0.25">
      <c r="A83" s="10">
        <v>1981</v>
      </c>
      <c r="B83" s="5">
        <v>28464</v>
      </c>
      <c r="C83" s="5">
        <v>5888.1</v>
      </c>
      <c r="D83" s="5">
        <v>124063.1</v>
      </c>
      <c r="E83" s="5">
        <v>11678.7</v>
      </c>
      <c r="F83" s="5">
        <v>26713.3</v>
      </c>
      <c r="G83" s="5">
        <v>2456.6</v>
      </c>
      <c r="H83" s="5">
        <v>9849.2999999999993</v>
      </c>
      <c r="I83" s="5">
        <v>5868.5</v>
      </c>
      <c r="J83" s="5">
        <v>8386.9</v>
      </c>
      <c r="K83" s="5">
        <v>4570.6000000000004</v>
      </c>
      <c r="L83" s="5">
        <v>7075.6</v>
      </c>
      <c r="M83" s="5">
        <v>5723.7</v>
      </c>
      <c r="N83" s="5">
        <v>3841.8</v>
      </c>
      <c r="O83" s="5">
        <v>68892.100000000006</v>
      </c>
      <c r="P83" s="5">
        <v>3345.7</v>
      </c>
      <c r="Q83" s="5">
        <v>2004.4</v>
      </c>
      <c r="R83" s="5">
        <v>3137.6</v>
      </c>
      <c r="S83" s="5">
        <v>17798.8</v>
      </c>
      <c r="T83" s="5">
        <v>2963.2</v>
      </c>
      <c r="U83" s="5">
        <v>15687.3</v>
      </c>
    </row>
    <row r="84" spans="1:21" x14ac:dyDescent="0.25">
      <c r="A84" s="10">
        <v>1982</v>
      </c>
      <c r="B84" s="5">
        <v>28924.3</v>
      </c>
      <c r="C84" s="5">
        <v>6018.1</v>
      </c>
      <c r="D84" s="5">
        <v>126923.2</v>
      </c>
      <c r="E84" s="5">
        <v>11850.2</v>
      </c>
      <c r="F84" s="5">
        <v>27338.3</v>
      </c>
      <c r="G84" s="5">
        <v>2524.8000000000002</v>
      </c>
      <c r="H84" s="5">
        <v>9912.7000000000007</v>
      </c>
      <c r="I84" s="5">
        <v>6007.1</v>
      </c>
      <c r="J84" s="5">
        <v>8611.2999999999993</v>
      </c>
      <c r="K84" s="5">
        <v>4622.5</v>
      </c>
      <c r="L84" s="5">
        <v>7240.2</v>
      </c>
      <c r="M84" s="5">
        <v>5835.9</v>
      </c>
      <c r="N84" s="5">
        <v>3958.7</v>
      </c>
      <c r="O84" s="5">
        <v>70433.3</v>
      </c>
      <c r="P84" s="5">
        <v>3438.7</v>
      </c>
      <c r="Q84" s="5">
        <v>2052.3000000000002</v>
      </c>
      <c r="R84" s="5">
        <v>3226.2</v>
      </c>
      <c r="S84" s="5">
        <v>18246.5</v>
      </c>
      <c r="T84" s="5">
        <v>2975.5</v>
      </c>
      <c r="U84" s="5">
        <v>16121.9</v>
      </c>
    </row>
    <row r="85" spans="1:21" x14ac:dyDescent="0.25">
      <c r="A85" s="10">
        <v>1983</v>
      </c>
      <c r="B85" s="5">
        <v>29391.3</v>
      </c>
      <c r="C85" s="5">
        <v>6149.1</v>
      </c>
      <c r="D85" s="5">
        <v>129790.1</v>
      </c>
      <c r="E85" s="5">
        <v>12026.1</v>
      </c>
      <c r="F85" s="5">
        <v>27988.2</v>
      </c>
      <c r="G85" s="5">
        <v>2595.1999999999998</v>
      </c>
      <c r="H85" s="5">
        <v>9991</v>
      </c>
      <c r="I85" s="5">
        <v>6147.2</v>
      </c>
      <c r="J85" s="5">
        <v>8840.4</v>
      </c>
      <c r="K85" s="5">
        <v>4707.3999999999996</v>
      </c>
      <c r="L85" s="5">
        <v>7419.6</v>
      </c>
      <c r="M85" s="5">
        <v>5951.1</v>
      </c>
      <c r="N85" s="5">
        <v>4078.2</v>
      </c>
      <c r="O85" s="5">
        <v>71971.199999999997</v>
      </c>
      <c r="P85" s="5">
        <v>3530.3</v>
      </c>
      <c r="Q85" s="5">
        <v>2101.1</v>
      </c>
      <c r="R85" s="5">
        <v>3318.1</v>
      </c>
      <c r="S85" s="5">
        <v>18706</v>
      </c>
      <c r="T85" s="5">
        <v>2988.8</v>
      </c>
      <c r="U85" s="5">
        <v>16562.2</v>
      </c>
    </row>
    <row r="86" spans="1:21" x14ac:dyDescent="0.25">
      <c r="A86" s="10">
        <v>1984</v>
      </c>
      <c r="B86" s="5">
        <v>29863.1</v>
      </c>
      <c r="C86" s="5">
        <v>6281.9</v>
      </c>
      <c r="D86" s="5">
        <v>132658.9</v>
      </c>
      <c r="E86" s="5">
        <v>12207.7</v>
      </c>
      <c r="F86" s="5">
        <v>28642.7</v>
      </c>
      <c r="G86" s="5">
        <v>2667.6</v>
      </c>
      <c r="H86" s="5">
        <v>10073.299999999999</v>
      </c>
      <c r="I86" s="5">
        <v>6289</v>
      </c>
      <c r="J86" s="5">
        <v>9074.7999999999993</v>
      </c>
      <c r="K86" s="5">
        <v>4798</v>
      </c>
      <c r="L86" s="5">
        <v>7630.7</v>
      </c>
      <c r="M86" s="5">
        <v>6069.2</v>
      </c>
      <c r="N86" s="5">
        <v>4199.8999999999996</v>
      </c>
      <c r="O86" s="5">
        <v>73506.8</v>
      </c>
      <c r="P86" s="5">
        <v>3619.1</v>
      </c>
      <c r="Q86" s="5">
        <v>2150.8000000000002</v>
      </c>
      <c r="R86" s="5">
        <v>3412.9</v>
      </c>
      <c r="S86" s="5">
        <v>19174.7</v>
      </c>
      <c r="T86" s="5">
        <v>3002.5</v>
      </c>
      <c r="U86" s="5">
        <v>17008.8</v>
      </c>
    </row>
    <row r="87" spans="1:21" x14ac:dyDescent="0.25">
      <c r="A87" s="10">
        <v>1985</v>
      </c>
      <c r="B87" s="5">
        <v>30336.400000000001</v>
      </c>
      <c r="C87" s="5">
        <v>6416.2</v>
      </c>
      <c r="D87" s="5">
        <v>135515.6</v>
      </c>
      <c r="E87" s="5">
        <v>12395.3</v>
      </c>
      <c r="F87" s="5">
        <v>29268.5</v>
      </c>
      <c r="G87" s="5">
        <v>2741.9</v>
      </c>
      <c r="H87" s="5">
        <v>10157.200000000001</v>
      </c>
      <c r="I87" s="5">
        <v>6430.4</v>
      </c>
      <c r="J87" s="5">
        <v>9311.2000000000007</v>
      </c>
      <c r="K87" s="5">
        <v>4894.7</v>
      </c>
      <c r="L87" s="5">
        <v>7849.7</v>
      </c>
      <c r="M87" s="5">
        <v>6190.9</v>
      </c>
      <c r="N87" s="5">
        <v>4323.3</v>
      </c>
      <c r="O87" s="5">
        <v>75043.399999999994</v>
      </c>
      <c r="P87" s="5">
        <v>3706.5</v>
      </c>
      <c r="Q87" s="5">
        <v>2200.9</v>
      </c>
      <c r="R87" s="5">
        <v>3510.7</v>
      </c>
      <c r="S87" s="5">
        <v>19648.2</v>
      </c>
      <c r="T87" s="5">
        <v>3017</v>
      </c>
      <c r="U87" s="5">
        <v>17461.400000000001</v>
      </c>
    </row>
    <row r="88" spans="1:21" x14ac:dyDescent="0.25">
      <c r="A88" s="10">
        <v>1986</v>
      </c>
      <c r="B88" s="5">
        <v>30812</v>
      </c>
      <c r="C88" s="5">
        <v>6552.5</v>
      </c>
      <c r="D88" s="5">
        <v>138336.4</v>
      </c>
      <c r="E88" s="5">
        <v>12588.9</v>
      </c>
      <c r="F88" s="5">
        <v>29879.1</v>
      </c>
      <c r="G88" s="5">
        <v>2817.2</v>
      </c>
      <c r="H88" s="5">
        <v>10244.200000000001</v>
      </c>
      <c r="I88" s="5">
        <v>6571.2</v>
      </c>
      <c r="J88" s="5">
        <v>9546</v>
      </c>
      <c r="K88" s="5">
        <v>4992.8</v>
      </c>
      <c r="L88" s="5">
        <v>8070.8</v>
      </c>
      <c r="M88" s="5">
        <v>6316.1</v>
      </c>
      <c r="N88" s="5">
        <v>4448.8999999999996</v>
      </c>
      <c r="O88" s="5">
        <v>76585.600000000006</v>
      </c>
      <c r="P88" s="5">
        <v>3794.2</v>
      </c>
      <c r="Q88" s="5">
        <v>2251.3000000000002</v>
      </c>
      <c r="R88" s="5">
        <v>3611.5</v>
      </c>
      <c r="S88" s="5">
        <v>20117.099999999999</v>
      </c>
      <c r="T88" s="5">
        <v>3032.8</v>
      </c>
      <c r="U88" s="5">
        <v>17923.5</v>
      </c>
    </row>
    <row r="89" spans="1:21" x14ac:dyDescent="0.25">
      <c r="A89" s="10">
        <v>1987</v>
      </c>
      <c r="B89" s="5">
        <v>31291.8</v>
      </c>
      <c r="C89" s="5">
        <v>6692.2</v>
      </c>
      <c r="D89" s="5">
        <v>141104.9</v>
      </c>
      <c r="E89" s="5">
        <v>12790.2</v>
      </c>
      <c r="F89" s="5">
        <v>30499.5</v>
      </c>
      <c r="G89" s="5">
        <v>2892.7</v>
      </c>
      <c r="H89" s="5">
        <v>10335.299999999999</v>
      </c>
      <c r="I89" s="5">
        <v>6712.5</v>
      </c>
      <c r="J89" s="5">
        <v>9779.2999999999993</v>
      </c>
      <c r="K89" s="5">
        <v>5092.3999999999996</v>
      </c>
      <c r="L89" s="5">
        <v>8296.5</v>
      </c>
      <c r="M89" s="5">
        <v>6445.1</v>
      </c>
      <c r="N89" s="5">
        <v>4576.8999999999996</v>
      </c>
      <c r="O89" s="5">
        <v>78136.7</v>
      </c>
      <c r="P89" s="5">
        <v>3882.2</v>
      </c>
      <c r="Q89" s="5">
        <v>2302</v>
      </c>
      <c r="R89" s="5">
        <v>3714.9</v>
      </c>
      <c r="S89" s="5">
        <v>20582.3</v>
      </c>
      <c r="T89" s="5">
        <v>3049.9</v>
      </c>
      <c r="U89" s="5">
        <v>18395</v>
      </c>
    </row>
    <row r="90" spans="1:21" x14ac:dyDescent="0.25">
      <c r="A90" s="10">
        <v>1988</v>
      </c>
      <c r="B90" s="5">
        <v>31780.5</v>
      </c>
      <c r="C90" s="5">
        <v>6835.5</v>
      </c>
      <c r="D90" s="5">
        <v>143826.4</v>
      </c>
      <c r="E90" s="5">
        <v>12999.4</v>
      </c>
      <c r="F90" s="5">
        <v>31130.5</v>
      </c>
      <c r="G90" s="5">
        <v>2968.1</v>
      </c>
      <c r="H90" s="5">
        <v>10432.6</v>
      </c>
      <c r="I90" s="5">
        <v>6855.7</v>
      </c>
      <c r="J90" s="5">
        <v>10010.799999999999</v>
      </c>
      <c r="K90" s="5">
        <v>5195.8</v>
      </c>
      <c r="L90" s="5">
        <v>8532.1</v>
      </c>
      <c r="M90" s="5">
        <v>6578.1</v>
      </c>
      <c r="N90" s="5">
        <v>4707.7</v>
      </c>
      <c r="O90" s="5">
        <v>79695.5</v>
      </c>
      <c r="P90" s="5">
        <v>3972.3</v>
      </c>
      <c r="Q90" s="5">
        <v>2352.8000000000002</v>
      </c>
      <c r="R90" s="5">
        <v>3820.5</v>
      </c>
      <c r="S90" s="5">
        <v>21054.7</v>
      </c>
      <c r="T90" s="5">
        <v>3068</v>
      </c>
      <c r="U90" s="5">
        <v>18871</v>
      </c>
    </row>
    <row r="91" spans="1:21" x14ac:dyDescent="0.25">
      <c r="A91" s="10">
        <v>1989</v>
      </c>
      <c r="B91" s="5">
        <v>32270.9</v>
      </c>
      <c r="C91" s="5">
        <v>6981.8</v>
      </c>
      <c r="D91" s="5">
        <v>146503</v>
      </c>
      <c r="E91" s="5">
        <v>13215</v>
      </c>
      <c r="F91" s="5">
        <v>31776.3</v>
      </c>
      <c r="G91" s="5">
        <v>3043.8</v>
      </c>
      <c r="H91" s="5">
        <v>10533.2</v>
      </c>
      <c r="I91" s="5">
        <v>7002.3</v>
      </c>
      <c r="J91" s="5">
        <v>10241.9</v>
      </c>
      <c r="K91" s="5">
        <v>5299</v>
      </c>
      <c r="L91" s="5">
        <v>8775.5</v>
      </c>
      <c r="M91" s="5">
        <v>6714.7</v>
      </c>
      <c r="N91" s="5">
        <v>4841.8</v>
      </c>
      <c r="O91" s="5">
        <v>81247.199999999997</v>
      </c>
      <c r="P91" s="5">
        <v>4066.5</v>
      </c>
      <c r="Q91" s="5">
        <v>2403.8000000000002</v>
      </c>
      <c r="R91" s="5">
        <v>3927.8</v>
      </c>
      <c r="S91" s="5">
        <v>21532.6</v>
      </c>
      <c r="T91" s="5">
        <v>3086.3</v>
      </c>
      <c r="U91" s="5">
        <v>19348.900000000001</v>
      </c>
    </row>
    <row r="92" spans="1:21" x14ac:dyDescent="0.25">
      <c r="A92" s="10">
        <v>1990</v>
      </c>
      <c r="B92" s="5">
        <v>32755.9</v>
      </c>
      <c r="C92" s="5">
        <v>7130.1</v>
      </c>
      <c r="D92" s="5">
        <v>149143.20000000001</v>
      </c>
      <c r="E92" s="5">
        <v>13437.2</v>
      </c>
      <c r="F92" s="5">
        <v>32440.1</v>
      </c>
      <c r="G92" s="5">
        <v>3121.7</v>
      </c>
      <c r="H92" s="5">
        <v>10631.8</v>
      </c>
      <c r="I92" s="5">
        <v>7151.2</v>
      </c>
      <c r="J92" s="5">
        <v>10473.700000000001</v>
      </c>
      <c r="K92" s="5">
        <v>5399.7</v>
      </c>
      <c r="L92" s="5">
        <v>9024.7999999999993</v>
      </c>
      <c r="M92" s="5">
        <v>6854.4</v>
      </c>
      <c r="N92" s="5">
        <v>4980.5</v>
      </c>
      <c r="O92" s="5">
        <v>82820.2</v>
      </c>
      <c r="P92" s="5">
        <v>4162.6000000000004</v>
      </c>
      <c r="Q92" s="5">
        <v>2455.6</v>
      </c>
      <c r="R92" s="5">
        <v>4035.7</v>
      </c>
      <c r="S92" s="5">
        <v>22014.799999999999</v>
      </c>
      <c r="T92" s="5">
        <v>3104.4</v>
      </c>
      <c r="U92" s="5">
        <v>19827</v>
      </c>
    </row>
    <row r="93" spans="1:21" x14ac:dyDescent="0.25">
      <c r="A93" s="10">
        <v>1991</v>
      </c>
      <c r="B93" s="5">
        <v>33230.300000000003</v>
      </c>
      <c r="C93" s="5">
        <v>7280.3</v>
      </c>
      <c r="D93" s="5">
        <v>151724.29999999999</v>
      </c>
      <c r="E93" s="5">
        <v>13662.5</v>
      </c>
      <c r="F93" s="5">
        <v>33098.400000000001</v>
      </c>
      <c r="G93" s="5">
        <v>3202.2</v>
      </c>
      <c r="H93" s="5">
        <v>10717.6</v>
      </c>
      <c r="I93" s="5">
        <v>7299.9</v>
      </c>
      <c r="J93" s="5">
        <v>10702.4</v>
      </c>
      <c r="K93" s="5">
        <v>5495.1</v>
      </c>
      <c r="L93" s="5">
        <v>9272.6</v>
      </c>
      <c r="M93" s="5">
        <v>6995.5</v>
      </c>
      <c r="N93" s="5">
        <v>5123.8</v>
      </c>
      <c r="O93" s="5">
        <v>84430.6</v>
      </c>
      <c r="P93" s="5">
        <v>4259.6000000000004</v>
      </c>
      <c r="Q93" s="5">
        <v>2508.3000000000002</v>
      </c>
      <c r="R93" s="5">
        <v>4144.3999999999996</v>
      </c>
      <c r="S93" s="5">
        <v>22483.8</v>
      </c>
      <c r="T93" s="5">
        <v>3122.4</v>
      </c>
      <c r="U93" s="5">
        <v>20304.900000000001</v>
      </c>
    </row>
    <row r="94" spans="1:21" x14ac:dyDescent="0.25">
      <c r="A94" s="10">
        <v>1992</v>
      </c>
      <c r="B94" s="5">
        <v>33693.5</v>
      </c>
      <c r="C94" s="5">
        <v>7430.3</v>
      </c>
      <c r="D94" s="5">
        <v>154275.1</v>
      </c>
      <c r="E94" s="5">
        <v>13884.6</v>
      </c>
      <c r="F94" s="5">
        <v>33760.6</v>
      </c>
      <c r="G94" s="5">
        <v>3284.3</v>
      </c>
      <c r="H94" s="5">
        <v>10785.8</v>
      </c>
      <c r="I94" s="5">
        <v>7447.5</v>
      </c>
      <c r="J94" s="5">
        <v>10930.1</v>
      </c>
      <c r="K94" s="5">
        <v>5585.6</v>
      </c>
      <c r="L94" s="5">
        <v>9522.2999999999993</v>
      </c>
      <c r="M94" s="5">
        <v>7136.6</v>
      </c>
      <c r="N94" s="5">
        <v>5271.4</v>
      </c>
      <c r="O94" s="5">
        <v>86044.800000000003</v>
      </c>
      <c r="P94" s="5">
        <v>4357</v>
      </c>
      <c r="Q94" s="5">
        <v>2561.3000000000002</v>
      </c>
      <c r="R94" s="5">
        <v>4253.6000000000004</v>
      </c>
      <c r="S94" s="5">
        <v>22946.3</v>
      </c>
      <c r="T94" s="5">
        <v>3139.7</v>
      </c>
      <c r="U94" s="5">
        <v>20780.900000000001</v>
      </c>
    </row>
    <row r="95" spans="1:21" x14ac:dyDescent="0.25">
      <c r="A95" s="10">
        <v>1993</v>
      </c>
      <c r="B95" s="5">
        <v>34152.699999999997</v>
      </c>
      <c r="C95" s="5">
        <v>7579.2</v>
      </c>
      <c r="D95" s="5">
        <v>156794.6</v>
      </c>
      <c r="E95" s="5">
        <v>14102.3</v>
      </c>
      <c r="F95" s="5">
        <v>34441.5</v>
      </c>
      <c r="G95" s="5">
        <v>3367.4</v>
      </c>
      <c r="H95" s="5">
        <v>10841</v>
      </c>
      <c r="I95" s="5">
        <v>7594.6</v>
      </c>
      <c r="J95" s="5">
        <v>11154.3</v>
      </c>
      <c r="K95" s="5">
        <v>5660</v>
      </c>
      <c r="L95" s="5">
        <v>9779.7999999999993</v>
      </c>
      <c r="M95" s="5">
        <v>7278.2</v>
      </c>
      <c r="N95" s="5">
        <v>5423.2</v>
      </c>
      <c r="O95" s="5">
        <v>87653.8</v>
      </c>
      <c r="P95" s="5">
        <v>4453.7</v>
      </c>
      <c r="Q95" s="5">
        <v>2615.1</v>
      </c>
      <c r="R95" s="5">
        <v>4362.7</v>
      </c>
      <c r="S95" s="5">
        <v>23413.8</v>
      </c>
      <c r="T95" s="5">
        <v>3156.3</v>
      </c>
      <c r="U95" s="5">
        <v>21254.5</v>
      </c>
    </row>
    <row r="96" spans="1:21" x14ac:dyDescent="0.25">
      <c r="A96" s="10">
        <v>1994</v>
      </c>
      <c r="B96" s="5">
        <v>34613.5</v>
      </c>
      <c r="C96" s="5">
        <v>7727.3</v>
      </c>
      <c r="D96" s="5">
        <v>159265</v>
      </c>
      <c r="E96" s="5">
        <v>14316.3</v>
      </c>
      <c r="F96" s="5">
        <v>35127.4</v>
      </c>
      <c r="G96" s="5">
        <v>3451.1</v>
      </c>
      <c r="H96" s="5">
        <v>10886</v>
      </c>
      <c r="I96" s="5">
        <v>7741.7</v>
      </c>
      <c r="J96" s="5">
        <v>11372.2</v>
      </c>
      <c r="K96" s="5">
        <v>5714.1</v>
      </c>
      <c r="L96" s="5">
        <v>10043.700000000001</v>
      </c>
      <c r="M96" s="5">
        <v>7419.8</v>
      </c>
      <c r="N96" s="5">
        <v>5579.2</v>
      </c>
      <c r="O96" s="5">
        <v>89259.199999999997</v>
      </c>
      <c r="P96" s="5">
        <v>4549.3</v>
      </c>
      <c r="Q96" s="5">
        <v>2669.5</v>
      </c>
      <c r="R96" s="5">
        <v>4471.3999999999996</v>
      </c>
      <c r="S96" s="5">
        <v>23881.5</v>
      </c>
      <c r="T96" s="5">
        <v>3172.8</v>
      </c>
      <c r="U96" s="5">
        <v>21725.200000000001</v>
      </c>
    </row>
    <row r="97" spans="1:21" x14ac:dyDescent="0.25">
      <c r="A97" s="10">
        <v>1995</v>
      </c>
      <c r="B97" s="5">
        <v>35070</v>
      </c>
      <c r="C97" s="5">
        <v>7874.7</v>
      </c>
      <c r="D97" s="5">
        <v>161735.1</v>
      </c>
      <c r="E97" s="5">
        <v>14527.4</v>
      </c>
      <c r="F97" s="5">
        <v>35804.699999999997</v>
      </c>
      <c r="G97" s="5">
        <v>3535.2</v>
      </c>
      <c r="H97" s="5">
        <v>10925.4</v>
      </c>
      <c r="I97" s="5">
        <v>7888.1</v>
      </c>
      <c r="J97" s="5">
        <v>11590.5</v>
      </c>
      <c r="K97" s="5">
        <v>5762.1</v>
      </c>
      <c r="L97" s="5">
        <v>10313</v>
      </c>
      <c r="M97" s="5">
        <v>7562.5</v>
      </c>
      <c r="N97" s="5">
        <v>5739.6</v>
      </c>
      <c r="O97" s="5">
        <v>90862.5</v>
      </c>
      <c r="P97" s="5">
        <v>4642.8999999999996</v>
      </c>
      <c r="Q97" s="5">
        <v>2724.6</v>
      </c>
      <c r="R97" s="5">
        <v>4579.8</v>
      </c>
      <c r="S97" s="5">
        <v>24348.9</v>
      </c>
      <c r="T97" s="5">
        <v>3189.4</v>
      </c>
      <c r="U97" s="5">
        <v>22193.8</v>
      </c>
    </row>
    <row r="98" spans="1:21" x14ac:dyDescent="0.25">
      <c r="A98" s="10">
        <v>1996</v>
      </c>
      <c r="B98" s="5">
        <v>35513.800000000003</v>
      </c>
      <c r="C98" s="5">
        <v>8021.7</v>
      </c>
      <c r="D98" s="5">
        <v>164202.5</v>
      </c>
      <c r="E98" s="5">
        <v>14734</v>
      </c>
      <c r="F98" s="5">
        <v>36462.699999999997</v>
      </c>
      <c r="G98" s="5">
        <v>3619</v>
      </c>
      <c r="H98" s="5">
        <v>10962</v>
      </c>
      <c r="I98" s="5">
        <v>8032.9</v>
      </c>
      <c r="J98" s="5">
        <v>11811</v>
      </c>
      <c r="K98" s="5">
        <v>5805.3</v>
      </c>
      <c r="L98" s="5">
        <v>10583.5</v>
      </c>
      <c r="M98" s="5">
        <v>7707.6</v>
      </c>
      <c r="N98" s="5">
        <v>5904</v>
      </c>
      <c r="O98" s="5">
        <v>92452.7</v>
      </c>
      <c r="P98" s="5">
        <v>4730</v>
      </c>
      <c r="Q98" s="5">
        <v>2780.2</v>
      </c>
      <c r="R98" s="5">
        <v>4687.5</v>
      </c>
      <c r="S98" s="5">
        <v>24811.200000000001</v>
      </c>
      <c r="T98" s="5">
        <v>3206.3</v>
      </c>
      <c r="U98" s="5">
        <v>22662.1</v>
      </c>
    </row>
    <row r="99" spans="1:21" x14ac:dyDescent="0.25">
      <c r="A99" s="10">
        <v>1997</v>
      </c>
      <c r="B99" s="5">
        <v>35947.800000000003</v>
      </c>
      <c r="C99" s="5">
        <v>8167.9</v>
      </c>
      <c r="D99" s="5">
        <v>166661.70000000001</v>
      </c>
      <c r="E99" s="5">
        <v>14932.4</v>
      </c>
      <c r="F99" s="5">
        <v>37121.1</v>
      </c>
      <c r="G99" s="5">
        <v>3701.7</v>
      </c>
      <c r="H99" s="5">
        <v>10997.9</v>
      </c>
      <c r="I99" s="5">
        <v>8174.1</v>
      </c>
      <c r="J99" s="5">
        <v>12031.1</v>
      </c>
      <c r="K99" s="5">
        <v>5844.6</v>
      </c>
      <c r="L99" s="5">
        <v>10857.8</v>
      </c>
      <c r="M99" s="5">
        <v>7854.3</v>
      </c>
      <c r="N99" s="5">
        <v>6071.5</v>
      </c>
      <c r="O99" s="5">
        <v>94021.2</v>
      </c>
      <c r="P99" s="5">
        <v>4809.6000000000004</v>
      </c>
      <c r="Q99" s="5">
        <v>2836.7</v>
      </c>
      <c r="R99" s="5">
        <v>4794.3999999999996</v>
      </c>
      <c r="S99" s="5">
        <v>25274.1</v>
      </c>
      <c r="T99" s="5">
        <v>3223.3</v>
      </c>
      <c r="U99" s="5">
        <v>23131.7</v>
      </c>
    </row>
    <row r="100" spans="1:21" x14ac:dyDescent="0.25">
      <c r="A100" s="10">
        <v>1998</v>
      </c>
      <c r="B100" s="5">
        <v>36372.9</v>
      </c>
      <c r="C100" s="5">
        <v>8313.4</v>
      </c>
      <c r="D100" s="5">
        <v>169159.7</v>
      </c>
      <c r="E100" s="5">
        <v>15127.8</v>
      </c>
      <c r="F100" s="5">
        <v>37792.199999999997</v>
      </c>
      <c r="G100" s="5">
        <v>3782.8</v>
      </c>
      <c r="H100" s="5">
        <v>11034.7</v>
      </c>
      <c r="I100" s="5">
        <v>8310.4</v>
      </c>
      <c r="J100" s="5">
        <v>12251.2</v>
      </c>
      <c r="K100" s="5">
        <v>5880.8</v>
      </c>
      <c r="L100" s="5">
        <v>11139.1</v>
      </c>
      <c r="M100" s="5">
        <v>8002.1</v>
      </c>
      <c r="N100" s="5">
        <v>6234.4</v>
      </c>
      <c r="O100" s="5">
        <v>95575.2</v>
      </c>
      <c r="P100" s="5">
        <v>4883.7</v>
      </c>
      <c r="Q100" s="5">
        <v>2893.9</v>
      </c>
      <c r="R100" s="5">
        <v>4900</v>
      </c>
      <c r="S100" s="5">
        <v>25738.1</v>
      </c>
      <c r="T100" s="5">
        <v>3239.3</v>
      </c>
      <c r="U100" s="5">
        <v>23601.3</v>
      </c>
    </row>
    <row r="101" spans="1:21" x14ac:dyDescent="0.25">
      <c r="A101" s="10">
        <v>1999</v>
      </c>
      <c r="B101" s="5">
        <v>36794.699999999997</v>
      </c>
      <c r="C101" s="5">
        <v>8459.7999999999993</v>
      </c>
      <c r="D101" s="5">
        <v>171641.5</v>
      </c>
      <c r="E101" s="5">
        <v>15319.3</v>
      </c>
      <c r="F101" s="5">
        <v>38454.9</v>
      </c>
      <c r="G101" s="5">
        <v>3862.1</v>
      </c>
      <c r="H101" s="5">
        <v>11072.2</v>
      </c>
      <c r="I101" s="5">
        <v>8446.2000000000007</v>
      </c>
      <c r="J101" s="5">
        <v>12470.8</v>
      </c>
      <c r="K101" s="5">
        <v>5913.9</v>
      </c>
      <c r="L101" s="5">
        <v>11423</v>
      </c>
      <c r="M101" s="5">
        <v>8151.3</v>
      </c>
      <c r="N101" s="5">
        <v>6400.5</v>
      </c>
      <c r="O101" s="5">
        <v>97115.7</v>
      </c>
      <c r="P101" s="5">
        <v>4954</v>
      </c>
      <c r="Q101" s="5">
        <v>2951.8</v>
      </c>
      <c r="R101" s="5">
        <v>5003.1000000000004</v>
      </c>
      <c r="S101" s="5">
        <v>26186.5</v>
      </c>
      <c r="T101" s="5">
        <v>3254</v>
      </c>
      <c r="U101" s="5">
        <v>24066.6</v>
      </c>
    </row>
    <row r="102" spans="1:21" x14ac:dyDescent="0.25">
      <c r="A102" s="10">
        <v>2000</v>
      </c>
      <c r="B102" s="5">
        <v>37214</v>
      </c>
      <c r="C102" s="5">
        <v>8606.2999999999993</v>
      </c>
      <c r="D102" s="5">
        <v>174018.3</v>
      </c>
      <c r="E102" s="5">
        <v>15503.6</v>
      </c>
      <c r="F102" s="5">
        <v>39089.9</v>
      </c>
      <c r="G102" s="5">
        <v>3937.7</v>
      </c>
      <c r="H102" s="5">
        <v>11109.1</v>
      </c>
      <c r="I102" s="5">
        <v>8584.2000000000007</v>
      </c>
      <c r="J102" s="5">
        <v>12689.2</v>
      </c>
      <c r="K102" s="5">
        <v>5943.4</v>
      </c>
      <c r="L102" s="5">
        <v>11697.6</v>
      </c>
      <c r="M102" s="5">
        <v>8303.2000000000007</v>
      </c>
      <c r="N102" s="5">
        <v>6577.8</v>
      </c>
      <c r="O102" s="5">
        <v>98625.600000000006</v>
      </c>
      <c r="P102" s="5">
        <v>5022.6000000000004</v>
      </c>
      <c r="Q102" s="5">
        <v>3010.4</v>
      </c>
      <c r="R102" s="5">
        <v>5100.8999999999996</v>
      </c>
      <c r="S102" s="5">
        <v>26598.3</v>
      </c>
      <c r="T102" s="5">
        <v>3266.2</v>
      </c>
      <c r="U102" s="5">
        <v>24526.7</v>
      </c>
    </row>
    <row r="103" spans="1:21" x14ac:dyDescent="0.25">
      <c r="A103" s="10">
        <v>2001</v>
      </c>
      <c r="B103" s="5">
        <v>37624.800000000003</v>
      </c>
      <c r="C103" s="5">
        <v>8752.7000000000007</v>
      </c>
      <c r="D103" s="5">
        <v>176301.2</v>
      </c>
      <c r="E103" s="5">
        <v>15683.8</v>
      </c>
      <c r="F103" s="5">
        <v>39709.300000000003</v>
      </c>
      <c r="G103" s="5">
        <v>4008.9</v>
      </c>
      <c r="H103" s="5">
        <v>11144.1</v>
      </c>
      <c r="I103" s="5">
        <v>8720.2999999999993</v>
      </c>
      <c r="J103" s="5">
        <v>12910.7</v>
      </c>
      <c r="K103" s="5">
        <v>5968.1</v>
      </c>
      <c r="L103" s="5">
        <v>11969.4</v>
      </c>
      <c r="M103" s="5">
        <v>8455.9</v>
      </c>
      <c r="N103" s="5">
        <v>6758</v>
      </c>
      <c r="O103" s="5">
        <v>100099.1</v>
      </c>
      <c r="P103" s="5">
        <v>5087.8</v>
      </c>
      <c r="Q103" s="5">
        <v>3069.5</v>
      </c>
      <c r="R103" s="5">
        <v>5187.7</v>
      </c>
      <c r="S103" s="5">
        <v>26964.6</v>
      </c>
      <c r="T103" s="5">
        <v>3274.3</v>
      </c>
      <c r="U103" s="5">
        <v>24979.9</v>
      </c>
    </row>
    <row r="104" spans="1:21" x14ac:dyDescent="0.25">
      <c r="A104" s="10">
        <v>2002</v>
      </c>
      <c r="B104" s="5">
        <v>38029.300000000003</v>
      </c>
      <c r="C104" s="5">
        <v>8900.4</v>
      </c>
      <c r="D104" s="5">
        <v>178503.5</v>
      </c>
      <c r="E104" s="5">
        <v>15857.9</v>
      </c>
      <c r="F104" s="5">
        <v>40324.699999999997</v>
      </c>
      <c r="G104" s="5">
        <v>4075.7</v>
      </c>
      <c r="H104" s="5">
        <v>11177.4</v>
      </c>
      <c r="I104" s="5">
        <v>8852.2000000000007</v>
      </c>
      <c r="J104" s="5">
        <v>13138.5</v>
      </c>
      <c r="K104" s="5">
        <v>5986.6</v>
      </c>
      <c r="L104" s="5">
        <v>12246.9</v>
      </c>
      <c r="M104" s="5">
        <v>8607.6</v>
      </c>
      <c r="N104" s="5">
        <v>6938.9</v>
      </c>
      <c r="O104" s="5">
        <v>101548.6</v>
      </c>
      <c r="P104" s="5">
        <v>5149.8999999999996</v>
      </c>
      <c r="Q104" s="5">
        <v>3129.3</v>
      </c>
      <c r="R104" s="5">
        <v>5261.3</v>
      </c>
      <c r="S104" s="5">
        <v>27288.2</v>
      </c>
      <c r="T104" s="5">
        <v>3278.9</v>
      </c>
      <c r="U104" s="5">
        <v>25435.7</v>
      </c>
    </row>
    <row r="105" spans="1:21" x14ac:dyDescent="0.25">
      <c r="A105" s="10">
        <v>2003</v>
      </c>
      <c r="B105" s="5">
        <v>38424.300000000003</v>
      </c>
      <c r="C105" s="5">
        <v>9050.7000000000007</v>
      </c>
      <c r="D105" s="5">
        <v>180622.7</v>
      </c>
      <c r="E105" s="5">
        <v>16024.8</v>
      </c>
      <c r="F105" s="5">
        <v>40937.4</v>
      </c>
      <c r="G105" s="5">
        <v>4138.8</v>
      </c>
      <c r="H105" s="5">
        <v>11209.4</v>
      </c>
      <c r="I105" s="5">
        <v>8980.6</v>
      </c>
      <c r="J105" s="5">
        <v>13372.3</v>
      </c>
      <c r="K105" s="5">
        <v>5998.6</v>
      </c>
      <c r="L105" s="5">
        <v>12525.8</v>
      </c>
      <c r="M105" s="5">
        <v>8759.9</v>
      </c>
      <c r="N105" s="5">
        <v>7119.2</v>
      </c>
      <c r="O105" s="5">
        <v>102978.5</v>
      </c>
      <c r="P105" s="5">
        <v>5211</v>
      </c>
      <c r="Q105" s="5">
        <v>3189.8</v>
      </c>
      <c r="R105" s="5">
        <v>5326.4</v>
      </c>
      <c r="S105" s="5">
        <v>27580.5</v>
      </c>
      <c r="T105" s="5">
        <v>3281.2</v>
      </c>
      <c r="U105" s="5">
        <v>25892.7</v>
      </c>
    </row>
    <row r="106" spans="1:21" x14ac:dyDescent="0.25">
      <c r="A106" s="10">
        <v>2004</v>
      </c>
      <c r="B106" s="5">
        <v>38815.9</v>
      </c>
      <c r="C106" s="5">
        <v>9204.2999999999993</v>
      </c>
      <c r="D106" s="5">
        <v>182675.1</v>
      </c>
      <c r="E106" s="5">
        <v>16187.3</v>
      </c>
      <c r="F106" s="5">
        <v>41543.199999999997</v>
      </c>
      <c r="G106" s="5">
        <v>4200.1000000000004</v>
      </c>
      <c r="H106" s="5">
        <v>11238.8</v>
      </c>
      <c r="I106" s="5">
        <v>9104.9</v>
      </c>
      <c r="J106" s="5">
        <v>13608.7</v>
      </c>
      <c r="K106" s="5">
        <v>6004.7</v>
      </c>
      <c r="L106" s="5">
        <v>12807.4</v>
      </c>
      <c r="M106" s="5">
        <v>8910.2999999999993</v>
      </c>
      <c r="N106" s="5">
        <v>7299</v>
      </c>
      <c r="O106" s="5">
        <v>104394.1</v>
      </c>
      <c r="P106" s="5">
        <v>5272.9</v>
      </c>
      <c r="Q106" s="5">
        <v>3251.2</v>
      </c>
      <c r="R106" s="5">
        <v>5388.2</v>
      </c>
      <c r="S106" s="5">
        <v>27852.2</v>
      </c>
      <c r="T106" s="5">
        <v>3283.1</v>
      </c>
      <c r="U106" s="5">
        <v>26340.799999999999</v>
      </c>
    </row>
    <row r="107" spans="1:21" x14ac:dyDescent="0.25">
      <c r="A107" s="10">
        <v>2005</v>
      </c>
      <c r="B107" s="5">
        <v>39216.800000000003</v>
      </c>
      <c r="C107" s="5">
        <v>9360.7999999999993</v>
      </c>
      <c r="D107" s="5">
        <v>184688.1</v>
      </c>
      <c r="E107" s="5">
        <v>16348.8</v>
      </c>
      <c r="F107" s="5">
        <v>42129</v>
      </c>
      <c r="G107" s="5">
        <v>4261.2</v>
      </c>
      <c r="H107" s="5">
        <v>11262.6</v>
      </c>
      <c r="I107" s="5">
        <v>9225</v>
      </c>
      <c r="J107" s="5">
        <v>13846.2</v>
      </c>
      <c r="K107" s="5">
        <v>6005.6</v>
      </c>
      <c r="L107" s="5">
        <v>13087.6</v>
      </c>
      <c r="M107" s="5">
        <v>9061.2999999999993</v>
      </c>
      <c r="N107" s="5">
        <v>7478.4</v>
      </c>
      <c r="O107" s="5">
        <v>105811.5</v>
      </c>
      <c r="P107" s="5">
        <v>5342.1</v>
      </c>
      <c r="Q107" s="5">
        <v>3313</v>
      </c>
      <c r="R107" s="5">
        <v>5448.1</v>
      </c>
      <c r="S107" s="5">
        <v>28101.200000000001</v>
      </c>
      <c r="T107" s="5">
        <v>3285.8</v>
      </c>
      <c r="U107" s="5">
        <v>26785.8</v>
      </c>
    </row>
    <row r="108" spans="1:21" x14ac:dyDescent="0.25">
      <c r="A108" s="10">
        <v>2006</v>
      </c>
      <c r="B108" s="5">
        <v>39622.1</v>
      </c>
      <c r="C108" s="5">
        <v>9521.7000000000007</v>
      </c>
      <c r="D108" s="5">
        <v>186653.1</v>
      </c>
      <c r="E108" s="5">
        <v>16509.2</v>
      </c>
      <c r="F108" s="5">
        <v>42691.1</v>
      </c>
      <c r="G108" s="5">
        <v>4321.3</v>
      </c>
      <c r="H108" s="5">
        <v>11278.6</v>
      </c>
      <c r="I108" s="5">
        <v>9341.2000000000007</v>
      </c>
      <c r="J108" s="5">
        <v>14086.1</v>
      </c>
      <c r="K108" s="5">
        <v>6002.3</v>
      </c>
      <c r="L108" s="5">
        <v>13367.5</v>
      </c>
      <c r="M108" s="5">
        <v>9216.6</v>
      </c>
      <c r="N108" s="5">
        <v>7656.8</v>
      </c>
      <c r="O108" s="5">
        <v>107253.7</v>
      </c>
      <c r="P108" s="5">
        <v>5418.9</v>
      </c>
      <c r="Q108" s="5">
        <v>3375</v>
      </c>
      <c r="R108" s="5">
        <v>5505.1</v>
      </c>
      <c r="S108" s="5">
        <v>28324.5</v>
      </c>
      <c r="T108" s="5">
        <v>3289.5</v>
      </c>
      <c r="U108" s="5">
        <v>27224.7</v>
      </c>
    </row>
    <row r="109" spans="1:21" x14ac:dyDescent="0.25">
      <c r="A109" s="10">
        <v>2007</v>
      </c>
      <c r="B109" s="5">
        <v>40016.800000000003</v>
      </c>
      <c r="C109" s="5">
        <v>9686</v>
      </c>
      <c r="D109" s="5">
        <v>188552.3</v>
      </c>
      <c r="E109" s="5">
        <v>16671.599999999999</v>
      </c>
      <c r="F109" s="5">
        <v>43235.4</v>
      </c>
      <c r="G109" s="5">
        <v>4380.2</v>
      </c>
      <c r="H109" s="5">
        <v>11287.3</v>
      </c>
      <c r="I109" s="5">
        <v>9455.7000000000007</v>
      </c>
      <c r="J109" s="5">
        <v>14328.8</v>
      </c>
      <c r="K109" s="5">
        <v>6009.8</v>
      </c>
      <c r="L109" s="5">
        <v>13652</v>
      </c>
      <c r="M109" s="5">
        <v>9373.2999999999993</v>
      </c>
      <c r="N109" s="5">
        <v>7834.8</v>
      </c>
      <c r="O109" s="5">
        <v>108774.39999999999</v>
      </c>
      <c r="P109" s="5">
        <v>5497.2</v>
      </c>
      <c r="Q109" s="5">
        <v>3437.5</v>
      </c>
      <c r="R109" s="5">
        <v>5559.4</v>
      </c>
      <c r="S109" s="5">
        <v>28530.7</v>
      </c>
      <c r="T109" s="5">
        <v>3295.2</v>
      </c>
      <c r="U109" s="5">
        <v>27649.4</v>
      </c>
    </row>
    <row r="110" spans="1:21" x14ac:dyDescent="0.25">
      <c r="A110" s="10">
        <v>2008</v>
      </c>
      <c r="B110" s="5">
        <v>40424.1</v>
      </c>
      <c r="C110" s="5">
        <v>9850.9</v>
      </c>
      <c r="D110" s="5">
        <v>190367.3</v>
      </c>
      <c r="E110" s="5">
        <v>16839</v>
      </c>
      <c r="F110" s="5">
        <v>43758.8</v>
      </c>
      <c r="G110" s="5">
        <v>4440.1000000000004</v>
      </c>
      <c r="H110" s="5">
        <v>11291.8</v>
      </c>
      <c r="I110" s="5">
        <v>9573.1</v>
      </c>
      <c r="J110" s="5">
        <v>14575.2</v>
      </c>
      <c r="K110" s="5">
        <v>6029.3</v>
      </c>
      <c r="L110" s="5">
        <v>13935.2</v>
      </c>
      <c r="M110" s="5">
        <v>9530.7999999999993</v>
      </c>
      <c r="N110" s="5">
        <v>8012.6</v>
      </c>
      <c r="O110" s="5">
        <v>110374.3</v>
      </c>
      <c r="P110" s="5">
        <v>5576.6</v>
      </c>
      <c r="Q110" s="5">
        <v>3500.6</v>
      </c>
      <c r="R110" s="5">
        <v>5613.6</v>
      </c>
      <c r="S110" s="5">
        <v>28719</v>
      </c>
      <c r="T110" s="5">
        <v>3302.2</v>
      </c>
      <c r="U110" s="5">
        <v>28053.7</v>
      </c>
    </row>
    <row r="111" spans="1:21" x14ac:dyDescent="0.25">
      <c r="A111" s="10">
        <v>2009</v>
      </c>
      <c r="B111" s="5">
        <v>40854.800000000003</v>
      </c>
      <c r="C111" s="5">
        <v>10016.299999999999</v>
      </c>
      <c r="D111" s="5">
        <v>192080</v>
      </c>
      <c r="E111" s="5">
        <v>17009.7</v>
      </c>
      <c r="F111" s="5">
        <v>44271.5</v>
      </c>
      <c r="G111" s="5">
        <v>4499.8</v>
      </c>
      <c r="H111" s="5">
        <v>11294.7</v>
      </c>
      <c r="I111" s="5">
        <v>9695.2999999999993</v>
      </c>
      <c r="J111" s="5">
        <v>14826</v>
      </c>
      <c r="K111" s="5">
        <v>6048.3</v>
      </c>
      <c r="L111" s="5">
        <v>14215.6</v>
      </c>
      <c r="M111" s="5">
        <v>9689.6</v>
      </c>
      <c r="N111" s="5">
        <v>8189.9</v>
      </c>
      <c r="O111" s="5">
        <v>111999.7</v>
      </c>
      <c r="P111" s="5">
        <v>5656.6</v>
      </c>
      <c r="Q111" s="5">
        <v>3564.4</v>
      </c>
      <c r="R111" s="5">
        <v>5671.2</v>
      </c>
      <c r="S111" s="5">
        <v>28896.799999999999</v>
      </c>
      <c r="T111" s="5">
        <v>3310.1</v>
      </c>
      <c r="U111" s="5">
        <v>28438.3</v>
      </c>
    </row>
    <row r="112" spans="1:21" x14ac:dyDescent="0.25">
      <c r="A112" s="10">
        <v>2010</v>
      </c>
      <c r="B112" s="5">
        <v>41288.699999999997</v>
      </c>
      <c r="C112" s="5">
        <v>10182.299999999999</v>
      </c>
      <c r="D112" s="5">
        <v>193701.9</v>
      </c>
      <c r="E112" s="5">
        <v>17181.5</v>
      </c>
      <c r="F112" s="5">
        <v>44777.3</v>
      </c>
      <c r="G112" s="5">
        <v>4556</v>
      </c>
      <c r="H112" s="5">
        <v>11297.4</v>
      </c>
      <c r="I112" s="5">
        <v>9820.2000000000007</v>
      </c>
      <c r="J112" s="5">
        <v>15076.7</v>
      </c>
      <c r="K112" s="5">
        <v>6068.2</v>
      </c>
      <c r="L112" s="5">
        <v>14500.1</v>
      </c>
      <c r="M112" s="5">
        <v>9803.2999999999993</v>
      </c>
      <c r="N112" s="5">
        <v>8365.9</v>
      </c>
      <c r="O112" s="5">
        <v>113623.9</v>
      </c>
      <c r="P112" s="5">
        <v>5737.5</v>
      </c>
      <c r="Q112" s="5">
        <v>3628.5</v>
      </c>
      <c r="R112" s="5">
        <v>5738</v>
      </c>
      <c r="S112" s="5">
        <v>29086</v>
      </c>
      <c r="T112" s="5">
        <v>3318.6</v>
      </c>
      <c r="U112" s="5">
        <v>28813.1</v>
      </c>
    </row>
    <row r="113" spans="1:21" x14ac:dyDescent="0.25">
      <c r="A113" s="10">
        <v>2011</v>
      </c>
      <c r="B113" s="5">
        <v>41730.699999999997</v>
      </c>
      <c r="C113" s="5">
        <v>10348.9</v>
      </c>
      <c r="D113" s="5">
        <v>195284.7</v>
      </c>
      <c r="E113" s="5">
        <v>17351.8</v>
      </c>
      <c r="F113" s="5">
        <v>45259.6</v>
      </c>
      <c r="G113" s="5">
        <v>4609.8</v>
      </c>
      <c r="H113" s="5">
        <v>11301.6</v>
      </c>
      <c r="I113" s="5">
        <v>9945.6</v>
      </c>
      <c r="J113" s="5">
        <v>15326.2</v>
      </c>
      <c r="K113" s="5">
        <v>6090.1</v>
      </c>
      <c r="L113" s="5">
        <v>14792.1</v>
      </c>
      <c r="M113" s="5">
        <v>9914.9</v>
      </c>
      <c r="N113" s="5">
        <v>8540.6</v>
      </c>
      <c r="O113" s="5">
        <v>115243.5</v>
      </c>
      <c r="P113" s="5">
        <v>5819.1</v>
      </c>
      <c r="Q113" s="5">
        <v>3693.5</v>
      </c>
      <c r="R113" s="5">
        <v>5814.6</v>
      </c>
      <c r="S113" s="5">
        <v>29304.1</v>
      </c>
      <c r="T113" s="5">
        <v>3326.8</v>
      </c>
      <c r="U113" s="5">
        <v>29185.200000000001</v>
      </c>
    </row>
    <row r="114" spans="1:21" x14ac:dyDescent="0.25">
      <c r="A114" s="10">
        <v>2012</v>
      </c>
      <c r="B114" s="5">
        <v>42161.7</v>
      </c>
      <c r="C114" s="5">
        <v>10515.8</v>
      </c>
      <c r="D114" s="5">
        <v>196876.1</v>
      </c>
      <c r="E114" s="5">
        <v>17519.099999999999</v>
      </c>
      <c r="F114" s="5">
        <v>45715.8</v>
      </c>
      <c r="G114" s="5">
        <v>4663.8999999999996</v>
      </c>
      <c r="H114" s="5">
        <v>11303.2</v>
      </c>
      <c r="I114" s="5">
        <v>10070.4</v>
      </c>
      <c r="J114" s="5">
        <v>15572.2</v>
      </c>
      <c r="K114" s="5">
        <v>6114</v>
      </c>
      <c r="L114" s="5">
        <v>15089.6</v>
      </c>
      <c r="M114" s="5">
        <v>10069.799999999999</v>
      </c>
      <c r="N114" s="5">
        <v>8715.1</v>
      </c>
      <c r="O114" s="5">
        <v>116818.2</v>
      </c>
      <c r="P114" s="5">
        <v>5901.3</v>
      </c>
      <c r="Q114" s="5">
        <v>3759.3</v>
      </c>
      <c r="R114" s="5">
        <v>5897</v>
      </c>
      <c r="S114" s="5">
        <v>29550.400000000001</v>
      </c>
      <c r="T114" s="5">
        <v>3335.4</v>
      </c>
      <c r="U114" s="5">
        <v>29553.8</v>
      </c>
    </row>
    <row r="115" spans="1:21" x14ac:dyDescent="0.25">
      <c r="A115" s="10">
        <v>2013</v>
      </c>
      <c r="B115" s="5">
        <v>42582.5</v>
      </c>
      <c r="C115" s="5">
        <v>10682.6</v>
      </c>
      <c r="D115" s="5">
        <v>198478.3</v>
      </c>
      <c r="E115" s="5">
        <v>17687</v>
      </c>
      <c r="F115" s="5">
        <v>46151.6</v>
      </c>
      <c r="G115" s="5">
        <v>4716.1000000000004</v>
      </c>
      <c r="H115" s="5">
        <v>11298.2</v>
      </c>
      <c r="I115" s="5">
        <v>10193.799999999999</v>
      </c>
      <c r="J115" s="5">
        <v>15807.1</v>
      </c>
      <c r="K115" s="5">
        <v>6138.8</v>
      </c>
      <c r="L115" s="5">
        <v>15387.3</v>
      </c>
      <c r="M115" s="5">
        <v>10222.4</v>
      </c>
      <c r="N115" s="5">
        <v>8889.2999999999993</v>
      </c>
      <c r="O115" s="5">
        <v>118343.6</v>
      </c>
      <c r="P115" s="5">
        <v>5983.8</v>
      </c>
      <c r="Q115" s="5">
        <v>3825.3</v>
      </c>
      <c r="R115" s="5">
        <v>5982.4</v>
      </c>
      <c r="S115" s="5">
        <v>29817.9</v>
      </c>
      <c r="T115" s="5">
        <v>3345.3</v>
      </c>
      <c r="U115" s="5">
        <v>29912.2</v>
      </c>
    </row>
    <row r="116" spans="1:21" x14ac:dyDescent="0.25">
      <c r="A116" s="10">
        <v>2014</v>
      </c>
      <c r="B116" s="5">
        <v>43024.1</v>
      </c>
      <c r="C116" s="5">
        <v>10848.9</v>
      </c>
      <c r="D116" s="5">
        <v>200085.1</v>
      </c>
      <c r="E116" s="5">
        <v>17864.2</v>
      </c>
      <c r="F116" s="5">
        <v>46565.4</v>
      </c>
      <c r="G116" s="5">
        <v>4767.1000000000004</v>
      </c>
      <c r="H116" s="5">
        <v>11285.8</v>
      </c>
      <c r="I116" s="5">
        <v>10315.5</v>
      </c>
      <c r="J116" s="5">
        <v>16035.1</v>
      </c>
      <c r="K116" s="5">
        <v>6163</v>
      </c>
      <c r="L116" s="5">
        <v>15681.7</v>
      </c>
      <c r="M116" s="5">
        <v>10373.200000000001</v>
      </c>
      <c r="N116" s="5">
        <v>9063.1</v>
      </c>
      <c r="O116" s="5">
        <v>119784.3</v>
      </c>
      <c r="P116" s="5">
        <v>6066.5</v>
      </c>
      <c r="Q116" s="5">
        <v>3892.1</v>
      </c>
      <c r="R116" s="5">
        <v>6069.8</v>
      </c>
      <c r="S116" s="5">
        <v>30115.8</v>
      </c>
      <c r="T116" s="5">
        <v>3356.3</v>
      </c>
      <c r="U116" s="5">
        <v>30254.1</v>
      </c>
    </row>
    <row r="117" spans="1:21" x14ac:dyDescent="0.25">
      <c r="A117" s="10">
        <v>2015</v>
      </c>
      <c r="B117" s="5">
        <v>43477</v>
      </c>
      <c r="C117" s="5">
        <v>11014.7</v>
      </c>
      <c r="D117" s="5">
        <v>201675.5</v>
      </c>
      <c r="E117" s="5">
        <v>18047.599999999999</v>
      </c>
      <c r="F117" s="5">
        <v>46969.9</v>
      </c>
      <c r="G117" s="5">
        <v>4818</v>
      </c>
      <c r="H117" s="5">
        <v>11275.1</v>
      </c>
      <c r="I117" s="5">
        <v>10434.799999999999</v>
      </c>
      <c r="J117" s="5">
        <v>16266.2</v>
      </c>
      <c r="K117" s="5">
        <v>6183.7</v>
      </c>
      <c r="L117" s="5">
        <v>15971.7</v>
      </c>
      <c r="M117" s="5">
        <v>10523.2</v>
      </c>
      <c r="N117" s="5">
        <v>9237.2999999999993</v>
      </c>
      <c r="O117" s="5">
        <v>121072.3</v>
      </c>
      <c r="P117" s="5">
        <v>6149.4</v>
      </c>
      <c r="Q117" s="5">
        <v>3960</v>
      </c>
      <c r="R117" s="5">
        <v>6159.1</v>
      </c>
      <c r="S117" s="5">
        <v>30457.599999999999</v>
      </c>
      <c r="T117" s="5">
        <v>3368</v>
      </c>
      <c r="U117" s="5">
        <v>30574</v>
      </c>
    </row>
    <row r="118" spans="1:21" x14ac:dyDescent="0.25">
      <c r="A118" s="10">
        <v>2016</v>
      </c>
      <c r="B118" s="5">
        <v>43900.3</v>
      </c>
      <c r="C118" s="5">
        <v>11180</v>
      </c>
      <c r="D118" s="5">
        <v>203218.1</v>
      </c>
      <c r="E118" s="5">
        <v>18267.2</v>
      </c>
      <c r="F118" s="5">
        <v>47437.5</v>
      </c>
      <c r="G118" s="5">
        <v>4867</v>
      </c>
      <c r="H118" s="5">
        <v>11265.6</v>
      </c>
      <c r="I118" s="5">
        <v>10551.4</v>
      </c>
      <c r="J118" s="5">
        <v>16505.099999999999</v>
      </c>
      <c r="K118" s="5">
        <v>6200.8</v>
      </c>
      <c r="L118" s="5">
        <v>16268.8</v>
      </c>
      <c r="M118" s="5">
        <v>10671.5</v>
      </c>
      <c r="N118" s="5">
        <v>9412.4</v>
      </c>
      <c r="O118" s="5">
        <v>122251.4</v>
      </c>
      <c r="P118" s="5">
        <v>6232.7</v>
      </c>
      <c r="Q118" s="5">
        <v>4029.1</v>
      </c>
      <c r="R118" s="5">
        <v>6249.1</v>
      </c>
      <c r="S118" s="5">
        <v>30866.5</v>
      </c>
      <c r="T118" s="5">
        <v>3379.3</v>
      </c>
      <c r="U118" s="5">
        <v>30765.7</v>
      </c>
    </row>
    <row r="119" spans="1:21" x14ac:dyDescent="0.25">
      <c r="A119" s="10">
        <v>2017</v>
      </c>
      <c r="B119" s="5">
        <v>44288.9</v>
      </c>
      <c r="C119" s="5">
        <v>11344.6</v>
      </c>
      <c r="D119" s="5">
        <v>204703.4</v>
      </c>
      <c r="E119" s="5">
        <v>18558.900000000001</v>
      </c>
      <c r="F119" s="5">
        <v>48131.1</v>
      </c>
      <c r="G119" s="5">
        <v>4913.2</v>
      </c>
      <c r="H119" s="5">
        <v>11247.8</v>
      </c>
      <c r="I119" s="5">
        <v>10666.8</v>
      </c>
      <c r="J119" s="5">
        <v>16759.5</v>
      </c>
      <c r="K119" s="5">
        <v>6213.5</v>
      </c>
      <c r="L119" s="5">
        <v>16567.400000000001</v>
      </c>
      <c r="M119" s="5">
        <v>10817.8</v>
      </c>
      <c r="N119" s="5">
        <v>9588.1</v>
      </c>
      <c r="O119" s="5">
        <v>123400.1</v>
      </c>
      <c r="P119" s="5">
        <v>6316.2</v>
      </c>
      <c r="Q119" s="5">
        <v>4098.7</v>
      </c>
      <c r="R119" s="5">
        <v>6338.7</v>
      </c>
      <c r="S119" s="5">
        <v>31324.6</v>
      </c>
      <c r="T119" s="5">
        <v>3388.4</v>
      </c>
      <c r="U119" s="5">
        <v>30565.3</v>
      </c>
    </row>
    <row r="120" spans="1:21" x14ac:dyDescent="0.25">
      <c r="A120" s="10">
        <v>2018</v>
      </c>
      <c r="B120" s="5">
        <v>44654.9</v>
      </c>
      <c r="C120" s="5">
        <v>11508.4</v>
      </c>
      <c r="D120" s="5">
        <v>206107.3</v>
      </c>
      <c r="E120" s="5">
        <v>18893.2</v>
      </c>
      <c r="F120" s="5">
        <v>49024.5</v>
      </c>
      <c r="G120" s="5">
        <v>4957.8</v>
      </c>
      <c r="H120" s="5">
        <v>11227.1</v>
      </c>
      <c r="I120" s="5">
        <v>10782.1</v>
      </c>
      <c r="J120" s="5">
        <v>17049.5</v>
      </c>
      <c r="K120" s="5">
        <v>6219.8</v>
      </c>
      <c r="L120" s="5">
        <v>16845.7</v>
      </c>
      <c r="M120" s="5">
        <v>10962.4</v>
      </c>
      <c r="N120" s="5">
        <v>9765.2000000000007</v>
      </c>
      <c r="O120" s="5">
        <v>124573.7</v>
      </c>
      <c r="P120" s="5">
        <v>6400.1</v>
      </c>
      <c r="Q120" s="5">
        <v>4167.8999999999996</v>
      </c>
      <c r="R120" s="5">
        <v>6427.4</v>
      </c>
      <c r="S120" s="5">
        <v>31897.599999999999</v>
      </c>
      <c r="T120" s="5">
        <v>3394.5</v>
      </c>
      <c r="U120" s="5">
        <v>29807.599999999999</v>
      </c>
    </row>
    <row r="121" spans="1:21" x14ac:dyDescent="0.25">
      <c r="A121" s="10">
        <v>2019</v>
      </c>
      <c r="B121" s="5">
        <v>44973.5</v>
      </c>
      <c r="C121" s="5">
        <v>11671.4</v>
      </c>
      <c r="D121" s="5">
        <v>207455.5</v>
      </c>
      <c r="E121" s="5">
        <v>19197.7</v>
      </c>
      <c r="F121" s="5">
        <v>49908</v>
      </c>
      <c r="G121" s="5">
        <v>4999.6000000000004</v>
      </c>
      <c r="H121" s="5">
        <v>11202.8</v>
      </c>
      <c r="I121" s="5">
        <v>10894</v>
      </c>
      <c r="J121" s="5">
        <v>17340</v>
      </c>
      <c r="K121" s="5">
        <v>6222.3</v>
      </c>
      <c r="L121" s="5">
        <v>17103.8</v>
      </c>
      <c r="M121" s="5">
        <v>11105.2</v>
      </c>
      <c r="N121" s="5">
        <v>9943.6</v>
      </c>
      <c r="O121" s="5">
        <v>125763</v>
      </c>
      <c r="P121" s="5">
        <v>6483.7</v>
      </c>
      <c r="Q121" s="5">
        <v>4234.7</v>
      </c>
      <c r="R121" s="5">
        <v>6515.1</v>
      </c>
      <c r="S121" s="5">
        <v>32449.3</v>
      </c>
      <c r="T121" s="5">
        <v>3397.2</v>
      </c>
      <c r="U121" s="5">
        <v>28938.1</v>
      </c>
    </row>
    <row r="122" spans="1:21" x14ac:dyDescent="0.25">
      <c r="A122" s="10">
        <v>2020</v>
      </c>
      <c r="B122" s="5">
        <v>45192</v>
      </c>
      <c r="C122" s="5">
        <v>11816.3</v>
      </c>
      <c r="D122" s="5">
        <v>208660.8</v>
      </c>
      <c r="E122" s="5">
        <v>19370.599999999999</v>
      </c>
      <c r="F122" s="5">
        <v>50630</v>
      </c>
      <c r="G122" s="5">
        <v>5034.3</v>
      </c>
      <c r="H122" s="5">
        <v>11176.4</v>
      </c>
      <c r="I122" s="5">
        <v>11008.3</v>
      </c>
      <c r="J122" s="5">
        <v>17546.099999999999</v>
      </c>
      <c r="K122" s="5">
        <v>6234.7</v>
      </c>
      <c r="L122" s="5">
        <v>17357.3</v>
      </c>
      <c r="M122" s="5">
        <v>11243.8</v>
      </c>
      <c r="N122" s="5">
        <v>10119.6</v>
      </c>
      <c r="O122" s="5">
        <v>126799.1</v>
      </c>
      <c r="P122" s="5">
        <v>6565.3</v>
      </c>
      <c r="Q122" s="5">
        <v>4293.3</v>
      </c>
      <c r="R122" s="5">
        <v>6603.7</v>
      </c>
      <c r="S122" s="5">
        <v>32838.6</v>
      </c>
      <c r="T122" s="5">
        <v>3399</v>
      </c>
      <c r="U122" s="5">
        <v>28444.1</v>
      </c>
    </row>
    <row r="123" spans="1:21" x14ac:dyDescent="0.25">
      <c r="A123" s="10">
        <v>2021</v>
      </c>
      <c r="B123" s="5">
        <v>45312.3</v>
      </c>
      <c r="C123" s="5">
        <v>11937.4</v>
      </c>
      <c r="D123" s="5">
        <v>209550.3</v>
      </c>
      <c r="E123" s="5">
        <v>19456.3</v>
      </c>
      <c r="F123" s="5">
        <v>51188.2</v>
      </c>
      <c r="G123" s="5">
        <v>5060</v>
      </c>
      <c r="H123" s="5">
        <v>11122.2</v>
      </c>
      <c r="I123" s="5">
        <v>11123.5</v>
      </c>
      <c r="J123" s="5">
        <v>17682.5</v>
      </c>
      <c r="K123" s="5">
        <v>6255.8</v>
      </c>
      <c r="L123" s="5">
        <v>17598.7</v>
      </c>
      <c r="M123" s="5">
        <v>11374.6</v>
      </c>
      <c r="N123" s="5">
        <v>10289.9</v>
      </c>
      <c r="O123" s="5">
        <v>127648.1</v>
      </c>
      <c r="P123" s="5">
        <v>6644.7</v>
      </c>
      <c r="Q123" s="5">
        <v>4345.3999999999996</v>
      </c>
      <c r="R123" s="5">
        <v>6684.2</v>
      </c>
      <c r="S123" s="5">
        <v>33155.9</v>
      </c>
      <c r="T123" s="5">
        <v>3396.7</v>
      </c>
      <c r="U123" s="5">
        <v>28237.8</v>
      </c>
    </row>
    <row r="124" spans="1:21" x14ac:dyDescent="0.25">
      <c r="A124" s="10">
        <v>2022</v>
      </c>
      <c r="B124" s="5">
        <v>45407.9</v>
      </c>
      <c r="C124" s="5">
        <v>12077.2</v>
      </c>
      <c r="D124" s="5">
        <v>210306.4</v>
      </c>
      <c r="E124" s="5">
        <v>19553</v>
      </c>
      <c r="F124" s="5">
        <v>51737.9</v>
      </c>
      <c r="G124" s="5">
        <v>5081.8</v>
      </c>
      <c r="H124" s="5">
        <v>11059.8</v>
      </c>
      <c r="I124" s="5">
        <v>11230.7</v>
      </c>
      <c r="J124" s="5">
        <v>17823.900000000001</v>
      </c>
      <c r="K124" s="5">
        <v>6280.3</v>
      </c>
      <c r="L124" s="5">
        <v>17847.900000000001</v>
      </c>
      <c r="M124" s="5">
        <v>11503.6</v>
      </c>
      <c r="N124" s="5">
        <v>10463.9</v>
      </c>
      <c r="O124" s="5">
        <v>128613.1</v>
      </c>
      <c r="P124" s="5">
        <v>6730.7</v>
      </c>
      <c r="Q124" s="5">
        <v>4400.8</v>
      </c>
      <c r="R124" s="5">
        <v>6760.5</v>
      </c>
      <c r="S124" s="5">
        <v>33475.4</v>
      </c>
      <c r="T124" s="5">
        <v>3390.9</v>
      </c>
      <c r="U124" s="5">
        <v>28213</v>
      </c>
    </row>
    <row r="125" spans="1:21" x14ac:dyDescent="0.25">
      <c r="A125" s="10">
        <v>2023</v>
      </c>
      <c r="B125" s="5">
        <v>45538.400000000001</v>
      </c>
      <c r="C125" s="5">
        <v>12244.2</v>
      </c>
      <c r="D125" s="5">
        <v>211140.7</v>
      </c>
      <c r="E125" s="5">
        <v>19658.8</v>
      </c>
      <c r="F125" s="5">
        <v>52321.2</v>
      </c>
      <c r="G125" s="5">
        <v>5105.5</v>
      </c>
      <c r="H125" s="5">
        <v>11019.9</v>
      </c>
      <c r="I125" s="5">
        <v>11331.3</v>
      </c>
      <c r="J125" s="5">
        <v>17980.099999999999</v>
      </c>
      <c r="K125" s="5">
        <v>6309.6</v>
      </c>
      <c r="L125" s="5">
        <v>18124.8</v>
      </c>
      <c r="M125" s="5">
        <v>11637.4</v>
      </c>
      <c r="N125" s="5">
        <v>10644.9</v>
      </c>
      <c r="O125" s="5">
        <v>129739.8</v>
      </c>
      <c r="P125" s="5">
        <v>6823.6</v>
      </c>
      <c r="Q125" s="5">
        <v>4458.8</v>
      </c>
      <c r="R125" s="5">
        <v>6844.1</v>
      </c>
      <c r="S125" s="5">
        <v>33845.599999999999</v>
      </c>
      <c r="T125" s="5">
        <v>3388.1</v>
      </c>
      <c r="U125" s="5">
        <v>28300.9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3635-0CEC-4DC1-A61E-A6907BF5D4F1}">
  <dimension ref="A4:P109"/>
  <sheetViews>
    <sheetView topLeftCell="A66" workbookViewId="0">
      <selection activeCell="B88" sqref="B88:B109"/>
    </sheetView>
  </sheetViews>
  <sheetFormatPr defaultRowHeight="15" x14ac:dyDescent="0.25"/>
  <cols>
    <col min="1" max="1" width="9.140625" style="9"/>
    <col min="2" max="2" width="9.140625" style="7"/>
    <col min="5" max="5" width="13.5703125" customWidth="1"/>
  </cols>
  <sheetData>
    <row r="4" spans="1:2" x14ac:dyDescent="0.25">
      <c r="A4" s="9">
        <f t="shared" ref="A4:A12" si="0">A5-1</f>
        <v>1917</v>
      </c>
      <c r="B4" s="7">
        <v>91000</v>
      </c>
    </row>
    <row r="5" spans="1:2" x14ac:dyDescent="0.25">
      <c r="A5" s="9">
        <f t="shared" si="0"/>
        <v>1918</v>
      </c>
      <c r="B5" s="8">
        <v>90073</v>
      </c>
    </row>
    <row r="6" spans="1:2" x14ac:dyDescent="0.25">
      <c r="A6" s="9">
        <f t="shared" si="0"/>
        <v>1919</v>
      </c>
      <c r="B6" s="8">
        <v>89155</v>
      </c>
    </row>
    <row r="7" spans="1:2" x14ac:dyDescent="0.25">
      <c r="A7" s="9">
        <f t="shared" si="0"/>
        <v>1920</v>
      </c>
      <c r="B7" s="7">
        <v>88247</v>
      </c>
    </row>
    <row r="8" spans="1:2" x14ac:dyDescent="0.25">
      <c r="A8" s="9">
        <f t="shared" si="0"/>
        <v>1921</v>
      </c>
      <c r="B8" s="8">
        <v>88083</v>
      </c>
    </row>
    <row r="9" spans="1:2" x14ac:dyDescent="0.25">
      <c r="A9" s="9">
        <f t="shared" si="0"/>
        <v>1922</v>
      </c>
      <c r="B9" s="8">
        <v>87919</v>
      </c>
    </row>
    <row r="10" spans="1:2" x14ac:dyDescent="0.25">
      <c r="A10" s="9">
        <f t="shared" si="0"/>
        <v>1923</v>
      </c>
      <c r="B10" s="7">
        <v>87755</v>
      </c>
    </row>
    <row r="11" spans="1:2" x14ac:dyDescent="0.25">
      <c r="A11" s="9">
        <f t="shared" si="0"/>
        <v>1924</v>
      </c>
      <c r="B11" s="8">
        <v>89385</v>
      </c>
    </row>
    <row r="12" spans="1:2" x14ac:dyDescent="0.25">
      <c r="A12" s="9">
        <f t="shared" si="0"/>
        <v>1925</v>
      </c>
      <c r="B12" s="8">
        <v>91044</v>
      </c>
    </row>
    <row r="13" spans="1:2" x14ac:dyDescent="0.25">
      <c r="A13" s="9">
        <f>A14-1</f>
        <v>1926</v>
      </c>
      <c r="B13" s="7">
        <v>92735</v>
      </c>
    </row>
    <row r="14" spans="1:2" x14ac:dyDescent="0.25">
      <c r="A14" s="9">
        <v>1927</v>
      </c>
      <c r="B14" s="7">
        <v>93604</v>
      </c>
    </row>
    <row r="15" spans="1:2" x14ac:dyDescent="0.25">
      <c r="A15" s="9">
        <v>1928</v>
      </c>
      <c r="B15" s="7">
        <v>95587</v>
      </c>
    </row>
    <row r="16" spans="1:2" x14ac:dyDescent="0.25">
      <c r="A16" s="9">
        <v>1929</v>
      </c>
      <c r="B16" s="7">
        <v>97721</v>
      </c>
    </row>
    <row r="17" spans="1:5" x14ac:dyDescent="0.25">
      <c r="A17" s="9">
        <v>1930</v>
      </c>
      <c r="B17" s="7">
        <v>99566</v>
      </c>
    </row>
    <row r="18" spans="1:5" x14ac:dyDescent="0.25">
      <c r="A18" s="9">
        <v>1931</v>
      </c>
      <c r="B18" s="7">
        <v>101272</v>
      </c>
    </row>
    <row r="19" spans="1:5" x14ac:dyDescent="0.25">
      <c r="A19" s="9">
        <v>1932</v>
      </c>
      <c r="B19" s="7">
        <v>102625</v>
      </c>
    </row>
    <row r="20" spans="1:5" x14ac:dyDescent="0.25">
      <c r="A20" s="9">
        <v>1933</v>
      </c>
      <c r="B20" s="7">
        <v>103648</v>
      </c>
    </row>
    <row r="21" spans="1:5" x14ac:dyDescent="0.25">
      <c r="A21" s="9">
        <v>1934</v>
      </c>
      <c r="B21" s="7">
        <v>101763</v>
      </c>
    </row>
    <row r="22" spans="1:5" x14ac:dyDescent="0.25">
      <c r="A22" s="9">
        <v>1935</v>
      </c>
      <c r="B22" s="7">
        <v>102080</v>
      </c>
    </row>
    <row r="23" spans="1:5" x14ac:dyDescent="0.25">
      <c r="A23" s="9">
        <v>1936</v>
      </c>
      <c r="B23" s="7">
        <v>103288</v>
      </c>
    </row>
    <row r="24" spans="1:5" x14ac:dyDescent="0.25">
      <c r="A24" s="9">
        <v>1937</v>
      </c>
      <c r="B24" s="7">
        <v>104520</v>
      </c>
    </row>
    <row r="25" spans="1:5" x14ac:dyDescent="0.25">
      <c r="A25" s="9">
        <v>1938</v>
      </c>
      <c r="B25" s="7">
        <v>106195</v>
      </c>
    </row>
    <row r="26" spans="1:5" x14ac:dyDescent="0.25">
      <c r="A26" s="9">
        <v>1939</v>
      </c>
      <c r="B26" s="7">
        <v>107893</v>
      </c>
    </row>
    <row r="27" spans="1:5" x14ac:dyDescent="0.25">
      <c r="A27" s="9">
        <v>1940</v>
      </c>
      <c r="B27" s="7">
        <v>109678</v>
      </c>
    </row>
    <row r="28" spans="1:5" x14ac:dyDescent="0.25">
      <c r="A28" s="9">
        <v>1941</v>
      </c>
      <c r="B28" s="7">
        <v>110988</v>
      </c>
      <c r="E28" s="5"/>
    </row>
    <row r="29" spans="1:5" x14ac:dyDescent="0.25">
      <c r="A29" s="9">
        <f>A28+1</f>
        <v>1942</v>
      </c>
      <c r="B29" s="6">
        <v>108159</v>
      </c>
    </row>
    <row r="30" spans="1:5" x14ac:dyDescent="0.25">
      <c r="A30" s="9">
        <f t="shared" ref="A30:A32" si="1">A29+1</f>
        <v>1943</v>
      </c>
      <c r="B30" s="6">
        <v>105403</v>
      </c>
    </row>
    <row r="31" spans="1:5" x14ac:dyDescent="0.25">
      <c r="A31" s="9">
        <f t="shared" si="1"/>
        <v>1944</v>
      </c>
      <c r="B31" s="6">
        <v>102717</v>
      </c>
    </row>
    <row r="32" spans="1:5" x14ac:dyDescent="0.25">
      <c r="A32" s="9">
        <f t="shared" si="1"/>
        <v>1945</v>
      </c>
      <c r="B32" s="6">
        <v>100099</v>
      </c>
    </row>
    <row r="33" spans="1:5" x14ac:dyDescent="0.25">
      <c r="A33" s="9">
        <v>1946</v>
      </c>
      <c r="B33" s="7">
        <v>97548</v>
      </c>
      <c r="E33" s="5"/>
    </row>
    <row r="34" spans="1:5" x14ac:dyDescent="0.25">
      <c r="A34" s="9">
        <v>1947</v>
      </c>
      <c r="B34" s="7">
        <v>98509</v>
      </c>
    </row>
    <row r="35" spans="1:5" x14ac:dyDescent="0.25">
      <c r="A35" s="9">
        <v>1948</v>
      </c>
      <c r="B35" s="7">
        <v>99159</v>
      </c>
    </row>
    <row r="36" spans="1:5" x14ac:dyDescent="0.25">
      <c r="A36" s="9">
        <v>1949</v>
      </c>
      <c r="B36" s="7">
        <v>100252</v>
      </c>
    </row>
    <row r="37" spans="1:5" x14ac:dyDescent="0.25">
      <c r="A37" s="9">
        <v>1950</v>
      </c>
      <c r="B37" s="7">
        <v>102067</v>
      </c>
    </row>
    <row r="38" spans="1:5" x14ac:dyDescent="0.25">
      <c r="A38" s="9">
        <v>1951</v>
      </c>
      <c r="B38" s="7">
        <v>103599</v>
      </c>
    </row>
    <row r="39" spans="1:5" x14ac:dyDescent="0.25">
      <c r="A39" s="9">
        <v>1952</v>
      </c>
      <c r="B39" s="7">
        <v>105278</v>
      </c>
    </row>
    <row r="40" spans="1:5" x14ac:dyDescent="0.25">
      <c r="A40" s="9">
        <v>1953</v>
      </c>
      <c r="B40" s="7">
        <v>107049</v>
      </c>
    </row>
    <row r="41" spans="1:5" x14ac:dyDescent="0.25">
      <c r="A41" s="9">
        <v>1954</v>
      </c>
      <c r="B41" s="7">
        <v>108607</v>
      </c>
    </row>
    <row r="42" spans="1:5" x14ac:dyDescent="0.25">
      <c r="A42" s="9">
        <v>1955</v>
      </c>
      <c r="B42" s="7">
        <v>110678</v>
      </c>
    </row>
    <row r="43" spans="1:5" x14ac:dyDescent="0.25">
      <c r="A43" s="9">
        <v>1956</v>
      </c>
      <c r="B43" s="7">
        <v>112465</v>
      </c>
    </row>
    <row r="44" spans="1:5" x14ac:dyDescent="0.25">
      <c r="A44" s="9">
        <v>1957</v>
      </c>
      <c r="B44" s="7">
        <v>114189</v>
      </c>
    </row>
    <row r="45" spans="1:5" x14ac:dyDescent="0.25">
      <c r="A45" s="9">
        <v>1958</v>
      </c>
      <c r="B45" s="7">
        <v>115881</v>
      </c>
    </row>
    <row r="46" spans="1:5" x14ac:dyDescent="0.25">
      <c r="A46" s="9">
        <v>1959</v>
      </c>
      <c r="B46" s="7">
        <v>117616</v>
      </c>
    </row>
    <row r="47" spans="1:5" x14ac:dyDescent="0.25">
      <c r="A47" s="9">
        <f>A46+1</f>
        <v>1960</v>
      </c>
      <c r="B47" s="7">
        <v>119046</v>
      </c>
    </row>
    <row r="48" spans="1:5" x14ac:dyDescent="0.25">
      <c r="A48" s="9">
        <f t="shared" ref="A48:A87" si="2">A47+1</f>
        <v>1961</v>
      </c>
      <c r="B48" s="7">
        <v>120766</v>
      </c>
    </row>
    <row r="49" spans="1:2" x14ac:dyDescent="0.25">
      <c r="A49" s="9">
        <f t="shared" si="2"/>
        <v>1962</v>
      </c>
      <c r="B49" s="7">
        <v>122407</v>
      </c>
    </row>
    <row r="50" spans="1:2" x14ac:dyDescent="0.25">
      <c r="A50" s="9">
        <f t="shared" si="2"/>
        <v>1963</v>
      </c>
      <c r="B50" s="7">
        <v>123848</v>
      </c>
    </row>
    <row r="51" spans="1:2" x14ac:dyDescent="0.25">
      <c r="A51" s="9">
        <f t="shared" si="2"/>
        <v>1964</v>
      </c>
      <c r="B51" s="7">
        <v>125179</v>
      </c>
    </row>
    <row r="52" spans="1:2" x14ac:dyDescent="0.25">
      <c r="A52" s="9">
        <f t="shared" si="2"/>
        <v>1965</v>
      </c>
      <c r="B52" s="7">
        <v>126309</v>
      </c>
    </row>
    <row r="53" spans="1:2" x14ac:dyDescent="0.25">
      <c r="A53" s="9">
        <f t="shared" si="2"/>
        <v>1966</v>
      </c>
      <c r="B53" s="7">
        <v>127189</v>
      </c>
    </row>
    <row r="54" spans="1:2" x14ac:dyDescent="0.25">
      <c r="A54" s="9">
        <f t="shared" si="2"/>
        <v>1967</v>
      </c>
      <c r="B54" s="7">
        <v>128026</v>
      </c>
    </row>
    <row r="55" spans="1:2" x14ac:dyDescent="0.25">
      <c r="A55" s="9">
        <f t="shared" si="2"/>
        <v>1968</v>
      </c>
      <c r="B55" s="7">
        <v>128696</v>
      </c>
    </row>
    <row r="56" spans="1:2" x14ac:dyDescent="0.25">
      <c r="A56" s="9">
        <f t="shared" si="2"/>
        <v>1969</v>
      </c>
      <c r="B56" s="7">
        <v>129379</v>
      </c>
    </row>
    <row r="57" spans="1:2" x14ac:dyDescent="0.25">
      <c r="A57" s="9">
        <f t="shared" si="2"/>
        <v>1970</v>
      </c>
      <c r="B57" s="7">
        <v>130079</v>
      </c>
    </row>
    <row r="58" spans="1:2" x14ac:dyDescent="0.25">
      <c r="A58" s="9">
        <f t="shared" si="2"/>
        <v>1971</v>
      </c>
      <c r="B58" s="7">
        <v>130704</v>
      </c>
    </row>
    <row r="59" spans="1:2" x14ac:dyDescent="0.25">
      <c r="A59" s="9">
        <f t="shared" si="2"/>
        <v>1972</v>
      </c>
      <c r="B59" s="7">
        <v>131445</v>
      </c>
    </row>
    <row r="60" spans="1:2" x14ac:dyDescent="0.25">
      <c r="A60" s="9">
        <f t="shared" si="2"/>
        <v>1973</v>
      </c>
      <c r="B60" s="7">
        <v>132210</v>
      </c>
    </row>
    <row r="61" spans="1:2" x14ac:dyDescent="0.25">
      <c r="A61" s="9">
        <f t="shared" si="2"/>
        <v>1974</v>
      </c>
      <c r="B61" s="7">
        <v>132941</v>
      </c>
    </row>
    <row r="62" spans="1:2" x14ac:dyDescent="0.25">
      <c r="A62" s="9">
        <f t="shared" si="2"/>
        <v>1975</v>
      </c>
      <c r="B62" s="7">
        <v>133775</v>
      </c>
    </row>
    <row r="63" spans="1:2" x14ac:dyDescent="0.25">
      <c r="A63" s="9">
        <f t="shared" si="2"/>
        <v>1976</v>
      </c>
      <c r="B63" s="7">
        <v>134690</v>
      </c>
    </row>
    <row r="64" spans="1:2" x14ac:dyDescent="0.25">
      <c r="A64" s="9">
        <f t="shared" si="2"/>
        <v>1977</v>
      </c>
      <c r="B64" s="7">
        <v>135645</v>
      </c>
    </row>
    <row r="65" spans="1:16" x14ac:dyDescent="0.25">
      <c r="A65" s="9">
        <f t="shared" si="2"/>
        <v>1978</v>
      </c>
      <c r="B65" s="7">
        <v>136596</v>
      </c>
    </row>
    <row r="66" spans="1:16" x14ac:dyDescent="0.25">
      <c r="A66" s="9">
        <f t="shared" si="2"/>
        <v>1979</v>
      </c>
      <c r="B66" s="7">
        <v>137551</v>
      </c>
    </row>
    <row r="67" spans="1:16" x14ac:dyDescent="0.25">
      <c r="A67" s="9">
        <f t="shared" si="2"/>
        <v>1980</v>
      </c>
      <c r="B67" s="7">
        <v>138291</v>
      </c>
    </row>
    <row r="68" spans="1:16" x14ac:dyDescent="0.25">
      <c r="A68" s="9">
        <f t="shared" si="2"/>
        <v>1981</v>
      </c>
      <c r="B68" s="7">
        <v>139028</v>
      </c>
    </row>
    <row r="69" spans="1:16" x14ac:dyDescent="0.25">
      <c r="A69" s="9">
        <f t="shared" si="2"/>
        <v>1982</v>
      </c>
      <c r="B69" s="7">
        <v>139816</v>
      </c>
    </row>
    <row r="70" spans="1:16" x14ac:dyDescent="0.25">
      <c r="A70" s="9">
        <f t="shared" si="2"/>
        <v>1983</v>
      </c>
      <c r="B70" s="7">
        <v>140766</v>
      </c>
    </row>
    <row r="71" spans="1:16" x14ac:dyDescent="0.25">
      <c r="A71" s="9">
        <f t="shared" si="2"/>
        <v>1984</v>
      </c>
      <c r="B71" s="7">
        <v>141842</v>
      </c>
    </row>
    <row r="72" spans="1:16" x14ac:dyDescent="0.25">
      <c r="A72" s="9">
        <f t="shared" si="2"/>
        <v>1985</v>
      </c>
      <c r="B72" s="7">
        <v>142823</v>
      </c>
    </row>
    <row r="73" spans="1:16" x14ac:dyDescent="0.25">
      <c r="A73" s="9">
        <f t="shared" si="2"/>
        <v>1986</v>
      </c>
      <c r="B73" s="7">
        <v>143835</v>
      </c>
    </row>
    <row r="74" spans="1:16" x14ac:dyDescent="0.25">
      <c r="A74" s="9">
        <f t="shared" si="2"/>
        <v>1987</v>
      </c>
      <c r="B74" s="7">
        <v>145115</v>
      </c>
    </row>
    <row r="75" spans="1:16" x14ac:dyDescent="0.25">
      <c r="A75" s="9">
        <f t="shared" si="2"/>
        <v>1988</v>
      </c>
      <c r="B75" s="7">
        <v>146343</v>
      </c>
    </row>
    <row r="76" spans="1:16" x14ac:dyDescent="0.25">
      <c r="A76" s="9">
        <f t="shared" si="2"/>
        <v>1989</v>
      </c>
      <c r="B76" s="7">
        <v>147021.9</v>
      </c>
    </row>
    <row r="77" spans="1:16" x14ac:dyDescent="0.25">
      <c r="A77" s="9">
        <f t="shared" si="2"/>
        <v>1990</v>
      </c>
      <c r="B77" s="7">
        <v>147665.1</v>
      </c>
      <c r="E77" s="5"/>
      <c r="F77" s="5"/>
      <c r="G77" s="5"/>
      <c r="P77" s="5"/>
    </row>
    <row r="78" spans="1:16" x14ac:dyDescent="0.25">
      <c r="A78" s="9">
        <f t="shared" si="2"/>
        <v>1991</v>
      </c>
      <c r="B78" s="7">
        <v>148273.70000000001</v>
      </c>
      <c r="E78" s="5"/>
      <c r="F78" s="5"/>
      <c r="G78" s="5"/>
      <c r="P78" s="5"/>
    </row>
    <row r="79" spans="1:16" x14ac:dyDescent="0.25">
      <c r="A79" s="9">
        <f t="shared" si="2"/>
        <v>1992</v>
      </c>
      <c r="B79" s="7">
        <v>148514.70000000001</v>
      </c>
      <c r="E79" s="5"/>
      <c r="F79" s="5"/>
      <c r="G79" s="5"/>
      <c r="P79" s="5"/>
    </row>
    <row r="80" spans="1:16" x14ac:dyDescent="0.25">
      <c r="A80" s="9">
        <f t="shared" si="2"/>
        <v>1993</v>
      </c>
      <c r="B80" s="7">
        <v>148561.70000000001</v>
      </c>
      <c r="E80" s="5"/>
      <c r="F80" s="5"/>
      <c r="G80" s="5"/>
      <c r="P80" s="5"/>
    </row>
    <row r="81" spans="1:16" x14ac:dyDescent="0.25">
      <c r="A81" s="9">
        <f t="shared" si="2"/>
        <v>1994</v>
      </c>
      <c r="B81" s="7">
        <v>148355.9</v>
      </c>
      <c r="E81" s="5"/>
      <c r="F81" s="5"/>
      <c r="G81" s="5"/>
      <c r="P81" s="5"/>
    </row>
    <row r="82" spans="1:16" x14ac:dyDescent="0.25">
      <c r="A82" s="9">
        <f t="shared" si="2"/>
        <v>1995</v>
      </c>
      <c r="B82" s="7">
        <v>148459.9</v>
      </c>
      <c r="E82" s="5"/>
      <c r="F82" s="5"/>
      <c r="G82" s="5"/>
      <c r="P82" s="5"/>
    </row>
    <row r="83" spans="1:16" x14ac:dyDescent="0.25">
      <c r="A83" s="9">
        <f t="shared" si="2"/>
        <v>1996</v>
      </c>
      <c r="B83" s="7">
        <v>148291.6</v>
      </c>
      <c r="E83" s="5"/>
      <c r="F83" s="5"/>
      <c r="G83" s="5"/>
      <c r="P83" s="5"/>
    </row>
    <row r="84" spans="1:16" x14ac:dyDescent="0.25">
      <c r="A84" s="9">
        <f t="shared" si="2"/>
        <v>1997</v>
      </c>
      <c r="B84" s="7">
        <v>148028.6</v>
      </c>
      <c r="E84" s="5"/>
      <c r="F84" s="5"/>
      <c r="G84" s="5"/>
      <c r="P84" s="5"/>
    </row>
    <row r="85" spans="1:16" x14ac:dyDescent="0.25">
      <c r="A85" s="9">
        <f t="shared" si="2"/>
        <v>1998</v>
      </c>
      <c r="B85" s="7">
        <v>147802.1</v>
      </c>
      <c r="E85" s="5"/>
      <c r="F85" s="5"/>
      <c r="G85" s="5"/>
      <c r="P85" s="5"/>
    </row>
    <row r="86" spans="1:16" x14ac:dyDescent="0.25">
      <c r="A86" s="9">
        <f t="shared" si="2"/>
        <v>1999</v>
      </c>
      <c r="B86" s="7">
        <v>147539.4</v>
      </c>
      <c r="E86" s="5"/>
      <c r="F86" s="5"/>
      <c r="G86" s="5"/>
      <c r="P86" s="5"/>
    </row>
    <row r="87" spans="1:16" x14ac:dyDescent="0.25">
      <c r="A87" s="9">
        <f t="shared" si="2"/>
        <v>2000</v>
      </c>
      <c r="B87" s="7">
        <v>146890.1</v>
      </c>
      <c r="E87" s="5"/>
      <c r="F87" s="5"/>
      <c r="G87" s="5"/>
      <c r="P87" s="5"/>
    </row>
    <row r="88" spans="1:16" x14ac:dyDescent="0.25">
      <c r="A88" s="9">
        <f>A87+1</f>
        <v>2001</v>
      </c>
      <c r="B88" s="5">
        <v>146303.6</v>
      </c>
      <c r="E88" s="5"/>
      <c r="F88" s="5"/>
      <c r="G88" s="5"/>
      <c r="P88" s="5"/>
    </row>
    <row r="89" spans="1:16" x14ac:dyDescent="0.25">
      <c r="A89" s="9">
        <f t="shared" ref="A89:A109" si="3">A88+1</f>
        <v>2002</v>
      </c>
      <c r="B89" s="5">
        <v>145649.29999999999</v>
      </c>
      <c r="E89" s="5"/>
      <c r="F89" s="5"/>
      <c r="G89" s="5"/>
      <c r="P89" s="5"/>
    </row>
    <row r="90" spans="1:16" x14ac:dyDescent="0.25">
      <c r="A90" s="9">
        <f t="shared" si="3"/>
        <v>2003</v>
      </c>
      <c r="B90" s="5">
        <v>144963.6</v>
      </c>
      <c r="E90" s="5"/>
      <c r="F90" s="5"/>
      <c r="G90" s="5"/>
      <c r="P90" s="5"/>
    </row>
    <row r="91" spans="1:16" x14ac:dyDescent="0.25">
      <c r="A91" s="9">
        <f t="shared" si="3"/>
        <v>2004</v>
      </c>
      <c r="B91" s="5">
        <v>144333.6</v>
      </c>
      <c r="E91" s="5"/>
      <c r="F91" s="5"/>
      <c r="G91" s="5"/>
      <c r="P91" s="5"/>
    </row>
    <row r="92" spans="1:16" x14ac:dyDescent="0.25">
      <c r="A92" s="9">
        <f t="shared" si="3"/>
        <v>2005</v>
      </c>
      <c r="B92" s="5">
        <v>143801</v>
      </c>
      <c r="E92" s="5"/>
      <c r="F92" s="5"/>
      <c r="G92" s="5"/>
      <c r="P92" s="5"/>
    </row>
    <row r="93" spans="1:16" x14ac:dyDescent="0.25">
      <c r="A93" s="9">
        <f t="shared" si="3"/>
        <v>2006</v>
      </c>
      <c r="B93" s="5">
        <v>143236.6</v>
      </c>
      <c r="E93" s="5"/>
      <c r="F93" s="5"/>
      <c r="G93" s="5"/>
      <c r="P93" s="5"/>
    </row>
    <row r="94" spans="1:16" x14ac:dyDescent="0.25">
      <c r="A94" s="9">
        <f t="shared" si="3"/>
        <v>2007</v>
      </c>
      <c r="B94" s="5">
        <v>142862.70000000001</v>
      </c>
      <c r="E94" s="5"/>
      <c r="F94" s="5"/>
      <c r="G94" s="5"/>
      <c r="P94" s="5"/>
    </row>
    <row r="95" spans="1:16" x14ac:dyDescent="0.25">
      <c r="A95" s="9">
        <f t="shared" si="3"/>
        <v>2008</v>
      </c>
      <c r="B95" s="5">
        <v>142747.5</v>
      </c>
      <c r="E95" s="5"/>
      <c r="F95" s="5"/>
      <c r="G95" s="5"/>
      <c r="P95" s="5"/>
    </row>
    <row r="96" spans="1:16" x14ac:dyDescent="0.25">
      <c r="A96" s="9">
        <f t="shared" si="3"/>
        <v>2009</v>
      </c>
      <c r="B96" s="5">
        <v>142737.20000000001</v>
      </c>
      <c r="E96" s="5"/>
      <c r="F96" s="5"/>
      <c r="G96" s="5"/>
      <c r="P96" s="5"/>
    </row>
    <row r="97" spans="1:16" x14ac:dyDescent="0.25">
      <c r="A97" s="9">
        <f t="shared" si="3"/>
        <v>2010</v>
      </c>
      <c r="B97" s="5">
        <v>142833.5</v>
      </c>
      <c r="E97" s="5"/>
      <c r="F97" s="5"/>
      <c r="G97" s="5"/>
      <c r="P97" s="5"/>
    </row>
    <row r="98" spans="1:16" x14ac:dyDescent="0.25">
      <c r="A98" s="9">
        <f t="shared" si="3"/>
        <v>2011</v>
      </c>
      <c r="B98" s="5">
        <v>142865.4</v>
      </c>
      <c r="E98" s="5"/>
      <c r="F98" s="5"/>
      <c r="G98" s="5"/>
      <c r="P98" s="5"/>
    </row>
    <row r="99" spans="1:16" x14ac:dyDescent="0.25">
      <c r="A99" s="9">
        <f t="shared" si="3"/>
        <v>2012</v>
      </c>
      <c r="B99" s="5">
        <v>143171</v>
      </c>
      <c r="E99" s="5"/>
      <c r="F99" s="5"/>
      <c r="G99" s="5"/>
      <c r="P99" s="5"/>
    </row>
    <row r="100" spans="1:16" x14ac:dyDescent="0.25">
      <c r="A100" s="9">
        <f t="shared" si="3"/>
        <v>2013</v>
      </c>
      <c r="B100" s="5">
        <v>143585.9</v>
      </c>
      <c r="E100" s="5"/>
      <c r="F100" s="5"/>
      <c r="G100" s="5"/>
      <c r="P100" s="5"/>
    </row>
    <row r="101" spans="1:16" x14ac:dyDescent="0.25">
      <c r="A101" s="9">
        <f t="shared" si="3"/>
        <v>2014</v>
      </c>
      <c r="B101" s="5">
        <v>144025.29999999999</v>
      </c>
      <c r="E101" s="5"/>
      <c r="F101" s="5"/>
      <c r="G101" s="5"/>
      <c r="I101" s="5"/>
      <c r="P101" s="5"/>
    </row>
    <row r="102" spans="1:16" x14ac:dyDescent="0.25">
      <c r="A102" s="9">
        <f t="shared" si="3"/>
        <v>2015</v>
      </c>
      <c r="B102" s="5">
        <v>144439.06299999999</v>
      </c>
      <c r="E102" s="5"/>
      <c r="F102" s="5"/>
      <c r="G102" s="5"/>
      <c r="I102" s="5"/>
      <c r="P102" s="5"/>
    </row>
    <row r="103" spans="1:16" x14ac:dyDescent="0.25">
      <c r="A103" s="9">
        <f t="shared" si="3"/>
        <v>2016</v>
      </c>
      <c r="B103" s="5">
        <v>144828.182</v>
      </c>
      <c r="E103" s="5"/>
      <c r="F103" s="5"/>
      <c r="G103" s="5"/>
      <c r="I103" s="5"/>
      <c r="P103" s="5"/>
    </row>
    <row r="104" spans="1:16" x14ac:dyDescent="0.25">
      <c r="A104" s="9">
        <f t="shared" si="3"/>
        <v>2017</v>
      </c>
      <c r="B104" s="5">
        <v>145154.45499999999</v>
      </c>
      <c r="E104" s="5"/>
      <c r="F104" s="5"/>
      <c r="G104" s="5"/>
      <c r="I104" s="5"/>
    </row>
    <row r="105" spans="1:16" x14ac:dyDescent="0.25">
      <c r="A105" s="9">
        <f t="shared" si="3"/>
        <v>2018</v>
      </c>
      <c r="B105" s="5">
        <v>145345.77499999999</v>
      </c>
      <c r="E105" s="5"/>
      <c r="F105" s="5"/>
      <c r="G105" s="5"/>
      <c r="I105" s="5"/>
    </row>
    <row r="106" spans="1:16" x14ac:dyDescent="0.25">
      <c r="A106" s="9">
        <f t="shared" si="3"/>
        <v>2019</v>
      </c>
      <c r="B106" s="7">
        <v>145425.78899999999</v>
      </c>
      <c r="E106" s="5"/>
      <c r="F106" s="5"/>
      <c r="G106" s="5"/>
      <c r="I106" s="5"/>
    </row>
    <row r="107" spans="1:16" x14ac:dyDescent="0.25">
      <c r="A107" s="9">
        <f t="shared" si="3"/>
        <v>2020</v>
      </c>
      <c r="B107" s="7">
        <v>145349.31400000001</v>
      </c>
      <c r="E107" s="5"/>
      <c r="F107" s="5"/>
      <c r="G107" s="5"/>
      <c r="I107" s="5"/>
    </row>
    <row r="108" spans="1:16" x14ac:dyDescent="0.25">
      <c r="A108" s="9">
        <f t="shared" si="3"/>
        <v>2021</v>
      </c>
      <c r="B108" s="7">
        <v>144996.05300000001</v>
      </c>
      <c r="E108" s="5"/>
      <c r="F108" s="5"/>
      <c r="G108" s="5"/>
      <c r="I108" s="5"/>
    </row>
    <row r="109" spans="1:16" x14ac:dyDescent="0.25">
      <c r="A109" s="9">
        <f t="shared" si="3"/>
        <v>2022</v>
      </c>
      <c r="B109" s="7">
        <v>144491.94399999999</v>
      </c>
      <c r="E109" s="5"/>
      <c r="F109" s="5"/>
      <c r="G109" s="5"/>
      <c r="I109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EAE3E-62EC-4D9E-B2C5-BC59172276FB}">
  <dimension ref="A1:V107"/>
  <sheetViews>
    <sheetView topLeftCell="A66" workbookViewId="0">
      <selection activeCell="AB90" sqref="AB90"/>
    </sheetView>
  </sheetViews>
  <sheetFormatPr defaultRowHeight="15" x14ac:dyDescent="0.25"/>
  <cols>
    <col min="1" max="1" width="9.140625" style="10"/>
  </cols>
  <sheetData>
    <row r="1" spans="1:22" x14ac:dyDescent="0.25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42</v>
      </c>
    </row>
    <row r="2" spans="1:22" x14ac:dyDescent="0.25">
      <c r="A2" s="10">
        <v>1917</v>
      </c>
      <c r="B2" s="5">
        <v>8445</v>
      </c>
      <c r="C2" s="5">
        <v>2081</v>
      </c>
      <c r="D2" s="5">
        <v>25732</v>
      </c>
      <c r="E2" s="5">
        <v>3644</v>
      </c>
      <c r="F2" s="5">
        <v>5715</v>
      </c>
      <c r="G2" s="5">
        <v>404</v>
      </c>
      <c r="H2" s="5">
        <v>2746</v>
      </c>
      <c r="I2" s="5">
        <v>837</v>
      </c>
      <c r="J2" s="5">
        <v>1505</v>
      </c>
      <c r="K2" s="5">
        <v>1113</v>
      </c>
      <c r="L2" s="5">
        <v>1226</v>
      </c>
      <c r="M2" s="5">
        <v>1993</v>
      </c>
      <c r="N2" s="5">
        <v>633</v>
      </c>
      <c r="O2" s="5">
        <v>13898</v>
      </c>
      <c r="P2" s="5">
        <v>610</v>
      </c>
      <c r="Q2" s="5">
        <v>413</v>
      </c>
      <c r="R2" s="5">
        <v>678</v>
      </c>
      <c r="S2" s="5">
        <v>4588</v>
      </c>
      <c r="T2" s="5">
        <v>1407</v>
      </c>
      <c r="U2" s="5">
        <v>2750</v>
      </c>
      <c r="V2" s="7">
        <v>91000</v>
      </c>
    </row>
    <row r="3" spans="1:22" x14ac:dyDescent="0.25">
      <c r="A3" s="10">
        <f t="shared" ref="A3:A35" si="0">A2+1</f>
        <v>1918</v>
      </c>
      <c r="B3" s="5">
        <v>8590</v>
      </c>
      <c r="C3" s="5">
        <v>2099</v>
      </c>
      <c r="D3" s="5">
        <v>26277</v>
      </c>
      <c r="E3" s="5">
        <v>3690</v>
      </c>
      <c r="F3" s="5">
        <v>5855</v>
      </c>
      <c r="G3" s="5">
        <v>410</v>
      </c>
      <c r="H3" s="5">
        <v>2828</v>
      </c>
      <c r="I3" s="5">
        <v>851</v>
      </c>
      <c r="J3" s="5">
        <v>1517</v>
      </c>
      <c r="K3" s="5">
        <v>1131</v>
      </c>
      <c r="L3" s="5">
        <v>1241</v>
      </c>
      <c r="M3" s="5">
        <v>2037</v>
      </c>
      <c r="N3" s="5">
        <v>660</v>
      </c>
      <c r="O3" s="5">
        <v>14000</v>
      </c>
      <c r="P3" s="5">
        <v>619</v>
      </c>
      <c r="Q3" s="5">
        <v>426</v>
      </c>
      <c r="R3" s="5">
        <v>685</v>
      </c>
      <c r="S3" s="5">
        <v>4668</v>
      </c>
      <c r="T3" s="5">
        <v>1430</v>
      </c>
      <c r="U3" s="5">
        <v>2772</v>
      </c>
      <c r="V3" s="8">
        <v>90073</v>
      </c>
    </row>
    <row r="4" spans="1:22" x14ac:dyDescent="0.25">
      <c r="A4" s="10">
        <f t="shared" si="0"/>
        <v>1919</v>
      </c>
      <c r="B4" s="5">
        <v>8754</v>
      </c>
      <c r="C4" s="5">
        <v>2118</v>
      </c>
      <c r="D4" s="5">
        <v>26835</v>
      </c>
      <c r="E4" s="5">
        <v>3737</v>
      </c>
      <c r="F4" s="5">
        <v>6029</v>
      </c>
      <c r="G4" s="5">
        <v>415</v>
      </c>
      <c r="H4" s="5">
        <v>2912</v>
      </c>
      <c r="I4" s="5">
        <v>865</v>
      </c>
      <c r="J4" s="5">
        <v>1529</v>
      </c>
      <c r="K4" s="5">
        <v>1150</v>
      </c>
      <c r="L4" s="5">
        <v>1257</v>
      </c>
      <c r="M4" s="5">
        <v>2080</v>
      </c>
      <c r="N4" s="5">
        <v>688</v>
      </c>
      <c r="O4" s="5">
        <v>14150</v>
      </c>
      <c r="P4" s="5">
        <v>629</v>
      </c>
      <c r="Q4" s="5">
        <v>437</v>
      </c>
      <c r="R4" s="5">
        <v>692</v>
      </c>
      <c r="S4" s="5">
        <v>4748</v>
      </c>
      <c r="T4" s="5">
        <v>1463</v>
      </c>
      <c r="U4" s="5">
        <v>2795</v>
      </c>
      <c r="V4" s="8">
        <v>89155</v>
      </c>
    </row>
    <row r="5" spans="1:22" x14ac:dyDescent="0.25">
      <c r="A5" s="10">
        <f t="shared" si="0"/>
        <v>1920</v>
      </c>
      <c r="B5" s="5">
        <v>8969</v>
      </c>
      <c r="C5" s="5">
        <v>2136</v>
      </c>
      <c r="D5" s="5">
        <v>27404</v>
      </c>
      <c r="E5" s="5">
        <v>3785</v>
      </c>
      <c r="F5" s="5">
        <v>6089</v>
      </c>
      <c r="G5" s="5">
        <v>421</v>
      </c>
      <c r="H5" s="5">
        <v>2997</v>
      </c>
      <c r="I5" s="5">
        <v>879</v>
      </c>
      <c r="J5" s="5">
        <v>1541</v>
      </c>
      <c r="K5" s="5">
        <v>1168</v>
      </c>
      <c r="L5" s="5">
        <v>1272</v>
      </c>
      <c r="M5" s="5">
        <v>2124</v>
      </c>
      <c r="N5" s="5">
        <v>715</v>
      </c>
      <c r="O5" s="5">
        <v>14150</v>
      </c>
      <c r="P5" s="5">
        <v>638</v>
      </c>
      <c r="Q5" s="5">
        <v>447</v>
      </c>
      <c r="R5" s="5">
        <v>699</v>
      </c>
      <c r="S5" s="5">
        <v>4828</v>
      </c>
      <c r="T5" s="5">
        <v>1481</v>
      </c>
      <c r="U5" s="5">
        <v>2818</v>
      </c>
      <c r="V5" s="7">
        <v>88247</v>
      </c>
    </row>
    <row r="6" spans="1:22" x14ac:dyDescent="0.25">
      <c r="A6" s="10">
        <f t="shared" si="0"/>
        <v>1921</v>
      </c>
      <c r="B6" s="5">
        <v>9215</v>
      </c>
      <c r="C6" s="5">
        <v>2161</v>
      </c>
      <c r="D6" s="5">
        <v>27969</v>
      </c>
      <c r="E6" s="5">
        <v>3853</v>
      </c>
      <c r="F6" s="5">
        <v>6211</v>
      </c>
      <c r="G6" s="5">
        <v>425</v>
      </c>
      <c r="H6" s="5">
        <v>3083</v>
      </c>
      <c r="I6" s="5">
        <v>912</v>
      </c>
      <c r="J6" s="5">
        <v>1570</v>
      </c>
      <c r="K6" s="5">
        <v>1193</v>
      </c>
      <c r="L6" s="5">
        <v>1319</v>
      </c>
      <c r="M6" s="5">
        <v>2151</v>
      </c>
      <c r="N6" s="5">
        <v>742</v>
      </c>
      <c r="O6" s="5">
        <v>14335</v>
      </c>
      <c r="P6" s="5">
        <v>643</v>
      </c>
      <c r="Q6" s="5">
        <v>449</v>
      </c>
      <c r="R6" s="5">
        <v>715</v>
      </c>
      <c r="S6" s="5">
        <v>4908</v>
      </c>
      <c r="T6" s="5">
        <v>1499</v>
      </c>
      <c r="U6" s="5">
        <v>2843</v>
      </c>
      <c r="V6" s="8">
        <v>88083</v>
      </c>
    </row>
    <row r="7" spans="1:22" x14ac:dyDescent="0.25">
      <c r="A7" s="10">
        <f t="shared" si="0"/>
        <v>1922</v>
      </c>
      <c r="B7" s="5">
        <v>9521</v>
      </c>
      <c r="C7" s="5">
        <v>2186</v>
      </c>
      <c r="D7" s="5">
        <v>28542</v>
      </c>
      <c r="E7" s="5">
        <v>3907</v>
      </c>
      <c r="F7" s="5">
        <v>6336</v>
      </c>
      <c r="G7" s="5">
        <v>431</v>
      </c>
      <c r="H7" s="5">
        <v>3170</v>
      </c>
      <c r="I7" s="5">
        <v>946</v>
      </c>
      <c r="J7" s="5">
        <v>1610</v>
      </c>
      <c r="K7" s="5">
        <v>1217</v>
      </c>
      <c r="L7" s="5">
        <v>1367</v>
      </c>
      <c r="M7" s="5">
        <v>2178</v>
      </c>
      <c r="N7" s="5">
        <v>769</v>
      </c>
      <c r="O7" s="5">
        <v>14444</v>
      </c>
      <c r="P7" s="5">
        <v>647</v>
      </c>
      <c r="Q7" s="5">
        <v>451</v>
      </c>
      <c r="R7" s="5">
        <v>732</v>
      </c>
      <c r="S7" s="5">
        <v>4989</v>
      </c>
      <c r="T7" s="5">
        <v>1517</v>
      </c>
      <c r="U7" s="5">
        <v>2870</v>
      </c>
      <c r="V7" s="8">
        <v>87919</v>
      </c>
    </row>
    <row r="8" spans="1:22" x14ac:dyDescent="0.25">
      <c r="A8" s="10">
        <f t="shared" si="0"/>
        <v>1923</v>
      </c>
      <c r="B8" s="5">
        <v>9892</v>
      </c>
      <c r="C8" s="5">
        <v>2212</v>
      </c>
      <c r="D8" s="5">
        <v>29126</v>
      </c>
      <c r="E8" s="5">
        <v>3961</v>
      </c>
      <c r="F8" s="5">
        <v>6463</v>
      </c>
      <c r="G8" s="5">
        <v>439</v>
      </c>
      <c r="H8" s="5">
        <v>3257</v>
      </c>
      <c r="I8" s="5">
        <v>981</v>
      </c>
      <c r="J8" s="5">
        <v>1646</v>
      </c>
      <c r="K8" s="5">
        <v>1244</v>
      </c>
      <c r="L8" s="5">
        <v>1416</v>
      </c>
      <c r="M8" s="5">
        <v>2206</v>
      </c>
      <c r="N8" s="5">
        <v>796</v>
      </c>
      <c r="O8" s="5">
        <v>14693</v>
      </c>
      <c r="P8" s="5">
        <v>652</v>
      </c>
      <c r="Q8" s="5">
        <v>453</v>
      </c>
      <c r="R8" s="5">
        <v>749</v>
      </c>
      <c r="S8" s="5">
        <v>5069</v>
      </c>
      <c r="T8" s="5">
        <v>1535</v>
      </c>
      <c r="U8" s="5">
        <v>2898</v>
      </c>
      <c r="V8" s="7">
        <v>87755</v>
      </c>
    </row>
    <row r="9" spans="1:22" x14ac:dyDescent="0.25">
      <c r="A9" s="10">
        <f t="shared" si="0"/>
        <v>1924</v>
      </c>
      <c r="B9" s="5">
        <v>10216</v>
      </c>
      <c r="C9" s="5">
        <v>2237</v>
      </c>
      <c r="D9" s="5">
        <v>29723</v>
      </c>
      <c r="E9" s="5">
        <v>4017</v>
      </c>
      <c r="F9" s="5">
        <v>6592</v>
      </c>
      <c r="G9" s="5">
        <v>447</v>
      </c>
      <c r="H9" s="5">
        <v>3345</v>
      </c>
      <c r="I9" s="5">
        <v>1017</v>
      </c>
      <c r="J9" s="5">
        <v>1685</v>
      </c>
      <c r="K9" s="5">
        <v>1274</v>
      </c>
      <c r="L9" s="5">
        <v>1471</v>
      </c>
      <c r="M9" s="5">
        <v>2232</v>
      </c>
      <c r="N9" s="5">
        <v>824</v>
      </c>
      <c r="O9" s="5">
        <v>14945</v>
      </c>
      <c r="P9" s="5">
        <v>656</v>
      </c>
      <c r="Q9" s="5">
        <v>455</v>
      </c>
      <c r="R9" s="5">
        <v>767</v>
      </c>
      <c r="S9" s="5">
        <v>5148</v>
      </c>
      <c r="T9" s="5">
        <v>1553</v>
      </c>
      <c r="U9" s="5">
        <v>2925</v>
      </c>
      <c r="V9" s="8">
        <v>89385</v>
      </c>
    </row>
    <row r="10" spans="1:22" x14ac:dyDescent="0.25">
      <c r="A10" s="10">
        <f t="shared" si="0"/>
        <v>1925</v>
      </c>
      <c r="B10" s="5">
        <v>10500</v>
      </c>
      <c r="C10" s="5">
        <v>2263</v>
      </c>
      <c r="D10" s="5">
        <v>30332</v>
      </c>
      <c r="E10" s="5">
        <v>4073</v>
      </c>
      <c r="F10" s="5">
        <v>6724</v>
      </c>
      <c r="G10" s="5">
        <v>456</v>
      </c>
      <c r="H10" s="5">
        <v>3432</v>
      </c>
      <c r="I10" s="5">
        <v>1054</v>
      </c>
      <c r="J10" s="5">
        <v>1724</v>
      </c>
      <c r="K10" s="5">
        <v>1301</v>
      </c>
      <c r="L10" s="5">
        <v>1514</v>
      </c>
      <c r="M10" s="5">
        <v>2260</v>
      </c>
      <c r="N10" s="5">
        <v>851</v>
      </c>
      <c r="O10" s="5">
        <v>15204</v>
      </c>
      <c r="P10" s="5">
        <v>660</v>
      </c>
      <c r="Q10" s="5">
        <v>457</v>
      </c>
      <c r="R10" s="5">
        <v>785</v>
      </c>
      <c r="S10" s="5">
        <v>5229</v>
      </c>
      <c r="T10" s="5">
        <v>1571</v>
      </c>
      <c r="U10" s="5">
        <v>2953</v>
      </c>
      <c r="V10" s="8">
        <v>91044</v>
      </c>
    </row>
    <row r="11" spans="1:22" x14ac:dyDescent="0.25">
      <c r="A11" s="10">
        <f t="shared" si="0"/>
        <v>1926</v>
      </c>
      <c r="B11" s="5">
        <v>10804</v>
      </c>
      <c r="C11" s="5">
        <v>2289</v>
      </c>
      <c r="D11" s="5">
        <v>30953</v>
      </c>
      <c r="E11" s="5">
        <v>4130</v>
      </c>
      <c r="F11" s="5">
        <v>6859</v>
      </c>
      <c r="G11" s="5">
        <v>466</v>
      </c>
      <c r="H11" s="5">
        <v>3519</v>
      </c>
      <c r="I11" s="5">
        <v>1092</v>
      </c>
      <c r="J11" s="5">
        <v>1762</v>
      </c>
      <c r="K11" s="5">
        <v>1325</v>
      </c>
      <c r="L11" s="5">
        <v>1557</v>
      </c>
      <c r="M11" s="5">
        <v>2292</v>
      </c>
      <c r="N11" s="5">
        <v>878</v>
      </c>
      <c r="O11" s="5">
        <v>15468</v>
      </c>
      <c r="P11" s="5">
        <v>665</v>
      </c>
      <c r="Q11" s="5">
        <v>459</v>
      </c>
      <c r="R11" s="5">
        <v>803</v>
      </c>
      <c r="S11" s="5">
        <v>5313</v>
      </c>
      <c r="T11" s="5">
        <v>1604</v>
      </c>
      <c r="U11" s="5">
        <v>2981</v>
      </c>
      <c r="V11" s="7">
        <v>92735</v>
      </c>
    </row>
    <row r="12" spans="1:22" x14ac:dyDescent="0.25">
      <c r="A12" s="10">
        <f t="shared" si="0"/>
        <v>1927</v>
      </c>
      <c r="B12" s="5">
        <v>11126</v>
      </c>
      <c r="C12" s="5">
        <v>2316</v>
      </c>
      <c r="D12" s="5">
        <v>31587</v>
      </c>
      <c r="E12" s="5">
        <v>4188</v>
      </c>
      <c r="F12" s="5">
        <v>6996</v>
      </c>
      <c r="G12" s="5">
        <v>472</v>
      </c>
      <c r="H12" s="5">
        <v>3606</v>
      </c>
      <c r="I12" s="5">
        <v>1131</v>
      </c>
      <c r="J12" s="5">
        <v>1800</v>
      </c>
      <c r="K12" s="5">
        <v>1351</v>
      </c>
      <c r="L12" s="5">
        <v>1602</v>
      </c>
      <c r="M12" s="5">
        <v>2325</v>
      </c>
      <c r="N12" s="5">
        <v>893</v>
      </c>
      <c r="O12" s="5">
        <v>15738</v>
      </c>
      <c r="P12" s="5">
        <v>670</v>
      </c>
      <c r="Q12" s="5">
        <v>462</v>
      </c>
      <c r="R12" s="5">
        <v>822</v>
      </c>
      <c r="S12" s="5">
        <v>5399</v>
      </c>
      <c r="T12" s="5">
        <v>1636</v>
      </c>
      <c r="U12" s="5">
        <v>3012</v>
      </c>
      <c r="V12" s="7">
        <v>93604</v>
      </c>
    </row>
    <row r="13" spans="1:22" x14ac:dyDescent="0.25">
      <c r="A13" s="10">
        <f t="shared" si="0"/>
        <v>1928</v>
      </c>
      <c r="B13" s="5">
        <v>11438</v>
      </c>
      <c r="C13" s="5">
        <v>2343</v>
      </c>
      <c r="D13" s="5">
        <v>32234</v>
      </c>
      <c r="E13" s="5">
        <v>4246</v>
      </c>
      <c r="F13" s="5">
        <v>7136</v>
      </c>
      <c r="G13" s="5">
        <v>479</v>
      </c>
      <c r="H13" s="5">
        <v>3507</v>
      </c>
      <c r="I13" s="5">
        <v>1172</v>
      </c>
      <c r="J13" s="5">
        <v>1846</v>
      </c>
      <c r="K13" s="5">
        <v>1385</v>
      </c>
      <c r="L13" s="5">
        <v>1660</v>
      </c>
      <c r="M13" s="5">
        <v>2357</v>
      </c>
      <c r="N13" s="5">
        <v>911</v>
      </c>
      <c r="O13" s="5">
        <v>16012</v>
      </c>
      <c r="P13" s="5">
        <v>674</v>
      </c>
      <c r="Q13" s="5">
        <v>464</v>
      </c>
      <c r="R13" s="5">
        <v>841</v>
      </c>
      <c r="S13" s="5">
        <v>5482</v>
      </c>
      <c r="T13" s="5">
        <v>1669</v>
      </c>
      <c r="U13" s="5">
        <v>3047</v>
      </c>
      <c r="V13" s="7">
        <v>95587</v>
      </c>
    </row>
    <row r="14" spans="1:22" x14ac:dyDescent="0.25">
      <c r="A14" s="10">
        <f t="shared" si="0"/>
        <v>1929</v>
      </c>
      <c r="B14" s="5">
        <v>11746</v>
      </c>
      <c r="C14" s="5">
        <v>2370</v>
      </c>
      <c r="D14" s="5">
        <v>32894</v>
      </c>
      <c r="E14" s="5">
        <v>4305</v>
      </c>
      <c r="F14" s="5">
        <v>7279</v>
      </c>
      <c r="G14" s="5">
        <v>489</v>
      </c>
      <c r="H14" s="5">
        <v>3577</v>
      </c>
      <c r="I14" s="5">
        <v>1213</v>
      </c>
      <c r="J14" s="5">
        <v>1891</v>
      </c>
      <c r="K14" s="5">
        <v>1412</v>
      </c>
      <c r="L14" s="5">
        <v>1706</v>
      </c>
      <c r="M14" s="5">
        <v>2390</v>
      </c>
      <c r="N14" s="5">
        <v>928</v>
      </c>
      <c r="O14" s="5">
        <v>16926</v>
      </c>
      <c r="P14" s="5">
        <v>679</v>
      </c>
      <c r="Q14" s="5">
        <v>466</v>
      </c>
      <c r="R14" s="5">
        <v>860</v>
      </c>
      <c r="S14" s="5">
        <v>5567</v>
      </c>
      <c r="T14" s="5">
        <v>1701</v>
      </c>
      <c r="U14" s="5">
        <v>3082</v>
      </c>
      <c r="V14" s="7">
        <v>97721</v>
      </c>
    </row>
    <row r="15" spans="1:22" x14ac:dyDescent="0.25">
      <c r="A15" s="10">
        <f t="shared" si="0"/>
        <v>1930</v>
      </c>
      <c r="B15" s="5">
        <v>12047</v>
      </c>
      <c r="C15" s="5">
        <v>2397</v>
      </c>
      <c r="D15" s="5">
        <v>33568</v>
      </c>
      <c r="E15" s="5">
        <v>4365</v>
      </c>
      <c r="F15" s="5">
        <v>7425</v>
      </c>
      <c r="G15" s="5">
        <v>499</v>
      </c>
      <c r="H15" s="5">
        <v>3647</v>
      </c>
      <c r="I15" s="5">
        <v>1256</v>
      </c>
      <c r="J15" s="5">
        <v>1944</v>
      </c>
      <c r="K15" s="5">
        <v>1443</v>
      </c>
      <c r="L15" s="5">
        <v>1755</v>
      </c>
      <c r="M15" s="5">
        <v>2422</v>
      </c>
      <c r="N15" s="5">
        <v>948</v>
      </c>
      <c r="O15" s="5">
        <v>16553</v>
      </c>
      <c r="P15" s="5">
        <v>683</v>
      </c>
      <c r="Q15" s="5">
        <v>471</v>
      </c>
      <c r="R15" s="5">
        <v>880</v>
      </c>
      <c r="S15" s="5">
        <v>5651</v>
      </c>
      <c r="T15" s="5">
        <v>1734</v>
      </c>
      <c r="U15" s="5">
        <v>3118</v>
      </c>
      <c r="V15" s="7">
        <v>99566</v>
      </c>
    </row>
    <row r="16" spans="1:22" x14ac:dyDescent="0.25">
      <c r="A16" s="10">
        <f t="shared" si="0"/>
        <v>1931</v>
      </c>
      <c r="B16" s="5">
        <v>12287</v>
      </c>
      <c r="C16" s="5">
        <v>2425</v>
      </c>
      <c r="D16" s="5">
        <v>34256</v>
      </c>
      <c r="E16" s="5">
        <v>4429</v>
      </c>
      <c r="F16" s="5">
        <v>7574</v>
      </c>
      <c r="G16" s="5">
        <v>508</v>
      </c>
      <c r="H16" s="5">
        <v>3962</v>
      </c>
      <c r="I16" s="5">
        <v>1300</v>
      </c>
      <c r="J16" s="5">
        <v>1995</v>
      </c>
      <c r="K16" s="5">
        <v>1456</v>
      </c>
      <c r="L16" s="5">
        <v>1813</v>
      </c>
      <c r="M16" s="5">
        <v>2460</v>
      </c>
      <c r="N16" s="5">
        <v>968</v>
      </c>
      <c r="O16" s="5">
        <v>16876</v>
      </c>
      <c r="P16" s="5">
        <v>687</v>
      </c>
      <c r="Q16" s="5">
        <v>486</v>
      </c>
      <c r="R16" s="5">
        <v>901</v>
      </c>
      <c r="S16" s="5">
        <v>5748</v>
      </c>
      <c r="T16" s="5">
        <v>1761</v>
      </c>
      <c r="U16" s="5">
        <v>3154</v>
      </c>
      <c r="V16" s="7">
        <v>101272</v>
      </c>
    </row>
    <row r="17" spans="1:22" x14ac:dyDescent="0.25">
      <c r="A17" s="10">
        <f t="shared" si="0"/>
        <v>1932</v>
      </c>
      <c r="B17" s="5">
        <v>12517</v>
      </c>
      <c r="C17" s="5">
        <v>2453</v>
      </c>
      <c r="D17" s="5">
        <v>34957</v>
      </c>
      <c r="E17" s="5">
        <v>4495</v>
      </c>
      <c r="F17" s="5">
        <v>7726</v>
      </c>
      <c r="G17" s="5">
        <v>518</v>
      </c>
      <c r="H17" s="5">
        <v>3962</v>
      </c>
      <c r="I17" s="5">
        <v>1345</v>
      </c>
      <c r="J17" s="5">
        <v>2050</v>
      </c>
      <c r="K17" s="5">
        <v>1474</v>
      </c>
      <c r="L17" s="5">
        <v>1864</v>
      </c>
      <c r="M17" s="5">
        <v>2498</v>
      </c>
      <c r="N17" s="5">
        <v>989</v>
      </c>
      <c r="O17" s="5">
        <v>17170</v>
      </c>
      <c r="P17" s="5">
        <v>692</v>
      </c>
      <c r="Q17" s="5">
        <v>501</v>
      </c>
      <c r="R17" s="5">
        <v>922</v>
      </c>
      <c r="S17" s="5">
        <v>5844</v>
      </c>
      <c r="T17" s="5">
        <v>1788</v>
      </c>
      <c r="U17" s="5">
        <v>3191</v>
      </c>
      <c r="V17" s="7">
        <v>102625</v>
      </c>
    </row>
    <row r="18" spans="1:22" x14ac:dyDescent="0.25">
      <c r="A18" s="10">
        <f t="shared" si="0"/>
        <v>1933</v>
      </c>
      <c r="B18" s="5">
        <v>12729</v>
      </c>
      <c r="C18" s="5">
        <v>2482</v>
      </c>
      <c r="D18" s="5">
        <v>35673</v>
      </c>
      <c r="E18" s="5">
        <v>4563</v>
      </c>
      <c r="F18" s="5">
        <v>7880</v>
      </c>
      <c r="G18" s="5">
        <v>528</v>
      </c>
      <c r="H18" s="5">
        <v>3962</v>
      </c>
      <c r="I18" s="5">
        <v>1391</v>
      </c>
      <c r="J18" s="5">
        <v>2095</v>
      </c>
      <c r="K18" s="5">
        <v>1493</v>
      </c>
      <c r="L18" s="5">
        <v>1909</v>
      </c>
      <c r="M18" s="5">
        <v>2535</v>
      </c>
      <c r="N18" s="5">
        <v>1007</v>
      </c>
      <c r="O18" s="5">
        <v>17470</v>
      </c>
      <c r="P18" s="5">
        <v>697</v>
      </c>
      <c r="Q18" s="5">
        <v>516</v>
      </c>
      <c r="R18" s="5">
        <v>944</v>
      </c>
      <c r="S18" s="5">
        <v>5941</v>
      </c>
      <c r="T18" s="5">
        <v>1815</v>
      </c>
      <c r="U18" s="5">
        <v>3227</v>
      </c>
      <c r="V18" s="7">
        <v>103648</v>
      </c>
    </row>
    <row r="19" spans="1:22" x14ac:dyDescent="0.25">
      <c r="A19" s="10">
        <f t="shared" si="0"/>
        <v>1934</v>
      </c>
      <c r="B19" s="5">
        <v>12940</v>
      </c>
      <c r="C19" s="5">
        <v>2511</v>
      </c>
      <c r="D19" s="5">
        <v>36404</v>
      </c>
      <c r="E19" s="5">
        <v>4631</v>
      </c>
      <c r="F19" s="5">
        <v>8038</v>
      </c>
      <c r="G19" s="5">
        <v>540</v>
      </c>
      <c r="H19" s="5">
        <v>4039</v>
      </c>
      <c r="I19" s="5">
        <v>1438</v>
      </c>
      <c r="J19" s="5">
        <v>2140</v>
      </c>
      <c r="K19" s="5">
        <v>1512</v>
      </c>
      <c r="L19" s="5">
        <v>1943</v>
      </c>
      <c r="M19" s="5">
        <v>2573</v>
      </c>
      <c r="N19" s="5">
        <v>1023</v>
      </c>
      <c r="O19" s="5">
        <v>17777</v>
      </c>
      <c r="P19" s="5">
        <v>711</v>
      </c>
      <c r="Q19" s="5">
        <v>531</v>
      </c>
      <c r="R19" s="5">
        <v>966</v>
      </c>
      <c r="S19" s="5">
        <v>6037</v>
      </c>
      <c r="T19" s="5">
        <v>1842</v>
      </c>
      <c r="U19" s="5">
        <v>3264</v>
      </c>
      <c r="V19" s="7">
        <v>101763</v>
      </c>
    </row>
    <row r="20" spans="1:22" x14ac:dyDescent="0.25">
      <c r="A20" s="10">
        <f t="shared" si="0"/>
        <v>1935</v>
      </c>
      <c r="B20" s="5">
        <v>13148</v>
      </c>
      <c r="C20" s="5">
        <v>2540</v>
      </c>
      <c r="D20" s="5">
        <v>37150</v>
      </c>
      <c r="E20" s="5">
        <v>4700</v>
      </c>
      <c r="F20" s="5">
        <v>8199</v>
      </c>
      <c r="G20" s="5">
        <v>551</v>
      </c>
      <c r="H20" s="5">
        <v>4071</v>
      </c>
      <c r="I20" s="5">
        <v>1484</v>
      </c>
      <c r="J20" s="5">
        <v>2196</v>
      </c>
      <c r="K20" s="5">
        <v>1531</v>
      </c>
      <c r="L20" s="5">
        <v>1975</v>
      </c>
      <c r="M20" s="5">
        <v>2611</v>
      </c>
      <c r="N20" s="5">
        <v>1042</v>
      </c>
      <c r="O20" s="5">
        <v>18089</v>
      </c>
      <c r="P20" s="5">
        <v>728</v>
      </c>
      <c r="Q20" s="5">
        <v>546</v>
      </c>
      <c r="R20" s="5">
        <v>988</v>
      </c>
      <c r="S20" s="5">
        <v>6134</v>
      </c>
      <c r="T20" s="5">
        <v>1869</v>
      </c>
      <c r="U20" s="5">
        <v>3300</v>
      </c>
      <c r="V20" s="7">
        <v>102080</v>
      </c>
    </row>
    <row r="21" spans="1:22" x14ac:dyDescent="0.25">
      <c r="A21" s="10">
        <f t="shared" si="0"/>
        <v>1936</v>
      </c>
      <c r="B21" s="5">
        <v>13372</v>
      </c>
      <c r="C21" s="5">
        <v>2569</v>
      </c>
      <c r="D21" s="5">
        <v>37911</v>
      </c>
      <c r="E21" s="5">
        <v>4771</v>
      </c>
      <c r="F21" s="5">
        <v>8363</v>
      </c>
      <c r="G21" s="5">
        <v>563</v>
      </c>
      <c r="H21" s="5">
        <v>4109</v>
      </c>
      <c r="I21" s="5">
        <v>1520</v>
      </c>
      <c r="J21" s="5">
        <v>2249</v>
      </c>
      <c r="K21" s="5">
        <v>1551</v>
      </c>
      <c r="L21" s="5">
        <v>2023</v>
      </c>
      <c r="M21" s="5">
        <v>2654</v>
      </c>
      <c r="N21" s="5">
        <v>1058</v>
      </c>
      <c r="O21" s="5">
        <v>18410</v>
      </c>
      <c r="P21" s="5">
        <v>746</v>
      </c>
      <c r="Q21" s="5">
        <v>561</v>
      </c>
      <c r="R21" s="5">
        <v>1012</v>
      </c>
      <c r="S21" s="5">
        <v>6243</v>
      </c>
      <c r="T21" s="5">
        <v>1890</v>
      </c>
      <c r="U21" s="5">
        <v>3382</v>
      </c>
      <c r="V21" s="7">
        <v>103288</v>
      </c>
    </row>
    <row r="22" spans="1:22" x14ac:dyDescent="0.25">
      <c r="A22" s="10">
        <f t="shared" si="0"/>
        <v>1937</v>
      </c>
      <c r="B22" s="5">
        <v>13608</v>
      </c>
      <c r="C22" s="5">
        <v>2599</v>
      </c>
      <c r="D22" s="5">
        <v>38687</v>
      </c>
      <c r="E22" s="5">
        <v>4842</v>
      </c>
      <c r="F22" s="5">
        <v>8531</v>
      </c>
      <c r="G22" s="5">
        <v>576</v>
      </c>
      <c r="H22" s="5">
        <v>4165</v>
      </c>
      <c r="I22" s="5">
        <v>1558</v>
      </c>
      <c r="J22" s="5">
        <v>2298</v>
      </c>
      <c r="K22" s="5">
        <v>1571</v>
      </c>
      <c r="L22" s="5">
        <v>2066</v>
      </c>
      <c r="M22" s="5">
        <v>2697</v>
      </c>
      <c r="N22" s="5">
        <v>1076</v>
      </c>
      <c r="O22" s="5">
        <v>18764</v>
      </c>
      <c r="P22" s="5">
        <v>765</v>
      </c>
      <c r="Q22" s="5">
        <v>575</v>
      </c>
      <c r="R22" s="5">
        <v>1036</v>
      </c>
      <c r="S22" s="5">
        <v>6353</v>
      </c>
      <c r="T22" s="5">
        <v>1911</v>
      </c>
      <c r="U22" s="5">
        <v>3464</v>
      </c>
      <c r="V22" s="7">
        <v>104520</v>
      </c>
    </row>
    <row r="23" spans="1:22" x14ac:dyDescent="0.25">
      <c r="A23" s="10">
        <f t="shared" si="0"/>
        <v>1938</v>
      </c>
      <c r="B23" s="5">
        <v>13841</v>
      </c>
      <c r="C23" s="5">
        <v>2629</v>
      </c>
      <c r="D23" s="5">
        <v>39480</v>
      </c>
      <c r="E23" s="5">
        <v>4914</v>
      </c>
      <c r="F23" s="5">
        <v>8702</v>
      </c>
      <c r="G23" s="5">
        <v>590</v>
      </c>
      <c r="H23" s="5">
        <v>4228</v>
      </c>
      <c r="I23" s="5">
        <v>1596</v>
      </c>
      <c r="J23" s="5">
        <v>2355</v>
      </c>
      <c r="K23" s="5">
        <v>1591</v>
      </c>
      <c r="L23" s="5">
        <v>2113</v>
      </c>
      <c r="M23" s="5">
        <v>2741</v>
      </c>
      <c r="N23" s="5">
        <v>1098</v>
      </c>
      <c r="O23" s="5">
        <v>19071</v>
      </c>
      <c r="P23" s="5">
        <v>785</v>
      </c>
      <c r="Q23" s="5">
        <v>590</v>
      </c>
      <c r="R23" s="5">
        <v>1061</v>
      </c>
      <c r="S23" s="5">
        <v>6462</v>
      </c>
      <c r="T23" s="5">
        <v>1932</v>
      </c>
      <c r="U23" s="5">
        <v>3546</v>
      </c>
      <c r="V23" s="7">
        <v>106195</v>
      </c>
    </row>
    <row r="24" spans="1:22" x14ac:dyDescent="0.25">
      <c r="A24" s="10">
        <f t="shared" si="0"/>
        <v>1939</v>
      </c>
      <c r="B24" s="5">
        <v>14055</v>
      </c>
      <c r="C24" s="5">
        <v>2659</v>
      </c>
      <c r="D24" s="5">
        <v>40289</v>
      </c>
      <c r="E24" s="5">
        <v>4988</v>
      </c>
      <c r="F24" s="5">
        <v>8896</v>
      </c>
      <c r="G24" s="5">
        <v>605</v>
      </c>
      <c r="H24" s="5">
        <v>4253</v>
      </c>
      <c r="I24" s="5">
        <v>1634</v>
      </c>
      <c r="J24" s="5">
        <v>2412</v>
      </c>
      <c r="K24" s="5">
        <v>1612</v>
      </c>
      <c r="L24" s="5">
        <v>2150</v>
      </c>
      <c r="M24" s="5">
        <v>2784</v>
      </c>
      <c r="N24" s="5">
        <v>1122</v>
      </c>
      <c r="O24" s="5">
        <v>19413</v>
      </c>
      <c r="P24" s="5">
        <v>806</v>
      </c>
      <c r="Q24" s="5">
        <v>605</v>
      </c>
      <c r="R24" s="5">
        <v>1086</v>
      </c>
      <c r="S24" s="5">
        <v>6572</v>
      </c>
      <c r="T24" s="5">
        <v>1953</v>
      </c>
      <c r="U24" s="5">
        <v>3628</v>
      </c>
      <c r="V24" s="7">
        <v>107893</v>
      </c>
    </row>
    <row r="25" spans="1:22" x14ac:dyDescent="0.25">
      <c r="A25" s="10">
        <f t="shared" si="0"/>
        <v>1940</v>
      </c>
      <c r="B25" s="5">
        <v>14169</v>
      </c>
      <c r="C25" s="5">
        <v>2690</v>
      </c>
      <c r="D25" s="5">
        <v>41114</v>
      </c>
      <c r="E25" s="5">
        <v>5063</v>
      </c>
      <c r="F25" s="5">
        <v>9097</v>
      </c>
      <c r="G25" s="5">
        <v>619</v>
      </c>
      <c r="H25" s="5">
        <v>4291</v>
      </c>
      <c r="I25" s="5">
        <v>1759</v>
      </c>
      <c r="J25" s="5">
        <v>2466</v>
      </c>
      <c r="K25" s="5">
        <v>1633</v>
      </c>
      <c r="L25" s="5">
        <v>2201</v>
      </c>
      <c r="M25" s="5">
        <v>2827</v>
      </c>
      <c r="N25" s="5">
        <v>1146</v>
      </c>
      <c r="O25" s="5">
        <v>19654</v>
      </c>
      <c r="P25" s="5">
        <v>825</v>
      </c>
      <c r="Q25" s="5">
        <v>620</v>
      </c>
      <c r="R25" s="5">
        <v>1111</v>
      </c>
      <c r="S25" s="5">
        <v>6681</v>
      </c>
      <c r="T25" s="5">
        <v>1974</v>
      </c>
      <c r="U25" s="5">
        <v>3710</v>
      </c>
      <c r="V25" s="7">
        <v>109678</v>
      </c>
    </row>
    <row r="26" spans="1:22" x14ac:dyDescent="0.25">
      <c r="A26" s="10">
        <f t="shared" si="0"/>
        <v>1941</v>
      </c>
      <c r="B26" s="5">
        <v>14401</v>
      </c>
      <c r="C26" s="5">
        <v>2721</v>
      </c>
      <c r="D26" s="5">
        <v>42069</v>
      </c>
      <c r="E26" s="5">
        <v>5149</v>
      </c>
      <c r="F26" s="5">
        <v>9315</v>
      </c>
      <c r="G26" s="5">
        <v>633</v>
      </c>
      <c r="H26" s="5">
        <v>4326</v>
      </c>
      <c r="I26" s="5">
        <v>1801</v>
      </c>
      <c r="J26" s="5">
        <v>2521</v>
      </c>
      <c r="K26" s="5">
        <v>1654</v>
      </c>
      <c r="L26" s="5">
        <v>2252</v>
      </c>
      <c r="M26" s="5">
        <v>2876</v>
      </c>
      <c r="N26" s="5">
        <v>1171</v>
      </c>
      <c r="O26" s="5">
        <v>20208</v>
      </c>
      <c r="P26" s="5">
        <v>844</v>
      </c>
      <c r="Q26" s="5">
        <v>636</v>
      </c>
      <c r="R26" s="5">
        <v>1137</v>
      </c>
      <c r="S26" s="5">
        <v>6797</v>
      </c>
      <c r="T26" s="5">
        <v>1994</v>
      </c>
      <c r="U26" s="5">
        <v>3803</v>
      </c>
      <c r="V26" s="7">
        <v>110988</v>
      </c>
    </row>
    <row r="27" spans="1:22" x14ac:dyDescent="0.25">
      <c r="A27" s="10">
        <f t="shared" si="0"/>
        <v>1942</v>
      </c>
      <c r="B27" s="5">
        <v>14637</v>
      </c>
      <c r="C27" s="5">
        <v>2753</v>
      </c>
      <c r="D27" s="5">
        <v>43062</v>
      </c>
      <c r="E27" s="5">
        <v>5244</v>
      </c>
      <c r="F27" s="5">
        <v>9540</v>
      </c>
      <c r="G27" s="5">
        <v>647</v>
      </c>
      <c r="H27" s="5">
        <v>4372</v>
      </c>
      <c r="I27" s="5">
        <v>1844</v>
      </c>
      <c r="J27" s="5">
        <v>2575</v>
      </c>
      <c r="K27" s="5">
        <v>1675</v>
      </c>
      <c r="L27" s="5">
        <v>2300</v>
      </c>
      <c r="M27" s="5">
        <v>2936</v>
      </c>
      <c r="N27" s="5">
        <v>1195</v>
      </c>
      <c r="O27" s="5">
        <v>20657</v>
      </c>
      <c r="P27" s="5">
        <v>863</v>
      </c>
      <c r="Q27" s="5">
        <v>651</v>
      </c>
      <c r="R27" s="5">
        <v>1164</v>
      </c>
      <c r="S27" s="5">
        <v>6915</v>
      </c>
      <c r="T27" s="5">
        <v>2014</v>
      </c>
      <c r="U27" s="5">
        <v>3914</v>
      </c>
      <c r="V27" s="6">
        <v>108159</v>
      </c>
    </row>
    <row r="28" spans="1:22" x14ac:dyDescent="0.25">
      <c r="A28" s="10">
        <f t="shared" si="0"/>
        <v>1943</v>
      </c>
      <c r="B28" s="5">
        <v>14877</v>
      </c>
      <c r="C28" s="5">
        <v>2785</v>
      </c>
      <c r="D28" s="5">
        <v>43992</v>
      </c>
      <c r="E28" s="5">
        <v>5341</v>
      </c>
      <c r="F28" s="5">
        <v>9774</v>
      </c>
      <c r="G28" s="5">
        <v>661</v>
      </c>
      <c r="H28" s="5">
        <v>4779</v>
      </c>
      <c r="I28" s="5">
        <v>1889</v>
      </c>
      <c r="J28" s="5">
        <v>2641</v>
      </c>
      <c r="K28" s="5">
        <v>1691</v>
      </c>
      <c r="L28" s="5">
        <v>2339</v>
      </c>
      <c r="M28" s="5">
        <v>2979</v>
      </c>
      <c r="N28" s="5">
        <v>1213</v>
      </c>
      <c r="O28" s="5">
        <v>21165</v>
      </c>
      <c r="P28" s="5">
        <v>880</v>
      </c>
      <c r="Q28" s="5">
        <v>669</v>
      </c>
      <c r="R28" s="5">
        <v>1191</v>
      </c>
      <c r="S28" s="5">
        <v>7035</v>
      </c>
      <c r="T28" s="5">
        <v>2034</v>
      </c>
      <c r="U28" s="5">
        <v>4028</v>
      </c>
      <c r="V28" s="6">
        <v>105403</v>
      </c>
    </row>
    <row r="29" spans="1:22" x14ac:dyDescent="0.25">
      <c r="A29" s="10">
        <f t="shared" si="0"/>
        <v>1944</v>
      </c>
      <c r="B29" s="5">
        <v>15130</v>
      </c>
      <c r="C29" s="5">
        <v>2817</v>
      </c>
      <c r="D29" s="5">
        <v>44842</v>
      </c>
      <c r="E29" s="5">
        <v>5440</v>
      </c>
      <c r="F29" s="5">
        <v>10016</v>
      </c>
      <c r="G29" s="5">
        <v>677</v>
      </c>
      <c r="H29" s="5">
        <v>4849</v>
      </c>
      <c r="I29" s="5">
        <v>1934</v>
      </c>
      <c r="J29" s="5">
        <v>2712</v>
      </c>
      <c r="K29" s="5">
        <v>1719</v>
      </c>
      <c r="L29" s="5">
        <v>2384</v>
      </c>
      <c r="M29" s="5">
        <v>3032</v>
      </c>
      <c r="N29" s="5">
        <v>1237</v>
      </c>
      <c r="O29" s="5">
        <v>21674</v>
      </c>
      <c r="P29" s="5">
        <v>900</v>
      </c>
      <c r="Q29" s="5">
        <v>685</v>
      </c>
      <c r="R29" s="5">
        <v>1219</v>
      </c>
      <c r="S29" s="5">
        <v>7159</v>
      </c>
      <c r="T29" s="5">
        <v>2055</v>
      </c>
      <c r="U29" s="5">
        <v>4146</v>
      </c>
      <c r="V29" s="6">
        <v>102717</v>
      </c>
    </row>
    <row r="30" spans="1:22" x14ac:dyDescent="0.25">
      <c r="A30" s="10">
        <f t="shared" si="0"/>
        <v>1945</v>
      </c>
      <c r="B30" s="5">
        <v>15390</v>
      </c>
      <c r="C30" s="5">
        <v>2850</v>
      </c>
      <c r="D30" s="5">
        <v>45860</v>
      </c>
      <c r="E30" s="5">
        <v>5541</v>
      </c>
      <c r="F30" s="5">
        <v>10267</v>
      </c>
      <c r="G30" s="5">
        <v>695</v>
      </c>
      <c r="H30" s="5">
        <v>4932</v>
      </c>
      <c r="I30" s="5">
        <v>1982</v>
      </c>
      <c r="J30" s="5">
        <v>2781</v>
      </c>
      <c r="K30" s="5">
        <v>1742</v>
      </c>
      <c r="L30" s="5">
        <v>2438</v>
      </c>
      <c r="M30" s="5">
        <v>3087</v>
      </c>
      <c r="N30" s="5">
        <v>1261</v>
      </c>
      <c r="O30" s="5">
        <v>22233</v>
      </c>
      <c r="P30" s="5">
        <v>923</v>
      </c>
      <c r="Q30" s="5">
        <v>703</v>
      </c>
      <c r="R30" s="5">
        <v>1247</v>
      </c>
      <c r="S30" s="5">
        <v>7285</v>
      </c>
      <c r="T30" s="5">
        <v>2076</v>
      </c>
      <c r="U30" s="5">
        <v>4267</v>
      </c>
      <c r="V30" s="6">
        <v>100099</v>
      </c>
    </row>
    <row r="31" spans="1:22" x14ac:dyDescent="0.25">
      <c r="A31" s="10">
        <f t="shared" si="0"/>
        <v>1946</v>
      </c>
      <c r="B31" s="5">
        <v>15654</v>
      </c>
      <c r="C31" s="5">
        <v>2883</v>
      </c>
      <c r="D31" s="5">
        <v>46975</v>
      </c>
      <c r="E31" s="5">
        <v>5643</v>
      </c>
      <c r="F31" s="5">
        <v>10528</v>
      </c>
      <c r="G31" s="5">
        <v>709</v>
      </c>
      <c r="H31" s="5">
        <v>5039</v>
      </c>
      <c r="I31" s="5">
        <v>2030</v>
      </c>
      <c r="J31" s="5">
        <v>2853</v>
      </c>
      <c r="K31" s="5">
        <v>1764</v>
      </c>
      <c r="L31" s="5">
        <v>2498</v>
      </c>
      <c r="M31" s="5">
        <v>3143</v>
      </c>
      <c r="N31" s="5">
        <v>1287</v>
      </c>
      <c r="O31" s="5">
        <v>22779</v>
      </c>
      <c r="P31" s="5">
        <v>949</v>
      </c>
      <c r="Q31" s="5">
        <v>721</v>
      </c>
      <c r="R31" s="5">
        <v>1275</v>
      </c>
      <c r="S31" s="5">
        <v>7415</v>
      </c>
      <c r="T31" s="5">
        <v>2098</v>
      </c>
      <c r="U31" s="5">
        <v>4391</v>
      </c>
      <c r="V31" s="7">
        <v>97548</v>
      </c>
    </row>
    <row r="32" spans="1:22" x14ac:dyDescent="0.25">
      <c r="A32" s="10">
        <f t="shared" si="0"/>
        <v>1947</v>
      </c>
      <c r="B32" s="5">
        <v>15928</v>
      </c>
      <c r="C32" s="5">
        <v>2916</v>
      </c>
      <c r="D32" s="5">
        <v>48161</v>
      </c>
      <c r="E32" s="5">
        <v>5748</v>
      </c>
      <c r="F32" s="5">
        <v>10800</v>
      </c>
      <c r="G32" s="5">
        <v>726</v>
      </c>
      <c r="H32" s="5">
        <v>5152</v>
      </c>
      <c r="I32" s="5">
        <v>2080</v>
      </c>
      <c r="J32" s="5">
        <v>2936</v>
      </c>
      <c r="K32" s="5">
        <v>1788</v>
      </c>
      <c r="L32" s="5">
        <v>2566</v>
      </c>
      <c r="M32" s="5">
        <v>3200</v>
      </c>
      <c r="N32" s="5">
        <v>1320</v>
      </c>
      <c r="O32" s="5">
        <v>23440</v>
      </c>
      <c r="P32" s="5">
        <v>977</v>
      </c>
      <c r="Q32" s="5">
        <v>739</v>
      </c>
      <c r="R32" s="5">
        <v>1305</v>
      </c>
      <c r="S32" s="5">
        <v>7547</v>
      </c>
      <c r="T32" s="5">
        <v>2121</v>
      </c>
      <c r="U32" s="5">
        <v>4548</v>
      </c>
      <c r="V32" s="7">
        <v>98509</v>
      </c>
    </row>
    <row r="33" spans="1:22" x14ac:dyDescent="0.25">
      <c r="A33" s="10">
        <f t="shared" si="0"/>
        <v>1948</v>
      </c>
      <c r="B33" s="5">
        <v>16269</v>
      </c>
      <c r="C33" s="5">
        <v>2950</v>
      </c>
      <c r="D33" s="5">
        <v>49422</v>
      </c>
      <c r="E33" s="5">
        <v>5854</v>
      </c>
      <c r="F33" s="5">
        <v>11081</v>
      </c>
      <c r="G33" s="5">
        <v>746</v>
      </c>
      <c r="H33" s="5">
        <v>5268</v>
      </c>
      <c r="I33" s="5">
        <v>2131</v>
      </c>
      <c r="J33" s="5">
        <v>3017</v>
      </c>
      <c r="K33" s="5">
        <v>1811</v>
      </c>
      <c r="L33" s="5">
        <v>2641</v>
      </c>
      <c r="M33" s="5">
        <v>3258</v>
      </c>
      <c r="N33" s="5">
        <v>1353</v>
      </c>
      <c r="O33" s="5">
        <v>24129</v>
      </c>
      <c r="P33" s="5">
        <v>1001</v>
      </c>
      <c r="Q33" s="5">
        <v>758</v>
      </c>
      <c r="R33" s="5">
        <v>1335</v>
      </c>
      <c r="S33" s="5">
        <v>7682</v>
      </c>
      <c r="T33" s="5">
        <v>2144</v>
      </c>
      <c r="U33" s="5">
        <v>4686</v>
      </c>
      <c r="V33" s="7">
        <v>99159</v>
      </c>
    </row>
    <row r="34" spans="1:22" x14ac:dyDescent="0.25">
      <c r="A34" s="10">
        <f t="shared" si="0"/>
        <v>1949</v>
      </c>
      <c r="B34" s="5">
        <v>16656</v>
      </c>
      <c r="C34" s="5">
        <v>2955</v>
      </c>
      <c r="D34" s="5">
        <v>50759</v>
      </c>
      <c r="E34" s="5">
        <v>5962</v>
      </c>
      <c r="F34" s="5">
        <v>11373</v>
      </c>
      <c r="G34" s="5">
        <v>771</v>
      </c>
      <c r="H34" s="5">
        <v>5386</v>
      </c>
      <c r="I34" s="5">
        <v>2185</v>
      </c>
      <c r="J34" s="5">
        <v>3104</v>
      </c>
      <c r="K34" s="5">
        <v>1835</v>
      </c>
      <c r="L34" s="5">
        <v>2724</v>
      </c>
      <c r="M34" s="5">
        <v>3318</v>
      </c>
      <c r="N34" s="5">
        <v>1389</v>
      </c>
      <c r="O34" s="5">
        <v>24825</v>
      </c>
      <c r="P34" s="5">
        <v>1028</v>
      </c>
      <c r="Q34" s="5">
        <v>777</v>
      </c>
      <c r="R34" s="5">
        <v>1366</v>
      </c>
      <c r="S34" s="5">
        <v>7822</v>
      </c>
      <c r="T34" s="5">
        <v>2169</v>
      </c>
      <c r="U34" s="5">
        <v>4828</v>
      </c>
      <c r="V34" s="7">
        <v>100252</v>
      </c>
    </row>
    <row r="35" spans="1:22" x14ac:dyDescent="0.25">
      <c r="A35" s="10">
        <f t="shared" si="0"/>
        <v>1950</v>
      </c>
      <c r="B35" s="5">
        <v>17070</v>
      </c>
      <c r="C35" s="5">
        <v>3013</v>
      </c>
      <c r="D35" s="5">
        <v>52178</v>
      </c>
      <c r="E35" s="5">
        <v>6073</v>
      </c>
      <c r="F35" s="5">
        <v>11679</v>
      </c>
      <c r="G35" s="5">
        <v>801</v>
      </c>
      <c r="H35" s="5">
        <v>5508</v>
      </c>
      <c r="I35" s="5">
        <v>2243</v>
      </c>
      <c r="J35" s="5">
        <v>3197</v>
      </c>
      <c r="K35" s="5">
        <v>1868</v>
      </c>
      <c r="L35" s="5">
        <v>2805</v>
      </c>
      <c r="M35" s="5">
        <v>3380</v>
      </c>
      <c r="N35" s="5">
        <v>1428</v>
      </c>
      <c r="O35" s="5">
        <v>25791</v>
      </c>
      <c r="P35" s="5">
        <v>1060</v>
      </c>
      <c r="Q35" s="5">
        <v>797</v>
      </c>
      <c r="R35" s="5">
        <v>1397</v>
      </c>
      <c r="S35" s="5">
        <v>7969</v>
      </c>
      <c r="T35" s="5">
        <v>2195</v>
      </c>
      <c r="U35" s="5">
        <v>4974</v>
      </c>
      <c r="V35" s="7">
        <v>102067</v>
      </c>
    </row>
    <row r="36" spans="1:22" x14ac:dyDescent="0.25">
      <c r="A36" s="10">
        <f>A35+1</f>
        <v>1951</v>
      </c>
      <c r="B36" s="5">
        <v>17408</v>
      </c>
      <c r="C36" s="5">
        <v>3061.3</v>
      </c>
      <c r="D36" s="5">
        <v>53786.3</v>
      </c>
      <c r="E36" s="5">
        <v>6205.5</v>
      </c>
      <c r="F36" s="5">
        <v>11991</v>
      </c>
      <c r="G36" s="5">
        <v>831.7</v>
      </c>
      <c r="H36" s="5">
        <v>5628.9</v>
      </c>
      <c r="I36" s="5">
        <v>2313</v>
      </c>
      <c r="J36" s="5">
        <v>3288.5</v>
      </c>
      <c r="K36" s="5">
        <v>1920.7</v>
      </c>
      <c r="L36" s="5">
        <v>2885.6</v>
      </c>
      <c r="M36" s="5">
        <v>3427.6</v>
      </c>
      <c r="N36" s="5">
        <v>1470.6</v>
      </c>
      <c r="O36" s="5">
        <v>26525.8</v>
      </c>
      <c r="P36" s="5">
        <v>1097.4000000000001</v>
      </c>
      <c r="Q36" s="5">
        <v>818.3</v>
      </c>
      <c r="R36" s="5">
        <v>1431.2</v>
      </c>
      <c r="S36" s="5">
        <v>8184.9</v>
      </c>
      <c r="T36" s="5">
        <v>2217.6999999999998</v>
      </c>
      <c r="U36" s="5">
        <v>5209.2</v>
      </c>
      <c r="V36" s="7">
        <v>103599</v>
      </c>
    </row>
    <row r="37" spans="1:22" x14ac:dyDescent="0.25">
      <c r="A37" s="10">
        <f t="shared" ref="A37:A100" si="1">A36+1</f>
        <v>1952</v>
      </c>
      <c r="B37" s="5">
        <v>17747.3</v>
      </c>
      <c r="C37" s="5">
        <v>3116.3</v>
      </c>
      <c r="D37" s="5">
        <v>55523</v>
      </c>
      <c r="E37" s="5">
        <v>6372.1</v>
      </c>
      <c r="F37" s="5">
        <v>12322.7</v>
      </c>
      <c r="G37" s="5">
        <v>870.3</v>
      </c>
      <c r="H37" s="5">
        <v>5772.6</v>
      </c>
      <c r="I37" s="5">
        <v>2394.5</v>
      </c>
      <c r="J37" s="5">
        <v>3399.3</v>
      </c>
      <c r="K37" s="5">
        <v>1989.4</v>
      </c>
      <c r="L37" s="5">
        <v>2984.5</v>
      </c>
      <c r="M37" s="5">
        <v>3471.6</v>
      </c>
      <c r="N37" s="5">
        <v>1521.4</v>
      </c>
      <c r="O37" s="5">
        <v>27386.6</v>
      </c>
      <c r="P37" s="5">
        <v>1148.7</v>
      </c>
      <c r="Q37" s="5">
        <v>844.1</v>
      </c>
      <c r="R37" s="5">
        <v>1471.7</v>
      </c>
      <c r="S37" s="5">
        <v>8392.2999999999993</v>
      </c>
      <c r="T37" s="5">
        <v>2245</v>
      </c>
      <c r="U37" s="5">
        <v>5476.1</v>
      </c>
      <c r="V37" s="7">
        <v>105278</v>
      </c>
    </row>
    <row r="38" spans="1:22" x14ac:dyDescent="0.25">
      <c r="A38" s="10">
        <f t="shared" si="1"/>
        <v>1953</v>
      </c>
      <c r="B38" s="5">
        <v>18084.5</v>
      </c>
      <c r="C38" s="5">
        <v>3177.5</v>
      </c>
      <c r="D38" s="5">
        <v>57375.6</v>
      </c>
      <c r="E38" s="5">
        <v>6567</v>
      </c>
      <c r="F38" s="5">
        <v>12671.3</v>
      </c>
      <c r="G38" s="5">
        <v>916</v>
      </c>
      <c r="H38" s="5">
        <v>5936.6</v>
      </c>
      <c r="I38" s="5">
        <v>2486.6</v>
      </c>
      <c r="J38" s="5">
        <v>3526.6</v>
      </c>
      <c r="K38" s="5">
        <v>2072.3000000000002</v>
      </c>
      <c r="L38" s="5">
        <v>3098.5</v>
      </c>
      <c r="M38" s="5">
        <v>3513.3</v>
      </c>
      <c r="N38" s="5">
        <v>1579.5</v>
      </c>
      <c r="O38" s="5">
        <v>28361.4</v>
      </c>
      <c r="P38" s="5">
        <v>1212.5999999999999</v>
      </c>
      <c r="Q38" s="5">
        <v>873.8</v>
      </c>
      <c r="R38" s="5">
        <v>1517.6</v>
      </c>
      <c r="S38" s="5">
        <v>8592.4</v>
      </c>
      <c r="T38" s="5">
        <v>2276.1</v>
      </c>
      <c r="U38" s="5">
        <v>5771.4</v>
      </c>
      <c r="V38" s="7">
        <v>107049</v>
      </c>
    </row>
    <row r="39" spans="1:22" x14ac:dyDescent="0.25">
      <c r="A39" s="10">
        <f t="shared" si="1"/>
        <v>1954</v>
      </c>
      <c r="B39" s="5">
        <v>18417.599999999999</v>
      </c>
      <c r="C39" s="5">
        <v>3244.4</v>
      </c>
      <c r="D39" s="5">
        <v>59332.1</v>
      </c>
      <c r="E39" s="5">
        <v>6784.6</v>
      </c>
      <c r="F39" s="5">
        <v>13037.3</v>
      </c>
      <c r="G39" s="5">
        <v>968.2</v>
      </c>
      <c r="H39" s="5">
        <v>6117</v>
      </c>
      <c r="I39" s="5">
        <v>2587.8000000000002</v>
      </c>
      <c r="J39" s="5">
        <v>3667.8</v>
      </c>
      <c r="K39" s="5">
        <v>2167.1999999999998</v>
      </c>
      <c r="L39" s="5">
        <v>3225.2</v>
      </c>
      <c r="M39" s="5">
        <v>3553.9</v>
      </c>
      <c r="N39" s="5">
        <v>1643.7</v>
      </c>
      <c r="O39" s="5">
        <v>29439.7</v>
      </c>
      <c r="P39" s="5">
        <v>1287.3</v>
      </c>
      <c r="Q39" s="5">
        <v>906.7</v>
      </c>
      <c r="R39" s="5">
        <v>1567.9</v>
      </c>
      <c r="S39" s="5">
        <v>8789.1</v>
      </c>
      <c r="T39" s="5">
        <v>2310.1</v>
      </c>
      <c r="U39" s="5">
        <v>6091.4</v>
      </c>
      <c r="V39" s="7">
        <v>108607</v>
      </c>
    </row>
    <row r="40" spans="1:22" x14ac:dyDescent="0.25">
      <c r="A40" s="10">
        <f t="shared" si="1"/>
        <v>1955</v>
      </c>
      <c r="B40" s="5">
        <v>18744.599999999999</v>
      </c>
      <c r="C40" s="5">
        <v>3315.9</v>
      </c>
      <c r="D40" s="5">
        <v>61381.8</v>
      </c>
      <c r="E40" s="5">
        <v>7018.3</v>
      </c>
      <c r="F40" s="5">
        <v>13422.6</v>
      </c>
      <c r="G40" s="5">
        <v>1025.5</v>
      </c>
      <c r="H40" s="5">
        <v>6308.9</v>
      </c>
      <c r="I40" s="5">
        <v>2696.6</v>
      </c>
      <c r="J40" s="5">
        <v>3819.7</v>
      </c>
      <c r="K40" s="5">
        <v>2272.1999999999998</v>
      </c>
      <c r="L40" s="5">
        <v>3362.5</v>
      </c>
      <c r="M40" s="5">
        <v>3595</v>
      </c>
      <c r="N40" s="5">
        <v>1712.6</v>
      </c>
      <c r="O40" s="5">
        <v>30602.5</v>
      </c>
      <c r="P40" s="5">
        <v>1370.7</v>
      </c>
      <c r="Q40" s="5">
        <v>942</v>
      </c>
      <c r="R40" s="5">
        <v>1621.2</v>
      </c>
      <c r="S40" s="5">
        <v>8988</v>
      </c>
      <c r="T40" s="5">
        <v>2346.1</v>
      </c>
      <c r="U40" s="5">
        <v>6431.2</v>
      </c>
      <c r="V40" s="7">
        <v>110678</v>
      </c>
    </row>
    <row r="41" spans="1:22" x14ac:dyDescent="0.25">
      <c r="A41" s="10">
        <f t="shared" si="1"/>
        <v>1956</v>
      </c>
      <c r="B41" s="5">
        <v>19070.400000000001</v>
      </c>
      <c r="C41" s="5">
        <v>3391.1</v>
      </c>
      <c r="D41" s="5">
        <v>63510.7</v>
      </c>
      <c r="E41" s="5">
        <v>7262.3</v>
      </c>
      <c r="F41" s="5">
        <v>13825.2</v>
      </c>
      <c r="G41" s="5">
        <v>1086.5999999999999</v>
      </c>
      <c r="H41" s="5">
        <v>6506.9</v>
      </c>
      <c r="I41" s="5">
        <v>2810.8</v>
      </c>
      <c r="J41" s="5">
        <v>3978.7</v>
      </c>
      <c r="K41" s="5">
        <v>2383.6</v>
      </c>
      <c r="L41" s="5">
        <v>3506.7</v>
      </c>
      <c r="M41" s="5">
        <v>3638.6</v>
      </c>
      <c r="N41" s="5">
        <v>1784.7</v>
      </c>
      <c r="O41" s="5">
        <v>31824.400000000001</v>
      </c>
      <c r="P41" s="5">
        <v>1460</v>
      </c>
      <c r="Q41" s="5">
        <v>979</v>
      </c>
      <c r="R41" s="5">
        <v>1676.2</v>
      </c>
      <c r="S41" s="5">
        <v>9193.2999999999993</v>
      </c>
      <c r="T41" s="5">
        <v>2383.4</v>
      </c>
      <c r="U41" s="5">
        <v>6785</v>
      </c>
      <c r="V41" s="7">
        <v>112465</v>
      </c>
    </row>
    <row r="42" spans="1:22" x14ac:dyDescent="0.25">
      <c r="A42" s="10">
        <f t="shared" si="1"/>
        <v>1957</v>
      </c>
      <c r="B42" s="5">
        <v>19395.8</v>
      </c>
      <c r="C42" s="5">
        <v>3468.6</v>
      </c>
      <c r="D42" s="5">
        <v>65699.899999999994</v>
      </c>
      <c r="E42" s="5">
        <v>7508</v>
      </c>
      <c r="F42" s="5">
        <v>14247.2</v>
      </c>
      <c r="G42" s="5">
        <v>1149.8</v>
      </c>
      <c r="H42" s="5">
        <v>6705.3</v>
      </c>
      <c r="I42" s="5">
        <v>2928.1</v>
      </c>
      <c r="J42" s="5">
        <v>4140.7</v>
      </c>
      <c r="K42" s="5">
        <v>2496.9</v>
      </c>
      <c r="L42" s="5">
        <v>3653.7</v>
      </c>
      <c r="M42" s="5">
        <v>3685.1</v>
      </c>
      <c r="N42" s="5">
        <v>1858</v>
      </c>
      <c r="O42" s="5">
        <v>33078</v>
      </c>
      <c r="P42" s="5">
        <v>1551.2</v>
      </c>
      <c r="Q42" s="5">
        <v>1016.8</v>
      </c>
      <c r="R42" s="5">
        <v>1731.6</v>
      </c>
      <c r="S42" s="5">
        <v>9409.2999999999993</v>
      </c>
      <c r="T42" s="5">
        <v>2421.4</v>
      </c>
      <c r="U42" s="5">
        <v>7145.8</v>
      </c>
      <c r="V42" s="7">
        <v>114189</v>
      </c>
    </row>
    <row r="43" spans="1:22" x14ac:dyDescent="0.25">
      <c r="A43" s="10">
        <f t="shared" si="1"/>
        <v>1958</v>
      </c>
      <c r="B43" s="5">
        <v>19720.5</v>
      </c>
      <c r="C43" s="5">
        <v>3547.2</v>
      </c>
      <c r="D43" s="5">
        <v>67927.3</v>
      </c>
      <c r="E43" s="5">
        <v>7745.2</v>
      </c>
      <c r="F43" s="5">
        <v>14681.8</v>
      </c>
      <c r="G43" s="5">
        <v>1213</v>
      </c>
      <c r="H43" s="5">
        <v>6897.8</v>
      </c>
      <c r="I43" s="5">
        <v>3045.5</v>
      </c>
      <c r="J43" s="5">
        <v>4300.6000000000004</v>
      </c>
      <c r="K43" s="5">
        <v>2606</v>
      </c>
      <c r="L43" s="5">
        <v>3797.7</v>
      </c>
      <c r="M43" s="5">
        <v>3736.1</v>
      </c>
      <c r="N43" s="5">
        <v>1930.5</v>
      </c>
      <c r="O43" s="5">
        <v>34333.699999999997</v>
      </c>
      <c r="P43" s="5">
        <v>1639.4</v>
      </c>
      <c r="Q43" s="5">
        <v>1054.7</v>
      </c>
      <c r="R43" s="5">
        <v>1785.8</v>
      </c>
      <c r="S43" s="5">
        <v>9640.9</v>
      </c>
      <c r="T43" s="5">
        <v>2459.3000000000002</v>
      </c>
      <c r="U43" s="5">
        <v>7504.7</v>
      </c>
      <c r="V43" s="7">
        <v>115881</v>
      </c>
    </row>
    <row r="44" spans="1:22" x14ac:dyDescent="0.25">
      <c r="A44" s="10">
        <f t="shared" si="1"/>
        <v>1959</v>
      </c>
      <c r="B44" s="5">
        <v>20051.3</v>
      </c>
      <c r="C44" s="5">
        <v>3625.6</v>
      </c>
      <c r="D44" s="5">
        <v>70168.7</v>
      </c>
      <c r="E44" s="5">
        <v>7963.9</v>
      </c>
      <c r="F44" s="5">
        <v>15133</v>
      </c>
      <c r="G44" s="5">
        <v>1273.4000000000001</v>
      </c>
      <c r="H44" s="5">
        <v>7077.9</v>
      </c>
      <c r="I44" s="5">
        <v>3160.1</v>
      </c>
      <c r="J44" s="5">
        <v>4452.8999999999996</v>
      </c>
      <c r="K44" s="5">
        <v>2705.7</v>
      </c>
      <c r="L44" s="5">
        <v>3935.6</v>
      </c>
      <c r="M44" s="5">
        <v>3793.3</v>
      </c>
      <c r="N44" s="5">
        <v>1999.4</v>
      </c>
      <c r="O44" s="5">
        <v>35560.1</v>
      </c>
      <c r="P44" s="5">
        <v>1718.8</v>
      </c>
      <c r="Q44" s="5">
        <v>1091.4000000000001</v>
      </c>
      <c r="R44" s="5">
        <v>1837.2</v>
      </c>
      <c r="S44" s="5">
        <v>9894</v>
      </c>
      <c r="T44" s="5">
        <v>2495.9</v>
      </c>
      <c r="U44" s="5">
        <v>7847.6</v>
      </c>
      <c r="V44" s="7">
        <v>117616</v>
      </c>
    </row>
    <row r="45" spans="1:22" x14ac:dyDescent="0.25">
      <c r="A45" s="10">
        <f t="shared" si="1"/>
        <v>1960</v>
      </c>
      <c r="B45" s="5">
        <v>20386</v>
      </c>
      <c r="C45" s="5">
        <v>3702.3</v>
      </c>
      <c r="D45" s="5">
        <v>72388.100000000006</v>
      </c>
      <c r="E45" s="5">
        <v>8153.4</v>
      </c>
      <c r="F45" s="5">
        <v>15606.2</v>
      </c>
      <c r="G45" s="5">
        <v>1327.5</v>
      </c>
      <c r="H45" s="5">
        <v>7238.1</v>
      </c>
      <c r="I45" s="5">
        <v>3268.3</v>
      </c>
      <c r="J45" s="5">
        <v>4590.8999999999996</v>
      </c>
      <c r="K45" s="5">
        <v>2791.5</v>
      </c>
      <c r="L45" s="5">
        <v>4063.7</v>
      </c>
      <c r="M45" s="5">
        <v>3858.4</v>
      </c>
      <c r="N45" s="5">
        <v>2062.1</v>
      </c>
      <c r="O45" s="5">
        <v>36724.6</v>
      </c>
      <c r="P45" s="5">
        <v>1782.4</v>
      </c>
      <c r="Q45" s="5">
        <v>1126</v>
      </c>
      <c r="R45" s="5">
        <v>1883.5</v>
      </c>
      <c r="S45" s="5">
        <v>10174.1</v>
      </c>
      <c r="T45" s="5">
        <v>2530</v>
      </c>
      <c r="U45" s="5">
        <v>8160.1</v>
      </c>
      <c r="V45" s="7">
        <v>119046</v>
      </c>
    </row>
    <row r="46" spans="1:22" x14ac:dyDescent="0.25">
      <c r="A46" s="10">
        <f t="shared" si="1"/>
        <v>1961</v>
      </c>
      <c r="B46" s="5">
        <v>20726.3</v>
      </c>
      <c r="C46" s="5">
        <v>3778.7</v>
      </c>
      <c r="D46" s="5">
        <v>74605.399999999994</v>
      </c>
      <c r="E46" s="5">
        <v>8324.7999999999993</v>
      </c>
      <c r="F46" s="5">
        <v>16095.2</v>
      </c>
      <c r="G46" s="5">
        <v>1377.9</v>
      </c>
      <c r="H46" s="5">
        <v>7387.1</v>
      </c>
      <c r="I46" s="5">
        <v>3373.2</v>
      </c>
      <c r="J46" s="5">
        <v>4722.3</v>
      </c>
      <c r="K46" s="5">
        <v>2870</v>
      </c>
      <c r="L46" s="5">
        <v>4186.2</v>
      </c>
      <c r="M46" s="5">
        <v>3929</v>
      </c>
      <c r="N46" s="5">
        <v>2121.1999999999998</v>
      </c>
      <c r="O46" s="5">
        <v>37890.1</v>
      </c>
      <c r="P46" s="5">
        <v>1836.5</v>
      </c>
      <c r="Q46" s="5">
        <v>1159.9000000000001</v>
      </c>
      <c r="R46" s="5">
        <v>1927.4</v>
      </c>
      <c r="S46" s="5">
        <v>10475.1</v>
      </c>
      <c r="T46" s="5">
        <v>2562</v>
      </c>
      <c r="U46" s="5">
        <v>8455.9</v>
      </c>
      <c r="V46" s="7">
        <v>120766</v>
      </c>
    </row>
    <row r="47" spans="1:22" x14ac:dyDescent="0.25">
      <c r="A47" s="10">
        <f t="shared" si="1"/>
        <v>1962</v>
      </c>
      <c r="B47" s="5">
        <v>21072.5</v>
      </c>
      <c r="C47" s="5">
        <v>3857.5</v>
      </c>
      <c r="D47" s="5">
        <v>76865.3</v>
      </c>
      <c r="E47" s="5">
        <v>8497.1</v>
      </c>
      <c r="F47" s="5">
        <v>16599</v>
      </c>
      <c r="G47" s="5">
        <v>1429.4</v>
      </c>
      <c r="H47" s="5">
        <v>7541.1</v>
      </c>
      <c r="I47" s="5">
        <v>3479.9</v>
      </c>
      <c r="J47" s="5">
        <v>4859.3</v>
      </c>
      <c r="K47" s="5">
        <v>2949.2</v>
      </c>
      <c r="L47" s="5">
        <v>4312</v>
      </c>
      <c r="M47" s="5">
        <v>4001.6</v>
      </c>
      <c r="N47" s="5">
        <v>2182.1</v>
      </c>
      <c r="O47" s="5">
        <v>39129.199999999997</v>
      </c>
      <c r="P47" s="5">
        <v>1892.3</v>
      </c>
      <c r="Q47" s="5">
        <v>1195.3</v>
      </c>
      <c r="R47" s="5">
        <v>1973.1</v>
      </c>
      <c r="S47" s="5">
        <v>10784.6</v>
      </c>
      <c r="T47" s="5">
        <v>2593.3000000000002</v>
      </c>
      <c r="U47" s="5">
        <v>8756.9</v>
      </c>
      <c r="V47" s="7">
        <v>122407</v>
      </c>
    </row>
    <row r="48" spans="1:22" x14ac:dyDescent="0.25">
      <c r="A48" s="10">
        <f t="shared" si="1"/>
        <v>1963</v>
      </c>
      <c r="B48" s="5">
        <v>21421.7</v>
      </c>
      <c r="C48" s="5">
        <v>3938.9</v>
      </c>
      <c r="D48" s="5">
        <v>79164.2</v>
      </c>
      <c r="E48" s="5">
        <v>8670.1</v>
      </c>
      <c r="F48" s="5">
        <v>17113.8</v>
      </c>
      <c r="G48" s="5">
        <v>1481.6</v>
      </c>
      <c r="H48" s="5">
        <v>7701.7</v>
      </c>
      <c r="I48" s="5">
        <v>3588.3</v>
      </c>
      <c r="J48" s="5">
        <v>5001.7</v>
      </c>
      <c r="K48" s="5">
        <v>3028.7</v>
      </c>
      <c r="L48" s="5">
        <v>4440.3</v>
      </c>
      <c r="M48" s="5">
        <v>4073.1</v>
      </c>
      <c r="N48" s="5">
        <v>2244.9</v>
      </c>
      <c r="O48" s="5">
        <v>40424.1</v>
      </c>
      <c r="P48" s="5">
        <v>1950.2</v>
      </c>
      <c r="Q48" s="5">
        <v>1232.0999999999999</v>
      </c>
      <c r="R48" s="5">
        <v>2021.9</v>
      </c>
      <c r="S48" s="5">
        <v>11102.1</v>
      </c>
      <c r="T48" s="5">
        <v>2623.8</v>
      </c>
      <c r="U48" s="5">
        <v>9064</v>
      </c>
      <c r="V48" s="7">
        <v>123848</v>
      </c>
    </row>
    <row r="49" spans="1:22" x14ac:dyDescent="0.25">
      <c r="A49" s="10">
        <f t="shared" si="1"/>
        <v>1964</v>
      </c>
      <c r="B49" s="5">
        <v>21769.5</v>
      </c>
      <c r="C49" s="5">
        <v>4023</v>
      </c>
      <c r="D49" s="5">
        <v>81488.600000000006</v>
      </c>
      <c r="E49" s="5">
        <v>8842.5</v>
      </c>
      <c r="F49" s="5">
        <v>17637.400000000001</v>
      </c>
      <c r="G49" s="5">
        <v>1534</v>
      </c>
      <c r="H49" s="5">
        <v>7866</v>
      </c>
      <c r="I49" s="5">
        <v>3698.6</v>
      </c>
      <c r="J49" s="5">
        <v>5149.8999999999996</v>
      </c>
      <c r="K49" s="5">
        <v>3111.9</v>
      </c>
      <c r="L49" s="5">
        <v>4571.1000000000004</v>
      </c>
      <c r="M49" s="5">
        <v>4146.2</v>
      </c>
      <c r="N49" s="5">
        <v>2309.9</v>
      </c>
      <c r="O49" s="5">
        <v>41772</v>
      </c>
      <c r="P49" s="5">
        <v>2010.2</v>
      </c>
      <c r="Q49" s="5">
        <v>1270.0999999999999</v>
      </c>
      <c r="R49" s="5">
        <v>2073.1</v>
      </c>
      <c r="S49" s="5">
        <v>11428</v>
      </c>
      <c r="T49" s="5">
        <v>2653.2</v>
      </c>
      <c r="U49" s="5">
        <v>9377.7000000000007</v>
      </c>
      <c r="V49" s="7">
        <v>125179</v>
      </c>
    </row>
    <row r="50" spans="1:22" x14ac:dyDescent="0.25">
      <c r="A50" s="10">
        <f t="shared" si="1"/>
        <v>1965</v>
      </c>
      <c r="B50" s="5">
        <v>22112.6</v>
      </c>
      <c r="C50" s="5">
        <v>4109.8</v>
      </c>
      <c r="D50" s="5">
        <v>83817.600000000006</v>
      </c>
      <c r="E50" s="5">
        <v>9012.9</v>
      </c>
      <c r="F50" s="5">
        <v>18169.099999999999</v>
      </c>
      <c r="G50" s="5">
        <v>1586.2</v>
      </c>
      <c r="H50" s="5">
        <v>8030.8</v>
      </c>
      <c r="I50" s="5">
        <v>3809</v>
      </c>
      <c r="J50" s="5">
        <v>5304</v>
      </c>
      <c r="K50" s="5">
        <v>3199.5</v>
      </c>
      <c r="L50" s="5">
        <v>4705</v>
      </c>
      <c r="M50" s="5">
        <v>4223.8</v>
      </c>
      <c r="N50" s="5">
        <v>2377.1999999999998</v>
      </c>
      <c r="O50" s="5">
        <v>43174.5</v>
      </c>
      <c r="P50" s="5">
        <v>2072.6999999999998</v>
      </c>
      <c r="Q50" s="5">
        <v>1308.8</v>
      </c>
      <c r="R50" s="5">
        <v>2125.1999999999998</v>
      </c>
      <c r="S50" s="5">
        <v>11761.1</v>
      </c>
      <c r="T50" s="5">
        <v>2681.2</v>
      </c>
      <c r="U50" s="5">
        <v>9697.7999999999993</v>
      </c>
      <c r="V50" s="7">
        <v>126309</v>
      </c>
    </row>
    <row r="51" spans="1:22" x14ac:dyDescent="0.25">
      <c r="A51" s="10">
        <f t="shared" si="1"/>
        <v>1966</v>
      </c>
      <c r="B51" s="5">
        <v>22453.9</v>
      </c>
      <c r="C51" s="5">
        <v>4199.6000000000004</v>
      </c>
      <c r="D51" s="5">
        <v>86139.4</v>
      </c>
      <c r="E51" s="5">
        <v>9181.7000000000007</v>
      </c>
      <c r="F51" s="5">
        <v>18702.7</v>
      </c>
      <c r="G51" s="5">
        <v>1638.1</v>
      </c>
      <c r="H51" s="5">
        <v>8193.5</v>
      </c>
      <c r="I51" s="5">
        <v>3921.8</v>
      </c>
      <c r="J51" s="5">
        <v>5463.7</v>
      </c>
      <c r="K51" s="5">
        <v>3291</v>
      </c>
      <c r="L51" s="5">
        <v>4841</v>
      </c>
      <c r="M51" s="5">
        <v>4302.6000000000004</v>
      </c>
      <c r="N51" s="5">
        <v>2446.8000000000002</v>
      </c>
      <c r="O51" s="5">
        <v>44629.1</v>
      </c>
      <c r="P51" s="5">
        <v>2137.8000000000002</v>
      </c>
      <c r="Q51" s="5">
        <v>1348.4</v>
      </c>
      <c r="R51" s="5">
        <v>2177.6</v>
      </c>
      <c r="S51" s="5">
        <v>12101.3</v>
      </c>
      <c r="T51" s="5">
        <v>2707.6</v>
      </c>
      <c r="U51" s="5">
        <v>10024.9</v>
      </c>
      <c r="V51" s="7">
        <v>127189</v>
      </c>
    </row>
    <row r="52" spans="1:22" x14ac:dyDescent="0.25">
      <c r="A52" s="10">
        <f t="shared" si="1"/>
        <v>1967</v>
      </c>
      <c r="B52" s="5">
        <v>22799.1</v>
      </c>
      <c r="C52" s="5">
        <v>4292.6000000000004</v>
      </c>
      <c r="D52" s="5">
        <v>88446.1</v>
      </c>
      <c r="E52" s="5">
        <v>9348.9</v>
      </c>
      <c r="F52" s="5">
        <v>19235.599999999999</v>
      </c>
      <c r="G52" s="5">
        <v>1689.5</v>
      </c>
      <c r="H52" s="5">
        <v>8352.6</v>
      </c>
      <c r="I52" s="5">
        <v>4038.9</v>
      </c>
      <c r="J52" s="5">
        <v>5629.1</v>
      </c>
      <c r="K52" s="5">
        <v>3385.2</v>
      </c>
      <c r="L52" s="5">
        <v>4978.8999999999996</v>
      </c>
      <c r="M52" s="5">
        <v>4383</v>
      </c>
      <c r="N52" s="5">
        <v>2518.6</v>
      </c>
      <c r="O52" s="5">
        <v>46129.599999999999</v>
      </c>
      <c r="P52" s="5">
        <v>2205.6</v>
      </c>
      <c r="Q52" s="5">
        <v>1388.6</v>
      </c>
      <c r="R52" s="5">
        <v>2230</v>
      </c>
      <c r="S52" s="5">
        <v>12448.8</v>
      </c>
      <c r="T52" s="5">
        <v>2732.3</v>
      </c>
      <c r="U52" s="5">
        <v>10358.5</v>
      </c>
      <c r="V52" s="7">
        <v>128026</v>
      </c>
    </row>
    <row r="53" spans="1:22" x14ac:dyDescent="0.25">
      <c r="A53" s="10">
        <f t="shared" si="1"/>
        <v>1968</v>
      </c>
      <c r="B53" s="5">
        <v>23150.6</v>
      </c>
      <c r="C53" s="5">
        <v>4388.8999999999996</v>
      </c>
      <c r="D53" s="5">
        <v>90741.2</v>
      </c>
      <c r="E53" s="5">
        <v>9514.7000000000007</v>
      </c>
      <c r="F53" s="5">
        <v>19766.8</v>
      </c>
      <c r="G53" s="5">
        <v>1739.7</v>
      </c>
      <c r="H53" s="5">
        <v>8509.5</v>
      </c>
      <c r="I53" s="5">
        <v>4157.2</v>
      </c>
      <c r="J53" s="5">
        <v>5799.7</v>
      </c>
      <c r="K53" s="5">
        <v>3480.8</v>
      </c>
      <c r="L53" s="5">
        <v>5118.1000000000004</v>
      </c>
      <c r="M53" s="5">
        <v>4465.3</v>
      </c>
      <c r="N53" s="5">
        <v>2593.1</v>
      </c>
      <c r="O53" s="5">
        <v>47668.3</v>
      </c>
      <c r="P53" s="5">
        <v>2275.8000000000002</v>
      </c>
      <c r="Q53" s="5">
        <v>1429.4</v>
      </c>
      <c r="R53" s="5">
        <v>2282.4</v>
      </c>
      <c r="S53" s="5">
        <v>12804</v>
      </c>
      <c r="T53" s="5">
        <v>2754.6</v>
      </c>
      <c r="U53" s="5">
        <v>10697.5</v>
      </c>
      <c r="V53" s="7">
        <v>128696</v>
      </c>
    </row>
    <row r="54" spans="1:22" x14ac:dyDescent="0.25">
      <c r="A54" s="10">
        <f t="shared" si="1"/>
        <v>1969</v>
      </c>
      <c r="B54" s="5">
        <v>23508.7</v>
      </c>
      <c r="C54" s="5">
        <v>4488.2</v>
      </c>
      <c r="D54" s="5">
        <v>93045.8</v>
      </c>
      <c r="E54" s="5">
        <v>9680.2999999999993</v>
      </c>
      <c r="F54" s="5">
        <v>20291.900000000001</v>
      </c>
      <c r="G54" s="5">
        <v>1789.3</v>
      </c>
      <c r="H54" s="5">
        <v>8666.6</v>
      </c>
      <c r="I54" s="5">
        <v>4277</v>
      </c>
      <c r="J54" s="5">
        <v>5975.2</v>
      </c>
      <c r="K54" s="5">
        <v>3576.5</v>
      </c>
      <c r="L54" s="5">
        <v>5257.1</v>
      </c>
      <c r="M54" s="5">
        <v>4549.3</v>
      </c>
      <c r="N54" s="5">
        <v>2670.3</v>
      </c>
      <c r="O54" s="5">
        <v>49233.2</v>
      </c>
      <c r="P54" s="5">
        <v>2348.4</v>
      </c>
      <c r="Q54" s="5">
        <v>1470.9</v>
      </c>
      <c r="R54" s="5">
        <v>2335</v>
      </c>
      <c r="S54" s="5">
        <v>13166.8</v>
      </c>
      <c r="T54" s="5">
        <v>2774</v>
      </c>
      <c r="U54" s="5">
        <v>11040.3</v>
      </c>
      <c r="V54" s="7">
        <v>129379</v>
      </c>
    </row>
    <row r="55" spans="1:22" x14ac:dyDescent="0.25">
      <c r="A55" s="10">
        <f t="shared" si="1"/>
        <v>1970</v>
      </c>
      <c r="B55" s="5">
        <v>23878.3</v>
      </c>
      <c r="C55" s="5">
        <v>4590</v>
      </c>
      <c r="D55" s="5">
        <v>95375.7</v>
      </c>
      <c r="E55" s="5">
        <v>9845.2999999999993</v>
      </c>
      <c r="F55" s="5">
        <v>20811.8</v>
      </c>
      <c r="G55" s="5">
        <v>1838.9</v>
      </c>
      <c r="H55" s="5">
        <v>8824.4</v>
      </c>
      <c r="I55" s="5">
        <v>4399.3</v>
      </c>
      <c r="J55" s="5">
        <v>6155.4</v>
      </c>
      <c r="K55" s="5">
        <v>3668.8</v>
      </c>
      <c r="L55" s="5">
        <v>5397</v>
      </c>
      <c r="M55" s="5">
        <v>4635.1000000000004</v>
      </c>
      <c r="N55" s="5">
        <v>2750.7</v>
      </c>
      <c r="O55" s="5">
        <v>50815</v>
      </c>
      <c r="P55" s="5">
        <v>2423.1</v>
      </c>
      <c r="Q55" s="5">
        <v>1513.1</v>
      </c>
      <c r="R55" s="5">
        <v>2388</v>
      </c>
      <c r="S55" s="5">
        <v>13501.2</v>
      </c>
      <c r="T55" s="5">
        <v>2790.8</v>
      </c>
      <c r="U55" s="5">
        <v>11387.8</v>
      </c>
      <c r="V55" s="7">
        <v>130079</v>
      </c>
    </row>
    <row r="56" spans="1:22" x14ac:dyDescent="0.25">
      <c r="A56" s="10">
        <f t="shared" si="1"/>
        <v>1971</v>
      </c>
      <c r="B56" s="5">
        <v>24257.200000000001</v>
      </c>
      <c r="C56" s="5">
        <v>4694.3</v>
      </c>
      <c r="D56" s="5">
        <v>97739.3</v>
      </c>
      <c r="E56" s="5">
        <v>10009.700000000001</v>
      </c>
      <c r="F56" s="5">
        <v>21319.1</v>
      </c>
      <c r="G56" s="5">
        <v>1888.5</v>
      </c>
      <c r="H56" s="5">
        <v>8979.1</v>
      </c>
      <c r="I56" s="5">
        <v>4524.2</v>
      </c>
      <c r="J56" s="5">
        <v>6340.1</v>
      </c>
      <c r="K56" s="5">
        <v>3757.5</v>
      </c>
      <c r="L56" s="5">
        <v>5538.4</v>
      </c>
      <c r="M56" s="5">
        <v>4723.2</v>
      </c>
      <c r="N56" s="5">
        <v>2834.6</v>
      </c>
      <c r="O56" s="5">
        <v>52412.6</v>
      </c>
      <c r="P56" s="5">
        <v>2499.8000000000002</v>
      </c>
      <c r="Q56" s="5">
        <v>1556.1</v>
      </c>
      <c r="R56" s="5">
        <v>2442.5</v>
      </c>
      <c r="S56" s="5">
        <v>13838.1</v>
      </c>
      <c r="T56" s="5">
        <v>2806.5</v>
      </c>
      <c r="U56" s="5">
        <v>11741</v>
      </c>
      <c r="V56" s="7">
        <v>130704</v>
      </c>
    </row>
    <row r="57" spans="1:22" x14ac:dyDescent="0.25">
      <c r="A57" s="10">
        <f t="shared" si="1"/>
        <v>1972</v>
      </c>
      <c r="B57" s="5">
        <v>24644.3</v>
      </c>
      <c r="C57" s="5">
        <v>4801</v>
      </c>
      <c r="D57" s="5">
        <v>100146.8</v>
      </c>
      <c r="E57" s="5">
        <v>10174.700000000001</v>
      </c>
      <c r="F57" s="5">
        <v>21819.599999999999</v>
      </c>
      <c r="G57" s="5">
        <v>1938.2</v>
      </c>
      <c r="H57" s="5">
        <v>9123.9</v>
      </c>
      <c r="I57" s="5">
        <v>4651.8999999999996</v>
      </c>
      <c r="J57" s="5">
        <v>6529</v>
      </c>
      <c r="K57" s="5">
        <v>3846.8</v>
      </c>
      <c r="L57" s="5">
        <v>5682.8</v>
      </c>
      <c r="M57" s="5">
        <v>4813.8999999999996</v>
      </c>
      <c r="N57" s="5">
        <v>2922.1</v>
      </c>
      <c r="O57" s="5">
        <v>54030.2</v>
      </c>
      <c r="P57" s="5">
        <v>2573.6</v>
      </c>
      <c r="Q57" s="5">
        <v>1599.7</v>
      </c>
      <c r="R57" s="5">
        <v>2499.9</v>
      </c>
      <c r="S57" s="5">
        <v>14210.1</v>
      </c>
      <c r="T57" s="5">
        <v>2821.6</v>
      </c>
      <c r="U57" s="5">
        <v>12099.2</v>
      </c>
      <c r="V57" s="7">
        <v>131445</v>
      </c>
    </row>
    <row r="58" spans="1:22" x14ac:dyDescent="0.25">
      <c r="A58" s="10">
        <f t="shared" si="1"/>
        <v>1973</v>
      </c>
      <c r="B58" s="5">
        <v>25046</v>
      </c>
      <c r="C58" s="5">
        <v>4910.2</v>
      </c>
      <c r="D58" s="5">
        <v>102601</v>
      </c>
      <c r="E58" s="5">
        <v>10340.4</v>
      </c>
      <c r="F58" s="5">
        <v>22325.4</v>
      </c>
      <c r="G58" s="5">
        <v>1988.3</v>
      </c>
      <c r="H58" s="5">
        <v>9255.2999999999993</v>
      </c>
      <c r="I58" s="5">
        <v>4782.2</v>
      </c>
      <c r="J58" s="5">
        <v>6722</v>
      </c>
      <c r="K58" s="5">
        <v>3938.1</v>
      </c>
      <c r="L58" s="5">
        <v>5831.6</v>
      </c>
      <c r="M58" s="5">
        <v>4906.7</v>
      </c>
      <c r="N58" s="5">
        <v>3011.5</v>
      </c>
      <c r="O58" s="5">
        <v>55667.3</v>
      </c>
      <c r="P58" s="5">
        <v>2649.3</v>
      </c>
      <c r="Q58" s="5">
        <v>1643.7</v>
      </c>
      <c r="R58" s="5">
        <v>2561.1</v>
      </c>
      <c r="S58" s="5">
        <v>14582.9</v>
      </c>
      <c r="T58" s="5">
        <v>2837.1</v>
      </c>
      <c r="U58" s="5">
        <v>12463.5</v>
      </c>
      <c r="V58" s="7">
        <v>132210</v>
      </c>
    </row>
    <row r="59" spans="1:22" x14ac:dyDescent="0.25">
      <c r="A59" s="10">
        <f t="shared" si="1"/>
        <v>1974</v>
      </c>
      <c r="B59" s="5">
        <v>25461.4</v>
      </c>
      <c r="C59" s="5">
        <v>5022.5</v>
      </c>
      <c r="D59" s="5">
        <v>105089.7</v>
      </c>
      <c r="E59" s="5">
        <v>10505.8</v>
      </c>
      <c r="F59" s="5">
        <v>22833.5</v>
      </c>
      <c r="G59" s="5">
        <v>2039.6</v>
      </c>
      <c r="H59" s="5">
        <v>9374.2000000000007</v>
      </c>
      <c r="I59" s="5">
        <v>4914.2</v>
      </c>
      <c r="J59" s="5">
        <v>6918.6</v>
      </c>
      <c r="K59" s="5">
        <v>4029.7</v>
      </c>
      <c r="L59" s="5">
        <v>5981.2</v>
      </c>
      <c r="M59" s="5">
        <v>5001.8</v>
      </c>
      <c r="N59" s="5">
        <v>3099.8</v>
      </c>
      <c r="O59" s="5">
        <v>57320.1</v>
      </c>
      <c r="P59" s="5">
        <v>2732.1</v>
      </c>
      <c r="Q59" s="5">
        <v>1687.9</v>
      </c>
      <c r="R59" s="5">
        <v>2625.6</v>
      </c>
      <c r="S59" s="5">
        <v>14956.6</v>
      </c>
      <c r="T59" s="5">
        <v>2853.9</v>
      </c>
      <c r="U59" s="5">
        <v>12835.4</v>
      </c>
      <c r="V59" s="7">
        <v>132941</v>
      </c>
    </row>
    <row r="60" spans="1:22" x14ac:dyDescent="0.25">
      <c r="A60" s="10">
        <f t="shared" si="1"/>
        <v>1975</v>
      </c>
      <c r="B60" s="5">
        <v>25874.1</v>
      </c>
      <c r="C60" s="5">
        <v>5137.5</v>
      </c>
      <c r="D60" s="5">
        <v>107619.6</v>
      </c>
      <c r="E60" s="5">
        <v>10671.6</v>
      </c>
      <c r="F60" s="5">
        <v>23344.6</v>
      </c>
      <c r="G60" s="5">
        <v>2092.6999999999998</v>
      </c>
      <c r="H60" s="5">
        <v>9479.7000000000007</v>
      </c>
      <c r="I60" s="5">
        <v>5046.8</v>
      </c>
      <c r="J60" s="5">
        <v>7118.3</v>
      </c>
      <c r="K60" s="5">
        <v>4120.3999999999996</v>
      </c>
      <c r="L60" s="5">
        <v>6128.7</v>
      </c>
      <c r="M60" s="5">
        <v>5099.1000000000004</v>
      </c>
      <c r="N60" s="5">
        <v>3193.2</v>
      </c>
      <c r="O60" s="5">
        <v>58982.400000000001</v>
      </c>
      <c r="P60" s="5">
        <v>2816.9</v>
      </c>
      <c r="Q60" s="5">
        <v>1732.4</v>
      </c>
      <c r="R60" s="5">
        <v>2691.6</v>
      </c>
      <c r="S60" s="5">
        <v>15334</v>
      </c>
      <c r="T60" s="5">
        <v>2872.3</v>
      </c>
      <c r="U60" s="5">
        <v>13215.9</v>
      </c>
      <c r="V60" s="7">
        <v>133775</v>
      </c>
    </row>
    <row r="61" spans="1:22" x14ac:dyDescent="0.25">
      <c r="A61" s="10">
        <f t="shared" si="1"/>
        <v>1976</v>
      </c>
      <c r="B61" s="5">
        <v>26282.3</v>
      </c>
      <c r="C61" s="5">
        <v>5256.5</v>
      </c>
      <c r="D61" s="5">
        <v>110213.3</v>
      </c>
      <c r="E61" s="5">
        <v>10838.3</v>
      </c>
      <c r="F61" s="5">
        <v>23858.799999999999</v>
      </c>
      <c r="G61" s="5">
        <v>2147.8000000000002</v>
      </c>
      <c r="H61" s="5">
        <v>9571.2000000000007</v>
      </c>
      <c r="I61" s="5">
        <v>5180.3999999999996</v>
      </c>
      <c r="J61" s="5">
        <v>7320.9</v>
      </c>
      <c r="K61" s="5">
        <v>4210.3</v>
      </c>
      <c r="L61" s="5">
        <v>6262.4</v>
      </c>
      <c r="M61" s="5">
        <v>5198.3999999999996</v>
      </c>
      <c r="N61" s="5">
        <v>3294.5</v>
      </c>
      <c r="O61" s="5">
        <v>60645.5</v>
      </c>
      <c r="P61" s="5">
        <v>2903.9</v>
      </c>
      <c r="Q61" s="5">
        <v>1776.9</v>
      </c>
      <c r="R61" s="5">
        <v>2758.8</v>
      </c>
      <c r="S61" s="5">
        <v>15716.8</v>
      </c>
      <c r="T61" s="5">
        <v>2891.4</v>
      </c>
      <c r="U61" s="5">
        <v>13606.3</v>
      </c>
      <c r="V61" s="7">
        <v>134690</v>
      </c>
    </row>
    <row r="62" spans="1:22" x14ac:dyDescent="0.25">
      <c r="A62" s="10">
        <f t="shared" si="1"/>
        <v>1977</v>
      </c>
      <c r="B62" s="5">
        <v>26701.8</v>
      </c>
      <c r="C62" s="5">
        <v>5379.2</v>
      </c>
      <c r="D62" s="5">
        <v>112875.3</v>
      </c>
      <c r="E62" s="5">
        <v>11005.5</v>
      </c>
      <c r="F62" s="5">
        <v>24393.5</v>
      </c>
      <c r="G62" s="5">
        <v>2205</v>
      </c>
      <c r="H62" s="5">
        <v>9648.4</v>
      </c>
      <c r="I62" s="5">
        <v>5315.4</v>
      </c>
      <c r="J62" s="5">
        <v>7526.8</v>
      </c>
      <c r="K62" s="5">
        <v>4301.3</v>
      </c>
      <c r="L62" s="5">
        <v>6401.5</v>
      </c>
      <c r="M62" s="5">
        <v>5299.5</v>
      </c>
      <c r="N62" s="5">
        <v>3398.7</v>
      </c>
      <c r="O62" s="5">
        <v>62308.5</v>
      </c>
      <c r="P62" s="5">
        <v>2992.5</v>
      </c>
      <c r="Q62" s="5">
        <v>1821.5</v>
      </c>
      <c r="R62" s="5">
        <v>2827.9</v>
      </c>
      <c r="S62" s="5">
        <v>16109.8</v>
      </c>
      <c r="T62" s="5">
        <v>2909.5</v>
      </c>
      <c r="U62" s="5">
        <v>14006.8</v>
      </c>
      <c r="V62" s="7">
        <v>135645</v>
      </c>
    </row>
    <row r="63" spans="1:22" x14ac:dyDescent="0.25">
      <c r="A63" s="10">
        <f t="shared" si="1"/>
        <v>1978</v>
      </c>
      <c r="B63" s="5">
        <v>27132.2</v>
      </c>
      <c r="C63" s="5">
        <v>5504.1</v>
      </c>
      <c r="D63" s="5">
        <v>115600.9</v>
      </c>
      <c r="E63" s="5">
        <v>11172.7</v>
      </c>
      <c r="F63" s="5">
        <v>24950.3</v>
      </c>
      <c r="G63" s="5">
        <v>2264.5</v>
      </c>
      <c r="H63" s="5">
        <v>9712</v>
      </c>
      <c r="I63" s="5">
        <v>5451.9</v>
      </c>
      <c r="J63" s="5">
        <v>7736.2</v>
      </c>
      <c r="K63" s="5">
        <v>4394.1000000000004</v>
      </c>
      <c r="L63" s="5">
        <v>6561.5</v>
      </c>
      <c r="M63" s="5">
        <v>5402.6</v>
      </c>
      <c r="N63" s="5">
        <v>3505.5</v>
      </c>
      <c r="O63" s="5">
        <v>63979</v>
      </c>
      <c r="P63" s="5">
        <v>3080.3</v>
      </c>
      <c r="Q63" s="5">
        <v>1866.3</v>
      </c>
      <c r="R63" s="5">
        <v>2899.3</v>
      </c>
      <c r="S63" s="5">
        <v>16516.099999999999</v>
      </c>
      <c r="T63" s="5">
        <v>2925.7</v>
      </c>
      <c r="U63" s="5">
        <v>14416.7</v>
      </c>
      <c r="V63" s="7">
        <v>136596</v>
      </c>
    </row>
    <row r="64" spans="1:22" x14ac:dyDescent="0.25">
      <c r="A64" s="10">
        <f t="shared" si="1"/>
        <v>1979</v>
      </c>
      <c r="B64" s="5">
        <v>27568.9</v>
      </c>
      <c r="C64" s="5">
        <v>5630.8</v>
      </c>
      <c r="D64" s="5">
        <v>118380.8</v>
      </c>
      <c r="E64" s="5">
        <v>11339.8</v>
      </c>
      <c r="F64" s="5">
        <v>25515.599999999999</v>
      </c>
      <c r="G64" s="5">
        <v>2326.5</v>
      </c>
      <c r="H64" s="5">
        <v>9763.4</v>
      </c>
      <c r="I64" s="5">
        <v>5589.7</v>
      </c>
      <c r="J64" s="5">
        <v>7948.9</v>
      </c>
      <c r="K64" s="5">
        <v>4480.3999999999996</v>
      </c>
      <c r="L64" s="5">
        <v>6727.8</v>
      </c>
      <c r="M64" s="5">
        <v>5507.6</v>
      </c>
      <c r="N64" s="5">
        <v>3615</v>
      </c>
      <c r="O64" s="5">
        <v>65648.899999999994</v>
      </c>
      <c r="P64" s="5">
        <v>3164.5</v>
      </c>
      <c r="Q64" s="5">
        <v>1911.6</v>
      </c>
      <c r="R64" s="5">
        <v>2974</v>
      </c>
      <c r="S64" s="5">
        <v>16933.099999999999</v>
      </c>
      <c r="T64" s="5">
        <v>2939.9</v>
      </c>
      <c r="U64" s="5">
        <v>14834.6</v>
      </c>
      <c r="V64" s="7">
        <v>137551</v>
      </c>
    </row>
    <row r="65" spans="1:22" x14ac:dyDescent="0.25">
      <c r="A65" s="10">
        <f t="shared" si="1"/>
        <v>1980</v>
      </c>
      <c r="B65" s="5">
        <v>28011.599999999999</v>
      </c>
      <c r="C65" s="5">
        <v>5758.9</v>
      </c>
      <c r="D65" s="5">
        <v>121207.5</v>
      </c>
      <c r="E65" s="5">
        <v>11508.6</v>
      </c>
      <c r="F65" s="5">
        <v>26104.5</v>
      </c>
      <c r="G65" s="5">
        <v>2390.6</v>
      </c>
      <c r="H65" s="5">
        <v>9804.7999999999993</v>
      </c>
      <c r="I65" s="5">
        <v>5729</v>
      </c>
      <c r="J65" s="5">
        <v>8165.9</v>
      </c>
      <c r="K65" s="5">
        <v>4540.3999999999996</v>
      </c>
      <c r="L65" s="5">
        <v>6900.2</v>
      </c>
      <c r="M65" s="5">
        <v>5614.5</v>
      </c>
      <c r="N65" s="5">
        <v>3727.2</v>
      </c>
      <c r="O65" s="5">
        <v>67300.3</v>
      </c>
      <c r="P65" s="5">
        <v>3252.4</v>
      </c>
      <c r="Q65" s="5">
        <v>1957.5</v>
      </c>
      <c r="R65" s="5">
        <v>3053.2</v>
      </c>
      <c r="S65" s="5">
        <v>17360.900000000001</v>
      </c>
      <c r="T65" s="5">
        <v>2952</v>
      </c>
      <c r="U65" s="5">
        <v>15258.2</v>
      </c>
      <c r="V65" s="7">
        <v>138291</v>
      </c>
    </row>
    <row r="66" spans="1:22" x14ac:dyDescent="0.25">
      <c r="A66" s="10">
        <f t="shared" si="1"/>
        <v>1981</v>
      </c>
      <c r="B66" s="5">
        <v>28464</v>
      </c>
      <c r="C66" s="5">
        <v>5888.1</v>
      </c>
      <c r="D66" s="5">
        <v>124063.1</v>
      </c>
      <c r="E66" s="5">
        <v>11678.7</v>
      </c>
      <c r="F66" s="5">
        <v>26713.3</v>
      </c>
      <c r="G66" s="5">
        <v>2456.6</v>
      </c>
      <c r="H66" s="5">
        <v>9849.2999999999993</v>
      </c>
      <c r="I66" s="5">
        <v>5868.5</v>
      </c>
      <c r="J66" s="5">
        <v>8386.9</v>
      </c>
      <c r="K66" s="5">
        <v>4570.6000000000004</v>
      </c>
      <c r="L66" s="5">
        <v>7075.6</v>
      </c>
      <c r="M66" s="5">
        <v>5723.7</v>
      </c>
      <c r="N66" s="5">
        <v>3841.8</v>
      </c>
      <c r="O66" s="5">
        <v>68892.100000000006</v>
      </c>
      <c r="P66" s="5">
        <v>3345.7</v>
      </c>
      <c r="Q66" s="5">
        <v>2004.4</v>
      </c>
      <c r="R66" s="5">
        <v>3137.6</v>
      </c>
      <c r="S66" s="5">
        <v>17798.8</v>
      </c>
      <c r="T66" s="5">
        <v>2963.2</v>
      </c>
      <c r="U66" s="5">
        <v>15687.3</v>
      </c>
      <c r="V66" s="7">
        <v>139028</v>
      </c>
    </row>
    <row r="67" spans="1:22" x14ac:dyDescent="0.25">
      <c r="A67" s="10">
        <f t="shared" si="1"/>
        <v>1982</v>
      </c>
      <c r="B67" s="5">
        <v>28924.3</v>
      </c>
      <c r="C67" s="5">
        <v>6018.1</v>
      </c>
      <c r="D67" s="5">
        <v>126923.2</v>
      </c>
      <c r="E67" s="5">
        <v>11850.2</v>
      </c>
      <c r="F67" s="5">
        <v>27338.3</v>
      </c>
      <c r="G67" s="5">
        <v>2524.8000000000002</v>
      </c>
      <c r="H67" s="5">
        <v>9912.7000000000007</v>
      </c>
      <c r="I67" s="5">
        <v>6007.1</v>
      </c>
      <c r="J67" s="5">
        <v>8611.2999999999993</v>
      </c>
      <c r="K67" s="5">
        <v>4622.5</v>
      </c>
      <c r="L67" s="5">
        <v>7240.2</v>
      </c>
      <c r="M67" s="5">
        <v>5835.9</v>
      </c>
      <c r="N67" s="5">
        <v>3958.7</v>
      </c>
      <c r="O67" s="5">
        <v>70433.3</v>
      </c>
      <c r="P67" s="5">
        <v>3438.7</v>
      </c>
      <c r="Q67" s="5">
        <v>2052.3000000000002</v>
      </c>
      <c r="R67" s="5">
        <v>3226.2</v>
      </c>
      <c r="S67" s="5">
        <v>18246.5</v>
      </c>
      <c r="T67" s="5">
        <v>2975.5</v>
      </c>
      <c r="U67" s="5">
        <v>16121.9</v>
      </c>
      <c r="V67" s="7">
        <v>139816</v>
      </c>
    </row>
    <row r="68" spans="1:22" x14ac:dyDescent="0.25">
      <c r="A68" s="10">
        <f t="shared" si="1"/>
        <v>1983</v>
      </c>
      <c r="B68" s="5">
        <v>29391.3</v>
      </c>
      <c r="C68" s="5">
        <v>6149.1</v>
      </c>
      <c r="D68" s="5">
        <v>129790.1</v>
      </c>
      <c r="E68" s="5">
        <v>12026.1</v>
      </c>
      <c r="F68" s="5">
        <v>27988.2</v>
      </c>
      <c r="G68" s="5">
        <v>2595.1999999999998</v>
      </c>
      <c r="H68" s="5">
        <v>9991</v>
      </c>
      <c r="I68" s="5">
        <v>6147.2</v>
      </c>
      <c r="J68" s="5">
        <v>8840.4</v>
      </c>
      <c r="K68" s="5">
        <v>4707.3999999999996</v>
      </c>
      <c r="L68" s="5">
        <v>7419.6</v>
      </c>
      <c r="M68" s="5">
        <v>5951.1</v>
      </c>
      <c r="N68" s="5">
        <v>4078.2</v>
      </c>
      <c r="O68" s="5">
        <v>71971.199999999997</v>
      </c>
      <c r="P68" s="5">
        <v>3530.3</v>
      </c>
      <c r="Q68" s="5">
        <v>2101.1</v>
      </c>
      <c r="R68" s="5">
        <v>3318.1</v>
      </c>
      <c r="S68" s="5">
        <v>18706</v>
      </c>
      <c r="T68" s="5">
        <v>2988.8</v>
      </c>
      <c r="U68" s="5">
        <v>16562.2</v>
      </c>
      <c r="V68" s="7">
        <v>140766</v>
      </c>
    </row>
    <row r="69" spans="1:22" x14ac:dyDescent="0.25">
      <c r="A69" s="10">
        <f t="shared" si="1"/>
        <v>1984</v>
      </c>
      <c r="B69" s="5">
        <v>29863.1</v>
      </c>
      <c r="C69" s="5">
        <v>6281.9</v>
      </c>
      <c r="D69" s="5">
        <v>132658.9</v>
      </c>
      <c r="E69" s="5">
        <v>12207.7</v>
      </c>
      <c r="F69" s="5">
        <v>28642.7</v>
      </c>
      <c r="G69" s="5">
        <v>2667.6</v>
      </c>
      <c r="H69" s="5">
        <v>10073.299999999999</v>
      </c>
      <c r="I69" s="5">
        <v>6289</v>
      </c>
      <c r="J69" s="5">
        <v>9074.7999999999993</v>
      </c>
      <c r="K69" s="5">
        <v>4798</v>
      </c>
      <c r="L69" s="5">
        <v>7630.7</v>
      </c>
      <c r="M69" s="5">
        <v>6069.2</v>
      </c>
      <c r="N69" s="5">
        <v>4199.8999999999996</v>
      </c>
      <c r="O69" s="5">
        <v>73506.8</v>
      </c>
      <c r="P69" s="5">
        <v>3619.1</v>
      </c>
      <c r="Q69" s="5">
        <v>2150.8000000000002</v>
      </c>
      <c r="R69" s="5">
        <v>3412.9</v>
      </c>
      <c r="S69" s="5">
        <v>19174.7</v>
      </c>
      <c r="T69" s="5">
        <v>3002.5</v>
      </c>
      <c r="U69" s="5">
        <v>17008.8</v>
      </c>
      <c r="V69" s="7">
        <v>141842</v>
      </c>
    </row>
    <row r="70" spans="1:22" x14ac:dyDescent="0.25">
      <c r="A70" s="10">
        <f t="shared" si="1"/>
        <v>1985</v>
      </c>
      <c r="B70" s="5">
        <v>30336.400000000001</v>
      </c>
      <c r="C70" s="5">
        <v>6416.2</v>
      </c>
      <c r="D70" s="5">
        <v>135515.6</v>
      </c>
      <c r="E70" s="5">
        <v>12395.3</v>
      </c>
      <c r="F70" s="5">
        <v>29268.5</v>
      </c>
      <c r="G70" s="5">
        <v>2741.9</v>
      </c>
      <c r="H70" s="5">
        <v>10157.200000000001</v>
      </c>
      <c r="I70" s="5">
        <v>6430.4</v>
      </c>
      <c r="J70" s="5">
        <v>9311.2000000000007</v>
      </c>
      <c r="K70" s="5">
        <v>4894.7</v>
      </c>
      <c r="L70" s="5">
        <v>7849.7</v>
      </c>
      <c r="M70" s="5">
        <v>6190.9</v>
      </c>
      <c r="N70" s="5">
        <v>4323.3</v>
      </c>
      <c r="O70" s="5">
        <v>75043.399999999994</v>
      </c>
      <c r="P70" s="5">
        <v>3706.5</v>
      </c>
      <c r="Q70" s="5">
        <v>2200.9</v>
      </c>
      <c r="R70" s="5">
        <v>3510.7</v>
      </c>
      <c r="S70" s="5">
        <v>19648.2</v>
      </c>
      <c r="T70" s="5">
        <v>3017</v>
      </c>
      <c r="U70" s="5">
        <v>17461.400000000001</v>
      </c>
      <c r="V70" s="7">
        <v>142823</v>
      </c>
    </row>
    <row r="71" spans="1:22" x14ac:dyDescent="0.25">
      <c r="A71" s="10">
        <f t="shared" si="1"/>
        <v>1986</v>
      </c>
      <c r="B71" s="5">
        <v>30812</v>
      </c>
      <c r="C71" s="5">
        <v>6552.5</v>
      </c>
      <c r="D71" s="5">
        <v>138336.4</v>
      </c>
      <c r="E71" s="5">
        <v>12588.9</v>
      </c>
      <c r="F71" s="5">
        <v>29879.1</v>
      </c>
      <c r="G71" s="5">
        <v>2817.2</v>
      </c>
      <c r="H71" s="5">
        <v>10244.200000000001</v>
      </c>
      <c r="I71" s="5">
        <v>6571.2</v>
      </c>
      <c r="J71" s="5">
        <v>9546</v>
      </c>
      <c r="K71" s="5">
        <v>4992.8</v>
      </c>
      <c r="L71" s="5">
        <v>8070.8</v>
      </c>
      <c r="M71" s="5">
        <v>6316.1</v>
      </c>
      <c r="N71" s="5">
        <v>4448.8999999999996</v>
      </c>
      <c r="O71" s="5">
        <v>76585.600000000006</v>
      </c>
      <c r="P71" s="5">
        <v>3794.2</v>
      </c>
      <c r="Q71" s="5">
        <v>2251.3000000000002</v>
      </c>
      <c r="R71" s="5">
        <v>3611.5</v>
      </c>
      <c r="S71" s="5">
        <v>20117.099999999999</v>
      </c>
      <c r="T71" s="5">
        <v>3032.8</v>
      </c>
      <c r="U71" s="5">
        <v>17923.5</v>
      </c>
      <c r="V71" s="7">
        <v>143835</v>
      </c>
    </row>
    <row r="72" spans="1:22" x14ac:dyDescent="0.25">
      <c r="A72" s="10">
        <f t="shared" si="1"/>
        <v>1987</v>
      </c>
      <c r="B72" s="5">
        <v>31291.8</v>
      </c>
      <c r="C72" s="5">
        <v>6692.2</v>
      </c>
      <c r="D72" s="5">
        <v>141104.9</v>
      </c>
      <c r="E72" s="5">
        <v>12790.2</v>
      </c>
      <c r="F72" s="5">
        <v>30499.5</v>
      </c>
      <c r="G72" s="5">
        <v>2892.7</v>
      </c>
      <c r="H72" s="5">
        <v>10335.299999999999</v>
      </c>
      <c r="I72" s="5">
        <v>6712.5</v>
      </c>
      <c r="J72" s="5">
        <v>9779.2999999999993</v>
      </c>
      <c r="K72" s="5">
        <v>5092.3999999999996</v>
      </c>
      <c r="L72" s="5">
        <v>8296.5</v>
      </c>
      <c r="M72" s="5">
        <v>6445.1</v>
      </c>
      <c r="N72" s="5">
        <v>4576.8999999999996</v>
      </c>
      <c r="O72" s="5">
        <v>78136.7</v>
      </c>
      <c r="P72" s="5">
        <v>3882.2</v>
      </c>
      <c r="Q72" s="5">
        <v>2302</v>
      </c>
      <c r="R72" s="5">
        <v>3714.9</v>
      </c>
      <c r="S72" s="5">
        <v>20582.3</v>
      </c>
      <c r="T72" s="5">
        <v>3049.9</v>
      </c>
      <c r="U72" s="5">
        <v>18395</v>
      </c>
      <c r="V72" s="7">
        <v>145115</v>
      </c>
    </row>
    <row r="73" spans="1:22" x14ac:dyDescent="0.25">
      <c r="A73" s="10">
        <f t="shared" si="1"/>
        <v>1988</v>
      </c>
      <c r="B73" s="5">
        <v>31780.5</v>
      </c>
      <c r="C73" s="5">
        <v>6835.5</v>
      </c>
      <c r="D73" s="5">
        <v>143826.4</v>
      </c>
      <c r="E73" s="5">
        <v>12999.4</v>
      </c>
      <c r="F73" s="5">
        <v>31130.5</v>
      </c>
      <c r="G73" s="5">
        <v>2968.1</v>
      </c>
      <c r="H73" s="5">
        <v>10432.6</v>
      </c>
      <c r="I73" s="5">
        <v>6855.7</v>
      </c>
      <c r="J73" s="5">
        <v>10010.799999999999</v>
      </c>
      <c r="K73" s="5">
        <v>5195.8</v>
      </c>
      <c r="L73" s="5">
        <v>8532.1</v>
      </c>
      <c r="M73" s="5">
        <v>6578.1</v>
      </c>
      <c r="N73" s="5">
        <v>4707.7</v>
      </c>
      <c r="O73" s="5">
        <v>79695.5</v>
      </c>
      <c r="P73" s="5">
        <v>3972.3</v>
      </c>
      <c r="Q73" s="5">
        <v>2352.8000000000002</v>
      </c>
      <c r="R73" s="5">
        <v>3820.5</v>
      </c>
      <c r="S73" s="5">
        <v>21054.7</v>
      </c>
      <c r="T73" s="5">
        <v>3068</v>
      </c>
      <c r="U73" s="5">
        <v>18871</v>
      </c>
      <c r="V73" s="7">
        <v>146343</v>
      </c>
    </row>
    <row r="74" spans="1:22" x14ac:dyDescent="0.25">
      <c r="A74" s="10">
        <f t="shared" si="1"/>
        <v>1989</v>
      </c>
      <c r="B74" s="5">
        <v>32270.9</v>
      </c>
      <c r="C74" s="5">
        <v>6981.8</v>
      </c>
      <c r="D74" s="5">
        <v>146503</v>
      </c>
      <c r="E74" s="5">
        <v>13215</v>
      </c>
      <c r="F74" s="5">
        <v>31776.3</v>
      </c>
      <c r="G74" s="5">
        <v>3043.8</v>
      </c>
      <c r="H74" s="5">
        <v>10533.2</v>
      </c>
      <c r="I74" s="5">
        <v>7002.3</v>
      </c>
      <c r="J74" s="5">
        <v>10241.9</v>
      </c>
      <c r="K74" s="5">
        <v>5299</v>
      </c>
      <c r="L74" s="5">
        <v>8775.5</v>
      </c>
      <c r="M74" s="5">
        <v>6714.7</v>
      </c>
      <c r="N74" s="5">
        <v>4841.8</v>
      </c>
      <c r="O74" s="5">
        <v>81247.199999999997</v>
      </c>
      <c r="P74" s="5">
        <v>4066.5</v>
      </c>
      <c r="Q74" s="5">
        <v>2403.8000000000002</v>
      </c>
      <c r="R74" s="5">
        <v>3927.8</v>
      </c>
      <c r="S74" s="5">
        <v>21532.6</v>
      </c>
      <c r="T74" s="5">
        <v>3086.3</v>
      </c>
      <c r="U74" s="5">
        <v>19348.900000000001</v>
      </c>
      <c r="V74" s="7">
        <v>147021.9</v>
      </c>
    </row>
    <row r="75" spans="1:22" x14ac:dyDescent="0.25">
      <c r="A75" s="10">
        <f t="shared" si="1"/>
        <v>1990</v>
      </c>
      <c r="B75" s="5">
        <v>32755.9</v>
      </c>
      <c r="C75" s="5">
        <v>7130.1</v>
      </c>
      <c r="D75" s="5">
        <v>149143.20000000001</v>
      </c>
      <c r="E75" s="5">
        <v>13437.2</v>
      </c>
      <c r="F75" s="5">
        <v>32440.1</v>
      </c>
      <c r="G75" s="5">
        <v>3121.7</v>
      </c>
      <c r="H75" s="5">
        <v>10631.8</v>
      </c>
      <c r="I75" s="5">
        <v>7151.2</v>
      </c>
      <c r="J75" s="5">
        <v>10473.700000000001</v>
      </c>
      <c r="K75" s="5">
        <v>5399.7</v>
      </c>
      <c r="L75" s="5">
        <v>9024.7999999999993</v>
      </c>
      <c r="M75" s="5">
        <v>6854.4</v>
      </c>
      <c r="N75" s="5">
        <v>4980.5</v>
      </c>
      <c r="O75" s="5">
        <v>82820.2</v>
      </c>
      <c r="P75" s="5">
        <v>4162.6000000000004</v>
      </c>
      <c r="Q75" s="5">
        <v>2455.6</v>
      </c>
      <c r="R75" s="5">
        <v>4035.7</v>
      </c>
      <c r="S75" s="5">
        <v>22014.799999999999</v>
      </c>
      <c r="T75" s="5">
        <v>3104.4</v>
      </c>
      <c r="U75" s="5">
        <v>19827</v>
      </c>
      <c r="V75" s="7">
        <v>147665.1</v>
      </c>
    </row>
    <row r="76" spans="1:22" x14ac:dyDescent="0.25">
      <c r="A76" s="10">
        <f t="shared" si="1"/>
        <v>1991</v>
      </c>
      <c r="B76" s="5">
        <v>33230.300000000003</v>
      </c>
      <c r="C76" s="5">
        <v>7280.3</v>
      </c>
      <c r="D76" s="5">
        <v>151724.29999999999</v>
      </c>
      <c r="E76" s="5">
        <v>13662.5</v>
      </c>
      <c r="F76" s="5">
        <v>33098.400000000001</v>
      </c>
      <c r="G76" s="5">
        <v>3202.2</v>
      </c>
      <c r="H76" s="5">
        <v>10717.6</v>
      </c>
      <c r="I76" s="5">
        <v>7299.9</v>
      </c>
      <c r="J76" s="5">
        <v>10702.4</v>
      </c>
      <c r="K76" s="5">
        <v>5495.1</v>
      </c>
      <c r="L76" s="5">
        <v>9272.6</v>
      </c>
      <c r="M76" s="5">
        <v>6995.5</v>
      </c>
      <c r="N76" s="5">
        <v>5123.8</v>
      </c>
      <c r="O76" s="5">
        <v>84430.6</v>
      </c>
      <c r="P76" s="5">
        <v>4259.6000000000004</v>
      </c>
      <c r="Q76" s="5">
        <v>2508.3000000000002</v>
      </c>
      <c r="R76" s="5">
        <v>4144.3999999999996</v>
      </c>
      <c r="S76" s="5">
        <v>22483.8</v>
      </c>
      <c r="T76" s="5">
        <v>3122.4</v>
      </c>
      <c r="U76" s="5">
        <v>20304.900000000001</v>
      </c>
      <c r="V76" s="7">
        <v>148273.70000000001</v>
      </c>
    </row>
    <row r="77" spans="1:22" x14ac:dyDescent="0.25">
      <c r="A77" s="10">
        <f t="shared" si="1"/>
        <v>1992</v>
      </c>
      <c r="B77" s="5">
        <v>33693.5</v>
      </c>
      <c r="C77" s="5">
        <v>7430.3</v>
      </c>
      <c r="D77" s="5">
        <v>154275.1</v>
      </c>
      <c r="E77" s="5">
        <v>13884.6</v>
      </c>
      <c r="F77" s="5">
        <v>33760.6</v>
      </c>
      <c r="G77" s="5">
        <v>3284.3</v>
      </c>
      <c r="H77" s="5">
        <v>10785.8</v>
      </c>
      <c r="I77" s="5">
        <v>7447.5</v>
      </c>
      <c r="J77" s="5">
        <v>10930.1</v>
      </c>
      <c r="K77" s="5">
        <v>5585.6</v>
      </c>
      <c r="L77" s="5">
        <v>9522.2999999999993</v>
      </c>
      <c r="M77" s="5">
        <v>7136.6</v>
      </c>
      <c r="N77" s="5">
        <v>5271.4</v>
      </c>
      <c r="O77" s="5">
        <v>86044.800000000003</v>
      </c>
      <c r="P77" s="5">
        <v>4357</v>
      </c>
      <c r="Q77" s="5">
        <v>2561.3000000000002</v>
      </c>
      <c r="R77" s="5">
        <v>4253.6000000000004</v>
      </c>
      <c r="S77" s="5">
        <v>22946.3</v>
      </c>
      <c r="T77" s="5">
        <v>3139.7</v>
      </c>
      <c r="U77" s="5">
        <v>20780.900000000001</v>
      </c>
      <c r="V77" s="7">
        <v>148514.70000000001</v>
      </c>
    </row>
    <row r="78" spans="1:22" x14ac:dyDescent="0.25">
      <c r="A78" s="10">
        <f t="shared" si="1"/>
        <v>1993</v>
      </c>
      <c r="B78" s="5">
        <v>34152.699999999997</v>
      </c>
      <c r="C78" s="5">
        <v>7579.2</v>
      </c>
      <c r="D78" s="5">
        <v>156794.6</v>
      </c>
      <c r="E78" s="5">
        <v>14102.3</v>
      </c>
      <c r="F78" s="5">
        <v>34441.5</v>
      </c>
      <c r="G78" s="5">
        <v>3367.4</v>
      </c>
      <c r="H78" s="5">
        <v>10841</v>
      </c>
      <c r="I78" s="5">
        <v>7594.6</v>
      </c>
      <c r="J78" s="5">
        <v>11154.3</v>
      </c>
      <c r="K78" s="5">
        <v>5660</v>
      </c>
      <c r="L78" s="5">
        <v>9779.7999999999993</v>
      </c>
      <c r="M78" s="5">
        <v>7278.2</v>
      </c>
      <c r="N78" s="5">
        <v>5423.2</v>
      </c>
      <c r="O78" s="5">
        <v>87653.8</v>
      </c>
      <c r="P78" s="5">
        <v>4453.7</v>
      </c>
      <c r="Q78" s="5">
        <v>2615.1</v>
      </c>
      <c r="R78" s="5">
        <v>4362.7</v>
      </c>
      <c r="S78" s="5">
        <v>23413.8</v>
      </c>
      <c r="T78" s="5">
        <v>3156.3</v>
      </c>
      <c r="U78" s="5">
        <v>21254.5</v>
      </c>
      <c r="V78" s="7">
        <v>148561.70000000001</v>
      </c>
    </row>
    <row r="79" spans="1:22" x14ac:dyDescent="0.25">
      <c r="A79" s="10">
        <f t="shared" si="1"/>
        <v>1994</v>
      </c>
      <c r="B79" s="5">
        <v>34613.5</v>
      </c>
      <c r="C79" s="5">
        <v>7727.3</v>
      </c>
      <c r="D79" s="5">
        <v>159265</v>
      </c>
      <c r="E79" s="5">
        <v>14316.3</v>
      </c>
      <c r="F79" s="5">
        <v>35127.4</v>
      </c>
      <c r="G79" s="5">
        <v>3451.1</v>
      </c>
      <c r="H79" s="5">
        <v>10886</v>
      </c>
      <c r="I79" s="5">
        <v>7741.7</v>
      </c>
      <c r="J79" s="5">
        <v>11372.2</v>
      </c>
      <c r="K79" s="5">
        <v>5714.1</v>
      </c>
      <c r="L79" s="5">
        <v>10043.700000000001</v>
      </c>
      <c r="M79" s="5">
        <v>7419.8</v>
      </c>
      <c r="N79" s="5">
        <v>5579.2</v>
      </c>
      <c r="O79" s="5">
        <v>89259.199999999997</v>
      </c>
      <c r="P79" s="5">
        <v>4549.3</v>
      </c>
      <c r="Q79" s="5">
        <v>2669.5</v>
      </c>
      <c r="R79" s="5">
        <v>4471.3999999999996</v>
      </c>
      <c r="S79" s="5">
        <v>23881.5</v>
      </c>
      <c r="T79" s="5">
        <v>3172.8</v>
      </c>
      <c r="U79" s="5">
        <v>21725.200000000001</v>
      </c>
      <c r="V79" s="7">
        <v>148355.9</v>
      </c>
    </row>
    <row r="80" spans="1:22" x14ac:dyDescent="0.25">
      <c r="A80" s="10">
        <f t="shared" si="1"/>
        <v>1995</v>
      </c>
      <c r="B80" s="5">
        <v>35070</v>
      </c>
      <c r="C80" s="5">
        <v>7874.7</v>
      </c>
      <c r="D80" s="5">
        <v>161735.1</v>
      </c>
      <c r="E80" s="5">
        <v>14527.4</v>
      </c>
      <c r="F80" s="5">
        <v>35804.699999999997</v>
      </c>
      <c r="G80" s="5">
        <v>3535.2</v>
      </c>
      <c r="H80" s="5">
        <v>10925.4</v>
      </c>
      <c r="I80" s="5">
        <v>7888.1</v>
      </c>
      <c r="J80" s="5">
        <v>11590.5</v>
      </c>
      <c r="K80" s="5">
        <v>5762.1</v>
      </c>
      <c r="L80" s="5">
        <v>10313</v>
      </c>
      <c r="M80" s="5">
        <v>7562.5</v>
      </c>
      <c r="N80" s="5">
        <v>5739.6</v>
      </c>
      <c r="O80" s="5">
        <v>90862.5</v>
      </c>
      <c r="P80" s="5">
        <v>4642.8999999999996</v>
      </c>
      <c r="Q80" s="5">
        <v>2724.6</v>
      </c>
      <c r="R80" s="5">
        <v>4579.8</v>
      </c>
      <c r="S80" s="5">
        <v>24348.9</v>
      </c>
      <c r="T80" s="5">
        <v>3189.4</v>
      </c>
      <c r="U80" s="5">
        <v>22193.8</v>
      </c>
      <c r="V80" s="7">
        <v>148459.9</v>
      </c>
    </row>
    <row r="81" spans="1:22" x14ac:dyDescent="0.25">
      <c r="A81" s="10">
        <f t="shared" si="1"/>
        <v>1996</v>
      </c>
      <c r="B81" s="5">
        <v>35513.800000000003</v>
      </c>
      <c r="C81" s="5">
        <v>8021.7</v>
      </c>
      <c r="D81" s="5">
        <v>164202.5</v>
      </c>
      <c r="E81" s="5">
        <v>14734</v>
      </c>
      <c r="F81" s="5">
        <v>36462.699999999997</v>
      </c>
      <c r="G81" s="5">
        <v>3619</v>
      </c>
      <c r="H81" s="5">
        <v>10962</v>
      </c>
      <c r="I81" s="5">
        <v>8032.9</v>
      </c>
      <c r="J81" s="5">
        <v>11811</v>
      </c>
      <c r="K81" s="5">
        <v>5805.3</v>
      </c>
      <c r="L81" s="5">
        <v>10583.5</v>
      </c>
      <c r="M81" s="5">
        <v>7707.6</v>
      </c>
      <c r="N81" s="5">
        <v>5904</v>
      </c>
      <c r="O81" s="5">
        <v>92452.7</v>
      </c>
      <c r="P81" s="5">
        <v>4730</v>
      </c>
      <c r="Q81" s="5">
        <v>2780.2</v>
      </c>
      <c r="R81" s="5">
        <v>4687.5</v>
      </c>
      <c r="S81" s="5">
        <v>24811.200000000001</v>
      </c>
      <c r="T81" s="5">
        <v>3206.3</v>
      </c>
      <c r="U81" s="5">
        <v>22662.1</v>
      </c>
      <c r="V81" s="7">
        <v>148291.6</v>
      </c>
    </row>
    <row r="82" spans="1:22" x14ac:dyDescent="0.25">
      <c r="A82" s="10">
        <f t="shared" si="1"/>
        <v>1997</v>
      </c>
      <c r="B82" s="5">
        <v>35947.800000000003</v>
      </c>
      <c r="C82" s="5">
        <v>8167.9</v>
      </c>
      <c r="D82" s="5">
        <v>166661.70000000001</v>
      </c>
      <c r="E82" s="5">
        <v>14932.4</v>
      </c>
      <c r="F82" s="5">
        <v>37121.1</v>
      </c>
      <c r="G82" s="5">
        <v>3701.7</v>
      </c>
      <c r="H82" s="5">
        <v>10997.9</v>
      </c>
      <c r="I82" s="5">
        <v>8174.1</v>
      </c>
      <c r="J82" s="5">
        <v>12031.1</v>
      </c>
      <c r="K82" s="5">
        <v>5844.6</v>
      </c>
      <c r="L82" s="5">
        <v>10857.8</v>
      </c>
      <c r="M82" s="5">
        <v>7854.3</v>
      </c>
      <c r="N82" s="5">
        <v>6071.5</v>
      </c>
      <c r="O82" s="5">
        <v>94021.2</v>
      </c>
      <c r="P82" s="5">
        <v>4809.6000000000004</v>
      </c>
      <c r="Q82" s="5">
        <v>2836.7</v>
      </c>
      <c r="R82" s="5">
        <v>4794.3999999999996</v>
      </c>
      <c r="S82" s="5">
        <v>25274.1</v>
      </c>
      <c r="T82" s="5">
        <v>3223.3</v>
      </c>
      <c r="U82" s="5">
        <v>23131.7</v>
      </c>
      <c r="V82" s="7">
        <v>148028.6</v>
      </c>
    </row>
    <row r="83" spans="1:22" x14ac:dyDescent="0.25">
      <c r="A83" s="10">
        <f t="shared" si="1"/>
        <v>1998</v>
      </c>
      <c r="B83" s="5">
        <v>36372.9</v>
      </c>
      <c r="C83" s="5">
        <v>8313.4</v>
      </c>
      <c r="D83" s="5">
        <v>169159.7</v>
      </c>
      <c r="E83" s="5">
        <v>15127.8</v>
      </c>
      <c r="F83" s="5">
        <v>37792.199999999997</v>
      </c>
      <c r="G83" s="5">
        <v>3782.8</v>
      </c>
      <c r="H83" s="5">
        <v>11034.7</v>
      </c>
      <c r="I83" s="5">
        <v>8310.4</v>
      </c>
      <c r="J83" s="5">
        <v>12251.2</v>
      </c>
      <c r="K83" s="5">
        <v>5880.8</v>
      </c>
      <c r="L83" s="5">
        <v>11139.1</v>
      </c>
      <c r="M83" s="5">
        <v>8002.1</v>
      </c>
      <c r="N83" s="5">
        <v>6234.4</v>
      </c>
      <c r="O83" s="5">
        <v>95575.2</v>
      </c>
      <c r="P83" s="5">
        <v>4883.7</v>
      </c>
      <c r="Q83" s="5">
        <v>2893.9</v>
      </c>
      <c r="R83" s="5">
        <v>4900</v>
      </c>
      <c r="S83" s="5">
        <v>25738.1</v>
      </c>
      <c r="T83" s="5">
        <v>3239.3</v>
      </c>
      <c r="U83" s="5">
        <v>23601.3</v>
      </c>
      <c r="V83" s="7">
        <v>147802.1</v>
      </c>
    </row>
    <row r="84" spans="1:22" x14ac:dyDescent="0.25">
      <c r="A84" s="10">
        <f t="shared" si="1"/>
        <v>1999</v>
      </c>
      <c r="B84" s="5">
        <v>36794.699999999997</v>
      </c>
      <c r="C84" s="5">
        <v>8459.7999999999993</v>
      </c>
      <c r="D84" s="5">
        <v>171641.5</v>
      </c>
      <c r="E84" s="5">
        <v>15319.3</v>
      </c>
      <c r="F84" s="5">
        <v>38454.9</v>
      </c>
      <c r="G84" s="5">
        <v>3862.1</v>
      </c>
      <c r="H84" s="5">
        <v>11072.2</v>
      </c>
      <c r="I84" s="5">
        <v>8446.2000000000007</v>
      </c>
      <c r="J84" s="5">
        <v>12470.8</v>
      </c>
      <c r="K84" s="5">
        <v>5913.9</v>
      </c>
      <c r="L84" s="5">
        <v>11423</v>
      </c>
      <c r="M84" s="5">
        <v>8151.3</v>
      </c>
      <c r="N84" s="5">
        <v>6400.5</v>
      </c>
      <c r="O84" s="5">
        <v>97115.7</v>
      </c>
      <c r="P84" s="5">
        <v>4954</v>
      </c>
      <c r="Q84" s="5">
        <v>2951.8</v>
      </c>
      <c r="R84" s="5">
        <v>5003.1000000000004</v>
      </c>
      <c r="S84" s="5">
        <v>26186.5</v>
      </c>
      <c r="T84" s="5">
        <v>3254</v>
      </c>
      <c r="U84" s="5">
        <v>24066.6</v>
      </c>
      <c r="V84" s="7">
        <v>147539.4</v>
      </c>
    </row>
    <row r="85" spans="1:22" x14ac:dyDescent="0.25">
      <c r="A85" s="10">
        <f t="shared" si="1"/>
        <v>2000</v>
      </c>
      <c r="B85" s="5">
        <v>37214</v>
      </c>
      <c r="C85" s="5">
        <v>8606.2999999999993</v>
      </c>
      <c r="D85" s="5">
        <v>174018.3</v>
      </c>
      <c r="E85" s="5">
        <v>15503.6</v>
      </c>
      <c r="F85" s="5">
        <v>39089.9</v>
      </c>
      <c r="G85" s="5">
        <v>3937.7</v>
      </c>
      <c r="H85" s="5">
        <v>11109.1</v>
      </c>
      <c r="I85" s="5">
        <v>8584.2000000000007</v>
      </c>
      <c r="J85" s="5">
        <v>12689.2</v>
      </c>
      <c r="K85" s="5">
        <v>5943.4</v>
      </c>
      <c r="L85" s="5">
        <v>11697.6</v>
      </c>
      <c r="M85" s="5">
        <v>8303.2000000000007</v>
      </c>
      <c r="N85" s="5">
        <v>6577.8</v>
      </c>
      <c r="O85" s="5">
        <v>98625.600000000006</v>
      </c>
      <c r="P85" s="5">
        <v>5022.6000000000004</v>
      </c>
      <c r="Q85" s="5">
        <v>3010.4</v>
      </c>
      <c r="R85" s="5">
        <v>5100.8999999999996</v>
      </c>
      <c r="S85" s="5">
        <v>26598.3</v>
      </c>
      <c r="T85" s="5">
        <v>3266.2</v>
      </c>
      <c r="U85" s="5">
        <v>24526.7</v>
      </c>
      <c r="V85" s="7">
        <v>146890.1</v>
      </c>
    </row>
    <row r="86" spans="1:22" x14ac:dyDescent="0.25">
      <c r="A86" s="10">
        <f t="shared" si="1"/>
        <v>2001</v>
      </c>
      <c r="B86" s="5">
        <v>37624.800000000003</v>
      </c>
      <c r="C86" s="5">
        <v>8752.7000000000007</v>
      </c>
      <c r="D86" s="5">
        <v>176301.2</v>
      </c>
      <c r="E86" s="5">
        <v>15683.8</v>
      </c>
      <c r="F86" s="5">
        <v>39709.300000000003</v>
      </c>
      <c r="G86" s="5">
        <v>4008.9</v>
      </c>
      <c r="H86" s="5">
        <v>11144.1</v>
      </c>
      <c r="I86" s="5">
        <v>8720.2999999999993</v>
      </c>
      <c r="J86" s="5">
        <v>12910.7</v>
      </c>
      <c r="K86" s="5">
        <v>5968.1</v>
      </c>
      <c r="L86" s="5">
        <v>11969.4</v>
      </c>
      <c r="M86" s="5">
        <v>8455.9</v>
      </c>
      <c r="N86" s="5">
        <v>6758</v>
      </c>
      <c r="O86" s="5">
        <v>100099.1</v>
      </c>
      <c r="P86" s="5">
        <v>5087.8</v>
      </c>
      <c r="Q86" s="5">
        <v>3069.5</v>
      </c>
      <c r="R86" s="5">
        <v>5187.7</v>
      </c>
      <c r="S86" s="5">
        <v>26964.6</v>
      </c>
      <c r="T86" s="5">
        <v>3274.3</v>
      </c>
      <c r="U86" s="5">
        <v>24979.9</v>
      </c>
      <c r="V86" s="5">
        <v>146303.6</v>
      </c>
    </row>
    <row r="87" spans="1:22" x14ac:dyDescent="0.25">
      <c r="A87" s="10">
        <f t="shared" si="1"/>
        <v>2002</v>
      </c>
      <c r="B87" s="5">
        <v>38029.300000000003</v>
      </c>
      <c r="C87" s="5">
        <v>8900.4</v>
      </c>
      <c r="D87" s="5">
        <v>178503.5</v>
      </c>
      <c r="E87" s="5">
        <v>15857.9</v>
      </c>
      <c r="F87" s="5">
        <v>40324.699999999997</v>
      </c>
      <c r="G87" s="5">
        <v>4075.7</v>
      </c>
      <c r="H87" s="5">
        <v>11177.4</v>
      </c>
      <c r="I87" s="5">
        <v>8852.2000000000007</v>
      </c>
      <c r="J87" s="5">
        <v>13138.5</v>
      </c>
      <c r="K87" s="5">
        <v>5986.6</v>
      </c>
      <c r="L87" s="5">
        <v>12246.9</v>
      </c>
      <c r="M87" s="5">
        <v>8607.6</v>
      </c>
      <c r="N87" s="5">
        <v>6938.9</v>
      </c>
      <c r="O87" s="5">
        <v>101548.6</v>
      </c>
      <c r="P87" s="5">
        <v>5149.8999999999996</v>
      </c>
      <c r="Q87" s="5">
        <v>3129.3</v>
      </c>
      <c r="R87" s="5">
        <v>5261.3</v>
      </c>
      <c r="S87" s="5">
        <v>27288.2</v>
      </c>
      <c r="T87" s="5">
        <v>3278.9</v>
      </c>
      <c r="U87" s="5">
        <v>25435.7</v>
      </c>
      <c r="V87" s="5">
        <v>145649.29999999999</v>
      </c>
    </row>
    <row r="88" spans="1:22" x14ac:dyDescent="0.25">
      <c r="A88" s="10">
        <f t="shared" si="1"/>
        <v>2003</v>
      </c>
      <c r="B88" s="5">
        <v>38424.300000000003</v>
      </c>
      <c r="C88" s="5">
        <v>9050.7000000000007</v>
      </c>
      <c r="D88" s="5">
        <v>180622.7</v>
      </c>
      <c r="E88" s="5">
        <v>16024.8</v>
      </c>
      <c r="F88" s="5">
        <v>40937.4</v>
      </c>
      <c r="G88" s="5">
        <v>4138.8</v>
      </c>
      <c r="H88" s="5">
        <v>11209.4</v>
      </c>
      <c r="I88" s="5">
        <v>8980.6</v>
      </c>
      <c r="J88" s="5">
        <v>13372.3</v>
      </c>
      <c r="K88" s="5">
        <v>5998.6</v>
      </c>
      <c r="L88" s="5">
        <v>12525.8</v>
      </c>
      <c r="M88" s="5">
        <v>8759.9</v>
      </c>
      <c r="N88" s="5">
        <v>7119.2</v>
      </c>
      <c r="O88" s="5">
        <v>102978.5</v>
      </c>
      <c r="P88" s="5">
        <v>5211</v>
      </c>
      <c r="Q88" s="5">
        <v>3189.8</v>
      </c>
      <c r="R88" s="5">
        <v>5326.4</v>
      </c>
      <c r="S88" s="5">
        <v>27580.5</v>
      </c>
      <c r="T88" s="5">
        <v>3281.2</v>
      </c>
      <c r="U88" s="5">
        <v>25892.7</v>
      </c>
      <c r="V88" s="5">
        <v>144963.6</v>
      </c>
    </row>
    <row r="89" spans="1:22" x14ac:dyDescent="0.25">
      <c r="A89" s="10">
        <f t="shared" si="1"/>
        <v>2004</v>
      </c>
      <c r="B89" s="5">
        <v>38815.9</v>
      </c>
      <c r="C89" s="5">
        <v>9204.2999999999993</v>
      </c>
      <c r="D89" s="5">
        <v>182675.1</v>
      </c>
      <c r="E89" s="5">
        <v>16187.3</v>
      </c>
      <c r="F89" s="5">
        <v>41543.199999999997</v>
      </c>
      <c r="G89" s="5">
        <v>4200.1000000000004</v>
      </c>
      <c r="H89" s="5">
        <v>11238.8</v>
      </c>
      <c r="I89" s="5">
        <v>9104.9</v>
      </c>
      <c r="J89" s="5">
        <v>13608.7</v>
      </c>
      <c r="K89" s="5">
        <v>6004.7</v>
      </c>
      <c r="L89" s="5">
        <v>12807.4</v>
      </c>
      <c r="M89" s="5">
        <v>8910.2999999999993</v>
      </c>
      <c r="N89" s="5">
        <v>7299</v>
      </c>
      <c r="O89" s="5">
        <v>104394.1</v>
      </c>
      <c r="P89" s="5">
        <v>5272.9</v>
      </c>
      <c r="Q89" s="5">
        <v>3251.2</v>
      </c>
      <c r="R89" s="5">
        <v>5388.2</v>
      </c>
      <c r="S89" s="5">
        <v>27852.2</v>
      </c>
      <c r="T89" s="5">
        <v>3283.1</v>
      </c>
      <c r="U89" s="5">
        <v>26340.799999999999</v>
      </c>
      <c r="V89" s="5">
        <v>144333.6</v>
      </c>
    </row>
    <row r="90" spans="1:22" x14ac:dyDescent="0.25">
      <c r="A90" s="10">
        <f t="shared" si="1"/>
        <v>2005</v>
      </c>
      <c r="B90" s="5">
        <v>39216.800000000003</v>
      </c>
      <c r="C90" s="5">
        <v>9360.7999999999993</v>
      </c>
      <c r="D90" s="5">
        <v>184688.1</v>
      </c>
      <c r="E90" s="5">
        <v>16348.8</v>
      </c>
      <c r="F90" s="5">
        <v>42129</v>
      </c>
      <c r="G90" s="5">
        <v>4261.2</v>
      </c>
      <c r="H90" s="5">
        <v>11262.6</v>
      </c>
      <c r="I90" s="5">
        <v>9225</v>
      </c>
      <c r="J90" s="5">
        <v>13846.2</v>
      </c>
      <c r="K90" s="5">
        <v>6005.6</v>
      </c>
      <c r="L90" s="5">
        <v>13087.6</v>
      </c>
      <c r="M90" s="5">
        <v>9061.2999999999993</v>
      </c>
      <c r="N90" s="5">
        <v>7478.4</v>
      </c>
      <c r="O90" s="5">
        <v>105811.5</v>
      </c>
      <c r="P90" s="5">
        <v>5342.1</v>
      </c>
      <c r="Q90" s="5">
        <v>3313</v>
      </c>
      <c r="R90" s="5">
        <v>5448.1</v>
      </c>
      <c r="S90" s="5">
        <v>28101.200000000001</v>
      </c>
      <c r="T90" s="5">
        <v>3285.8</v>
      </c>
      <c r="U90" s="5">
        <v>26785.8</v>
      </c>
      <c r="V90" s="5">
        <v>143801</v>
      </c>
    </row>
    <row r="91" spans="1:22" x14ac:dyDescent="0.25">
      <c r="A91" s="10">
        <f t="shared" si="1"/>
        <v>2006</v>
      </c>
      <c r="B91" s="5">
        <v>39622.1</v>
      </c>
      <c r="C91" s="5">
        <v>9521.7000000000007</v>
      </c>
      <c r="D91" s="5">
        <v>186653.1</v>
      </c>
      <c r="E91" s="5">
        <v>16509.2</v>
      </c>
      <c r="F91" s="5">
        <v>42691.1</v>
      </c>
      <c r="G91" s="5">
        <v>4321.3</v>
      </c>
      <c r="H91" s="5">
        <v>11278.6</v>
      </c>
      <c r="I91" s="5">
        <v>9341.2000000000007</v>
      </c>
      <c r="J91" s="5">
        <v>14086.1</v>
      </c>
      <c r="K91" s="5">
        <v>6002.3</v>
      </c>
      <c r="L91" s="5">
        <v>13367.5</v>
      </c>
      <c r="M91" s="5">
        <v>9216.6</v>
      </c>
      <c r="N91" s="5">
        <v>7656.8</v>
      </c>
      <c r="O91" s="5">
        <v>107253.7</v>
      </c>
      <c r="P91" s="5">
        <v>5418.9</v>
      </c>
      <c r="Q91" s="5">
        <v>3375</v>
      </c>
      <c r="R91" s="5">
        <v>5505.1</v>
      </c>
      <c r="S91" s="5">
        <v>28324.5</v>
      </c>
      <c r="T91" s="5">
        <v>3289.5</v>
      </c>
      <c r="U91" s="5">
        <v>27224.7</v>
      </c>
      <c r="V91" s="5">
        <v>143236.6</v>
      </c>
    </row>
    <row r="92" spans="1:22" x14ac:dyDescent="0.25">
      <c r="A92" s="10">
        <f t="shared" si="1"/>
        <v>2007</v>
      </c>
      <c r="B92" s="5">
        <v>40016.800000000003</v>
      </c>
      <c r="C92" s="5">
        <v>9686</v>
      </c>
      <c r="D92" s="5">
        <v>188552.3</v>
      </c>
      <c r="E92" s="5">
        <v>16671.599999999999</v>
      </c>
      <c r="F92" s="5">
        <v>43235.4</v>
      </c>
      <c r="G92" s="5">
        <v>4380.2</v>
      </c>
      <c r="H92" s="5">
        <v>11287.3</v>
      </c>
      <c r="I92" s="5">
        <v>9455.7000000000007</v>
      </c>
      <c r="J92" s="5">
        <v>14328.8</v>
      </c>
      <c r="K92" s="5">
        <v>6009.8</v>
      </c>
      <c r="L92" s="5">
        <v>13652</v>
      </c>
      <c r="M92" s="5">
        <v>9373.2999999999993</v>
      </c>
      <c r="N92" s="5">
        <v>7834.8</v>
      </c>
      <c r="O92" s="5">
        <v>108774.39999999999</v>
      </c>
      <c r="P92" s="5">
        <v>5497.2</v>
      </c>
      <c r="Q92" s="5">
        <v>3437.5</v>
      </c>
      <c r="R92" s="5">
        <v>5559.4</v>
      </c>
      <c r="S92" s="5">
        <v>28530.7</v>
      </c>
      <c r="T92" s="5">
        <v>3295.2</v>
      </c>
      <c r="U92" s="5">
        <v>27649.4</v>
      </c>
      <c r="V92" s="5">
        <v>142862.70000000001</v>
      </c>
    </row>
    <row r="93" spans="1:22" x14ac:dyDescent="0.25">
      <c r="A93" s="10">
        <f t="shared" si="1"/>
        <v>2008</v>
      </c>
      <c r="B93" s="5">
        <v>40424.1</v>
      </c>
      <c r="C93" s="5">
        <v>9850.9</v>
      </c>
      <c r="D93" s="5">
        <v>190367.3</v>
      </c>
      <c r="E93" s="5">
        <v>16839</v>
      </c>
      <c r="F93" s="5">
        <v>43758.8</v>
      </c>
      <c r="G93" s="5">
        <v>4440.1000000000004</v>
      </c>
      <c r="H93" s="5">
        <v>11291.8</v>
      </c>
      <c r="I93" s="5">
        <v>9573.1</v>
      </c>
      <c r="J93" s="5">
        <v>14575.2</v>
      </c>
      <c r="K93" s="5">
        <v>6029.3</v>
      </c>
      <c r="L93" s="5">
        <v>13935.2</v>
      </c>
      <c r="M93" s="5">
        <v>9530.7999999999993</v>
      </c>
      <c r="N93" s="5">
        <v>8012.6</v>
      </c>
      <c r="O93" s="5">
        <v>110374.3</v>
      </c>
      <c r="P93" s="5">
        <v>5576.6</v>
      </c>
      <c r="Q93" s="5">
        <v>3500.6</v>
      </c>
      <c r="R93" s="5">
        <v>5613.6</v>
      </c>
      <c r="S93" s="5">
        <v>28719</v>
      </c>
      <c r="T93" s="5">
        <v>3302.2</v>
      </c>
      <c r="U93" s="5">
        <v>28053.7</v>
      </c>
      <c r="V93" s="5">
        <v>142747.5</v>
      </c>
    </row>
    <row r="94" spans="1:22" x14ac:dyDescent="0.25">
      <c r="A94" s="10">
        <f t="shared" si="1"/>
        <v>2009</v>
      </c>
      <c r="B94" s="5">
        <v>40854.800000000003</v>
      </c>
      <c r="C94" s="5">
        <v>10016.299999999999</v>
      </c>
      <c r="D94" s="5">
        <v>192080</v>
      </c>
      <c r="E94" s="5">
        <v>17009.7</v>
      </c>
      <c r="F94" s="5">
        <v>44271.5</v>
      </c>
      <c r="G94" s="5">
        <v>4499.8</v>
      </c>
      <c r="H94" s="5">
        <v>11294.7</v>
      </c>
      <c r="I94" s="5">
        <v>9695.2999999999993</v>
      </c>
      <c r="J94" s="5">
        <v>14826</v>
      </c>
      <c r="K94" s="5">
        <v>6048.3</v>
      </c>
      <c r="L94" s="5">
        <v>14215.6</v>
      </c>
      <c r="M94" s="5">
        <v>9689.6</v>
      </c>
      <c r="N94" s="5">
        <v>8189.9</v>
      </c>
      <c r="O94" s="5">
        <v>111999.7</v>
      </c>
      <c r="P94" s="5">
        <v>5656.6</v>
      </c>
      <c r="Q94" s="5">
        <v>3564.4</v>
      </c>
      <c r="R94" s="5">
        <v>5671.2</v>
      </c>
      <c r="S94" s="5">
        <v>28896.799999999999</v>
      </c>
      <c r="T94" s="5">
        <v>3310.1</v>
      </c>
      <c r="U94" s="5">
        <v>28438.3</v>
      </c>
      <c r="V94" s="5">
        <v>142737.20000000001</v>
      </c>
    </row>
    <row r="95" spans="1:22" x14ac:dyDescent="0.25">
      <c r="A95" s="10">
        <f t="shared" si="1"/>
        <v>2010</v>
      </c>
      <c r="B95" s="5">
        <v>41288.699999999997</v>
      </c>
      <c r="C95" s="5">
        <v>10182.299999999999</v>
      </c>
      <c r="D95" s="5">
        <v>193701.9</v>
      </c>
      <c r="E95" s="5">
        <v>17181.5</v>
      </c>
      <c r="F95" s="5">
        <v>44777.3</v>
      </c>
      <c r="G95" s="5">
        <v>4556</v>
      </c>
      <c r="H95" s="5">
        <v>11297.4</v>
      </c>
      <c r="I95" s="5">
        <v>9820.2000000000007</v>
      </c>
      <c r="J95" s="5">
        <v>15076.7</v>
      </c>
      <c r="K95" s="5">
        <v>6068.2</v>
      </c>
      <c r="L95" s="5">
        <v>14500.1</v>
      </c>
      <c r="M95" s="5">
        <v>9803.2999999999993</v>
      </c>
      <c r="N95" s="5">
        <v>8365.9</v>
      </c>
      <c r="O95" s="5">
        <v>113623.9</v>
      </c>
      <c r="P95" s="5">
        <v>5737.5</v>
      </c>
      <c r="Q95" s="5">
        <v>3628.5</v>
      </c>
      <c r="R95" s="5">
        <v>5738</v>
      </c>
      <c r="S95" s="5">
        <v>29086</v>
      </c>
      <c r="T95" s="5">
        <v>3318.6</v>
      </c>
      <c r="U95" s="5">
        <v>28813.1</v>
      </c>
      <c r="V95" s="5">
        <v>142833.5</v>
      </c>
    </row>
    <row r="96" spans="1:22" x14ac:dyDescent="0.25">
      <c r="A96" s="10">
        <f t="shared" si="1"/>
        <v>2011</v>
      </c>
      <c r="B96" s="5">
        <v>41730.699999999997</v>
      </c>
      <c r="C96" s="5">
        <v>10348.9</v>
      </c>
      <c r="D96" s="5">
        <v>195284.7</v>
      </c>
      <c r="E96" s="5">
        <v>17351.8</v>
      </c>
      <c r="F96" s="5">
        <v>45259.6</v>
      </c>
      <c r="G96" s="5">
        <v>4609.8</v>
      </c>
      <c r="H96" s="5">
        <v>11301.6</v>
      </c>
      <c r="I96" s="5">
        <v>9945.6</v>
      </c>
      <c r="J96" s="5">
        <v>15326.2</v>
      </c>
      <c r="K96" s="5">
        <v>6090.1</v>
      </c>
      <c r="L96" s="5">
        <v>14792.1</v>
      </c>
      <c r="M96" s="5">
        <v>9914.9</v>
      </c>
      <c r="N96" s="5">
        <v>8540.6</v>
      </c>
      <c r="O96" s="5">
        <v>115243.5</v>
      </c>
      <c r="P96" s="5">
        <v>5819.1</v>
      </c>
      <c r="Q96" s="5">
        <v>3693.5</v>
      </c>
      <c r="R96" s="5">
        <v>5814.6</v>
      </c>
      <c r="S96" s="5">
        <v>29304.1</v>
      </c>
      <c r="T96" s="5">
        <v>3326.8</v>
      </c>
      <c r="U96" s="5">
        <v>29185.200000000001</v>
      </c>
      <c r="V96" s="5">
        <v>142865.4</v>
      </c>
    </row>
    <row r="97" spans="1:22" x14ac:dyDescent="0.25">
      <c r="A97" s="10">
        <f t="shared" si="1"/>
        <v>2012</v>
      </c>
      <c r="B97" s="5">
        <v>42161.7</v>
      </c>
      <c r="C97" s="5">
        <v>10515.8</v>
      </c>
      <c r="D97" s="5">
        <v>196876.1</v>
      </c>
      <c r="E97" s="5">
        <v>17519.099999999999</v>
      </c>
      <c r="F97" s="5">
        <v>45715.8</v>
      </c>
      <c r="G97" s="5">
        <v>4663.8999999999996</v>
      </c>
      <c r="H97" s="5">
        <v>11303.2</v>
      </c>
      <c r="I97" s="5">
        <v>10070.4</v>
      </c>
      <c r="J97" s="5">
        <v>15572.2</v>
      </c>
      <c r="K97" s="5">
        <v>6114</v>
      </c>
      <c r="L97" s="5">
        <v>15089.6</v>
      </c>
      <c r="M97" s="5">
        <v>10069.799999999999</v>
      </c>
      <c r="N97" s="5">
        <v>8715.1</v>
      </c>
      <c r="O97" s="5">
        <v>116818.2</v>
      </c>
      <c r="P97" s="5">
        <v>5901.3</v>
      </c>
      <c r="Q97" s="5">
        <v>3759.3</v>
      </c>
      <c r="R97" s="5">
        <v>5897</v>
      </c>
      <c r="S97" s="5">
        <v>29550.400000000001</v>
      </c>
      <c r="T97" s="5">
        <v>3335.4</v>
      </c>
      <c r="U97" s="5">
        <v>29553.8</v>
      </c>
      <c r="V97" s="5">
        <v>143171</v>
      </c>
    </row>
    <row r="98" spans="1:22" x14ac:dyDescent="0.25">
      <c r="A98" s="10">
        <f t="shared" si="1"/>
        <v>2013</v>
      </c>
      <c r="B98" s="5">
        <v>42582.5</v>
      </c>
      <c r="C98" s="5">
        <v>10682.6</v>
      </c>
      <c r="D98" s="5">
        <v>198478.3</v>
      </c>
      <c r="E98" s="5">
        <v>17687</v>
      </c>
      <c r="F98" s="5">
        <v>46151.6</v>
      </c>
      <c r="G98" s="5">
        <v>4716.1000000000004</v>
      </c>
      <c r="H98" s="5">
        <v>11298.2</v>
      </c>
      <c r="I98" s="5">
        <v>10193.799999999999</v>
      </c>
      <c r="J98" s="5">
        <v>15807.1</v>
      </c>
      <c r="K98" s="5">
        <v>6138.8</v>
      </c>
      <c r="L98" s="5">
        <v>15387.3</v>
      </c>
      <c r="M98" s="5">
        <v>10222.4</v>
      </c>
      <c r="N98" s="5">
        <v>8889.2999999999993</v>
      </c>
      <c r="O98" s="5">
        <v>118343.6</v>
      </c>
      <c r="P98" s="5">
        <v>5983.8</v>
      </c>
      <c r="Q98" s="5">
        <v>3825.3</v>
      </c>
      <c r="R98" s="5">
        <v>5982.4</v>
      </c>
      <c r="S98" s="5">
        <v>29817.9</v>
      </c>
      <c r="T98" s="5">
        <v>3345.3</v>
      </c>
      <c r="U98" s="5">
        <v>29912.2</v>
      </c>
      <c r="V98" s="5">
        <v>143585.9</v>
      </c>
    </row>
    <row r="99" spans="1:22" x14ac:dyDescent="0.25">
      <c r="A99" s="10">
        <f t="shared" si="1"/>
        <v>2014</v>
      </c>
      <c r="B99" s="5">
        <v>43024.1</v>
      </c>
      <c r="C99" s="5">
        <v>10848.9</v>
      </c>
      <c r="D99" s="5">
        <v>200085.1</v>
      </c>
      <c r="E99" s="5">
        <v>17864.2</v>
      </c>
      <c r="F99" s="5">
        <v>46565.4</v>
      </c>
      <c r="G99" s="5">
        <v>4767.1000000000004</v>
      </c>
      <c r="H99" s="5">
        <v>11285.8</v>
      </c>
      <c r="I99" s="5">
        <v>10315.5</v>
      </c>
      <c r="J99" s="5">
        <v>16035.1</v>
      </c>
      <c r="K99" s="5">
        <v>6163</v>
      </c>
      <c r="L99" s="5">
        <v>15681.7</v>
      </c>
      <c r="M99" s="5">
        <v>10373.200000000001</v>
      </c>
      <c r="N99" s="5">
        <v>9063.1</v>
      </c>
      <c r="O99" s="5">
        <v>119784.3</v>
      </c>
      <c r="P99" s="5">
        <v>6066.5</v>
      </c>
      <c r="Q99" s="5">
        <v>3892.1</v>
      </c>
      <c r="R99" s="5">
        <v>6069.8</v>
      </c>
      <c r="S99" s="5">
        <v>30115.8</v>
      </c>
      <c r="T99" s="5">
        <v>3356.3</v>
      </c>
      <c r="U99" s="5">
        <v>30254.1</v>
      </c>
      <c r="V99" s="5">
        <v>144025.29999999999</v>
      </c>
    </row>
    <row r="100" spans="1:22" x14ac:dyDescent="0.25">
      <c r="A100" s="10">
        <f t="shared" si="1"/>
        <v>2015</v>
      </c>
      <c r="B100" s="5">
        <v>43477</v>
      </c>
      <c r="C100" s="5">
        <v>11014.7</v>
      </c>
      <c r="D100" s="5">
        <v>201675.5</v>
      </c>
      <c r="E100" s="5">
        <v>18047.599999999999</v>
      </c>
      <c r="F100" s="5">
        <v>46969.9</v>
      </c>
      <c r="G100" s="5">
        <v>4818</v>
      </c>
      <c r="H100" s="5">
        <v>11275.1</v>
      </c>
      <c r="I100" s="5">
        <v>10434.799999999999</v>
      </c>
      <c r="J100" s="5">
        <v>16266.2</v>
      </c>
      <c r="K100" s="5">
        <v>6183.7</v>
      </c>
      <c r="L100" s="5">
        <v>15971.7</v>
      </c>
      <c r="M100" s="5">
        <v>10523.2</v>
      </c>
      <c r="N100" s="5">
        <v>9237.2999999999993</v>
      </c>
      <c r="O100" s="5">
        <v>121072.3</v>
      </c>
      <c r="P100" s="5">
        <v>6149.4</v>
      </c>
      <c r="Q100" s="5">
        <v>3960</v>
      </c>
      <c r="R100" s="5">
        <v>6159.1</v>
      </c>
      <c r="S100" s="5">
        <v>30457.599999999999</v>
      </c>
      <c r="T100" s="5">
        <v>3368</v>
      </c>
      <c r="U100" s="5">
        <v>30574</v>
      </c>
      <c r="V100" s="5">
        <v>144439.06299999999</v>
      </c>
    </row>
    <row r="101" spans="1:22" x14ac:dyDescent="0.25">
      <c r="A101" s="10">
        <f t="shared" ref="A101:A107" si="2">A100+1</f>
        <v>2016</v>
      </c>
      <c r="B101" s="5">
        <v>43900.3</v>
      </c>
      <c r="C101" s="5">
        <v>11180</v>
      </c>
      <c r="D101" s="5">
        <v>203218.1</v>
      </c>
      <c r="E101" s="5">
        <v>18267.2</v>
      </c>
      <c r="F101" s="5">
        <v>47437.5</v>
      </c>
      <c r="G101" s="5">
        <v>4867</v>
      </c>
      <c r="H101" s="5">
        <v>11265.6</v>
      </c>
      <c r="I101" s="5">
        <v>10551.4</v>
      </c>
      <c r="J101" s="5">
        <v>16505.099999999999</v>
      </c>
      <c r="K101" s="5">
        <v>6200.8</v>
      </c>
      <c r="L101" s="5">
        <v>16268.8</v>
      </c>
      <c r="M101" s="5">
        <v>10671.5</v>
      </c>
      <c r="N101" s="5">
        <v>9412.4</v>
      </c>
      <c r="O101" s="5">
        <v>122251.4</v>
      </c>
      <c r="P101" s="5">
        <v>6232.7</v>
      </c>
      <c r="Q101" s="5">
        <v>4029.1</v>
      </c>
      <c r="R101" s="5">
        <v>6249.1</v>
      </c>
      <c r="S101" s="5">
        <v>30866.5</v>
      </c>
      <c r="T101" s="5">
        <v>3379.3</v>
      </c>
      <c r="U101" s="5">
        <v>30765.7</v>
      </c>
      <c r="V101" s="5">
        <v>144828.182</v>
      </c>
    </row>
    <row r="102" spans="1:22" x14ac:dyDescent="0.25">
      <c r="A102" s="10">
        <f t="shared" si="2"/>
        <v>2017</v>
      </c>
      <c r="B102" s="5">
        <v>44288.9</v>
      </c>
      <c r="C102" s="5">
        <v>11344.6</v>
      </c>
      <c r="D102" s="5">
        <v>204703.4</v>
      </c>
      <c r="E102" s="5">
        <v>18558.900000000001</v>
      </c>
      <c r="F102" s="5">
        <v>48131.1</v>
      </c>
      <c r="G102" s="5">
        <v>4913.2</v>
      </c>
      <c r="H102" s="5">
        <v>11247.8</v>
      </c>
      <c r="I102" s="5">
        <v>10666.8</v>
      </c>
      <c r="J102" s="5">
        <v>16759.5</v>
      </c>
      <c r="K102" s="5">
        <v>6213.5</v>
      </c>
      <c r="L102" s="5">
        <v>16567.400000000001</v>
      </c>
      <c r="M102" s="5">
        <v>10817.8</v>
      </c>
      <c r="N102" s="5">
        <v>9588.1</v>
      </c>
      <c r="O102" s="5">
        <v>123400.1</v>
      </c>
      <c r="P102" s="5">
        <v>6316.2</v>
      </c>
      <c r="Q102" s="5">
        <v>4098.7</v>
      </c>
      <c r="R102" s="5">
        <v>6338.7</v>
      </c>
      <c r="S102" s="5">
        <v>31324.6</v>
      </c>
      <c r="T102" s="5">
        <v>3388.4</v>
      </c>
      <c r="U102" s="5">
        <v>30565.3</v>
      </c>
      <c r="V102" s="5">
        <v>145154.45499999999</v>
      </c>
    </row>
    <row r="103" spans="1:22" x14ac:dyDescent="0.25">
      <c r="A103" s="10">
        <f t="shared" si="2"/>
        <v>2018</v>
      </c>
      <c r="B103" s="5">
        <v>44654.9</v>
      </c>
      <c r="C103" s="5">
        <v>11508.4</v>
      </c>
      <c r="D103" s="5">
        <v>206107.3</v>
      </c>
      <c r="E103" s="5">
        <v>18893.2</v>
      </c>
      <c r="F103" s="5">
        <v>49024.5</v>
      </c>
      <c r="G103" s="5">
        <v>4957.8</v>
      </c>
      <c r="H103" s="5">
        <v>11227.1</v>
      </c>
      <c r="I103" s="5">
        <v>10782.1</v>
      </c>
      <c r="J103" s="5">
        <v>17049.5</v>
      </c>
      <c r="K103" s="5">
        <v>6219.8</v>
      </c>
      <c r="L103" s="5">
        <v>16845.7</v>
      </c>
      <c r="M103" s="5">
        <v>10962.4</v>
      </c>
      <c r="N103" s="5">
        <v>9765.2000000000007</v>
      </c>
      <c r="O103" s="5">
        <v>124573.7</v>
      </c>
      <c r="P103" s="5">
        <v>6400.1</v>
      </c>
      <c r="Q103" s="5">
        <v>4167.8999999999996</v>
      </c>
      <c r="R103" s="5">
        <v>6427.4</v>
      </c>
      <c r="S103" s="5">
        <v>31897.599999999999</v>
      </c>
      <c r="T103" s="5">
        <v>3394.5</v>
      </c>
      <c r="U103" s="5">
        <v>29807.599999999999</v>
      </c>
      <c r="V103" s="5">
        <v>145345.77499999999</v>
      </c>
    </row>
    <row r="104" spans="1:22" x14ac:dyDescent="0.25">
      <c r="A104" s="10">
        <f t="shared" si="2"/>
        <v>2019</v>
      </c>
      <c r="B104" s="5">
        <v>44973.5</v>
      </c>
      <c r="C104" s="5">
        <v>11671.4</v>
      </c>
      <c r="D104" s="5">
        <v>207455.5</v>
      </c>
      <c r="E104" s="5">
        <v>19197.7</v>
      </c>
      <c r="F104" s="5">
        <v>49908</v>
      </c>
      <c r="G104" s="5">
        <v>4999.6000000000004</v>
      </c>
      <c r="H104" s="5">
        <v>11202.8</v>
      </c>
      <c r="I104" s="5">
        <v>10894</v>
      </c>
      <c r="J104" s="5">
        <v>17340</v>
      </c>
      <c r="K104" s="5">
        <v>6222.3</v>
      </c>
      <c r="L104" s="5">
        <v>17103.8</v>
      </c>
      <c r="M104" s="5">
        <v>11105.2</v>
      </c>
      <c r="N104" s="5">
        <v>9943.6</v>
      </c>
      <c r="O104" s="5">
        <v>125763</v>
      </c>
      <c r="P104" s="5">
        <v>6483.7</v>
      </c>
      <c r="Q104" s="5">
        <v>4234.7</v>
      </c>
      <c r="R104" s="5">
        <v>6515.1</v>
      </c>
      <c r="S104" s="5">
        <v>32449.3</v>
      </c>
      <c r="T104" s="5">
        <v>3397.2</v>
      </c>
      <c r="U104" s="5">
        <v>28938.1</v>
      </c>
      <c r="V104" s="5">
        <v>145425.78899999999</v>
      </c>
    </row>
    <row r="105" spans="1:22" x14ac:dyDescent="0.25">
      <c r="A105" s="10">
        <f t="shared" si="2"/>
        <v>2020</v>
      </c>
      <c r="B105" s="5">
        <v>45192</v>
      </c>
      <c r="C105" s="5">
        <v>11816.3</v>
      </c>
      <c r="D105" s="5">
        <v>208660.8</v>
      </c>
      <c r="E105" s="5">
        <v>19370.599999999999</v>
      </c>
      <c r="F105" s="5">
        <v>50630</v>
      </c>
      <c r="G105" s="5">
        <v>5034.3</v>
      </c>
      <c r="H105" s="5">
        <v>11176.4</v>
      </c>
      <c r="I105" s="5">
        <v>11008.3</v>
      </c>
      <c r="J105" s="5">
        <v>17546.099999999999</v>
      </c>
      <c r="K105" s="5">
        <v>6234.7</v>
      </c>
      <c r="L105" s="5">
        <v>17357.3</v>
      </c>
      <c r="M105" s="5">
        <v>11243.8</v>
      </c>
      <c r="N105" s="5">
        <v>10119.6</v>
      </c>
      <c r="O105" s="5">
        <v>126799.1</v>
      </c>
      <c r="P105" s="5">
        <v>6565.3</v>
      </c>
      <c r="Q105" s="5">
        <v>4293.3</v>
      </c>
      <c r="R105" s="5">
        <v>6603.7</v>
      </c>
      <c r="S105" s="5">
        <v>32838.6</v>
      </c>
      <c r="T105" s="5">
        <v>3399</v>
      </c>
      <c r="U105" s="5">
        <v>28444.1</v>
      </c>
      <c r="V105" s="5">
        <v>145349.31400000001</v>
      </c>
    </row>
    <row r="106" spans="1:22" x14ac:dyDescent="0.25">
      <c r="A106" s="10">
        <f t="shared" si="2"/>
        <v>2021</v>
      </c>
      <c r="B106" s="5">
        <v>45312.3</v>
      </c>
      <c r="C106" s="5">
        <v>11937.4</v>
      </c>
      <c r="D106" s="5">
        <v>209550.3</v>
      </c>
      <c r="E106" s="5">
        <v>19456.3</v>
      </c>
      <c r="F106" s="5">
        <v>51188.2</v>
      </c>
      <c r="G106" s="5">
        <v>5060</v>
      </c>
      <c r="H106" s="5">
        <v>11122.2</v>
      </c>
      <c r="I106" s="5">
        <v>11123.5</v>
      </c>
      <c r="J106" s="5">
        <v>17682.5</v>
      </c>
      <c r="K106" s="5">
        <v>6255.8</v>
      </c>
      <c r="L106" s="5">
        <v>17598.7</v>
      </c>
      <c r="M106" s="5">
        <v>11374.6</v>
      </c>
      <c r="N106" s="5">
        <v>10289.9</v>
      </c>
      <c r="O106" s="5">
        <v>127648.1</v>
      </c>
      <c r="P106" s="5">
        <v>6644.7</v>
      </c>
      <c r="Q106" s="5">
        <v>4345.3999999999996</v>
      </c>
      <c r="R106" s="5">
        <v>6684.2</v>
      </c>
      <c r="S106" s="5">
        <v>33155.9</v>
      </c>
      <c r="T106" s="5">
        <v>3396.7</v>
      </c>
      <c r="U106" s="5">
        <v>28237.8</v>
      </c>
      <c r="V106" s="5">
        <v>144996.05300000001</v>
      </c>
    </row>
    <row r="107" spans="1:22" x14ac:dyDescent="0.25">
      <c r="A107" s="10">
        <f t="shared" si="2"/>
        <v>2022</v>
      </c>
      <c r="B107" s="5">
        <v>45407.9</v>
      </c>
      <c r="C107" s="5">
        <v>12077.2</v>
      </c>
      <c r="D107" s="5">
        <v>210306.4</v>
      </c>
      <c r="E107" s="5">
        <v>19553</v>
      </c>
      <c r="F107" s="5">
        <v>51737.9</v>
      </c>
      <c r="G107" s="5">
        <v>5081.8</v>
      </c>
      <c r="H107" s="5">
        <v>11059.8</v>
      </c>
      <c r="I107" s="5">
        <v>11230.7</v>
      </c>
      <c r="J107" s="5">
        <v>17823.900000000001</v>
      </c>
      <c r="K107" s="5">
        <v>6280.3</v>
      </c>
      <c r="L107" s="5">
        <v>17847.900000000001</v>
      </c>
      <c r="M107" s="5">
        <v>11503.6</v>
      </c>
      <c r="N107" s="5">
        <v>10463.9</v>
      </c>
      <c r="O107" s="5">
        <v>128613.1</v>
      </c>
      <c r="P107" s="5">
        <v>6730.7</v>
      </c>
      <c r="Q107" s="5">
        <v>4400.8</v>
      </c>
      <c r="R107" s="5">
        <v>6760.5</v>
      </c>
      <c r="S107" s="5">
        <v>33475.4</v>
      </c>
      <c r="T107" s="5">
        <v>3390.9</v>
      </c>
      <c r="U107" s="5">
        <v>28213</v>
      </c>
      <c r="V107" s="5">
        <v>144491.94399999999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3D8E6-5AE4-4E88-B07F-9A809409663F}">
  <dimension ref="A1:V111"/>
  <sheetViews>
    <sheetView tabSelected="1" topLeftCell="A145" workbookViewId="0">
      <selection activeCell="AI175" sqref="AI175"/>
    </sheetView>
  </sheetViews>
  <sheetFormatPr defaultRowHeight="15" x14ac:dyDescent="0.25"/>
  <cols>
    <col min="1" max="1" width="5" style="10" bestFit="1" customWidth="1"/>
    <col min="2" max="2" width="10.5703125" bestFit="1" customWidth="1"/>
    <col min="3" max="3" width="8.7109375" bestFit="1" customWidth="1"/>
    <col min="4" max="4" width="9.5703125" bestFit="1" customWidth="1"/>
    <col min="5" max="5" width="5.7109375" bestFit="1" customWidth="1"/>
    <col min="6" max="6" width="10.28515625" bestFit="1" customWidth="1"/>
    <col min="7" max="7" width="11" bestFit="1" customWidth="1"/>
    <col min="8" max="8" width="5.28515625" bestFit="1" customWidth="1"/>
    <col min="9" max="9" width="27.28515625" bestFit="1" customWidth="1"/>
    <col min="10" max="10" width="8.7109375" bestFit="1" customWidth="1"/>
    <col min="11" max="11" width="15" bestFit="1" customWidth="1"/>
    <col min="12" max="12" width="10.5703125" bestFit="1" customWidth="1"/>
    <col min="13" max="13" width="6" bestFit="1" customWidth="1"/>
    <col min="14" max="14" width="9.42578125" bestFit="1" customWidth="1"/>
    <col min="15" max="15" width="9" bestFit="1" customWidth="1"/>
    <col min="16" max="16" width="10.28515625" bestFit="1" customWidth="1"/>
    <col min="17" max="17" width="8" bestFit="1" customWidth="1"/>
    <col min="18" max="18" width="9.28515625" bestFit="1" customWidth="1"/>
    <col min="19" max="19" width="5.5703125" bestFit="1" customWidth="1"/>
    <col min="20" max="20" width="8.140625" bestFit="1" customWidth="1"/>
    <col min="21" max="21" width="12" bestFit="1" customWidth="1"/>
    <col min="22" max="22" width="7.140625" bestFit="1" customWidth="1"/>
  </cols>
  <sheetData>
    <row r="1" spans="1:22" x14ac:dyDescent="0.25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42</v>
      </c>
    </row>
    <row r="2" spans="1:22" x14ac:dyDescent="0.25">
      <c r="A2" s="12">
        <v>1917</v>
      </c>
      <c r="B2" s="2">
        <f>('вместе-абс'!B2 - 'вместе-абс'!B$2) / 'вместе-абс'!B$2</f>
        <v>0</v>
      </c>
      <c r="C2" s="2">
        <f>('вместе-абс'!C2 - 'вместе-абс'!C$2) / 'вместе-абс'!C$2</f>
        <v>0</v>
      </c>
      <c r="D2" s="2">
        <f>('вместе-абс'!D2 - 'вместе-абс'!D$2) / 'вместе-абс'!D$2</f>
        <v>0</v>
      </c>
      <c r="E2" s="2">
        <f>('вместе-абс'!E2 - 'вместе-абс'!E$2) / 'вместе-абс'!E$2</f>
        <v>0</v>
      </c>
      <c r="F2" s="2">
        <f>('вместе-абс'!F2 - 'вместе-абс'!F$2) / 'вместе-абс'!F$2</f>
        <v>0</v>
      </c>
      <c r="G2" s="2">
        <f>('вместе-абс'!G2 - 'вместе-абс'!G$2) / 'вместе-абс'!G$2</f>
        <v>0</v>
      </c>
      <c r="H2" s="2">
        <f>('вместе-абс'!H2 - 'вместе-абс'!H$2) / 'вместе-абс'!H$2</f>
        <v>0</v>
      </c>
      <c r="I2" s="2">
        <f>('вместе-абс'!I2 - 'вместе-абс'!I$2) / 'вместе-абс'!I$2</f>
        <v>0</v>
      </c>
      <c r="J2" s="2">
        <f>('вместе-абс'!J2 - 'вместе-абс'!J$2) / 'вместе-абс'!J$2</f>
        <v>0</v>
      </c>
      <c r="K2" s="2">
        <f>('вместе-абс'!K2 - 'вместе-абс'!K$2) / 'вместе-абс'!K$2</f>
        <v>0</v>
      </c>
      <c r="L2" s="2">
        <f>('вместе-абс'!L2 - 'вместе-абс'!L$2) / 'вместе-абс'!L$2</f>
        <v>0</v>
      </c>
      <c r="M2" s="2">
        <f>('вместе-абс'!M2 - 'вместе-абс'!M$2) / 'вместе-абс'!M$2</f>
        <v>0</v>
      </c>
      <c r="N2" s="2">
        <f>('вместе-абс'!N2 - 'вместе-абс'!N$2) / 'вместе-абс'!N$2</f>
        <v>0</v>
      </c>
      <c r="O2" s="2">
        <f>('вместе-абс'!O2 - 'вместе-абс'!O$2) / 'вместе-абс'!O$2</f>
        <v>0</v>
      </c>
      <c r="P2" s="2">
        <f>('вместе-абс'!P2 - 'вместе-абс'!P$2) / 'вместе-абс'!P$2</f>
        <v>0</v>
      </c>
      <c r="Q2" s="2">
        <f>('вместе-абс'!Q2 - 'вместе-абс'!Q$2) / 'вместе-абс'!Q$2</f>
        <v>0</v>
      </c>
      <c r="R2" s="2">
        <f>('вместе-абс'!R2 - 'вместе-абс'!R$2) / 'вместе-абс'!R$2</f>
        <v>0</v>
      </c>
      <c r="S2" s="2">
        <f>('вместе-абс'!S2 - 'вместе-абс'!S$2) / 'вместе-абс'!S$2</f>
        <v>0</v>
      </c>
      <c r="T2" s="2">
        <f>('вместе-абс'!T2 - 'вместе-абс'!T$2) / 'вместе-абс'!T$2</f>
        <v>0</v>
      </c>
      <c r="U2" s="2">
        <f>('вместе-абс'!U2 - 'вместе-абс'!U$2) / 'вместе-абс'!U$2</f>
        <v>0</v>
      </c>
      <c r="V2" s="2">
        <f>('вместе-абс'!V2 - 'вместе-абс'!V$2) / 'вместе-абс'!V$2</f>
        <v>0</v>
      </c>
    </row>
    <row r="3" spans="1:22" x14ac:dyDescent="0.25">
      <c r="A3" s="12">
        <f t="shared" ref="A3:A35" si="0">A2+1</f>
        <v>1918</v>
      </c>
      <c r="B3" s="2">
        <f>('вместе-абс'!B3 - 'вместе-абс'!B$2) / 'вместе-абс'!B$2</f>
        <v>1.7169923031379514E-2</v>
      </c>
      <c r="C3" s="2">
        <f>('вместе-абс'!C3 - 'вместе-абс'!C$2) / 'вместе-абс'!C$2</f>
        <v>8.649687650168188E-3</v>
      </c>
      <c r="D3" s="2">
        <f>('вместе-абс'!D3 - 'вместе-абс'!D$2) / 'вместе-абс'!D$2</f>
        <v>2.1179853878439299E-2</v>
      </c>
      <c r="E3" s="2">
        <f>('вместе-абс'!E3 - 'вместе-абс'!E$2) / 'вместе-абс'!E$2</f>
        <v>1.2623490669593854E-2</v>
      </c>
      <c r="F3" s="2">
        <f>('вместе-абс'!F3 - 'вместе-абс'!F$2) / 'вместе-абс'!F$2</f>
        <v>2.4496937882764653E-2</v>
      </c>
      <c r="G3" s="2">
        <f>('вместе-абс'!G3 - 'вместе-абс'!G$2) / 'вместе-абс'!G$2</f>
        <v>1.4851485148514851E-2</v>
      </c>
      <c r="H3" s="2">
        <f>('вместе-абс'!H3 - 'вместе-абс'!H$2) / 'вместе-абс'!H$2</f>
        <v>2.9861616897305172E-2</v>
      </c>
      <c r="I3" s="2">
        <f>('вместе-абс'!I3 - 'вместе-абс'!I$2) / 'вместе-абс'!I$2</f>
        <v>1.6726403823178016E-2</v>
      </c>
      <c r="J3" s="2">
        <f>('вместе-абс'!J3 - 'вместе-абс'!J$2) / 'вместе-абс'!J$2</f>
        <v>7.9734219269102981E-3</v>
      </c>
      <c r="K3" s="2">
        <f>('вместе-абс'!K3 - 'вместе-абс'!K$2) / 'вместе-абс'!K$2</f>
        <v>1.6172506738544475E-2</v>
      </c>
      <c r="L3" s="2">
        <f>('вместе-абс'!L3 - 'вместе-абс'!L$2) / 'вместе-абс'!L$2</f>
        <v>1.2234910277324634E-2</v>
      </c>
      <c r="M3" s="2">
        <f>('вместе-абс'!M3 - 'вместе-абс'!M$2) / 'вместе-абс'!M$2</f>
        <v>2.207727044656297E-2</v>
      </c>
      <c r="N3" s="2">
        <f>('вместе-абс'!N3 - 'вместе-абс'!N$2) / 'вместе-абс'!N$2</f>
        <v>4.2654028436018961E-2</v>
      </c>
      <c r="O3" s="2">
        <f>('вместе-абс'!O3 - 'вместе-абс'!O$2) / 'вместе-абс'!O$2</f>
        <v>7.3391854943157288E-3</v>
      </c>
      <c r="P3" s="2">
        <f>('вместе-абс'!P3 - 'вместе-абс'!P$2) / 'вместе-абс'!P$2</f>
        <v>1.4754098360655738E-2</v>
      </c>
      <c r="Q3" s="2">
        <f>('вместе-абс'!Q3 - 'вместе-абс'!Q$2) / 'вместе-абс'!Q$2</f>
        <v>3.1476997578692496E-2</v>
      </c>
      <c r="R3" s="2">
        <f>('вместе-абс'!R3 - 'вместе-абс'!R$2) / 'вместе-абс'!R$2</f>
        <v>1.0324483775811209E-2</v>
      </c>
      <c r="S3" s="2">
        <f>('вместе-абс'!S3 - 'вместе-абс'!S$2) / 'вместе-абс'!S$2</f>
        <v>1.7436791630340016E-2</v>
      </c>
      <c r="T3" s="2">
        <f>('вместе-абс'!T3 - 'вместе-абс'!T$2) / 'вместе-абс'!T$2</f>
        <v>1.6346837242359632E-2</v>
      </c>
      <c r="U3" s="2">
        <f>('вместе-абс'!U3 - 'вместе-абс'!U$2) / 'вместе-абс'!U$2</f>
        <v>8.0000000000000002E-3</v>
      </c>
      <c r="V3" s="2">
        <f>('вместе-абс'!V3 - 'вместе-абс'!V$2) / 'вместе-абс'!V$2</f>
        <v>-1.0186813186813188E-2</v>
      </c>
    </row>
    <row r="4" spans="1:22" x14ac:dyDescent="0.25">
      <c r="A4" s="12">
        <f t="shared" si="0"/>
        <v>1919</v>
      </c>
      <c r="B4" s="2">
        <f>('вместе-абс'!B4 - 'вместе-абс'!B$2) / 'вместе-абс'!B$2</f>
        <v>3.6589698046181174E-2</v>
      </c>
      <c r="C4" s="2">
        <f>('вместе-абс'!C4 - 'вместе-абс'!C$2) / 'вместе-абс'!C$2</f>
        <v>1.7779913503123499E-2</v>
      </c>
      <c r="D4" s="2">
        <f>('вместе-абс'!D4 - 'вместе-абс'!D$2) / 'вместе-абс'!D$2</f>
        <v>4.286491528058449E-2</v>
      </c>
      <c r="E4" s="2">
        <f>('вместе-абс'!E4 - 'вместе-абс'!E$2) / 'вместе-абс'!E$2</f>
        <v>2.5521405049396269E-2</v>
      </c>
      <c r="F4" s="2">
        <f>('вместе-абс'!F4 - 'вместе-абс'!F$2) / 'вместе-абс'!F$2</f>
        <v>5.4943132108486441E-2</v>
      </c>
      <c r="G4" s="2">
        <f>('вместе-абс'!G4 - 'вместе-абс'!G$2) / 'вместе-абс'!G$2</f>
        <v>2.7227722772277228E-2</v>
      </c>
      <c r="H4" s="2">
        <f>('вместе-абс'!H4 - 'вместе-абс'!H$2) / 'вместе-абс'!H$2</f>
        <v>6.0451565914056808E-2</v>
      </c>
      <c r="I4" s="2">
        <f>('вместе-абс'!I4 - 'вместе-абс'!I$2) / 'вместе-абс'!I$2</f>
        <v>3.3452807646356032E-2</v>
      </c>
      <c r="J4" s="2">
        <f>('вместе-абс'!J4 - 'вместе-абс'!J$2) / 'вместе-абс'!J$2</f>
        <v>1.5946843853820596E-2</v>
      </c>
      <c r="K4" s="2">
        <f>('вместе-абс'!K4 - 'вместе-абс'!K$2) / 'вместе-абс'!K$2</f>
        <v>3.324348607367475E-2</v>
      </c>
      <c r="L4" s="2">
        <f>('вместе-абс'!L4 - 'вместе-абс'!L$2) / 'вместе-абс'!L$2</f>
        <v>2.5285481239804241E-2</v>
      </c>
      <c r="M4" s="2">
        <f>('вместе-абс'!M4 - 'вместе-абс'!M$2) / 'вместе-абс'!M$2</f>
        <v>4.3652784746613146E-2</v>
      </c>
      <c r="N4" s="2">
        <f>('вместе-абс'!N4 - 'вместе-абс'!N$2) / 'вместе-абс'!N$2</f>
        <v>8.6887835703001584E-2</v>
      </c>
      <c r="O4" s="2">
        <f>('вместе-абс'!O4 - 'вместе-абс'!O$2) / 'вместе-абс'!O$2</f>
        <v>1.8132105338897683E-2</v>
      </c>
      <c r="P4" s="2">
        <f>('вместе-абс'!P4 - 'вместе-абс'!P$2) / 'вместе-абс'!P$2</f>
        <v>3.1147540983606559E-2</v>
      </c>
      <c r="Q4" s="2">
        <f>('вместе-абс'!Q4 - 'вместе-абс'!Q$2) / 'вместе-абс'!Q$2</f>
        <v>5.8111380145278453E-2</v>
      </c>
      <c r="R4" s="2">
        <f>('вместе-абс'!R4 - 'вместе-абс'!R$2) / 'вместе-абс'!R$2</f>
        <v>2.0648967551622419E-2</v>
      </c>
      <c r="S4" s="2">
        <f>('вместе-абс'!S4 - 'вместе-абс'!S$2) / 'вместе-абс'!S$2</f>
        <v>3.4873583260680033E-2</v>
      </c>
      <c r="T4" s="2">
        <f>('вместе-абс'!T4 - 'вместе-абс'!T$2) / 'вместе-абс'!T$2</f>
        <v>3.9800995024875621E-2</v>
      </c>
      <c r="U4" s="2">
        <f>('вместе-абс'!U4 - 'вместе-абс'!U$2) / 'вместе-абс'!U$2</f>
        <v>1.6363636363636365E-2</v>
      </c>
      <c r="V4" s="2">
        <f>('вместе-абс'!V4 - 'вместе-абс'!V$2) / 'вместе-абс'!V$2</f>
        <v>-2.0274725274725274E-2</v>
      </c>
    </row>
    <row r="5" spans="1:22" x14ac:dyDescent="0.25">
      <c r="A5" s="12">
        <f t="shared" si="0"/>
        <v>1920</v>
      </c>
      <c r="B5" s="2">
        <f>('вместе-абс'!B5 - 'вместе-абс'!B$2) / 'вместе-абс'!B$2</f>
        <v>6.2048549437537001E-2</v>
      </c>
      <c r="C5" s="2">
        <f>('вместе-абс'!C5 - 'вместе-абс'!C$2) / 'вместе-абс'!C$2</f>
        <v>2.6429601153291685E-2</v>
      </c>
      <c r="D5" s="2">
        <f>('вместе-абс'!D5 - 'вместе-абс'!D$2) / 'вместе-абс'!D$2</f>
        <v>6.4977459972019272E-2</v>
      </c>
      <c r="E5" s="2">
        <f>('вместе-абс'!E5 - 'вместе-абс'!E$2) / 'вместе-абс'!E$2</f>
        <v>3.8693743139407245E-2</v>
      </c>
      <c r="F5" s="2">
        <f>('вместе-абс'!F5 - 'вместе-абс'!F$2) / 'вместе-абс'!F$2</f>
        <v>6.5441819772528428E-2</v>
      </c>
      <c r="G5" s="2">
        <f>('вместе-абс'!G5 - 'вместе-абс'!G$2) / 'вместе-абс'!G$2</f>
        <v>4.2079207920792082E-2</v>
      </c>
      <c r="H5" s="2">
        <f>('вместе-абс'!H5 - 'вместе-абс'!H$2) / 'вместе-абс'!H$2</f>
        <v>9.1405680990531687E-2</v>
      </c>
      <c r="I5" s="2">
        <f>('вместе-абс'!I5 - 'вместе-абс'!I$2) / 'вместе-абс'!I$2</f>
        <v>5.0179211469534052E-2</v>
      </c>
      <c r="J5" s="2">
        <f>('вместе-абс'!J5 - 'вместе-абс'!J$2) / 'вместе-абс'!J$2</f>
        <v>2.3920265780730896E-2</v>
      </c>
      <c r="K5" s="2">
        <f>('вместе-абс'!K5 - 'вместе-абс'!K$2) / 'вместе-абс'!K$2</f>
        <v>4.9415992812219228E-2</v>
      </c>
      <c r="L5" s="2">
        <f>('вместе-абс'!L5 - 'вместе-абс'!L$2) / 'вместе-абс'!L$2</f>
        <v>3.7520391517128875E-2</v>
      </c>
      <c r="M5" s="2">
        <f>('вместе-абс'!M5 - 'вместе-абс'!M$2) / 'вместе-абс'!M$2</f>
        <v>6.573005519317611E-2</v>
      </c>
      <c r="N5" s="2">
        <f>('вместе-абс'!N5 - 'вместе-абс'!N$2) / 'вместе-абс'!N$2</f>
        <v>0.12954186413902052</v>
      </c>
      <c r="O5" s="2">
        <f>('вместе-абс'!O5 - 'вместе-абс'!O$2) / 'вместе-абс'!O$2</f>
        <v>1.8132105338897683E-2</v>
      </c>
      <c r="P5" s="2">
        <f>('вместе-абс'!P5 - 'вместе-абс'!P$2) / 'вместе-абс'!P$2</f>
        <v>4.5901639344262293E-2</v>
      </c>
      <c r="Q5" s="2">
        <f>('вместе-абс'!Q5 - 'вместе-абс'!Q$2) / 'вместе-абс'!Q$2</f>
        <v>8.2324455205811137E-2</v>
      </c>
      <c r="R5" s="2">
        <f>('вместе-абс'!R5 - 'вместе-абс'!R$2) / 'вместе-абс'!R$2</f>
        <v>3.0973451327433628E-2</v>
      </c>
      <c r="S5" s="2">
        <f>('вместе-абс'!S5 - 'вместе-абс'!S$2) / 'вместе-абс'!S$2</f>
        <v>5.2310374891020049E-2</v>
      </c>
      <c r="T5" s="2">
        <f>('вместе-абс'!T5 - 'вместе-абс'!T$2) / 'вместе-абс'!T$2</f>
        <v>5.2594171997157074E-2</v>
      </c>
      <c r="U5" s="2">
        <f>('вместе-абс'!U5 - 'вместе-абс'!U$2) / 'вместе-абс'!U$2</f>
        <v>2.4727272727272726E-2</v>
      </c>
      <c r="V5" s="2">
        <f>('вместе-абс'!V5 - 'вместе-абс'!V$2) / 'вместе-абс'!V$2</f>
        <v>-3.0252747252747254E-2</v>
      </c>
    </row>
    <row r="6" spans="1:22" x14ac:dyDescent="0.25">
      <c r="A6" s="12">
        <f t="shared" si="0"/>
        <v>1921</v>
      </c>
      <c r="B6" s="2">
        <f>('вместе-абс'!B6 - 'вместе-абс'!B$2) / 'вместе-абс'!B$2</f>
        <v>9.1178211959739491E-2</v>
      </c>
      <c r="C6" s="2">
        <f>('вместе-абс'!C6 - 'вместе-абс'!C$2) / 'вместе-абс'!C$2</f>
        <v>3.8443056222969729E-2</v>
      </c>
      <c r="D6" s="2">
        <f>('вместе-абс'!D6 - 'вместе-абс'!D$2) / 'вместе-абс'!D$2</f>
        <v>8.6934556194621482E-2</v>
      </c>
      <c r="E6" s="2">
        <f>('вместе-абс'!E6 - 'вместе-абс'!E$2) / 'вместе-абс'!E$2</f>
        <v>5.7354555433589464E-2</v>
      </c>
      <c r="F6" s="2">
        <f>('вместе-абс'!F6 - 'вместе-абс'!F$2) / 'вместе-абс'!F$2</f>
        <v>8.6789151356080493E-2</v>
      </c>
      <c r="G6" s="2">
        <f>('вместе-абс'!G6 - 'вместе-абс'!G$2) / 'вместе-абс'!G$2</f>
        <v>5.1980198019801978E-2</v>
      </c>
      <c r="H6" s="2">
        <f>('вместе-абс'!H6 - 'вместе-абс'!H$2) / 'вместе-абс'!H$2</f>
        <v>0.12272396212672979</v>
      </c>
      <c r="I6" s="2">
        <f>('вместе-абс'!I6 - 'вместе-абс'!I$2) / 'вместе-абс'!I$2</f>
        <v>8.9605734767025089E-2</v>
      </c>
      <c r="J6" s="2">
        <f>('вместе-абс'!J6 - 'вместе-абс'!J$2) / 'вместе-абс'!J$2</f>
        <v>4.3189368770764118E-2</v>
      </c>
      <c r="K6" s="2">
        <f>('вместе-абс'!K6 - 'вместе-абс'!K$2) / 'вместе-абс'!K$2</f>
        <v>7.1877807726864335E-2</v>
      </c>
      <c r="L6" s="2">
        <f>('вместе-абс'!L6 - 'вместе-абс'!L$2) / 'вместе-абс'!L$2</f>
        <v>7.5856443719412719E-2</v>
      </c>
      <c r="M6" s="2">
        <f>('вместе-абс'!M6 - 'вместе-абс'!M$2) / 'вместе-абс'!M$2</f>
        <v>7.9277471149021575E-2</v>
      </c>
      <c r="N6" s="2">
        <f>('вместе-абс'!N6 - 'вместе-абс'!N$2) / 'вместе-абс'!N$2</f>
        <v>0.17219589257503951</v>
      </c>
      <c r="O6" s="2">
        <f>('вместе-абс'!O6 - 'вместе-абс'!O$2) / 'вместе-абс'!O$2</f>
        <v>3.1443373147215424E-2</v>
      </c>
      <c r="P6" s="2">
        <f>('вместе-абс'!P6 - 'вместе-абс'!P$2) / 'вместе-абс'!P$2</f>
        <v>5.4098360655737705E-2</v>
      </c>
      <c r="Q6" s="2">
        <f>('вместе-абс'!Q6 - 'вместе-абс'!Q$2) / 'вместе-абс'!Q$2</f>
        <v>8.7167070217917669E-2</v>
      </c>
      <c r="R6" s="2">
        <f>('вместе-абс'!R6 - 'вместе-абс'!R$2) / 'вместе-абс'!R$2</f>
        <v>5.4572271386430678E-2</v>
      </c>
      <c r="S6" s="2">
        <f>('вместе-абс'!S6 - 'вместе-абс'!S$2) / 'вместе-абс'!S$2</f>
        <v>6.9747166521360066E-2</v>
      </c>
      <c r="T6" s="2">
        <f>('вместе-абс'!T6 - 'вместе-абс'!T$2) / 'вместе-абс'!T$2</f>
        <v>6.5387348969438527E-2</v>
      </c>
      <c r="U6" s="2">
        <f>('вместе-абс'!U6 - 'вместе-абс'!U$2) / 'вместе-абс'!U$2</f>
        <v>3.3818181818181817E-2</v>
      </c>
      <c r="V6" s="2">
        <f>('вместе-абс'!V6 - 'вместе-абс'!V$2) / 'вместе-абс'!V$2</f>
        <v>-3.2054945054945057E-2</v>
      </c>
    </row>
    <row r="7" spans="1:22" x14ac:dyDescent="0.25">
      <c r="A7" s="12">
        <f t="shared" si="0"/>
        <v>1922</v>
      </c>
      <c r="B7" s="2">
        <f>('вместе-абс'!B7 - 'вместе-абс'!B$2) / 'вместе-абс'!B$2</f>
        <v>0.12741267021906452</v>
      </c>
      <c r="C7" s="2">
        <f>('вместе-абс'!C7 - 'вместе-абс'!C$2) / 'вместе-абс'!C$2</f>
        <v>5.0456511292647763E-2</v>
      </c>
      <c r="D7" s="2">
        <f>('вместе-абс'!D7 - 'вместе-абс'!D$2) / 'вместе-абс'!D$2</f>
        <v>0.10920254935488885</v>
      </c>
      <c r="E7" s="2">
        <f>('вместе-абс'!E7 - 'вместе-абс'!E$2) / 'вместе-абс'!E$2</f>
        <v>7.2173435784851817E-2</v>
      </c>
      <c r="F7" s="2">
        <f>('вместе-абс'!F7 - 'вместе-абс'!F$2) / 'вместе-абс'!F$2</f>
        <v>0.10866141732283464</v>
      </c>
      <c r="G7" s="2">
        <f>('вместе-абс'!G7 - 'вместе-абс'!G$2) / 'вместе-абс'!G$2</f>
        <v>6.6831683168316836E-2</v>
      </c>
      <c r="H7" s="2">
        <f>('вместе-абс'!H7 - 'вместе-абс'!H$2) / 'вместе-абс'!H$2</f>
        <v>0.15440640932265112</v>
      </c>
      <c r="I7" s="2">
        <f>('вместе-абс'!I7 - 'вместе-абс'!I$2) / 'вместе-абс'!I$2</f>
        <v>0.13022700119474312</v>
      </c>
      <c r="J7" s="2">
        <f>('вместе-абс'!J7 - 'вместе-абс'!J$2) / 'вместе-абс'!J$2</f>
        <v>6.9767441860465115E-2</v>
      </c>
      <c r="K7" s="2">
        <f>('вместе-абс'!K7 - 'вместе-абс'!K$2) / 'вместе-абс'!K$2</f>
        <v>9.3441150044923635E-2</v>
      </c>
      <c r="L7" s="2">
        <f>('вместе-абс'!L7 - 'вместе-абс'!L$2) / 'вместе-абс'!L$2</f>
        <v>0.11500815660685156</v>
      </c>
      <c r="M7" s="2">
        <f>('вместе-абс'!M7 - 'вместе-абс'!M$2) / 'вместе-абс'!M$2</f>
        <v>9.282488710486704E-2</v>
      </c>
      <c r="N7" s="2">
        <f>('вместе-абс'!N7 - 'вместе-абс'!N$2) / 'вместе-абс'!N$2</f>
        <v>0.21484992101105846</v>
      </c>
      <c r="O7" s="2">
        <f>('вместе-абс'!O7 - 'вместе-абс'!O$2) / 'вместе-абс'!O$2</f>
        <v>3.9286228234278311E-2</v>
      </c>
      <c r="P7" s="2">
        <f>('вместе-абс'!P7 - 'вместе-абс'!P$2) / 'вместе-абс'!P$2</f>
        <v>6.0655737704918035E-2</v>
      </c>
      <c r="Q7" s="2">
        <f>('вместе-абс'!Q7 - 'вместе-абс'!Q$2) / 'вместе-абс'!Q$2</f>
        <v>9.2009685230024216E-2</v>
      </c>
      <c r="R7" s="2">
        <f>('вместе-абс'!R7 - 'вместе-абс'!R$2) / 'вместе-абс'!R$2</f>
        <v>7.9646017699115043E-2</v>
      </c>
      <c r="S7" s="2">
        <f>('вместе-абс'!S7 - 'вместе-абс'!S$2) / 'вместе-абс'!S$2</f>
        <v>8.7401918047079336E-2</v>
      </c>
      <c r="T7" s="2">
        <f>('вместе-абс'!T7 - 'вместе-абс'!T$2) / 'вместе-абс'!T$2</f>
        <v>7.8180525941719967E-2</v>
      </c>
      <c r="U7" s="2">
        <f>('вместе-абс'!U7 - 'вместе-абс'!U$2) / 'вместе-абс'!U$2</f>
        <v>4.363636363636364E-2</v>
      </c>
      <c r="V7" s="2">
        <f>('вместе-абс'!V7 - 'вместе-абс'!V$2) / 'вместе-абс'!V$2</f>
        <v>-3.3857142857142856E-2</v>
      </c>
    </row>
    <row r="8" spans="1:22" x14ac:dyDescent="0.25">
      <c r="A8" s="12">
        <f t="shared" si="0"/>
        <v>1923</v>
      </c>
      <c r="B8" s="2">
        <f>('вместе-абс'!B8 - 'вместе-абс'!B$2) / 'вместе-абс'!B$2</f>
        <v>0.17134399052693902</v>
      </c>
      <c r="C8" s="2">
        <f>('вместе-абс'!C8 - 'вместе-абс'!C$2) / 'вместе-абс'!C$2</f>
        <v>6.2950504565112933E-2</v>
      </c>
      <c r="D8" s="2">
        <f>('вместе-абс'!D8 - 'вместе-абс'!D$2) / 'вместе-абс'!D$2</f>
        <v>0.13189802580444582</v>
      </c>
      <c r="E8" s="2">
        <f>('вместе-абс'!E8 - 'вместе-абс'!E$2) / 'вместе-абс'!E$2</f>
        <v>8.6992316136114162E-2</v>
      </c>
      <c r="F8" s="2">
        <f>('вместе-абс'!F8 - 'вместе-абс'!F$2) / 'вместе-абс'!F$2</f>
        <v>0.13088363954505686</v>
      </c>
      <c r="G8" s="2">
        <f>('вместе-абс'!G8 - 'вместе-абс'!G$2) / 'вместе-абс'!G$2</f>
        <v>8.6633663366336627E-2</v>
      </c>
      <c r="H8" s="2">
        <f>('вместе-абс'!H8 - 'вместе-абс'!H$2) / 'вместе-абс'!H$2</f>
        <v>0.18608885651857246</v>
      </c>
      <c r="I8" s="2">
        <f>('вместе-абс'!I8 - 'вместе-абс'!I$2) / 'вместе-абс'!I$2</f>
        <v>0.17204301075268819</v>
      </c>
      <c r="J8" s="2">
        <f>('вместе-абс'!J8 - 'вместе-абс'!J$2) / 'вместе-абс'!J$2</f>
        <v>9.3687707641196008E-2</v>
      </c>
      <c r="K8" s="2">
        <f>('вместе-абс'!K8 - 'вместе-абс'!K$2) / 'вместе-абс'!K$2</f>
        <v>0.11769991015274034</v>
      </c>
      <c r="L8" s="2">
        <f>('вместе-абс'!L8 - 'вместе-абс'!L$2) / 'вместе-абс'!L$2</f>
        <v>0.15497553017944535</v>
      </c>
      <c r="M8" s="2">
        <f>('вместе-абс'!M8 - 'вместе-абс'!M$2) / 'вместе-абс'!M$2</f>
        <v>0.10687405920722529</v>
      </c>
      <c r="N8" s="2">
        <f>('вместе-абс'!N8 - 'вместе-абс'!N$2) / 'вместе-абс'!N$2</f>
        <v>0.25750394944707738</v>
      </c>
      <c r="O8" s="2">
        <f>('вместе-абс'!O8 - 'вместе-абс'!O$2) / 'вместе-абс'!O$2</f>
        <v>5.7202475176284358E-2</v>
      </c>
      <c r="P8" s="2">
        <f>('вместе-абс'!P8 - 'вместе-абс'!P$2) / 'вместе-абс'!P$2</f>
        <v>6.8852459016393447E-2</v>
      </c>
      <c r="Q8" s="2">
        <f>('вместе-абс'!Q8 - 'вместе-абс'!Q$2) / 'вместе-абс'!Q$2</f>
        <v>9.6852300242130748E-2</v>
      </c>
      <c r="R8" s="2">
        <f>('вместе-абс'!R8 - 'вместе-абс'!R$2) / 'вместе-абс'!R$2</f>
        <v>0.10471976401179942</v>
      </c>
      <c r="S8" s="2">
        <f>('вместе-абс'!S8 - 'вместе-абс'!S$2) / 'вместе-абс'!S$2</f>
        <v>0.10483870967741936</v>
      </c>
      <c r="T8" s="2">
        <f>('вместе-абс'!T8 - 'вместе-абс'!T$2) / 'вместе-абс'!T$2</f>
        <v>9.097370291400142E-2</v>
      </c>
      <c r="U8" s="2">
        <f>('вместе-абс'!U8 - 'вместе-абс'!U$2) / 'вместе-абс'!U$2</f>
        <v>5.3818181818181821E-2</v>
      </c>
      <c r="V8" s="2">
        <f>('вместе-абс'!V8 - 'вместе-абс'!V$2) / 'вместе-абс'!V$2</f>
        <v>-3.5659340659340656E-2</v>
      </c>
    </row>
    <row r="9" spans="1:22" x14ac:dyDescent="0.25">
      <c r="A9" s="12">
        <f t="shared" si="0"/>
        <v>1924</v>
      </c>
      <c r="B9" s="2">
        <f>('вместе-абс'!B9 - 'вместе-абс'!B$2) / 'вместе-абс'!B$2</f>
        <v>0.20970988750740083</v>
      </c>
      <c r="C9" s="2">
        <f>('вместе-абс'!C9 - 'вместе-абс'!C$2) / 'вместе-абс'!C$2</f>
        <v>7.4963959634790966E-2</v>
      </c>
      <c r="D9" s="2">
        <f>('вместе-абс'!D9 - 'вместе-абс'!D$2) / 'вместе-абс'!D$2</f>
        <v>0.15509870977770868</v>
      </c>
      <c r="E9" s="2">
        <f>('вместе-абс'!E9 - 'вместе-абс'!E$2) / 'вместе-абс'!E$2</f>
        <v>0.10236004390779363</v>
      </c>
      <c r="F9" s="2">
        <f>('вместе-абс'!F9 - 'вместе-абс'!F$2) / 'вместе-абс'!F$2</f>
        <v>0.15345581802274716</v>
      </c>
      <c r="G9" s="2">
        <f>('вместе-абс'!G9 - 'вместе-абс'!G$2) / 'вместе-абс'!G$2</f>
        <v>0.10643564356435643</v>
      </c>
      <c r="H9" s="2">
        <f>('вместе-абс'!H9 - 'вместе-абс'!H$2) / 'вместе-абс'!H$2</f>
        <v>0.21813546977421705</v>
      </c>
      <c r="I9" s="2">
        <f>('вместе-абс'!I9 - 'вместе-абс'!I$2) / 'вместе-абс'!I$2</f>
        <v>0.21505376344086022</v>
      </c>
      <c r="J9" s="2">
        <f>('вместе-абс'!J9 - 'вместе-абс'!J$2) / 'вместе-абс'!J$2</f>
        <v>0.11960132890365449</v>
      </c>
      <c r="K9" s="2">
        <f>('вместе-абс'!K9 - 'вместе-абс'!K$2) / 'вместе-абс'!K$2</f>
        <v>0.14465408805031446</v>
      </c>
      <c r="L9" s="2">
        <f>('вместе-абс'!L9 - 'вместе-абс'!L$2) / 'вместе-абс'!L$2</f>
        <v>0.199836867862969</v>
      </c>
      <c r="M9" s="2">
        <f>('вместе-абс'!M9 - 'вместе-абс'!M$2) / 'вместе-абс'!M$2</f>
        <v>0.11991971901655796</v>
      </c>
      <c r="N9" s="2">
        <f>('вместе-абс'!N9 - 'вместе-абс'!N$2) / 'вместе-абс'!N$2</f>
        <v>0.30173775671406006</v>
      </c>
      <c r="O9" s="2">
        <f>('вместе-абс'!O9 - 'вместе-абс'!O$2) / 'вместе-абс'!O$2</f>
        <v>7.5334580515182034E-2</v>
      </c>
      <c r="P9" s="2">
        <f>('вместе-абс'!P9 - 'вместе-абс'!P$2) / 'вместе-абс'!P$2</f>
        <v>7.5409836065573776E-2</v>
      </c>
      <c r="Q9" s="2">
        <f>('вместе-абс'!Q9 - 'вместе-абс'!Q$2) / 'вместе-абс'!Q$2</f>
        <v>0.10169491525423729</v>
      </c>
      <c r="R9" s="2">
        <f>('вместе-абс'!R9 - 'вместе-абс'!R$2) / 'вместе-абс'!R$2</f>
        <v>0.13126843657817108</v>
      </c>
      <c r="S9" s="2">
        <f>('вместе-абс'!S9 - 'вместе-абс'!S$2) / 'вместе-абс'!S$2</f>
        <v>0.12205754141238012</v>
      </c>
      <c r="T9" s="2">
        <f>('вместе-абс'!T9 - 'вместе-абс'!T$2) / 'вместе-абс'!T$2</f>
        <v>0.10376687988628287</v>
      </c>
      <c r="U9" s="2">
        <f>('вместе-абс'!U9 - 'вместе-абс'!U$2) / 'вместе-абс'!U$2</f>
        <v>6.363636363636363E-2</v>
      </c>
      <c r="V9" s="2">
        <f>('вместе-абс'!V9 - 'вместе-абс'!V$2) / 'вместе-абс'!V$2</f>
        <v>-1.7747252747252747E-2</v>
      </c>
    </row>
    <row r="10" spans="1:22" x14ac:dyDescent="0.25">
      <c r="A10" s="12">
        <f t="shared" si="0"/>
        <v>1925</v>
      </c>
      <c r="B10" s="2">
        <f>('вместе-абс'!B10 - 'вместе-абс'!B$2) / 'вместе-абс'!B$2</f>
        <v>0.2433392539964476</v>
      </c>
      <c r="C10" s="2">
        <f>('вместе-абс'!C10 - 'вместе-абс'!C$2) / 'вместе-абс'!C$2</f>
        <v>8.7457952907256123E-2</v>
      </c>
      <c r="D10" s="2">
        <f>('вместе-абс'!D10 - 'вместе-абс'!D$2) / 'вместе-абс'!D$2</f>
        <v>0.17876573915746929</v>
      </c>
      <c r="E10" s="2">
        <f>('вместе-абс'!E10 - 'вместе-абс'!E$2) / 'вместе-абс'!E$2</f>
        <v>0.11772777167947311</v>
      </c>
      <c r="F10" s="2">
        <f>('вместе-абс'!F10 - 'вместе-абс'!F$2) / 'вместе-абс'!F$2</f>
        <v>0.17655293088363955</v>
      </c>
      <c r="G10" s="2">
        <f>('вместе-абс'!G10 - 'вместе-абс'!G$2) / 'вместе-абс'!G$2</f>
        <v>0.12871287128712872</v>
      </c>
      <c r="H10" s="2">
        <f>('вместе-абс'!H10 - 'вместе-абс'!H$2) / 'вместе-абс'!H$2</f>
        <v>0.24981791697013839</v>
      </c>
      <c r="I10" s="2">
        <f>('вместе-абс'!I10 - 'вместе-абс'!I$2) / 'вместе-абс'!I$2</f>
        <v>0.25925925925925924</v>
      </c>
      <c r="J10" s="2">
        <f>('вместе-абс'!J10 - 'вместе-абс'!J$2) / 'вместе-абс'!J$2</f>
        <v>0.14551495016611296</v>
      </c>
      <c r="K10" s="2">
        <f>('вместе-абс'!K10 - 'вместе-абс'!K$2) / 'вместе-абс'!K$2</f>
        <v>0.16891284815813118</v>
      </c>
      <c r="L10" s="2">
        <f>('вместе-абс'!L10 - 'вместе-абс'!L$2) / 'вместе-абс'!L$2</f>
        <v>0.23491027732463296</v>
      </c>
      <c r="M10" s="2">
        <f>('вместе-абс'!M10 - 'вместе-абс'!M$2) / 'вместе-абс'!M$2</f>
        <v>0.13396889111891622</v>
      </c>
      <c r="N10" s="2">
        <f>('вместе-абс'!N10 - 'вместе-абс'!N$2) / 'вместе-абс'!N$2</f>
        <v>0.34439178515007901</v>
      </c>
      <c r="O10" s="2">
        <f>('вместе-абс'!O10 - 'вместе-абс'!O$2) / 'вместе-абс'!O$2</f>
        <v>9.3970355446826886E-2</v>
      </c>
      <c r="P10" s="2">
        <f>('вместе-абс'!P10 - 'вместе-абс'!P$2) / 'вместе-абс'!P$2</f>
        <v>8.1967213114754092E-2</v>
      </c>
      <c r="Q10" s="2">
        <f>('вместе-абс'!Q10 - 'вместе-абс'!Q$2) / 'вместе-абс'!Q$2</f>
        <v>0.10653753026634383</v>
      </c>
      <c r="R10" s="2">
        <f>('вместе-абс'!R10 - 'вместе-абс'!R$2) / 'вместе-абс'!R$2</f>
        <v>0.15781710914454278</v>
      </c>
      <c r="S10" s="2">
        <f>('вместе-абс'!S10 - 'вместе-абс'!S$2) / 'вместе-абс'!S$2</f>
        <v>0.13971229293809939</v>
      </c>
      <c r="T10" s="2">
        <f>('вместе-абс'!T10 - 'вместе-абс'!T$2) / 'вместе-абс'!T$2</f>
        <v>0.11656005685856433</v>
      </c>
      <c r="U10" s="2">
        <f>('вместе-абс'!U10 - 'вместе-абс'!U$2) / 'вместе-абс'!U$2</f>
        <v>7.3818181818181824E-2</v>
      </c>
      <c r="V10" s="2">
        <f>('вместе-абс'!V10 - 'вместе-абс'!V$2) / 'вместе-абс'!V$2</f>
        <v>4.8351648351648349E-4</v>
      </c>
    </row>
    <row r="11" spans="1:22" x14ac:dyDescent="0.25">
      <c r="A11" s="12">
        <f t="shared" si="0"/>
        <v>1926</v>
      </c>
      <c r="B11" s="2">
        <f>('вместе-абс'!B11 - 'вместе-абс'!B$2) / 'вместе-абс'!B$2</f>
        <v>0.27933688573120191</v>
      </c>
      <c r="C11" s="2">
        <f>('вместе-абс'!C11 - 'вместе-абс'!C$2) / 'вместе-абс'!C$2</f>
        <v>9.9951946179721293E-2</v>
      </c>
      <c r="D11" s="2">
        <f>('вместе-абс'!D11 - 'вместе-абс'!D$2) / 'вместе-абс'!D$2</f>
        <v>0.20289911394372764</v>
      </c>
      <c r="E11" s="2">
        <f>('вместе-абс'!E11 - 'вместе-абс'!E$2) / 'вместе-абс'!E$2</f>
        <v>0.13336992316136115</v>
      </c>
      <c r="F11" s="2">
        <f>('вместе-абс'!F11 - 'вместе-абс'!F$2) / 'вместе-абс'!F$2</f>
        <v>0.20017497812773402</v>
      </c>
      <c r="G11" s="2">
        <f>('вместе-абс'!G11 - 'вместе-абс'!G$2) / 'вместе-абс'!G$2</f>
        <v>0.15346534653465346</v>
      </c>
      <c r="H11" s="2">
        <f>('вместе-абс'!H11 - 'вместе-абс'!H$2) / 'вместе-абс'!H$2</f>
        <v>0.28150036416605972</v>
      </c>
      <c r="I11" s="2">
        <f>('вместе-абс'!I11 - 'вместе-абс'!I$2) / 'вместе-абс'!I$2</f>
        <v>0.30465949820788529</v>
      </c>
      <c r="J11" s="2">
        <f>('вместе-абс'!J11 - 'вместе-абс'!J$2) / 'вместе-абс'!J$2</f>
        <v>0.1707641196013289</v>
      </c>
      <c r="K11" s="2">
        <f>('вместе-абс'!K11 - 'вместе-абс'!K$2) / 'вместе-абс'!K$2</f>
        <v>0.19047619047619047</v>
      </c>
      <c r="L11" s="2">
        <f>('вместе-абс'!L11 - 'вместе-абс'!L$2) / 'вместе-абс'!L$2</f>
        <v>0.26998368678629692</v>
      </c>
      <c r="M11" s="2">
        <f>('вместе-абс'!M11 - 'вместе-абс'!M$2) / 'вместе-абс'!M$2</f>
        <v>0.15002508780732565</v>
      </c>
      <c r="N11" s="2">
        <f>('вместе-абс'!N11 - 'вместе-абс'!N$2) / 'вместе-абс'!N$2</f>
        <v>0.38704581358609796</v>
      </c>
      <c r="O11" s="2">
        <f>('вместе-абс'!O11 - 'вместе-абс'!O$2) / 'вместе-абс'!O$2</f>
        <v>0.11296589437329112</v>
      </c>
      <c r="P11" s="2">
        <f>('вместе-абс'!P11 - 'вместе-абс'!P$2) / 'вместе-абс'!P$2</f>
        <v>9.0163934426229511E-2</v>
      </c>
      <c r="Q11" s="2">
        <f>('вместе-абс'!Q11 - 'вместе-абс'!Q$2) / 'вместе-абс'!Q$2</f>
        <v>0.11138014527845036</v>
      </c>
      <c r="R11" s="2">
        <f>('вместе-абс'!R11 - 'вместе-абс'!R$2) / 'вместе-абс'!R$2</f>
        <v>0.18436578171091444</v>
      </c>
      <c r="S11" s="2">
        <f>('вместе-абс'!S11 - 'вместе-абс'!S$2) / 'вместе-абс'!S$2</f>
        <v>0.15802092414995642</v>
      </c>
      <c r="T11" s="2">
        <f>('вместе-абс'!T11 - 'вместе-абс'!T$2) / 'вместе-абс'!T$2</f>
        <v>0.14001421464108033</v>
      </c>
      <c r="U11" s="2">
        <f>('вместе-абс'!U11 - 'вместе-абс'!U$2) / 'вместе-абс'!U$2</f>
        <v>8.4000000000000005E-2</v>
      </c>
      <c r="V11" s="2">
        <f>('вместе-абс'!V11 - 'вместе-абс'!V$2) / 'вместе-абс'!V$2</f>
        <v>1.9065934065934067E-2</v>
      </c>
    </row>
    <row r="12" spans="1:22" x14ac:dyDescent="0.25">
      <c r="A12" s="12">
        <f t="shared" si="0"/>
        <v>1927</v>
      </c>
      <c r="B12" s="2">
        <f>('вместе-абс'!B12 - 'вместе-абс'!B$2) / 'вместе-абс'!B$2</f>
        <v>0.31746595618709295</v>
      </c>
      <c r="C12" s="2">
        <f>('вместе-абс'!C12 - 'вместе-абс'!C$2) / 'вместе-абс'!C$2</f>
        <v>0.11292647765497357</v>
      </c>
      <c r="D12" s="2">
        <f>('вместе-абс'!D12 - 'вместе-абс'!D$2) / 'вместе-абс'!D$2</f>
        <v>0.22753769625369191</v>
      </c>
      <c r="E12" s="2">
        <f>('вместе-абс'!E12 - 'вместе-абс'!E$2) / 'вместе-абс'!E$2</f>
        <v>0.14928649835345773</v>
      </c>
      <c r="F12" s="2">
        <f>('вместе-абс'!F12 - 'вместе-абс'!F$2) / 'вместе-абс'!F$2</f>
        <v>0.2241469816272966</v>
      </c>
      <c r="G12" s="2">
        <f>('вместе-абс'!G12 - 'вместе-абс'!G$2) / 'вместе-абс'!G$2</f>
        <v>0.16831683168316833</v>
      </c>
      <c r="H12" s="2">
        <f>('вместе-абс'!H12 - 'вместе-абс'!H$2) / 'вместе-абс'!H$2</f>
        <v>0.31318281136198106</v>
      </c>
      <c r="I12" s="2">
        <f>('вместе-абс'!I12 - 'вместе-абс'!I$2) / 'вместе-абс'!I$2</f>
        <v>0.35125448028673834</v>
      </c>
      <c r="J12" s="2">
        <f>('вместе-абс'!J12 - 'вместе-абс'!J$2) / 'вместе-абс'!J$2</f>
        <v>0.19601328903654486</v>
      </c>
      <c r="K12" s="2">
        <f>('вместе-абс'!K12 - 'вместе-абс'!K$2) / 'вместе-абс'!K$2</f>
        <v>0.21383647798742139</v>
      </c>
      <c r="L12" s="2">
        <f>('вместе-абс'!L12 - 'вместе-абс'!L$2) / 'вместе-абс'!L$2</f>
        <v>0.30668841761827081</v>
      </c>
      <c r="M12" s="2">
        <f>('вместе-абс'!M12 - 'вместе-абс'!M$2) / 'вместе-абс'!M$2</f>
        <v>0.16658304064224785</v>
      </c>
      <c r="N12" s="2">
        <f>('вместе-абс'!N12 - 'вместе-абс'!N$2) / 'вместе-абс'!N$2</f>
        <v>0.41074249605055291</v>
      </c>
      <c r="O12" s="2">
        <f>('вместе-абс'!O12 - 'вместе-абс'!O$2) / 'вместе-абс'!O$2</f>
        <v>0.13239315009353864</v>
      </c>
      <c r="P12" s="2">
        <f>('вместе-абс'!P12 - 'вместе-абс'!P$2) / 'вместе-абс'!P$2</f>
        <v>9.8360655737704916E-2</v>
      </c>
      <c r="Q12" s="2">
        <f>('вместе-абс'!Q12 - 'вместе-абс'!Q$2) / 'вместе-абс'!Q$2</f>
        <v>0.11864406779661017</v>
      </c>
      <c r="R12" s="2">
        <f>('вместе-абс'!R12 - 'вместе-абс'!R$2) / 'вместе-абс'!R$2</f>
        <v>0.21238938053097345</v>
      </c>
      <c r="S12" s="2">
        <f>('вместе-абс'!S12 - 'вместе-абс'!S$2) / 'вместе-абс'!S$2</f>
        <v>0.17676547515257193</v>
      </c>
      <c r="T12" s="2">
        <f>('вместе-абс'!T12 - 'вместе-абс'!T$2) / 'вместе-абс'!T$2</f>
        <v>0.16275764036958068</v>
      </c>
      <c r="U12" s="2">
        <f>('вместе-абс'!U12 - 'вместе-абс'!U$2) / 'вместе-абс'!U$2</f>
        <v>9.5272727272727273E-2</v>
      </c>
      <c r="V12" s="2">
        <f>('вместе-абс'!V12 - 'вместе-абс'!V$2) / 'вместе-абс'!V$2</f>
        <v>2.8615384615384615E-2</v>
      </c>
    </row>
    <row r="13" spans="1:22" x14ac:dyDescent="0.25">
      <c r="A13" s="12">
        <f t="shared" si="0"/>
        <v>1928</v>
      </c>
      <c r="B13" s="2">
        <f>('вместе-абс'!B13 - 'вместе-абс'!B$2) / 'вместе-абс'!B$2</f>
        <v>0.35441089402013026</v>
      </c>
      <c r="C13" s="2">
        <f>('вместе-абс'!C13 - 'вместе-абс'!C$2) / 'вместе-абс'!C$2</f>
        <v>0.12590100913022587</v>
      </c>
      <c r="D13" s="2">
        <f>('вместе-абс'!D13 - 'вместе-абс'!D$2) / 'вместе-абс'!D$2</f>
        <v>0.25268148608736202</v>
      </c>
      <c r="E13" s="2">
        <f>('вместе-абс'!E13 - 'вместе-абс'!E$2) / 'вместе-абс'!E$2</f>
        <v>0.16520307354555433</v>
      </c>
      <c r="F13" s="2">
        <f>('вместе-абс'!F13 - 'вместе-абс'!F$2) / 'вместе-абс'!F$2</f>
        <v>0.24864391951006123</v>
      </c>
      <c r="G13" s="2">
        <f>('вместе-абс'!G13 - 'вместе-абс'!G$2) / 'вместе-абс'!G$2</f>
        <v>0.18564356435643564</v>
      </c>
      <c r="H13" s="2">
        <f>('вместе-абс'!H13 - 'вместе-абс'!H$2) / 'вместе-абс'!H$2</f>
        <v>0.27713037144938091</v>
      </c>
      <c r="I13" s="2">
        <f>('вместе-абс'!I13 - 'вместе-абс'!I$2) / 'вместе-абс'!I$2</f>
        <v>0.40023894862604542</v>
      </c>
      <c r="J13" s="2">
        <f>('вместе-абс'!J13 - 'вместе-абс'!J$2) / 'вместе-абс'!J$2</f>
        <v>0.22657807308970099</v>
      </c>
      <c r="K13" s="2">
        <f>('вместе-абс'!K13 - 'вместе-абс'!K$2) / 'вместе-абс'!K$2</f>
        <v>0.24438454627133874</v>
      </c>
      <c r="L13" s="2">
        <f>('вместе-абс'!L13 - 'вместе-абс'!L$2) / 'вместе-абс'!L$2</f>
        <v>0.35399673735725939</v>
      </c>
      <c r="M13" s="2">
        <f>('вместе-абс'!M13 - 'вместе-абс'!M$2) / 'вместе-абс'!M$2</f>
        <v>0.18263923733065729</v>
      </c>
      <c r="N13" s="2">
        <f>('вместе-абс'!N13 - 'вместе-абс'!N$2) / 'вместе-абс'!N$2</f>
        <v>0.4391785150078989</v>
      </c>
      <c r="O13" s="2">
        <f>('вместе-абс'!O13 - 'вместе-абс'!O$2) / 'вместе-абс'!O$2</f>
        <v>0.15210821700964167</v>
      </c>
      <c r="P13" s="2">
        <f>('вместе-абс'!P13 - 'вместе-абс'!P$2) / 'вместе-абс'!P$2</f>
        <v>0.10491803278688525</v>
      </c>
      <c r="Q13" s="2">
        <f>('вместе-абс'!Q13 - 'вместе-абс'!Q$2) / 'вместе-абс'!Q$2</f>
        <v>0.12348668280871671</v>
      </c>
      <c r="R13" s="2">
        <f>('вместе-абс'!R13 - 'вместе-абс'!R$2) / 'вместе-абс'!R$2</f>
        <v>0.24041297935103245</v>
      </c>
      <c r="S13" s="2">
        <f>('вместе-абс'!S13 - 'вместе-абс'!S$2) / 'вместе-абс'!S$2</f>
        <v>0.1948561464690497</v>
      </c>
      <c r="T13" s="2">
        <f>('вместе-абс'!T13 - 'вместе-абс'!T$2) / 'вместе-абс'!T$2</f>
        <v>0.18621179815209665</v>
      </c>
      <c r="U13" s="2">
        <f>('вместе-абс'!U13 - 'вместе-абс'!U$2) / 'вместе-абс'!U$2</f>
        <v>0.108</v>
      </c>
      <c r="V13" s="2">
        <f>('вместе-абс'!V13 - 'вместе-абс'!V$2) / 'вместе-абс'!V$2</f>
        <v>5.0406593406593404E-2</v>
      </c>
    </row>
    <row r="14" spans="1:22" x14ac:dyDescent="0.25">
      <c r="A14" s="12">
        <f t="shared" si="0"/>
        <v>1929</v>
      </c>
      <c r="B14" s="2">
        <f>('вместе-абс'!B14 - 'вместе-абс'!B$2) / 'вместе-абс'!B$2</f>
        <v>0.39088217880402604</v>
      </c>
      <c r="C14" s="2">
        <f>('вместе-абс'!C14 - 'вместе-абс'!C$2) / 'вместе-абс'!C$2</f>
        <v>0.13887554060547813</v>
      </c>
      <c r="D14" s="2">
        <f>('вместе-абс'!D14 - 'вместе-абс'!D$2) / 'вместе-абс'!D$2</f>
        <v>0.27833048344473804</v>
      </c>
      <c r="E14" s="2">
        <f>('вместе-абс'!E14 - 'вместе-абс'!E$2) / 'вместе-абс'!E$2</f>
        <v>0.18139407244785949</v>
      </c>
      <c r="F14" s="2">
        <f>('вместе-абс'!F14 - 'вместе-абс'!F$2) / 'вместе-абс'!F$2</f>
        <v>0.27366579177602801</v>
      </c>
      <c r="G14" s="2">
        <f>('вместе-абс'!G14 - 'вместе-абс'!G$2) / 'вместе-абс'!G$2</f>
        <v>0.21039603960396039</v>
      </c>
      <c r="H14" s="2">
        <f>('вместе-абс'!H14 - 'вместе-абс'!H$2) / 'вместе-абс'!H$2</f>
        <v>0.3026219956300073</v>
      </c>
      <c r="I14" s="2">
        <f>('вместе-абс'!I14 - 'вместе-абс'!I$2) / 'вместе-абс'!I$2</f>
        <v>0.44922341696535245</v>
      </c>
      <c r="J14" s="2">
        <f>('вместе-абс'!J14 - 'вместе-абс'!J$2) / 'вместе-абс'!J$2</f>
        <v>0.25647840531561461</v>
      </c>
      <c r="K14" s="2">
        <f>('вместе-абс'!K14 - 'вместе-абс'!K$2) / 'вместе-абс'!K$2</f>
        <v>0.26864330637915546</v>
      </c>
      <c r="L14" s="2">
        <f>('вместе-абс'!L14 - 'вместе-абс'!L$2) / 'вместе-абс'!L$2</f>
        <v>0.39151712887438828</v>
      </c>
      <c r="M14" s="2">
        <f>('вместе-абс'!M14 - 'вместе-абс'!M$2) / 'вместе-абс'!M$2</f>
        <v>0.19919719016557952</v>
      </c>
      <c r="N14" s="2">
        <f>('вместе-абс'!N14 - 'вместе-абс'!N$2) / 'вместе-абс'!N$2</f>
        <v>0.46603475513428122</v>
      </c>
      <c r="O14" s="2">
        <f>('вместе-абс'!O14 - 'вместе-абс'!O$2) / 'вместе-абс'!O$2</f>
        <v>0.21787307526262772</v>
      </c>
      <c r="P14" s="2">
        <f>('вместе-абс'!P14 - 'вместе-абс'!P$2) / 'вместе-абс'!P$2</f>
        <v>0.11311475409836065</v>
      </c>
      <c r="Q14" s="2">
        <f>('вместе-абс'!Q14 - 'вместе-абс'!Q$2) / 'вместе-абс'!Q$2</f>
        <v>0.12832929782082325</v>
      </c>
      <c r="R14" s="2">
        <f>('вместе-абс'!R14 - 'вместе-абс'!R$2) / 'вместе-абс'!R$2</f>
        <v>0.26843657817109146</v>
      </c>
      <c r="S14" s="2">
        <f>('вместе-абс'!S14 - 'вместе-абс'!S$2) / 'вместе-абс'!S$2</f>
        <v>0.21338273757628595</v>
      </c>
      <c r="T14" s="2">
        <f>('вместе-абс'!T14 - 'вместе-абс'!T$2) / 'вместе-абс'!T$2</f>
        <v>0.20895522388059701</v>
      </c>
      <c r="U14" s="2">
        <f>('вместе-абс'!U14 - 'вместе-абс'!U$2) / 'вместе-абс'!U$2</f>
        <v>0.12072727272727272</v>
      </c>
      <c r="V14" s="2">
        <f>('вместе-абс'!V14 - 'вместе-абс'!V$2) / 'вместе-абс'!V$2</f>
        <v>7.3857142857142857E-2</v>
      </c>
    </row>
    <row r="15" spans="1:22" x14ac:dyDescent="0.25">
      <c r="A15" s="12">
        <f t="shared" si="0"/>
        <v>1930</v>
      </c>
      <c r="B15" s="2">
        <f>('вместе-абс'!B15 - 'вместе-абс'!B$2) / 'вместе-абс'!B$2</f>
        <v>0.42652457075192424</v>
      </c>
      <c r="C15" s="2">
        <f>('вместе-абс'!C15 - 'вместе-абс'!C$2) / 'вместе-абс'!C$2</f>
        <v>0.15185007208073042</v>
      </c>
      <c r="D15" s="2">
        <f>('вместе-абс'!D15 - 'вместе-абс'!D$2) / 'вместе-абс'!D$2</f>
        <v>0.30452355044302815</v>
      </c>
      <c r="E15" s="2">
        <f>('вместе-абс'!E15 - 'вместе-абс'!E$2) / 'вместе-абс'!E$2</f>
        <v>0.1978594950603732</v>
      </c>
      <c r="F15" s="2">
        <f>('вместе-абс'!F15 - 'вместе-абс'!F$2) / 'вместе-абс'!F$2</f>
        <v>0.29921259842519687</v>
      </c>
      <c r="G15" s="2">
        <f>('вместе-абс'!G15 - 'вместе-абс'!G$2) / 'вместе-абс'!G$2</f>
        <v>0.23514851485148514</v>
      </c>
      <c r="H15" s="2">
        <f>('вместе-абс'!H15 - 'вместе-абс'!H$2) / 'вместе-абс'!H$2</f>
        <v>0.32811361981063364</v>
      </c>
      <c r="I15" s="2">
        <f>('вместе-абс'!I15 - 'вместе-абс'!I$2) / 'вместе-абс'!I$2</f>
        <v>0.50059737156511352</v>
      </c>
      <c r="J15" s="2">
        <f>('вместе-абс'!J15 - 'вместе-абс'!J$2) / 'вместе-абс'!J$2</f>
        <v>0.29169435215946843</v>
      </c>
      <c r="K15" s="2">
        <f>('вместе-абс'!K15 - 'вместе-абс'!K$2) / 'вместе-абс'!K$2</f>
        <v>0.29649595687331537</v>
      </c>
      <c r="L15" s="2">
        <f>('вместе-абс'!L15 - 'вместе-абс'!L$2) / 'вместе-абс'!L$2</f>
        <v>0.43148450244698205</v>
      </c>
      <c r="M15" s="2">
        <f>('вместе-абс'!M15 - 'вместе-абс'!M$2) / 'вместе-абс'!M$2</f>
        <v>0.21525338685398895</v>
      </c>
      <c r="N15" s="2">
        <f>('вместе-абс'!N15 - 'вместе-абс'!N$2) / 'вместе-абс'!N$2</f>
        <v>0.49763033175355448</v>
      </c>
      <c r="O15" s="2">
        <f>('вместе-абс'!O15 - 'вместе-абс'!O$2) / 'вместе-абс'!O$2</f>
        <v>0.19103468124910059</v>
      </c>
      <c r="P15" s="2">
        <f>('вместе-абс'!P15 - 'вместе-абс'!P$2) / 'вместе-абс'!P$2</f>
        <v>0.11967213114754098</v>
      </c>
      <c r="Q15" s="2">
        <f>('вместе-абс'!Q15 - 'вместе-абс'!Q$2) / 'вместе-абс'!Q$2</f>
        <v>0.14043583535108958</v>
      </c>
      <c r="R15" s="2">
        <f>('вместе-абс'!R15 - 'вместе-абс'!R$2) / 'вместе-абс'!R$2</f>
        <v>0.29793510324483774</v>
      </c>
      <c r="S15" s="2">
        <f>('вместе-абс'!S15 - 'вместе-абс'!S$2) / 'вместе-абс'!S$2</f>
        <v>0.23169136878814298</v>
      </c>
      <c r="T15" s="2">
        <f>('вместе-абс'!T15 - 'вместе-абс'!T$2) / 'вместе-абс'!T$2</f>
        <v>0.23240938166311301</v>
      </c>
      <c r="U15" s="2">
        <f>('вместе-абс'!U15 - 'вместе-абс'!U$2) / 'вместе-абс'!U$2</f>
        <v>0.13381818181818181</v>
      </c>
      <c r="V15" s="2">
        <f>('вместе-абс'!V15 - 'вместе-абс'!V$2) / 'вместе-абс'!V$2</f>
        <v>9.4131868131868135E-2</v>
      </c>
    </row>
    <row r="16" spans="1:22" x14ac:dyDescent="0.25">
      <c r="A16" s="12">
        <f t="shared" si="0"/>
        <v>1931</v>
      </c>
      <c r="B16" s="2">
        <f>('вместе-абс'!B16 - 'вместе-абс'!B$2) / 'вместе-абс'!B$2</f>
        <v>0.45494375370041445</v>
      </c>
      <c r="C16" s="2">
        <f>('вместе-абс'!C16 - 'вместе-абс'!C$2) / 'вместе-абс'!C$2</f>
        <v>0.16530514175876981</v>
      </c>
      <c r="D16" s="2">
        <f>('вместе-абс'!D16 - 'вместе-абс'!D$2) / 'вместе-абс'!D$2</f>
        <v>0.33126068708223222</v>
      </c>
      <c r="E16" s="2">
        <f>('вместе-абс'!E16 - 'вместе-абс'!E$2) / 'вместе-абс'!E$2</f>
        <v>0.21542261251372119</v>
      </c>
      <c r="F16" s="2">
        <f>('вместе-абс'!F16 - 'вместе-абс'!F$2) / 'вместе-абс'!F$2</f>
        <v>0.32528433945756779</v>
      </c>
      <c r="G16" s="2">
        <f>('вместе-абс'!G16 - 'вместе-абс'!G$2) / 'вместе-абс'!G$2</f>
        <v>0.25742574257425743</v>
      </c>
      <c r="H16" s="2">
        <f>('вместе-абс'!H16 - 'вместе-абс'!H$2) / 'вместе-абс'!H$2</f>
        <v>0.44282592862345227</v>
      </c>
      <c r="I16" s="2">
        <f>('вместе-абс'!I16 - 'вместе-абс'!I$2) / 'вместе-абс'!I$2</f>
        <v>0.55316606929510159</v>
      </c>
      <c r="J16" s="2">
        <f>('вместе-абс'!J16 - 'вместе-абс'!J$2) / 'вместе-абс'!J$2</f>
        <v>0.32558139534883723</v>
      </c>
      <c r="K16" s="2">
        <f>('вместе-абс'!K16 - 'вместе-абс'!K$2) / 'вместе-абс'!K$2</f>
        <v>0.3081761006289308</v>
      </c>
      <c r="L16" s="2">
        <f>('вместе-абс'!L16 - 'вместе-абс'!L$2) / 'вместе-абс'!L$2</f>
        <v>0.47879282218597063</v>
      </c>
      <c r="M16" s="2">
        <f>('вместе-абс'!M16 - 'вместе-абс'!M$2) / 'вместе-абс'!M$2</f>
        <v>0.23432012042147515</v>
      </c>
      <c r="N16" s="2">
        <f>('вместе-абс'!N16 - 'вместе-абс'!N$2) / 'вместе-абс'!N$2</f>
        <v>0.52922590837282779</v>
      </c>
      <c r="O16" s="2">
        <f>('вместе-абс'!O16 - 'вместе-абс'!O$2) / 'вместе-абс'!O$2</f>
        <v>0.21427543531443374</v>
      </c>
      <c r="P16" s="2">
        <f>('вместе-абс'!P16 - 'вместе-абс'!P$2) / 'вместе-абс'!P$2</f>
        <v>0.12622950819672132</v>
      </c>
      <c r="Q16" s="2">
        <f>('вместе-абс'!Q16 - 'вместе-абс'!Q$2) / 'вместе-абс'!Q$2</f>
        <v>0.17675544794188863</v>
      </c>
      <c r="R16" s="2">
        <f>('вместе-абс'!R16 - 'вместе-абс'!R$2) / 'вместе-абс'!R$2</f>
        <v>0.32890855457227136</v>
      </c>
      <c r="S16" s="2">
        <f>('вместе-абс'!S16 - 'вместе-абс'!S$2) / 'вместе-абс'!S$2</f>
        <v>0.25283347863993028</v>
      </c>
      <c r="T16" s="2">
        <f>('вместе-абс'!T16 - 'вместе-абс'!T$2) / 'вместе-абс'!T$2</f>
        <v>0.25159914712153519</v>
      </c>
      <c r="U16" s="2">
        <f>('вместе-абс'!U16 - 'вместе-абс'!U$2) / 'вместе-абс'!U$2</f>
        <v>0.14690909090909091</v>
      </c>
      <c r="V16" s="2">
        <f>('вместе-абс'!V16 - 'вместе-абс'!V$2) / 'вместе-абс'!V$2</f>
        <v>0.11287912087912087</v>
      </c>
    </row>
    <row r="17" spans="1:22" x14ac:dyDescent="0.25">
      <c r="A17" s="12">
        <f t="shared" si="0"/>
        <v>1932</v>
      </c>
      <c r="B17" s="2">
        <f>('вместе-абс'!B17 - 'вместе-абс'!B$2) / 'вместе-абс'!B$2</f>
        <v>0.4821788040260509</v>
      </c>
      <c r="C17" s="2">
        <f>('вместе-абс'!C17 - 'вместе-абс'!C$2) / 'вместе-абс'!C$2</f>
        <v>0.17876021143680923</v>
      </c>
      <c r="D17" s="2">
        <f>('вместе-абс'!D17 - 'вместе-абс'!D$2) / 'вместе-абс'!D$2</f>
        <v>0.35850303124514221</v>
      </c>
      <c r="E17" s="2">
        <f>('вместе-абс'!E17 - 'вместе-абс'!E$2) / 'вместе-абс'!E$2</f>
        <v>0.23353457738748629</v>
      </c>
      <c r="F17" s="2">
        <f>('вместе-абс'!F17 - 'вместе-абс'!F$2) / 'вместе-абс'!F$2</f>
        <v>0.35188101487314088</v>
      </c>
      <c r="G17" s="2">
        <f>('вместе-абс'!G17 - 'вместе-абс'!G$2) / 'вместе-абс'!G$2</f>
        <v>0.28217821782178215</v>
      </c>
      <c r="H17" s="2">
        <f>('вместе-абс'!H17 - 'вместе-абс'!H$2) / 'вместе-абс'!H$2</f>
        <v>0.44282592862345227</v>
      </c>
      <c r="I17" s="2">
        <f>('вместе-абс'!I17 - 'вместе-абс'!I$2) / 'вместе-абс'!I$2</f>
        <v>0.6069295101553166</v>
      </c>
      <c r="J17" s="2">
        <f>('вместе-абс'!J17 - 'вместе-абс'!J$2) / 'вместе-абс'!J$2</f>
        <v>0.36212624584717606</v>
      </c>
      <c r="K17" s="2">
        <f>('вместе-абс'!K17 - 'вместе-абс'!K$2) / 'вместе-абс'!K$2</f>
        <v>0.32434860736747528</v>
      </c>
      <c r="L17" s="2">
        <f>('вместе-абс'!L17 - 'вместе-абс'!L$2) / 'вместе-абс'!L$2</f>
        <v>0.52039151712887444</v>
      </c>
      <c r="M17" s="2">
        <f>('вместе-абс'!M17 - 'вместе-абс'!M$2) / 'вместе-абс'!M$2</f>
        <v>0.25338685398896138</v>
      </c>
      <c r="N17" s="2">
        <f>('вместе-абс'!N17 - 'вместе-абс'!N$2) / 'вместе-абс'!N$2</f>
        <v>0.56240126382306477</v>
      </c>
      <c r="O17" s="2">
        <f>('вместе-абс'!O17 - 'вместе-абс'!O$2) / 'вместе-абс'!O$2</f>
        <v>0.23542955820981437</v>
      </c>
      <c r="P17" s="2">
        <f>('вместе-абс'!P17 - 'вместе-абс'!P$2) / 'вместе-абс'!P$2</f>
        <v>0.13442622950819672</v>
      </c>
      <c r="Q17" s="2">
        <f>('вместе-абс'!Q17 - 'вместе-абс'!Q$2) / 'вместе-абс'!Q$2</f>
        <v>0.21307506053268765</v>
      </c>
      <c r="R17" s="2">
        <f>('вместе-абс'!R17 - 'вместе-абс'!R$2) / 'вместе-абс'!R$2</f>
        <v>0.35988200589970504</v>
      </c>
      <c r="S17" s="2">
        <f>('вместе-абс'!S17 - 'вместе-абс'!S$2) / 'вместе-абс'!S$2</f>
        <v>0.27375762859633829</v>
      </c>
      <c r="T17" s="2">
        <f>('вместе-абс'!T17 - 'вместе-абс'!T$2) / 'вместе-абс'!T$2</f>
        <v>0.27078891257995735</v>
      </c>
      <c r="U17" s="2">
        <f>('вместе-абс'!U17 - 'вместе-абс'!U$2) / 'вместе-абс'!U$2</f>
        <v>0.16036363636363637</v>
      </c>
      <c r="V17" s="2">
        <f>('вместе-абс'!V17 - 'вместе-абс'!V$2) / 'вместе-абс'!V$2</f>
        <v>0.12774725274725274</v>
      </c>
    </row>
    <row r="18" spans="1:22" x14ac:dyDescent="0.25">
      <c r="A18" s="12">
        <f t="shared" si="0"/>
        <v>1933</v>
      </c>
      <c r="B18" s="2">
        <f>('вместе-абс'!B18 - 'вместе-абс'!B$2) / 'вместе-абс'!B$2</f>
        <v>0.50728241563055065</v>
      </c>
      <c r="C18" s="2">
        <f>('вместе-абс'!C18 - 'вместе-абс'!C$2) / 'вместе-абс'!C$2</f>
        <v>0.19269581931763574</v>
      </c>
      <c r="D18" s="2">
        <f>('вместе-абс'!D18 - 'вместе-абс'!D$2) / 'вместе-абс'!D$2</f>
        <v>0.38632830716617439</v>
      </c>
      <c r="E18" s="2">
        <f>('вместе-абс'!E18 - 'вместе-абс'!E$2) / 'вместе-абс'!E$2</f>
        <v>0.25219538968166849</v>
      </c>
      <c r="F18" s="2">
        <f>('вместе-абс'!F18 - 'вместе-абс'!F$2) / 'вместе-абс'!F$2</f>
        <v>0.378827646544182</v>
      </c>
      <c r="G18" s="2">
        <f>('вместе-абс'!G18 - 'вместе-абс'!G$2) / 'вместе-абс'!G$2</f>
        <v>0.30693069306930693</v>
      </c>
      <c r="H18" s="2">
        <f>('вместе-абс'!H18 - 'вместе-абс'!H$2) / 'вместе-абс'!H$2</f>
        <v>0.44282592862345227</v>
      </c>
      <c r="I18" s="2">
        <f>('вместе-абс'!I18 - 'вместе-абс'!I$2) / 'вместе-абс'!I$2</f>
        <v>0.66188769414575865</v>
      </c>
      <c r="J18" s="2">
        <f>('вместе-абс'!J18 - 'вместе-абс'!J$2) / 'вместе-абс'!J$2</f>
        <v>0.39202657807308972</v>
      </c>
      <c r="K18" s="2">
        <f>('вместе-абс'!K18 - 'вместе-абс'!K$2) / 'вместе-абс'!K$2</f>
        <v>0.34141958670260558</v>
      </c>
      <c r="L18" s="2">
        <f>('вместе-абс'!L18 - 'вместе-абс'!L$2) / 'вместе-абс'!L$2</f>
        <v>0.55709624796084833</v>
      </c>
      <c r="M18" s="2">
        <f>('вместе-абс'!M18 - 'вместе-абс'!M$2) / 'вместе-абс'!M$2</f>
        <v>0.27195183140993479</v>
      </c>
      <c r="N18" s="2">
        <f>('вместе-абс'!N18 - 'вместе-абс'!N$2) / 'вместе-абс'!N$2</f>
        <v>0.5908372827804107</v>
      </c>
      <c r="O18" s="2">
        <f>('вместе-абс'!O18 - 'вместе-абс'!O$2) / 'вместе-абс'!O$2</f>
        <v>0.25701539789897826</v>
      </c>
      <c r="P18" s="2">
        <f>('вместе-абс'!P18 - 'вместе-абс'!P$2) / 'вместе-абс'!P$2</f>
        <v>0.14262295081967213</v>
      </c>
      <c r="Q18" s="2">
        <f>('вместе-абс'!Q18 - 'вместе-абс'!Q$2) / 'вместе-абс'!Q$2</f>
        <v>0.24939467312348668</v>
      </c>
      <c r="R18" s="2">
        <f>('вместе-абс'!R18 - 'вместе-абс'!R$2) / 'вместе-абс'!R$2</f>
        <v>0.39233038348082594</v>
      </c>
      <c r="S18" s="2">
        <f>('вместе-абс'!S18 - 'вместе-абс'!S$2) / 'вместе-абс'!S$2</f>
        <v>0.29489973844812556</v>
      </c>
      <c r="T18" s="2">
        <f>('вместе-абс'!T18 - 'вместе-абс'!T$2) / 'вместе-абс'!T$2</f>
        <v>0.28997867803837951</v>
      </c>
      <c r="U18" s="2">
        <f>('вместе-абс'!U18 - 'вместе-абс'!U$2) / 'вместе-абс'!U$2</f>
        <v>0.17345454545454544</v>
      </c>
      <c r="V18" s="2">
        <f>('вместе-абс'!V18 - 'вместе-абс'!V$2) / 'вместе-абс'!V$2</f>
        <v>0.13898901098901098</v>
      </c>
    </row>
    <row r="19" spans="1:22" x14ac:dyDescent="0.25">
      <c r="A19" s="12">
        <f t="shared" si="0"/>
        <v>1934</v>
      </c>
      <c r="B19" s="2">
        <f>('вместе-абс'!B19 - 'вместе-абс'!B$2) / 'вместе-абс'!B$2</f>
        <v>0.5322676139727649</v>
      </c>
      <c r="C19" s="2">
        <f>('вместе-абс'!C19 - 'вместе-абс'!C$2) / 'вместе-абс'!C$2</f>
        <v>0.20663142719846228</v>
      </c>
      <c r="D19" s="2">
        <f>('вместе-абс'!D19 - 'вместе-абс'!D$2) / 'вместе-абс'!D$2</f>
        <v>0.41473651484532875</v>
      </c>
      <c r="E19" s="2">
        <f>('вместе-абс'!E19 - 'вместе-абс'!E$2) / 'вместе-абс'!E$2</f>
        <v>0.2708562019758507</v>
      </c>
      <c r="F19" s="2">
        <f>('вместе-абс'!F19 - 'вместе-абс'!F$2) / 'вместе-абс'!F$2</f>
        <v>0.40647419072615926</v>
      </c>
      <c r="G19" s="2">
        <f>('вместе-абс'!G19 - 'вместе-абс'!G$2) / 'вместе-абс'!G$2</f>
        <v>0.33663366336633666</v>
      </c>
      <c r="H19" s="2">
        <f>('вместе-абс'!H19 - 'вместе-абс'!H$2) / 'вместе-абс'!H$2</f>
        <v>0.4708667152221413</v>
      </c>
      <c r="I19" s="2">
        <f>('вместе-абс'!I19 - 'вместе-абс'!I$2) / 'вместе-абс'!I$2</f>
        <v>0.71804062126642776</v>
      </c>
      <c r="J19" s="2">
        <f>('вместе-абс'!J19 - 'вместе-абс'!J$2) / 'вместе-абс'!J$2</f>
        <v>0.42192691029900331</v>
      </c>
      <c r="K19" s="2">
        <f>('вместе-абс'!K19 - 'вместе-абс'!K$2) / 'вместе-абс'!K$2</f>
        <v>0.35849056603773582</v>
      </c>
      <c r="L19" s="2">
        <f>('вместе-абс'!L19 - 'вместе-абс'!L$2) / 'вместе-абс'!L$2</f>
        <v>0.58482871125611746</v>
      </c>
      <c r="M19" s="2">
        <f>('вместе-абс'!M19 - 'вместе-абс'!M$2) / 'вместе-абс'!M$2</f>
        <v>0.29101856497742096</v>
      </c>
      <c r="N19" s="2">
        <f>('вместе-абс'!N19 - 'вместе-абс'!N$2) / 'вместе-абс'!N$2</f>
        <v>0.61611374407582942</v>
      </c>
      <c r="O19" s="2">
        <f>('вместе-абс'!O19 - 'вместе-абс'!O$2) / 'вместе-абс'!O$2</f>
        <v>0.27910490718088932</v>
      </c>
      <c r="P19" s="2">
        <f>('вместе-абс'!P19 - 'вместе-абс'!P$2) / 'вместе-абс'!P$2</f>
        <v>0.16557377049180327</v>
      </c>
      <c r="Q19" s="2">
        <f>('вместе-абс'!Q19 - 'вместе-абс'!Q$2) / 'вместе-абс'!Q$2</f>
        <v>0.2857142857142857</v>
      </c>
      <c r="R19" s="2">
        <f>('вместе-абс'!R19 - 'вместе-абс'!R$2) / 'вместе-абс'!R$2</f>
        <v>0.4247787610619469</v>
      </c>
      <c r="S19" s="2">
        <f>('вместе-абс'!S19 - 'вместе-абс'!S$2) / 'вместе-абс'!S$2</f>
        <v>0.31582388840453357</v>
      </c>
      <c r="T19" s="2">
        <f>('вместе-абс'!T19 - 'вместе-абс'!T$2) / 'вместе-абс'!T$2</f>
        <v>0.30916844349680173</v>
      </c>
      <c r="U19" s="2">
        <f>('вместе-абс'!U19 - 'вместе-абс'!U$2) / 'вместе-абс'!U$2</f>
        <v>0.18690909090909091</v>
      </c>
      <c r="V19" s="2">
        <f>('вместе-абс'!V19 - 'вместе-абс'!V$2) / 'вместе-абс'!V$2</f>
        <v>0.11827472527472528</v>
      </c>
    </row>
    <row r="20" spans="1:22" x14ac:dyDescent="0.25">
      <c r="A20" s="12">
        <f t="shared" si="0"/>
        <v>1935</v>
      </c>
      <c r="B20" s="2">
        <f>('вместе-абс'!B20 - 'вместе-абс'!B$2) / 'вместе-абс'!B$2</f>
        <v>0.55689757252812311</v>
      </c>
      <c r="C20" s="2">
        <f>('вместе-абс'!C20 - 'вместе-абс'!C$2) / 'вместе-абс'!C$2</f>
        <v>0.22056703507928879</v>
      </c>
      <c r="D20" s="2">
        <f>('вместе-абс'!D20 - 'вместе-абс'!D$2) / 'вместе-абс'!D$2</f>
        <v>0.4437276542826053</v>
      </c>
      <c r="E20" s="2">
        <f>('вместе-абс'!E20 - 'вместе-абс'!E$2) / 'вместе-абс'!E$2</f>
        <v>0.28979143798024148</v>
      </c>
      <c r="F20" s="2">
        <f>('вместе-абс'!F20 - 'вместе-абс'!F$2) / 'вместе-абс'!F$2</f>
        <v>0.43464566929133858</v>
      </c>
      <c r="G20" s="2">
        <f>('вместе-абс'!G20 - 'вместе-абс'!G$2) / 'вместе-абс'!G$2</f>
        <v>0.36386138613861385</v>
      </c>
      <c r="H20" s="2">
        <f>('вместе-абс'!H20 - 'вместе-абс'!H$2) / 'вместе-абс'!H$2</f>
        <v>0.48252002913328479</v>
      </c>
      <c r="I20" s="2">
        <f>('вместе-абс'!I20 - 'вместе-абс'!I$2) / 'вместе-абс'!I$2</f>
        <v>0.77299880525686981</v>
      </c>
      <c r="J20" s="2">
        <f>('вместе-абс'!J20 - 'вместе-абс'!J$2) / 'вместе-абс'!J$2</f>
        <v>0.45913621262458471</v>
      </c>
      <c r="K20" s="2">
        <f>('вместе-абс'!K20 - 'вместе-абс'!K$2) / 'вместе-абс'!K$2</f>
        <v>0.37556154537286612</v>
      </c>
      <c r="L20" s="2">
        <f>('вместе-абс'!L20 - 'вместе-абс'!L$2) / 'вместе-абс'!L$2</f>
        <v>0.61092985318107662</v>
      </c>
      <c r="M20" s="2">
        <f>('вместе-абс'!M20 - 'вместе-абс'!M$2) / 'вместе-абс'!M$2</f>
        <v>0.31008529854490718</v>
      </c>
      <c r="N20" s="2">
        <f>('вместе-абс'!N20 - 'вместе-абс'!N$2) / 'вместе-абс'!N$2</f>
        <v>0.64612954186413907</v>
      </c>
      <c r="O20" s="2">
        <f>('вместе-абс'!O20 - 'вместе-абс'!O$2) / 'вместе-абс'!O$2</f>
        <v>0.30155418045761978</v>
      </c>
      <c r="P20" s="2">
        <f>('вместе-абс'!P20 - 'вместе-абс'!P$2) / 'вместе-абс'!P$2</f>
        <v>0.19344262295081968</v>
      </c>
      <c r="Q20" s="2">
        <f>('вместе-абс'!Q20 - 'вместе-абс'!Q$2) / 'вместе-абс'!Q$2</f>
        <v>0.32203389830508472</v>
      </c>
      <c r="R20" s="2">
        <f>('вместе-абс'!R20 - 'вместе-абс'!R$2) / 'вместе-абс'!R$2</f>
        <v>0.45722713864306785</v>
      </c>
      <c r="S20" s="2">
        <f>('вместе-абс'!S20 - 'вместе-абс'!S$2) / 'вместе-абс'!S$2</f>
        <v>0.33696599825632084</v>
      </c>
      <c r="T20" s="2">
        <f>('вместе-абс'!T20 - 'вместе-абс'!T$2) / 'вместе-абс'!T$2</f>
        <v>0.32835820895522388</v>
      </c>
      <c r="U20" s="2">
        <f>('вместе-абс'!U20 - 'вместе-абс'!U$2) / 'вместе-абс'!U$2</f>
        <v>0.2</v>
      </c>
      <c r="V20" s="2">
        <f>('вместе-абс'!V20 - 'вместе-абс'!V$2) / 'вместе-абс'!V$2</f>
        <v>0.12175824175824176</v>
      </c>
    </row>
    <row r="21" spans="1:22" x14ac:dyDescent="0.25">
      <c r="A21" s="12">
        <f t="shared" si="0"/>
        <v>1936</v>
      </c>
      <c r="B21" s="2">
        <f>('вместе-абс'!B21 - 'вместе-абс'!B$2) / 'вместе-абс'!B$2</f>
        <v>0.58342214328004738</v>
      </c>
      <c r="C21" s="2">
        <f>('вместе-абс'!C21 - 'вместе-абс'!C$2) / 'вместе-абс'!C$2</f>
        <v>0.23450264296011533</v>
      </c>
      <c r="D21" s="2">
        <f>('вместе-абс'!D21 - 'вместе-абс'!D$2) / 'вместе-абс'!D$2</f>
        <v>0.47330172547800403</v>
      </c>
      <c r="E21" s="2">
        <f>('вместе-абс'!E21 - 'вместе-абс'!E$2) / 'вместе-абс'!E$2</f>
        <v>0.30927552140504938</v>
      </c>
      <c r="F21" s="2">
        <f>('вместе-абс'!F21 - 'вместе-абс'!F$2) / 'вместе-абс'!F$2</f>
        <v>0.46334208223972001</v>
      </c>
      <c r="G21" s="2">
        <f>('вместе-абс'!G21 - 'вместе-абс'!G$2) / 'вместе-абс'!G$2</f>
        <v>0.39356435643564358</v>
      </c>
      <c r="H21" s="2">
        <f>('вместе-абс'!H21 - 'вместе-абс'!H$2) / 'вместе-абс'!H$2</f>
        <v>0.49635833940276763</v>
      </c>
      <c r="I21" s="2">
        <f>('вместе-абс'!I21 - 'вместе-абс'!I$2) / 'вместе-абс'!I$2</f>
        <v>0.81600955794504182</v>
      </c>
      <c r="J21" s="2">
        <f>('вместе-абс'!J21 - 'вместе-абс'!J$2) / 'вместе-абс'!J$2</f>
        <v>0.49435215946843852</v>
      </c>
      <c r="K21" s="2">
        <f>('вместе-абс'!K21 - 'вместе-абс'!K$2) / 'вместе-абс'!K$2</f>
        <v>0.39353099730458219</v>
      </c>
      <c r="L21" s="2">
        <f>('вместе-абс'!L21 - 'вместе-абс'!L$2) / 'вместе-абс'!L$2</f>
        <v>0.65008156606851553</v>
      </c>
      <c r="M21" s="2">
        <f>('вместе-абс'!M21 - 'вместе-абс'!M$2) / 'вместе-абс'!M$2</f>
        <v>0.33166081284495735</v>
      </c>
      <c r="N21" s="2">
        <f>('вместе-абс'!N21 - 'вместе-абс'!N$2) / 'вместе-абс'!N$2</f>
        <v>0.67140600315955767</v>
      </c>
      <c r="O21" s="2">
        <f>('вместе-абс'!O21 - 'вместе-абс'!O$2) / 'вместе-абс'!O$2</f>
        <v>0.32465102892502518</v>
      </c>
      <c r="P21" s="2">
        <f>('вместе-абс'!P21 - 'вместе-абс'!P$2) / 'вместе-абс'!P$2</f>
        <v>0.22295081967213115</v>
      </c>
      <c r="Q21" s="2">
        <f>('вместе-абс'!Q21 - 'вместе-абс'!Q$2) / 'вместе-абс'!Q$2</f>
        <v>0.3583535108958838</v>
      </c>
      <c r="R21" s="2">
        <f>('вместе-абс'!R21 - 'вместе-абс'!R$2) / 'вместе-абс'!R$2</f>
        <v>0.49262536873156343</v>
      </c>
      <c r="S21" s="2">
        <f>('вместе-абс'!S21 - 'вместе-абс'!S$2) / 'вместе-абс'!S$2</f>
        <v>0.36072362685265913</v>
      </c>
      <c r="T21" s="2">
        <f>('вместе-абс'!T21 - 'вместе-абс'!T$2) / 'вместе-абс'!T$2</f>
        <v>0.34328358208955223</v>
      </c>
      <c r="U21" s="2">
        <f>('вместе-абс'!U21 - 'вместе-абс'!U$2) / 'вместе-абс'!U$2</f>
        <v>0.22981818181818181</v>
      </c>
      <c r="V21" s="2">
        <f>('вместе-абс'!V21 - 'вместе-абс'!V$2) / 'вместе-абс'!V$2</f>
        <v>0.13503296703296702</v>
      </c>
    </row>
    <row r="22" spans="1:22" x14ac:dyDescent="0.25">
      <c r="A22" s="12">
        <f t="shared" si="0"/>
        <v>1937</v>
      </c>
      <c r="B22" s="2">
        <f>('вместе-абс'!B22 - 'вместе-абс'!B$2) / 'вместе-абс'!B$2</f>
        <v>0.61136767317939611</v>
      </c>
      <c r="C22" s="2">
        <f>('вместе-абс'!C22 - 'вместе-абс'!C$2) / 'вместе-абс'!C$2</f>
        <v>0.24891878904372897</v>
      </c>
      <c r="D22" s="2">
        <f>('вместе-абс'!D22 - 'вместе-абс'!D$2) / 'вместе-абс'!D$2</f>
        <v>0.50345872843152495</v>
      </c>
      <c r="E22" s="2">
        <f>('вместе-абс'!E22 - 'вместе-абс'!E$2) / 'вместе-абс'!E$2</f>
        <v>0.32875960482985728</v>
      </c>
      <c r="F22" s="2">
        <f>('вместе-абс'!F22 - 'вместе-абс'!F$2) / 'вместе-абс'!F$2</f>
        <v>0.49273840769903759</v>
      </c>
      <c r="G22" s="2">
        <f>('вместе-абс'!G22 - 'вместе-абс'!G$2) / 'вместе-абс'!G$2</f>
        <v>0.42574257425742573</v>
      </c>
      <c r="H22" s="2">
        <f>('вместе-абс'!H22 - 'вместе-абс'!H$2) / 'вместе-абс'!H$2</f>
        <v>0.5167516387472687</v>
      </c>
      <c r="I22" s="2">
        <f>('вместе-абс'!I22 - 'вместе-абс'!I$2) / 'вместе-абс'!I$2</f>
        <v>0.86140979689366781</v>
      </c>
      <c r="J22" s="2">
        <f>('вместе-абс'!J22 - 'вместе-абс'!J$2) / 'вместе-абс'!J$2</f>
        <v>0.52691029900332231</v>
      </c>
      <c r="K22" s="2">
        <f>('вместе-абс'!K22 - 'вместе-абс'!K$2) / 'вместе-абс'!K$2</f>
        <v>0.4115004492362983</v>
      </c>
      <c r="L22" s="2">
        <f>('вместе-абс'!L22 - 'вместе-абс'!L$2) / 'вместе-абс'!L$2</f>
        <v>0.68515497553017946</v>
      </c>
      <c r="M22" s="2">
        <f>('вместе-абс'!M22 - 'вместе-абс'!M$2) / 'вместе-абс'!M$2</f>
        <v>0.35323632714500752</v>
      </c>
      <c r="N22" s="2">
        <f>('вместе-абс'!N22 - 'вместе-абс'!N$2) / 'вместе-абс'!N$2</f>
        <v>0.69984202211690361</v>
      </c>
      <c r="O22" s="2">
        <f>('вместе-абс'!O22 - 'вместе-абс'!O$2) / 'вместе-абс'!O$2</f>
        <v>0.3501223197582386</v>
      </c>
      <c r="P22" s="2">
        <f>('вместе-абс'!P22 - 'вместе-абс'!P$2) / 'вместе-абс'!P$2</f>
        <v>0.25409836065573771</v>
      </c>
      <c r="Q22" s="2">
        <f>('вместе-абс'!Q22 - 'вместе-абс'!Q$2) / 'вместе-абс'!Q$2</f>
        <v>0.39225181598062953</v>
      </c>
      <c r="R22" s="2">
        <f>('вместе-абс'!R22 - 'вместе-абс'!R$2) / 'вместе-абс'!R$2</f>
        <v>0.528023598820059</v>
      </c>
      <c r="S22" s="2">
        <f>('вместе-абс'!S22 - 'вместе-абс'!S$2) / 'вместе-абс'!S$2</f>
        <v>0.38469921534437662</v>
      </c>
      <c r="T22" s="2">
        <f>('вместе-абс'!T22 - 'вместе-абс'!T$2) / 'вместе-абс'!T$2</f>
        <v>0.35820895522388058</v>
      </c>
      <c r="U22" s="2">
        <f>('вместе-абс'!U22 - 'вместе-абс'!U$2) / 'вместе-абс'!U$2</f>
        <v>0.25963636363636361</v>
      </c>
      <c r="V22" s="2">
        <f>('вместе-абс'!V22 - 'вместе-абс'!V$2) / 'вместе-абс'!V$2</f>
        <v>0.14857142857142858</v>
      </c>
    </row>
    <row r="23" spans="1:22" x14ac:dyDescent="0.25">
      <c r="A23" s="12">
        <f t="shared" si="0"/>
        <v>1938</v>
      </c>
      <c r="B23" s="2">
        <f>('вместе-абс'!B23 - 'вместе-абс'!B$2) / 'вместе-абс'!B$2</f>
        <v>0.6389579632918887</v>
      </c>
      <c r="C23" s="2">
        <f>('вместе-абс'!C23 - 'вместе-абс'!C$2) / 'вместе-абс'!C$2</f>
        <v>0.26333493512734263</v>
      </c>
      <c r="D23" s="2">
        <f>('вместе-абс'!D23 - 'вместе-абс'!D$2) / 'вместе-абс'!D$2</f>
        <v>0.53427638737758432</v>
      </c>
      <c r="E23" s="2">
        <f>('вместе-абс'!E23 - 'вместе-абс'!E$2) / 'вместе-абс'!E$2</f>
        <v>0.34851811196487376</v>
      </c>
      <c r="F23" s="2">
        <f>('вместе-абс'!F23 - 'вместе-абс'!F$2) / 'вместе-абс'!F$2</f>
        <v>0.52265966754155735</v>
      </c>
      <c r="G23" s="2">
        <f>('вместе-абс'!G23 - 'вместе-абс'!G$2) / 'вместе-абс'!G$2</f>
        <v>0.46039603960396042</v>
      </c>
      <c r="H23" s="2">
        <f>('вместе-абс'!H23 - 'вместе-абс'!H$2) / 'вместе-абс'!H$2</f>
        <v>0.53969410050983246</v>
      </c>
      <c r="I23" s="2">
        <f>('вместе-абс'!I23 - 'вместе-абс'!I$2) / 'вместе-абс'!I$2</f>
        <v>0.90681003584229392</v>
      </c>
      <c r="J23" s="2">
        <f>('вместе-абс'!J23 - 'вместе-абс'!J$2) / 'вместе-абс'!J$2</f>
        <v>0.56478405315614622</v>
      </c>
      <c r="K23" s="2">
        <f>('вместе-абс'!K23 - 'вместе-абс'!K$2) / 'вместе-абс'!K$2</f>
        <v>0.42946990116801437</v>
      </c>
      <c r="L23" s="2">
        <f>('вместе-абс'!L23 - 'вместе-абс'!L$2) / 'вместе-абс'!L$2</f>
        <v>0.72349102773246332</v>
      </c>
      <c r="M23" s="2">
        <f>('вместе-абс'!M23 - 'вместе-абс'!M$2) / 'вместе-абс'!M$2</f>
        <v>0.37531359759157051</v>
      </c>
      <c r="N23" s="2">
        <f>('вместе-абс'!N23 - 'вместе-абс'!N$2) / 'вместе-абс'!N$2</f>
        <v>0.7345971563981043</v>
      </c>
      <c r="O23" s="2">
        <f>('вместе-абс'!O23 - 'вместе-абс'!O$2) / 'вместе-абс'!O$2</f>
        <v>0.37221182904014966</v>
      </c>
      <c r="P23" s="2">
        <f>('вместе-абс'!P23 - 'вместе-абс'!P$2) / 'вместе-абс'!P$2</f>
        <v>0.28688524590163933</v>
      </c>
      <c r="Q23" s="2">
        <f>('вместе-абс'!Q23 - 'вместе-абс'!Q$2) / 'вместе-абс'!Q$2</f>
        <v>0.42857142857142855</v>
      </c>
      <c r="R23" s="2">
        <f>('вместе-абс'!R23 - 'вместе-абс'!R$2) / 'вместе-абс'!R$2</f>
        <v>0.56489675516224191</v>
      </c>
      <c r="S23" s="2">
        <f>('вместе-абс'!S23 - 'вместе-абс'!S$2) / 'вместе-абс'!S$2</f>
        <v>0.40845684394071491</v>
      </c>
      <c r="T23" s="2">
        <f>('вместе-абс'!T23 - 'вместе-абс'!T$2) / 'вместе-абс'!T$2</f>
        <v>0.37313432835820898</v>
      </c>
      <c r="U23" s="2">
        <f>('вместе-абс'!U23 - 'вместе-абс'!U$2) / 'вместе-абс'!U$2</f>
        <v>0.28945454545454546</v>
      </c>
      <c r="V23" s="2">
        <f>('вместе-абс'!V23 - 'вместе-абс'!V$2) / 'вместе-абс'!V$2</f>
        <v>0.16697802197802197</v>
      </c>
    </row>
    <row r="24" spans="1:22" x14ac:dyDescent="0.25">
      <c r="A24" s="12">
        <f t="shared" si="0"/>
        <v>1939</v>
      </c>
      <c r="B24" s="2">
        <f>('вместе-абс'!B24 - 'вместе-абс'!B$2) / 'вместе-абс'!B$2</f>
        <v>0.66429840142095919</v>
      </c>
      <c r="C24" s="2">
        <f>('вместе-абс'!C24 - 'вместе-абс'!C$2) / 'вместе-абс'!C$2</f>
        <v>0.27775108121095626</v>
      </c>
      <c r="D24" s="2">
        <f>('вместе-абс'!D24 - 'вместе-абс'!D$2) / 'вместе-абс'!D$2</f>
        <v>0.56571584019897403</v>
      </c>
      <c r="E24" s="2">
        <f>('вместе-абс'!E24 - 'вместе-абс'!E$2) / 'вместе-абс'!E$2</f>
        <v>0.36882546652030734</v>
      </c>
      <c r="F24" s="2">
        <f>('вместе-абс'!F24 - 'вместе-абс'!F$2) / 'вместе-абс'!F$2</f>
        <v>0.55660542432195981</v>
      </c>
      <c r="G24" s="2">
        <f>('вместе-абс'!G24 - 'вместе-абс'!G$2) / 'вместе-абс'!G$2</f>
        <v>0.49752475247524752</v>
      </c>
      <c r="H24" s="2">
        <f>('вместе-абс'!H24 - 'вместе-абс'!H$2) / 'вместе-абс'!H$2</f>
        <v>0.54879825200291332</v>
      </c>
      <c r="I24" s="2">
        <f>('вместе-абс'!I24 - 'вместе-абс'!I$2) / 'вместе-абс'!I$2</f>
        <v>0.95221027479091991</v>
      </c>
      <c r="J24" s="2">
        <f>('вместе-абс'!J24 - 'вместе-абс'!J$2) / 'вместе-абс'!J$2</f>
        <v>0.60265780730897012</v>
      </c>
      <c r="K24" s="2">
        <f>('вместе-абс'!K24 - 'вместе-абс'!K$2) / 'вместе-абс'!K$2</f>
        <v>0.44833782569631625</v>
      </c>
      <c r="L24" s="2">
        <f>('вместе-абс'!L24 - 'вместе-абс'!L$2) / 'вместе-абс'!L$2</f>
        <v>0.75367047308319735</v>
      </c>
      <c r="M24" s="2">
        <f>('вместе-абс'!M24 - 'вместе-абс'!M$2) / 'вместе-абс'!M$2</f>
        <v>0.39688911189162068</v>
      </c>
      <c r="N24" s="2">
        <f>('вместе-абс'!N24 - 'вместе-абс'!N$2) / 'вместе-абс'!N$2</f>
        <v>0.77251184834123221</v>
      </c>
      <c r="O24" s="2">
        <f>('вместе-абс'!O24 - 'вместе-абс'!O$2) / 'вместе-абс'!O$2</f>
        <v>0.3968196862857965</v>
      </c>
      <c r="P24" s="2">
        <f>('вместе-абс'!P24 - 'вместе-абс'!P$2) / 'вместе-абс'!P$2</f>
        <v>0.32131147540983607</v>
      </c>
      <c r="Q24" s="2">
        <f>('вместе-абс'!Q24 - 'вместе-абс'!Q$2) / 'вместе-абс'!Q$2</f>
        <v>0.46489104116222763</v>
      </c>
      <c r="R24" s="2">
        <f>('вместе-абс'!R24 - 'вместе-абс'!R$2) / 'вместе-абс'!R$2</f>
        <v>0.60176991150442483</v>
      </c>
      <c r="S24" s="2">
        <f>('вместе-абс'!S24 - 'вместе-абс'!S$2) / 'вместе-абс'!S$2</f>
        <v>0.43243243243243246</v>
      </c>
      <c r="T24" s="2">
        <f>('вместе-абс'!T24 - 'вместе-абс'!T$2) / 'вместе-абс'!T$2</f>
        <v>0.38805970149253732</v>
      </c>
      <c r="U24" s="2">
        <f>('вместе-абс'!U24 - 'вместе-абс'!U$2) / 'вместе-абс'!U$2</f>
        <v>0.31927272727272726</v>
      </c>
      <c r="V24" s="2">
        <f>('вместе-абс'!V24 - 'вместе-абс'!V$2) / 'вместе-абс'!V$2</f>
        <v>0.18563736263736264</v>
      </c>
    </row>
    <row r="25" spans="1:22" x14ac:dyDescent="0.25">
      <c r="A25" s="12">
        <f t="shared" si="0"/>
        <v>1940</v>
      </c>
      <c r="B25" s="2">
        <f>('вместе-абс'!B25 - 'вместе-абс'!B$2) / 'вместе-абс'!B$2</f>
        <v>0.67779751332149196</v>
      </c>
      <c r="C25" s="2">
        <f>('вместе-абс'!C25 - 'вместе-абс'!C$2) / 'вместе-абс'!C$2</f>
        <v>0.29264776549735705</v>
      </c>
      <c r="D25" s="2">
        <f>('вместе-абс'!D25 - 'вместе-абс'!D$2) / 'вместе-абс'!D$2</f>
        <v>0.59777708689569409</v>
      </c>
      <c r="E25" s="2">
        <f>('вместе-абс'!E25 - 'вместе-абс'!E$2) / 'вместе-абс'!E$2</f>
        <v>0.38940724478594951</v>
      </c>
      <c r="F25" s="2">
        <f>('вместе-абс'!F25 - 'вместе-абс'!F$2) / 'вместе-абс'!F$2</f>
        <v>0.59177602799650042</v>
      </c>
      <c r="G25" s="2">
        <f>('вместе-абс'!G25 - 'вместе-абс'!G$2) / 'вместе-абс'!G$2</f>
        <v>0.53217821782178221</v>
      </c>
      <c r="H25" s="2">
        <f>('вместе-абс'!H25 - 'вместе-абс'!H$2) / 'вместе-абс'!H$2</f>
        <v>0.56263656227239622</v>
      </c>
      <c r="I25" s="2">
        <f>('вместе-абс'!I25 - 'вместе-абс'!I$2) / 'вместе-абс'!I$2</f>
        <v>1.1015531660692952</v>
      </c>
      <c r="J25" s="2">
        <f>('вместе-абс'!J25 - 'вместе-абс'!J$2) / 'вместе-абс'!J$2</f>
        <v>0.6385382059800665</v>
      </c>
      <c r="K25" s="2">
        <f>('вместе-абс'!K25 - 'вместе-абс'!K$2) / 'вместе-абс'!K$2</f>
        <v>0.46720575022461813</v>
      </c>
      <c r="L25" s="2">
        <f>('вместе-абс'!L25 - 'вместе-абс'!L$2) / 'вместе-абс'!L$2</f>
        <v>0.79526916802610115</v>
      </c>
      <c r="M25" s="2">
        <f>('вместе-абс'!M25 - 'вместе-абс'!M$2) / 'вместе-абс'!M$2</f>
        <v>0.41846462619167085</v>
      </c>
      <c r="N25" s="2">
        <f>('вместе-абс'!N25 - 'вместе-абс'!N$2) / 'вместе-абс'!N$2</f>
        <v>0.81042654028436023</v>
      </c>
      <c r="O25" s="2">
        <f>('вместе-абс'!O25 - 'вместе-абс'!O$2) / 'вместе-абс'!O$2</f>
        <v>0.41416031083609151</v>
      </c>
      <c r="P25" s="2">
        <f>('вместе-абс'!P25 - 'вместе-абс'!P$2) / 'вместе-абс'!P$2</f>
        <v>0.35245901639344263</v>
      </c>
      <c r="Q25" s="2">
        <f>('вместе-абс'!Q25 - 'вместе-абс'!Q$2) / 'вместе-абс'!Q$2</f>
        <v>0.50121065375302665</v>
      </c>
      <c r="R25" s="2">
        <f>('вместе-абс'!R25 - 'вместе-абс'!R$2) / 'вместе-абс'!R$2</f>
        <v>0.63864306784660763</v>
      </c>
      <c r="S25" s="2">
        <f>('вместе-абс'!S25 - 'вместе-абс'!S$2) / 'вместе-абс'!S$2</f>
        <v>0.45619006102877069</v>
      </c>
      <c r="T25" s="2">
        <f>('вместе-абс'!T25 - 'вместе-абс'!T$2) / 'вместе-абс'!T$2</f>
        <v>0.40298507462686567</v>
      </c>
      <c r="U25" s="2">
        <f>('вместе-абс'!U25 - 'вместе-абс'!U$2) / 'вместе-абс'!U$2</f>
        <v>0.34909090909090912</v>
      </c>
      <c r="V25" s="2">
        <f>('вместе-абс'!V25 - 'вместе-абс'!V$2) / 'вместе-абс'!V$2</f>
        <v>0.20525274725274725</v>
      </c>
    </row>
    <row r="26" spans="1:22" x14ac:dyDescent="0.25">
      <c r="A26" s="12">
        <f t="shared" si="0"/>
        <v>1941</v>
      </c>
      <c r="B26" s="2">
        <f>('вместе-абс'!B26 - 'вместе-абс'!B$2) / 'вместе-абс'!B$2</f>
        <v>0.70526939017169921</v>
      </c>
      <c r="C26" s="2">
        <f>('вместе-абс'!C26 - 'вместе-абс'!C$2) / 'вместе-абс'!C$2</f>
        <v>0.30754444978375783</v>
      </c>
      <c r="D26" s="2">
        <f>('вместе-абс'!D26 - 'вместе-абс'!D$2) / 'вместе-абс'!D$2</f>
        <v>0.63489040882947301</v>
      </c>
      <c r="E26" s="2">
        <f>('вместе-абс'!E26 - 'вместе-абс'!E$2) / 'вместе-абс'!E$2</f>
        <v>0.41300768386388587</v>
      </c>
      <c r="F26" s="2">
        <f>('вместе-абс'!F26 - 'вместе-абс'!F$2) / 'вместе-абс'!F$2</f>
        <v>0.62992125984251968</v>
      </c>
      <c r="G26" s="2">
        <f>('вместе-абс'!G26 - 'вместе-абс'!G$2) / 'вместе-абс'!G$2</f>
        <v>0.56683168316831678</v>
      </c>
      <c r="H26" s="2">
        <f>('вместе-абс'!H26 - 'вместе-абс'!H$2) / 'вместе-абс'!H$2</f>
        <v>0.57538237436270945</v>
      </c>
      <c r="I26" s="2">
        <f>('вместе-абс'!I26 - 'вместе-абс'!I$2) / 'вместе-абс'!I$2</f>
        <v>1.1517323775388291</v>
      </c>
      <c r="J26" s="2">
        <f>('вместе-абс'!J26 - 'вместе-абс'!J$2) / 'вместе-абс'!J$2</f>
        <v>0.67508305647840527</v>
      </c>
      <c r="K26" s="2">
        <f>('вместе-абс'!K26 - 'вместе-абс'!K$2) / 'вместе-абс'!K$2</f>
        <v>0.48607367475292002</v>
      </c>
      <c r="L26" s="2">
        <f>('вместе-абс'!L26 - 'вместе-абс'!L$2) / 'вместе-абс'!L$2</f>
        <v>0.83686786296900484</v>
      </c>
      <c r="M26" s="2">
        <f>('вместе-абс'!M26 - 'вместе-абс'!M$2) / 'вместе-абс'!M$2</f>
        <v>0.44305067737079779</v>
      </c>
      <c r="N26" s="2">
        <f>('вместе-абс'!N26 - 'вместе-абс'!N$2) / 'вместе-абс'!N$2</f>
        <v>0.84992101105845186</v>
      </c>
      <c r="O26" s="2">
        <f>('вместе-абс'!O26 - 'вместе-абс'!O$2) / 'вместе-абс'!O$2</f>
        <v>0.45402216146208085</v>
      </c>
      <c r="P26" s="2">
        <f>('вместе-абс'!P26 - 'вместе-абс'!P$2) / 'вместе-абс'!P$2</f>
        <v>0.38360655737704918</v>
      </c>
      <c r="Q26" s="2">
        <f>('вместе-абс'!Q26 - 'вместе-абс'!Q$2) / 'вместе-абс'!Q$2</f>
        <v>0.53995157384987891</v>
      </c>
      <c r="R26" s="2">
        <f>('вместе-абс'!R26 - 'вместе-абс'!R$2) / 'вместе-абс'!R$2</f>
        <v>0.67699115044247793</v>
      </c>
      <c r="S26" s="2">
        <f>('вместе-абс'!S26 - 'вместе-абс'!S$2) / 'вместе-абс'!S$2</f>
        <v>0.48147340889276374</v>
      </c>
      <c r="T26" s="2">
        <f>('вместе-абс'!T26 - 'вместе-абс'!T$2) / 'вместе-абс'!T$2</f>
        <v>0.4171997157071784</v>
      </c>
      <c r="U26" s="2">
        <f>('вместе-абс'!U26 - 'вместе-абс'!U$2) / 'вместе-абс'!U$2</f>
        <v>0.38290909090909092</v>
      </c>
      <c r="V26" s="2">
        <f>('вместе-абс'!V26 - 'вместе-абс'!V$2) / 'вместе-абс'!V$2</f>
        <v>0.21964835164835164</v>
      </c>
    </row>
    <row r="27" spans="1:22" x14ac:dyDescent="0.25">
      <c r="A27" s="12">
        <f t="shared" si="0"/>
        <v>1942</v>
      </c>
      <c r="B27" s="2">
        <f>('вместе-абс'!B27 - 'вместе-абс'!B$2) / 'вместе-абс'!B$2</f>
        <v>0.73321492007104794</v>
      </c>
      <c r="C27" s="2">
        <f>('вместе-абс'!C27 - 'вместе-абс'!C$2) / 'вместе-абс'!C$2</f>
        <v>0.32292167227294571</v>
      </c>
      <c r="D27" s="2">
        <f>('вместе-абс'!D27 - 'вместе-абс'!D$2) / 'вместе-абс'!D$2</f>
        <v>0.67348049121716147</v>
      </c>
      <c r="E27" s="2">
        <f>('вместе-абс'!E27 - 'вместе-абс'!E$2) / 'вместе-абс'!E$2</f>
        <v>0.43907793633369924</v>
      </c>
      <c r="F27" s="2">
        <f>('вместе-абс'!F27 - 'вместе-абс'!F$2) / 'вместе-абс'!F$2</f>
        <v>0.6692913385826772</v>
      </c>
      <c r="G27" s="2">
        <f>('вместе-абс'!G27 - 'вместе-абс'!G$2) / 'вместе-абс'!G$2</f>
        <v>0.60148514851485146</v>
      </c>
      <c r="H27" s="2">
        <f>('вместе-абс'!H27 - 'вместе-абс'!H$2) / 'вместе-абс'!H$2</f>
        <v>0.59213401310997815</v>
      </c>
      <c r="I27" s="2">
        <f>('вместе-абс'!I27 - 'вместе-абс'!I$2) / 'вместе-абс'!I$2</f>
        <v>1.2031063321385902</v>
      </c>
      <c r="J27" s="2">
        <f>('вместе-абс'!J27 - 'вместе-абс'!J$2) / 'вместе-абс'!J$2</f>
        <v>0.71096345514950166</v>
      </c>
      <c r="K27" s="2">
        <f>('вместе-абс'!K27 - 'вместе-абс'!K$2) / 'вместе-абс'!K$2</f>
        <v>0.50494159928122195</v>
      </c>
      <c r="L27" s="2">
        <f>('вместе-абс'!L27 - 'вместе-абс'!L$2) / 'вместе-абс'!L$2</f>
        <v>0.87601957585644374</v>
      </c>
      <c r="M27" s="2">
        <f>('вместе-абс'!M27 - 'вместе-абс'!M$2) / 'вместе-абс'!M$2</f>
        <v>0.47315604616156548</v>
      </c>
      <c r="N27" s="2">
        <f>('вместе-абс'!N27 - 'вместе-абс'!N$2) / 'вместе-абс'!N$2</f>
        <v>0.88783570300157977</v>
      </c>
      <c r="O27" s="2">
        <f>('вместе-абс'!O27 - 'вместе-абс'!O$2) / 'вместе-абс'!O$2</f>
        <v>0.48632896819686283</v>
      </c>
      <c r="P27" s="2">
        <f>('вместе-абс'!P27 - 'вместе-абс'!P$2) / 'вместе-абс'!P$2</f>
        <v>0.41475409836065574</v>
      </c>
      <c r="Q27" s="2">
        <f>('вместе-абс'!Q27 - 'вместе-абс'!Q$2) / 'вместе-абс'!Q$2</f>
        <v>0.57627118644067798</v>
      </c>
      <c r="R27" s="2">
        <f>('вместе-абс'!R27 - 'вместе-абс'!R$2) / 'вместе-абс'!R$2</f>
        <v>0.7168141592920354</v>
      </c>
      <c r="S27" s="2">
        <f>('вместе-абс'!S27 - 'вместе-абс'!S$2) / 'вместе-абс'!S$2</f>
        <v>0.50719267654751521</v>
      </c>
      <c r="T27" s="2">
        <f>('вместе-абс'!T27 - 'вместе-абс'!T$2) / 'вместе-абс'!T$2</f>
        <v>0.43141435678749113</v>
      </c>
      <c r="U27" s="2">
        <f>('вместе-абс'!U27 - 'вместе-абс'!U$2) / 'вместе-абс'!U$2</f>
        <v>0.4232727272727273</v>
      </c>
      <c r="V27" s="2">
        <f>('вместе-абс'!V27 - 'вместе-абс'!V$2) / 'вместе-абс'!V$2</f>
        <v>0.18856043956043955</v>
      </c>
    </row>
    <row r="28" spans="1:22" x14ac:dyDescent="0.25">
      <c r="A28" s="12">
        <f t="shared" si="0"/>
        <v>1943</v>
      </c>
      <c r="B28" s="2">
        <f>('вместе-абс'!B28 - 'вместе-абс'!B$2) / 'вместе-абс'!B$2</f>
        <v>0.76163410301953816</v>
      </c>
      <c r="C28" s="2">
        <f>('вместе-абс'!C28 - 'вместе-абс'!C$2) / 'вместе-абс'!C$2</f>
        <v>0.3382988947621336</v>
      </c>
      <c r="D28" s="2">
        <f>('вместе-абс'!D28 - 'вместе-абс'!D$2) / 'вместе-абс'!D$2</f>
        <v>0.70962226022073682</v>
      </c>
      <c r="E28" s="2">
        <f>('вместе-абс'!E28 - 'вместе-абс'!E$2) / 'вместе-абс'!E$2</f>
        <v>0.46569703622392977</v>
      </c>
      <c r="F28" s="2">
        <f>('вместе-абс'!F28 - 'вместе-абс'!F$2) / 'вместе-абс'!F$2</f>
        <v>0.71023622047244095</v>
      </c>
      <c r="G28" s="2">
        <f>('вместе-абс'!G28 - 'вместе-абс'!G$2) / 'вместе-абс'!G$2</f>
        <v>0.63613861386138615</v>
      </c>
      <c r="H28" s="2">
        <f>('вместе-абс'!H28 - 'вместе-абс'!H$2) / 'вместе-абс'!H$2</f>
        <v>0.74034959941733436</v>
      </c>
      <c r="I28" s="2">
        <f>('вместе-абс'!I28 - 'вместе-абс'!I$2) / 'вместе-абс'!I$2</f>
        <v>1.2568697729988052</v>
      </c>
      <c r="J28" s="2">
        <f>('вместе-абс'!J28 - 'вместе-абс'!J$2) / 'вместе-абс'!J$2</f>
        <v>0.75481727574750834</v>
      </c>
      <c r="K28" s="2">
        <f>('вместе-абс'!K28 - 'вместе-абс'!K$2) / 'вместе-абс'!K$2</f>
        <v>0.51931716082659474</v>
      </c>
      <c r="L28" s="2">
        <f>('вместе-абс'!L28 - 'вместе-абс'!L$2) / 'вместе-абс'!L$2</f>
        <v>0.90783034257748774</v>
      </c>
      <c r="M28" s="2">
        <f>('вместе-абс'!M28 - 'вместе-абс'!M$2) / 'вместе-абс'!M$2</f>
        <v>0.49473156046161565</v>
      </c>
      <c r="N28" s="2">
        <f>('вместе-абс'!N28 - 'вместе-абс'!N$2) / 'вместе-абс'!N$2</f>
        <v>0.9162717219589257</v>
      </c>
      <c r="O28" s="2">
        <f>('вместе-абс'!O28 - 'вместе-абс'!O$2) / 'вместе-абс'!O$2</f>
        <v>0.5228809900705137</v>
      </c>
      <c r="P28" s="2">
        <f>('вместе-абс'!P28 - 'вместе-абс'!P$2) / 'вместе-абс'!P$2</f>
        <v>0.44262295081967212</v>
      </c>
      <c r="Q28" s="2">
        <f>('вместе-абс'!Q28 - 'вместе-абс'!Q$2) / 'вместе-абс'!Q$2</f>
        <v>0.61985472154963683</v>
      </c>
      <c r="R28" s="2">
        <f>('вместе-абс'!R28 - 'вместе-абс'!R$2) / 'вместе-абс'!R$2</f>
        <v>0.75663716814159288</v>
      </c>
      <c r="S28" s="2">
        <f>('вместе-абс'!S28 - 'вместе-абс'!S$2) / 'вместе-абс'!S$2</f>
        <v>0.53334786399302525</v>
      </c>
      <c r="T28" s="2">
        <f>('вместе-абс'!T28 - 'вместе-абс'!T$2) / 'вместе-абс'!T$2</f>
        <v>0.44562899786780386</v>
      </c>
      <c r="U28" s="2">
        <f>('вместе-абс'!U28 - 'вместе-абс'!U$2) / 'вместе-абс'!U$2</f>
        <v>0.46472727272727271</v>
      </c>
      <c r="V28" s="2">
        <f>('вместе-абс'!V28 - 'вместе-абс'!V$2) / 'вместе-абс'!V$2</f>
        <v>0.15827472527472528</v>
      </c>
    </row>
    <row r="29" spans="1:22" x14ac:dyDescent="0.25">
      <c r="A29" s="12">
        <f t="shared" si="0"/>
        <v>1944</v>
      </c>
      <c r="B29" s="2">
        <f>('вместе-абс'!B29 - 'вместе-абс'!B$2) / 'вместе-абс'!B$2</f>
        <v>0.79159265837773829</v>
      </c>
      <c r="C29" s="2">
        <f>('вместе-абс'!C29 - 'вместе-абс'!C$2) / 'вместе-абс'!C$2</f>
        <v>0.35367611725132148</v>
      </c>
      <c r="D29" s="2">
        <f>('вместе-абс'!D29 - 'вместе-абс'!D$2) / 'вместе-абс'!D$2</f>
        <v>0.74265505984766045</v>
      </c>
      <c r="E29" s="2">
        <f>('вместе-абс'!E29 - 'вместе-абс'!E$2) / 'вместе-абс'!E$2</f>
        <v>0.49286498353457736</v>
      </c>
      <c r="F29" s="2">
        <f>('вместе-абс'!F29 - 'вместе-абс'!F$2) / 'вместе-абс'!F$2</f>
        <v>0.752580927384077</v>
      </c>
      <c r="G29" s="2">
        <f>('вместе-абс'!G29 - 'вместе-абс'!G$2) / 'вместе-абс'!G$2</f>
        <v>0.67574257425742579</v>
      </c>
      <c r="H29" s="2">
        <f>('вместе-абс'!H29 - 'вместе-абс'!H$2) / 'вместе-абс'!H$2</f>
        <v>0.7658412235979607</v>
      </c>
      <c r="I29" s="2">
        <f>('вместе-абс'!I29 - 'вместе-абс'!I$2) / 'вместе-абс'!I$2</f>
        <v>1.3106332138590202</v>
      </c>
      <c r="J29" s="2">
        <f>('вместе-абс'!J29 - 'вместе-абс'!J$2) / 'вместе-абс'!J$2</f>
        <v>0.80199335548172757</v>
      </c>
      <c r="K29" s="2">
        <f>('вместе-абс'!K29 - 'вместе-абс'!K$2) / 'вместе-абс'!K$2</f>
        <v>0.54447439353099736</v>
      </c>
      <c r="L29" s="2">
        <f>('вместе-абс'!L29 - 'вместе-абс'!L$2) / 'вместе-абс'!L$2</f>
        <v>0.94453507340946163</v>
      </c>
      <c r="M29" s="2">
        <f>('вместе-абс'!M29 - 'вместе-абс'!M$2) / 'вместе-абс'!M$2</f>
        <v>0.52132463622679381</v>
      </c>
      <c r="N29" s="2">
        <f>('вместе-абс'!N29 - 'вместе-абс'!N$2) / 'вместе-абс'!N$2</f>
        <v>0.95418641390205372</v>
      </c>
      <c r="O29" s="2">
        <f>('вместе-абс'!O29 - 'вместе-абс'!O$2) / 'вместе-абс'!O$2</f>
        <v>0.5595049647431285</v>
      </c>
      <c r="P29" s="2">
        <f>('вместе-абс'!P29 - 'вместе-абс'!P$2) / 'вместе-абс'!P$2</f>
        <v>0.47540983606557374</v>
      </c>
      <c r="Q29" s="2">
        <f>('вместе-абс'!Q29 - 'вместе-абс'!Q$2) / 'вместе-абс'!Q$2</f>
        <v>0.65859564164648909</v>
      </c>
      <c r="R29" s="2">
        <f>('вместе-абс'!R29 - 'вместе-абс'!R$2) / 'вместе-абс'!R$2</f>
        <v>0.79793510324483774</v>
      </c>
      <c r="S29" s="2">
        <f>('вместе-абс'!S29 - 'вместе-абс'!S$2) / 'вместе-абс'!S$2</f>
        <v>0.56037489102005233</v>
      </c>
      <c r="T29" s="2">
        <f>('вместе-абс'!T29 - 'вместе-абс'!T$2) / 'вместе-абс'!T$2</f>
        <v>0.4605543710021322</v>
      </c>
      <c r="U29" s="2">
        <f>('вместе-абс'!U29 - 'вместе-абс'!U$2) / 'вместе-абс'!U$2</f>
        <v>0.50763636363636366</v>
      </c>
      <c r="V29" s="2">
        <f>('вместе-абс'!V29 - 'вместе-абс'!V$2) / 'вместе-абс'!V$2</f>
        <v>0.12875824175824177</v>
      </c>
    </row>
    <row r="30" spans="1:22" x14ac:dyDescent="0.25">
      <c r="A30" s="12">
        <f t="shared" si="0"/>
        <v>1945</v>
      </c>
      <c r="B30" s="2">
        <f>('вместе-абс'!B30 - 'вместе-абс'!B$2) / 'вместе-абс'!B$2</f>
        <v>0.82238010657193605</v>
      </c>
      <c r="C30" s="2">
        <f>('вместе-абс'!C30 - 'вместе-абс'!C$2) / 'вместе-абс'!C$2</f>
        <v>0.36953387794329651</v>
      </c>
      <c r="D30" s="2">
        <f>('вместе-абс'!D30 - 'вместе-абс'!D$2) / 'вместе-абс'!D$2</f>
        <v>0.78221669516555259</v>
      </c>
      <c r="E30" s="2">
        <f>('вместе-абс'!E30 - 'вместе-абс'!E$2) / 'вместе-абс'!E$2</f>
        <v>0.52058177826564211</v>
      </c>
      <c r="F30" s="2">
        <f>('вместе-абс'!F30 - 'вместе-абс'!F$2) / 'вместе-абс'!F$2</f>
        <v>0.79650043744531929</v>
      </c>
      <c r="G30" s="2">
        <f>('вместе-абс'!G30 - 'вместе-абс'!G$2) / 'вместе-абс'!G$2</f>
        <v>0.72029702970297027</v>
      </c>
      <c r="H30" s="2">
        <f>('вместе-абс'!H30 - 'вместе-абс'!H$2) / 'вместе-абс'!H$2</f>
        <v>0.79606700655498908</v>
      </c>
      <c r="I30" s="2">
        <f>('вместе-абс'!I30 - 'вместе-абс'!I$2) / 'вместе-абс'!I$2</f>
        <v>1.3679808841099164</v>
      </c>
      <c r="J30" s="2">
        <f>('вместе-абс'!J30 - 'вместе-абс'!J$2) / 'вместе-абс'!J$2</f>
        <v>0.84784053156146177</v>
      </c>
      <c r="K30" s="2">
        <f>('вместе-абс'!K30 - 'вместе-абс'!K$2) / 'вместе-абс'!K$2</f>
        <v>0.56513926325247077</v>
      </c>
      <c r="L30" s="2">
        <f>('вместе-абс'!L30 - 'вместе-абс'!L$2) / 'вместе-абс'!L$2</f>
        <v>0.98858075040783033</v>
      </c>
      <c r="M30" s="2">
        <f>('вместе-абс'!M30 - 'вместе-абс'!M$2) / 'вместе-абс'!M$2</f>
        <v>0.54892122428499746</v>
      </c>
      <c r="N30" s="2">
        <f>('вместе-абс'!N30 - 'вместе-абс'!N$2) / 'вместе-абс'!N$2</f>
        <v>0.99210110584518163</v>
      </c>
      <c r="O30" s="2">
        <f>('вместе-абс'!O30 - 'вместе-абс'!O$2) / 'вместе-абс'!O$2</f>
        <v>0.59972657936393725</v>
      </c>
      <c r="P30" s="2">
        <f>('вместе-абс'!P30 - 'вместе-абс'!P$2) / 'вместе-абс'!P$2</f>
        <v>0.5131147540983606</v>
      </c>
      <c r="Q30" s="2">
        <f>('вместе-абс'!Q30 - 'вместе-абс'!Q$2) / 'вместе-абс'!Q$2</f>
        <v>0.70217917675544794</v>
      </c>
      <c r="R30" s="2">
        <f>('вместе-абс'!R30 - 'вместе-абс'!R$2) / 'вместе-абс'!R$2</f>
        <v>0.83923303834808261</v>
      </c>
      <c r="S30" s="2">
        <f>('вместе-абс'!S30 - 'вместе-абс'!S$2) / 'вместе-абс'!S$2</f>
        <v>0.58783783783783783</v>
      </c>
      <c r="T30" s="2">
        <f>('вместе-абс'!T30 - 'вместе-абс'!T$2) / 'вместе-абс'!T$2</f>
        <v>0.47547974413646055</v>
      </c>
      <c r="U30" s="2">
        <f>('вместе-абс'!U30 - 'вместе-абс'!U$2) / 'вместе-абс'!U$2</f>
        <v>0.55163636363636359</v>
      </c>
      <c r="V30" s="2">
        <f>('вместе-абс'!V30 - 'вместе-абс'!V$2) / 'вместе-абс'!V$2</f>
        <v>9.9989010989010987E-2</v>
      </c>
    </row>
    <row r="31" spans="1:22" x14ac:dyDescent="0.25">
      <c r="A31" s="12">
        <f t="shared" si="0"/>
        <v>1946</v>
      </c>
      <c r="B31" s="2">
        <f>('вместе-абс'!B31 - 'вместе-абс'!B$2) / 'вместе-абс'!B$2</f>
        <v>0.8536412078152753</v>
      </c>
      <c r="C31" s="2">
        <f>('вместе-абс'!C31 - 'вместе-абс'!C$2) / 'вместе-абс'!C$2</f>
        <v>0.38539163863527148</v>
      </c>
      <c r="D31" s="2">
        <f>('вместе-абс'!D31 - 'вместе-абс'!D$2) / 'вместе-абс'!D$2</f>
        <v>0.82554795585263485</v>
      </c>
      <c r="E31" s="2">
        <f>('вместе-абс'!E31 - 'вместе-абс'!E$2) / 'вместе-абс'!E$2</f>
        <v>0.54857299670691551</v>
      </c>
      <c r="F31" s="2">
        <f>('вместе-абс'!F31 - 'вместе-абс'!F$2) / 'вместе-абс'!F$2</f>
        <v>0.84216972878390206</v>
      </c>
      <c r="G31" s="2">
        <f>('вместе-абс'!G31 - 'вместе-абс'!G$2) / 'вместе-абс'!G$2</f>
        <v>0.75495049504950495</v>
      </c>
      <c r="H31" s="2">
        <f>('вместе-абс'!H31 - 'вместе-абс'!H$2) / 'вместе-абс'!H$2</f>
        <v>0.83503277494537509</v>
      </c>
      <c r="I31" s="2">
        <f>('вместе-абс'!I31 - 'вместе-абс'!I$2) / 'вместе-абс'!I$2</f>
        <v>1.4253285543608125</v>
      </c>
      <c r="J31" s="2">
        <f>('вместе-абс'!J31 - 'вместе-абс'!J$2) / 'вместе-абс'!J$2</f>
        <v>0.89568106312292362</v>
      </c>
      <c r="K31" s="2">
        <f>('вместе-абс'!K31 - 'вместе-абс'!K$2) / 'вместе-абс'!K$2</f>
        <v>0.58490566037735847</v>
      </c>
      <c r="L31" s="2">
        <f>('вместе-абс'!L31 - 'вместе-абс'!L$2) / 'вместе-абс'!L$2</f>
        <v>1.0375203915171289</v>
      </c>
      <c r="M31" s="2">
        <f>('вместе-абс'!M31 - 'вместе-абс'!M$2) / 'вместе-абс'!M$2</f>
        <v>0.57701956848971403</v>
      </c>
      <c r="N31" s="2">
        <f>('вместе-абс'!N31 - 'вместе-абс'!N$2) / 'вместе-абс'!N$2</f>
        <v>1.033175355450237</v>
      </c>
      <c r="O31" s="2">
        <f>('вместе-абс'!O31 - 'вместе-абс'!O$2) / 'вместе-абс'!O$2</f>
        <v>0.63901280759821555</v>
      </c>
      <c r="P31" s="2">
        <f>('вместе-абс'!P31 - 'вместе-абс'!P$2) / 'вместе-абс'!P$2</f>
        <v>0.55573770491803276</v>
      </c>
      <c r="Q31" s="2">
        <f>('вместе-абс'!Q31 - 'вместе-абс'!Q$2) / 'вместе-абс'!Q$2</f>
        <v>0.74576271186440679</v>
      </c>
      <c r="R31" s="2">
        <f>('вместе-абс'!R31 - 'вместе-абс'!R$2) / 'вместе-абс'!R$2</f>
        <v>0.88053097345132747</v>
      </c>
      <c r="S31" s="2">
        <f>('вместе-абс'!S31 - 'вместе-абс'!S$2) / 'вместе-абс'!S$2</f>
        <v>0.61617262423714037</v>
      </c>
      <c r="T31" s="2">
        <f>('вместе-абс'!T31 - 'вместе-абс'!T$2) / 'вместе-абс'!T$2</f>
        <v>0.49111584932480457</v>
      </c>
      <c r="U31" s="2">
        <f>('вместе-абс'!U31 - 'вместе-абс'!U$2) / 'вместе-абс'!U$2</f>
        <v>0.59672727272727277</v>
      </c>
      <c r="V31" s="2">
        <f>('вместе-абс'!V31 - 'вместе-абс'!V$2) / 'вместе-абс'!V$2</f>
        <v>7.195604395604395E-2</v>
      </c>
    </row>
    <row r="32" spans="1:22" x14ac:dyDescent="0.25">
      <c r="A32" s="12">
        <f t="shared" si="0"/>
        <v>1947</v>
      </c>
      <c r="B32" s="2">
        <f>('вместе-абс'!B32 - 'вместе-абс'!B$2) / 'вместе-абс'!B$2</f>
        <v>0.88608644168146833</v>
      </c>
      <c r="C32" s="2">
        <f>('вместе-абс'!C32 - 'вместе-абс'!C$2) / 'вместе-абс'!C$2</f>
        <v>0.40124939932724651</v>
      </c>
      <c r="D32" s="2">
        <f>('вместе-абс'!D32 - 'вместе-абс'!D$2) / 'вместе-абс'!D$2</f>
        <v>0.8716384268614954</v>
      </c>
      <c r="E32" s="2">
        <f>('вместе-абс'!E32 - 'вместе-абс'!E$2) / 'вместе-абс'!E$2</f>
        <v>0.57738748627881453</v>
      </c>
      <c r="F32" s="2">
        <f>('вместе-абс'!F32 - 'вместе-абс'!F$2) / 'вместе-абс'!F$2</f>
        <v>0.88976377952755903</v>
      </c>
      <c r="G32" s="2">
        <f>('вместе-абс'!G32 - 'вместе-абс'!G$2) / 'вместе-абс'!G$2</f>
        <v>0.79702970297029707</v>
      </c>
      <c r="H32" s="2">
        <f>('вместе-абс'!H32 - 'вместе-абс'!H$2) / 'вместе-абс'!H$2</f>
        <v>0.87618353969410046</v>
      </c>
      <c r="I32" s="2">
        <f>('вместе-абс'!I32 - 'вместе-абс'!I$2) / 'вместе-абс'!I$2</f>
        <v>1.4850657108721625</v>
      </c>
      <c r="J32" s="2">
        <f>('вместе-абс'!J32 - 'вместе-абс'!J$2) / 'вместе-абс'!J$2</f>
        <v>0.95083056478405314</v>
      </c>
      <c r="K32" s="2">
        <f>('вместе-абс'!K32 - 'вместе-абс'!K$2) / 'вместе-абс'!K$2</f>
        <v>0.60646900269541781</v>
      </c>
      <c r="L32" s="2">
        <f>('вместе-абс'!L32 - 'вместе-абс'!L$2) / 'вместе-абс'!L$2</f>
        <v>1.0929853181076672</v>
      </c>
      <c r="M32" s="2">
        <f>('вместе-абс'!M32 - 'вместе-абс'!M$2) / 'вместе-абс'!M$2</f>
        <v>0.60561966884094331</v>
      </c>
      <c r="N32" s="2">
        <f>('вместе-абс'!N32 - 'вместе-абс'!N$2) / 'вместе-абс'!N$2</f>
        <v>1.0853080568720379</v>
      </c>
      <c r="O32" s="2">
        <f>('вместе-абс'!O32 - 'вместе-абс'!O$2) / 'вместе-абс'!O$2</f>
        <v>0.68657360771334008</v>
      </c>
      <c r="P32" s="2">
        <f>('вместе-абс'!P32 - 'вместе-абс'!P$2) / 'вместе-абс'!P$2</f>
        <v>0.60163934426229504</v>
      </c>
      <c r="Q32" s="2">
        <f>('вместе-абс'!Q32 - 'вместе-абс'!Q$2) / 'вместе-абс'!Q$2</f>
        <v>0.78934624697336564</v>
      </c>
      <c r="R32" s="2">
        <f>('вместе-абс'!R32 - 'вместе-абс'!R$2) / 'вместе-абс'!R$2</f>
        <v>0.9247787610619469</v>
      </c>
      <c r="S32" s="2">
        <f>('вместе-абс'!S32 - 'вместе-абс'!S$2) / 'вместе-абс'!S$2</f>
        <v>0.64494333042720142</v>
      </c>
      <c r="T32" s="2">
        <f>('вместе-абс'!T32 - 'вместе-абс'!T$2) / 'вместе-абс'!T$2</f>
        <v>0.5074626865671642</v>
      </c>
      <c r="U32" s="2">
        <f>('вместе-абс'!U32 - 'вместе-абс'!U$2) / 'вместе-абс'!U$2</f>
        <v>0.65381818181818185</v>
      </c>
      <c r="V32" s="2">
        <f>('вместе-абс'!V32 - 'вместе-абс'!V$2) / 'вместе-абс'!V$2</f>
        <v>8.251648351648351E-2</v>
      </c>
    </row>
    <row r="33" spans="1:22" x14ac:dyDescent="0.25">
      <c r="A33" s="12">
        <f t="shared" si="0"/>
        <v>1948</v>
      </c>
      <c r="B33" s="2">
        <f>('вместе-абс'!B33 - 'вместе-абс'!B$2) / 'вместе-абс'!B$2</f>
        <v>0.92646536412078151</v>
      </c>
      <c r="C33" s="2">
        <f>('вместе-абс'!C33 - 'вместе-абс'!C$2) / 'вместе-абс'!C$2</f>
        <v>0.41758769822200864</v>
      </c>
      <c r="D33" s="2">
        <f>('вместе-абс'!D33 - 'вместе-абс'!D$2) / 'вместе-абс'!D$2</f>
        <v>0.92064355666096687</v>
      </c>
      <c r="E33" s="2">
        <f>('вместе-абс'!E33 - 'вместе-абс'!E$2) / 'вместе-абс'!E$2</f>
        <v>0.60647639956092203</v>
      </c>
      <c r="F33" s="2">
        <f>('вместе-абс'!F33 - 'вместе-абс'!F$2) / 'вместе-абс'!F$2</f>
        <v>0.93893263342082245</v>
      </c>
      <c r="G33" s="2">
        <f>('вместе-абс'!G33 - 'вместе-абс'!G$2) / 'вместе-абс'!G$2</f>
        <v>0.84653465346534651</v>
      </c>
      <c r="H33" s="2">
        <f>('вместе-абс'!H33 - 'вместе-абс'!H$2) / 'вместе-абс'!H$2</f>
        <v>0.91842680262199561</v>
      </c>
      <c r="I33" s="2">
        <f>('вместе-абс'!I33 - 'вместе-абс'!I$2) / 'вместе-абс'!I$2</f>
        <v>1.5459976105137396</v>
      </c>
      <c r="J33" s="2">
        <f>('вместе-абс'!J33 - 'вместе-абс'!J$2) / 'вместе-абс'!J$2</f>
        <v>1.0046511627906978</v>
      </c>
      <c r="K33" s="2">
        <f>('вместе-абс'!K33 - 'вместе-абс'!K$2) / 'вместе-абс'!K$2</f>
        <v>0.62713387241689134</v>
      </c>
      <c r="L33" s="2">
        <f>('вместе-абс'!L33 - 'вместе-абс'!L$2) / 'вместе-абс'!L$2</f>
        <v>1.1541598694942903</v>
      </c>
      <c r="M33" s="2">
        <f>('вместе-абс'!M33 - 'вместе-абс'!M$2) / 'вместе-абс'!M$2</f>
        <v>0.63472152533868542</v>
      </c>
      <c r="N33" s="2">
        <f>('вместе-абс'!N33 - 'вместе-абс'!N$2) / 'вместе-абс'!N$2</f>
        <v>1.1374407582938388</v>
      </c>
      <c r="O33" s="2">
        <f>('вместе-абс'!O33 - 'вместе-абс'!O$2) / 'вместе-абс'!O$2</f>
        <v>0.73614908619945318</v>
      </c>
      <c r="P33" s="2">
        <f>('вместе-абс'!P33 - 'вместе-абс'!P$2) / 'вместе-абс'!P$2</f>
        <v>0.64098360655737707</v>
      </c>
      <c r="Q33" s="2">
        <f>('вместе-абс'!Q33 - 'вместе-абс'!Q$2) / 'вместе-абс'!Q$2</f>
        <v>0.83535108958837767</v>
      </c>
      <c r="R33" s="2">
        <f>('вместе-абс'!R33 - 'вместе-абс'!R$2) / 'вместе-абс'!R$2</f>
        <v>0.96902654867256632</v>
      </c>
      <c r="S33" s="2">
        <f>('вместе-абс'!S33 - 'вместе-абс'!S$2) / 'вместе-абс'!S$2</f>
        <v>0.67436791630340021</v>
      </c>
      <c r="T33" s="2">
        <f>('вместе-абс'!T33 - 'вместе-абс'!T$2) / 'вместе-абс'!T$2</f>
        <v>0.52380952380952384</v>
      </c>
      <c r="U33" s="2">
        <f>('вместе-абс'!U33 - 'вместе-абс'!U$2) / 'вместе-абс'!U$2</f>
        <v>0.70399999999999996</v>
      </c>
      <c r="V33" s="2">
        <f>('вместе-абс'!V33 - 'вместе-абс'!V$2) / 'вместе-абс'!V$2</f>
        <v>8.9659340659340656E-2</v>
      </c>
    </row>
    <row r="34" spans="1:22" x14ac:dyDescent="0.25">
      <c r="A34" s="12">
        <f t="shared" si="0"/>
        <v>1949</v>
      </c>
      <c r="B34" s="2">
        <f>('вместе-абс'!B34 - 'вместе-абс'!B$2) / 'вместе-абс'!B$2</f>
        <v>0.97229129662522207</v>
      </c>
      <c r="C34" s="2">
        <f>('вместе-абс'!C34 - 'вместе-абс'!C$2) / 'вместе-абс'!C$2</f>
        <v>0.41999038923594428</v>
      </c>
      <c r="D34" s="2">
        <f>('вместе-абс'!D34 - 'вместе-абс'!D$2) / 'вместе-абс'!D$2</f>
        <v>0.97260220736825742</v>
      </c>
      <c r="E34" s="2">
        <f>('вместе-абс'!E34 - 'вместе-абс'!E$2) / 'вместе-абс'!E$2</f>
        <v>0.6361141602634468</v>
      </c>
      <c r="F34" s="2">
        <f>('вместе-абс'!F34 - 'вместе-абс'!F$2) / 'вместе-абс'!F$2</f>
        <v>0.99002624671916006</v>
      </c>
      <c r="G34" s="2">
        <f>('вместе-абс'!G34 - 'вместе-абс'!G$2) / 'вместе-абс'!G$2</f>
        <v>0.90841584158415845</v>
      </c>
      <c r="H34" s="2">
        <f>('вместе-абс'!H34 - 'вместе-абс'!H$2) / 'вместе-абс'!H$2</f>
        <v>0.96139839766933721</v>
      </c>
      <c r="I34" s="2">
        <f>('вместе-абс'!I34 - 'вместе-абс'!I$2) / 'вместе-абс'!I$2</f>
        <v>1.6105137395459976</v>
      </c>
      <c r="J34" s="2">
        <f>('вместе-абс'!J34 - 'вместе-абс'!J$2) / 'вместе-абс'!J$2</f>
        <v>1.0624584717607974</v>
      </c>
      <c r="K34" s="2">
        <f>('вместе-абс'!K34 - 'вместе-абс'!K$2) / 'вместе-абс'!K$2</f>
        <v>0.64869721473495057</v>
      </c>
      <c r="L34" s="2">
        <f>('вместе-абс'!L34 - 'вместе-абс'!L$2) / 'вместе-абс'!L$2</f>
        <v>1.2218597063621532</v>
      </c>
      <c r="M34" s="2">
        <f>('вместе-абс'!M34 - 'вместе-абс'!M$2) / 'вместе-абс'!M$2</f>
        <v>0.66482689412945306</v>
      </c>
      <c r="N34" s="2">
        <f>('вместе-абс'!N34 - 'вместе-абс'!N$2) / 'вместе-абс'!N$2</f>
        <v>1.1943127962085307</v>
      </c>
      <c r="O34" s="2">
        <f>('вместе-абс'!O34 - 'вместе-абс'!O$2) / 'вместе-абс'!O$2</f>
        <v>0.78622823427831345</v>
      </c>
      <c r="P34" s="2">
        <f>('вместе-абс'!P34 - 'вместе-абс'!P$2) / 'вместе-абс'!P$2</f>
        <v>0.68524590163934429</v>
      </c>
      <c r="Q34" s="2">
        <f>('вместе-абс'!Q34 - 'вместе-абс'!Q$2) / 'вместе-абс'!Q$2</f>
        <v>0.88135593220338981</v>
      </c>
      <c r="R34" s="2">
        <f>('вместе-абс'!R34 - 'вместе-абс'!R$2) / 'вместе-абс'!R$2</f>
        <v>1.0147492625368733</v>
      </c>
      <c r="S34" s="2">
        <f>('вместе-абс'!S34 - 'вместе-абс'!S$2) / 'вместе-абс'!S$2</f>
        <v>0.70488230165649524</v>
      </c>
      <c r="T34" s="2">
        <f>('вместе-абс'!T34 - 'вместе-абс'!T$2) / 'вместе-абс'!T$2</f>
        <v>0.54157782515991471</v>
      </c>
      <c r="U34" s="2">
        <f>('вместе-абс'!U34 - 'вместе-абс'!U$2) / 'вместе-абс'!U$2</f>
        <v>0.75563636363636366</v>
      </c>
      <c r="V34" s="2">
        <f>('вместе-абс'!V34 - 'вместе-абс'!V$2) / 'вместе-абс'!V$2</f>
        <v>0.10167032967032967</v>
      </c>
    </row>
    <row r="35" spans="1:22" x14ac:dyDescent="0.25">
      <c r="A35" s="12">
        <f t="shared" si="0"/>
        <v>1950</v>
      </c>
      <c r="B35" s="2">
        <f>('вместе-абс'!B35 - 'вместе-абс'!B$2) / 'вместе-абс'!B$2</f>
        <v>1.0213143872113677</v>
      </c>
      <c r="C35" s="2">
        <f>('вместе-абс'!C35 - 'вместе-абс'!C$2) / 'вместе-абс'!C$2</f>
        <v>0.44786160499759731</v>
      </c>
      <c r="D35" s="2">
        <f>('вместе-абс'!D35 - 'вместе-абс'!D$2) / 'вместе-абс'!D$2</f>
        <v>1.0277475516866159</v>
      </c>
      <c r="E35" s="2">
        <f>('вместе-абс'!E35 - 'вместе-абс'!E$2) / 'вместе-абс'!E$2</f>
        <v>0.6665751920965971</v>
      </c>
      <c r="F35" s="2">
        <f>('вместе-абс'!F35 - 'вместе-абс'!F$2) / 'вместе-абс'!F$2</f>
        <v>1.0435695538057743</v>
      </c>
      <c r="G35" s="2">
        <f>('вместе-абс'!G35 - 'вместе-абс'!G$2) / 'вместе-абс'!G$2</f>
        <v>0.98267326732673266</v>
      </c>
      <c r="H35" s="2">
        <f>('вместе-абс'!H35 - 'вместе-абс'!H$2) / 'вместе-абс'!H$2</f>
        <v>1.0058266569555718</v>
      </c>
      <c r="I35" s="2">
        <f>('вместе-абс'!I35 - 'вместе-абс'!I$2) / 'вместе-абс'!I$2</f>
        <v>1.6798088410991636</v>
      </c>
      <c r="J35" s="2">
        <f>('вместе-абс'!J35 - 'вместе-абс'!J$2) / 'вместе-абс'!J$2</f>
        <v>1.1242524916943522</v>
      </c>
      <c r="K35" s="2">
        <f>('вместе-абс'!K35 - 'вместе-абс'!K$2) / 'вместе-абс'!K$2</f>
        <v>0.67834681042228206</v>
      </c>
      <c r="L35" s="2">
        <f>('вместе-абс'!L35 - 'вместе-абс'!L$2) / 'вместе-абс'!L$2</f>
        <v>1.2879282218597063</v>
      </c>
      <c r="M35" s="2">
        <f>('вместе-абс'!M35 - 'вместе-абс'!M$2) / 'вместе-абс'!M$2</f>
        <v>0.69593577521324634</v>
      </c>
      <c r="N35" s="2">
        <f>('вместе-абс'!N35 - 'вместе-абс'!N$2) / 'вместе-абс'!N$2</f>
        <v>1.2559241706161137</v>
      </c>
      <c r="O35" s="2">
        <f>('вместе-абс'!O35 - 'вместе-абс'!O$2) / 'вместе-абс'!O$2</f>
        <v>0.85573463807742123</v>
      </c>
      <c r="P35" s="2">
        <f>('вместе-абс'!P35 - 'вместе-абс'!P$2) / 'вместе-абс'!P$2</f>
        <v>0.73770491803278693</v>
      </c>
      <c r="Q35" s="2">
        <f>('вместе-абс'!Q35 - 'вместе-абс'!Q$2) / 'вместе-абс'!Q$2</f>
        <v>0.92978208232445525</v>
      </c>
      <c r="R35" s="2">
        <f>('вместе-абс'!R35 - 'вместе-абс'!R$2) / 'вместе-абс'!R$2</f>
        <v>1.0604719764011798</v>
      </c>
      <c r="S35" s="2">
        <f>('вместе-абс'!S35 - 'вместе-абс'!S$2) / 'вместе-абс'!S$2</f>
        <v>0.73692240627724503</v>
      </c>
      <c r="T35" s="2">
        <f>('вместе-абс'!T35 - 'вместе-абс'!T$2) / 'вместе-абс'!T$2</f>
        <v>0.5600568585643213</v>
      </c>
      <c r="U35" s="2">
        <f>('вместе-абс'!U35 - 'вместе-абс'!U$2) / 'вместе-абс'!U$2</f>
        <v>0.80872727272727274</v>
      </c>
      <c r="V35" s="2">
        <f>('вместе-абс'!V35 - 'вместе-абс'!V$2) / 'вместе-абс'!V$2</f>
        <v>0.12161538461538461</v>
      </c>
    </row>
    <row r="36" spans="1:22" x14ac:dyDescent="0.25">
      <c r="A36" s="12">
        <f>A35+1</f>
        <v>1951</v>
      </c>
      <c r="B36" s="2">
        <f>('вместе-абс'!B36 - 'вместе-абс'!B$2) / 'вместе-абс'!B$2</f>
        <v>1.0613380698638248</v>
      </c>
      <c r="C36" s="2">
        <f>('вместе-абс'!C36 - 'вместе-абс'!C$2) / 'вместе-абс'!C$2</f>
        <v>0.47107160019221539</v>
      </c>
      <c r="D36" s="2">
        <f>('вместе-абс'!D36 - 'вместе-абс'!D$2) / 'вместе-абс'!D$2</f>
        <v>1.0902494947924763</v>
      </c>
      <c r="E36" s="2">
        <f>('вместе-абс'!E36 - 'вместе-абс'!E$2) / 'вместе-абс'!E$2</f>
        <v>0.70293633369923159</v>
      </c>
      <c r="F36" s="2">
        <f>('вместе-абс'!F36 - 'вместе-абс'!F$2) / 'вместе-абс'!F$2</f>
        <v>1.0981627296587926</v>
      </c>
      <c r="G36" s="2">
        <f>('вместе-абс'!G36 - 'вместе-абс'!G$2) / 'вместе-абс'!G$2</f>
        <v>1.0586633663366338</v>
      </c>
      <c r="H36" s="2">
        <f>('вместе-абс'!H36 - 'вместе-абс'!H$2) / 'вместе-абс'!H$2</f>
        <v>1.0498543335761106</v>
      </c>
      <c r="I36" s="2">
        <f>('вместе-абс'!I36 - 'вместе-абс'!I$2) / 'вместе-абс'!I$2</f>
        <v>1.7634408602150538</v>
      </c>
      <c r="J36" s="2">
        <f>('вместе-абс'!J36 - 'вместе-абс'!J$2) / 'вместе-абс'!J$2</f>
        <v>1.1850498338870432</v>
      </c>
      <c r="K36" s="2">
        <f>('вместе-абс'!K36 - 'вместе-абс'!K$2) / 'вместе-абс'!K$2</f>
        <v>0.72569631626235409</v>
      </c>
      <c r="L36" s="2">
        <f>('вместе-абс'!L36 - 'вместе-абс'!L$2) / 'вместе-абс'!L$2</f>
        <v>1.3536704730831972</v>
      </c>
      <c r="M36" s="2">
        <f>('вместе-абс'!M36 - 'вместе-абс'!M$2) / 'вместе-абс'!M$2</f>
        <v>0.7198193677872553</v>
      </c>
      <c r="N36" s="2">
        <f>('вместе-абс'!N36 - 'вместе-абс'!N$2) / 'вместе-абс'!N$2</f>
        <v>1.3232227488151658</v>
      </c>
      <c r="O36" s="2">
        <f>('вместе-абс'!O36 - 'вместе-абс'!O$2) / 'вместе-абс'!O$2</f>
        <v>0.90860555475607996</v>
      </c>
      <c r="P36" s="2">
        <f>('вместе-абс'!P36 - 'вместе-абс'!P$2) / 'вместе-абс'!P$2</f>
        <v>0.7990163934426231</v>
      </c>
      <c r="Q36" s="2">
        <f>('вместе-абс'!Q36 - 'вместе-абс'!Q$2) / 'вместе-абс'!Q$2</f>
        <v>0.98135593220338968</v>
      </c>
      <c r="R36" s="2">
        <f>('вместе-абс'!R36 - 'вместе-абс'!R$2) / 'вместе-абс'!R$2</f>
        <v>1.1109144542772862</v>
      </c>
      <c r="S36" s="2">
        <f>('вместе-абс'!S36 - 'вместе-абс'!S$2) / 'вместе-абс'!S$2</f>
        <v>0.78397994768962498</v>
      </c>
      <c r="T36" s="2">
        <f>('вместе-абс'!T36 - 'вместе-абс'!T$2) / 'вместе-абс'!T$2</f>
        <v>0.57619047619047603</v>
      </c>
      <c r="U36" s="2">
        <f>('вместе-абс'!U36 - 'вместе-абс'!U$2) / 'вместе-абс'!U$2</f>
        <v>0.89425454545454541</v>
      </c>
      <c r="V36" s="2">
        <f>('вместе-абс'!V36 - 'вместе-абс'!V$2) / 'вместе-абс'!V$2</f>
        <v>0.13845054945054944</v>
      </c>
    </row>
    <row r="37" spans="1:22" x14ac:dyDescent="0.25">
      <c r="A37" s="12">
        <f t="shared" ref="A37:A85" si="1">A36+1</f>
        <v>1952</v>
      </c>
      <c r="B37" s="2">
        <f>('вместе-абс'!B37 - 'вместе-абс'!B$2) / 'вместе-абс'!B$2</f>
        <v>1.1015156897572527</v>
      </c>
      <c r="C37" s="2">
        <f>('вместе-абс'!C37 - 'вместе-абс'!C$2) / 'вместе-абс'!C$2</f>
        <v>0.49750120134550707</v>
      </c>
      <c r="D37" s="2">
        <f>('вместе-абс'!D37 - 'вместе-абс'!D$2) / 'вместе-абс'!D$2</f>
        <v>1.1577413337478626</v>
      </c>
      <c r="E37" s="2">
        <f>('вместе-абс'!E37 - 'вместе-абс'!E$2) / 'вместе-абс'!E$2</f>
        <v>0.74865532381997812</v>
      </c>
      <c r="F37" s="2">
        <f>('вместе-абс'!F37 - 'вместе-абс'!F$2) / 'вместе-абс'!F$2</f>
        <v>1.1562029746281717</v>
      </c>
      <c r="G37" s="2">
        <f>('вместе-абс'!G37 - 'вместе-абс'!G$2) / 'вместе-абс'!G$2</f>
        <v>1.154207920792079</v>
      </c>
      <c r="H37" s="2">
        <f>('вместе-абс'!H37 - 'вместе-абс'!H$2) / 'вместе-абс'!H$2</f>
        <v>1.1021849963583394</v>
      </c>
      <c r="I37" s="2">
        <f>('вместе-абс'!I37 - 'вместе-абс'!I$2) / 'вместе-абс'!I$2</f>
        <v>1.8608124253285543</v>
      </c>
      <c r="J37" s="2">
        <f>('вместе-абс'!J37 - 'вместе-абс'!J$2) / 'вместе-абс'!J$2</f>
        <v>1.258671096345515</v>
      </c>
      <c r="K37" s="2">
        <f>('вместе-абс'!K37 - 'вместе-абс'!K$2) / 'вместе-абс'!K$2</f>
        <v>0.78742138364779879</v>
      </c>
      <c r="L37" s="2">
        <f>('вместе-абс'!L37 - 'вместе-абс'!L$2) / 'вместе-абс'!L$2</f>
        <v>1.4343393148450245</v>
      </c>
      <c r="M37" s="2">
        <f>('вместе-абс'!M37 - 'вместе-абс'!M$2) / 'вместе-абс'!M$2</f>
        <v>0.74189663823381835</v>
      </c>
      <c r="N37" s="2">
        <f>('вместе-абс'!N37 - 'вместе-абс'!N$2) / 'вместе-абс'!N$2</f>
        <v>1.4034755134281203</v>
      </c>
      <c r="O37" s="2">
        <f>('вместе-абс'!O37 - 'вместе-абс'!O$2) / 'вместе-абс'!O$2</f>
        <v>0.97054252410418751</v>
      </c>
      <c r="P37" s="2">
        <f>('вместе-абс'!P37 - 'вместе-абс'!P$2) / 'вместе-абс'!P$2</f>
        <v>0.88311475409836071</v>
      </c>
      <c r="Q37" s="2">
        <f>('вместе-абс'!Q37 - 'вместе-абс'!Q$2) / 'вместе-абс'!Q$2</f>
        <v>1.0438256658595642</v>
      </c>
      <c r="R37" s="2">
        <f>('вместе-абс'!R37 - 'вместе-абс'!R$2) / 'вместе-абс'!R$2</f>
        <v>1.1706489675516225</v>
      </c>
      <c r="S37" s="2">
        <f>('вместе-абс'!S37 - 'вместе-абс'!S$2) / 'вместе-абс'!S$2</f>
        <v>0.8291848299912814</v>
      </c>
      <c r="T37" s="2">
        <f>('вместе-абс'!T37 - 'вместе-абс'!T$2) / 'вместе-абс'!T$2</f>
        <v>0.59559346126510304</v>
      </c>
      <c r="U37" s="2">
        <f>('вместе-абс'!U37 - 'вместе-абс'!U$2) / 'вместе-абс'!U$2</f>
        <v>0.99130909090909103</v>
      </c>
      <c r="V37" s="2">
        <f>('вместе-абс'!V37 - 'вместе-абс'!V$2) / 'вместе-абс'!V$2</f>
        <v>0.15690109890109891</v>
      </c>
    </row>
    <row r="38" spans="1:22" x14ac:dyDescent="0.25">
      <c r="A38" s="12">
        <f t="shared" si="1"/>
        <v>1953</v>
      </c>
      <c r="B38" s="2">
        <f>('вместе-абс'!B38 - 'вместе-абс'!B$2) / 'вместе-абс'!B$2</f>
        <v>1.1414446417998816</v>
      </c>
      <c r="C38" s="2">
        <f>('вместе-абс'!C38 - 'вместе-абс'!C$2) / 'вместе-абс'!C$2</f>
        <v>0.52691013935607878</v>
      </c>
      <c r="D38" s="2">
        <f>('вместе-абс'!D38 - 'вместе-абс'!D$2) / 'вместе-абс'!D$2</f>
        <v>1.2297372920876728</v>
      </c>
      <c r="E38" s="2">
        <f>('вместе-абс'!E38 - 'вместе-абс'!E$2) / 'вместе-абс'!E$2</f>
        <v>0.80214050493962674</v>
      </c>
      <c r="F38" s="2">
        <f>('вместе-абс'!F38 - 'вместе-абс'!F$2) / 'вместе-абс'!F$2</f>
        <v>1.2172003499562554</v>
      </c>
      <c r="G38" s="2">
        <f>('вместе-абс'!G38 - 'вместе-абс'!G$2) / 'вместе-абс'!G$2</f>
        <v>1.2673267326732673</v>
      </c>
      <c r="H38" s="2">
        <f>('вместе-абс'!H38 - 'вместе-абс'!H$2) / 'вместе-абс'!H$2</f>
        <v>1.16190823015295</v>
      </c>
      <c r="I38" s="2">
        <f>('вместе-абс'!I38 - 'вместе-абс'!I$2) / 'вместе-абс'!I$2</f>
        <v>1.970848267622461</v>
      </c>
      <c r="J38" s="2">
        <f>('вместе-абс'!J38 - 'вместе-абс'!J$2) / 'вместе-абс'!J$2</f>
        <v>1.3432558139534883</v>
      </c>
      <c r="K38" s="2">
        <f>('вместе-абс'!K38 - 'вместе-абс'!K$2) / 'вместе-абс'!K$2</f>
        <v>0.86190476190476206</v>
      </c>
      <c r="L38" s="2">
        <f>('вместе-абс'!L38 - 'вместе-абс'!L$2) / 'вместе-абс'!L$2</f>
        <v>1.5273246329526917</v>
      </c>
      <c r="M38" s="2">
        <f>('вместе-абс'!M38 - 'вместе-абс'!M$2) / 'вместе-абс'!M$2</f>
        <v>0.76281986954340197</v>
      </c>
      <c r="N38" s="2">
        <f>('вместе-абс'!N38 - 'вместе-абс'!N$2) / 'вместе-абс'!N$2</f>
        <v>1.4952606635071091</v>
      </c>
      <c r="O38" s="2">
        <f>('вместе-абс'!O38 - 'вместе-абс'!O$2) / 'вместе-абс'!O$2</f>
        <v>1.0406821125341776</v>
      </c>
      <c r="P38" s="2">
        <f>('вместе-абс'!P38 - 'вместе-абс'!P$2) / 'вместе-абс'!P$2</f>
        <v>0.98786885245901623</v>
      </c>
      <c r="Q38" s="2">
        <f>('вместе-абс'!Q38 - 'вместе-абс'!Q$2) / 'вместе-абс'!Q$2</f>
        <v>1.1157384987893462</v>
      </c>
      <c r="R38" s="2">
        <f>('вместе-абс'!R38 - 'вместе-абс'!R$2) / 'вместе-абс'!R$2</f>
        <v>1.2383480825958701</v>
      </c>
      <c r="S38" s="2">
        <f>('вместе-абс'!S38 - 'вместе-абс'!S$2) / 'вместе-абс'!S$2</f>
        <v>0.87279860505666951</v>
      </c>
      <c r="T38" s="2">
        <f>('вместе-абс'!T38 - 'вместе-абс'!T$2) / 'вместе-абс'!T$2</f>
        <v>0.61769722814498929</v>
      </c>
      <c r="U38" s="2">
        <f>('вместе-абс'!U38 - 'вместе-абс'!U$2) / 'вместе-абс'!U$2</f>
        <v>1.0986909090909089</v>
      </c>
      <c r="V38" s="2">
        <f>('вместе-абс'!V38 - 'вместе-абс'!V$2) / 'вместе-абс'!V$2</f>
        <v>0.17636263736263735</v>
      </c>
    </row>
    <row r="39" spans="1:22" x14ac:dyDescent="0.25">
      <c r="A39" s="12">
        <f t="shared" si="1"/>
        <v>1954</v>
      </c>
      <c r="B39" s="2">
        <f>('вместе-абс'!B39 - 'вместе-абс'!B$2) / 'вместе-абс'!B$2</f>
        <v>1.1808880994671402</v>
      </c>
      <c r="C39" s="2">
        <f>('вместе-абс'!C39 - 'вместе-абс'!C$2) / 'вместе-абс'!C$2</f>
        <v>0.55905814512253726</v>
      </c>
      <c r="D39" s="2">
        <f>('вместе-абс'!D39 - 'вместе-абс'!D$2) / 'вместе-абс'!D$2</f>
        <v>1.3057710244054095</v>
      </c>
      <c r="E39" s="2">
        <f>('вместе-абс'!E39 - 'вместе-абс'!E$2) / 'вместе-абс'!E$2</f>
        <v>0.86185510428100998</v>
      </c>
      <c r="F39" s="2">
        <f>('вместе-абс'!F39 - 'вместе-абс'!F$2) / 'вместе-абс'!F$2</f>
        <v>1.2812423447069115</v>
      </c>
      <c r="G39" s="2">
        <f>('вместе-абс'!G39 - 'вместе-абс'!G$2) / 'вместе-абс'!G$2</f>
        <v>1.3965346534653467</v>
      </c>
      <c r="H39" s="2">
        <f>('вместе-абс'!H39 - 'вместе-абс'!H$2) / 'вместе-абс'!H$2</f>
        <v>1.2276037873270211</v>
      </c>
      <c r="I39" s="2">
        <f>('вместе-абс'!I39 - 'вместе-абс'!I$2) / 'вместе-абс'!I$2</f>
        <v>2.091756272401434</v>
      </c>
      <c r="J39" s="2">
        <f>('вместе-абс'!J39 - 'вместе-абс'!J$2) / 'вместе-абс'!J$2</f>
        <v>1.4370764119601329</v>
      </c>
      <c r="K39" s="2">
        <f>('вместе-абс'!K39 - 'вместе-абс'!K$2) / 'вместе-абс'!K$2</f>
        <v>0.94716981132075451</v>
      </c>
      <c r="L39" s="2">
        <f>('вместе-абс'!L39 - 'вместе-абс'!L$2) / 'вместе-абс'!L$2</f>
        <v>1.6306688417618269</v>
      </c>
      <c r="M39" s="2">
        <f>('вместе-абс'!M39 - 'вместе-абс'!M$2) / 'вместе-абс'!M$2</f>
        <v>0.7831911690918214</v>
      </c>
      <c r="N39" s="2">
        <f>('вместе-абс'!N39 - 'вместе-абс'!N$2) / 'вместе-абс'!N$2</f>
        <v>1.5966824644549764</v>
      </c>
      <c r="O39" s="2">
        <f>('вместе-абс'!O39 - 'вместе-абс'!O$2) / 'вместе-абс'!O$2</f>
        <v>1.1182688156569291</v>
      </c>
      <c r="P39" s="2">
        <f>('вместе-абс'!P39 - 'вместе-абс'!P$2) / 'вместе-абс'!P$2</f>
        <v>1.1103278688524589</v>
      </c>
      <c r="Q39" s="2">
        <f>('вместе-абс'!Q39 - 'вместе-абс'!Q$2) / 'вместе-абс'!Q$2</f>
        <v>1.1953995157384989</v>
      </c>
      <c r="R39" s="2">
        <f>('вместе-абс'!R39 - 'вместе-абс'!R$2) / 'вместе-абс'!R$2</f>
        <v>1.3125368731563423</v>
      </c>
      <c r="S39" s="2">
        <f>('вместе-абс'!S39 - 'вместе-абс'!S$2) / 'вместе-абс'!S$2</f>
        <v>0.91567131647776812</v>
      </c>
      <c r="T39" s="2">
        <f>('вместе-абс'!T39 - 'вместе-абс'!T$2) / 'вместе-абс'!T$2</f>
        <v>0.64186211798152093</v>
      </c>
      <c r="U39" s="2">
        <f>('вместе-абс'!U39 - 'вместе-абс'!U$2) / 'вместе-абс'!U$2</f>
        <v>1.2150545454545454</v>
      </c>
      <c r="V39" s="2">
        <f>('вместе-абс'!V39 - 'вместе-абс'!V$2) / 'вместе-абс'!V$2</f>
        <v>0.19348351648351647</v>
      </c>
    </row>
    <row r="40" spans="1:22" x14ac:dyDescent="0.25">
      <c r="A40" s="12">
        <f t="shared" si="1"/>
        <v>1955</v>
      </c>
      <c r="B40" s="2">
        <f>('вместе-абс'!B40 - 'вместе-абс'!B$2) / 'вместе-абс'!B$2</f>
        <v>1.2196092362344582</v>
      </c>
      <c r="C40" s="2">
        <f>('вместе-абс'!C40 - 'вместе-абс'!C$2) / 'вместе-абс'!C$2</f>
        <v>0.59341662662181649</v>
      </c>
      <c r="D40" s="2">
        <f>('вместе-абс'!D40 - 'вместе-абс'!D$2) / 'вместе-абс'!D$2</f>
        <v>1.3854267060469456</v>
      </c>
      <c r="E40" s="2">
        <f>('вместе-абс'!E40 - 'вместе-абс'!E$2) / 'вместе-абс'!E$2</f>
        <v>0.9259879253567509</v>
      </c>
      <c r="F40" s="2">
        <f>('вместе-абс'!F40 - 'вместе-абс'!F$2) / 'вместе-абс'!F$2</f>
        <v>1.3486614173228346</v>
      </c>
      <c r="G40" s="2">
        <f>('вместе-абс'!G40 - 'вместе-абс'!G$2) / 'вместе-абс'!G$2</f>
        <v>1.5383663366336633</v>
      </c>
      <c r="H40" s="2">
        <f>('вместе-абс'!H40 - 'вместе-абс'!H$2) / 'вместе-абс'!H$2</f>
        <v>1.2974872541879094</v>
      </c>
      <c r="I40" s="2">
        <f>('вместе-абс'!I40 - 'вместе-абс'!I$2) / 'вместе-абс'!I$2</f>
        <v>2.2217443249701314</v>
      </c>
      <c r="J40" s="2">
        <f>('вместе-абс'!J40 - 'вместе-абс'!J$2) / 'вместе-абс'!J$2</f>
        <v>1.5380066445182723</v>
      </c>
      <c r="K40" s="2">
        <f>('вместе-абс'!K40 - 'вместе-абс'!K$2) / 'вместе-абс'!K$2</f>
        <v>1.0415094339622639</v>
      </c>
      <c r="L40" s="2">
        <f>('вместе-абс'!L40 - 'вместе-абс'!L$2) / 'вместе-абс'!L$2</f>
        <v>1.7426590538336053</v>
      </c>
      <c r="M40" s="2">
        <f>('вместе-абс'!M40 - 'вместе-абс'!M$2) / 'вместе-абс'!M$2</f>
        <v>0.80381334671349725</v>
      </c>
      <c r="N40" s="2">
        <f>('вместе-абс'!N40 - 'вместе-абс'!N$2) / 'вместе-абс'!N$2</f>
        <v>1.7055292259083727</v>
      </c>
      <c r="O40" s="2">
        <f>('вместе-абс'!O40 - 'вместе-абс'!O$2) / 'вместе-абс'!O$2</f>
        <v>1.2019355302921284</v>
      </c>
      <c r="P40" s="2">
        <f>('вместе-абс'!P40 - 'вместе-абс'!P$2) / 'вместе-абс'!P$2</f>
        <v>1.2470491803278689</v>
      </c>
      <c r="Q40" s="2">
        <f>('вместе-абс'!Q40 - 'вместе-абс'!Q$2) / 'вместе-абс'!Q$2</f>
        <v>1.2808716707021792</v>
      </c>
      <c r="R40" s="2">
        <f>('вместе-абс'!R40 - 'вместе-абс'!R$2) / 'вместе-абс'!R$2</f>
        <v>1.3911504424778762</v>
      </c>
      <c r="S40" s="2">
        <f>('вместе-абс'!S40 - 'вместе-абс'!S$2) / 'вместе-абс'!S$2</f>
        <v>0.95902353966870091</v>
      </c>
      <c r="T40" s="2">
        <f>('вместе-абс'!T40 - 'вместе-абс'!T$2) / 'вместе-абс'!T$2</f>
        <v>0.66744847192608381</v>
      </c>
      <c r="U40" s="2">
        <f>('вместе-абс'!U40 - 'вместе-абс'!U$2) / 'вместе-абс'!U$2</f>
        <v>1.3386181818181817</v>
      </c>
      <c r="V40" s="2">
        <f>('вместе-абс'!V40 - 'вместе-абс'!V$2) / 'вместе-абс'!V$2</f>
        <v>0.21624175824175823</v>
      </c>
    </row>
    <row r="41" spans="1:22" x14ac:dyDescent="0.25">
      <c r="A41" s="12">
        <f t="shared" si="1"/>
        <v>1956</v>
      </c>
      <c r="B41" s="2">
        <f>('вместе-абс'!B41 - 'вместе-абс'!B$2) / 'вместе-абс'!B$2</f>
        <v>1.2581882770870338</v>
      </c>
      <c r="C41" s="2">
        <f>('вместе-абс'!C41 - 'вместе-абс'!C$2) / 'вместе-абс'!C$2</f>
        <v>0.62955309947140792</v>
      </c>
      <c r="D41" s="2">
        <f>('вместе-абс'!D41 - 'вместе-абс'!D$2) / 'вместе-абс'!D$2</f>
        <v>1.4681602673713663</v>
      </c>
      <c r="E41" s="2">
        <f>('вместе-абс'!E41 - 'вместе-абс'!E$2) / 'вместе-абс'!E$2</f>
        <v>0.99294731064763997</v>
      </c>
      <c r="F41" s="2">
        <f>('вместе-абс'!F41 - 'вместе-абс'!F$2) / 'вместе-абс'!F$2</f>
        <v>1.4191076115485566</v>
      </c>
      <c r="G41" s="2">
        <f>('вместе-абс'!G41 - 'вместе-абс'!G$2) / 'вместе-абс'!G$2</f>
        <v>1.6896039603960393</v>
      </c>
      <c r="H41" s="2">
        <f>('вместе-абс'!H41 - 'вместе-абс'!H$2) / 'вместе-абс'!H$2</f>
        <v>1.3695921340131099</v>
      </c>
      <c r="I41" s="2">
        <f>('вместе-абс'!I41 - 'вместе-абс'!I$2) / 'вместе-абс'!I$2</f>
        <v>2.358183990442055</v>
      </c>
      <c r="J41" s="2">
        <f>('вместе-абс'!J41 - 'вместе-абс'!J$2) / 'вместе-абс'!J$2</f>
        <v>1.6436544850498338</v>
      </c>
      <c r="K41" s="2">
        <f>('вместе-абс'!K41 - 'вместе-абс'!K$2) / 'вместе-абс'!K$2</f>
        <v>1.1415992812219227</v>
      </c>
      <c r="L41" s="2">
        <f>('вместе-абс'!L41 - 'вместе-абс'!L$2) / 'вместе-абс'!L$2</f>
        <v>1.8602773246329525</v>
      </c>
      <c r="M41" s="2">
        <f>('вместе-абс'!M41 - 'вместе-абс'!M$2) / 'вместе-абс'!M$2</f>
        <v>0.82568991470145503</v>
      </c>
      <c r="N41" s="2">
        <f>('вместе-абс'!N41 - 'вместе-абс'!N$2) / 'вместе-абс'!N$2</f>
        <v>1.8194312796208532</v>
      </c>
      <c r="O41" s="2">
        <f>('вместе-абс'!O41 - 'вместе-абс'!O$2) / 'вместе-абс'!O$2</f>
        <v>1.289854655346093</v>
      </c>
      <c r="P41" s="2">
        <f>('вместе-абс'!P41 - 'вместе-абс'!P$2) / 'вместе-абс'!P$2</f>
        <v>1.3934426229508197</v>
      </c>
      <c r="Q41" s="2">
        <f>('вместе-абс'!Q41 - 'вместе-абс'!Q$2) / 'вместе-абс'!Q$2</f>
        <v>1.3704600484261502</v>
      </c>
      <c r="R41" s="2">
        <f>('вместе-абс'!R41 - 'вместе-абс'!R$2) / 'вместе-абс'!R$2</f>
        <v>1.4722713864306785</v>
      </c>
      <c r="S41" s="2">
        <f>('вместе-абс'!S41 - 'вместе-абс'!S$2) / 'вместе-абс'!S$2</f>
        <v>1.0037707061900609</v>
      </c>
      <c r="T41" s="2">
        <f>('вместе-абс'!T41 - 'вместе-абс'!T$2) / 'вместе-абс'!T$2</f>
        <v>0.69395877754086721</v>
      </c>
      <c r="U41" s="2">
        <f>('вместе-абс'!U41 - 'вместе-абс'!U$2) / 'вместе-абс'!U$2</f>
        <v>1.4672727272727273</v>
      </c>
      <c r="V41" s="2">
        <f>('вместе-абс'!V41 - 'вместе-абс'!V$2) / 'вместе-абс'!V$2</f>
        <v>0.23587912087912088</v>
      </c>
    </row>
    <row r="42" spans="1:22" x14ac:dyDescent="0.25">
      <c r="A42" s="12">
        <f t="shared" si="1"/>
        <v>1957</v>
      </c>
      <c r="B42" s="2">
        <f>('вместе-абс'!B42 - 'вместе-абс'!B$2) / 'вместе-абс'!B$2</f>
        <v>1.2967199526346951</v>
      </c>
      <c r="C42" s="2">
        <f>('вместе-абс'!C42 - 'вместе-абс'!C$2) / 'вместе-абс'!C$2</f>
        <v>0.66679481018740983</v>
      </c>
      <c r="D42" s="2">
        <f>('вместе-абс'!D42 - 'вместе-абс'!D$2) / 'вместе-абс'!D$2</f>
        <v>1.5532372143634383</v>
      </c>
      <c r="E42" s="2">
        <f>('вместе-абс'!E42 - 'вместе-абс'!E$2) / 'вместе-абс'!E$2</f>
        <v>1.0603732162458837</v>
      </c>
      <c r="F42" s="2">
        <f>('вместе-абс'!F42 - 'вместе-абс'!F$2) / 'вместе-абс'!F$2</f>
        <v>1.4929483814523186</v>
      </c>
      <c r="G42" s="2">
        <f>('вместе-абс'!G42 - 'вместе-абс'!G$2) / 'вместе-абс'!G$2</f>
        <v>1.8460396039603959</v>
      </c>
      <c r="H42" s="2">
        <f>('вместе-абс'!H42 - 'вместе-абс'!H$2) / 'вместе-абс'!H$2</f>
        <v>1.4418426802621995</v>
      </c>
      <c r="I42" s="2">
        <f>('вместе-абс'!I42 - 'вместе-абс'!I$2) / 'вместе-абс'!I$2</f>
        <v>2.498327359617682</v>
      </c>
      <c r="J42" s="2">
        <f>('вместе-абс'!J42 - 'вместе-абс'!J$2) / 'вместе-абс'!J$2</f>
        <v>1.7512956810631228</v>
      </c>
      <c r="K42" s="2">
        <f>('вместе-абс'!K42 - 'вместе-абс'!K$2) / 'вместе-абс'!K$2</f>
        <v>1.2433962264150944</v>
      </c>
      <c r="L42" s="2">
        <f>('вместе-абс'!L42 - 'вместе-абс'!L$2) / 'вместе-абс'!L$2</f>
        <v>1.980179445350734</v>
      </c>
      <c r="M42" s="2">
        <f>('вместе-абс'!M42 - 'вместе-абс'!M$2) / 'вместе-абс'!M$2</f>
        <v>0.84902157551430002</v>
      </c>
      <c r="N42" s="2">
        <f>('вместе-абс'!N42 - 'вместе-абс'!N$2) / 'вместе-абс'!N$2</f>
        <v>1.9352290679304898</v>
      </c>
      <c r="O42" s="2">
        <f>('вместе-абс'!O42 - 'вместе-абс'!O$2) / 'вместе-абс'!O$2</f>
        <v>1.3800546841272125</v>
      </c>
      <c r="P42" s="2">
        <f>('вместе-абс'!P42 - 'вместе-абс'!P$2) / 'вместе-абс'!P$2</f>
        <v>1.5429508196721313</v>
      </c>
      <c r="Q42" s="2">
        <f>('вместе-абс'!Q42 - 'вместе-абс'!Q$2) / 'вместе-абс'!Q$2</f>
        <v>1.4619854721549637</v>
      </c>
      <c r="R42" s="2">
        <f>('вместе-абс'!R42 - 'вместе-абс'!R$2) / 'вместе-абс'!R$2</f>
        <v>1.5539823008849556</v>
      </c>
      <c r="S42" s="2">
        <f>('вместе-абс'!S42 - 'вместе-абс'!S$2) / 'вместе-абс'!S$2</f>
        <v>1.050850043591979</v>
      </c>
      <c r="T42" s="2">
        <f>('вместе-абс'!T42 - 'вместе-абс'!T$2) / 'вместе-абс'!T$2</f>
        <v>0.72096659559346132</v>
      </c>
      <c r="U42" s="2">
        <f>('вместе-абс'!U42 - 'вместе-абс'!U$2) / 'вместе-абс'!U$2</f>
        <v>1.5984727272727273</v>
      </c>
      <c r="V42" s="2">
        <f>('вместе-абс'!V42 - 'вместе-абс'!V$2) / 'вместе-абс'!V$2</f>
        <v>0.25482417582417582</v>
      </c>
    </row>
    <row r="43" spans="1:22" x14ac:dyDescent="0.25">
      <c r="A43" s="12">
        <f t="shared" si="1"/>
        <v>1958</v>
      </c>
      <c r="B43" s="2">
        <f>('вместе-абс'!B43 - 'вместе-абс'!B$2) / 'вместе-абс'!B$2</f>
        <v>1.3351687388987568</v>
      </c>
      <c r="C43" s="2">
        <f>('вместе-абс'!C43 - 'вместе-абс'!C$2) / 'вместе-абс'!C$2</f>
        <v>0.70456511292647761</v>
      </c>
      <c r="D43" s="2">
        <f>('вместе-абс'!D43 - 'вместе-абс'!D$2) / 'вместе-абс'!D$2</f>
        <v>1.639798694232862</v>
      </c>
      <c r="E43" s="2">
        <f>('вместе-абс'!E43 - 'вместе-абс'!E$2) / 'вместе-абс'!E$2</f>
        <v>1.1254665203073546</v>
      </c>
      <c r="F43" s="2">
        <f>('вместе-абс'!F43 - 'вместе-абс'!F$2) / 'вместе-абс'!F$2</f>
        <v>1.5689938757655293</v>
      </c>
      <c r="G43" s="2">
        <f>('вместе-абс'!G43 - 'вместе-абс'!G$2) / 'вместе-абс'!G$2</f>
        <v>2.0024752475247523</v>
      </c>
      <c r="H43" s="2">
        <f>('вместе-абс'!H43 - 'вместе-абс'!H$2) / 'вместе-абс'!H$2</f>
        <v>1.5119446467589222</v>
      </c>
      <c r="I43" s="2">
        <f>('вместе-абс'!I43 - 'вместе-абс'!I$2) / 'вместе-абс'!I$2</f>
        <v>2.638590203106332</v>
      </c>
      <c r="J43" s="2">
        <f>('вместе-абс'!J43 - 'вместе-абс'!J$2) / 'вместе-абс'!J$2</f>
        <v>1.8575415282392029</v>
      </c>
      <c r="K43" s="2">
        <f>('вместе-абс'!K43 - 'вместе-абс'!K$2) / 'вместе-абс'!K$2</f>
        <v>1.3414195867026055</v>
      </c>
      <c r="L43" s="2">
        <f>('вместе-абс'!L43 - 'вместе-абс'!L$2) / 'вместе-абс'!L$2</f>
        <v>2.0976345840130506</v>
      </c>
      <c r="M43" s="2">
        <f>('вместе-абс'!M43 - 'вместе-абс'!M$2) / 'вместе-абс'!M$2</f>
        <v>0.87461113898645249</v>
      </c>
      <c r="N43" s="2">
        <f>('вместе-абс'!N43 - 'вместе-абс'!N$2) / 'вместе-абс'!N$2</f>
        <v>2.0497630331753554</v>
      </c>
      <c r="O43" s="2">
        <f>('вместе-абс'!O43 - 'вместе-абс'!O$2) / 'вместе-абс'!O$2</f>
        <v>1.470405813786156</v>
      </c>
      <c r="P43" s="2">
        <f>('вместе-абс'!P43 - 'вместе-абс'!P$2) / 'вместе-абс'!P$2</f>
        <v>1.6875409836065576</v>
      </c>
      <c r="Q43" s="2">
        <f>('вместе-абс'!Q43 - 'вместе-абс'!Q$2) / 'вместе-абс'!Q$2</f>
        <v>1.5537530266343826</v>
      </c>
      <c r="R43" s="2">
        <f>('вместе-абс'!R43 - 'вместе-абс'!R$2) / 'вместе-абс'!R$2</f>
        <v>1.6339233038348082</v>
      </c>
      <c r="S43" s="2">
        <f>('вместе-абс'!S43 - 'вместе-абс'!S$2) / 'вместе-абс'!S$2</f>
        <v>1.1013295553618134</v>
      </c>
      <c r="T43" s="2">
        <f>('вместе-абс'!T43 - 'вместе-абс'!T$2) / 'вместе-абс'!T$2</f>
        <v>0.74790334044065399</v>
      </c>
      <c r="U43" s="2">
        <f>('вместе-абс'!U43 - 'вместе-абс'!U$2) / 'вместе-абс'!U$2</f>
        <v>1.7289818181818182</v>
      </c>
      <c r="V43" s="2">
        <f>('вместе-абс'!V43 - 'вместе-абс'!V$2) / 'вместе-абс'!V$2</f>
        <v>0.27341758241758241</v>
      </c>
    </row>
    <row r="44" spans="1:22" x14ac:dyDescent="0.25">
      <c r="A44" s="12">
        <f t="shared" si="1"/>
        <v>1959</v>
      </c>
      <c r="B44" s="2">
        <f>('вместе-абс'!B44 - 'вместе-абс'!B$2) / 'вместе-абс'!B$2</f>
        <v>1.3743398460627589</v>
      </c>
      <c r="C44" s="2">
        <f>('вместе-абс'!C44 - 'вместе-абс'!C$2) / 'вместе-абс'!C$2</f>
        <v>0.74223930802498794</v>
      </c>
      <c r="D44" s="2">
        <f>('вместе-абс'!D44 - 'вместе-абс'!D$2) / 'вместе-абс'!D$2</f>
        <v>1.726904243743199</v>
      </c>
      <c r="E44" s="2">
        <f>('вместе-абс'!E44 - 'вместе-абс'!E$2) / 'вместе-абс'!E$2</f>
        <v>1.1854829857299669</v>
      </c>
      <c r="F44" s="2">
        <f>('вместе-абс'!F44 - 'вместе-абс'!F$2) / 'вместе-абс'!F$2</f>
        <v>1.6479440069991251</v>
      </c>
      <c r="G44" s="2">
        <f>('вместе-абс'!G44 - 'вместе-абс'!G$2) / 'вместе-абс'!G$2</f>
        <v>2.1519801980198023</v>
      </c>
      <c r="H44" s="2">
        <f>('вместе-абс'!H44 - 'вместе-абс'!H$2) / 'вместе-абс'!H$2</f>
        <v>1.5775309541150764</v>
      </c>
      <c r="I44" s="2">
        <f>('вместе-абс'!I44 - 'вместе-абс'!I$2) / 'вместе-абс'!I$2</f>
        <v>2.7755077658303464</v>
      </c>
      <c r="J44" s="2">
        <f>('вместе-абс'!J44 - 'вместе-абс'!J$2) / 'вместе-абс'!J$2</f>
        <v>1.9587375415282389</v>
      </c>
      <c r="K44" s="2">
        <f>('вместе-абс'!K44 - 'вместе-абс'!K$2) / 'вместе-абс'!K$2</f>
        <v>1.43099730458221</v>
      </c>
      <c r="L44" s="2">
        <f>('вместе-абс'!L44 - 'вместе-абс'!L$2) / 'вместе-абс'!L$2</f>
        <v>2.2101141924959218</v>
      </c>
      <c r="M44" s="2">
        <f>('вместе-абс'!M44 - 'вместе-абс'!M$2) / 'вместе-абс'!M$2</f>
        <v>0.90331159056698451</v>
      </c>
      <c r="N44" s="2">
        <f>('вместе-абс'!N44 - 'вместе-абс'!N$2) / 'вместе-абс'!N$2</f>
        <v>2.1586097946287519</v>
      </c>
      <c r="O44" s="2">
        <f>('вместе-абс'!O44 - 'вместе-абс'!O$2) / 'вместе-абс'!O$2</f>
        <v>1.5586487264354583</v>
      </c>
      <c r="P44" s="2">
        <f>('вместе-абс'!P44 - 'вместе-абс'!P$2) / 'вместе-абс'!P$2</f>
        <v>1.8177049180327869</v>
      </c>
      <c r="Q44" s="2">
        <f>('вместе-абс'!Q44 - 'вместе-абс'!Q$2) / 'вместе-абс'!Q$2</f>
        <v>1.6426150121065377</v>
      </c>
      <c r="R44" s="2">
        <f>('вместе-абс'!R44 - 'вместе-абс'!R$2) / 'вместе-абс'!R$2</f>
        <v>1.7097345132743365</v>
      </c>
      <c r="S44" s="2">
        <f>('вместе-абс'!S44 - 'вместе-абс'!S$2) / 'вместе-абс'!S$2</f>
        <v>1.1564952048823016</v>
      </c>
      <c r="T44" s="2">
        <f>('вместе-абс'!T44 - 'вместе-абс'!T$2) / 'вместе-абс'!T$2</f>
        <v>0.77391613361762623</v>
      </c>
      <c r="U44" s="2">
        <f>('вместе-абс'!U44 - 'вместе-абс'!U$2) / 'вместе-абс'!U$2</f>
        <v>1.8536727272727274</v>
      </c>
      <c r="V44" s="2">
        <f>('вместе-абс'!V44 - 'вместе-абс'!V$2) / 'вместе-абс'!V$2</f>
        <v>0.2924835164835165</v>
      </c>
    </row>
    <row r="45" spans="1:22" x14ac:dyDescent="0.25">
      <c r="A45" s="12">
        <f t="shared" si="1"/>
        <v>1960</v>
      </c>
      <c r="B45" s="2">
        <f>('вместе-абс'!B45 - 'вместе-абс'!B$2) / 'вместе-абс'!B$2</f>
        <v>1.4139727649496743</v>
      </c>
      <c r="C45" s="2">
        <f>('вместе-абс'!C45 - 'вместе-абс'!C$2) / 'вместе-абс'!C$2</f>
        <v>0.77909658817876026</v>
      </c>
      <c r="D45" s="2">
        <f>('вместе-абс'!D45 - 'вместе-абс'!D$2) / 'вместе-абс'!D$2</f>
        <v>1.8131548266749575</v>
      </c>
      <c r="E45" s="2">
        <f>('вместе-абс'!E45 - 'вместе-абс'!E$2) / 'вместе-абс'!E$2</f>
        <v>1.2374862788144896</v>
      </c>
      <c r="F45" s="2">
        <f>('вместе-абс'!F45 - 'вместе-абс'!F$2) / 'вместе-абс'!F$2</f>
        <v>1.7307436570428698</v>
      </c>
      <c r="G45" s="2">
        <f>('вместе-абс'!G45 - 'вместе-абс'!G$2) / 'вместе-абс'!G$2</f>
        <v>2.2858910891089108</v>
      </c>
      <c r="H45" s="2">
        <f>('вместе-абс'!H45 - 'вместе-абс'!H$2) / 'вместе-абс'!H$2</f>
        <v>1.6358703568827386</v>
      </c>
      <c r="I45" s="2">
        <f>('вместе-абс'!I45 - 'вместе-абс'!I$2) / 'вместе-абс'!I$2</f>
        <v>2.9047789725209081</v>
      </c>
      <c r="J45" s="2">
        <f>('вместе-абс'!J45 - 'вместе-абс'!J$2) / 'вместе-абс'!J$2</f>
        <v>2.0504318936877075</v>
      </c>
      <c r="K45" s="2">
        <f>('вместе-абс'!K45 - 'вместе-абс'!K$2) / 'вместе-абс'!K$2</f>
        <v>1.5080862533692723</v>
      </c>
      <c r="L45" s="2">
        <f>('вместе-абс'!L45 - 'вместе-абс'!L$2) / 'вместе-абс'!L$2</f>
        <v>2.3146003262642738</v>
      </c>
      <c r="M45" s="2">
        <f>('вместе-абс'!M45 - 'вместе-абс'!M$2) / 'вместе-абс'!M$2</f>
        <v>0.93597591570496741</v>
      </c>
      <c r="N45" s="2">
        <f>('вместе-абс'!N45 - 'вместе-абс'!N$2) / 'вместе-абс'!N$2</f>
        <v>2.2576619273301737</v>
      </c>
      <c r="O45" s="2">
        <f>('вместе-абс'!O45 - 'вместе-абс'!O$2) / 'вместе-абс'!O$2</f>
        <v>1.642437760828896</v>
      </c>
      <c r="P45" s="2">
        <f>('вместе-абс'!P45 - 'вместе-абс'!P$2) / 'вместе-абс'!P$2</f>
        <v>1.9219672131147543</v>
      </c>
      <c r="Q45" s="2">
        <f>('вместе-абс'!Q45 - 'вместе-абс'!Q$2) / 'вместе-абс'!Q$2</f>
        <v>1.7263922518159807</v>
      </c>
      <c r="R45" s="2">
        <f>('вместе-абс'!R45 - 'вместе-абс'!R$2) / 'вместе-абс'!R$2</f>
        <v>1.778023598820059</v>
      </c>
      <c r="S45" s="2">
        <f>('вместе-абс'!S45 - 'вместе-абс'!S$2) / 'вместе-абс'!S$2</f>
        <v>1.2175457715780298</v>
      </c>
      <c r="T45" s="2">
        <f>('вместе-абс'!T45 - 'вместе-абс'!T$2) / 'вместе-абс'!T$2</f>
        <v>0.79815209665955933</v>
      </c>
      <c r="U45" s="2">
        <f>('вместе-абс'!U45 - 'вместе-абс'!U$2) / 'вместе-абс'!U$2</f>
        <v>1.9673090909090911</v>
      </c>
      <c r="V45" s="2">
        <f>('вместе-абс'!V45 - 'вместе-абс'!V$2) / 'вместе-абс'!V$2</f>
        <v>0.30819780219780218</v>
      </c>
    </row>
    <row r="46" spans="1:22" x14ac:dyDescent="0.25">
      <c r="A46" s="12">
        <f t="shared" si="1"/>
        <v>1961</v>
      </c>
      <c r="B46" s="2">
        <f>('вместе-абс'!B46 - 'вместе-абс'!B$2) / 'вместе-абс'!B$2</f>
        <v>1.4542687981053877</v>
      </c>
      <c r="C46" s="2">
        <f>('вместе-абс'!C46 - 'вместе-абс'!C$2) / 'вместе-абс'!C$2</f>
        <v>0.81580970687169618</v>
      </c>
      <c r="D46" s="2">
        <f>('вместе-абс'!D46 - 'вместе-абс'!D$2) / 'вместе-абс'!D$2</f>
        <v>1.899323799160578</v>
      </c>
      <c r="E46" s="2">
        <f>('вместе-абс'!E46 - 'вместе-абс'!E$2) / 'вместе-абс'!E$2</f>
        <v>1.2845225027442368</v>
      </c>
      <c r="F46" s="2">
        <f>('вместе-абс'!F46 - 'вместе-абс'!F$2) / 'вместе-абс'!F$2</f>
        <v>1.8163079615048121</v>
      </c>
      <c r="G46" s="2">
        <f>('вместе-абс'!G46 - 'вместе-абс'!G$2) / 'вместе-абс'!G$2</f>
        <v>2.4106435643564357</v>
      </c>
      <c r="H46" s="2">
        <f>('вместе-абс'!H46 - 'вместе-абс'!H$2) / 'вместе-абс'!H$2</f>
        <v>1.6901310997815004</v>
      </c>
      <c r="I46" s="2">
        <f>('вместе-абс'!I46 - 'вместе-абс'!I$2) / 'вместе-абс'!I$2</f>
        <v>3.0301075268817201</v>
      </c>
      <c r="J46" s="2">
        <f>('вместе-абс'!J46 - 'вместе-абс'!J$2) / 'вместе-абс'!J$2</f>
        <v>2.1377408637873754</v>
      </c>
      <c r="K46" s="2">
        <f>('вместе-абс'!K46 - 'вместе-абс'!K$2) / 'вместе-абс'!K$2</f>
        <v>1.578616352201258</v>
      </c>
      <c r="L46" s="2">
        <f>('вместе-абс'!L46 - 'вместе-абс'!L$2) / 'вместе-абс'!L$2</f>
        <v>2.4145187601957585</v>
      </c>
      <c r="M46" s="2">
        <f>('вместе-абс'!M46 - 'вместе-абс'!M$2) / 'вместе-абс'!M$2</f>
        <v>0.97139989964877071</v>
      </c>
      <c r="N46" s="2">
        <f>('вместе-абс'!N46 - 'вместе-абс'!N$2) / 'вместе-абс'!N$2</f>
        <v>2.351026856240126</v>
      </c>
      <c r="O46" s="2">
        <f>('вместе-абс'!O46 - 'вместе-абс'!O$2) / 'вместе-абс'!O$2</f>
        <v>1.7262987480212979</v>
      </c>
      <c r="P46" s="2">
        <f>('вместе-абс'!P46 - 'вместе-абс'!P$2) / 'вместе-абс'!P$2</f>
        <v>2.0106557377049179</v>
      </c>
      <c r="Q46" s="2">
        <f>('вместе-абс'!Q46 - 'вместе-абс'!Q$2) / 'вместе-абс'!Q$2</f>
        <v>1.8084745762711867</v>
      </c>
      <c r="R46" s="2">
        <f>('вместе-абс'!R46 - 'вместе-абс'!R$2) / 'вместе-абс'!R$2</f>
        <v>1.8427728613569323</v>
      </c>
      <c r="S46" s="2">
        <f>('вместе-абс'!S46 - 'вместе-абс'!S$2) / 'вместе-абс'!S$2</f>
        <v>1.2831517000871839</v>
      </c>
      <c r="T46" s="2">
        <f>('вместе-абс'!T46 - 'вместе-абс'!T$2) / 'вместе-абс'!T$2</f>
        <v>0.82089552238805974</v>
      </c>
      <c r="U46" s="2">
        <f>('вместе-абс'!U46 - 'вместе-абс'!U$2) / 'вместе-абс'!U$2</f>
        <v>2.074872727272727</v>
      </c>
      <c r="V46" s="2">
        <f>('вместе-абс'!V46 - 'вместе-абс'!V$2) / 'вместе-абс'!V$2</f>
        <v>0.32709890109890111</v>
      </c>
    </row>
    <row r="47" spans="1:22" x14ac:dyDescent="0.25">
      <c r="A47" s="12">
        <f t="shared" si="1"/>
        <v>1962</v>
      </c>
      <c r="B47" s="2">
        <f>('вместе-абс'!B47 - 'вместе-абс'!B$2) / 'вместе-абс'!B$2</f>
        <v>1.4952634695085849</v>
      </c>
      <c r="C47" s="2">
        <f>('вместе-абс'!C47 - 'вместе-абс'!C$2) / 'вместе-абс'!C$2</f>
        <v>0.85367611725132153</v>
      </c>
      <c r="D47" s="2">
        <f>('вместе-абс'!D47 - 'вместе-абс'!D$2) / 'вместе-абс'!D$2</f>
        <v>1.9871482978392665</v>
      </c>
      <c r="E47" s="2">
        <f>('вместе-абс'!E47 - 'вместе-абс'!E$2) / 'вместе-абс'!E$2</f>
        <v>1.3318057080131724</v>
      </c>
      <c r="F47" s="2">
        <f>('вместе-абс'!F47 - 'вместе-абс'!F$2) / 'вместе-абс'!F$2</f>
        <v>1.9044619422572178</v>
      </c>
      <c r="G47" s="2">
        <f>('вместе-абс'!G47 - 'вместе-абс'!G$2) / 'вместе-абс'!G$2</f>
        <v>2.5381188118811884</v>
      </c>
      <c r="H47" s="2">
        <f>('вместе-абс'!H47 - 'вместе-абс'!H$2) / 'вместе-абс'!H$2</f>
        <v>1.7462126729788785</v>
      </c>
      <c r="I47" s="2">
        <f>('вместе-абс'!I47 - 'вместе-абс'!I$2) / 'вместе-абс'!I$2</f>
        <v>3.1575866188769415</v>
      </c>
      <c r="J47" s="2">
        <f>('вместе-абс'!J47 - 'вместе-абс'!J$2) / 'вместе-абс'!J$2</f>
        <v>2.2287707641196013</v>
      </c>
      <c r="K47" s="2">
        <f>('вместе-абс'!K47 - 'вместе-абс'!K$2) / 'вместе-абс'!K$2</f>
        <v>1.6497753818508534</v>
      </c>
      <c r="L47" s="2">
        <f>('вместе-абс'!L47 - 'вместе-абс'!L$2) / 'вместе-абс'!L$2</f>
        <v>2.5171288743882543</v>
      </c>
      <c r="M47" s="2">
        <f>('вместе-абс'!M47 - 'вместе-абс'!M$2) / 'вместе-абс'!M$2</f>
        <v>1.0078273958855997</v>
      </c>
      <c r="N47" s="2">
        <f>('вместе-абс'!N47 - 'вместе-абс'!N$2) / 'вместе-абс'!N$2</f>
        <v>2.4472353870458132</v>
      </c>
      <c r="O47" s="2">
        <f>('вместе-абс'!O47 - 'вместе-абс'!O$2) / 'вместе-абс'!O$2</f>
        <v>1.8154554612174412</v>
      </c>
      <c r="P47" s="2">
        <f>('вместе-абс'!P47 - 'вместе-абс'!P$2) / 'вместе-абс'!P$2</f>
        <v>2.1021311475409834</v>
      </c>
      <c r="Q47" s="2">
        <f>('вместе-абс'!Q47 - 'вместе-абс'!Q$2) / 'вместе-абс'!Q$2</f>
        <v>1.8941888619854721</v>
      </c>
      <c r="R47" s="2">
        <f>('вместе-абс'!R47 - 'вместе-абс'!R$2) / 'вместе-абс'!R$2</f>
        <v>1.9101769911504423</v>
      </c>
      <c r="S47" s="2">
        <f>('вместе-абс'!S47 - 'вместе-абс'!S$2) / 'вместе-абс'!S$2</f>
        <v>1.350610287707062</v>
      </c>
      <c r="T47" s="2">
        <f>('вместе-абс'!T47 - 'вместе-абс'!T$2) / 'вместе-абс'!T$2</f>
        <v>0.84314143567874922</v>
      </c>
      <c r="U47" s="2">
        <f>('вместе-абс'!U47 - 'вместе-абс'!U$2) / 'вместе-абс'!U$2</f>
        <v>2.1843272727272725</v>
      </c>
      <c r="V47" s="2">
        <f>('вместе-абс'!V47 - 'вместе-абс'!V$2) / 'вместе-абс'!V$2</f>
        <v>0.34513186813186814</v>
      </c>
    </row>
    <row r="48" spans="1:22" x14ac:dyDescent="0.25">
      <c r="A48" s="12">
        <f t="shared" si="1"/>
        <v>1963</v>
      </c>
      <c r="B48" s="2">
        <f>('вместе-абс'!B48 - 'вместе-абс'!B$2) / 'вместе-абс'!B$2</f>
        <v>1.5366133806986384</v>
      </c>
      <c r="C48" s="2">
        <f>('вместе-абс'!C48 - 'вместе-абс'!C$2) / 'вместе-абс'!C$2</f>
        <v>0.8927919269581932</v>
      </c>
      <c r="D48" s="2">
        <f>('вместе-абс'!D48 - 'вместе-абс'!D$2) / 'вместе-абс'!D$2</f>
        <v>2.0764884190890718</v>
      </c>
      <c r="E48" s="2">
        <f>('вместе-абс'!E48 - 'вместе-абс'!E$2) / 'вместе-абс'!E$2</f>
        <v>1.3792810098792536</v>
      </c>
      <c r="F48" s="2">
        <f>('вместе-абс'!F48 - 'вместе-абс'!F$2) / 'вместе-абс'!F$2</f>
        <v>1.9945406824146981</v>
      </c>
      <c r="G48" s="2">
        <f>('вместе-абс'!G48 - 'вместе-абс'!G$2) / 'вместе-абс'!G$2</f>
        <v>2.667326732673267</v>
      </c>
      <c r="H48" s="2">
        <f>('вместе-абс'!H48 - 'вместе-абс'!H$2) / 'вместе-абс'!H$2</f>
        <v>1.8046977421704296</v>
      </c>
      <c r="I48" s="2">
        <f>('вместе-абс'!I48 - 'вместе-абс'!I$2) / 'вместе-абс'!I$2</f>
        <v>3.2870967741935484</v>
      </c>
      <c r="J48" s="2">
        <f>('вместе-абс'!J48 - 'вместе-абс'!J$2) / 'вместе-абс'!J$2</f>
        <v>2.323388704318937</v>
      </c>
      <c r="K48" s="2">
        <f>('вместе-абс'!K48 - 'вместе-абс'!K$2) / 'вместе-абс'!K$2</f>
        <v>1.7212039532794248</v>
      </c>
      <c r="L48" s="2">
        <f>('вместе-абс'!L48 - 'вместе-абс'!L$2) / 'вместе-абс'!L$2</f>
        <v>2.621778140293638</v>
      </c>
      <c r="M48" s="2">
        <f>('вместе-абс'!M48 - 'вместе-абс'!M$2) / 'вместе-абс'!M$2</f>
        <v>1.0437029603612644</v>
      </c>
      <c r="N48" s="2">
        <f>('вместе-абс'!N48 - 'вместе-абс'!N$2) / 'вместе-абс'!N$2</f>
        <v>2.5464454976303319</v>
      </c>
      <c r="O48" s="2">
        <f>('вместе-абс'!O48 - 'вместе-абс'!O$2) / 'вместе-абс'!O$2</f>
        <v>1.9086271405957691</v>
      </c>
      <c r="P48" s="2">
        <f>('вместе-абс'!P48 - 'вместе-абс'!P$2) / 'вместе-абс'!P$2</f>
        <v>2.1970491803278689</v>
      </c>
      <c r="Q48" s="2">
        <f>('вместе-абс'!Q48 - 'вместе-абс'!Q$2) / 'вместе-абс'!Q$2</f>
        <v>1.9832929782082322</v>
      </c>
      <c r="R48" s="2">
        <f>('вместе-абс'!R48 - 'вместе-абс'!R$2) / 'вместе-абс'!R$2</f>
        <v>1.9821533923303836</v>
      </c>
      <c r="S48" s="2">
        <f>('вместе-абс'!S48 - 'вместе-абс'!S$2) / 'вместе-абс'!S$2</f>
        <v>1.419812554489974</v>
      </c>
      <c r="T48" s="2">
        <f>('вместе-абс'!T48 - 'вместе-абс'!T$2) / 'вместе-абс'!T$2</f>
        <v>0.86481876332622609</v>
      </c>
      <c r="U48" s="2">
        <f>('вместе-абс'!U48 - 'вместе-абс'!U$2) / 'вместе-абс'!U$2</f>
        <v>2.2959999999999998</v>
      </c>
      <c r="V48" s="2">
        <f>('вместе-абс'!V48 - 'вместе-абс'!V$2) / 'вместе-абс'!V$2</f>
        <v>0.36096703296703297</v>
      </c>
    </row>
    <row r="49" spans="1:22" x14ac:dyDescent="0.25">
      <c r="A49" s="12">
        <f t="shared" si="1"/>
        <v>1964</v>
      </c>
      <c r="B49" s="2">
        <f>('вместе-абс'!B49 - 'вместе-абс'!B$2) / 'вместе-абс'!B$2</f>
        <v>1.5777975133214921</v>
      </c>
      <c r="C49" s="2">
        <f>('вместе-абс'!C49 - 'вместе-абс'!C$2) / 'вместе-абс'!C$2</f>
        <v>0.93320518981259015</v>
      </c>
      <c r="D49" s="2">
        <f>('вместе-абс'!D49 - 'вместе-абс'!D$2) / 'вместе-абс'!D$2</f>
        <v>2.1668195243276855</v>
      </c>
      <c r="E49" s="2">
        <f>('вместе-абс'!E49 - 'вместе-абс'!E$2) / 'вместе-абс'!E$2</f>
        <v>1.4265916575192097</v>
      </c>
      <c r="F49" s="2">
        <f>('вместе-абс'!F49 - 'вместе-абс'!F$2) / 'вместе-абс'!F$2</f>
        <v>2.0861592300962384</v>
      </c>
      <c r="G49" s="2">
        <f>('вместе-абс'!G49 - 'вместе-абс'!G$2) / 'вместе-абс'!G$2</f>
        <v>2.7970297029702968</v>
      </c>
      <c r="H49" s="2">
        <f>('вместе-абс'!H49 - 'вместе-абс'!H$2) / 'вместе-абс'!H$2</f>
        <v>1.864530225782957</v>
      </c>
      <c r="I49" s="2">
        <f>('вместе-абс'!I49 - 'вместе-абс'!I$2) / 'вместе-абс'!I$2</f>
        <v>3.4188769414575866</v>
      </c>
      <c r="J49" s="2">
        <f>('вместе-абс'!J49 - 'вместе-абс'!J$2) / 'вместе-абс'!J$2</f>
        <v>2.4218604651162789</v>
      </c>
      <c r="K49" s="2">
        <f>('вместе-абс'!K49 - 'вместе-абс'!K$2) / 'вместе-абс'!K$2</f>
        <v>1.7959568733153639</v>
      </c>
      <c r="L49" s="2">
        <f>('вместе-абс'!L49 - 'вместе-абс'!L$2) / 'вместе-абс'!L$2</f>
        <v>2.7284665579119087</v>
      </c>
      <c r="M49" s="2">
        <f>('вместе-абс'!M49 - 'вместе-абс'!M$2) / 'вместе-абс'!M$2</f>
        <v>1.0803813346713496</v>
      </c>
      <c r="N49" s="2">
        <f>('вместе-абс'!N49 - 'вместе-абс'!N$2) / 'вместе-абс'!N$2</f>
        <v>2.64913112164297</v>
      </c>
      <c r="O49" s="2">
        <f>('вместе-абс'!O49 - 'вместе-абс'!O$2) / 'вместе-абс'!O$2</f>
        <v>2.0056123183191827</v>
      </c>
      <c r="P49" s="2">
        <f>('вместе-абс'!P49 - 'вместе-абс'!P$2) / 'вместе-абс'!P$2</f>
        <v>2.2954098360655739</v>
      </c>
      <c r="Q49" s="2">
        <f>('вместе-абс'!Q49 - 'вместе-абс'!Q$2) / 'вместе-абс'!Q$2</f>
        <v>2.0753026634382565</v>
      </c>
      <c r="R49" s="2">
        <f>('вместе-абс'!R49 - 'вместе-абс'!R$2) / 'вместе-абс'!R$2</f>
        <v>2.0576696165191741</v>
      </c>
      <c r="S49" s="2">
        <f>('вместе-абс'!S49 - 'вместе-абс'!S$2) / 'вместе-абс'!S$2</f>
        <v>1.4908456843940714</v>
      </c>
      <c r="T49" s="2">
        <f>('вместе-абс'!T49 - 'вместе-абс'!T$2) / 'вместе-абс'!T$2</f>
        <v>0.88571428571428557</v>
      </c>
      <c r="U49" s="2">
        <f>('вместе-абс'!U49 - 'вместе-абс'!U$2) / 'вместе-абс'!U$2</f>
        <v>2.4100727272727274</v>
      </c>
      <c r="V49" s="2">
        <f>('вместе-абс'!V49 - 'вместе-абс'!V$2) / 'вместе-абс'!V$2</f>
        <v>0.37559340659340662</v>
      </c>
    </row>
    <row r="50" spans="1:22" x14ac:dyDescent="0.25">
      <c r="A50" s="12">
        <f t="shared" si="1"/>
        <v>1965</v>
      </c>
      <c r="B50" s="2">
        <f>('вместе-абс'!B50 - 'вместе-абс'!B$2) / 'вместе-абс'!B$2</f>
        <v>1.6184251036116044</v>
      </c>
      <c r="C50" s="2">
        <f>('вместе-абс'!C50 - 'вместе-абс'!C$2) / 'вместе-абс'!C$2</f>
        <v>0.97491590581451237</v>
      </c>
      <c r="D50" s="2">
        <f>('вместе-абс'!D50 - 'вместе-абс'!D$2) / 'вместе-абс'!D$2</f>
        <v>2.2573293953054563</v>
      </c>
      <c r="E50" s="2">
        <f>('вместе-абс'!E50 - 'вместе-абс'!E$2) / 'вместе-абс'!E$2</f>
        <v>1.4733534577387486</v>
      </c>
      <c r="F50" s="2">
        <f>('вместе-абс'!F50 - 'вместе-абс'!F$2) / 'вместе-абс'!F$2</f>
        <v>2.1791951006124233</v>
      </c>
      <c r="G50" s="2">
        <f>('вместе-абс'!G50 - 'вместе-абс'!G$2) / 'вместе-абс'!G$2</f>
        <v>2.9262376237623764</v>
      </c>
      <c r="H50" s="2">
        <f>('вместе-абс'!H50 - 'вместе-абс'!H$2) / 'вместе-абс'!H$2</f>
        <v>1.924544792425346</v>
      </c>
      <c r="I50" s="2">
        <f>('вместе-абс'!I50 - 'вместе-абс'!I$2) / 'вместе-абс'!I$2</f>
        <v>3.5507765830346476</v>
      </c>
      <c r="J50" s="2">
        <f>('вместе-абс'!J50 - 'вместе-абс'!J$2) / 'вместе-абс'!J$2</f>
        <v>2.5242524916943521</v>
      </c>
      <c r="K50" s="2">
        <f>('вместе-абс'!K50 - 'вместе-абс'!K$2) / 'вместе-абс'!K$2</f>
        <v>1.8746630727762803</v>
      </c>
      <c r="L50" s="2">
        <f>('вместе-абс'!L50 - 'вместе-абс'!L$2) / 'вместе-абс'!L$2</f>
        <v>2.8376835236541598</v>
      </c>
      <c r="M50" s="2">
        <f>('вместе-абс'!M50 - 'вместе-абс'!M$2) / 'вместе-абс'!M$2</f>
        <v>1.1193176116407426</v>
      </c>
      <c r="N50" s="2">
        <f>('вместе-абс'!N50 - 'вместе-абс'!N$2) / 'вместе-абс'!N$2</f>
        <v>2.7554502369668246</v>
      </c>
      <c r="O50" s="2">
        <f>('вместе-абс'!O50 - 'вместе-абс'!O$2) / 'вместе-абс'!O$2</f>
        <v>2.1065261188660238</v>
      </c>
      <c r="P50" s="2">
        <f>('вместе-абс'!P50 - 'вместе-абс'!P$2) / 'вместе-абс'!P$2</f>
        <v>2.3978688524590162</v>
      </c>
      <c r="Q50" s="2">
        <f>('вместе-абс'!Q50 - 'вместе-абс'!Q$2) / 'вместе-абс'!Q$2</f>
        <v>2.1690072639225182</v>
      </c>
      <c r="R50" s="2">
        <f>('вместе-абс'!R50 - 'вместе-абс'!R$2) / 'вместе-абс'!R$2</f>
        <v>2.1345132743362831</v>
      </c>
      <c r="S50" s="2">
        <f>('вместе-абс'!S50 - 'вместе-абс'!S$2) / 'вместе-абс'!S$2</f>
        <v>1.5634481255448998</v>
      </c>
      <c r="T50" s="2">
        <f>('вместе-абс'!T50 - 'вместе-абс'!T$2) / 'вместе-абс'!T$2</f>
        <v>0.9056147832267234</v>
      </c>
      <c r="U50" s="2">
        <f>('вместе-абс'!U50 - 'вместе-абс'!U$2) / 'вместе-абс'!U$2</f>
        <v>2.526472727272727</v>
      </c>
      <c r="V50" s="2">
        <f>('вместе-абс'!V50 - 'вместе-абс'!V$2) / 'вместе-абс'!V$2</f>
        <v>0.38801098901098902</v>
      </c>
    </row>
    <row r="51" spans="1:22" x14ac:dyDescent="0.25">
      <c r="A51" s="12">
        <f t="shared" si="1"/>
        <v>1966</v>
      </c>
      <c r="B51" s="2">
        <f>('вместе-абс'!B51 - 'вместе-абс'!B$2) / 'вместе-абс'!B$2</f>
        <v>1.6588395500296036</v>
      </c>
      <c r="C51" s="2">
        <f>('вместе-абс'!C51 - 'вместе-абс'!C$2) / 'вместе-абс'!C$2</f>
        <v>1.0180682364247959</v>
      </c>
      <c r="D51" s="2">
        <f>('вместе-абс'!D51 - 'вместе-абс'!D$2) / 'вместе-абс'!D$2</f>
        <v>2.3475594590393283</v>
      </c>
      <c r="E51" s="2">
        <f>('вместе-абс'!E51 - 'вместе-абс'!E$2) / 'вместе-абс'!E$2</f>
        <v>1.519676180021954</v>
      </c>
      <c r="F51" s="2">
        <f>('вместе-абс'!F51 - 'вместе-абс'!F$2) / 'вместе-абс'!F$2</f>
        <v>2.2725634295713038</v>
      </c>
      <c r="G51" s="2">
        <f>('вместе-абс'!G51 - 'вместе-абс'!G$2) / 'вместе-абс'!G$2</f>
        <v>3.0547029702970296</v>
      </c>
      <c r="H51" s="2">
        <f>('вместе-абс'!H51 - 'вместе-абс'!H$2) / 'вместе-абс'!H$2</f>
        <v>1.9837946103423161</v>
      </c>
      <c r="I51" s="2">
        <f>('вместе-абс'!I51 - 'вместе-абс'!I$2) / 'вместе-абс'!I$2</f>
        <v>3.6855436081242536</v>
      </c>
      <c r="J51" s="2">
        <f>('вместе-абс'!J51 - 'вместе-абс'!J$2) / 'вместе-абс'!J$2</f>
        <v>2.6303654485049832</v>
      </c>
      <c r="K51" s="2">
        <f>('вместе-абс'!K51 - 'вместе-абс'!K$2) / 'вместе-абс'!K$2</f>
        <v>1.9568733153638813</v>
      </c>
      <c r="L51" s="2">
        <f>('вместе-абс'!L51 - 'вместе-абс'!L$2) / 'вместе-абс'!L$2</f>
        <v>2.9486133768352367</v>
      </c>
      <c r="M51" s="2">
        <f>('вместе-абс'!M51 - 'вместе-абс'!M$2) / 'вместе-абс'!M$2</f>
        <v>1.158855995985951</v>
      </c>
      <c r="N51" s="2">
        <f>('вместе-абс'!N51 - 'вместе-абс'!N$2) / 'вместе-абс'!N$2</f>
        <v>2.8654028436018959</v>
      </c>
      <c r="O51" s="2">
        <f>('вместе-абс'!O51 - 'вместе-абс'!O$2) / 'вместе-абс'!O$2</f>
        <v>2.2111886602388831</v>
      </c>
      <c r="P51" s="2">
        <f>('вместе-абс'!P51 - 'вместе-абс'!P$2) / 'вместе-абс'!P$2</f>
        <v>2.5045901639344264</v>
      </c>
      <c r="Q51" s="2">
        <f>('вместе-абс'!Q51 - 'вместе-абс'!Q$2) / 'вместе-абс'!Q$2</f>
        <v>2.2648910411622278</v>
      </c>
      <c r="R51" s="2">
        <f>('вместе-абс'!R51 - 'вместе-абс'!R$2) / 'вместе-абс'!R$2</f>
        <v>2.2117994100294984</v>
      </c>
      <c r="S51" s="2">
        <f>('вместе-абс'!S51 - 'вместе-абс'!S$2) / 'вместе-абс'!S$2</f>
        <v>1.6375980819529206</v>
      </c>
      <c r="T51" s="2">
        <f>('вместе-абс'!T51 - 'вместе-абс'!T$2) / 'вместе-абс'!T$2</f>
        <v>0.92437810945273624</v>
      </c>
      <c r="U51" s="2">
        <f>('вместе-абс'!U51 - 'вместе-абс'!U$2) / 'вместе-абс'!U$2</f>
        <v>2.6454181818181817</v>
      </c>
      <c r="V51" s="2">
        <f>('вместе-абс'!V51 - 'вместе-абс'!V$2) / 'вместе-абс'!V$2</f>
        <v>0.39768131868131867</v>
      </c>
    </row>
    <row r="52" spans="1:22" x14ac:dyDescent="0.25">
      <c r="A52" s="12">
        <f t="shared" si="1"/>
        <v>1967</v>
      </c>
      <c r="B52" s="2">
        <f>('вместе-абс'!B52 - 'вместе-абс'!B$2) / 'вместе-абс'!B$2</f>
        <v>1.6997158081705148</v>
      </c>
      <c r="C52" s="2">
        <f>('вместе-абс'!C52 - 'вместе-абс'!C$2) / 'вместе-абс'!C$2</f>
        <v>1.0627582892839982</v>
      </c>
      <c r="D52" s="2">
        <f>('вместе-абс'!D52 - 'вместе-абс'!D$2) / 'вместе-абс'!D$2</f>
        <v>2.437202704803358</v>
      </c>
      <c r="E52" s="2">
        <f>('вместе-абс'!E52 - 'вместе-абс'!E$2) / 'вместе-абс'!E$2</f>
        <v>1.5655598243688253</v>
      </c>
      <c r="F52" s="2">
        <f>('вместе-абс'!F52 - 'вместе-абс'!F$2) / 'вместе-абс'!F$2</f>
        <v>2.3658092738407697</v>
      </c>
      <c r="G52" s="2">
        <f>('вместе-абс'!G52 - 'вместе-абс'!G$2) / 'вместе-абс'!G$2</f>
        <v>3.1819306930693068</v>
      </c>
      <c r="H52" s="2">
        <f>('вместе-абс'!H52 - 'вместе-абс'!H$2) / 'вместе-абс'!H$2</f>
        <v>2.0417334304442827</v>
      </c>
      <c r="I52" s="2">
        <f>('вместе-абс'!I52 - 'вместе-абс'!I$2) / 'вместе-абс'!I$2</f>
        <v>3.825448028673835</v>
      </c>
      <c r="J52" s="2">
        <f>('вместе-абс'!J52 - 'вместе-абс'!J$2) / 'вместе-абс'!J$2</f>
        <v>2.7402657807308972</v>
      </c>
      <c r="K52" s="2">
        <f>('вместе-абс'!K52 - 'вместе-абс'!K$2) / 'вместе-абс'!K$2</f>
        <v>2.0415094339622639</v>
      </c>
      <c r="L52" s="2">
        <f>('вместе-абс'!L52 - 'вместе-абс'!L$2) / 'вместе-абс'!L$2</f>
        <v>3.0610929853181075</v>
      </c>
      <c r="M52" s="2">
        <f>('вместе-абс'!M52 - 'вместе-абс'!M$2) / 'вместе-абс'!M$2</f>
        <v>1.1991971901655796</v>
      </c>
      <c r="N52" s="2">
        <f>('вместе-абс'!N52 - 'вместе-абс'!N$2) / 'вместе-абс'!N$2</f>
        <v>2.9788309636650867</v>
      </c>
      <c r="O52" s="2">
        <f>('вместе-абс'!O52 - 'вместе-абс'!O$2) / 'вместе-абс'!O$2</f>
        <v>2.3191538350841845</v>
      </c>
      <c r="P52" s="2">
        <f>('вместе-абс'!P52 - 'вместе-абс'!P$2) / 'вместе-абс'!P$2</f>
        <v>2.6157377049180326</v>
      </c>
      <c r="Q52" s="2">
        <f>('вместе-абс'!Q52 - 'вместе-абс'!Q$2) / 'вместе-абс'!Q$2</f>
        <v>2.3622276029055689</v>
      </c>
      <c r="R52" s="2">
        <f>('вместе-абс'!R52 - 'вместе-абс'!R$2) / 'вместе-абс'!R$2</f>
        <v>2.2890855457227137</v>
      </c>
      <c r="S52" s="2">
        <f>('вместе-абс'!S52 - 'вместе-абс'!S$2) / 'вместе-абс'!S$2</f>
        <v>1.71333914559721</v>
      </c>
      <c r="T52" s="2">
        <f>('вместе-абс'!T52 - 'вместе-абс'!T$2) / 'вместе-абс'!T$2</f>
        <v>0.94193319118692265</v>
      </c>
      <c r="U52" s="2">
        <f>('вместе-абс'!U52 - 'вместе-абс'!U$2) / 'вместе-абс'!U$2</f>
        <v>2.7667272727272727</v>
      </c>
      <c r="V52" s="2">
        <f>('вместе-абс'!V52 - 'вместе-абс'!V$2) / 'вместе-абс'!V$2</f>
        <v>0.40687912087912087</v>
      </c>
    </row>
    <row r="53" spans="1:22" x14ac:dyDescent="0.25">
      <c r="A53" s="12">
        <f t="shared" si="1"/>
        <v>1968</v>
      </c>
      <c r="B53" s="2">
        <f>('вместе-абс'!B53 - 'вместе-абс'!B$2) / 'вместе-абс'!B$2</f>
        <v>1.7413380698638246</v>
      </c>
      <c r="C53" s="2">
        <f>('вместе-абс'!C53 - 'вместе-абс'!C$2) / 'вместе-абс'!C$2</f>
        <v>1.1090341182123977</v>
      </c>
      <c r="D53" s="2">
        <f>('вместе-абс'!D53 - 'вместе-абс'!D$2) / 'вместе-абс'!D$2</f>
        <v>2.5263951500077724</v>
      </c>
      <c r="E53" s="2">
        <f>('вместе-абс'!E53 - 'вместе-абс'!E$2) / 'вместе-абс'!E$2</f>
        <v>1.6110592755214053</v>
      </c>
      <c r="F53" s="2">
        <f>('вместе-абс'!F53 - 'вместе-абс'!F$2) / 'вместе-абс'!F$2</f>
        <v>2.4587576552930881</v>
      </c>
      <c r="G53" s="2">
        <f>('вместе-абс'!G53 - 'вместе-абс'!G$2) / 'вместе-абс'!G$2</f>
        <v>3.3061881188118813</v>
      </c>
      <c r="H53" s="2">
        <f>('вместе-абс'!H53 - 'вместе-абс'!H$2) / 'вместе-абс'!H$2</f>
        <v>2.0988710852148578</v>
      </c>
      <c r="I53" s="2">
        <f>('вместе-абс'!I53 - 'вместе-абс'!I$2) / 'вместе-абс'!I$2</f>
        <v>3.9667861409796892</v>
      </c>
      <c r="J53" s="2">
        <f>('вместе-абс'!J53 - 'вместе-абс'!J$2) / 'вместе-абс'!J$2</f>
        <v>2.8536212624584718</v>
      </c>
      <c r="K53" s="2">
        <f>('вместе-абс'!K53 - 'вместе-абс'!K$2) / 'вместе-абс'!K$2</f>
        <v>2.1274034141958671</v>
      </c>
      <c r="L53" s="2">
        <f>('вместе-абс'!L53 - 'вместе-абс'!L$2) / 'вместе-абс'!L$2</f>
        <v>3.1746329526916806</v>
      </c>
      <c r="M53" s="2">
        <f>('вместе-абс'!M53 - 'вместе-абс'!M$2) / 'вместе-абс'!M$2</f>
        <v>1.2404917210235826</v>
      </c>
      <c r="N53" s="2">
        <f>('вместе-абс'!N53 - 'вместе-абс'!N$2) / 'вместе-абс'!N$2</f>
        <v>3.0965244865718797</v>
      </c>
      <c r="O53" s="2">
        <f>('вместе-абс'!O53 - 'вместе-абс'!O$2) / 'вместе-абс'!O$2</f>
        <v>2.4298676068499065</v>
      </c>
      <c r="P53" s="2">
        <f>('вместе-абс'!P53 - 'вместе-абс'!P$2) / 'вместе-абс'!P$2</f>
        <v>2.730819672131148</v>
      </c>
      <c r="Q53" s="2">
        <f>('вместе-абс'!Q53 - 'вместе-абс'!Q$2) / 'вместе-абс'!Q$2</f>
        <v>2.4610169491525427</v>
      </c>
      <c r="R53" s="2">
        <f>('вместе-абс'!R53 - 'вместе-абс'!R$2) / 'вместе-абс'!R$2</f>
        <v>2.3663716814159295</v>
      </c>
      <c r="S53" s="2">
        <f>('вместе-абс'!S53 - 'вместе-абс'!S$2) / 'вместе-абс'!S$2</f>
        <v>1.7907585004359199</v>
      </c>
      <c r="T53" s="2">
        <f>('вместе-абс'!T53 - 'вместе-абс'!T$2) / 'вместе-абс'!T$2</f>
        <v>0.95778251599147113</v>
      </c>
      <c r="U53" s="2">
        <f>('вместе-абс'!U53 - 'вместе-абс'!U$2) / 'вместе-абс'!U$2</f>
        <v>2.89</v>
      </c>
      <c r="V53" s="2">
        <f>('вместе-абс'!V53 - 'вместе-абс'!V$2) / 'вместе-абс'!V$2</f>
        <v>0.41424175824175824</v>
      </c>
    </row>
    <row r="54" spans="1:22" x14ac:dyDescent="0.25">
      <c r="A54" s="12">
        <f t="shared" si="1"/>
        <v>1969</v>
      </c>
      <c r="B54" s="2">
        <f>('вместе-абс'!B54 - 'вместе-абс'!B$2) / 'вместе-абс'!B$2</f>
        <v>1.7837418590882179</v>
      </c>
      <c r="C54" s="2">
        <f>('вместе-абс'!C54 - 'вместе-абс'!C$2) / 'вместе-абс'!C$2</f>
        <v>1.1567515617491591</v>
      </c>
      <c r="D54" s="2">
        <f>('вместе-абс'!D54 - 'вместе-абс'!D$2) / 'вместе-абс'!D$2</f>
        <v>2.6159567853256647</v>
      </c>
      <c r="E54" s="2">
        <f>('вместе-абс'!E54 - 'вместе-абс'!E$2) / 'вместе-абс'!E$2</f>
        <v>1.6565038419319427</v>
      </c>
      <c r="F54" s="2">
        <f>('вместе-абс'!F54 - 'вместе-абс'!F$2) / 'вместе-абс'!F$2</f>
        <v>2.5506386701662294</v>
      </c>
      <c r="G54" s="2">
        <f>('вместе-абс'!G54 - 'вместе-абс'!G$2) / 'вместе-абс'!G$2</f>
        <v>3.4289603960396038</v>
      </c>
      <c r="H54" s="2">
        <f>('вместе-абс'!H54 - 'вместе-абс'!H$2) / 'вместе-абс'!H$2</f>
        <v>2.1560815731973779</v>
      </c>
      <c r="I54" s="2">
        <f>('вместе-абс'!I54 - 'вместе-абс'!I$2) / 'вместе-абс'!I$2</f>
        <v>4.1099163679808841</v>
      </c>
      <c r="J54" s="2">
        <f>('вместе-абс'!J54 - 'вместе-абс'!J$2) / 'вместе-абс'!J$2</f>
        <v>2.9702325581395348</v>
      </c>
      <c r="K54" s="2">
        <f>('вместе-абс'!K54 - 'вместе-абс'!K$2) / 'вместе-абс'!K$2</f>
        <v>2.2133872416891283</v>
      </c>
      <c r="L54" s="2">
        <f>('вместе-абс'!L54 - 'вместе-абс'!L$2) / 'вместе-абс'!L$2</f>
        <v>3.288009787928222</v>
      </c>
      <c r="M54" s="2">
        <f>('вместе-абс'!M54 - 'вместе-абс'!M$2) / 'вместе-абс'!M$2</f>
        <v>1.2826392373306574</v>
      </c>
      <c r="N54" s="2">
        <f>('вместе-абс'!N54 - 'вместе-абс'!N$2) / 'вместе-абс'!N$2</f>
        <v>3.218483412322275</v>
      </c>
      <c r="O54" s="2">
        <f>('вместе-абс'!O54 - 'вместе-абс'!O$2) / 'вместе-абс'!O$2</f>
        <v>2.5424665419484818</v>
      </c>
      <c r="P54" s="2">
        <f>('вместе-абс'!P54 - 'вместе-абс'!P$2) / 'вместе-абс'!P$2</f>
        <v>2.8498360655737707</v>
      </c>
      <c r="Q54" s="2">
        <f>('вместе-абс'!Q54 - 'вместе-абс'!Q$2) / 'вместе-абс'!Q$2</f>
        <v>2.5615012106537534</v>
      </c>
      <c r="R54" s="2">
        <f>('вместе-абс'!R54 - 'вместе-абс'!R$2) / 'вместе-абс'!R$2</f>
        <v>2.443952802359882</v>
      </c>
      <c r="S54" s="2">
        <f>('вместе-абс'!S54 - 'вместе-абс'!S$2) / 'вместе-абс'!S$2</f>
        <v>1.8698343504795116</v>
      </c>
      <c r="T54" s="2">
        <f>('вместе-абс'!T54 - 'вместе-абс'!T$2) / 'вместе-абс'!T$2</f>
        <v>0.97157071783937454</v>
      </c>
      <c r="U54" s="2">
        <f>('вместе-абс'!U54 - 'вместе-абс'!U$2) / 'вместе-абс'!U$2</f>
        <v>3.0146545454545453</v>
      </c>
      <c r="V54" s="2">
        <f>('вместе-абс'!V54 - 'вместе-абс'!V$2) / 'вместе-абс'!V$2</f>
        <v>0.42174725274725272</v>
      </c>
    </row>
    <row r="55" spans="1:22" x14ac:dyDescent="0.25">
      <c r="A55" s="12">
        <f t="shared" si="1"/>
        <v>1970</v>
      </c>
      <c r="B55" s="2">
        <f>('вместе-абс'!B55 - 'вместе-абс'!B$2) / 'вместе-абс'!B$2</f>
        <v>1.8275074008288927</v>
      </c>
      <c r="C55" s="2">
        <f>('вместе-абс'!C55 - 'вместе-абс'!C$2) / 'вместе-абс'!C$2</f>
        <v>1.2056703507928881</v>
      </c>
      <c r="D55" s="2">
        <f>('вместе-абс'!D55 - 'вместе-абс'!D$2) / 'вместе-абс'!D$2</f>
        <v>2.7065016322089228</v>
      </c>
      <c r="E55" s="2">
        <f>('вместе-абс'!E55 - 'вместе-абс'!E$2) / 'вместе-абс'!E$2</f>
        <v>1.7017837541163554</v>
      </c>
      <c r="F55" s="2">
        <f>('вместе-абс'!F55 - 'вместе-абс'!F$2) / 'вместе-абс'!F$2</f>
        <v>2.641609798775153</v>
      </c>
      <c r="G55" s="2">
        <f>('вместе-абс'!G55 - 'вместе-абс'!G$2) / 'вместе-абс'!G$2</f>
        <v>3.5517326732673271</v>
      </c>
      <c r="H55" s="2">
        <f>('вместе-абс'!H55 - 'вместе-абс'!H$2) / 'вместе-абс'!H$2</f>
        <v>2.213546977421704</v>
      </c>
      <c r="I55" s="2">
        <f>('вместе-абс'!I55 - 'вместе-абс'!I$2) / 'вместе-абс'!I$2</f>
        <v>4.2560334528076469</v>
      </c>
      <c r="J55" s="2">
        <f>('вместе-абс'!J55 - 'вместе-абс'!J$2) / 'вместе-абс'!J$2</f>
        <v>3.0899667774086375</v>
      </c>
      <c r="K55" s="2">
        <f>('вместе-абс'!K55 - 'вместе-абс'!K$2) / 'вместе-абс'!K$2</f>
        <v>2.2963162623539985</v>
      </c>
      <c r="L55" s="2">
        <f>('вместе-абс'!L55 - 'вместе-абс'!L$2) / 'вместе-абс'!L$2</f>
        <v>3.4021207177814028</v>
      </c>
      <c r="M55" s="2">
        <f>('вместе-абс'!M55 - 'вместе-абс'!M$2) / 'вместе-абс'!M$2</f>
        <v>1.3256899147014554</v>
      </c>
      <c r="N55" s="2">
        <f>('вместе-абс'!N55 - 'вместе-абс'!N$2) / 'вместе-абс'!N$2</f>
        <v>3.3454976303317534</v>
      </c>
      <c r="O55" s="2">
        <f>('вместе-абс'!O55 - 'вместе-абс'!O$2) / 'вместе-абс'!O$2</f>
        <v>2.6562814793495466</v>
      </c>
      <c r="P55" s="2">
        <f>('вместе-абс'!P55 - 'вместе-абс'!P$2) / 'вместе-абс'!P$2</f>
        <v>2.9722950819672129</v>
      </c>
      <c r="Q55" s="2">
        <f>('вместе-абс'!Q55 - 'вместе-абс'!Q$2) / 'вместе-абс'!Q$2</f>
        <v>2.6636803874092005</v>
      </c>
      <c r="R55" s="2">
        <f>('вместе-абс'!R55 - 'вместе-абс'!R$2) / 'вместе-абс'!R$2</f>
        <v>2.5221238938053099</v>
      </c>
      <c r="S55" s="2">
        <f>('вместе-абс'!S55 - 'вместе-абс'!S$2) / 'вместе-абс'!S$2</f>
        <v>1.9427201394943332</v>
      </c>
      <c r="T55" s="2">
        <f>('вместе-абс'!T55 - 'вместе-абс'!T$2) / 'вместе-абс'!T$2</f>
        <v>0.98351101634683735</v>
      </c>
      <c r="U55" s="2">
        <f>('вместе-абс'!U55 - 'вместе-абс'!U$2) / 'вместе-абс'!U$2</f>
        <v>3.1410181818181817</v>
      </c>
      <c r="V55" s="2">
        <f>('вместе-абс'!V55 - 'вместе-абс'!V$2) / 'вместе-абс'!V$2</f>
        <v>0.42943956043956044</v>
      </c>
    </row>
    <row r="56" spans="1:22" x14ac:dyDescent="0.25">
      <c r="A56" s="12">
        <f t="shared" si="1"/>
        <v>1971</v>
      </c>
      <c r="B56" s="2">
        <f>('вместе-абс'!B56 - 'вместе-абс'!B$2) / 'вместе-абс'!B$2</f>
        <v>1.8723741859088219</v>
      </c>
      <c r="C56" s="2">
        <f>('вместе-абс'!C56 - 'вместе-абс'!C$2) / 'вместе-абс'!C$2</f>
        <v>1.2557904853435848</v>
      </c>
      <c r="D56" s="2">
        <f>('вместе-абс'!D56 - 'вместе-абс'!D$2) / 'вместе-абс'!D$2</f>
        <v>2.7983561324420956</v>
      </c>
      <c r="E56" s="2">
        <f>('вместе-абс'!E56 - 'вместе-абс'!E$2) / 'вместе-абс'!E$2</f>
        <v>1.7468990120746435</v>
      </c>
      <c r="F56" s="2">
        <f>('вместе-абс'!F56 - 'вместе-абс'!F$2) / 'вместе-абс'!F$2</f>
        <v>2.7303762029746279</v>
      </c>
      <c r="G56" s="2">
        <f>('вместе-абс'!G56 - 'вместе-абс'!G$2) / 'вместе-абс'!G$2</f>
        <v>3.6745049504950495</v>
      </c>
      <c r="H56" s="2">
        <f>('вместе-абс'!H56 - 'вместе-абс'!H$2) / 'вместе-абс'!H$2</f>
        <v>2.2698834668608887</v>
      </c>
      <c r="I56" s="2">
        <f>('вместе-абс'!I56 - 'вместе-абс'!I$2) / 'вместе-абс'!I$2</f>
        <v>4.405256869772999</v>
      </c>
      <c r="J56" s="2">
        <f>('вместе-абс'!J56 - 'вместе-абс'!J$2) / 'вместе-абс'!J$2</f>
        <v>3.2126910299003324</v>
      </c>
      <c r="K56" s="2">
        <f>('вместе-абс'!K56 - 'вместе-абс'!K$2) / 'вместе-абс'!K$2</f>
        <v>2.3760107816711589</v>
      </c>
      <c r="L56" s="2">
        <f>('вместе-абс'!L56 - 'вместе-абс'!L$2) / 'вместе-абс'!L$2</f>
        <v>3.5174551386623163</v>
      </c>
      <c r="M56" s="2">
        <f>('вместе-абс'!M56 - 'вместе-абс'!M$2) / 'вместе-абс'!M$2</f>
        <v>1.3698946312092322</v>
      </c>
      <c r="N56" s="2">
        <f>('вместе-абс'!N56 - 'вместе-абс'!N$2) / 'вместе-абс'!N$2</f>
        <v>3.4780410742496048</v>
      </c>
      <c r="O56" s="2">
        <f>('вместе-абс'!O56 - 'вместе-абс'!O$2) / 'вместе-абс'!O$2</f>
        <v>2.7712332709742409</v>
      </c>
      <c r="P56" s="2">
        <f>('вместе-абс'!P56 - 'вместе-абс'!P$2) / 'вместе-абс'!P$2</f>
        <v>3.0980327868852462</v>
      </c>
      <c r="Q56" s="2">
        <f>('вместе-абс'!Q56 - 'вместе-абс'!Q$2) / 'вместе-абс'!Q$2</f>
        <v>2.7677966101694915</v>
      </c>
      <c r="R56" s="2">
        <f>('вместе-абс'!R56 - 'вместе-абс'!R$2) / 'вместе-абс'!R$2</f>
        <v>2.6025073746312684</v>
      </c>
      <c r="S56" s="2">
        <f>('вместе-абс'!S56 - 'вместе-абс'!S$2) / 'вместе-абс'!S$2</f>
        <v>2.0161508282476026</v>
      </c>
      <c r="T56" s="2">
        <f>('вместе-абс'!T56 - 'вместе-абс'!T$2) / 'вместе-абс'!T$2</f>
        <v>0.99466950959488276</v>
      </c>
      <c r="U56" s="2">
        <f>('вместе-абс'!U56 - 'вместе-абс'!U$2) / 'вместе-абс'!U$2</f>
        <v>3.2694545454545456</v>
      </c>
      <c r="V56" s="2">
        <f>('вместе-абс'!V56 - 'вместе-абс'!V$2) / 'вместе-абс'!V$2</f>
        <v>0.43630769230769229</v>
      </c>
    </row>
    <row r="57" spans="1:22" x14ac:dyDescent="0.25">
      <c r="A57" s="12">
        <f t="shared" si="1"/>
        <v>1972</v>
      </c>
      <c r="B57" s="2">
        <f>('вместе-абс'!B57 - 'вместе-абс'!B$2) / 'вместе-абс'!B$2</f>
        <v>1.9182119597394907</v>
      </c>
      <c r="C57" s="2">
        <f>('вместе-абс'!C57 - 'вместе-абс'!C$2) / 'вместе-абс'!C$2</f>
        <v>1.3070639115809708</v>
      </c>
      <c r="D57" s="2">
        <f>('вместе-абс'!D57 - 'вместе-абс'!D$2) / 'вместе-абс'!D$2</f>
        <v>2.8919166796207056</v>
      </c>
      <c r="E57" s="2">
        <f>('вместе-абс'!E57 - 'вместе-абс'!E$2) / 'вместе-абс'!E$2</f>
        <v>1.7921789242590562</v>
      </c>
      <c r="F57" s="2">
        <f>('вместе-абс'!F57 - 'вместе-абс'!F$2) / 'вместе-абс'!F$2</f>
        <v>2.8179527559055115</v>
      </c>
      <c r="G57" s="2">
        <f>('вместе-абс'!G57 - 'вместе-абс'!G$2) / 'вместе-абс'!G$2</f>
        <v>3.7975247524752476</v>
      </c>
      <c r="H57" s="2">
        <f>('вместе-абс'!H57 - 'вместе-абс'!H$2) / 'вместе-абс'!H$2</f>
        <v>2.3226147123088126</v>
      </c>
      <c r="I57" s="2">
        <f>('вместе-абс'!I57 - 'вместе-абс'!I$2) / 'вместе-абс'!I$2</f>
        <v>4.5578255675029862</v>
      </c>
      <c r="J57" s="2">
        <f>('вместе-абс'!J57 - 'вместе-абс'!J$2) / 'вместе-абс'!J$2</f>
        <v>3.3382059800664452</v>
      </c>
      <c r="K57" s="2">
        <f>('вместе-абс'!K57 - 'вместе-абс'!K$2) / 'вместе-абс'!K$2</f>
        <v>2.4562443845462716</v>
      </c>
      <c r="L57" s="2">
        <f>('вместе-абс'!L57 - 'вместе-абс'!L$2) / 'вместе-абс'!L$2</f>
        <v>3.6352365415986951</v>
      </c>
      <c r="M57" s="2">
        <f>('вместе-абс'!M57 - 'вместе-абс'!M$2) / 'вместе-абс'!M$2</f>
        <v>1.4154039136979426</v>
      </c>
      <c r="N57" s="2">
        <f>('вместе-абс'!N57 - 'вместе-абс'!N$2) / 'вместе-абс'!N$2</f>
        <v>3.6162717219589258</v>
      </c>
      <c r="O57" s="2">
        <f>('вместе-абс'!O57 - 'вместе-абс'!O$2) / 'вместе-абс'!O$2</f>
        <v>2.8876241185782123</v>
      </c>
      <c r="P57" s="2">
        <f>('вместе-абс'!P57 - 'вместе-абс'!P$2) / 'вместе-абс'!P$2</f>
        <v>3.2190163934426228</v>
      </c>
      <c r="Q57" s="2">
        <f>('вместе-абс'!Q57 - 'вместе-абс'!Q$2) / 'вместе-абс'!Q$2</f>
        <v>2.8733656174334143</v>
      </c>
      <c r="R57" s="2">
        <f>('вместе-абс'!R57 - 'вместе-абс'!R$2) / 'вместе-абс'!R$2</f>
        <v>2.6871681415929203</v>
      </c>
      <c r="S57" s="2">
        <f>('вместе-абс'!S57 - 'вместе-абс'!S$2) / 'вместе-абс'!S$2</f>
        <v>2.0972319093286838</v>
      </c>
      <c r="T57" s="2">
        <f>('вместе-абс'!T57 - 'вместе-абс'!T$2) / 'вместе-абс'!T$2</f>
        <v>1.0054015636105187</v>
      </c>
      <c r="U57" s="2">
        <f>('вместе-абс'!U57 - 'вместе-абс'!U$2) / 'вместе-абс'!U$2</f>
        <v>3.399709090909091</v>
      </c>
      <c r="V57" s="2">
        <f>('вместе-абс'!V57 - 'вместе-абс'!V$2) / 'вместе-абс'!V$2</f>
        <v>0.44445054945054946</v>
      </c>
    </row>
    <row r="58" spans="1:22" x14ac:dyDescent="0.25">
      <c r="A58" s="12">
        <f t="shared" si="1"/>
        <v>1973</v>
      </c>
      <c r="B58" s="2">
        <f>('вместе-абс'!B58 - 'вместе-абс'!B$2) / 'вместе-абс'!B$2</f>
        <v>1.9657785671995263</v>
      </c>
      <c r="C58" s="2">
        <f>('вместе-абс'!C58 - 'вместе-абс'!C$2) / 'вместе-абс'!C$2</f>
        <v>1.3595386833253242</v>
      </c>
      <c r="D58" s="2">
        <f>('вместе-абс'!D58 - 'вместе-абс'!D$2) / 'вместе-абс'!D$2</f>
        <v>2.9872920876729365</v>
      </c>
      <c r="E58" s="2">
        <f>('вместе-абс'!E58 - 'вместе-абс'!E$2) / 'вместе-абс'!E$2</f>
        <v>1.8376509330406146</v>
      </c>
      <c r="F58" s="2">
        <f>('вместе-абс'!F58 - 'вместе-абс'!F$2) / 'вместе-абс'!F$2</f>
        <v>2.9064566929133862</v>
      </c>
      <c r="G58" s="2">
        <f>('вместе-абс'!G58 - 'вместе-абс'!G$2) / 'вместе-абс'!G$2</f>
        <v>3.9215346534653466</v>
      </c>
      <c r="H58" s="2">
        <f>('вместе-абс'!H58 - 'вместе-абс'!H$2) / 'вместе-абс'!H$2</f>
        <v>2.3704661325564453</v>
      </c>
      <c r="I58" s="2">
        <f>('вместе-абс'!I58 - 'вместе-абс'!I$2) / 'вместе-абс'!I$2</f>
        <v>4.7135005973715645</v>
      </c>
      <c r="J58" s="2">
        <f>('вместе-абс'!J58 - 'вместе-абс'!J$2) / 'вместе-абс'!J$2</f>
        <v>3.4664451827242524</v>
      </c>
      <c r="K58" s="2">
        <f>('вместе-абс'!K58 - 'вместе-абс'!K$2) / 'вместе-абс'!K$2</f>
        <v>2.5382749326145553</v>
      </c>
      <c r="L58" s="2">
        <f>('вместе-абс'!L58 - 'вместе-абс'!L$2) / 'вместе-абс'!L$2</f>
        <v>3.7566068515497557</v>
      </c>
      <c r="M58" s="2">
        <f>('вместе-абс'!M58 - 'вместе-абс'!M$2) / 'вместе-абс'!M$2</f>
        <v>1.4619668840943301</v>
      </c>
      <c r="N58" s="2">
        <f>('вместе-абс'!N58 - 'вместе-абс'!N$2) / 'вместе-абс'!N$2</f>
        <v>3.7575039494470772</v>
      </c>
      <c r="O58" s="2">
        <f>('вместе-абс'!O58 - 'вместе-абс'!O$2) / 'вместе-абс'!O$2</f>
        <v>3.0054180457619806</v>
      </c>
      <c r="P58" s="2">
        <f>('вместе-абс'!P58 - 'вместе-абс'!P$2) / 'вместе-абс'!P$2</f>
        <v>3.343114754098361</v>
      </c>
      <c r="Q58" s="2">
        <f>('вместе-абс'!Q58 - 'вместе-абс'!Q$2) / 'вместе-абс'!Q$2</f>
        <v>2.9799031476997579</v>
      </c>
      <c r="R58" s="2">
        <f>('вместе-абс'!R58 - 'вместе-абс'!R$2) / 'вместе-абс'!R$2</f>
        <v>2.7774336283185841</v>
      </c>
      <c r="S58" s="2">
        <f>('вместе-абс'!S58 - 'вместе-абс'!S$2) / 'вместе-абс'!S$2</f>
        <v>2.178487358326068</v>
      </c>
      <c r="T58" s="2">
        <f>('вместе-абс'!T58 - 'вместе-абс'!T$2) / 'вместе-абс'!T$2</f>
        <v>1.0164179104477611</v>
      </c>
      <c r="U58" s="2">
        <f>('вместе-абс'!U58 - 'вместе-абс'!U$2) / 'вместе-абс'!U$2</f>
        <v>3.5321818181818183</v>
      </c>
      <c r="V58" s="2">
        <f>('вместе-абс'!V58 - 'вместе-абс'!V$2) / 'вместе-абс'!V$2</f>
        <v>0.45285714285714285</v>
      </c>
    </row>
    <row r="59" spans="1:22" x14ac:dyDescent="0.25">
      <c r="A59" s="12">
        <f t="shared" si="1"/>
        <v>1974</v>
      </c>
      <c r="B59" s="2">
        <f>('вместе-абс'!B59 - 'вместе-абс'!B$2) / 'вместе-абс'!B$2</f>
        <v>2.0149674363528716</v>
      </c>
      <c r="C59" s="2">
        <f>('вместе-абс'!C59 - 'вместе-абс'!C$2) / 'вместе-абс'!C$2</f>
        <v>1.4135031234983182</v>
      </c>
      <c r="D59" s="2">
        <f>('вместе-абс'!D59 - 'вместе-абс'!D$2) / 'вместе-абс'!D$2</f>
        <v>3.0840082387688481</v>
      </c>
      <c r="E59" s="2">
        <f>('вместе-абс'!E59 - 'вместе-абс'!E$2) / 'вместе-абс'!E$2</f>
        <v>1.8830406147091108</v>
      </c>
      <c r="F59" s="2">
        <f>('вместе-абс'!F59 - 'вместе-абс'!F$2) / 'вместе-абс'!F$2</f>
        <v>2.9953630796150481</v>
      </c>
      <c r="G59" s="2">
        <f>('вместе-абс'!G59 - 'вместе-абс'!G$2) / 'вместе-абс'!G$2</f>
        <v>4.0485148514851481</v>
      </c>
      <c r="H59" s="2">
        <f>('вместе-абс'!H59 - 'вместе-абс'!H$2) / 'вместе-абс'!H$2</f>
        <v>2.4137654770575385</v>
      </c>
      <c r="I59" s="2">
        <f>('вместе-абс'!I59 - 'вместе-абс'!I$2) / 'вместе-абс'!I$2</f>
        <v>4.8712066905615288</v>
      </c>
      <c r="J59" s="2">
        <f>('вместе-абс'!J59 - 'вместе-абс'!J$2) / 'вместе-абс'!J$2</f>
        <v>3.5970764119601331</v>
      </c>
      <c r="K59" s="2">
        <f>('вместе-абс'!K59 - 'вместе-абс'!K$2) / 'вместе-абс'!K$2</f>
        <v>2.6205750224618147</v>
      </c>
      <c r="L59" s="2">
        <f>('вместе-абс'!L59 - 'вместе-абс'!L$2) / 'вместе-абс'!L$2</f>
        <v>3.8786296900489394</v>
      </c>
      <c r="M59" s="2">
        <f>('вместе-абс'!M59 - 'вместе-абс'!M$2) / 'вместе-абс'!M$2</f>
        <v>1.5096838936276971</v>
      </c>
      <c r="N59" s="2">
        <f>('вместе-абс'!N59 - 'вместе-абс'!N$2) / 'вместе-абс'!N$2</f>
        <v>3.8969984202211694</v>
      </c>
      <c r="O59" s="2">
        <f>('вместе-абс'!O59 - 'вместе-абс'!O$2) / 'вместе-абс'!O$2</f>
        <v>3.1243416318894806</v>
      </c>
      <c r="P59" s="2">
        <f>('вместе-абс'!P59 - 'вместе-абс'!P$2) / 'вместе-абс'!P$2</f>
        <v>3.4788524590163932</v>
      </c>
      <c r="Q59" s="2">
        <f>('вместе-абс'!Q59 - 'вместе-абс'!Q$2) / 'вместе-абс'!Q$2</f>
        <v>3.0869249394673126</v>
      </c>
      <c r="R59" s="2">
        <f>('вместе-абс'!R59 - 'вместе-абс'!R$2) / 'вместе-абс'!R$2</f>
        <v>2.8725663716814158</v>
      </c>
      <c r="S59" s="2">
        <f>('вместе-абс'!S59 - 'вместе-абс'!S$2) / 'вместе-абс'!S$2</f>
        <v>2.2599389712292939</v>
      </c>
      <c r="T59" s="2">
        <f>('вместе-абс'!T59 - 'вместе-абс'!T$2) / 'вместе-абс'!T$2</f>
        <v>1.0283582089552239</v>
      </c>
      <c r="U59" s="2">
        <f>('вместе-абс'!U59 - 'вместе-абс'!U$2) / 'вместе-абс'!U$2</f>
        <v>3.6674181818181815</v>
      </c>
      <c r="V59" s="2">
        <f>('вместе-абс'!V59 - 'вместе-абс'!V$2) / 'вместе-абс'!V$2</f>
        <v>0.46089010989010987</v>
      </c>
    </row>
    <row r="60" spans="1:22" x14ac:dyDescent="0.25">
      <c r="A60" s="12">
        <f t="shared" si="1"/>
        <v>1975</v>
      </c>
      <c r="B60" s="2">
        <f>('вместе-абс'!B60 - 'вместе-абс'!B$2) / 'вместе-абс'!B$2</f>
        <v>2.0638365896980462</v>
      </c>
      <c r="C60" s="2">
        <f>('вместе-абс'!C60 - 'вместе-абс'!C$2) / 'вместе-абс'!C$2</f>
        <v>1.4687650168188371</v>
      </c>
      <c r="D60" s="2">
        <f>('вместе-абс'!D60 - 'вместе-абс'!D$2) / 'вместе-абс'!D$2</f>
        <v>3.1823255090937357</v>
      </c>
      <c r="E60" s="2">
        <f>('вместе-абс'!E60 - 'вместе-абс'!E$2) / 'вместе-абс'!E$2</f>
        <v>1.9285400658616905</v>
      </c>
      <c r="F60" s="2">
        <f>('вместе-абс'!F60 - 'вместе-абс'!F$2) / 'вместе-абс'!F$2</f>
        <v>3.0847944006999124</v>
      </c>
      <c r="G60" s="2">
        <f>('вместе-абс'!G60 - 'вместе-абс'!G$2) / 'вместе-абс'!G$2</f>
        <v>4.1799504950495043</v>
      </c>
      <c r="H60" s="2">
        <f>('вместе-абс'!H60 - 'вместе-абс'!H$2) / 'вместе-абс'!H$2</f>
        <v>2.4521849963583398</v>
      </c>
      <c r="I60" s="2">
        <f>('вместе-абс'!I60 - 'вместе-абс'!I$2) / 'вместе-абс'!I$2</f>
        <v>5.0296296296296301</v>
      </c>
      <c r="J60" s="2">
        <f>('вместе-абс'!J60 - 'вместе-абс'!J$2) / 'вместе-абс'!J$2</f>
        <v>3.7297674418604654</v>
      </c>
      <c r="K60" s="2">
        <f>('вместе-абс'!K60 - 'вместе-абс'!K$2) / 'вместе-абс'!K$2</f>
        <v>2.7020664869721469</v>
      </c>
      <c r="L60" s="2">
        <f>('вместе-абс'!L60 - 'вместе-абс'!L$2) / 'вместе-абс'!L$2</f>
        <v>3.9989396411092986</v>
      </c>
      <c r="M60" s="2">
        <f>('вместе-абс'!M60 - 'вместе-абс'!M$2) / 'вместе-абс'!M$2</f>
        <v>1.558504766683392</v>
      </c>
      <c r="N60" s="2">
        <f>('вместе-абс'!N60 - 'вместе-абс'!N$2) / 'вместе-абс'!N$2</f>
        <v>4.0445497630331753</v>
      </c>
      <c r="O60" s="2">
        <f>('вместе-абс'!O60 - 'вместе-абс'!O$2) / 'вместе-абс'!O$2</f>
        <v>3.2439487696071376</v>
      </c>
      <c r="P60" s="2">
        <f>('вместе-абс'!P60 - 'вместе-абс'!P$2) / 'вместе-абс'!P$2</f>
        <v>3.6178688524590163</v>
      </c>
      <c r="Q60" s="2">
        <f>('вместе-абс'!Q60 - 'вместе-абс'!Q$2) / 'вместе-абс'!Q$2</f>
        <v>3.194673123486683</v>
      </c>
      <c r="R60" s="2">
        <f>('вместе-абс'!R60 - 'вместе-абс'!R$2) / 'вместе-абс'!R$2</f>
        <v>2.9699115044247786</v>
      </c>
      <c r="S60" s="2">
        <f>('вместе-абс'!S60 - 'вместе-абс'!S$2) / 'вместе-абс'!S$2</f>
        <v>2.3421970357454227</v>
      </c>
      <c r="T60" s="2">
        <f>('вместе-абс'!T60 - 'вместе-абс'!T$2) / 'вместе-абс'!T$2</f>
        <v>1.0414356787491117</v>
      </c>
      <c r="U60" s="2">
        <f>('вместе-абс'!U60 - 'вместе-абс'!U$2) / 'вместе-абс'!U$2</f>
        <v>3.8057818181818179</v>
      </c>
      <c r="V60" s="2">
        <f>('вместе-абс'!V60 - 'вместе-абс'!V$2) / 'вместе-абс'!V$2</f>
        <v>0.47005494505494505</v>
      </c>
    </row>
    <row r="61" spans="1:22" x14ac:dyDescent="0.25">
      <c r="A61" s="12">
        <f t="shared" si="1"/>
        <v>1976</v>
      </c>
      <c r="B61" s="2">
        <f>('вместе-абс'!B61 - 'вместе-абс'!B$2) / 'вместе-абс'!B$2</f>
        <v>2.1121728833629367</v>
      </c>
      <c r="C61" s="2">
        <f>('вместе-абс'!C61 - 'вместе-абс'!C$2) / 'вместе-абс'!C$2</f>
        <v>1.5259490629505046</v>
      </c>
      <c r="D61" s="2">
        <f>('вместе-абс'!D61 - 'вместе-абс'!D$2) / 'вместе-абс'!D$2</f>
        <v>3.2831221824965025</v>
      </c>
      <c r="E61" s="2">
        <f>('вместе-абс'!E61 - 'вместе-абс'!E$2) / 'вместе-абс'!E$2</f>
        <v>1.9742864983534576</v>
      </c>
      <c r="F61" s="2">
        <f>('вместе-абс'!F61 - 'вместе-абс'!F$2) / 'вместе-абс'!F$2</f>
        <v>3.1747681539807524</v>
      </c>
      <c r="G61" s="2">
        <f>('вместе-абс'!G61 - 'вместе-абс'!G$2) / 'вместе-абс'!G$2</f>
        <v>4.3163366336633668</v>
      </c>
      <c r="H61" s="2">
        <f>('вместе-абс'!H61 - 'вместе-абс'!H$2) / 'вместе-абс'!H$2</f>
        <v>2.4855061908230156</v>
      </c>
      <c r="I61" s="2">
        <f>('вместе-абс'!I61 - 'вместе-абс'!I$2) / 'вместе-абс'!I$2</f>
        <v>5.1892473118279563</v>
      </c>
      <c r="J61" s="2">
        <f>('вместе-абс'!J61 - 'вместе-абс'!J$2) / 'вместе-абс'!J$2</f>
        <v>3.8643853820598006</v>
      </c>
      <c r="K61" s="2">
        <f>('вместе-абс'!K61 - 'вместе-абс'!K$2) / 'вместе-абс'!K$2</f>
        <v>2.7828391734052111</v>
      </c>
      <c r="L61" s="2">
        <f>('вместе-абс'!L61 - 'вместе-абс'!L$2) / 'вместе-абс'!L$2</f>
        <v>4.1079934747145188</v>
      </c>
      <c r="M61" s="2">
        <f>('вместе-абс'!M61 - 'вместе-абс'!M$2) / 'вместе-абс'!M$2</f>
        <v>1.6083291520321121</v>
      </c>
      <c r="N61" s="2">
        <f>('вместе-абс'!N61 - 'вместе-абс'!N$2) / 'вместе-абс'!N$2</f>
        <v>4.2045813586097944</v>
      </c>
      <c r="O61" s="2">
        <f>('вместе-абс'!O61 - 'вместе-абс'!O$2) / 'вместе-абс'!O$2</f>
        <v>3.3636134695639659</v>
      </c>
      <c r="P61" s="2">
        <f>('вместе-абс'!P61 - 'вместе-абс'!P$2) / 'вместе-абс'!P$2</f>
        <v>3.7604918032786885</v>
      </c>
      <c r="Q61" s="2">
        <f>('вместе-абс'!Q61 - 'вместе-абс'!Q$2) / 'вместе-абс'!Q$2</f>
        <v>3.3024213075060533</v>
      </c>
      <c r="R61" s="2">
        <f>('вместе-абс'!R61 - 'вместе-абс'!R$2) / 'вместе-абс'!R$2</f>
        <v>3.0690265486725665</v>
      </c>
      <c r="S61" s="2">
        <f>('вместе-абс'!S61 - 'вместе-абс'!S$2) / 'вместе-абс'!S$2</f>
        <v>2.4256320836965997</v>
      </c>
      <c r="T61" s="2">
        <f>('вместе-абс'!T61 - 'вместе-абс'!T$2) / 'вместе-абс'!T$2</f>
        <v>1.0550106609808103</v>
      </c>
      <c r="U61" s="2">
        <f>('вместе-абс'!U61 - 'вместе-абс'!U$2) / 'вместе-абс'!U$2</f>
        <v>3.9477454545454544</v>
      </c>
      <c r="V61" s="2">
        <f>('вместе-абс'!V61 - 'вместе-абс'!V$2) / 'вместе-абс'!V$2</f>
        <v>0.48010989010989014</v>
      </c>
    </row>
    <row r="62" spans="1:22" x14ac:dyDescent="0.25">
      <c r="A62" s="12">
        <f t="shared" si="1"/>
        <v>1977</v>
      </c>
      <c r="B62" s="2">
        <f>('вместе-абс'!B62 - 'вместе-абс'!B$2) / 'вместе-абс'!B$2</f>
        <v>2.1618472468916519</v>
      </c>
      <c r="C62" s="2">
        <f>('вместе-абс'!C62 - 'вместе-абс'!C$2) / 'вместе-абс'!C$2</f>
        <v>1.5849111004324843</v>
      </c>
      <c r="D62" s="2">
        <f>('вместе-абс'!D62 - 'вместе-абс'!D$2) / 'вместе-абс'!D$2</f>
        <v>3.3865731385045859</v>
      </c>
      <c r="E62" s="2">
        <f>('вместе-абс'!E62 - 'вместе-абс'!E$2) / 'вместе-абс'!E$2</f>
        <v>2.0201701427003291</v>
      </c>
      <c r="F62" s="2">
        <f>('вместе-абс'!F62 - 'вместе-абс'!F$2) / 'вместе-абс'!F$2</f>
        <v>3.2683289588801401</v>
      </c>
      <c r="G62" s="2">
        <f>('вместе-абс'!G62 - 'вместе-абс'!G$2) / 'вместе-абс'!G$2</f>
        <v>4.4579207920792081</v>
      </c>
      <c r="H62" s="2">
        <f>('вместе-абс'!H62 - 'вместе-абс'!H$2) / 'вместе-абс'!H$2</f>
        <v>2.5136198106336489</v>
      </c>
      <c r="I62" s="2">
        <f>('вместе-абс'!I62 - 'вместе-абс'!I$2) / 'вместе-абс'!I$2</f>
        <v>5.3505376344086013</v>
      </c>
      <c r="J62" s="2">
        <f>('вместе-абс'!J62 - 'вместе-абс'!J$2) / 'вместе-абс'!J$2</f>
        <v>4.0011960132890367</v>
      </c>
      <c r="K62" s="2">
        <f>('вместе-абс'!K62 - 'вместе-абс'!K$2) / 'вместе-абс'!K$2</f>
        <v>2.8646001796945195</v>
      </c>
      <c r="L62" s="2">
        <f>('вместе-абс'!L62 - 'вместе-абс'!L$2) / 'вместе-абс'!L$2</f>
        <v>4.2214518760195761</v>
      </c>
      <c r="M62" s="2">
        <f>('вместе-абс'!M62 - 'вместе-абс'!M$2) / 'вместе-абс'!M$2</f>
        <v>1.6590566984445561</v>
      </c>
      <c r="N62" s="2">
        <f>('вместе-абс'!N62 - 'вместе-абс'!N$2) / 'вместе-абс'!N$2</f>
        <v>4.3691943127962078</v>
      </c>
      <c r="O62" s="2">
        <f>('вместе-абс'!O62 - 'вместе-абс'!O$2) / 'вместе-абс'!O$2</f>
        <v>3.4832709742408978</v>
      </c>
      <c r="P62" s="2">
        <f>('вместе-абс'!P62 - 'вместе-абс'!P$2) / 'вместе-абс'!P$2</f>
        <v>3.9057377049180326</v>
      </c>
      <c r="Q62" s="2">
        <f>('вместе-абс'!Q62 - 'вместе-абс'!Q$2) / 'вместе-абс'!Q$2</f>
        <v>3.4104116222760292</v>
      </c>
      <c r="R62" s="2">
        <f>('вместе-абс'!R62 - 'вместе-абс'!R$2) / 'вместе-абс'!R$2</f>
        <v>3.17094395280236</v>
      </c>
      <c r="S62" s="2">
        <f>('вместе-абс'!S62 - 'вместе-абс'!S$2) / 'вместе-абс'!S$2</f>
        <v>2.5112903225806451</v>
      </c>
      <c r="T62" s="2">
        <f>('вместе-абс'!T62 - 'вместе-абс'!T$2) / 'вместе-абс'!T$2</f>
        <v>1.0678749111584933</v>
      </c>
      <c r="U62" s="2">
        <f>('вместе-абс'!U62 - 'вместе-абс'!U$2) / 'вместе-абс'!U$2</f>
        <v>4.0933818181818182</v>
      </c>
      <c r="V62" s="2">
        <f>('вместе-абс'!V62 - 'вместе-абс'!V$2) / 'вместе-абс'!V$2</f>
        <v>0.49060439560439562</v>
      </c>
    </row>
    <row r="63" spans="1:22" x14ac:dyDescent="0.25">
      <c r="A63" s="12">
        <f t="shared" si="1"/>
        <v>1978</v>
      </c>
      <c r="B63" s="2">
        <f>('вместе-абс'!B63 - 'вместе-абс'!B$2) / 'вместе-абс'!B$2</f>
        <v>2.2128123149792778</v>
      </c>
      <c r="C63" s="2">
        <f>('вместе-абс'!C63 - 'вместе-абс'!C$2) / 'вместе-абс'!C$2</f>
        <v>1.644930321960596</v>
      </c>
      <c r="D63" s="2">
        <f>('вместе-абс'!D63 - 'вместе-абс'!D$2) / 'вместе-абс'!D$2</f>
        <v>3.4924957251671067</v>
      </c>
      <c r="E63" s="2">
        <f>('вместе-абс'!E63 - 'вместе-абс'!E$2) / 'вместе-абс'!E$2</f>
        <v>2.0660537870472009</v>
      </c>
      <c r="F63" s="2">
        <f>('вместе-абс'!F63 - 'вместе-абс'!F$2) / 'вместе-абс'!F$2</f>
        <v>3.3657567804024495</v>
      </c>
      <c r="G63" s="2">
        <f>('вместе-абс'!G63 - 'вместе-абс'!G$2) / 'вместе-абс'!G$2</f>
        <v>4.6051980198019802</v>
      </c>
      <c r="H63" s="2">
        <f>('вместе-абс'!H63 - 'вместе-абс'!H$2) / 'вместе-абс'!H$2</f>
        <v>2.5367807720320465</v>
      </c>
      <c r="I63" s="2">
        <f>('вместе-абс'!I63 - 'вместе-абс'!I$2) / 'вместе-абс'!I$2</f>
        <v>5.5136200716845876</v>
      </c>
      <c r="J63" s="2">
        <f>('вместе-абс'!J63 - 'вместе-абс'!J$2) / 'вместе-абс'!J$2</f>
        <v>4.140332225913621</v>
      </c>
      <c r="K63" s="2">
        <f>('вместе-абс'!K63 - 'вместе-абс'!K$2) / 'вместе-абс'!K$2</f>
        <v>2.9479784366576824</v>
      </c>
      <c r="L63" s="2">
        <f>('вместе-абс'!L63 - 'вместе-абс'!L$2) / 'вместе-абс'!L$2</f>
        <v>4.3519575856443717</v>
      </c>
      <c r="M63" s="2">
        <f>('вместе-абс'!M63 - 'вместе-абс'!M$2) / 'вместе-абс'!M$2</f>
        <v>1.7107877571500252</v>
      </c>
      <c r="N63" s="2">
        <f>('вместе-абс'!N63 - 'вместе-абс'!N$2) / 'вместе-абс'!N$2</f>
        <v>4.5379146919431284</v>
      </c>
      <c r="O63" s="2">
        <f>('вместе-абс'!O63 - 'вместе-абс'!O$2) / 'вместе-абс'!O$2</f>
        <v>3.6034681249100591</v>
      </c>
      <c r="P63" s="2">
        <f>('вместе-абс'!P63 - 'вместе-абс'!P$2) / 'вместе-абс'!P$2</f>
        <v>4.049672131147541</v>
      </c>
      <c r="Q63" s="2">
        <f>('вместе-абс'!Q63 - 'вместе-абс'!Q$2) / 'вместе-абс'!Q$2</f>
        <v>3.5188861985472153</v>
      </c>
      <c r="R63" s="2">
        <f>('вместе-абс'!R63 - 'вместе-абс'!R$2) / 'вместе-абс'!R$2</f>
        <v>3.2762536873156343</v>
      </c>
      <c r="S63" s="2">
        <f>('вместе-абс'!S63 - 'вместе-абс'!S$2) / 'вместе-абс'!S$2</f>
        <v>2.5998474280732342</v>
      </c>
      <c r="T63" s="2">
        <f>('вместе-абс'!T63 - 'вместе-абс'!T$2) / 'вместе-абс'!T$2</f>
        <v>1.0793887704335465</v>
      </c>
      <c r="U63" s="2">
        <f>('вместе-абс'!U63 - 'вместе-абс'!U$2) / 'вместе-абс'!U$2</f>
        <v>4.2424363636363642</v>
      </c>
      <c r="V63" s="2">
        <f>('вместе-абс'!V63 - 'вместе-абс'!V$2) / 'вместе-абс'!V$2</f>
        <v>0.50105494505494508</v>
      </c>
    </row>
    <row r="64" spans="1:22" x14ac:dyDescent="0.25">
      <c r="A64" s="12">
        <f t="shared" si="1"/>
        <v>1979</v>
      </c>
      <c r="B64" s="2">
        <f>('вместе-абс'!B64 - 'вместе-абс'!B$2) / 'вместе-абс'!B$2</f>
        <v>2.2645233866193015</v>
      </c>
      <c r="C64" s="2">
        <f>('вместе-абс'!C64 - 'вместе-абс'!C$2) / 'вместе-абс'!C$2</f>
        <v>1.7058145122537243</v>
      </c>
      <c r="D64" s="2">
        <f>('вместе-абс'!D64 - 'вместе-абс'!D$2) / 'вместе-абс'!D$2</f>
        <v>3.6005285247940311</v>
      </c>
      <c r="E64" s="2">
        <f>('вместе-абс'!E64 - 'вместе-абс'!E$2) / 'вместе-абс'!E$2</f>
        <v>2.1119099890230513</v>
      </c>
      <c r="F64" s="2">
        <f>('вместе-абс'!F64 - 'вместе-абс'!F$2) / 'вместе-абс'!F$2</f>
        <v>3.4646719160104986</v>
      </c>
      <c r="G64" s="2">
        <f>('вместе-абс'!G64 - 'вместе-абс'!G$2) / 'вместе-абс'!G$2</f>
        <v>4.7586633663366333</v>
      </c>
      <c r="H64" s="2">
        <f>('вместе-абс'!H64 - 'вместе-абс'!H$2) / 'вместе-абс'!H$2</f>
        <v>2.5554989075018208</v>
      </c>
      <c r="I64" s="2">
        <f>('вместе-абс'!I64 - 'вместе-абс'!I$2) / 'вместе-абс'!I$2</f>
        <v>5.6782556750298685</v>
      </c>
      <c r="J64" s="2">
        <f>('вместе-абс'!J64 - 'вместе-абс'!J$2) / 'вместе-абс'!J$2</f>
        <v>4.2816611295681062</v>
      </c>
      <c r="K64" s="2">
        <f>('вместе-абс'!K64 - 'вместе-абс'!K$2) / 'вместе-абс'!K$2</f>
        <v>3.0255166217430367</v>
      </c>
      <c r="L64" s="2">
        <f>('вместе-абс'!L64 - 'вместе-абс'!L$2) / 'вместе-абс'!L$2</f>
        <v>4.4876019575856443</v>
      </c>
      <c r="M64" s="2">
        <f>('вместе-абс'!M64 - 'вместе-абс'!M$2) / 'вместе-абс'!M$2</f>
        <v>1.7634721525338688</v>
      </c>
      <c r="N64" s="2">
        <f>('вместе-абс'!N64 - 'вместе-абс'!N$2) / 'вместе-абс'!N$2</f>
        <v>4.7109004739336493</v>
      </c>
      <c r="O64" s="2">
        <f>('вместе-абс'!O64 - 'вместе-абс'!O$2) / 'вместе-абс'!O$2</f>
        <v>3.7236221038998414</v>
      </c>
      <c r="P64" s="2">
        <f>('вместе-абс'!P64 - 'вместе-абс'!P$2) / 'вместе-абс'!P$2</f>
        <v>4.1877049180327868</v>
      </c>
      <c r="Q64" s="2">
        <f>('вместе-абс'!Q64 - 'вместе-абс'!Q$2) / 'вместе-абс'!Q$2</f>
        <v>3.6285714285714286</v>
      </c>
      <c r="R64" s="2">
        <f>('вместе-абс'!R64 - 'вместе-абс'!R$2) / 'вместе-абс'!R$2</f>
        <v>3.3864306784660765</v>
      </c>
      <c r="S64" s="2">
        <f>('вместе-абс'!S64 - 'вместе-абс'!S$2) / 'вместе-абс'!S$2</f>
        <v>2.6907367044463815</v>
      </c>
      <c r="T64" s="2">
        <f>('вместе-абс'!T64 - 'вместе-абс'!T$2) / 'вместе-абс'!T$2</f>
        <v>1.0894811656005687</v>
      </c>
      <c r="U64" s="2">
        <f>('вместе-абс'!U64 - 'вместе-абс'!U$2) / 'вместе-абс'!U$2</f>
        <v>4.3944000000000001</v>
      </c>
      <c r="V64" s="2">
        <f>('вместе-абс'!V64 - 'вместе-абс'!V$2) / 'вместе-абс'!V$2</f>
        <v>0.51154945054945056</v>
      </c>
    </row>
    <row r="65" spans="1:22" x14ac:dyDescent="0.25">
      <c r="A65" s="12">
        <f t="shared" si="1"/>
        <v>1980</v>
      </c>
      <c r="B65" s="2">
        <f>('вместе-абс'!B65 - 'вместе-абс'!B$2) / 'вместе-абс'!B$2</f>
        <v>2.3169449378330373</v>
      </c>
      <c r="C65" s="2">
        <f>('вместе-абс'!C65 - 'вместе-абс'!C$2) / 'вместе-абс'!C$2</f>
        <v>1.7673714560307543</v>
      </c>
      <c r="D65" s="2">
        <f>('вместе-абс'!D65 - 'вместе-абс'!D$2) / 'вместе-абс'!D$2</f>
        <v>3.7103800715062958</v>
      </c>
      <c r="E65" s="2">
        <f>('вместе-абс'!E65 - 'вместе-абс'!E$2) / 'вместе-абс'!E$2</f>
        <v>2.1582327113062569</v>
      </c>
      <c r="F65" s="2">
        <f>('вместе-абс'!F65 - 'вместе-абс'!F$2) / 'вместе-абс'!F$2</f>
        <v>3.5677165354330707</v>
      </c>
      <c r="G65" s="2">
        <f>('вместе-абс'!G65 - 'вместе-абс'!G$2) / 'вместе-абс'!G$2</f>
        <v>4.917326732673267</v>
      </c>
      <c r="H65" s="2">
        <f>('вместе-абс'!H65 - 'вместе-абс'!H$2) / 'вместе-абс'!H$2</f>
        <v>2.5705753823743622</v>
      </c>
      <c r="I65" s="2">
        <f>('вместе-абс'!I65 - 'вместе-абс'!I$2) / 'вместе-абс'!I$2</f>
        <v>5.8446833930704898</v>
      </c>
      <c r="J65" s="2">
        <f>('вместе-абс'!J65 - 'вместе-абс'!J$2) / 'вместе-абс'!J$2</f>
        <v>4.425847176079734</v>
      </c>
      <c r="K65" s="2">
        <f>('вместе-абс'!K65 - 'вместе-абс'!K$2) / 'вместе-абс'!K$2</f>
        <v>3.0794249775381846</v>
      </c>
      <c r="L65" s="2">
        <f>('вместе-абс'!L65 - 'вместе-абс'!L$2) / 'вместе-абс'!L$2</f>
        <v>4.628221859706362</v>
      </c>
      <c r="M65" s="2">
        <f>('вместе-абс'!M65 - 'вместе-абс'!M$2) / 'вместе-абс'!M$2</f>
        <v>1.8171098845960862</v>
      </c>
      <c r="N65" s="2">
        <f>('вместе-абс'!N65 - 'вместе-абс'!N$2) / 'вместе-абс'!N$2</f>
        <v>4.8881516587677725</v>
      </c>
      <c r="O65" s="2">
        <f>('вместе-абс'!O65 - 'вместе-абс'!O$2) / 'вместе-абс'!O$2</f>
        <v>3.842444956108793</v>
      </c>
      <c r="P65" s="2">
        <f>('вместе-абс'!P65 - 'вместе-абс'!P$2) / 'вместе-абс'!P$2</f>
        <v>4.3318032786885245</v>
      </c>
      <c r="Q65" s="2">
        <f>('вместе-абс'!Q65 - 'вместе-абс'!Q$2) / 'вместе-абс'!Q$2</f>
        <v>3.7397094430992737</v>
      </c>
      <c r="R65" s="2">
        <f>('вместе-абс'!R65 - 'вместе-абс'!R$2) / 'вместе-абс'!R$2</f>
        <v>3.5032448377581118</v>
      </c>
      <c r="S65" s="2">
        <f>('вместе-абс'!S65 - 'вместе-абс'!S$2) / 'вместе-абс'!S$2</f>
        <v>2.7839799476896254</v>
      </c>
      <c r="T65" s="2">
        <f>('вместе-абс'!T65 - 'вместе-абс'!T$2) / 'вместе-абс'!T$2</f>
        <v>1.0980810234541578</v>
      </c>
      <c r="U65" s="2">
        <f>('вместе-абс'!U65 - 'вместе-абс'!U$2) / 'вместе-абс'!U$2</f>
        <v>4.5484363636363643</v>
      </c>
      <c r="V65" s="2">
        <f>('вместе-абс'!V65 - 'вместе-абс'!V$2) / 'вместе-абс'!V$2</f>
        <v>0.51968131868131873</v>
      </c>
    </row>
    <row r="66" spans="1:22" x14ac:dyDescent="0.25">
      <c r="A66" s="12">
        <f t="shared" si="1"/>
        <v>1981</v>
      </c>
      <c r="B66" s="2">
        <f>('вместе-абс'!B66 - 'вместе-абс'!B$2) / 'вместе-абс'!B$2</f>
        <v>2.3705150976909413</v>
      </c>
      <c r="C66" s="2">
        <f>('вместе-абс'!C66 - 'вместе-абс'!C$2) / 'вместе-абс'!C$2</f>
        <v>1.8294569918308508</v>
      </c>
      <c r="D66" s="2">
        <f>('вместе-абс'!D66 - 'вместе-абс'!D$2) / 'вместе-абс'!D$2</f>
        <v>3.8213547334058764</v>
      </c>
      <c r="E66" s="2">
        <f>('вместе-абс'!E66 - 'вместе-абс'!E$2) / 'вместе-абс'!E$2</f>
        <v>2.2049121844127333</v>
      </c>
      <c r="F66" s="2">
        <f>('вместе-абс'!F66 - 'вместе-абс'!F$2) / 'вместе-абс'!F$2</f>
        <v>3.6742432195975501</v>
      </c>
      <c r="G66" s="2">
        <f>('вместе-абс'!G66 - 'вместе-абс'!G$2) / 'вместе-абс'!G$2</f>
        <v>5.0806930693069301</v>
      </c>
      <c r="H66" s="2">
        <f>('вместе-абс'!H66 - 'вместе-абс'!H$2) / 'вместе-абс'!H$2</f>
        <v>2.5867807720320464</v>
      </c>
      <c r="I66" s="2">
        <f>('вместе-абс'!I66 - 'вместе-абс'!I$2) / 'вместе-абс'!I$2</f>
        <v>6.0113500597371567</v>
      </c>
      <c r="J66" s="2">
        <f>('вместе-абс'!J66 - 'вместе-абс'!J$2) / 'вместе-абс'!J$2</f>
        <v>4.5726910299003318</v>
      </c>
      <c r="K66" s="2">
        <f>('вместе-абс'!K66 - 'вместе-абс'!K$2) / 'вместе-абс'!K$2</f>
        <v>3.1065588499550767</v>
      </c>
      <c r="L66" s="2">
        <f>('вместе-абс'!L66 - 'вместе-абс'!L$2) / 'вместе-абс'!L$2</f>
        <v>4.7712887438825451</v>
      </c>
      <c r="M66" s="2">
        <f>('вместе-абс'!M66 - 'вместе-абс'!M$2) / 'вместе-абс'!M$2</f>
        <v>1.8719016557952834</v>
      </c>
      <c r="N66" s="2">
        <f>('вместе-абс'!N66 - 'вместе-абс'!N$2) / 'вместе-абс'!N$2</f>
        <v>5.0691943127962089</v>
      </c>
      <c r="O66" s="2">
        <f>('вместе-абс'!O66 - 'вместе-абс'!O$2) / 'вместе-абс'!O$2</f>
        <v>3.9569794214994967</v>
      </c>
      <c r="P66" s="2">
        <f>('вместе-абс'!P66 - 'вместе-абс'!P$2) / 'вместе-абс'!P$2</f>
        <v>4.4847540983606553</v>
      </c>
      <c r="Q66" s="2">
        <f>('вместе-абс'!Q66 - 'вместе-абс'!Q$2) / 'вместе-абс'!Q$2</f>
        <v>3.8532687651331723</v>
      </c>
      <c r="R66" s="2">
        <f>('вместе-абс'!R66 - 'вместе-абс'!R$2) / 'вместе-абс'!R$2</f>
        <v>3.6277286135693214</v>
      </c>
      <c r="S66" s="2">
        <f>('вместе-абс'!S66 - 'вместе-абс'!S$2) / 'вместе-абс'!S$2</f>
        <v>2.8794245858761984</v>
      </c>
      <c r="T66" s="2">
        <f>('вместе-абс'!T66 - 'вместе-абс'!T$2) / 'вместе-абс'!T$2</f>
        <v>1.1060412224591327</v>
      </c>
      <c r="U66" s="2">
        <f>('вместе-абс'!U66 - 'вместе-абс'!U$2) / 'вместе-абс'!U$2</f>
        <v>4.7044727272727274</v>
      </c>
      <c r="V66" s="2">
        <f>('вместе-абс'!V66 - 'вместе-абс'!V$2) / 'вместе-абс'!V$2</f>
        <v>0.52778021978021983</v>
      </c>
    </row>
    <row r="67" spans="1:22" x14ac:dyDescent="0.25">
      <c r="A67" s="12">
        <f t="shared" si="1"/>
        <v>1982</v>
      </c>
      <c r="B67" s="2">
        <f>('вместе-абс'!B67 - 'вместе-абс'!B$2) / 'вместе-абс'!B$2</f>
        <v>2.4250207223208999</v>
      </c>
      <c r="C67" s="2">
        <f>('вместе-абс'!C67 - 'вместе-абс'!C$2) / 'вместе-абс'!C$2</f>
        <v>1.8919269581931766</v>
      </c>
      <c r="D67" s="2">
        <f>('вместе-абс'!D67 - 'вместе-абс'!D$2) / 'вместе-абс'!D$2</f>
        <v>3.9325042748328927</v>
      </c>
      <c r="E67" s="2">
        <f>('вместе-абс'!E67 - 'вместе-абс'!E$2) / 'вместе-абс'!E$2</f>
        <v>2.2519758507135017</v>
      </c>
      <c r="F67" s="2">
        <f>('вместе-абс'!F67 - 'вместе-абс'!F$2) / 'вместе-абс'!F$2</f>
        <v>3.7836045494313209</v>
      </c>
      <c r="G67" s="2">
        <f>('вместе-абс'!G67 - 'вместе-абс'!G$2) / 'вместе-абс'!G$2</f>
        <v>5.2495049504950497</v>
      </c>
      <c r="H67" s="2">
        <f>('вместе-абс'!H67 - 'вместе-абс'!H$2) / 'вместе-абс'!H$2</f>
        <v>2.6098689002184998</v>
      </c>
      <c r="I67" s="2">
        <f>('вместе-абс'!I67 - 'вместе-абс'!I$2) / 'вместе-абс'!I$2</f>
        <v>6.1769414575866195</v>
      </c>
      <c r="J67" s="2">
        <f>('вместе-абс'!J67 - 'вместе-абс'!J$2) / 'вместе-абс'!J$2</f>
        <v>4.7217940199335544</v>
      </c>
      <c r="K67" s="2">
        <f>('вместе-абс'!K67 - 'вместе-абс'!K$2) / 'вместе-абс'!K$2</f>
        <v>3.1531895777178796</v>
      </c>
      <c r="L67" s="2">
        <f>('вместе-абс'!L67 - 'вместе-абс'!L$2) / 'вместе-абс'!L$2</f>
        <v>4.9055464926590533</v>
      </c>
      <c r="M67" s="2">
        <f>('вместе-абс'!M67 - 'вместе-абс'!M$2) / 'вместе-абс'!M$2</f>
        <v>1.9281986954340189</v>
      </c>
      <c r="N67" s="2">
        <f>('вместе-абс'!N67 - 'вместе-абс'!N$2) / 'вместе-абс'!N$2</f>
        <v>5.2538704581358608</v>
      </c>
      <c r="O67" s="2">
        <f>('вместе-абс'!O67 - 'вместе-абс'!O$2) / 'вместе-абс'!O$2</f>
        <v>4.0678730752626278</v>
      </c>
      <c r="P67" s="2">
        <f>('вместе-абс'!P67 - 'вместе-абс'!P$2) / 'вместе-абс'!P$2</f>
        <v>4.6372131147540978</v>
      </c>
      <c r="Q67" s="2">
        <f>('вместе-абс'!Q67 - 'вместе-абс'!Q$2) / 'вместе-абс'!Q$2</f>
        <v>3.969249394673124</v>
      </c>
      <c r="R67" s="2">
        <f>('вместе-абс'!R67 - 'вместе-абс'!R$2) / 'вместе-абс'!R$2</f>
        <v>3.7584070796460174</v>
      </c>
      <c r="S67" s="2">
        <f>('вместе-абс'!S67 - 'вместе-абс'!S$2) / 'вместе-абс'!S$2</f>
        <v>2.9770052310374893</v>
      </c>
      <c r="T67" s="2">
        <f>('вместе-абс'!T67 - 'вместе-абс'!T$2) / 'вместе-абс'!T$2</f>
        <v>1.1147832267235251</v>
      </c>
      <c r="U67" s="2">
        <f>('вместе-абс'!U67 - 'вместе-абс'!U$2) / 'вместе-абс'!U$2</f>
        <v>4.8625090909090911</v>
      </c>
      <c r="V67" s="2">
        <f>('вместе-абс'!V67 - 'вместе-абс'!V$2) / 'вместе-абс'!V$2</f>
        <v>0.53643956043956043</v>
      </c>
    </row>
    <row r="68" spans="1:22" x14ac:dyDescent="0.25">
      <c r="A68" s="12">
        <f t="shared" si="1"/>
        <v>1983</v>
      </c>
      <c r="B68" s="2">
        <f>('вместе-абс'!B68 - 'вместе-абс'!B$2) / 'вместе-абс'!B$2</f>
        <v>2.4803197158081702</v>
      </c>
      <c r="C68" s="2">
        <f>('вместе-абс'!C68 - 'вместе-абс'!C$2) / 'вместе-абс'!C$2</f>
        <v>1.9548774627582894</v>
      </c>
      <c r="D68" s="2">
        <f>('вместе-абс'!D68 - 'вместе-абс'!D$2) / 'вместе-абс'!D$2</f>
        <v>4.0439180786569251</v>
      </c>
      <c r="E68" s="2">
        <f>('вместе-абс'!E68 - 'вместе-абс'!E$2) / 'вместе-абс'!E$2</f>
        <v>2.3002469813391877</v>
      </c>
      <c r="F68" s="2">
        <f>('вместе-абс'!F68 - 'вместе-абс'!F$2) / 'вместе-абс'!F$2</f>
        <v>3.8973228346456694</v>
      </c>
      <c r="G68" s="2">
        <f>('вместе-абс'!G68 - 'вместе-абс'!G$2) / 'вместе-абс'!G$2</f>
        <v>5.4237623762376233</v>
      </c>
      <c r="H68" s="2">
        <f>('вместе-абс'!H68 - 'вместе-абс'!H$2) / 'вместе-абс'!H$2</f>
        <v>2.6383831026948288</v>
      </c>
      <c r="I68" s="2">
        <f>('вместе-абс'!I68 - 'вместе-абс'!I$2) / 'вместе-абс'!I$2</f>
        <v>6.3443249701314217</v>
      </c>
      <c r="J68" s="2">
        <f>('вместе-абс'!J68 - 'вместе-абс'!J$2) / 'вместе-абс'!J$2</f>
        <v>4.8740199335548171</v>
      </c>
      <c r="K68" s="2">
        <f>('вместе-абс'!K68 - 'вместе-абс'!K$2) / 'вместе-абс'!K$2</f>
        <v>3.2294699011680139</v>
      </c>
      <c r="L68" s="2">
        <f>('вместе-абс'!L68 - 'вместе-абс'!L$2) / 'вместе-абс'!L$2</f>
        <v>5.0518760195758565</v>
      </c>
      <c r="M68" s="2">
        <f>('вместе-абс'!M68 - 'вместе-абс'!M$2) / 'вместе-абс'!M$2</f>
        <v>1.9860010035122933</v>
      </c>
      <c r="N68" s="2">
        <f>('вместе-абс'!N68 - 'вместе-абс'!N$2) / 'вместе-абс'!N$2</f>
        <v>5.442654028436019</v>
      </c>
      <c r="O68" s="2">
        <f>('вместе-абс'!O68 - 'вместе-абс'!O$2) / 'вместе-абс'!O$2</f>
        <v>4.1785292847891782</v>
      </c>
      <c r="P68" s="2">
        <f>('вместе-абс'!P68 - 'вместе-абс'!P$2) / 'вместе-абс'!P$2</f>
        <v>4.7873770491803285</v>
      </c>
      <c r="Q68" s="2">
        <f>('вместе-абс'!Q68 - 'вместе-абс'!Q$2) / 'вместе-абс'!Q$2</f>
        <v>4.0874092009685228</v>
      </c>
      <c r="R68" s="2">
        <f>('вместе-абс'!R68 - 'вместе-абс'!R$2) / 'вместе-абс'!R$2</f>
        <v>3.8939528023598817</v>
      </c>
      <c r="S68" s="2">
        <f>('вместе-абс'!S68 - 'вместе-абс'!S$2) / 'вместе-абс'!S$2</f>
        <v>3.0771578029642548</v>
      </c>
      <c r="T68" s="2">
        <f>('вместе-абс'!T68 - 'вместе-абс'!T$2) / 'вместе-абс'!T$2</f>
        <v>1.1242359630419334</v>
      </c>
      <c r="U68" s="2">
        <f>('вместе-абс'!U68 - 'вместе-абс'!U$2) / 'вместе-абс'!U$2</f>
        <v>5.0226181818181823</v>
      </c>
      <c r="V68" s="2">
        <f>('вместе-абс'!V68 - 'вместе-абс'!V$2) / 'вместе-абс'!V$2</f>
        <v>0.54687912087912083</v>
      </c>
    </row>
    <row r="69" spans="1:22" x14ac:dyDescent="0.25">
      <c r="A69" s="12">
        <f t="shared" si="1"/>
        <v>1984</v>
      </c>
      <c r="B69" s="2">
        <f>('вместе-абс'!B69 - 'вместе-абс'!B$2) / 'вместе-абс'!B$2</f>
        <v>2.5361870929544108</v>
      </c>
      <c r="C69" s="2">
        <f>('вместе-абс'!C69 - 'вместе-абс'!C$2) / 'вместе-абс'!C$2</f>
        <v>2.0186929360884189</v>
      </c>
      <c r="D69" s="2">
        <f>('вместе-абс'!D69 - 'вместе-абс'!D$2) / 'вместе-абс'!D$2</f>
        <v>4.1554057205036532</v>
      </c>
      <c r="E69" s="2">
        <f>('вместе-абс'!E69 - 'вместе-абс'!E$2) / 'вместе-абс'!E$2</f>
        <v>2.3500823271130629</v>
      </c>
      <c r="F69" s="2">
        <f>('вместе-абс'!F69 - 'вместе-абс'!F$2) / 'вместе-абс'!F$2</f>
        <v>4.011846019247594</v>
      </c>
      <c r="G69" s="2">
        <f>('вместе-абс'!G69 - 'вместе-абс'!G$2) / 'вместе-абс'!G$2</f>
        <v>5.6029702970297031</v>
      </c>
      <c r="H69" s="2">
        <f>('вместе-абс'!H69 - 'вместе-абс'!H$2) / 'вместе-абс'!H$2</f>
        <v>2.6683539694100507</v>
      </c>
      <c r="I69" s="2">
        <f>('вместе-абс'!I69 - 'вместе-абс'!I$2) / 'вместе-абс'!I$2</f>
        <v>6.5137395459976108</v>
      </c>
      <c r="J69" s="2">
        <f>('вместе-абс'!J69 - 'вместе-абс'!J$2) / 'вместе-абс'!J$2</f>
        <v>5.0297674418604643</v>
      </c>
      <c r="K69" s="2">
        <f>('вместе-абс'!K69 - 'вместе-абс'!K$2) / 'вместе-абс'!K$2</f>
        <v>3.3108715184186881</v>
      </c>
      <c r="L69" s="2">
        <f>('вместе-абс'!L69 - 'вместе-абс'!L$2) / 'вместе-абс'!L$2</f>
        <v>5.2240619902120713</v>
      </c>
      <c r="M69" s="2">
        <f>('вместе-абс'!M69 - 'вместе-абс'!M$2) / 'вместе-абс'!M$2</f>
        <v>2.045258404415454</v>
      </c>
      <c r="N69" s="2">
        <f>('вместе-абс'!N69 - 'вместе-абс'!N$2) / 'вместе-абс'!N$2</f>
        <v>5.6349131121642966</v>
      </c>
      <c r="O69" s="2">
        <f>('вместе-абс'!O69 - 'вместе-абс'!O$2) / 'вместе-абс'!O$2</f>
        <v>4.2890200028781118</v>
      </c>
      <c r="P69" s="2">
        <f>('вместе-абс'!P69 - 'вместе-абс'!P$2) / 'вместе-абс'!P$2</f>
        <v>4.932950819672131</v>
      </c>
      <c r="Q69" s="2">
        <f>('вместе-абс'!Q69 - 'вместе-абс'!Q$2) / 'вместе-абс'!Q$2</f>
        <v>4.2077481840193709</v>
      </c>
      <c r="R69" s="2">
        <f>('вместе-абс'!R69 - 'вместе-абс'!R$2) / 'вместе-абс'!R$2</f>
        <v>4.0337758112094395</v>
      </c>
      <c r="S69" s="2">
        <f>('вместе-абс'!S69 - 'вместе-абс'!S$2) / 'вместе-абс'!S$2</f>
        <v>3.1793156059285095</v>
      </c>
      <c r="T69" s="2">
        <f>('вместе-абс'!T69 - 'вместе-абс'!T$2) / 'вместе-абс'!T$2</f>
        <v>1.1339729921819475</v>
      </c>
      <c r="U69" s="2">
        <f>('вместе-абс'!U69 - 'вместе-абс'!U$2) / 'вместе-абс'!U$2</f>
        <v>5.1850181818181813</v>
      </c>
      <c r="V69" s="2">
        <f>('вместе-абс'!V69 - 'вместе-абс'!V$2) / 'вместе-абс'!V$2</f>
        <v>0.55870329670329666</v>
      </c>
    </row>
    <row r="70" spans="1:22" x14ac:dyDescent="0.25">
      <c r="A70" s="12">
        <f t="shared" si="1"/>
        <v>1985</v>
      </c>
      <c r="B70" s="2">
        <f>('вместе-абс'!B70 - 'вместе-абс'!B$2) / 'вместе-абс'!B$2</f>
        <v>2.5922320899940794</v>
      </c>
      <c r="C70" s="2">
        <f>('вместе-абс'!C70 - 'вместе-абс'!C$2) / 'вместе-абс'!C$2</f>
        <v>2.0832292167227293</v>
      </c>
      <c r="D70" s="2">
        <f>('вместе-абс'!D70 - 'вместе-абс'!D$2) / 'вместе-абс'!D$2</f>
        <v>4.2664231307321625</v>
      </c>
      <c r="E70" s="2">
        <f>('вместе-абс'!E70 - 'вместе-абс'!E$2) / 'вместе-абс'!E$2</f>
        <v>2.4015642151481886</v>
      </c>
      <c r="F70" s="2">
        <f>('вместе-абс'!F70 - 'вместе-абс'!F$2) / 'вместе-абс'!F$2</f>
        <v>4.1213473315835518</v>
      </c>
      <c r="G70" s="2">
        <f>('вместе-абс'!G70 - 'вместе-абс'!G$2) / 'вместе-абс'!G$2</f>
        <v>5.7868811881188122</v>
      </c>
      <c r="H70" s="2">
        <f>('вместе-абс'!H70 - 'вместе-абс'!H$2) / 'вместе-абс'!H$2</f>
        <v>2.6989075018208304</v>
      </c>
      <c r="I70" s="2">
        <f>('вместе-абс'!I70 - 'вместе-абс'!I$2) / 'вместе-абс'!I$2</f>
        <v>6.6826762246117077</v>
      </c>
      <c r="J70" s="2">
        <f>('вместе-абс'!J70 - 'вместе-абс'!J$2) / 'вместе-абс'!J$2</f>
        <v>5.1868438538205988</v>
      </c>
      <c r="K70" s="2">
        <f>('вместе-абс'!K70 - 'вместе-абс'!K$2) / 'вместе-абс'!K$2</f>
        <v>3.3977538185085354</v>
      </c>
      <c r="L70" s="2">
        <f>('вместе-абс'!L70 - 'вместе-абс'!L$2) / 'вместе-абс'!L$2</f>
        <v>5.402691680261011</v>
      </c>
      <c r="M70" s="2">
        <f>('вместе-абс'!M70 - 'вместе-абс'!M$2) / 'вместе-абс'!M$2</f>
        <v>2.1063221274460608</v>
      </c>
      <c r="N70" s="2">
        <f>('вместе-абс'!N70 - 'вместе-абс'!N$2) / 'вместе-абс'!N$2</f>
        <v>5.8298578199052136</v>
      </c>
      <c r="O70" s="2">
        <f>('вместе-абс'!O70 - 'вместе-абс'!O$2) / 'вместе-абс'!O$2</f>
        <v>4.3995826737660089</v>
      </c>
      <c r="P70" s="2">
        <f>('вместе-абс'!P70 - 'вместе-абс'!P$2) / 'вместе-абс'!P$2</f>
        <v>5.0762295081967217</v>
      </c>
      <c r="Q70" s="2">
        <f>('вместе-абс'!Q70 - 'вместе-абс'!Q$2) / 'вместе-абс'!Q$2</f>
        <v>4.3290556900726394</v>
      </c>
      <c r="R70" s="2">
        <f>('вместе-абс'!R70 - 'вместе-абс'!R$2) / 'вместе-абс'!R$2</f>
        <v>4.1780235988200589</v>
      </c>
      <c r="S70" s="2">
        <f>('вместе-абс'!S70 - 'вместе-абс'!S$2) / 'вместе-абс'!S$2</f>
        <v>3.2825196163905841</v>
      </c>
      <c r="T70" s="2">
        <f>('вместе-абс'!T70 - 'вместе-абс'!T$2) / 'вместе-абс'!T$2</f>
        <v>1.144278606965174</v>
      </c>
      <c r="U70" s="2">
        <f>('вместе-абс'!U70 - 'вместе-абс'!U$2) / 'вместе-абс'!U$2</f>
        <v>5.3496000000000006</v>
      </c>
      <c r="V70" s="2">
        <f>('вместе-абс'!V70 - 'вместе-абс'!V$2) / 'вместе-абс'!V$2</f>
        <v>0.56948351648351647</v>
      </c>
    </row>
    <row r="71" spans="1:22" x14ac:dyDescent="0.25">
      <c r="A71" s="12">
        <f t="shared" si="1"/>
        <v>1986</v>
      </c>
      <c r="B71" s="2">
        <f>('вместе-абс'!B71 - 'вместе-абс'!B$2) / 'вместе-абс'!B$2</f>
        <v>2.648549437537004</v>
      </c>
      <c r="C71" s="2">
        <f>('вместе-абс'!C71 - 'вместе-абс'!C$2) / 'вместе-абс'!C$2</f>
        <v>2.1487265737626142</v>
      </c>
      <c r="D71" s="2">
        <f>('вместе-абс'!D71 - 'вместе-абс'!D$2) / 'вместе-абс'!D$2</f>
        <v>4.3760453909528989</v>
      </c>
      <c r="E71" s="2">
        <f>('вместе-абс'!E71 - 'вместе-абс'!E$2) / 'вместе-абс'!E$2</f>
        <v>2.4546926454445663</v>
      </c>
      <c r="F71" s="2">
        <f>('вместе-абс'!F71 - 'вместе-абс'!F$2) / 'вместе-абс'!F$2</f>
        <v>4.2281889763779521</v>
      </c>
      <c r="G71" s="2">
        <f>('вместе-абс'!G71 - 'вместе-абс'!G$2) / 'вместе-абс'!G$2</f>
        <v>5.9732673267326728</v>
      </c>
      <c r="H71" s="2">
        <f>('вместе-абс'!H71 - 'вместе-абс'!H$2) / 'вместе-абс'!H$2</f>
        <v>2.730589949016752</v>
      </c>
      <c r="I71" s="2">
        <f>('вместе-абс'!I71 - 'вместе-абс'!I$2) / 'вместе-абс'!I$2</f>
        <v>6.8508960573476703</v>
      </c>
      <c r="J71" s="2">
        <f>('вместе-абс'!J71 - 'вместе-абс'!J$2) / 'вместе-абс'!J$2</f>
        <v>5.3428571428571425</v>
      </c>
      <c r="K71" s="2">
        <f>('вместе-абс'!K71 - 'вместе-абс'!K$2) / 'вместе-абс'!K$2</f>
        <v>3.4858939802336031</v>
      </c>
      <c r="L71" s="2">
        <f>('вместе-абс'!L71 - 'вместе-абс'!L$2) / 'вместе-абс'!L$2</f>
        <v>5.5830342577487766</v>
      </c>
      <c r="M71" s="2">
        <f>('вместе-абс'!M71 - 'вместе-абс'!M$2) / 'вместе-абс'!M$2</f>
        <v>2.1691419969894632</v>
      </c>
      <c r="N71" s="2">
        <f>('вместе-абс'!N71 - 'вместе-абс'!N$2) / 'вместе-абс'!N$2</f>
        <v>6.0282780410742491</v>
      </c>
      <c r="O71" s="2">
        <f>('вместе-абс'!O71 - 'вместе-абс'!O$2) / 'вместе-абс'!O$2</f>
        <v>4.5105482803281056</v>
      </c>
      <c r="P71" s="2">
        <f>('вместе-абс'!P71 - 'вместе-абс'!P$2) / 'вместе-абс'!P$2</f>
        <v>5.22</v>
      </c>
      <c r="Q71" s="2">
        <f>('вместе-абс'!Q71 - 'вместе-абс'!Q$2) / 'вместе-абс'!Q$2</f>
        <v>4.4510895883777248</v>
      </c>
      <c r="R71" s="2">
        <f>('вместе-абс'!R71 - 'вместе-абс'!R$2) / 'вместе-абс'!R$2</f>
        <v>4.3266961651917404</v>
      </c>
      <c r="S71" s="2">
        <f>('вместе-абс'!S71 - 'вместе-абс'!S$2) / 'вместе-абс'!S$2</f>
        <v>3.3847210113339141</v>
      </c>
      <c r="T71" s="2">
        <f>('вместе-абс'!T71 - 'вместе-абс'!T$2) / 'вместе-абс'!T$2</f>
        <v>1.1555081734186212</v>
      </c>
      <c r="U71" s="2">
        <f>('вместе-абс'!U71 - 'вместе-абс'!U$2) / 'вместе-абс'!U$2</f>
        <v>5.5176363636363632</v>
      </c>
      <c r="V71" s="2">
        <f>('вместе-абс'!V71 - 'вместе-абс'!V$2) / 'вместе-абс'!V$2</f>
        <v>0.58060439560439558</v>
      </c>
    </row>
    <row r="72" spans="1:22" x14ac:dyDescent="0.25">
      <c r="A72" s="12">
        <f t="shared" si="1"/>
        <v>1987</v>
      </c>
      <c r="B72" s="2">
        <f>('вместе-абс'!B72 - 'вместе-абс'!B$2) / 'вместе-абс'!B$2</f>
        <v>2.7053641207815273</v>
      </c>
      <c r="C72" s="2">
        <f>('вместе-абс'!C72 - 'вместе-абс'!C$2) / 'вместе-абс'!C$2</f>
        <v>2.2158577606919749</v>
      </c>
      <c r="D72" s="2">
        <f>('вместе-абс'!D72 - 'вместе-абс'!D$2) / 'вместе-абс'!D$2</f>
        <v>4.4836351624436501</v>
      </c>
      <c r="E72" s="2">
        <f>('вместе-абс'!E72 - 'вместе-абс'!E$2) / 'вместе-абс'!E$2</f>
        <v>2.5099341383095504</v>
      </c>
      <c r="F72" s="2">
        <f>('вместе-абс'!F72 - 'вместе-абс'!F$2) / 'вместе-абс'!F$2</f>
        <v>4.3367454068241473</v>
      </c>
      <c r="G72" s="2">
        <f>('вместе-абс'!G72 - 'вместе-абс'!G$2) / 'вместе-абс'!G$2</f>
        <v>6.1601485148514845</v>
      </c>
      <c r="H72" s="2">
        <f>('вместе-абс'!H72 - 'вместе-абс'!H$2) / 'вместе-абс'!H$2</f>
        <v>2.7637654770575382</v>
      </c>
      <c r="I72" s="2">
        <f>('вместе-абс'!I72 - 'вместе-абс'!I$2) / 'вместе-абс'!I$2</f>
        <v>7.0197132616487457</v>
      </c>
      <c r="J72" s="2">
        <f>('вместе-абс'!J72 - 'вместе-абс'!J$2) / 'вместе-абс'!J$2</f>
        <v>5.4978737541528231</v>
      </c>
      <c r="K72" s="2">
        <f>('вместе-абс'!K72 - 'вместе-абс'!K$2) / 'вместе-абс'!K$2</f>
        <v>3.5753818508535486</v>
      </c>
      <c r="L72" s="2">
        <f>('вместе-абс'!L72 - 'вместе-абс'!L$2) / 'вместе-абс'!L$2</f>
        <v>5.7671288743882547</v>
      </c>
      <c r="M72" s="2">
        <f>('вместе-абс'!M72 - 'вместе-абс'!M$2) / 'вместе-абс'!M$2</f>
        <v>2.2338685398896136</v>
      </c>
      <c r="N72" s="2">
        <f>('вместе-абс'!N72 - 'вместе-абс'!N$2) / 'вместе-абс'!N$2</f>
        <v>6.230489731437598</v>
      </c>
      <c r="O72" s="2">
        <f>('вместе-абс'!O72 - 'вместе-абс'!O$2) / 'вместе-абс'!O$2</f>
        <v>4.6221542668009787</v>
      </c>
      <c r="P72" s="2">
        <f>('вместе-абс'!P72 - 'вместе-абс'!P$2) / 'вместе-абс'!P$2</f>
        <v>5.3642622950819669</v>
      </c>
      <c r="Q72" s="2">
        <f>('вместе-абс'!Q72 - 'вместе-абс'!Q$2) / 'вместе-абс'!Q$2</f>
        <v>4.5738498789346247</v>
      </c>
      <c r="R72" s="2">
        <f>('вместе-абс'!R72 - 'вместе-абс'!R$2) / 'вместе-абс'!R$2</f>
        <v>4.4792035398230086</v>
      </c>
      <c r="S72" s="2">
        <f>('вместе-абс'!S72 - 'вместе-абс'!S$2) / 'вместе-абс'!S$2</f>
        <v>3.4861159546643417</v>
      </c>
      <c r="T72" s="2">
        <f>('вместе-абс'!T72 - 'вместе-абс'!T$2) / 'вместе-абс'!T$2</f>
        <v>1.1676616915422886</v>
      </c>
      <c r="U72" s="2">
        <f>('вместе-абс'!U72 - 'вместе-абс'!U$2) / 'вместе-абс'!U$2</f>
        <v>5.6890909090909094</v>
      </c>
      <c r="V72" s="2">
        <f>('вместе-абс'!V72 - 'вместе-абс'!V$2) / 'вместе-абс'!V$2</f>
        <v>0.59467032967032962</v>
      </c>
    </row>
    <row r="73" spans="1:22" x14ac:dyDescent="0.25">
      <c r="A73" s="12">
        <f t="shared" si="1"/>
        <v>1988</v>
      </c>
      <c r="B73" s="2">
        <f>('вместе-абс'!B73 - 'вместе-абс'!B$2) / 'вместе-абс'!B$2</f>
        <v>2.7632326820603907</v>
      </c>
      <c r="C73" s="2">
        <f>('вместе-абс'!C73 - 'вместе-абс'!C$2) / 'вместе-абс'!C$2</f>
        <v>2.2847188851513693</v>
      </c>
      <c r="D73" s="2">
        <f>('вместе-абс'!D73 - 'вместе-абс'!D$2) / 'вместе-абс'!D$2</f>
        <v>4.5893984144256175</v>
      </c>
      <c r="E73" s="2">
        <f>('вместе-абс'!E73 - 'вместе-абс'!E$2) / 'вместе-абс'!E$2</f>
        <v>2.5673435784851808</v>
      </c>
      <c r="F73" s="2">
        <f>('вместе-абс'!F73 - 'вместе-абс'!F$2) / 'вместе-абс'!F$2</f>
        <v>4.4471566054243219</v>
      </c>
      <c r="G73" s="2">
        <f>('вместе-абс'!G73 - 'вместе-абс'!G$2) / 'вместе-абс'!G$2</f>
        <v>6.346782178217822</v>
      </c>
      <c r="H73" s="2">
        <f>('вместе-абс'!H73 - 'вместе-абс'!H$2) / 'вместе-абс'!H$2</f>
        <v>2.799198834668609</v>
      </c>
      <c r="I73" s="2">
        <f>('вместе-абс'!I73 - 'вместе-абс'!I$2) / 'вместе-абс'!I$2</f>
        <v>7.1908004778972519</v>
      </c>
      <c r="J73" s="2">
        <f>('вместе-абс'!J73 - 'вместе-абс'!J$2) / 'вместе-абс'!J$2</f>
        <v>5.6516943521594678</v>
      </c>
      <c r="K73" s="2">
        <f>('вместе-абс'!K73 - 'вместе-абс'!K$2) / 'вместе-абс'!K$2</f>
        <v>3.6682839173405211</v>
      </c>
      <c r="L73" s="2">
        <f>('вместе-абс'!L73 - 'вместе-абс'!L$2) / 'вместе-абс'!L$2</f>
        <v>5.9592985318107674</v>
      </c>
      <c r="M73" s="2">
        <f>('вместе-абс'!M73 - 'вместе-абс'!M$2) / 'вместе-абс'!M$2</f>
        <v>2.3006021073758154</v>
      </c>
      <c r="N73" s="2">
        <f>('вместе-абс'!N73 - 'вместе-абс'!N$2) / 'вместе-абс'!N$2</f>
        <v>6.437124802527646</v>
      </c>
      <c r="O73" s="2">
        <f>('вместе-абс'!O73 - 'вместе-абс'!O$2) / 'вместе-абс'!O$2</f>
        <v>4.7343142898258739</v>
      </c>
      <c r="P73" s="2">
        <f>('вместе-абс'!P73 - 'вместе-абс'!P$2) / 'вместе-абс'!P$2</f>
        <v>5.5119672131147546</v>
      </c>
      <c r="Q73" s="2">
        <f>('вместе-абс'!Q73 - 'вместе-абс'!Q$2) / 'вместе-абс'!Q$2</f>
        <v>4.6968523002421314</v>
      </c>
      <c r="R73" s="2">
        <f>('вместе-абс'!R73 - 'вместе-абс'!R$2) / 'вместе-абс'!R$2</f>
        <v>4.634955752212389</v>
      </c>
      <c r="S73" s="2">
        <f>('вместе-абс'!S73 - 'вместе-абс'!S$2) / 'вместе-абс'!S$2</f>
        <v>3.5890802092414997</v>
      </c>
      <c r="T73" s="2">
        <f>('вместе-абс'!T73 - 'вместе-абс'!T$2) / 'вместе-абс'!T$2</f>
        <v>1.1805259417199716</v>
      </c>
      <c r="U73" s="2">
        <f>('вместе-абс'!U73 - 'вместе-абс'!U$2) / 'вместе-абс'!U$2</f>
        <v>5.8621818181818179</v>
      </c>
      <c r="V73" s="2">
        <f>('вместе-абс'!V73 - 'вместе-абс'!V$2) / 'вместе-абс'!V$2</f>
        <v>0.60816483516483522</v>
      </c>
    </row>
    <row r="74" spans="1:22" x14ac:dyDescent="0.25">
      <c r="A74" s="12">
        <f t="shared" si="1"/>
        <v>1989</v>
      </c>
      <c r="B74" s="2">
        <f>('вместе-абс'!B74 - 'вместе-абс'!B$2) / 'вместе-абс'!B$2</f>
        <v>2.8213025458851395</v>
      </c>
      <c r="C74" s="2">
        <f>('вместе-абс'!C74 - 'вместе-абс'!C$2) / 'вместе-абс'!C$2</f>
        <v>2.3550216242191255</v>
      </c>
      <c r="D74" s="2">
        <f>('вместе-абс'!D74 - 'вместе-абс'!D$2) / 'вместе-абс'!D$2</f>
        <v>4.6934167573449406</v>
      </c>
      <c r="E74" s="2">
        <f>('вместе-абс'!E74 - 'вместе-абс'!E$2) / 'вместе-абс'!E$2</f>
        <v>2.6265093304061469</v>
      </c>
      <c r="F74" s="2">
        <f>('вместе-абс'!F74 - 'вместе-абс'!F$2) / 'вместе-абс'!F$2</f>
        <v>4.5601574803149605</v>
      </c>
      <c r="G74" s="2">
        <f>('вместе-абс'!G74 - 'вместе-абс'!G$2) / 'вместе-абс'!G$2</f>
        <v>6.5341584158415849</v>
      </c>
      <c r="H74" s="2">
        <f>('вместе-абс'!H74 - 'вместе-абс'!H$2) / 'вместе-абс'!H$2</f>
        <v>2.8358339402767663</v>
      </c>
      <c r="I74" s="2">
        <f>('вместе-абс'!I74 - 'вместе-абс'!I$2) / 'вместе-абс'!I$2</f>
        <v>7.365949820788531</v>
      </c>
      <c r="J74" s="2">
        <f>('вместе-абс'!J74 - 'вместе-абс'!J$2) / 'вместе-абс'!J$2</f>
        <v>5.805249169435216</v>
      </c>
      <c r="K74" s="2">
        <f>('вместе-абс'!K74 - 'вместе-абс'!K$2) / 'вместе-абс'!K$2</f>
        <v>3.7610062893081762</v>
      </c>
      <c r="L74" s="2">
        <f>('вместе-абс'!L74 - 'вместе-абс'!L$2) / 'вместе-абс'!L$2</f>
        <v>6.1578303425774878</v>
      </c>
      <c r="M74" s="2">
        <f>('вместе-абс'!M74 - 'вместе-абс'!M$2) / 'вместе-абс'!M$2</f>
        <v>2.3691419969894629</v>
      </c>
      <c r="N74" s="2">
        <f>('вместе-абс'!N74 - 'вместе-абс'!N$2) / 'вместе-абс'!N$2</f>
        <v>6.648973143759874</v>
      </c>
      <c r="O74" s="2">
        <f>('вместе-абс'!O74 - 'вместе-абс'!O$2) / 'вместе-абс'!O$2</f>
        <v>4.8459634479781259</v>
      </c>
      <c r="P74" s="2">
        <f>('вместе-абс'!P74 - 'вместе-абс'!P$2) / 'вместе-абс'!P$2</f>
        <v>5.666393442622951</v>
      </c>
      <c r="Q74" s="2">
        <f>('вместе-абс'!Q74 - 'вместе-абс'!Q$2) / 'вместе-абс'!Q$2</f>
        <v>4.8203389830508483</v>
      </c>
      <c r="R74" s="2">
        <f>('вместе-абс'!R74 - 'вместе-абс'!R$2) / 'вместе-абс'!R$2</f>
        <v>4.793215339233039</v>
      </c>
      <c r="S74" s="2">
        <f>('вместе-абс'!S74 - 'вместе-абс'!S$2) / 'вместе-абс'!S$2</f>
        <v>3.6932432432432427</v>
      </c>
      <c r="T74" s="2">
        <f>('вместе-абс'!T74 - 'вместе-абс'!T$2) / 'вместе-абс'!T$2</f>
        <v>1.1935323383084577</v>
      </c>
      <c r="U74" s="2">
        <f>('вместе-абс'!U74 - 'вместе-абс'!U$2) / 'вместе-абс'!U$2</f>
        <v>6.0359636363636371</v>
      </c>
      <c r="V74" s="2">
        <f>('вместе-абс'!V74 - 'вместе-абс'!V$2) / 'вместе-абс'!V$2</f>
        <v>0.61562527472527462</v>
      </c>
    </row>
    <row r="75" spans="1:22" x14ac:dyDescent="0.25">
      <c r="A75" s="12">
        <f t="shared" si="1"/>
        <v>1990</v>
      </c>
      <c r="B75" s="2">
        <f>('вместе-абс'!B75 - 'вместе-абс'!B$2) / 'вместе-абс'!B$2</f>
        <v>2.8787329780935464</v>
      </c>
      <c r="C75" s="2">
        <f>('вместе-абс'!C75 - 'вместе-абс'!C$2) / 'вместе-абс'!C$2</f>
        <v>2.4262854396924558</v>
      </c>
      <c r="D75" s="2">
        <f>('вместе-абс'!D75 - 'вместе-абс'!D$2) / 'вместе-абс'!D$2</f>
        <v>4.796020519197886</v>
      </c>
      <c r="E75" s="2">
        <f>('вместе-абс'!E75 - 'вместе-абс'!E$2) / 'вместе-абс'!E$2</f>
        <v>2.68748627881449</v>
      </c>
      <c r="F75" s="2">
        <f>('вместе-абс'!F75 - 'вместе-абс'!F$2) / 'вместе-абс'!F$2</f>
        <v>4.6763079615048113</v>
      </c>
      <c r="G75" s="2">
        <f>('вместе-абс'!G75 - 'вместе-абс'!G$2) / 'вместе-абс'!G$2</f>
        <v>6.7269801980198016</v>
      </c>
      <c r="H75" s="2">
        <f>('вместе-абс'!H75 - 'вместе-абс'!H$2) / 'вместе-абс'!H$2</f>
        <v>2.8717407137654769</v>
      </c>
      <c r="I75" s="2">
        <f>('вместе-абс'!I75 - 'вместе-абс'!I$2) / 'вместе-абс'!I$2</f>
        <v>7.5438470728793305</v>
      </c>
      <c r="J75" s="2">
        <f>('вместе-абс'!J75 - 'вместе-абс'!J$2) / 'вместе-абс'!J$2</f>
        <v>5.9592691029900333</v>
      </c>
      <c r="K75" s="2">
        <f>('вместе-абс'!K75 - 'вместе-абс'!K$2) / 'вместе-абс'!K$2</f>
        <v>3.8514824797843663</v>
      </c>
      <c r="L75" s="2">
        <f>('вместе-абс'!L75 - 'вместе-абс'!L$2) / 'вместе-абс'!L$2</f>
        <v>6.3611745513866227</v>
      </c>
      <c r="M75" s="2">
        <f>('вместе-абс'!M75 - 'вместе-абс'!M$2) / 'вместе-абс'!M$2</f>
        <v>2.4392373306573005</v>
      </c>
      <c r="N75" s="2">
        <f>('вместе-абс'!N75 - 'вместе-абс'!N$2) / 'вместе-абс'!N$2</f>
        <v>6.868088467614534</v>
      </c>
      <c r="O75" s="2">
        <f>('вместе-абс'!O75 - 'вместе-абс'!O$2) / 'вместе-абс'!O$2</f>
        <v>4.959145200748309</v>
      </c>
      <c r="P75" s="2">
        <f>('вместе-абс'!P75 - 'вместе-абс'!P$2) / 'вместе-абс'!P$2</f>
        <v>5.823934426229509</v>
      </c>
      <c r="Q75" s="2">
        <f>('вместе-абс'!Q75 - 'вместе-абс'!Q$2) / 'вместе-абс'!Q$2</f>
        <v>4.9457627118644067</v>
      </c>
      <c r="R75" s="2">
        <f>('вместе-абс'!R75 - 'вместе-абс'!R$2) / 'вместе-абс'!R$2</f>
        <v>4.9523598820058998</v>
      </c>
      <c r="S75" s="2">
        <f>('вместе-абс'!S75 - 'вместе-абс'!S$2) / 'вместе-абс'!S$2</f>
        <v>3.7983435047951177</v>
      </c>
      <c r="T75" s="2">
        <f>('вместе-абс'!T75 - 'вместе-абс'!T$2) / 'вместе-абс'!T$2</f>
        <v>1.2063965884861407</v>
      </c>
      <c r="U75" s="2">
        <f>('вместе-абс'!U75 - 'вместе-абс'!U$2) / 'вместе-абс'!U$2</f>
        <v>6.2098181818181821</v>
      </c>
      <c r="V75" s="2">
        <f>('вместе-абс'!V75 - 'вместе-абс'!V$2) / 'вместе-абс'!V$2</f>
        <v>0.62269340659340666</v>
      </c>
    </row>
    <row r="76" spans="1:22" x14ac:dyDescent="0.25">
      <c r="A76" s="12">
        <f t="shared" si="1"/>
        <v>1991</v>
      </c>
      <c r="B76" s="2">
        <f>('вместе-абс'!B76 - 'вместе-абс'!B$2) / 'вместе-абс'!B$2</f>
        <v>2.9349082297217293</v>
      </c>
      <c r="C76" s="2">
        <f>('вместе-абс'!C76 - 'вместе-абс'!C$2) / 'вместе-абс'!C$2</f>
        <v>2.4984622777510812</v>
      </c>
      <c r="D76" s="2">
        <f>('вместе-абс'!D76 - 'вместе-абс'!D$2) / 'вместе-абс'!D$2</f>
        <v>4.8963275299238296</v>
      </c>
      <c r="E76" s="2">
        <f>('вместе-абс'!E76 - 'вместе-абс'!E$2) / 'вместе-абс'!E$2</f>
        <v>2.7493139407244787</v>
      </c>
      <c r="F76" s="2">
        <f>('вместе-абс'!F76 - 'вместе-абс'!F$2) / 'вместе-абс'!F$2</f>
        <v>4.7914960629921266</v>
      </c>
      <c r="G76" s="2">
        <f>('вместе-абс'!G76 - 'вместе-абс'!G$2) / 'вместе-абс'!G$2</f>
        <v>6.9262376237623755</v>
      </c>
      <c r="H76" s="2">
        <f>('вместе-абс'!H76 - 'вместе-абс'!H$2) / 'вместе-абс'!H$2</f>
        <v>2.9029861616897308</v>
      </c>
      <c r="I76" s="2">
        <f>('вместе-абс'!I76 - 'вместе-абс'!I$2) / 'вместе-абс'!I$2</f>
        <v>7.7215053763440853</v>
      </c>
      <c r="J76" s="2">
        <f>('вместе-абс'!J76 - 'вместе-абс'!J$2) / 'вместе-абс'!J$2</f>
        <v>6.1112292358803986</v>
      </c>
      <c r="K76" s="2">
        <f>('вместе-абс'!K76 - 'вместе-абс'!K$2) / 'вместе-абс'!K$2</f>
        <v>3.9371967654986526</v>
      </c>
      <c r="L76" s="2">
        <f>('вместе-абс'!L76 - 'вместе-абс'!L$2) / 'вместе-абс'!L$2</f>
        <v>6.5632952691680266</v>
      </c>
      <c r="M76" s="2">
        <f>('вместе-абс'!M76 - 'вместе-абс'!M$2) / 'вместе-абс'!M$2</f>
        <v>2.510035122930256</v>
      </c>
      <c r="N76" s="2">
        <f>('вместе-абс'!N76 - 'вместе-абс'!N$2) / 'вместе-абс'!N$2</f>
        <v>7.0944707740916275</v>
      </c>
      <c r="O76" s="2">
        <f>('вместе-абс'!O76 - 'вместе-абс'!O$2) / 'вместе-абс'!O$2</f>
        <v>5.0750179881997415</v>
      </c>
      <c r="P76" s="2">
        <f>('вместе-абс'!P76 - 'вместе-абс'!P$2) / 'вместе-абс'!P$2</f>
        <v>5.9829508196721317</v>
      </c>
      <c r="Q76" s="2">
        <f>('вместе-абс'!Q76 - 'вместе-абс'!Q$2) / 'вместе-абс'!Q$2</f>
        <v>5.0733656174334145</v>
      </c>
      <c r="R76" s="2">
        <f>('вместе-абс'!R76 - 'вместе-абс'!R$2) / 'вместе-абс'!R$2</f>
        <v>5.1126843657817105</v>
      </c>
      <c r="S76" s="2">
        <f>('вместе-абс'!S76 - 'вместе-абс'!S$2) / 'вместе-абс'!S$2</f>
        <v>3.9005666957279859</v>
      </c>
      <c r="T76" s="2">
        <f>('вместе-абс'!T76 - 'вместе-абс'!T$2) / 'вместе-абс'!T$2</f>
        <v>1.2191897654584223</v>
      </c>
      <c r="U76" s="2">
        <f>('вместе-абс'!U76 - 'вместе-абс'!U$2) / 'вместе-абс'!U$2</f>
        <v>6.3836000000000004</v>
      </c>
      <c r="V76" s="2">
        <f>('вместе-абс'!V76 - 'вместе-абс'!V$2) / 'вместе-абс'!V$2</f>
        <v>0.62938131868131886</v>
      </c>
    </row>
    <row r="77" spans="1:22" x14ac:dyDescent="0.25">
      <c r="A77" s="12">
        <f t="shared" si="1"/>
        <v>1992</v>
      </c>
      <c r="B77" s="2">
        <f>('вместе-абс'!B77 - 'вместе-абс'!B$2) / 'вместе-абс'!B$2</f>
        <v>2.9897572528123151</v>
      </c>
      <c r="C77" s="2">
        <f>('вместе-абс'!C77 - 'вместе-абс'!C$2) / 'вместе-абс'!C$2</f>
        <v>2.5705430081691496</v>
      </c>
      <c r="D77" s="2">
        <f>('вместе-абс'!D77 - 'вместе-абс'!D$2) / 'вместе-абс'!D$2</f>
        <v>4.9954570184983682</v>
      </c>
      <c r="E77" s="2">
        <f>('вместе-абс'!E77 - 'вместе-абс'!E$2) / 'вместе-абс'!E$2</f>
        <v>2.8102634467618004</v>
      </c>
      <c r="F77" s="2">
        <f>('вместе-абс'!F77 - 'вместе-абс'!F$2) / 'вместе-абс'!F$2</f>
        <v>4.9073665791776024</v>
      </c>
      <c r="G77" s="2">
        <f>('вместе-абс'!G77 - 'вместе-абс'!G$2) / 'вместе-абс'!G$2</f>
        <v>7.1294554455445551</v>
      </c>
      <c r="H77" s="2">
        <f>('вместе-абс'!H77 - 'вместе-абс'!H$2) / 'вместе-абс'!H$2</f>
        <v>2.9278222869628547</v>
      </c>
      <c r="I77" s="2">
        <f>('вместе-абс'!I77 - 'вместе-абс'!I$2) / 'вместе-абс'!I$2</f>
        <v>7.897849462365591</v>
      </c>
      <c r="J77" s="2">
        <f>('вместе-абс'!J77 - 'вместе-абс'!J$2) / 'вместе-абс'!J$2</f>
        <v>6.262524916943522</v>
      </c>
      <c r="K77" s="2">
        <f>('вместе-абс'!K77 - 'вместе-абс'!K$2) / 'вместе-абс'!K$2</f>
        <v>4.0185085354896675</v>
      </c>
      <c r="L77" s="2">
        <f>('вместе-абс'!L77 - 'вместе-абс'!L$2) / 'вместе-абс'!L$2</f>
        <v>6.766965742251223</v>
      </c>
      <c r="M77" s="2">
        <f>('вместе-абс'!M77 - 'вместе-абс'!M$2) / 'вместе-абс'!M$2</f>
        <v>2.5808329152032115</v>
      </c>
      <c r="N77" s="2">
        <f>('вместе-абс'!N77 - 'вместе-абс'!N$2) / 'вместе-абс'!N$2</f>
        <v>7.327646129541864</v>
      </c>
      <c r="O77" s="2">
        <f>('вместе-абс'!O77 - 'вместе-абс'!O$2) / 'вместе-абс'!O$2</f>
        <v>5.1911641962872359</v>
      </c>
      <c r="P77" s="2">
        <f>('вместе-абс'!P77 - 'вместе-абс'!P$2) / 'вместе-абс'!P$2</f>
        <v>6.1426229508196721</v>
      </c>
      <c r="Q77" s="2">
        <f>('вместе-абс'!Q77 - 'вместе-абс'!Q$2) / 'вместе-абс'!Q$2</f>
        <v>5.2016949152542376</v>
      </c>
      <c r="R77" s="2">
        <f>('вместе-абс'!R77 - 'вместе-абс'!R$2) / 'вместе-абс'!R$2</f>
        <v>5.2737463126843664</v>
      </c>
      <c r="S77" s="2">
        <f>('вместе-абс'!S77 - 'вместе-абс'!S$2) / 'вместе-абс'!S$2</f>
        <v>4.0013731473408889</v>
      </c>
      <c r="T77" s="2">
        <f>('вместе-абс'!T77 - 'вместе-абс'!T$2) / 'вместе-абс'!T$2</f>
        <v>1.2314854299928926</v>
      </c>
      <c r="U77" s="2">
        <f>('вместе-абс'!U77 - 'вместе-абс'!U$2) / 'вместе-абс'!U$2</f>
        <v>6.5566909090909098</v>
      </c>
      <c r="V77" s="2">
        <f>('вместе-абс'!V77 - 'вместе-абс'!V$2) / 'вместе-абс'!V$2</f>
        <v>0.6320296703296705</v>
      </c>
    </row>
    <row r="78" spans="1:22" x14ac:dyDescent="0.25">
      <c r="A78" s="12">
        <f t="shared" si="1"/>
        <v>1993</v>
      </c>
      <c r="B78" s="2">
        <f>('вместе-абс'!B78 - 'вместе-абс'!B$2) / 'вместе-абс'!B$2</f>
        <v>3.0441326228537591</v>
      </c>
      <c r="C78" s="2">
        <f>('вместе-абс'!C78 - 'вместе-абс'!C$2) / 'вместе-абс'!C$2</f>
        <v>2.6420951465641518</v>
      </c>
      <c r="D78" s="2">
        <f>('вместе-абс'!D78 - 'вместе-абс'!D$2) / 'вместе-абс'!D$2</f>
        <v>5.0933701228042905</v>
      </c>
      <c r="E78" s="2">
        <f>('вместе-абс'!E78 - 'вместе-абс'!E$2) / 'вместе-абс'!E$2</f>
        <v>2.8700054884742041</v>
      </c>
      <c r="F78" s="2">
        <f>('вместе-абс'!F78 - 'вместе-абс'!F$2) / 'вместе-абс'!F$2</f>
        <v>5.0265091863517064</v>
      </c>
      <c r="G78" s="2">
        <f>('вместе-абс'!G78 - 'вместе-абс'!G$2) / 'вместе-абс'!G$2</f>
        <v>7.3351485148514852</v>
      </c>
      <c r="H78" s="2">
        <f>('вместе-абс'!H78 - 'вместе-абс'!H$2) / 'вместе-абс'!H$2</f>
        <v>2.9479242534595778</v>
      </c>
      <c r="I78" s="2">
        <f>('вместе-абс'!I78 - 'вместе-абс'!I$2) / 'вместе-абс'!I$2</f>
        <v>8.0735961768219831</v>
      </c>
      <c r="J78" s="2">
        <f>('вместе-абс'!J78 - 'вместе-абс'!J$2) / 'вместе-абс'!J$2</f>
        <v>6.411495016611295</v>
      </c>
      <c r="K78" s="2">
        <f>('вместе-абс'!K78 - 'вместе-абс'!K$2) / 'вместе-абс'!K$2</f>
        <v>4.0853548966756517</v>
      </c>
      <c r="L78" s="2">
        <f>('вместе-абс'!L78 - 'вместе-абс'!L$2) / 'вместе-абс'!L$2</f>
        <v>6.976998368678629</v>
      </c>
      <c r="M78" s="2">
        <f>('вместе-абс'!M78 - 'вместе-абс'!M$2) / 'вместе-абс'!M$2</f>
        <v>2.6518815855494231</v>
      </c>
      <c r="N78" s="2">
        <f>('вместе-абс'!N78 - 'вместе-абс'!N$2) / 'вместе-абс'!N$2</f>
        <v>7.5674565560821483</v>
      </c>
      <c r="O78" s="2">
        <f>('вместе-абс'!O78 - 'вместе-абс'!O$2) / 'вместе-абс'!O$2</f>
        <v>5.3069362498201178</v>
      </c>
      <c r="P78" s="2">
        <f>('вместе-абс'!P78 - 'вместе-абс'!P$2) / 'вместе-абс'!P$2</f>
        <v>6.3011475409836066</v>
      </c>
      <c r="Q78" s="2">
        <f>('вместе-абс'!Q78 - 'вместе-абс'!Q$2) / 'вместе-абс'!Q$2</f>
        <v>5.331961259079903</v>
      </c>
      <c r="R78" s="2">
        <f>('вместе-абс'!R78 - 'вместе-абс'!R$2) / 'вместе-абс'!R$2</f>
        <v>5.4346607669616516</v>
      </c>
      <c r="S78" s="2">
        <f>('вместе-абс'!S78 - 'вместе-абс'!S$2) / 'вместе-абс'!S$2</f>
        <v>4.1032693984306885</v>
      </c>
      <c r="T78" s="2">
        <f>('вместе-абс'!T78 - 'вместе-абс'!T$2) / 'вместе-абс'!T$2</f>
        <v>1.2432835820895525</v>
      </c>
      <c r="U78" s="2">
        <f>('вместе-абс'!U78 - 'вместе-абс'!U$2) / 'вместе-абс'!U$2</f>
        <v>6.7289090909090907</v>
      </c>
      <c r="V78" s="2">
        <f>('вместе-абс'!V78 - 'вместе-абс'!V$2) / 'вместе-абс'!V$2</f>
        <v>0.63254615384615398</v>
      </c>
    </row>
    <row r="79" spans="1:22" x14ac:dyDescent="0.25">
      <c r="A79" s="12">
        <f t="shared" si="1"/>
        <v>1994</v>
      </c>
      <c r="B79" s="2">
        <f>('вместе-абс'!B79 - 'вместе-абс'!B$2) / 'вместе-абс'!B$2</f>
        <v>3.0986974541148609</v>
      </c>
      <c r="C79" s="2">
        <f>('вместе-абс'!C79 - 'вместе-абс'!C$2) / 'вместе-абс'!C$2</f>
        <v>2.7132628543969246</v>
      </c>
      <c r="D79" s="2">
        <f>('вместе-абс'!D79 - 'вместе-абс'!D$2) / 'вместе-абс'!D$2</f>
        <v>5.1893750971552928</v>
      </c>
      <c r="E79" s="2">
        <f>('вместе-абс'!E79 - 'вместе-абс'!E$2) / 'вместе-абс'!E$2</f>
        <v>2.9287321624588363</v>
      </c>
      <c r="F79" s="2">
        <f>('вместе-абс'!F79 - 'вместе-абс'!F$2) / 'вместе-абс'!F$2</f>
        <v>5.1465266841644794</v>
      </c>
      <c r="G79" s="2">
        <f>('вместе-абс'!G79 - 'вместе-абс'!G$2) / 'вместе-абс'!G$2</f>
        <v>7.542326732673267</v>
      </c>
      <c r="H79" s="2">
        <f>('вместе-абс'!H79 - 'вместе-абс'!H$2) / 'вместе-абс'!H$2</f>
        <v>2.9643117261471232</v>
      </c>
      <c r="I79" s="2">
        <f>('вместе-абс'!I79 - 'вместе-абс'!I$2) / 'вместе-абс'!I$2</f>
        <v>8.2493428912783742</v>
      </c>
      <c r="J79" s="2">
        <f>('вместе-абс'!J79 - 'вместе-абс'!J$2) / 'вместе-абс'!J$2</f>
        <v>6.5562790697674425</v>
      </c>
      <c r="K79" s="2">
        <f>('вместе-абс'!K79 - 'вместе-абс'!K$2) / 'вместе-абс'!K$2</f>
        <v>4.1339622641509441</v>
      </c>
      <c r="L79" s="2">
        <f>('вместе-абс'!L79 - 'вместе-абс'!L$2) / 'вместе-абс'!L$2</f>
        <v>7.1922512234910281</v>
      </c>
      <c r="M79" s="2">
        <f>('вместе-абс'!M79 - 'вместе-абс'!M$2) / 'вместе-абс'!M$2</f>
        <v>2.7229302558956348</v>
      </c>
      <c r="N79" s="2">
        <f>('вместе-абс'!N79 - 'вместе-абс'!N$2) / 'вместе-абс'!N$2</f>
        <v>7.8139020537124804</v>
      </c>
      <c r="O79" s="2">
        <f>('вместе-абс'!O79 - 'вместе-абс'!O$2) / 'вместе-абс'!O$2</f>
        <v>5.4224492732767304</v>
      </c>
      <c r="P79" s="2">
        <f>('вместе-абс'!P79 - 'вместе-абс'!P$2) / 'вместе-абс'!P$2</f>
        <v>6.4578688524590167</v>
      </c>
      <c r="Q79" s="2">
        <f>('вместе-абс'!Q79 - 'вместе-абс'!Q$2) / 'вместе-абс'!Q$2</f>
        <v>5.4636803874092008</v>
      </c>
      <c r="R79" s="2">
        <f>('вместе-абс'!R79 - 'вместе-абс'!R$2) / 'вместе-абс'!R$2</f>
        <v>5.5949852507374622</v>
      </c>
      <c r="S79" s="2">
        <f>('вместе-абс'!S79 - 'вместе-абс'!S$2) / 'вместе-абс'!S$2</f>
        <v>4.2052092414995643</v>
      </c>
      <c r="T79" s="2">
        <f>('вместе-абс'!T79 - 'вместе-абс'!T$2) / 'вместе-абс'!T$2</f>
        <v>1.2550106609808103</v>
      </c>
      <c r="U79" s="2">
        <f>('вместе-абс'!U79 - 'вместе-абс'!U$2) / 'вместе-абс'!U$2</f>
        <v>6.9000727272727271</v>
      </c>
      <c r="V79" s="2">
        <f>('вместе-абс'!V79 - 'вместе-абс'!V$2) / 'вместе-абс'!V$2</f>
        <v>0.63028461538461533</v>
      </c>
    </row>
    <row r="80" spans="1:22" x14ac:dyDescent="0.25">
      <c r="A80" s="12">
        <f t="shared" si="1"/>
        <v>1995</v>
      </c>
      <c r="B80" s="2">
        <f>('вместе-абс'!B80 - 'вместе-абс'!B$2) / 'вместе-абс'!B$2</f>
        <v>3.152753108348135</v>
      </c>
      <c r="C80" s="2">
        <f>('вместе-абс'!C80 - 'вместе-абс'!C$2) / 'вместе-абс'!C$2</f>
        <v>2.7840941854877461</v>
      </c>
      <c r="D80" s="2">
        <f>('вместе-абс'!D80 - 'вместе-абс'!D$2) / 'вместе-абс'!D$2</f>
        <v>5.2853684128711338</v>
      </c>
      <c r="E80" s="2">
        <f>('вместе-абс'!E80 - 'вместе-абс'!E$2) / 'вместе-абс'!E$2</f>
        <v>2.9866630076838638</v>
      </c>
      <c r="F80" s="2">
        <f>('вместе-абс'!F80 - 'вместе-абс'!F$2) / 'вместе-абс'!F$2</f>
        <v>5.2650393700787399</v>
      </c>
      <c r="G80" s="2">
        <f>('вместе-абс'!G80 - 'вместе-абс'!G$2) / 'вместе-абс'!G$2</f>
        <v>7.7504950495049503</v>
      </c>
      <c r="H80" s="2">
        <f>('вместе-абс'!H80 - 'вместе-абс'!H$2) / 'вместе-абс'!H$2</f>
        <v>2.9786598689002184</v>
      </c>
      <c r="I80" s="2">
        <f>('вместе-абс'!I80 - 'вместе-абс'!I$2) / 'вместе-абс'!I$2</f>
        <v>8.4242532855436085</v>
      </c>
      <c r="J80" s="2">
        <f>('вместе-абс'!J80 - 'вместе-абс'!J$2) / 'вместе-абс'!J$2</f>
        <v>6.7013289036544847</v>
      </c>
      <c r="K80" s="2">
        <f>('вместе-абс'!K80 - 'вместе-абс'!K$2) / 'вместе-абс'!K$2</f>
        <v>4.1770889487870626</v>
      </c>
      <c r="L80" s="2">
        <f>('вместе-абс'!L80 - 'вместе-абс'!L$2) / 'вместе-абс'!L$2</f>
        <v>7.4119086460032628</v>
      </c>
      <c r="M80" s="2">
        <f>('вместе-абс'!M80 - 'вместе-абс'!M$2) / 'вместе-абс'!M$2</f>
        <v>2.7945308580030104</v>
      </c>
      <c r="N80" s="2">
        <f>('вместе-абс'!N80 - 'вместе-абс'!N$2) / 'вместе-абс'!N$2</f>
        <v>8.0672985781990523</v>
      </c>
      <c r="O80" s="2">
        <f>('вместе-абс'!O80 - 'вместе-абс'!O$2) / 'вместе-абс'!O$2</f>
        <v>5.537811195855519</v>
      </c>
      <c r="P80" s="2">
        <f>('вместе-абс'!P80 - 'вместе-абс'!P$2) / 'вместе-абс'!P$2</f>
        <v>6.6113114754098357</v>
      </c>
      <c r="Q80" s="2">
        <f>('вместе-абс'!Q80 - 'вместе-абс'!Q$2) / 'вместе-абс'!Q$2</f>
        <v>5.597094430992736</v>
      </c>
      <c r="R80" s="2">
        <f>('вместе-абс'!R80 - 'вместе-абс'!R$2) / 'вместе-абс'!R$2</f>
        <v>5.7548672566371684</v>
      </c>
      <c r="S80" s="2">
        <f>('вместе-абс'!S80 - 'вместе-абс'!S$2) / 'вместе-абс'!S$2</f>
        <v>4.3070836965998263</v>
      </c>
      <c r="T80" s="2">
        <f>('вместе-абс'!T80 - 'вместе-абс'!T$2) / 'вместе-абс'!T$2</f>
        <v>1.26680881307747</v>
      </c>
      <c r="U80" s="2">
        <f>('вместе-абс'!U80 - 'вместе-абс'!U$2) / 'вместе-абс'!U$2</f>
        <v>7.070472727272727</v>
      </c>
      <c r="V80" s="2">
        <f>('вместе-абс'!V80 - 'вместе-абс'!V$2) / 'вместе-абс'!V$2</f>
        <v>0.63142747252747244</v>
      </c>
    </row>
    <row r="81" spans="1:22" x14ac:dyDescent="0.25">
      <c r="A81" s="12">
        <f t="shared" si="1"/>
        <v>1996</v>
      </c>
      <c r="B81" s="2">
        <f>('вместе-абс'!B81 - 'вместе-абс'!B$2) / 'вместе-абс'!B$2</f>
        <v>3.2053049141503851</v>
      </c>
      <c r="C81" s="2">
        <f>('вместе-абс'!C81 - 'вместе-абс'!C$2) / 'вместе-абс'!C$2</f>
        <v>2.8547333012974532</v>
      </c>
      <c r="D81" s="2">
        <f>('вместе-абс'!D81 - 'вместе-абс'!D$2) / 'вместе-абс'!D$2</f>
        <v>5.3812568008705117</v>
      </c>
      <c r="E81" s="2">
        <f>('вместе-абс'!E81 - 'вместе-абс'!E$2) / 'вместе-абс'!E$2</f>
        <v>3.0433589462129529</v>
      </c>
      <c r="F81" s="2">
        <f>('вместе-абс'!F81 - 'вместе-абс'!F$2) / 'вместе-абс'!F$2</f>
        <v>5.3801749781277337</v>
      </c>
      <c r="G81" s="2">
        <f>('вместе-абс'!G81 - 'вместе-абс'!G$2) / 'вместе-абс'!G$2</f>
        <v>7.9579207920792081</v>
      </c>
      <c r="H81" s="2">
        <f>('вместе-абс'!H81 - 'вместе-абс'!H$2) / 'вместе-абс'!H$2</f>
        <v>2.9919883466860888</v>
      </c>
      <c r="I81" s="2">
        <f>('вместе-абс'!I81 - 'вместе-абс'!I$2) / 'вместе-абс'!I$2</f>
        <v>8.5972520908004775</v>
      </c>
      <c r="J81" s="2">
        <f>('вместе-абс'!J81 - 'вместе-абс'!J$2) / 'вместе-абс'!J$2</f>
        <v>6.8478405315614621</v>
      </c>
      <c r="K81" s="2">
        <f>('вместе-абс'!K81 - 'вместе-абс'!K$2) / 'вместе-абс'!K$2</f>
        <v>4.215902964959569</v>
      </c>
      <c r="L81" s="2">
        <f>('вместе-абс'!L81 - 'вместе-абс'!L$2) / 'вместе-абс'!L$2</f>
        <v>7.6325448613376832</v>
      </c>
      <c r="M81" s="2">
        <f>('вместе-абс'!M81 - 'вместе-абс'!M$2) / 'вместе-абс'!M$2</f>
        <v>2.8673356748620171</v>
      </c>
      <c r="N81" s="2">
        <f>('вместе-абс'!N81 - 'вместе-абс'!N$2) / 'вместе-абс'!N$2</f>
        <v>8.3270142180094791</v>
      </c>
      <c r="O81" s="2">
        <f>('вместе-абс'!O81 - 'вместе-абс'!O$2) / 'вместе-абс'!O$2</f>
        <v>5.6522305367678802</v>
      </c>
      <c r="P81" s="2">
        <f>('вместе-абс'!P81 - 'вместе-абс'!P$2) / 'вместе-абс'!P$2</f>
        <v>6.7540983606557381</v>
      </c>
      <c r="Q81" s="2">
        <f>('вместе-абс'!Q81 - 'вместе-абс'!Q$2) / 'вместе-абс'!Q$2</f>
        <v>5.7317191283292974</v>
      </c>
      <c r="R81" s="2">
        <f>('вместе-абс'!R81 - 'вместе-абс'!R$2) / 'вместе-абс'!R$2</f>
        <v>5.913716814159292</v>
      </c>
      <c r="S81" s="2">
        <f>('вместе-абс'!S81 - 'вместе-абс'!S$2) / 'вместе-абс'!S$2</f>
        <v>4.4078465562336531</v>
      </c>
      <c r="T81" s="2">
        <f>('вместе-абс'!T81 - 'вместе-абс'!T$2) / 'вместе-абс'!T$2</f>
        <v>1.2788201847903342</v>
      </c>
      <c r="U81" s="2">
        <f>('вместе-абс'!U81 - 'вместе-абс'!U$2) / 'вместе-абс'!U$2</f>
        <v>7.2407636363636358</v>
      </c>
      <c r="V81" s="2">
        <f>('вместе-абс'!V81 - 'вместе-абс'!V$2) / 'вместе-абс'!V$2</f>
        <v>0.62957802197802204</v>
      </c>
    </row>
    <row r="82" spans="1:22" x14ac:dyDescent="0.25">
      <c r="A82" s="12">
        <f t="shared" si="1"/>
        <v>1997</v>
      </c>
      <c r="B82" s="2">
        <f>('вместе-абс'!B82 - 'вместе-абс'!B$2) / 'вместе-абс'!B$2</f>
        <v>3.2566962699822382</v>
      </c>
      <c r="C82" s="2">
        <f>('вместе-абс'!C82 - 'вместе-абс'!C$2) / 'вместе-абс'!C$2</f>
        <v>2.92498798654493</v>
      </c>
      <c r="D82" s="2">
        <f>('вместе-абс'!D82 - 'вместе-абс'!D$2) / 'вместе-абс'!D$2</f>
        <v>5.4768265195087835</v>
      </c>
      <c r="E82" s="2">
        <f>('вместе-абс'!E82 - 'вместе-абс'!E$2) / 'вместе-абс'!E$2</f>
        <v>3.0978046103183314</v>
      </c>
      <c r="F82" s="2">
        <f>('вместе-абс'!F82 - 'вместе-абс'!F$2) / 'вместе-абс'!F$2</f>
        <v>5.495380577427821</v>
      </c>
      <c r="G82" s="2">
        <f>('вместе-абс'!G82 - 'вместе-абс'!G$2) / 'вместе-абс'!G$2</f>
        <v>8.1626237623762368</v>
      </c>
      <c r="H82" s="2">
        <f>('вместе-абс'!H82 - 'вместе-абс'!H$2) / 'вместе-абс'!H$2</f>
        <v>3.0050619082301528</v>
      </c>
      <c r="I82" s="2">
        <f>('вместе-абс'!I82 - 'вместе-абс'!I$2) / 'вместе-абс'!I$2</f>
        <v>8.7659498207885314</v>
      </c>
      <c r="J82" s="2">
        <f>('вместе-абс'!J82 - 'вместе-абс'!J$2) / 'вместе-абс'!J$2</f>
        <v>6.994086378737542</v>
      </c>
      <c r="K82" s="2">
        <f>('вместе-абс'!K82 - 'вместе-абс'!K$2) / 'вместе-абс'!K$2</f>
        <v>4.2512129380053914</v>
      </c>
      <c r="L82" s="2">
        <f>('вместе-абс'!L82 - 'вместе-абс'!L$2) / 'вместе-абс'!L$2</f>
        <v>7.8562805872756929</v>
      </c>
      <c r="M82" s="2">
        <f>('вместе-абс'!M82 - 'вместе-абс'!M$2) / 'вместе-абс'!M$2</f>
        <v>2.940943301555444</v>
      </c>
      <c r="N82" s="2">
        <f>('вместе-абс'!N82 - 'вместе-абс'!N$2) / 'вместе-абс'!N$2</f>
        <v>8.5916271721958921</v>
      </c>
      <c r="O82" s="2">
        <f>('вместе-абс'!O82 - 'вместе-абс'!O$2) / 'вместе-абс'!O$2</f>
        <v>5.7650885019427252</v>
      </c>
      <c r="P82" s="2">
        <f>('вместе-абс'!P82 - 'вместе-абс'!P$2) / 'вместе-абс'!P$2</f>
        <v>6.8845901639344271</v>
      </c>
      <c r="Q82" s="2">
        <f>('вместе-абс'!Q82 - 'вместе-абс'!Q$2) / 'вместе-абс'!Q$2</f>
        <v>5.8685230024213073</v>
      </c>
      <c r="R82" s="2">
        <f>('вместе-абс'!R82 - 'вместе-абс'!R$2) / 'вместе-абс'!R$2</f>
        <v>6.0713864306784657</v>
      </c>
      <c r="S82" s="2">
        <f>('вместе-абс'!S82 - 'вместе-абс'!S$2) / 'вместе-абс'!S$2</f>
        <v>4.5087401918047076</v>
      </c>
      <c r="T82" s="2">
        <f>('вместе-абс'!T82 - 'вместе-абс'!T$2) / 'вместе-абс'!T$2</f>
        <v>1.2909026297085999</v>
      </c>
      <c r="U82" s="2">
        <f>('вместе-абс'!U82 - 'вместе-абс'!U$2) / 'вместе-абс'!U$2</f>
        <v>7.4115272727272732</v>
      </c>
      <c r="V82" s="2">
        <f>('вместе-абс'!V82 - 'вместе-абс'!V$2) / 'вместе-абс'!V$2</f>
        <v>0.62668791208791219</v>
      </c>
    </row>
    <row r="83" spans="1:22" x14ac:dyDescent="0.25">
      <c r="A83" s="12">
        <f t="shared" si="1"/>
        <v>1998</v>
      </c>
      <c r="B83" s="2">
        <f>('вместе-абс'!B83 - 'вместе-абс'!B$2) / 'вместе-абс'!B$2</f>
        <v>3.3070337477797516</v>
      </c>
      <c r="C83" s="2">
        <f>('вместе-абс'!C83 - 'вместе-абс'!C$2) / 'вместе-абс'!C$2</f>
        <v>2.9949062950504564</v>
      </c>
      <c r="D83" s="2">
        <f>('вместе-абс'!D83 - 'вместе-абс'!D$2) / 'вместе-абс'!D$2</f>
        <v>5.5739040882947304</v>
      </c>
      <c r="E83" s="2">
        <f>('вместе-абс'!E83 - 'вместе-абс'!E$2) / 'вместе-абс'!E$2</f>
        <v>3.1514270032930845</v>
      </c>
      <c r="F83" s="2">
        <f>('вместе-абс'!F83 - 'вместе-абс'!F$2) / 'вместе-абс'!F$2</f>
        <v>5.612808398950131</v>
      </c>
      <c r="G83" s="2">
        <f>('вместе-абс'!G83 - 'вместе-абс'!G$2) / 'вместе-абс'!G$2</f>
        <v>8.3633663366336641</v>
      </c>
      <c r="H83" s="2">
        <f>('вместе-абс'!H83 - 'вместе-абс'!H$2) / 'вместе-абс'!H$2</f>
        <v>3.0184632192279683</v>
      </c>
      <c r="I83" s="2">
        <f>('вместе-абс'!I83 - 'вместе-абс'!I$2) / 'вместе-абс'!I$2</f>
        <v>8.9287933094384702</v>
      </c>
      <c r="J83" s="2">
        <f>('вместе-абс'!J83 - 'вместе-абс'!J$2) / 'вместе-абс'!J$2</f>
        <v>7.1403322259136219</v>
      </c>
      <c r="K83" s="2">
        <f>('вместе-абс'!K83 - 'вместе-абс'!K$2) / 'вместе-абс'!K$2</f>
        <v>4.2837376460017973</v>
      </c>
      <c r="L83" s="2">
        <f>('вместе-абс'!L83 - 'вместе-абс'!L$2) / 'вместе-абс'!L$2</f>
        <v>8.085725938009789</v>
      </c>
      <c r="M83" s="2">
        <f>('вместе-абс'!M83 - 'вместе-абс'!M$2) / 'вместе-абс'!M$2</f>
        <v>3.0151028600100354</v>
      </c>
      <c r="N83" s="2">
        <f>('вместе-абс'!N83 - 'вместе-абс'!N$2) / 'вместе-абс'!N$2</f>
        <v>8.8489731437598724</v>
      </c>
      <c r="O83" s="2">
        <f>('вместе-абс'!O83 - 'вместе-абс'!O$2) / 'вместе-абс'!O$2</f>
        <v>5.876903151532594</v>
      </c>
      <c r="P83" s="2">
        <f>('вместе-абс'!P83 - 'вместе-абс'!P$2) / 'вместе-абс'!P$2</f>
        <v>7.0060655737704911</v>
      </c>
      <c r="Q83" s="2">
        <f>('вместе-абс'!Q83 - 'вместе-абс'!Q$2) / 'вместе-абс'!Q$2</f>
        <v>6.0070217917675546</v>
      </c>
      <c r="R83" s="2">
        <f>('вместе-абс'!R83 - 'вместе-абс'!R$2) / 'вместе-абс'!R$2</f>
        <v>6.227138643067847</v>
      </c>
      <c r="S83" s="2">
        <f>('вместе-абс'!S83 - 'вместе-абс'!S$2) / 'вместе-абс'!S$2</f>
        <v>4.6098735832606801</v>
      </c>
      <c r="T83" s="2">
        <f>('вместе-абс'!T83 - 'вместе-абс'!T$2) / 'вместе-абс'!T$2</f>
        <v>1.3022743425728502</v>
      </c>
      <c r="U83" s="2">
        <f>('вместе-абс'!U83 - 'вместе-абс'!U$2) / 'вместе-абс'!U$2</f>
        <v>7.5822909090909087</v>
      </c>
      <c r="V83" s="2">
        <f>('вместе-абс'!V83 - 'вместе-абс'!V$2) / 'вместе-абс'!V$2</f>
        <v>0.62419890109890119</v>
      </c>
    </row>
    <row r="84" spans="1:22" x14ac:dyDescent="0.25">
      <c r="A84" s="12">
        <f t="shared" si="1"/>
        <v>1999</v>
      </c>
      <c r="B84" s="2">
        <f>('вместе-абс'!B84 - 'вместе-абс'!B$2) / 'вместе-абс'!B$2</f>
        <v>3.3569804618117227</v>
      </c>
      <c r="C84" s="2">
        <f>('вместе-абс'!C84 - 'вместе-абс'!C$2) / 'вместе-абс'!C$2</f>
        <v>3.0652570879384906</v>
      </c>
      <c r="D84" s="2">
        <f>('вместе-абс'!D84 - 'вместе-абс'!D$2) / 'вместе-абс'!D$2</f>
        <v>5.6703520907819058</v>
      </c>
      <c r="E84" s="2">
        <f>('вместе-абс'!E84 - 'вместе-абс'!E$2) / 'вместе-абс'!E$2</f>
        <v>3.2039791437980241</v>
      </c>
      <c r="F84" s="2">
        <f>('вместе-абс'!F84 - 'вместе-абс'!F$2) / 'вместе-абс'!F$2</f>
        <v>5.728766404199475</v>
      </c>
      <c r="G84" s="2">
        <f>('вместе-абс'!G84 - 'вместе-абс'!G$2) / 'вместе-абс'!G$2</f>
        <v>8.5596534653465337</v>
      </c>
      <c r="H84" s="2">
        <f>('вместе-абс'!H84 - 'вместе-абс'!H$2) / 'вместе-абс'!H$2</f>
        <v>3.0321194464675894</v>
      </c>
      <c r="I84" s="2">
        <f>('вместе-абс'!I84 - 'вместе-абс'!I$2) / 'вместе-абс'!I$2</f>
        <v>9.0910394265232988</v>
      </c>
      <c r="J84" s="2">
        <f>('вместе-абс'!J84 - 'вместе-абс'!J$2) / 'вместе-абс'!J$2</f>
        <v>7.2862458471760796</v>
      </c>
      <c r="K84" s="2">
        <f>('вместе-абс'!K84 - 'вместе-абс'!K$2) / 'вместе-абс'!K$2</f>
        <v>4.3134770889487868</v>
      </c>
      <c r="L84" s="2">
        <f>('вместе-абс'!L84 - 'вместе-абс'!L$2) / 'вместе-абс'!L$2</f>
        <v>8.3172920065252853</v>
      </c>
      <c r="M84" s="2">
        <f>('вместе-абс'!M84 - 'вместе-абс'!M$2) / 'вместе-абс'!M$2</f>
        <v>3.0899648770697441</v>
      </c>
      <c r="N84" s="2">
        <f>('вместе-абс'!N84 - 'вместе-абс'!N$2) / 'вместе-абс'!N$2</f>
        <v>9.1113744075829377</v>
      </c>
      <c r="O84" s="2">
        <f>('вместе-абс'!O84 - 'вместе-абс'!O$2) / 'вместе-абс'!O$2</f>
        <v>5.9877464383364511</v>
      </c>
      <c r="P84" s="2">
        <f>('вместе-абс'!P84 - 'вместе-абс'!P$2) / 'вместе-абс'!P$2</f>
        <v>7.1213114754098363</v>
      </c>
      <c r="Q84" s="2">
        <f>('вместе-абс'!Q84 - 'вместе-абс'!Q$2) / 'вместе-абс'!Q$2</f>
        <v>6.1472154963680392</v>
      </c>
      <c r="R84" s="2">
        <f>('вместе-абс'!R84 - 'вместе-абс'!R$2) / 'вместе-абс'!R$2</f>
        <v>6.3792035398230098</v>
      </c>
      <c r="S84" s="2">
        <f>('вместе-абс'!S84 - 'вместе-абс'!S$2) / 'вместе-абс'!S$2</f>
        <v>4.7076068003487359</v>
      </c>
      <c r="T84" s="2">
        <f>('вместе-абс'!T84 - 'вместе-абс'!T$2) / 'вместе-абс'!T$2</f>
        <v>1.3127221037668799</v>
      </c>
      <c r="U84" s="2">
        <f>('вместе-абс'!U84 - 'вместе-абс'!U$2) / 'вместе-абс'!U$2</f>
        <v>7.7514909090909088</v>
      </c>
      <c r="V84" s="2">
        <f>('вместе-абс'!V84 - 'вместе-абс'!V$2) / 'вместе-абс'!V$2</f>
        <v>0.62131208791208781</v>
      </c>
    </row>
    <row r="85" spans="1:22" x14ac:dyDescent="0.25">
      <c r="A85" s="12">
        <f t="shared" si="1"/>
        <v>2000</v>
      </c>
      <c r="B85" s="2">
        <f>('вместе-абс'!B85 - 'вместе-абс'!B$2) / 'вместе-абс'!B$2</f>
        <v>3.406631142687981</v>
      </c>
      <c r="C85" s="2">
        <f>('вместе-абс'!C85 - 'вместе-абс'!C$2) / 'вместе-абс'!C$2</f>
        <v>3.1356559346468043</v>
      </c>
      <c r="D85" s="2">
        <f>('вместе-абс'!D85 - 'вместе-абс'!D$2) / 'вместе-абс'!D$2</f>
        <v>5.7627195709622256</v>
      </c>
      <c r="E85" s="2">
        <f>('вместе-абс'!E85 - 'вместе-абс'!E$2) / 'вместе-абс'!E$2</f>
        <v>3.2545554335894624</v>
      </c>
      <c r="F85" s="2">
        <f>('вместе-абс'!F85 - 'вместе-абс'!F$2) / 'вместе-абс'!F$2</f>
        <v>5.8398775153105866</v>
      </c>
      <c r="G85" s="2">
        <f>('вместе-абс'!G85 - 'вместе-абс'!G$2) / 'вместе-абс'!G$2</f>
        <v>8.7467821782178206</v>
      </c>
      <c r="H85" s="2">
        <f>('вместе-абс'!H85 - 'вместе-абс'!H$2) / 'вместе-абс'!H$2</f>
        <v>3.0455571740713765</v>
      </c>
      <c r="I85" s="2">
        <f>('вместе-абс'!I85 - 'вместе-абс'!I$2) / 'вместе-абс'!I$2</f>
        <v>9.2559139784946254</v>
      </c>
      <c r="J85" s="2">
        <f>('вместе-абс'!J85 - 'вместе-абс'!J$2) / 'вместе-абс'!J$2</f>
        <v>7.4313621262458476</v>
      </c>
      <c r="K85" s="2">
        <f>('вместе-абс'!K85 - 'вместе-абс'!K$2) / 'вместе-абс'!K$2</f>
        <v>4.3399820305480681</v>
      </c>
      <c r="L85" s="2">
        <f>('вместе-абс'!L85 - 'вместе-абс'!L$2) / 'вместе-абс'!L$2</f>
        <v>8.5412724306688421</v>
      </c>
      <c r="M85" s="2">
        <f>('вместе-абс'!M85 - 'вместе-абс'!M$2) / 'вместе-абс'!M$2</f>
        <v>3.1661816357250379</v>
      </c>
      <c r="N85" s="2">
        <f>('вместе-абс'!N85 - 'вместе-абс'!N$2) / 'вместе-абс'!N$2</f>
        <v>9.3914691943127959</v>
      </c>
      <c r="O85" s="2">
        <f>('вместе-абс'!O85 - 'вместе-абс'!O$2) / 'вместе-абс'!O$2</f>
        <v>6.0963879694920138</v>
      </c>
      <c r="P85" s="2">
        <f>('вместе-абс'!P85 - 'вместе-абс'!P$2) / 'вместе-абс'!P$2</f>
        <v>7.2337704918032797</v>
      </c>
      <c r="Q85" s="2">
        <f>('вместе-абс'!Q85 - 'вместе-абс'!Q$2) / 'вместе-абс'!Q$2</f>
        <v>6.2891041162227603</v>
      </c>
      <c r="R85" s="2">
        <f>('вместе-абс'!R85 - 'вместе-абс'!R$2) / 'вместе-абс'!R$2</f>
        <v>6.5234513274336274</v>
      </c>
      <c r="S85" s="2">
        <f>('вместе-абс'!S85 - 'вместе-абс'!S$2) / 'вместе-абс'!S$2</f>
        <v>4.7973626852659113</v>
      </c>
      <c r="T85" s="2">
        <f>('вместе-абс'!T85 - 'вместе-абс'!T$2) / 'вместе-абс'!T$2</f>
        <v>1.3213930348258704</v>
      </c>
      <c r="U85" s="2">
        <f>('вместе-абс'!U85 - 'вместе-абс'!U$2) / 'вместе-абс'!U$2</f>
        <v>7.9188000000000001</v>
      </c>
      <c r="V85" s="2">
        <f>('вместе-абс'!V85 - 'вместе-абс'!V$2) / 'вместе-абс'!V$2</f>
        <v>0.61417692307692318</v>
      </c>
    </row>
    <row r="86" spans="1:22" x14ac:dyDescent="0.25">
      <c r="A86" s="12">
        <f>A85+1</f>
        <v>2001</v>
      </c>
      <c r="B86" s="2">
        <f>('вместе-абс'!B86 - 'вместе-абс'!B$2) / 'вместе-абс'!B$2</f>
        <v>3.4552753108348138</v>
      </c>
      <c r="C86" s="2">
        <f>('вместе-абс'!C86 - 'вместе-абс'!C$2) / 'вместе-абс'!C$2</f>
        <v>3.2060067275348394</v>
      </c>
      <c r="D86" s="2">
        <f>('вместе-абс'!D86 - 'вместе-абс'!D$2) / 'вместе-абс'!D$2</f>
        <v>5.8514378983367017</v>
      </c>
      <c r="E86" s="2">
        <f>('вместе-абс'!E86 - 'вместе-абс'!E$2) / 'вместе-абс'!E$2</f>
        <v>3.3040065861690446</v>
      </c>
      <c r="F86" s="2">
        <f>('вместе-абс'!F86 - 'вместе-абс'!F$2) / 'вместе-абс'!F$2</f>
        <v>5.9482589676290472</v>
      </c>
      <c r="G86" s="2">
        <f>('вместе-абс'!G86 - 'вместе-абс'!G$2) / 'вместе-абс'!G$2</f>
        <v>8.9230198019801978</v>
      </c>
      <c r="H86" s="2">
        <f>('вместе-абс'!H86 - 'вместе-абс'!H$2) / 'вместе-абс'!H$2</f>
        <v>3.0583029861616899</v>
      </c>
      <c r="I86" s="2">
        <f>('вместе-абс'!I86 - 'вместе-абс'!I$2) / 'вместе-абс'!I$2</f>
        <v>9.4185185185185176</v>
      </c>
      <c r="J86" s="2">
        <f>('вместе-абс'!J86 - 'вместе-абс'!J$2) / 'вместе-абс'!J$2</f>
        <v>7.5785382059800668</v>
      </c>
      <c r="K86" s="2">
        <f>('вместе-абс'!K86 - 'вместе-абс'!K$2) / 'вместе-абс'!K$2</f>
        <v>4.3621743036837382</v>
      </c>
      <c r="L86" s="2">
        <f>('вместе-абс'!L86 - 'вместе-абс'!L$2) / 'вместе-абс'!L$2</f>
        <v>8.7629690048939644</v>
      </c>
      <c r="M86" s="2">
        <f>('вместе-абс'!M86 - 'вместе-абс'!M$2) / 'вместе-абс'!M$2</f>
        <v>3.2427997992975413</v>
      </c>
      <c r="N86" s="2">
        <f>('вместе-абс'!N86 - 'вместе-абс'!N$2) / 'вместе-абс'!N$2</f>
        <v>9.6761453396524484</v>
      </c>
      <c r="O86" s="2">
        <f>('вместе-абс'!O86 - 'вместе-абс'!O$2) / 'вместе-абс'!O$2</f>
        <v>6.2024104187652904</v>
      </c>
      <c r="P86" s="2">
        <f>('вместе-абс'!P86 - 'вместе-абс'!P$2) / 'вместе-абс'!P$2</f>
        <v>7.3406557377049184</v>
      </c>
      <c r="Q86" s="2">
        <f>('вместе-абс'!Q86 - 'вместе-абс'!Q$2) / 'вместе-абс'!Q$2</f>
        <v>6.4322033898305087</v>
      </c>
      <c r="R86" s="2">
        <f>('вместе-абс'!R86 - 'вместе-абс'!R$2) / 'вместе-абс'!R$2</f>
        <v>6.6514749262536874</v>
      </c>
      <c r="S86" s="2">
        <f>('вместе-абс'!S86 - 'вместе-абс'!S$2) / 'вместе-абс'!S$2</f>
        <v>4.8772013949433299</v>
      </c>
      <c r="T86" s="2">
        <f>('вместе-абс'!T86 - 'вместе-абс'!T$2) / 'вместе-абс'!T$2</f>
        <v>1.3271499644633975</v>
      </c>
      <c r="U86" s="2">
        <f>('вместе-абс'!U86 - 'вместе-абс'!U$2) / 'вместе-абс'!U$2</f>
        <v>8.0836000000000006</v>
      </c>
      <c r="V86" s="2">
        <f>('вместе-абс'!V86 - 'вместе-абс'!V$2) / 'вместе-абс'!V$2</f>
        <v>0.60773186813186819</v>
      </c>
    </row>
    <row r="87" spans="1:22" x14ac:dyDescent="0.25">
      <c r="A87" s="12">
        <f t="shared" ref="A87:A107" si="2">A86+1</f>
        <v>2002</v>
      </c>
      <c r="B87" s="2">
        <f>('вместе-абс'!B87 - 'вместе-абс'!B$2) / 'вместе-абс'!B$2</f>
        <v>3.5031734754292483</v>
      </c>
      <c r="C87" s="2">
        <f>('вместе-абс'!C87 - 'вместе-абс'!C$2) / 'вместе-абс'!C$2</f>
        <v>3.2769822200864969</v>
      </c>
      <c r="D87" s="2">
        <f>('вместе-абс'!D87 - 'вместе-абс'!D$2) / 'вместе-абс'!D$2</f>
        <v>5.9370239390642006</v>
      </c>
      <c r="E87" s="2">
        <f>('вместе-абс'!E87 - 'вместе-абс'!E$2) / 'вместе-абс'!E$2</f>
        <v>3.3517837541163558</v>
      </c>
      <c r="F87" s="2">
        <f>('вместе-абс'!F87 - 'вместе-абс'!F$2) / 'вместе-абс'!F$2</f>
        <v>6.0559405074365698</v>
      </c>
      <c r="G87" s="2">
        <f>('вместе-абс'!G87 - 'вместе-абс'!G$2) / 'вместе-абс'!G$2</f>
        <v>9.0883663366336638</v>
      </c>
      <c r="H87" s="2">
        <f>('вместе-абс'!H87 - 'вместе-абс'!H$2) / 'вместе-абс'!H$2</f>
        <v>3.0704297159504734</v>
      </c>
      <c r="I87" s="2">
        <f>('вместе-абс'!I87 - 'вместе-абс'!I$2) / 'вместе-абс'!I$2</f>
        <v>9.5761051373954604</v>
      </c>
      <c r="J87" s="2">
        <f>('вместе-абс'!J87 - 'вместе-абс'!J$2) / 'вместе-абс'!J$2</f>
        <v>7.7299003322259132</v>
      </c>
      <c r="K87" s="2">
        <f>('вместе-абс'!K87 - 'вместе-абс'!K$2) / 'вместе-абс'!K$2</f>
        <v>4.3787960467205753</v>
      </c>
      <c r="L87" s="2">
        <f>('вместе-абс'!L87 - 'вместе-абс'!L$2) / 'вместе-абс'!L$2</f>
        <v>8.9893148450244702</v>
      </c>
      <c r="M87" s="2">
        <f>('вместе-абс'!M87 - 'вместе-абс'!M$2) / 'вместе-абс'!M$2</f>
        <v>3.3189162067235327</v>
      </c>
      <c r="N87" s="2">
        <f>('вместе-абс'!N87 - 'вместе-абс'!N$2) / 'вместе-абс'!N$2</f>
        <v>9.9619273301737756</v>
      </c>
      <c r="O87" s="2">
        <f>('вместе-абс'!O87 - 'вместе-абс'!O$2) / 'вместе-абс'!O$2</f>
        <v>6.3067060008634339</v>
      </c>
      <c r="P87" s="2">
        <f>('вместе-абс'!P87 - 'вместе-абс'!P$2) / 'вместе-абс'!P$2</f>
        <v>7.4424590163934417</v>
      </c>
      <c r="Q87" s="2">
        <f>('вместе-абс'!Q87 - 'вместе-абс'!Q$2) / 'вместе-абс'!Q$2</f>
        <v>6.5769975786924944</v>
      </c>
      <c r="R87" s="2">
        <f>('вместе-абс'!R87 - 'вместе-абс'!R$2) / 'вместе-абс'!R$2</f>
        <v>6.760029498525074</v>
      </c>
      <c r="S87" s="2">
        <f>('вместе-абс'!S87 - 'вместе-абс'!S$2) / 'вместе-абс'!S$2</f>
        <v>4.9477332170880564</v>
      </c>
      <c r="T87" s="2">
        <f>('вместе-абс'!T87 - 'вместе-абс'!T$2) / 'вместе-абс'!T$2</f>
        <v>1.3304193319118693</v>
      </c>
      <c r="U87" s="2">
        <f>('вместе-абс'!U87 - 'вместе-абс'!U$2) / 'вместе-абс'!U$2</f>
        <v>8.2493454545454554</v>
      </c>
      <c r="V87" s="2">
        <f>('вместе-абс'!V87 - 'вместе-абс'!V$2) / 'вместе-абс'!V$2</f>
        <v>0.60054175824175815</v>
      </c>
    </row>
    <row r="88" spans="1:22" x14ac:dyDescent="0.25">
      <c r="A88" s="12">
        <f t="shared" si="2"/>
        <v>2003</v>
      </c>
      <c r="B88" s="2">
        <f>('вместе-абс'!B88 - 'вместе-абс'!B$2) / 'вместе-абс'!B$2</f>
        <v>3.549946714031972</v>
      </c>
      <c r="C88" s="2">
        <f>('вместе-абс'!C88 - 'вместе-абс'!C$2) / 'вместе-абс'!C$2</f>
        <v>3.3492071119654017</v>
      </c>
      <c r="D88" s="2">
        <f>('вместе-абс'!D88 - 'вместе-абс'!D$2) / 'вместе-абс'!D$2</f>
        <v>6.0193805378517027</v>
      </c>
      <c r="E88" s="2">
        <f>('вместе-абс'!E88 - 'вместе-абс'!E$2) / 'вместе-абс'!E$2</f>
        <v>3.3975850713501643</v>
      </c>
      <c r="F88" s="2">
        <f>('вместе-абс'!F88 - 'вместе-абс'!F$2) / 'вместе-абс'!F$2</f>
        <v>6.1631496062992133</v>
      </c>
      <c r="G88" s="2">
        <f>('вместе-абс'!G88 - 'вместе-абс'!G$2) / 'вместе-абс'!G$2</f>
        <v>9.2445544554455452</v>
      </c>
      <c r="H88" s="2">
        <f>('вместе-абс'!H88 - 'вместе-абс'!H$2) / 'вместе-абс'!H$2</f>
        <v>3.0820830298616166</v>
      </c>
      <c r="I88" s="2">
        <f>('вместе-абс'!I88 - 'вместе-абс'!I$2) / 'вместе-абс'!I$2</f>
        <v>9.729510155316607</v>
      </c>
      <c r="J88" s="2">
        <f>('вместе-абс'!J88 - 'вместе-абс'!J$2) / 'вместе-абс'!J$2</f>
        <v>7.8852491694352151</v>
      </c>
      <c r="K88" s="2">
        <f>('вместе-абс'!K88 - 'вместе-абс'!K$2) / 'вместе-абс'!K$2</f>
        <v>4.3895777178796047</v>
      </c>
      <c r="L88" s="2">
        <f>('вместе-абс'!L88 - 'вместе-абс'!L$2) / 'вместе-абс'!L$2</f>
        <v>9.2168026101141916</v>
      </c>
      <c r="M88" s="2">
        <f>('вместе-абс'!M88 - 'вместе-абс'!M$2) / 'вместе-абс'!M$2</f>
        <v>3.3953336678374306</v>
      </c>
      <c r="N88" s="2">
        <f>('вместе-абс'!N88 - 'вместе-абс'!N$2) / 'вместе-абс'!N$2</f>
        <v>10.246761453396525</v>
      </c>
      <c r="O88" s="2">
        <f>('вместе-абс'!O88 - 'вместе-абс'!O$2) / 'вместе-абс'!O$2</f>
        <v>6.4095913081018852</v>
      </c>
      <c r="P88" s="2">
        <f>('вместе-абс'!P88 - 'вместе-абс'!P$2) / 'вместе-абс'!P$2</f>
        <v>7.5426229508196725</v>
      </c>
      <c r="Q88" s="2">
        <f>('вместе-абс'!Q88 - 'вместе-абс'!Q$2) / 'вместе-абс'!Q$2</f>
        <v>6.7234866828087174</v>
      </c>
      <c r="R88" s="2">
        <f>('вместе-абс'!R88 - 'вместе-абс'!R$2) / 'вместе-абс'!R$2</f>
        <v>6.8560471976401178</v>
      </c>
      <c r="S88" s="2">
        <f>('вместе-абс'!S88 - 'вместе-абс'!S$2) / 'вместе-абс'!S$2</f>
        <v>5.011442894507411</v>
      </c>
      <c r="T88" s="2">
        <f>('вместе-абс'!T88 - 'вместе-абс'!T$2) / 'вместе-абс'!T$2</f>
        <v>1.3320540156361051</v>
      </c>
      <c r="U88" s="2">
        <f>('вместе-абс'!U88 - 'вместе-абс'!U$2) / 'вместе-абс'!U$2</f>
        <v>8.4155272727272727</v>
      </c>
      <c r="V88" s="2">
        <f>('вместе-абс'!V88 - 'вместе-абс'!V$2) / 'вместе-абс'!V$2</f>
        <v>0.59300659340659345</v>
      </c>
    </row>
    <row r="89" spans="1:22" x14ac:dyDescent="0.25">
      <c r="A89" s="12">
        <f t="shared" si="2"/>
        <v>2004</v>
      </c>
      <c r="B89" s="2">
        <f>('вместе-абс'!B89 - 'вместе-абс'!B$2) / 'вместе-абс'!B$2</f>
        <v>3.5963173475429251</v>
      </c>
      <c r="C89" s="2">
        <f>('вместе-абс'!C89 - 'вместе-абс'!C$2) / 'вместе-абс'!C$2</f>
        <v>3.4230177799135029</v>
      </c>
      <c r="D89" s="2">
        <f>('вместе-абс'!D89 - 'вместе-абс'!D$2) / 'вместе-абс'!D$2</f>
        <v>6.0991411472096999</v>
      </c>
      <c r="E89" s="2">
        <f>('вместе-абс'!E89 - 'вместе-абс'!E$2) / 'вместе-абс'!E$2</f>
        <v>3.4421789242590557</v>
      </c>
      <c r="F89" s="2">
        <f>('вместе-абс'!F89 - 'вместе-абс'!F$2) / 'вместе-абс'!F$2</f>
        <v>6.2691513560804895</v>
      </c>
      <c r="G89" s="2">
        <f>('вместе-абс'!G89 - 'вместе-абс'!G$2) / 'вместе-абс'!G$2</f>
        <v>9.3962871287128724</v>
      </c>
      <c r="H89" s="2">
        <f>('вместе-абс'!H89 - 'вместе-абс'!H$2) / 'вместе-абс'!H$2</f>
        <v>3.0927895120174798</v>
      </c>
      <c r="I89" s="2">
        <f>('вместе-абс'!I89 - 'вместе-абс'!I$2) / 'вместе-абс'!I$2</f>
        <v>9.878016726403823</v>
      </c>
      <c r="J89" s="2">
        <f>('вместе-абс'!J89 - 'вместе-абс'!J$2) / 'вместе-абс'!J$2</f>
        <v>8.0423255813953496</v>
      </c>
      <c r="K89" s="2">
        <f>('вместе-абс'!K89 - 'вместе-абс'!K$2) / 'вместе-абс'!K$2</f>
        <v>4.3950584007187778</v>
      </c>
      <c r="L89" s="2">
        <f>('вместе-абс'!L89 - 'вместе-абс'!L$2) / 'вместе-абс'!L$2</f>
        <v>9.446492659053833</v>
      </c>
      <c r="M89" s="2">
        <f>('вместе-абс'!M89 - 'вместе-абс'!M$2) / 'вместе-абс'!M$2</f>
        <v>3.4707977922729549</v>
      </c>
      <c r="N89" s="2">
        <f>('вместе-абс'!N89 - 'вместе-абс'!N$2) / 'вместе-абс'!N$2</f>
        <v>10.530805687203792</v>
      </c>
      <c r="O89" s="2">
        <f>('вместе-абс'!O89 - 'вместе-абс'!O$2) / 'вместе-абс'!O$2</f>
        <v>6.5114476903151539</v>
      </c>
      <c r="P89" s="2">
        <f>('вместе-абс'!P89 - 'вместе-абс'!P$2) / 'вместе-абс'!P$2</f>
        <v>7.6440983606557369</v>
      </c>
      <c r="Q89" s="2">
        <f>('вместе-абс'!Q89 - 'вместе-абс'!Q$2) / 'вместе-абс'!Q$2</f>
        <v>6.8721549636803871</v>
      </c>
      <c r="R89" s="2">
        <f>('вместе-абс'!R89 - 'вместе-абс'!R$2) / 'вместе-абс'!R$2</f>
        <v>6.9471976401179942</v>
      </c>
      <c r="S89" s="2">
        <f>('вместе-абс'!S89 - 'вместе-абс'!S$2) / 'вместе-абс'!S$2</f>
        <v>5.0706625980819533</v>
      </c>
      <c r="T89" s="2">
        <f>('вместе-абс'!T89 - 'вместе-абс'!T$2) / 'вместе-абс'!T$2</f>
        <v>1.3334044065387349</v>
      </c>
      <c r="U89" s="2">
        <f>('вместе-абс'!U89 - 'вместе-абс'!U$2) / 'вместе-абс'!U$2</f>
        <v>8.578472727272727</v>
      </c>
      <c r="V89" s="2">
        <f>('вместе-абс'!V89 - 'вместе-абс'!V$2) / 'вместе-абс'!V$2</f>
        <v>0.58608351648351653</v>
      </c>
    </row>
    <row r="90" spans="1:22" x14ac:dyDescent="0.25">
      <c r="A90" s="12">
        <f t="shared" si="2"/>
        <v>2005</v>
      </c>
      <c r="B90" s="2">
        <f>('вместе-абс'!B90 - 'вместе-абс'!B$2) / 'вместе-абс'!B$2</f>
        <v>3.6437892243931325</v>
      </c>
      <c r="C90" s="2">
        <f>('вместе-абс'!C90 - 'вместе-абс'!C$2) / 'вместе-абс'!C$2</f>
        <v>3.4982220086496874</v>
      </c>
      <c r="D90" s="2">
        <f>('вместе-абс'!D90 - 'вместе-абс'!D$2) / 'вместе-абс'!D$2</f>
        <v>6.1773705891496968</v>
      </c>
      <c r="E90" s="2">
        <f>('вместе-абс'!E90 - 'вместе-абс'!E$2) / 'вместе-абс'!E$2</f>
        <v>3.4864983534577387</v>
      </c>
      <c r="F90" s="2">
        <f>('вместе-абс'!F90 - 'вместе-абс'!F$2) / 'вместе-абс'!F$2</f>
        <v>6.3716535433070867</v>
      </c>
      <c r="G90" s="2">
        <f>('вместе-абс'!G90 - 'вместе-абс'!G$2) / 'вместе-абс'!G$2</f>
        <v>9.5475247524752476</v>
      </c>
      <c r="H90" s="2">
        <f>('вместе-абс'!H90 - 'вместе-абс'!H$2) / 'вместе-абс'!H$2</f>
        <v>3.101456664238893</v>
      </c>
      <c r="I90" s="2">
        <f>('вместе-абс'!I90 - 'вместе-абс'!I$2) / 'вместе-абс'!I$2</f>
        <v>10.021505376344086</v>
      </c>
      <c r="J90" s="2">
        <f>('вместе-абс'!J90 - 'вместе-абс'!J$2) / 'вместе-абс'!J$2</f>
        <v>8.2001328903654489</v>
      </c>
      <c r="K90" s="2">
        <f>('вместе-абс'!K90 - 'вместе-абс'!K$2) / 'вместе-абс'!K$2</f>
        <v>4.395867026055706</v>
      </c>
      <c r="L90" s="2">
        <f>('вместе-абс'!L90 - 'вместе-абс'!L$2) / 'вместе-абс'!L$2</f>
        <v>9.6750407830342589</v>
      </c>
      <c r="M90" s="2">
        <f>('вместе-абс'!M90 - 'вместе-абс'!M$2) / 'вместе-абс'!M$2</f>
        <v>3.546562970396387</v>
      </c>
      <c r="N90" s="2">
        <f>('вместе-абс'!N90 - 'вместе-абс'!N$2) / 'вместе-абс'!N$2</f>
        <v>10.814218009478672</v>
      </c>
      <c r="O90" s="2">
        <f>('вместе-абс'!O90 - 'вместе-абс'!O$2) / 'вместе-абс'!O$2</f>
        <v>6.613433587566556</v>
      </c>
      <c r="P90" s="2">
        <f>('вместе-абс'!P90 - 'вместе-абс'!P$2) / 'вместе-абс'!P$2</f>
        <v>7.7575409836065576</v>
      </c>
      <c r="Q90" s="2">
        <f>('вместе-абс'!Q90 - 'вместе-абс'!Q$2) / 'вместе-абс'!Q$2</f>
        <v>7.021791767554479</v>
      </c>
      <c r="R90" s="2">
        <f>('вместе-абс'!R90 - 'вместе-абс'!R$2) / 'вместе-абс'!R$2</f>
        <v>7.0355457227138647</v>
      </c>
      <c r="S90" s="2">
        <f>('вместе-абс'!S90 - 'вместе-абс'!S$2) / 'вместе-абс'!S$2</f>
        <v>5.1249346120313861</v>
      </c>
      <c r="T90" s="2">
        <f>('вместе-абс'!T90 - 'вместе-абс'!T$2) / 'вместе-абс'!T$2</f>
        <v>1.3353233830845772</v>
      </c>
      <c r="U90" s="2">
        <f>('вместе-абс'!U90 - 'вместе-абс'!U$2) / 'вместе-абс'!U$2</f>
        <v>8.7402909090909091</v>
      </c>
      <c r="V90" s="2">
        <f>('вместе-абс'!V90 - 'вместе-абс'!V$2) / 'вместе-абс'!V$2</f>
        <v>0.58023076923076922</v>
      </c>
    </row>
    <row r="91" spans="1:22" x14ac:dyDescent="0.25">
      <c r="A91" s="12">
        <f t="shared" si="2"/>
        <v>2006</v>
      </c>
      <c r="B91" s="2">
        <f>('вместе-абс'!B91 - 'вместе-абс'!B$2) / 'вместе-абс'!B$2</f>
        <v>3.6917821195973946</v>
      </c>
      <c r="C91" s="2">
        <f>('вместе-абс'!C91 - 'вместе-абс'!C$2) / 'вместе-абс'!C$2</f>
        <v>3.5755406054781358</v>
      </c>
      <c r="D91" s="2">
        <f>('вместе-абс'!D91 - 'вместе-абс'!D$2) / 'вместе-абс'!D$2</f>
        <v>6.2537346494637029</v>
      </c>
      <c r="E91" s="2">
        <f>('вместе-абс'!E91 - 'вместе-абс'!E$2) / 'вместе-абс'!E$2</f>
        <v>3.5305159165751925</v>
      </c>
      <c r="F91" s="2">
        <f>('вместе-абс'!F91 - 'вместе-абс'!F$2) / 'вместе-абс'!F$2</f>
        <v>6.4700087489063867</v>
      </c>
      <c r="G91" s="2">
        <f>('вместе-абс'!G91 - 'вместе-абс'!G$2) / 'вместе-абс'!G$2</f>
        <v>9.6962871287128714</v>
      </c>
      <c r="H91" s="2">
        <f>('вместе-абс'!H91 - 'вместе-абс'!H$2) / 'вместе-абс'!H$2</f>
        <v>3.1072833211944646</v>
      </c>
      <c r="I91" s="2">
        <f>('вместе-абс'!I91 - 'вместе-абс'!I$2) / 'вместе-абс'!I$2</f>
        <v>10.160334528076465</v>
      </c>
      <c r="J91" s="2">
        <f>('вместе-абс'!J91 - 'вместе-абс'!J$2) / 'вместе-абс'!J$2</f>
        <v>8.3595348837209311</v>
      </c>
      <c r="K91" s="2">
        <f>('вместе-абс'!K91 - 'вместе-абс'!K$2) / 'вместе-абс'!K$2</f>
        <v>4.3929020664869727</v>
      </c>
      <c r="L91" s="2">
        <f>('вместе-абс'!L91 - 'вместе-абс'!L$2) / 'вместе-абс'!L$2</f>
        <v>9.9033442088091359</v>
      </c>
      <c r="M91" s="2">
        <f>('вместе-абс'!M91 - 'вместе-абс'!M$2) / 'вместе-абс'!M$2</f>
        <v>3.6244856999498247</v>
      </c>
      <c r="N91" s="2">
        <f>('вместе-абс'!N91 - 'вместе-абс'!N$2) / 'вместе-абс'!N$2</f>
        <v>11.096050552922591</v>
      </c>
      <c r="O91" s="2">
        <f>('вместе-абс'!O91 - 'вместе-абс'!O$2) / 'вместе-абс'!O$2</f>
        <v>6.7172039142322637</v>
      </c>
      <c r="P91" s="2">
        <f>('вместе-абс'!P91 - 'вместе-абс'!P$2) / 'вместе-абс'!P$2</f>
        <v>7.8834426229508194</v>
      </c>
      <c r="Q91" s="2">
        <f>('вместе-абс'!Q91 - 'вместе-абс'!Q$2) / 'вместе-абс'!Q$2</f>
        <v>7.1719128329297819</v>
      </c>
      <c r="R91" s="2">
        <f>('вместе-абс'!R91 - 'вместе-абс'!R$2) / 'вместе-абс'!R$2</f>
        <v>7.1196165191740421</v>
      </c>
      <c r="S91" s="2">
        <f>('вместе-абс'!S91 - 'вместе-абс'!S$2) / 'вместе-абс'!S$2</f>
        <v>5.1736050566695724</v>
      </c>
      <c r="T91" s="2">
        <f>('вместе-абс'!T91 - 'вместе-абс'!T$2) / 'вместе-абс'!T$2</f>
        <v>1.3379530916844349</v>
      </c>
      <c r="U91" s="2">
        <f>('вместе-абс'!U91 - 'вместе-абс'!U$2) / 'вместе-абс'!U$2</f>
        <v>8.8998909090909102</v>
      </c>
      <c r="V91" s="2">
        <f>('вместе-абс'!V91 - 'вместе-абс'!V$2) / 'вместе-абс'!V$2</f>
        <v>0.57402857142857144</v>
      </c>
    </row>
    <row r="92" spans="1:22" x14ac:dyDescent="0.25">
      <c r="A92" s="12">
        <f t="shared" si="2"/>
        <v>2007</v>
      </c>
      <c r="B92" s="2">
        <f>('вместе-абс'!B92 - 'вместе-абс'!B$2) / 'вместе-абс'!B$2</f>
        <v>3.738519834221433</v>
      </c>
      <c r="C92" s="2">
        <f>('вместе-абс'!C92 - 'вместе-абс'!C$2) / 'вместе-абс'!C$2</f>
        <v>3.6544930321960596</v>
      </c>
      <c r="D92" s="2">
        <f>('вместе-абс'!D92 - 'вместе-абс'!D$2) / 'вместе-абс'!D$2</f>
        <v>6.327541582465412</v>
      </c>
      <c r="E92" s="2">
        <f>('вместе-абс'!E92 - 'вместе-абс'!E$2) / 'вместе-абс'!E$2</f>
        <v>3.5750823271130621</v>
      </c>
      <c r="F92" s="2">
        <f>('вместе-абс'!F92 - 'вместе-абс'!F$2) / 'вместе-абс'!F$2</f>
        <v>6.5652493438320212</v>
      </c>
      <c r="G92" s="2">
        <f>('вместе-абс'!G92 - 'вместе-абс'!G$2) / 'вместе-абс'!G$2</f>
        <v>9.8420792079207917</v>
      </c>
      <c r="H92" s="2">
        <f>('вместе-абс'!H92 - 'вместе-абс'!H$2) / 'вместе-абс'!H$2</f>
        <v>3.1104515659140564</v>
      </c>
      <c r="I92" s="2">
        <f>('вместе-абс'!I92 - 'вместе-абс'!I$2) / 'вместе-абс'!I$2</f>
        <v>10.297132616487456</v>
      </c>
      <c r="J92" s="2">
        <f>('вместе-абс'!J92 - 'вместе-абс'!J$2) / 'вместе-абс'!J$2</f>
        <v>8.5207973421926901</v>
      </c>
      <c r="K92" s="2">
        <f>('вместе-абс'!K92 - 'вместе-абс'!K$2) / 'вместе-абс'!K$2</f>
        <v>4.3996406109613657</v>
      </c>
      <c r="L92" s="2">
        <f>('вместе-абс'!L92 - 'вместе-абс'!L$2) / 'вместе-абс'!L$2</f>
        <v>10.135399673735726</v>
      </c>
      <c r="M92" s="2">
        <f>('вместе-абс'!M92 - 'вместе-абс'!M$2) / 'вместе-абс'!M$2</f>
        <v>3.703110888108379</v>
      </c>
      <c r="N92" s="2">
        <f>('вместе-абс'!N92 - 'вместе-абс'!N$2) / 'вместе-абс'!N$2</f>
        <v>11.377251184834124</v>
      </c>
      <c r="O92" s="2">
        <f>('вместе-абс'!O92 - 'вместе-абс'!O$2) / 'вместе-абс'!O$2</f>
        <v>6.826622535616635</v>
      </c>
      <c r="P92" s="2">
        <f>('вместе-абс'!P92 - 'вместе-абс'!P$2) / 'вместе-абс'!P$2</f>
        <v>8.0118032786885252</v>
      </c>
      <c r="Q92" s="2">
        <f>('вместе-абс'!Q92 - 'вместе-абс'!Q$2) / 'вместе-абс'!Q$2</f>
        <v>7.3232445520581111</v>
      </c>
      <c r="R92" s="2">
        <f>('вместе-абс'!R92 - 'вместе-абс'!R$2) / 'вместе-абс'!R$2</f>
        <v>7.1997050147492621</v>
      </c>
      <c r="S92" s="2">
        <f>('вместе-абс'!S92 - 'вместе-абс'!S$2) / 'вместе-абс'!S$2</f>
        <v>5.2185483870967744</v>
      </c>
      <c r="T92" s="2">
        <f>('вместе-абс'!T92 - 'вместе-абс'!T$2) / 'вместе-абс'!T$2</f>
        <v>1.342004264392324</v>
      </c>
      <c r="U92" s="2">
        <f>('вместе-абс'!U92 - 'вместе-абс'!U$2) / 'вместе-абс'!U$2</f>
        <v>9.0543272727272726</v>
      </c>
      <c r="V92" s="2">
        <f>('вместе-абс'!V92 - 'вместе-абс'!V$2) / 'вместе-абс'!V$2</f>
        <v>0.5699197802197804</v>
      </c>
    </row>
    <row r="93" spans="1:22" x14ac:dyDescent="0.25">
      <c r="A93" s="12">
        <f t="shared" si="2"/>
        <v>2008</v>
      </c>
      <c r="B93" s="2">
        <f>('вместе-абс'!B93 - 'вместе-абс'!B$2) / 'вместе-абс'!B$2</f>
        <v>3.7867495559502662</v>
      </c>
      <c r="C93" s="2">
        <f>('вместе-абс'!C93 - 'вместе-абс'!C$2) / 'вместе-абс'!C$2</f>
        <v>3.7337337818356557</v>
      </c>
      <c r="D93" s="2">
        <f>('вместе-абс'!D93 - 'вместе-абс'!D$2) / 'вместе-абс'!D$2</f>
        <v>6.398076325198196</v>
      </c>
      <c r="E93" s="2">
        <f>('вместе-абс'!E93 - 'вместе-абс'!E$2) / 'вместе-абс'!E$2</f>
        <v>3.6210208562019757</v>
      </c>
      <c r="F93" s="2">
        <f>('вместе-абс'!F93 - 'вместе-абс'!F$2) / 'вместе-абс'!F$2</f>
        <v>6.6568328958880141</v>
      </c>
      <c r="G93" s="2">
        <f>('вместе-абс'!G93 - 'вместе-абс'!G$2) / 'вместе-абс'!G$2</f>
        <v>9.990346534653467</v>
      </c>
      <c r="H93" s="2">
        <f>('вместе-абс'!H93 - 'вместе-абс'!H$2) / 'вместе-абс'!H$2</f>
        <v>3.112090313182811</v>
      </c>
      <c r="I93" s="2">
        <f>('вместе-абс'!I93 - 'вместе-абс'!I$2) / 'вместе-абс'!I$2</f>
        <v>10.437395459976106</v>
      </c>
      <c r="J93" s="2">
        <f>('вместе-абс'!J93 - 'вместе-абс'!J$2) / 'вместе-абс'!J$2</f>
        <v>8.6845182724252492</v>
      </c>
      <c r="K93" s="2">
        <f>('вместе-абс'!K93 - 'вместе-абс'!K$2) / 'вместе-абс'!K$2</f>
        <v>4.417160826594789</v>
      </c>
      <c r="L93" s="2">
        <f>('вместе-абс'!L93 - 'вместе-абс'!L$2) / 'вместе-абс'!L$2</f>
        <v>10.366394779771616</v>
      </c>
      <c r="M93" s="2">
        <f>('вместе-абс'!M93 - 'вместе-абс'!M$2) / 'вместе-абс'!M$2</f>
        <v>3.7821374811841442</v>
      </c>
      <c r="N93" s="2">
        <f>('вместе-абс'!N93 - 'вместе-абс'!N$2) / 'вместе-абс'!N$2</f>
        <v>11.658135860979463</v>
      </c>
      <c r="O93" s="2">
        <f>('вместе-абс'!O93 - 'вместе-абс'!O$2) / 'вместе-абс'!O$2</f>
        <v>6.941739818678947</v>
      </c>
      <c r="P93" s="2">
        <f>('вместе-абс'!P93 - 'вместе-абс'!P$2) / 'вместе-абс'!P$2</f>
        <v>8.1419672131147554</v>
      </c>
      <c r="Q93" s="2">
        <f>('вместе-абс'!Q93 - 'вместе-абс'!Q$2) / 'вместе-абс'!Q$2</f>
        <v>7.4760290556900726</v>
      </c>
      <c r="R93" s="2">
        <f>('вместе-абс'!R93 - 'вместе-абс'!R$2) / 'вместе-абс'!R$2</f>
        <v>7.2796460176991156</v>
      </c>
      <c r="S93" s="2">
        <f>('вместе-абс'!S93 - 'вместе-абс'!S$2) / 'вместе-абс'!S$2</f>
        <v>5.2595902353966872</v>
      </c>
      <c r="T93" s="2">
        <f>('вместе-абс'!T93 - 'вместе-абс'!T$2) / 'вместе-абс'!T$2</f>
        <v>1.3469793887704333</v>
      </c>
      <c r="U93" s="2">
        <f>('вместе-абс'!U93 - 'вместе-абс'!U$2) / 'вместе-абс'!U$2</f>
        <v>9.2013454545454554</v>
      </c>
      <c r="V93" s="2">
        <f>('вместе-абс'!V93 - 'вместе-абс'!V$2) / 'вместе-абс'!V$2</f>
        <v>0.56865384615384618</v>
      </c>
    </row>
    <row r="94" spans="1:22" x14ac:dyDescent="0.25">
      <c r="A94" s="12">
        <f t="shared" si="2"/>
        <v>2009</v>
      </c>
      <c r="B94" s="2">
        <f>('вместе-абс'!B94 - 'вместе-абс'!B$2) / 'вместе-абс'!B$2</f>
        <v>3.8377501480165783</v>
      </c>
      <c r="C94" s="2">
        <f>('вместе-абс'!C94 - 'вместе-абс'!C$2) / 'вместе-абс'!C$2</f>
        <v>3.8132148005766453</v>
      </c>
      <c r="D94" s="2">
        <f>('вместе-абс'!D94 - 'вместе-абс'!D$2) / 'вместе-абс'!D$2</f>
        <v>6.4646354733405875</v>
      </c>
      <c r="E94" s="2">
        <f>('вместе-абс'!E94 - 'вместе-абс'!E$2) / 'вместе-абс'!E$2</f>
        <v>3.6678649835345776</v>
      </c>
      <c r="F94" s="2">
        <f>('вместе-абс'!F94 - 'вместе-абс'!F$2) / 'вместе-абс'!F$2</f>
        <v>6.7465441819772529</v>
      </c>
      <c r="G94" s="2">
        <f>('вместе-абс'!G94 - 'вместе-абс'!G$2) / 'вместе-абс'!G$2</f>
        <v>10.138118811881188</v>
      </c>
      <c r="H94" s="2">
        <f>('вместе-абс'!H94 - 'вместе-абс'!H$2) / 'вместе-абс'!H$2</f>
        <v>3.1131463947560092</v>
      </c>
      <c r="I94" s="2">
        <f>('вместе-абс'!I94 - 'вместе-абс'!I$2) / 'вместе-абс'!I$2</f>
        <v>10.583393070489844</v>
      </c>
      <c r="J94" s="2">
        <f>('вместе-абс'!J94 - 'вместе-абс'!J$2) / 'вместе-абс'!J$2</f>
        <v>8.8511627906976749</v>
      </c>
      <c r="K94" s="2">
        <f>('вместе-абс'!K94 - 'вместе-абс'!K$2) / 'вместе-абс'!K$2</f>
        <v>4.4342318059299197</v>
      </c>
      <c r="L94" s="2">
        <f>('вместе-абс'!L94 - 'вместе-абс'!L$2) / 'вместе-абс'!L$2</f>
        <v>10.595106035889071</v>
      </c>
      <c r="M94" s="2">
        <f>('вместе-абс'!M94 - 'вместе-абс'!M$2) / 'вместе-абс'!M$2</f>
        <v>3.8618163572503765</v>
      </c>
      <c r="N94" s="2">
        <f>('вместе-абс'!N94 - 'вместе-абс'!N$2) / 'вместе-абс'!N$2</f>
        <v>11.93823064770932</v>
      </c>
      <c r="O94" s="2">
        <f>('вместе-абс'!O94 - 'вместе-абс'!O$2) / 'вместе-абс'!O$2</f>
        <v>7.0586918981148363</v>
      </c>
      <c r="P94" s="2">
        <f>('вместе-абс'!P94 - 'вместе-абс'!P$2) / 'вместе-абс'!P$2</f>
        <v>8.2731147540983621</v>
      </c>
      <c r="Q94" s="2">
        <f>('вместе-абс'!Q94 - 'вместе-абс'!Q$2) / 'вместе-абс'!Q$2</f>
        <v>7.6305084745762715</v>
      </c>
      <c r="R94" s="2">
        <f>('вместе-абс'!R94 - 'вместе-абс'!R$2) / 'вместе-абс'!R$2</f>
        <v>7.3646017699115038</v>
      </c>
      <c r="S94" s="2">
        <f>('вместе-абс'!S94 - 'вместе-абс'!S$2) / 'вместе-абс'!S$2</f>
        <v>5.2983435047951177</v>
      </c>
      <c r="T94" s="2">
        <f>('вместе-абс'!T94 - 'вместе-абс'!T$2) / 'вместе-абс'!T$2</f>
        <v>1.352594171997157</v>
      </c>
      <c r="U94" s="2">
        <f>('вместе-абс'!U94 - 'вместе-абс'!U$2) / 'вместе-абс'!U$2</f>
        <v>9.3412000000000006</v>
      </c>
      <c r="V94" s="2">
        <f>('вместе-абс'!V94 - 'вместе-абс'!V$2) / 'вместе-абс'!V$2</f>
        <v>0.56854065934065945</v>
      </c>
    </row>
    <row r="95" spans="1:22" x14ac:dyDescent="0.25">
      <c r="A95" s="12">
        <f t="shared" si="2"/>
        <v>2010</v>
      </c>
      <c r="B95" s="2">
        <f>('вместе-абс'!B95 - 'вместе-абс'!B$2) / 'вместе-абс'!B$2</f>
        <v>3.889129662522202</v>
      </c>
      <c r="C95" s="2">
        <f>('вместе-абс'!C95 - 'вместе-абс'!C$2) / 'вместе-абс'!C$2</f>
        <v>3.8929841422393077</v>
      </c>
      <c r="D95" s="2">
        <f>('вместе-абс'!D95 - 'вместе-абс'!D$2) / 'вместе-абс'!D$2</f>
        <v>6.5276659412404783</v>
      </c>
      <c r="E95" s="2">
        <f>('вместе-абс'!E95 - 'вместе-абс'!E$2) / 'вместе-абс'!E$2</f>
        <v>3.7150109769484083</v>
      </c>
      <c r="F95" s="2">
        <f>('вместе-абс'!F95 - 'вместе-абс'!F$2) / 'вместе-абс'!F$2</f>
        <v>6.8350481189851271</v>
      </c>
      <c r="G95" s="2">
        <f>('вместе-абс'!G95 - 'вместе-абс'!G$2) / 'вместе-абс'!G$2</f>
        <v>10.277227722772277</v>
      </c>
      <c r="H95" s="2">
        <f>('вместе-абс'!H95 - 'вместе-абс'!H$2) / 'вместе-абс'!H$2</f>
        <v>3.1141296431172614</v>
      </c>
      <c r="I95" s="2">
        <f>('вместе-абс'!I95 - 'вместе-абс'!I$2) / 'вместе-абс'!I$2</f>
        <v>10.732616487455198</v>
      </c>
      <c r="J95" s="2">
        <f>('вместе-абс'!J95 - 'вместе-абс'!J$2) / 'вместе-абс'!J$2</f>
        <v>9.0177408637873757</v>
      </c>
      <c r="K95" s="2">
        <f>('вместе-абс'!K95 - 'вместе-абс'!K$2) / 'вместе-абс'!K$2</f>
        <v>4.4521114106019768</v>
      </c>
      <c r="L95" s="2">
        <f>('вместе-абс'!L95 - 'вместе-абс'!L$2) / 'вместе-абс'!L$2</f>
        <v>10.827161500815661</v>
      </c>
      <c r="M95" s="2">
        <f>('вместе-абс'!M95 - 'вместе-абс'!M$2) / 'вместе-абс'!M$2</f>
        <v>3.9188660311088808</v>
      </c>
      <c r="N95" s="2">
        <f>('вместе-абс'!N95 - 'вместе-абс'!N$2) / 'вместе-абс'!N$2</f>
        <v>12.216271721958925</v>
      </c>
      <c r="O95" s="2">
        <f>('вместе-абс'!O95 - 'вместе-абс'!O$2) / 'вместе-абс'!O$2</f>
        <v>7.1755576341919696</v>
      </c>
      <c r="P95" s="2">
        <f>('вместе-абс'!P95 - 'вместе-абс'!P$2) / 'вместе-абс'!P$2</f>
        <v>8.4057377049180335</v>
      </c>
      <c r="Q95" s="2">
        <f>('вместе-абс'!Q95 - 'вместе-абс'!Q$2) / 'вместе-абс'!Q$2</f>
        <v>7.7857142857142856</v>
      </c>
      <c r="R95" s="2">
        <f>('вместе-абс'!R95 - 'вместе-абс'!R$2) / 'вместе-абс'!R$2</f>
        <v>7.4631268436578173</v>
      </c>
      <c r="S95" s="2">
        <f>('вместе-абс'!S95 - 'вместе-абс'!S$2) / 'вместе-абс'!S$2</f>
        <v>5.3395815170008722</v>
      </c>
      <c r="T95" s="2">
        <f>('вместе-абс'!T95 - 'вместе-абс'!T$2) / 'вместе-абс'!T$2</f>
        <v>1.3586353944562899</v>
      </c>
      <c r="U95" s="2">
        <f>('вместе-абс'!U95 - 'вместе-абс'!U$2) / 'вместе-абс'!U$2</f>
        <v>9.4774909090909087</v>
      </c>
      <c r="V95" s="2">
        <f>('вместе-абс'!V95 - 'вместе-абс'!V$2) / 'вместе-абс'!V$2</f>
        <v>0.5695989010989011</v>
      </c>
    </row>
    <row r="96" spans="1:22" x14ac:dyDescent="0.25">
      <c r="A96" s="12">
        <f t="shared" si="2"/>
        <v>2011</v>
      </c>
      <c r="B96" s="2">
        <f>('вместе-абс'!B96 - 'вместе-абс'!B$2) / 'вместе-абс'!B$2</f>
        <v>3.9414683244523383</v>
      </c>
      <c r="C96" s="2">
        <f>('вместе-абс'!C96 - 'вместе-абс'!C$2) / 'вместе-абс'!C$2</f>
        <v>3.9730418068236424</v>
      </c>
      <c r="D96" s="2">
        <f>('вместе-абс'!D96 - 'вместе-абс'!D$2) / 'вместе-абс'!D$2</f>
        <v>6.5891769003575318</v>
      </c>
      <c r="E96" s="2">
        <f>('вместе-абс'!E96 - 'вместе-абс'!E$2) / 'вместе-абс'!E$2</f>
        <v>3.7617453347969261</v>
      </c>
      <c r="F96" s="2">
        <f>('вместе-абс'!F96 - 'вместе-абс'!F$2) / 'вместе-абс'!F$2</f>
        <v>6.9194400699912508</v>
      </c>
      <c r="G96" s="2">
        <f>('вместе-абс'!G96 - 'вместе-абс'!G$2) / 'вместе-абс'!G$2</f>
        <v>10.410396039603961</v>
      </c>
      <c r="H96" s="2">
        <f>('вместе-абс'!H96 - 'вместе-абс'!H$2) / 'вместе-абс'!H$2</f>
        <v>3.1156591405680993</v>
      </c>
      <c r="I96" s="2">
        <f>('вместе-абс'!I96 - 'вместе-абс'!I$2) / 'вместе-абс'!I$2</f>
        <v>10.882437275985664</v>
      </c>
      <c r="J96" s="2">
        <f>('вместе-абс'!J96 - 'вместе-абс'!J$2) / 'вместе-абс'!J$2</f>
        <v>9.183521594684386</v>
      </c>
      <c r="K96" s="2">
        <f>('вместе-абс'!K96 - 'вместе-абс'!K$2) / 'вместе-абс'!K$2</f>
        <v>4.4717879604672062</v>
      </c>
      <c r="L96" s="2">
        <f>('вместе-абс'!L96 - 'вместе-абс'!L$2) / 'вместе-абс'!L$2</f>
        <v>11.065334420880914</v>
      </c>
      <c r="M96" s="2">
        <f>('вместе-абс'!M96 - 'вместе-абс'!M$2) / 'вместе-абс'!M$2</f>
        <v>3.9748620170597087</v>
      </c>
      <c r="N96" s="2">
        <f>('вместе-абс'!N96 - 'вместе-абс'!N$2) / 'вместе-абс'!N$2</f>
        <v>12.492259083728278</v>
      </c>
      <c r="O96" s="2">
        <f>('вместе-абс'!O96 - 'вместе-абс'!O$2) / 'вместе-абс'!O$2</f>
        <v>7.2920923873938692</v>
      </c>
      <c r="P96" s="2">
        <f>('вместе-абс'!P96 - 'вместе-абс'!P$2) / 'вместе-абс'!P$2</f>
        <v>8.5395081967213127</v>
      </c>
      <c r="Q96" s="2">
        <f>('вместе-абс'!Q96 - 'вместе-абс'!Q$2) / 'вместе-абс'!Q$2</f>
        <v>7.9430992736077481</v>
      </c>
      <c r="R96" s="2">
        <f>('вместе-абс'!R96 - 'вместе-абс'!R$2) / 'вместе-абс'!R$2</f>
        <v>7.5761061946902659</v>
      </c>
      <c r="S96" s="2">
        <f>('вместе-абс'!S96 - 'вместе-абс'!S$2) / 'вместе-абс'!S$2</f>
        <v>5.3871185701830857</v>
      </c>
      <c r="T96" s="2">
        <f>('вместе-абс'!T96 - 'вместе-абс'!T$2) / 'вместе-абс'!T$2</f>
        <v>1.3644633972992184</v>
      </c>
      <c r="U96" s="2">
        <f>('вместе-абс'!U96 - 'вместе-абс'!U$2) / 'вместе-абс'!U$2</f>
        <v>9.6128</v>
      </c>
      <c r="V96" s="2">
        <f>('вместе-абс'!V96 - 'вместе-абс'!V$2) / 'вместе-абс'!V$2</f>
        <v>0.56994945054945045</v>
      </c>
    </row>
    <row r="97" spans="1:22" x14ac:dyDescent="0.25">
      <c r="A97" s="12">
        <f t="shared" si="2"/>
        <v>2012</v>
      </c>
      <c r="B97" s="2">
        <f>('вместе-абс'!B97 - 'вместе-абс'!B$2) / 'вместе-абс'!B$2</f>
        <v>3.9925044404973353</v>
      </c>
      <c r="C97" s="2">
        <f>('вместе-абс'!C97 - 'вместе-абс'!C$2) / 'вместе-абс'!C$2</f>
        <v>4.0532436328688126</v>
      </c>
      <c r="D97" s="2">
        <f>('вместе-абс'!D97 - 'вместе-абс'!D$2) / 'вместе-абс'!D$2</f>
        <v>6.651022073682574</v>
      </c>
      <c r="E97" s="2">
        <f>('вместе-абс'!E97 - 'вместе-абс'!E$2) / 'вместе-абс'!E$2</f>
        <v>3.8076564215148183</v>
      </c>
      <c r="F97" s="2">
        <f>('вместе-абс'!F97 - 'вместе-абс'!F$2) / 'вместе-абс'!F$2</f>
        <v>6.999265091863518</v>
      </c>
      <c r="G97" s="2">
        <f>('вместе-абс'!G97 - 'вместе-абс'!G$2) / 'вместе-абс'!G$2</f>
        <v>10.544306930693068</v>
      </c>
      <c r="H97" s="2">
        <f>('вместе-абс'!H97 - 'вместе-абс'!H$2) / 'вместе-абс'!H$2</f>
        <v>3.1162418062636563</v>
      </c>
      <c r="I97" s="2">
        <f>('вместе-абс'!I97 - 'вместе-абс'!I$2) / 'вместе-абс'!I$2</f>
        <v>11.031541218637992</v>
      </c>
      <c r="J97" s="2">
        <f>('вместе-абс'!J97 - 'вместе-абс'!J$2) / 'вместе-абс'!J$2</f>
        <v>9.3469767441860476</v>
      </c>
      <c r="K97" s="2">
        <f>('вместе-абс'!K97 - 'вместе-абс'!K$2) / 'вместе-абс'!K$2</f>
        <v>4.4932614555256061</v>
      </c>
      <c r="L97" s="2">
        <f>('вместе-абс'!L97 - 'вместе-абс'!L$2) / 'вместе-абс'!L$2</f>
        <v>11.30799347471452</v>
      </c>
      <c r="M97" s="2">
        <f>('вместе-абс'!M97 - 'вместе-абс'!M$2) / 'вместе-абс'!M$2</f>
        <v>4.0525840441545409</v>
      </c>
      <c r="N97" s="2">
        <f>('вместе-абс'!N97 - 'вместе-абс'!N$2) / 'вместе-абс'!N$2</f>
        <v>12.767930489731437</v>
      </c>
      <c r="O97" s="2">
        <f>('вместе-абс'!O97 - 'вместе-абс'!O$2) / 'вместе-абс'!O$2</f>
        <v>7.405396459922291</v>
      </c>
      <c r="P97" s="2">
        <f>('вместе-абс'!P97 - 'вместе-абс'!P$2) / 'вместе-абс'!P$2</f>
        <v>8.6742622950819683</v>
      </c>
      <c r="Q97" s="2">
        <f>('вместе-абс'!Q97 - 'вместе-абс'!Q$2) / 'вместе-абс'!Q$2</f>
        <v>8.102421307506054</v>
      </c>
      <c r="R97" s="2">
        <f>('вместе-абс'!R97 - 'вместе-абс'!R$2) / 'вместе-абс'!R$2</f>
        <v>7.6976401179941005</v>
      </c>
      <c r="S97" s="2">
        <f>('вместе-абс'!S97 - 'вместе-абс'!S$2) / 'вместе-абс'!S$2</f>
        <v>5.4408020924149962</v>
      </c>
      <c r="T97" s="2">
        <f>('вместе-абс'!T97 - 'вместе-абс'!T$2) / 'вместе-абс'!T$2</f>
        <v>1.3705756929637527</v>
      </c>
      <c r="U97" s="2">
        <f>('вместе-абс'!U97 - 'вместе-абс'!U$2) / 'вместе-абс'!U$2</f>
        <v>9.7468363636363637</v>
      </c>
      <c r="V97" s="2">
        <f>('вместе-абс'!V97 - 'вместе-абс'!V$2) / 'вместе-абс'!V$2</f>
        <v>0.5733076923076923</v>
      </c>
    </row>
    <row r="98" spans="1:22" x14ac:dyDescent="0.25">
      <c r="A98" s="12">
        <f t="shared" si="2"/>
        <v>2013</v>
      </c>
      <c r="B98" s="2">
        <f>('вместе-абс'!B98 - 'вместе-абс'!B$2) / 'вместе-абс'!B$2</f>
        <v>4.042332741267022</v>
      </c>
      <c r="C98" s="2">
        <f>('вместе-абс'!C98 - 'вместе-абс'!C$2) / 'вместе-абс'!C$2</f>
        <v>4.1333974050937048</v>
      </c>
      <c r="D98" s="2">
        <f>('вместе-абс'!D98 - 'вместе-абс'!D$2) / 'вместе-абс'!D$2</f>
        <v>6.7132869578734642</v>
      </c>
      <c r="E98" s="2">
        <f>('вместе-абс'!E98 - 'вместе-абс'!E$2) / 'вместе-абс'!E$2</f>
        <v>3.8537321624588365</v>
      </c>
      <c r="F98" s="2">
        <f>('вместе-абс'!F98 - 'вместе-абс'!F$2) / 'вместе-абс'!F$2</f>
        <v>7.0755205599300082</v>
      </c>
      <c r="G98" s="2">
        <f>('вместе-абс'!G98 - 'вместе-абс'!G$2) / 'вместе-абс'!G$2</f>
        <v>10.67351485148515</v>
      </c>
      <c r="H98" s="2">
        <f>('вместе-абс'!H98 - 'вместе-абс'!H$2) / 'вместе-абс'!H$2</f>
        <v>3.1144209759650403</v>
      </c>
      <c r="I98" s="2">
        <f>('вместе-абс'!I98 - 'вместе-абс'!I$2) / 'вместе-абс'!I$2</f>
        <v>11.178972520908005</v>
      </c>
      <c r="J98" s="2">
        <f>('вместе-абс'!J98 - 'вместе-абс'!J$2) / 'вместе-абс'!J$2</f>
        <v>9.5030564784053162</v>
      </c>
      <c r="K98" s="2">
        <f>('вместе-абс'!K98 - 'вместе-абс'!K$2) / 'вместе-абс'!K$2</f>
        <v>4.5155435759209341</v>
      </c>
      <c r="L98" s="2">
        <f>('вместе-абс'!L98 - 'вместе-абс'!L$2) / 'вместе-абс'!L$2</f>
        <v>11.550815660685155</v>
      </c>
      <c r="M98" s="2">
        <f>('вместе-абс'!M98 - 'вместе-абс'!M$2) / 'вместе-абс'!M$2</f>
        <v>4.1291520321123931</v>
      </c>
      <c r="N98" s="2">
        <f>('вместе-абс'!N98 - 'вместе-абс'!N$2) / 'вместе-абс'!N$2</f>
        <v>13.043127962085308</v>
      </c>
      <c r="O98" s="2">
        <f>('вместе-абс'!O98 - 'вместе-абс'!O$2) / 'вместе-абс'!O$2</f>
        <v>7.5151532594617931</v>
      </c>
      <c r="P98" s="2">
        <f>('вместе-абс'!P98 - 'вместе-абс'!P$2) / 'вместе-абс'!P$2</f>
        <v>8.8095081967213122</v>
      </c>
      <c r="Q98" s="2">
        <f>('вместе-абс'!Q98 - 'вместе-абс'!Q$2) / 'вместе-абс'!Q$2</f>
        <v>8.2622276029055701</v>
      </c>
      <c r="R98" s="2">
        <f>('вместе-абс'!R98 - 'вместе-абс'!R$2) / 'вместе-абс'!R$2</f>
        <v>7.8235988200589963</v>
      </c>
      <c r="S98" s="2">
        <f>('вместе-абс'!S98 - 'вместе-абс'!S$2) / 'вместе-абс'!S$2</f>
        <v>5.4991063644289451</v>
      </c>
      <c r="T98" s="2">
        <f>('вместе-абс'!T98 - 'вместе-абс'!T$2) / 'вместе-абс'!T$2</f>
        <v>1.3776119402985076</v>
      </c>
      <c r="U98" s="2">
        <f>('вместе-абс'!U98 - 'вместе-абс'!U$2) / 'вместе-абс'!U$2</f>
        <v>9.8771636363636368</v>
      </c>
      <c r="V98" s="2">
        <f>('вместе-абс'!V98 - 'вместе-абс'!V$2) / 'вместе-абс'!V$2</f>
        <v>0.5778670329670329</v>
      </c>
    </row>
    <row r="99" spans="1:22" x14ac:dyDescent="0.25">
      <c r="A99" s="12">
        <f t="shared" si="2"/>
        <v>2014</v>
      </c>
      <c r="B99" s="2">
        <f>('вместе-абс'!B99 - 'вместе-абс'!B$2) / 'вместе-абс'!B$2</f>
        <v>4.0946240378922436</v>
      </c>
      <c r="C99" s="2">
        <f>('вместе-абс'!C99 - 'вместе-абс'!C$2) / 'вместе-абс'!C$2</f>
        <v>4.2133109082172027</v>
      </c>
      <c r="D99" s="2">
        <f>('вместе-абс'!D99 - 'вместе-абс'!D$2) / 'вместе-абс'!D$2</f>
        <v>6.7757306078035135</v>
      </c>
      <c r="E99" s="2">
        <f>('вместе-абс'!E99 - 'вместе-абс'!E$2) / 'вместе-абс'!E$2</f>
        <v>3.9023600439077937</v>
      </c>
      <c r="F99" s="2">
        <f>('вместе-абс'!F99 - 'вместе-абс'!F$2) / 'вместе-абс'!F$2</f>
        <v>7.1479265091863518</v>
      </c>
      <c r="G99" s="2">
        <f>('вместе-абс'!G99 - 'вместе-абс'!G$2) / 'вместе-абс'!G$2</f>
        <v>10.799752475247526</v>
      </c>
      <c r="H99" s="2">
        <f>('вместе-абс'!H99 - 'вместе-абс'!H$2) / 'вместе-абс'!H$2</f>
        <v>3.1099053168244719</v>
      </c>
      <c r="I99" s="2">
        <f>('вместе-абс'!I99 - 'вместе-абс'!I$2) / 'вместе-абс'!I$2</f>
        <v>11.324372759856631</v>
      </c>
      <c r="J99" s="2">
        <f>('вместе-абс'!J99 - 'вместе-абс'!J$2) / 'вместе-абс'!J$2</f>
        <v>9.6545514950166123</v>
      </c>
      <c r="K99" s="2">
        <f>('вместе-абс'!K99 - 'вместе-абс'!K$2) / 'вместе-абс'!K$2</f>
        <v>4.5372866127583107</v>
      </c>
      <c r="L99" s="2">
        <f>('вместе-абс'!L99 - 'вместе-абс'!L$2) / 'вместе-абс'!L$2</f>
        <v>11.790946166394781</v>
      </c>
      <c r="M99" s="2">
        <f>('вместе-абс'!M99 - 'вместе-абс'!M$2) / 'вместе-абс'!M$2</f>
        <v>4.2048168590065229</v>
      </c>
      <c r="N99" s="2">
        <f>('вместе-абс'!N99 - 'вместе-абс'!N$2) / 'вместе-абс'!N$2</f>
        <v>13.317693522906794</v>
      </c>
      <c r="O99" s="2">
        <f>('вместе-абс'!O99 - 'вместе-абс'!O$2) / 'вместе-абс'!O$2</f>
        <v>7.6188156569290548</v>
      </c>
      <c r="P99" s="2">
        <f>('вместе-абс'!P99 - 'вместе-абс'!P$2) / 'вместе-абс'!P$2</f>
        <v>8.945081967213115</v>
      </c>
      <c r="Q99" s="2">
        <f>('вместе-абс'!Q99 - 'вместе-абс'!Q$2) / 'вместе-абс'!Q$2</f>
        <v>8.4239709443099269</v>
      </c>
      <c r="R99" s="2">
        <f>('вместе-абс'!R99 - 'вместе-абс'!R$2) / 'вместе-абс'!R$2</f>
        <v>7.9525073746312689</v>
      </c>
      <c r="S99" s="2">
        <f>('вместе-абс'!S99 - 'вместе-абс'!S$2) / 'вместе-абс'!S$2</f>
        <v>5.5640366172624232</v>
      </c>
      <c r="T99" s="2">
        <f>('вместе-абс'!T99 - 'вместе-абс'!T$2) / 'вместе-абс'!T$2</f>
        <v>1.3854299928926797</v>
      </c>
      <c r="U99" s="2">
        <f>('вместе-абс'!U99 - 'вместе-абс'!U$2) / 'вместе-абс'!U$2</f>
        <v>10.001490909090908</v>
      </c>
      <c r="V99" s="2">
        <f>('вместе-абс'!V99 - 'вместе-абс'!V$2) / 'вместе-абс'!V$2</f>
        <v>0.58269560439560431</v>
      </c>
    </row>
    <row r="100" spans="1:22" x14ac:dyDescent="0.25">
      <c r="A100" s="12">
        <f t="shared" si="2"/>
        <v>2015</v>
      </c>
      <c r="B100" s="2">
        <f>('вместе-абс'!B100 - 'вместе-абс'!B$2) / 'вместе-абс'!B$2</f>
        <v>4.1482534043812906</v>
      </c>
      <c r="C100" s="2">
        <f>('вместе-абс'!C100 - 'вместе-абс'!C$2) / 'вместе-абс'!C$2</f>
        <v>4.292984142239308</v>
      </c>
      <c r="D100" s="2">
        <f>('вместе-абс'!D100 - 'вместе-абс'!D$2) / 'вместе-абс'!D$2</f>
        <v>6.837536919011348</v>
      </c>
      <c r="E100" s="2">
        <f>('вместе-абс'!E100 - 'вместе-абс'!E$2) / 'вместе-абс'!E$2</f>
        <v>3.9526893523600437</v>
      </c>
      <c r="F100" s="2">
        <f>('вместе-абс'!F100 - 'вместе-абс'!F$2) / 'вместе-абс'!F$2</f>
        <v>7.2187051618547686</v>
      </c>
      <c r="G100" s="2">
        <f>('вместе-абс'!G100 - 'вместе-абс'!G$2) / 'вместе-абс'!G$2</f>
        <v>10.925742574257425</v>
      </c>
      <c r="H100" s="2">
        <f>('вместе-абс'!H100 - 'вместе-абс'!H$2) / 'вместе-абс'!H$2</f>
        <v>3.1060087399854335</v>
      </c>
      <c r="I100" s="2">
        <f>('вместе-абс'!I100 - 'вместе-абс'!I$2) / 'вместе-абс'!I$2</f>
        <v>11.466905615292712</v>
      </c>
      <c r="J100" s="2">
        <f>('вместе-абс'!J100 - 'вместе-абс'!J$2) / 'вместе-абс'!J$2</f>
        <v>9.8081063122923595</v>
      </c>
      <c r="K100" s="2">
        <f>('вместе-абс'!K100 - 'вместе-абс'!K$2) / 'вместе-абс'!K$2</f>
        <v>4.555884995507637</v>
      </c>
      <c r="L100" s="2">
        <f>('вместе-абс'!L100 - 'вместе-абс'!L$2) / 'вместе-абс'!L$2</f>
        <v>12.027487765089724</v>
      </c>
      <c r="M100" s="2">
        <f>('вместе-абс'!M100 - 'вместе-абс'!M$2) / 'вместе-абс'!M$2</f>
        <v>4.2800802809834426</v>
      </c>
      <c r="N100" s="2">
        <f>('вместе-абс'!N100 - 'вместе-абс'!N$2) / 'вместе-абс'!N$2</f>
        <v>13.592890995260662</v>
      </c>
      <c r="O100" s="2">
        <f>('вместе-абс'!O100 - 'вместе-абс'!O$2) / 'вместе-абс'!O$2</f>
        <v>7.7114908619945322</v>
      </c>
      <c r="P100" s="2">
        <f>('вместе-абс'!P100 - 'вместе-абс'!P$2) / 'вместе-абс'!P$2</f>
        <v>9.0809836065573766</v>
      </c>
      <c r="Q100" s="2">
        <f>('вместе-абс'!Q100 - 'вместе-абс'!Q$2) / 'вместе-абс'!Q$2</f>
        <v>8.5883777239709449</v>
      </c>
      <c r="R100" s="2">
        <f>('вместе-абс'!R100 - 'вместе-абс'!R$2) / 'вместе-абс'!R$2</f>
        <v>8.0842182890855465</v>
      </c>
      <c r="S100" s="2">
        <f>('вместе-абс'!S100 - 'вместе-абс'!S$2) / 'вместе-абс'!S$2</f>
        <v>5.6385353095030508</v>
      </c>
      <c r="T100" s="2">
        <f>('вместе-абс'!T100 - 'вместе-абс'!T$2) / 'вместе-абс'!T$2</f>
        <v>1.3937455579246625</v>
      </c>
      <c r="U100" s="2">
        <f>('вместе-абс'!U100 - 'вместе-абс'!U$2) / 'вместе-абс'!U$2</f>
        <v>10.117818181818182</v>
      </c>
      <c r="V100" s="2">
        <f>('вместе-абс'!V100 - 'вместе-абс'!V$2) / 'вместе-абс'!V$2</f>
        <v>0.58724245054945046</v>
      </c>
    </row>
    <row r="101" spans="1:22" x14ac:dyDescent="0.25">
      <c r="A101" s="12">
        <f t="shared" si="2"/>
        <v>2016</v>
      </c>
      <c r="B101" s="2">
        <f>('вместе-абс'!B101 - 'вместе-абс'!B$2) / 'вместе-абс'!B$2</f>
        <v>4.1983777383066903</v>
      </c>
      <c r="C101" s="2">
        <f>('вместе-абс'!C101 - 'вместе-абс'!C$2) / 'вместе-абс'!C$2</f>
        <v>4.3724171071600191</v>
      </c>
      <c r="D101" s="2">
        <f>('вместе-абс'!D101 - 'вместе-абс'!D$2) / 'вместе-абс'!D$2</f>
        <v>6.8974856210166333</v>
      </c>
      <c r="E101" s="2">
        <f>('вместе-абс'!E101 - 'вместе-абс'!E$2) / 'вместе-абс'!E$2</f>
        <v>4.0129527991218445</v>
      </c>
      <c r="F101" s="2">
        <f>('вместе-абс'!F101 - 'вместе-абс'!F$2) / 'вместе-абс'!F$2</f>
        <v>7.3005249343832022</v>
      </c>
      <c r="G101" s="2">
        <f>('вместе-абс'!G101 - 'вместе-абс'!G$2) / 'вместе-абс'!G$2</f>
        <v>11.047029702970297</v>
      </c>
      <c r="H101" s="2">
        <f>('вместе-абс'!H101 - 'вместе-абс'!H$2) / 'вместе-абс'!H$2</f>
        <v>3.1025491624180628</v>
      </c>
      <c r="I101" s="2">
        <f>('вместе-абс'!I101 - 'вместе-абс'!I$2) / 'вместе-абс'!I$2</f>
        <v>11.60621266427718</v>
      </c>
      <c r="J101" s="2">
        <f>('вместе-абс'!J101 - 'вместе-абс'!J$2) / 'вместе-абс'!J$2</f>
        <v>9.9668438538205972</v>
      </c>
      <c r="K101" s="2">
        <f>('вместе-абс'!K101 - 'вместе-абс'!K$2) / 'вместе-абс'!K$2</f>
        <v>4.5712488769092543</v>
      </c>
      <c r="L101" s="2">
        <f>('вместе-абс'!L101 - 'вместе-абс'!L$2) / 'вместе-абс'!L$2</f>
        <v>12.269820554649264</v>
      </c>
      <c r="M101" s="2">
        <f>('вместе-абс'!M101 - 'вместе-абс'!M$2) / 'вместе-абс'!M$2</f>
        <v>4.3544907175112897</v>
      </c>
      <c r="N101" s="2">
        <f>('вместе-абс'!N101 - 'вместе-абс'!N$2) / 'вместе-абс'!N$2</f>
        <v>13.869510268562401</v>
      </c>
      <c r="O101" s="2">
        <f>('вместе-абс'!O101 - 'вместе-абс'!O$2) / 'вместе-абс'!O$2</f>
        <v>7.7963304072528414</v>
      </c>
      <c r="P101" s="2">
        <f>('вместе-абс'!P101 - 'вместе-абс'!P$2) / 'вместе-абс'!P$2</f>
        <v>9.2175409836065576</v>
      </c>
      <c r="Q101" s="2">
        <f>('вместе-абс'!Q101 - 'вместе-абс'!Q$2) / 'вместе-абс'!Q$2</f>
        <v>8.7556900726392257</v>
      </c>
      <c r="R101" s="2">
        <f>('вместе-абс'!R101 - 'вместе-абс'!R$2) / 'вместе-абс'!R$2</f>
        <v>8.2169616519174049</v>
      </c>
      <c r="S101" s="2">
        <f>('вместе-абс'!S101 - 'вместе-абс'!S$2) / 'вместе-абс'!S$2</f>
        <v>5.7276591107236268</v>
      </c>
      <c r="T101" s="2">
        <f>('вместе-абс'!T101 - 'вместе-абс'!T$2) / 'вместе-абс'!T$2</f>
        <v>1.4017768301350393</v>
      </c>
      <c r="U101" s="2">
        <f>('вместе-абс'!U101 - 'вместе-абс'!U$2) / 'вместе-абс'!U$2</f>
        <v>10.187527272727273</v>
      </c>
      <c r="V101" s="2">
        <f>('вместе-абс'!V101 - 'вместе-абс'!V$2) / 'вместе-абс'!V$2</f>
        <v>0.59151848351648351</v>
      </c>
    </row>
    <row r="102" spans="1:22" x14ac:dyDescent="0.25">
      <c r="A102" s="12">
        <f t="shared" si="2"/>
        <v>2017</v>
      </c>
      <c r="B102" s="2">
        <f>('вместе-абс'!B102 - 'вместе-абс'!B$2) / 'вместе-абс'!B$2</f>
        <v>4.2443931320307877</v>
      </c>
      <c r="C102" s="2">
        <f>('вместе-абс'!C102 - 'вместе-абс'!C$2) / 'вместе-абс'!C$2</f>
        <v>4.4515136953387797</v>
      </c>
      <c r="D102" s="2">
        <f>('вместе-абс'!D102 - 'вместе-абс'!D$2) / 'вместе-абс'!D$2</f>
        <v>6.9552075237058917</v>
      </c>
      <c r="E102" s="2">
        <f>('вместе-абс'!E102 - 'вместе-абс'!E$2) / 'вместе-абс'!E$2</f>
        <v>4.0930021953896825</v>
      </c>
      <c r="F102" s="2">
        <f>('вместе-абс'!F102 - 'вместе-абс'!F$2) / 'вместе-абс'!F$2</f>
        <v>7.4218897637795269</v>
      </c>
      <c r="G102" s="2">
        <f>('вместе-абс'!G102 - 'вместе-абс'!G$2) / 'вместе-абс'!G$2</f>
        <v>11.16138613861386</v>
      </c>
      <c r="H102" s="2">
        <f>('вместе-абс'!H102 - 'вместе-абс'!H$2) / 'вместе-абс'!H$2</f>
        <v>3.0960670065549887</v>
      </c>
      <c r="I102" s="2">
        <f>('вместе-абс'!I102 - 'вместе-абс'!I$2) / 'вместе-абс'!I$2</f>
        <v>11.744086021505375</v>
      </c>
      <c r="J102" s="2">
        <f>('вместе-абс'!J102 - 'вместе-абс'!J$2) / 'вместе-абс'!J$2</f>
        <v>10.135880398671096</v>
      </c>
      <c r="K102" s="2">
        <f>('вместе-абс'!K102 - 'вместе-абс'!K$2) / 'вместе-абс'!K$2</f>
        <v>4.5826594788858941</v>
      </c>
      <c r="L102" s="2">
        <f>('вместе-абс'!L102 - 'вместе-абс'!L$2) / 'вместе-абс'!L$2</f>
        <v>12.513376835236542</v>
      </c>
      <c r="M102" s="2">
        <f>('вместе-абс'!M102 - 'вместе-абс'!M$2) / 'вместе-абс'!M$2</f>
        <v>4.4278976417461111</v>
      </c>
      <c r="N102" s="2">
        <f>('вместе-абс'!N102 - 'вместе-абс'!N$2) / 'вместе-абс'!N$2</f>
        <v>14.147077409162717</v>
      </c>
      <c r="O102" s="2">
        <f>('вместе-абс'!O102 - 'вместе-абс'!O$2) / 'вместе-абс'!O$2</f>
        <v>7.8789825874226516</v>
      </c>
      <c r="P102" s="2">
        <f>('вместе-абс'!P102 - 'вместе-абс'!P$2) / 'вместе-абс'!P$2</f>
        <v>9.3544262295081957</v>
      </c>
      <c r="Q102" s="2">
        <f>('вместе-абс'!Q102 - 'вместе-абс'!Q$2) / 'вместе-абс'!Q$2</f>
        <v>8.924213075060532</v>
      </c>
      <c r="R102" s="2">
        <f>('вместе-абс'!R102 - 'вместе-абс'!R$2) / 'вместе-абс'!R$2</f>
        <v>8.3491150442477871</v>
      </c>
      <c r="S102" s="2">
        <f>('вместе-абс'!S102 - 'вместе-абс'!S$2) / 'вместе-абс'!S$2</f>
        <v>5.827506538796861</v>
      </c>
      <c r="T102" s="2">
        <f>('вместе-абс'!T102 - 'вместе-абс'!T$2) / 'вместе-абс'!T$2</f>
        <v>1.4082444918265815</v>
      </c>
      <c r="U102" s="2">
        <f>('вместе-абс'!U102 - 'вместе-абс'!U$2) / 'вместе-абс'!U$2</f>
        <v>10.114654545454545</v>
      </c>
      <c r="V102" s="2">
        <f>('вместе-абс'!V102 - 'вместе-абс'!V$2) / 'вместе-абс'!V$2</f>
        <v>0.59510390109890099</v>
      </c>
    </row>
    <row r="103" spans="1:22" x14ac:dyDescent="0.25">
      <c r="A103" s="12">
        <f t="shared" si="2"/>
        <v>2018</v>
      </c>
      <c r="B103" s="2">
        <f>('вместе-абс'!B103 - 'вместе-абс'!B$2) / 'вместе-абс'!B$2</f>
        <v>4.2877323860272352</v>
      </c>
      <c r="C103" s="2">
        <f>('вместе-абс'!C103 - 'вместе-абс'!C$2) / 'вместе-абс'!C$2</f>
        <v>4.5302258529553097</v>
      </c>
      <c r="D103" s="2">
        <f>('вместе-абс'!D103 - 'вместе-абс'!D$2) / 'вместе-абс'!D$2</f>
        <v>7.0097660500544068</v>
      </c>
      <c r="E103" s="2">
        <f>('вместе-абс'!E103 - 'вместе-абс'!E$2) / 'вместе-абс'!E$2</f>
        <v>4.1847420417124042</v>
      </c>
      <c r="F103" s="2">
        <f>('вместе-абс'!F103 - 'вместе-абс'!F$2) / 'вместе-абс'!F$2</f>
        <v>7.5782152230971125</v>
      </c>
      <c r="G103" s="2">
        <f>('вместе-абс'!G103 - 'вместе-абс'!G$2) / 'вместе-абс'!G$2</f>
        <v>11.271782178217823</v>
      </c>
      <c r="H103" s="2">
        <f>('вместе-абс'!H103 - 'вместе-абс'!H$2) / 'вместе-абс'!H$2</f>
        <v>3.0885287691187182</v>
      </c>
      <c r="I103" s="2">
        <f>('вместе-абс'!I103 - 'вместе-абс'!I$2) / 'вместе-абс'!I$2</f>
        <v>11.88183990442055</v>
      </c>
      <c r="J103" s="2">
        <f>('вместе-абс'!J103 - 'вместе-абс'!J$2) / 'вместе-абс'!J$2</f>
        <v>10.328571428571429</v>
      </c>
      <c r="K103" s="2">
        <f>('вместе-абс'!K103 - 'вместе-абс'!K$2) / 'вместе-абс'!K$2</f>
        <v>4.588319856244385</v>
      </c>
      <c r="L103" s="2">
        <f>('вместе-абс'!L103 - 'вместе-абс'!L$2) / 'вместе-абс'!L$2</f>
        <v>12.740375203915171</v>
      </c>
      <c r="M103" s="2">
        <f>('вместе-абс'!M103 - 'вместе-абс'!M$2) / 'вместе-абс'!M$2</f>
        <v>4.5004515805318617</v>
      </c>
      <c r="N103" s="2">
        <f>('вместе-абс'!N103 - 'вместе-абс'!N$2) / 'вместе-абс'!N$2</f>
        <v>14.426856240126384</v>
      </c>
      <c r="O103" s="2">
        <f>('вместе-абс'!O103 - 'вместе-абс'!O$2) / 'вместе-абс'!O$2</f>
        <v>7.9634263922866602</v>
      </c>
      <c r="P103" s="2">
        <f>('вместе-абс'!P103 - 'вместе-абс'!P$2) / 'вместе-абс'!P$2</f>
        <v>9.491967213114755</v>
      </c>
      <c r="Q103" s="2">
        <f>('вместе-абс'!Q103 - 'вместе-абс'!Q$2) / 'вместе-абс'!Q$2</f>
        <v>9.0917675544794179</v>
      </c>
      <c r="R103" s="2">
        <f>('вместе-абс'!R103 - 'вместе-абс'!R$2) / 'вместе-абс'!R$2</f>
        <v>8.4799410029498521</v>
      </c>
      <c r="S103" s="2">
        <f>('вместе-абс'!S103 - 'вместе-абс'!S$2) / 'вместе-абс'!S$2</f>
        <v>5.9523975588491718</v>
      </c>
      <c r="T103" s="2">
        <f>('вместе-абс'!T103 - 'вместе-абс'!T$2) / 'вместе-абс'!T$2</f>
        <v>1.4125799573560767</v>
      </c>
      <c r="U103" s="2">
        <f>('вместе-абс'!U103 - 'вместе-абс'!U$2) / 'вместе-абс'!U$2</f>
        <v>9.8391272727272714</v>
      </c>
      <c r="V103" s="2">
        <f>('вместе-абс'!V103 - 'вместе-абс'!V$2) / 'вместе-абс'!V$2</f>
        <v>0.59720631868131857</v>
      </c>
    </row>
    <row r="104" spans="1:22" x14ac:dyDescent="0.25">
      <c r="A104" s="12">
        <f t="shared" si="2"/>
        <v>2019</v>
      </c>
      <c r="B104" s="2">
        <f>('вместе-абс'!B104 - 'вместе-абс'!B$2) / 'вместе-абс'!B$2</f>
        <v>4.3254588513913559</v>
      </c>
      <c r="C104" s="2">
        <f>('вместе-абс'!C104 - 'вместе-абс'!C$2) / 'вместе-абс'!C$2</f>
        <v>4.6085535800096107</v>
      </c>
      <c r="D104" s="2">
        <f>('вместе-абс'!D104 - 'вместе-абс'!D$2) / 'вместе-абс'!D$2</f>
        <v>7.0621599564744288</v>
      </c>
      <c r="E104" s="2">
        <f>('вместе-абс'!E104 - 'вместе-абс'!E$2) / 'вместе-абс'!E$2</f>
        <v>4.2683040614709116</v>
      </c>
      <c r="F104" s="2">
        <f>('вместе-абс'!F104 - 'вместе-абс'!F$2) / 'вместе-абс'!F$2</f>
        <v>7.7328083989501311</v>
      </c>
      <c r="G104" s="2">
        <f>('вместе-абс'!G104 - 'вместе-абс'!G$2) / 'вместе-абс'!G$2</f>
        <v>11.375247524752476</v>
      </c>
      <c r="H104" s="2">
        <f>('вместе-абс'!H104 - 'вместе-абс'!H$2) / 'вместе-абс'!H$2</f>
        <v>3.0796795338674432</v>
      </c>
      <c r="I104" s="2">
        <f>('вместе-абс'!I104 - 'вместе-абс'!I$2) / 'вместе-абс'!I$2</f>
        <v>12.01553166069295</v>
      </c>
      <c r="J104" s="2">
        <f>('вместе-абс'!J104 - 'вместе-абс'!J$2) / 'вместе-абс'!J$2</f>
        <v>10.521594684385382</v>
      </c>
      <c r="K104" s="2">
        <f>('вместе-абс'!K104 - 'вместе-абс'!K$2) / 'вместе-абс'!K$2</f>
        <v>4.590566037735849</v>
      </c>
      <c r="L104" s="2">
        <f>('вместе-абс'!L104 - 'вместе-абс'!L$2) / 'вместе-абс'!L$2</f>
        <v>12.950897226753669</v>
      </c>
      <c r="M104" s="2">
        <f>('вместе-абс'!M104 - 'вместе-абс'!M$2) / 'вместе-абс'!M$2</f>
        <v>4.5721023582538889</v>
      </c>
      <c r="N104" s="2">
        <f>('вместе-абс'!N104 - 'вместе-абс'!N$2) / 'вместе-абс'!N$2</f>
        <v>14.708688783570301</v>
      </c>
      <c r="O104" s="2">
        <f>('вместе-абс'!O104 - 'вместе-абс'!O$2) / 'вместе-абс'!O$2</f>
        <v>8.0489998560944027</v>
      </c>
      <c r="P104" s="2">
        <f>('вместе-абс'!P104 - 'вместе-абс'!P$2) / 'вместе-абс'!P$2</f>
        <v>9.6290163934426225</v>
      </c>
      <c r="Q104" s="2">
        <f>('вместе-абс'!Q104 - 'вместе-абс'!Q$2) / 'вместе-абс'!Q$2</f>
        <v>9.2535108958837764</v>
      </c>
      <c r="R104" s="2">
        <f>('вместе-абс'!R104 - 'вместе-абс'!R$2) / 'вместе-абс'!R$2</f>
        <v>8.6092920353982301</v>
      </c>
      <c r="S104" s="2">
        <f>('вместе-абс'!S104 - 'вместе-абс'!S$2) / 'вместе-абс'!S$2</f>
        <v>6.0726460331299039</v>
      </c>
      <c r="T104" s="2">
        <f>('вместе-абс'!T104 - 'вместе-абс'!T$2) / 'вместе-абс'!T$2</f>
        <v>1.4144989339019189</v>
      </c>
      <c r="U104" s="2">
        <f>('вместе-абс'!U104 - 'вместе-абс'!U$2) / 'вместе-абс'!U$2</f>
        <v>9.5229454545454537</v>
      </c>
      <c r="V104" s="2">
        <f>('вместе-абс'!V104 - 'вместе-абс'!V$2) / 'вместе-абс'!V$2</f>
        <v>0.59808559340659329</v>
      </c>
    </row>
    <row r="105" spans="1:22" x14ac:dyDescent="0.25">
      <c r="A105" s="12">
        <f t="shared" si="2"/>
        <v>2020</v>
      </c>
      <c r="B105" s="2">
        <f>('вместе-абс'!B105 - 'вместе-абс'!B$2) / 'вместе-абс'!B$2</f>
        <v>4.3513321492007107</v>
      </c>
      <c r="C105" s="2">
        <f>('вместе-абс'!C105 - 'вместе-абс'!C$2) / 'вместе-абс'!C$2</f>
        <v>4.6781835655934643</v>
      </c>
      <c r="D105" s="2">
        <f>('вместе-абс'!D105 - 'вместе-абс'!D$2) / 'вместе-абс'!D$2</f>
        <v>7.1090004663454058</v>
      </c>
      <c r="E105" s="2">
        <f>('вместе-абс'!E105 - 'вместе-абс'!E$2) / 'вместе-абс'!E$2</f>
        <v>4.3157519209659707</v>
      </c>
      <c r="F105" s="2">
        <f>('вместе-абс'!F105 - 'вместе-абс'!F$2) / 'вместе-абс'!F$2</f>
        <v>7.8591426071741033</v>
      </c>
      <c r="G105" s="2">
        <f>('вместе-абс'!G105 - 'вместе-абс'!G$2) / 'вместе-абс'!G$2</f>
        <v>11.461138613861387</v>
      </c>
      <c r="H105" s="2">
        <f>('вместе-абс'!H105 - 'вместе-абс'!H$2) / 'вместе-абс'!H$2</f>
        <v>3.0700655498907499</v>
      </c>
      <c r="I105" s="2">
        <f>('вместе-абс'!I105 - 'вместе-абс'!I$2) / 'вместе-абс'!I$2</f>
        <v>12.152090800477897</v>
      </c>
      <c r="J105" s="2">
        <f>('вместе-абс'!J105 - 'вместе-абс'!J$2) / 'вместе-абс'!J$2</f>
        <v>10.658538205980065</v>
      </c>
      <c r="K105" s="2">
        <f>('вместе-абс'!K105 - 'вместе-абс'!K$2) / 'вместе-абс'!K$2</f>
        <v>4.6017070979335131</v>
      </c>
      <c r="L105" s="2">
        <f>('вместе-абс'!L105 - 'вместе-абс'!L$2) / 'вместе-абс'!L$2</f>
        <v>13.157667210440456</v>
      </c>
      <c r="M105" s="2">
        <f>('вместе-абс'!M105 - 'вместе-абс'!M$2) / 'вместе-абс'!M$2</f>
        <v>4.6416457601605616</v>
      </c>
      <c r="N105" s="2">
        <f>('вместе-абс'!N105 - 'вместе-абс'!N$2) / 'вместе-абс'!N$2</f>
        <v>14.986729857819906</v>
      </c>
      <c r="O105" s="2">
        <f>('вместе-абс'!O105 - 'вместе-абс'!O$2) / 'вместе-абс'!O$2</f>
        <v>8.1235501511008774</v>
      </c>
      <c r="P105" s="2">
        <f>('вместе-абс'!P105 - 'вместе-абс'!P$2) / 'вместе-абс'!P$2</f>
        <v>9.7627868852459017</v>
      </c>
      <c r="Q105" s="2">
        <f>('вместе-абс'!Q105 - 'вместе-абс'!Q$2) / 'вместе-абс'!Q$2</f>
        <v>9.3953995157384984</v>
      </c>
      <c r="R105" s="2">
        <f>('вместе-абс'!R105 - 'вместе-абс'!R$2) / 'вместе-абс'!R$2</f>
        <v>8.7399705014749252</v>
      </c>
      <c r="S105" s="2">
        <f>('вместе-абс'!S105 - 'вместе-абс'!S$2) / 'вместе-абс'!S$2</f>
        <v>6.157497820401046</v>
      </c>
      <c r="T105" s="2">
        <f>('вместе-абс'!T105 - 'вместе-абс'!T$2) / 'вместе-абс'!T$2</f>
        <v>1.4157782515991471</v>
      </c>
      <c r="U105" s="2">
        <f>('вместе-абс'!U105 - 'вместе-абс'!U$2) / 'вместе-абс'!U$2</f>
        <v>9.3433090909090897</v>
      </c>
      <c r="V105" s="2">
        <f>('вместе-абс'!V105 - 'вместе-абс'!V$2) / 'вместе-абс'!V$2</f>
        <v>0.5972452087912089</v>
      </c>
    </row>
    <row r="106" spans="1:22" x14ac:dyDescent="0.25">
      <c r="A106" s="12">
        <f t="shared" si="2"/>
        <v>2021</v>
      </c>
      <c r="B106" s="2">
        <f>('вместе-абс'!B106 - 'вместе-абс'!B$2) / 'вместе-абс'!B$2</f>
        <v>4.3655772646536413</v>
      </c>
      <c r="C106" s="2">
        <f>('вместе-абс'!C106 - 'вместе-абс'!C$2) / 'вместе-абс'!C$2</f>
        <v>4.736376741950985</v>
      </c>
      <c r="D106" s="2">
        <f>('вместе-абс'!D106 - 'вместе-абс'!D$2) / 'вместе-абс'!D$2</f>
        <v>7.1435683196020516</v>
      </c>
      <c r="E106" s="2">
        <f>('вместе-абс'!E106 - 'вместе-абс'!E$2) / 'вместе-абс'!E$2</f>
        <v>4.3392700329308447</v>
      </c>
      <c r="F106" s="2">
        <f>('вместе-абс'!F106 - 'вместе-абс'!F$2) / 'вместе-абс'!F$2</f>
        <v>7.9568153980752401</v>
      </c>
      <c r="G106" s="2">
        <f>('вместе-абс'!G106 - 'вместе-абс'!G$2) / 'вместе-абс'!G$2</f>
        <v>11.524752475247524</v>
      </c>
      <c r="H106" s="2">
        <f>('вместе-абс'!H106 - 'вместе-абс'!H$2) / 'вместе-абс'!H$2</f>
        <v>3.0503277494537513</v>
      </c>
      <c r="I106" s="2">
        <f>('вместе-абс'!I106 - 'вместе-абс'!I$2) / 'вместе-абс'!I$2</f>
        <v>12.289725209080048</v>
      </c>
      <c r="J106" s="2">
        <f>('вместе-абс'!J106 - 'вместе-абс'!J$2) / 'вместе-абс'!J$2</f>
        <v>10.749169435215947</v>
      </c>
      <c r="K106" s="2">
        <f>('вместе-абс'!K106 - 'вместе-абс'!K$2) / 'вместе-абс'!K$2</f>
        <v>4.6206648697214741</v>
      </c>
      <c r="L106" s="2">
        <f>('вместе-абс'!L106 - 'вместе-абс'!L$2) / 'вместе-абс'!L$2</f>
        <v>13.354567699836869</v>
      </c>
      <c r="M106" s="2">
        <f>('вместе-абс'!M106 - 'вместе-абс'!M$2) / 'вместе-абс'!M$2</f>
        <v>4.7072754641244359</v>
      </c>
      <c r="N106" s="2">
        <f>('вместе-абс'!N106 - 'вместе-абс'!N$2) / 'вместе-абс'!N$2</f>
        <v>15.255766192733017</v>
      </c>
      <c r="O106" s="2">
        <f>('вместе-абс'!O106 - 'вместе-абс'!O$2) / 'вместе-абс'!O$2</f>
        <v>8.1846380774212122</v>
      </c>
      <c r="P106" s="2">
        <f>('вместе-абс'!P106 - 'вместе-абс'!P$2) / 'вместе-абс'!P$2</f>
        <v>9.8929508196721301</v>
      </c>
      <c r="Q106" s="2">
        <f>('вместе-абс'!Q106 - 'вместе-абс'!Q$2) / 'вместе-абс'!Q$2</f>
        <v>9.5215496368038739</v>
      </c>
      <c r="R106" s="2">
        <f>('вместе-абс'!R106 - 'вместе-абс'!R$2) / 'вместе-абс'!R$2</f>
        <v>8.8587020648967556</v>
      </c>
      <c r="S106" s="2">
        <f>('вместе-абс'!S106 - 'вместе-абс'!S$2) / 'вместе-абс'!S$2</f>
        <v>6.2266564952048826</v>
      </c>
      <c r="T106" s="2">
        <f>('вместе-абс'!T106 - 'вместе-абс'!T$2) / 'вместе-абс'!T$2</f>
        <v>1.414143567874911</v>
      </c>
      <c r="U106" s="2">
        <f>('вместе-абс'!U106 - 'вместе-абс'!U$2) / 'вместе-абс'!U$2</f>
        <v>9.2682909090909096</v>
      </c>
      <c r="V106" s="2">
        <f>('вместе-абс'!V106 - 'вместе-абс'!V$2) / 'вместе-абс'!V$2</f>
        <v>0.59336321978021989</v>
      </c>
    </row>
    <row r="107" spans="1:22" x14ac:dyDescent="0.25">
      <c r="A107" s="12">
        <f t="shared" si="2"/>
        <v>2022</v>
      </c>
      <c r="B107" s="2">
        <f>('вместе-абс'!B107 - 'вместе-абс'!B$2) / 'вместе-абс'!B$2</f>
        <v>4.3768975725281232</v>
      </c>
      <c r="C107" s="2">
        <f>('вместе-абс'!C107 - 'вместе-абс'!C$2) / 'вместе-абс'!C$2</f>
        <v>4.8035559827006251</v>
      </c>
      <c r="D107" s="2">
        <f>('вместе-абс'!D107 - 'вместе-абс'!D$2) / 'вместе-абс'!D$2</f>
        <v>7.1729519664231303</v>
      </c>
      <c r="E107" s="2">
        <f>('вместе-абс'!E107 - 'вместе-абс'!E$2) / 'вместе-абс'!E$2</f>
        <v>4.3658068057080133</v>
      </c>
      <c r="F107" s="2">
        <f>('вместе-абс'!F107 - 'вместе-абс'!F$2) / 'вместе-абс'!F$2</f>
        <v>8.053000874890639</v>
      </c>
      <c r="G107" s="2">
        <f>('вместе-абс'!G107 - 'вместе-абс'!G$2) / 'вместе-абс'!G$2</f>
        <v>11.578712871287129</v>
      </c>
      <c r="H107" s="2">
        <f>('вместе-абс'!H107 - 'вместе-абс'!H$2) / 'вместе-абс'!H$2</f>
        <v>3.027603787327021</v>
      </c>
      <c r="I107" s="2">
        <f>('вместе-абс'!I107 - 'вместе-абс'!I$2) / 'вместе-абс'!I$2</f>
        <v>12.417801672640383</v>
      </c>
      <c r="J107" s="2">
        <f>('вместе-абс'!J107 - 'вместе-абс'!J$2) / 'вместе-абс'!J$2</f>
        <v>10.843122923588041</v>
      </c>
      <c r="K107" s="2">
        <f>('вместе-абс'!K107 - 'вместе-абс'!K$2) / 'вместе-абс'!K$2</f>
        <v>4.6426774483378255</v>
      </c>
      <c r="L107" s="2">
        <f>('вместе-абс'!L107 - 'вместе-абс'!L$2) / 'вместе-абс'!L$2</f>
        <v>13.557830342577489</v>
      </c>
      <c r="M107" s="2">
        <f>('вместе-абс'!M107 - 'вместе-абс'!M$2) / 'вместе-абс'!M$2</f>
        <v>4.7720020070245859</v>
      </c>
      <c r="N107" s="2">
        <f>('вместе-абс'!N107 - 'вместе-абс'!N$2) / 'вместе-абс'!N$2</f>
        <v>15.530647709320695</v>
      </c>
      <c r="O107" s="2">
        <f>('вместе-абс'!O107 - 'вместе-абс'!O$2) / 'вместе-абс'!O$2</f>
        <v>8.2540725284213554</v>
      </c>
      <c r="P107" s="2">
        <f>('вместе-абс'!P107 - 'вместе-абс'!P$2) / 'вместе-абс'!P$2</f>
        <v>10.033934426229507</v>
      </c>
      <c r="Q107" s="2">
        <f>('вместе-абс'!Q107 - 'вместе-абс'!Q$2) / 'вместе-абс'!Q$2</f>
        <v>9.6556900726392261</v>
      </c>
      <c r="R107" s="2">
        <f>('вместе-абс'!R107 - 'вместе-абс'!R$2) / 'вместе-абс'!R$2</f>
        <v>8.9712389380530979</v>
      </c>
      <c r="S107" s="2">
        <f>('вместе-абс'!S107 - 'вместе-абс'!S$2) / 'вместе-абс'!S$2</f>
        <v>6.2962946817785532</v>
      </c>
      <c r="T107" s="2">
        <f>('вместе-абс'!T107 - 'вместе-абс'!T$2) / 'вместе-абс'!T$2</f>
        <v>1.4100213219616204</v>
      </c>
      <c r="U107" s="2">
        <f>('вместе-абс'!U107 - 'вместе-абс'!U$2) / 'вместе-абс'!U$2</f>
        <v>9.2592727272727267</v>
      </c>
      <c r="V107" s="2">
        <f>('вместе-абс'!V107 - 'вместе-абс'!V$2) / 'вместе-абс'!V$2</f>
        <v>0.5878235604395603</v>
      </c>
    </row>
    <row r="108" spans="1:22" x14ac:dyDescent="0.25">
      <c r="A108" s="12"/>
    </row>
    <row r="109" spans="1:22" x14ac:dyDescent="0.25">
      <c r="A109" s="12"/>
    </row>
    <row r="110" spans="1:22" x14ac:dyDescent="0.25">
      <c r="A110" s="12"/>
    </row>
    <row r="111" spans="1:22" x14ac:dyDescent="0.25">
      <c r="A111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LA</vt:lpstr>
      <vt:lpstr>RSFSR</vt:lpstr>
      <vt:lpstr>вместе-абс</vt:lpstr>
      <vt:lpstr>вместе-отн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2026-05-16T19:05:17Z</dcterms:created>
  <dcterms:modified xsi:type="dcterms:W3CDTF">2026-06-09T05:26:39Z</dcterms:modified>
</cp:coreProperties>
</file>