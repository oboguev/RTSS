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5F41B7B7-349D-43FB-A52B-6C1EC7AB31CD}" xr6:coauthVersionLast="45" xr6:coauthVersionMax="45" xr10:uidLastSave="{00000000-0000-0000-0000-000000000000}"/>
  <bookViews>
    <workbookView xWindow="-60" yWindow="-60" windowWidth="38520" windowHeight="23700" activeTab="1" xr2:uid="{1C09CCFF-0B27-4A10-912F-66BA333F54C8}"/>
  </bookViews>
  <sheets>
    <sheet name="Notes" sheetId="2" r:id="rId1"/>
    <sheet name="Все страны" sheetId="1" r:id="rId2"/>
    <sheet name="Бразилия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45" i="3" l="1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H145" i="3"/>
  <c r="G145" i="3"/>
  <c r="H144" i="3"/>
  <c r="G144" i="3"/>
  <c r="H143" i="3"/>
  <c r="G143" i="3"/>
  <c r="H142" i="3"/>
  <c r="G142" i="3"/>
  <c r="H141" i="3"/>
  <c r="G141" i="3"/>
  <c r="H140" i="3"/>
  <c r="G140" i="3"/>
  <c r="H139" i="3"/>
  <c r="G139" i="3"/>
  <c r="H138" i="3"/>
  <c r="G138" i="3"/>
  <c r="H137" i="3"/>
  <c r="G137" i="3"/>
  <c r="H136" i="3"/>
  <c r="G136" i="3"/>
  <c r="H135" i="3"/>
  <c r="G135" i="3"/>
  <c r="H134" i="3"/>
  <c r="G134" i="3"/>
  <c r="H133" i="3"/>
  <c r="G133" i="3"/>
  <c r="H132" i="3"/>
  <c r="G132" i="3"/>
  <c r="H131" i="3"/>
  <c r="G131" i="3"/>
  <c r="H130" i="3"/>
  <c r="G130" i="3"/>
  <c r="H129" i="3"/>
  <c r="G129" i="3"/>
  <c r="H128" i="3"/>
  <c r="G128" i="3"/>
  <c r="H127" i="3"/>
  <c r="G127" i="3"/>
  <c r="H126" i="3"/>
  <c r="G126" i="3"/>
  <c r="H125" i="3"/>
  <c r="G125" i="3"/>
  <c r="H124" i="3"/>
  <c r="G124" i="3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H114" i="3"/>
  <c r="G114" i="3"/>
  <c r="H113" i="3"/>
  <c r="G113" i="3"/>
  <c r="H112" i="3"/>
  <c r="G112" i="3"/>
  <c r="H111" i="3"/>
  <c r="G111" i="3"/>
  <c r="H110" i="3"/>
  <c r="G110" i="3"/>
  <c r="H109" i="3"/>
  <c r="G109" i="3"/>
  <c r="H108" i="3"/>
  <c r="G108" i="3"/>
  <c r="H107" i="3"/>
  <c r="G107" i="3"/>
  <c r="H106" i="3"/>
  <c r="G106" i="3"/>
  <c r="H105" i="3"/>
  <c r="G105" i="3"/>
  <c r="H104" i="3"/>
  <c r="G104" i="3"/>
  <c r="H103" i="3"/>
  <c r="G103" i="3"/>
  <c r="H102" i="3"/>
  <c r="G102" i="3"/>
  <c r="H101" i="3"/>
  <c r="G101" i="3"/>
  <c r="H100" i="3"/>
  <c r="G100" i="3"/>
  <c r="H99" i="3"/>
  <c r="G99" i="3"/>
  <c r="H98" i="3"/>
  <c r="G98" i="3"/>
  <c r="H97" i="3"/>
  <c r="G97" i="3"/>
  <c r="H96" i="3"/>
  <c r="G96" i="3"/>
  <c r="H95" i="3"/>
  <c r="G95" i="3"/>
  <c r="H94" i="3"/>
  <c r="G94" i="3"/>
  <c r="H93" i="3"/>
  <c r="G93" i="3"/>
  <c r="H92" i="3"/>
  <c r="G92" i="3"/>
  <c r="H91" i="3"/>
  <c r="G91" i="3"/>
  <c r="H90" i="3"/>
  <c r="G90" i="3"/>
  <c r="H89" i="3"/>
  <c r="G89" i="3"/>
  <c r="H88" i="3"/>
  <c r="G88" i="3"/>
  <c r="H87" i="3"/>
  <c r="G87" i="3"/>
  <c r="H86" i="3"/>
  <c r="G86" i="3"/>
  <c r="H85" i="3"/>
  <c r="G85" i="3"/>
  <c r="H84" i="3"/>
  <c r="G84" i="3"/>
  <c r="H83" i="3"/>
  <c r="G83" i="3"/>
  <c r="H82" i="3"/>
  <c r="G82" i="3"/>
  <c r="H81" i="3"/>
  <c r="G81" i="3"/>
  <c r="H80" i="3"/>
  <c r="G80" i="3"/>
  <c r="H79" i="3"/>
  <c r="G79" i="3"/>
  <c r="H78" i="3"/>
  <c r="G78" i="3"/>
  <c r="H77" i="3"/>
  <c r="G77" i="3"/>
  <c r="H76" i="3"/>
  <c r="G76" i="3"/>
  <c r="H75" i="3"/>
  <c r="G75" i="3"/>
  <c r="H74" i="3"/>
  <c r="G74" i="3"/>
  <c r="H73" i="3"/>
  <c r="G73" i="3"/>
  <c r="H72" i="3"/>
  <c r="G72" i="3"/>
  <c r="H71" i="3"/>
  <c r="G71" i="3"/>
  <c r="H70" i="3"/>
  <c r="G70" i="3"/>
  <c r="H69" i="3"/>
  <c r="G69" i="3"/>
  <c r="H68" i="3"/>
  <c r="G68" i="3"/>
  <c r="H67" i="3"/>
  <c r="G67" i="3"/>
  <c r="H66" i="3"/>
  <c r="G66" i="3"/>
  <c r="H65" i="3"/>
  <c r="G65" i="3"/>
  <c r="H64" i="3"/>
  <c r="G64" i="3"/>
  <c r="H63" i="3"/>
  <c r="G63" i="3"/>
  <c r="H62" i="3"/>
  <c r="G62" i="3"/>
  <c r="H61" i="3"/>
  <c r="G61" i="3"/>
  <c r="H60" i="3"/>
  <c r="G60" i="3"/>
  <c r="H59" i="3"/>
  <c r="G59" i="3"/>
  <c r="H58" i="3"/>
  <c r="G58" i="3"/>
  <c r="H57" i="3"/>
  <c r="G57" i="3"/>
  <c r="H56" i="3"/>
  <c r="G56" i="3"/>
  <c r="H55" i="3"/>
  <c r="G55" i="3"/>
  <c r="H54" i="3"/>
  <c r="G54" i="3"/>
  <c r="H53" i="3"/>
  <c r="G53" i="3"/>
  <c r="H52" i="3"/>
  <c r="G52" i="3"/>
  <c r="H51" i="3"/>
  <c r="G51" i="3"/>
  <c r="H50" i="3"/>
  <c r="G50" i="3"/>
  <c r="H49" i="3"/>
  <c r="G49" i="3"/>
  <c r="H48" i="3"/>
  <c r="G48" i="3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1" i="3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30" i="3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</calcChain>
</file>

<file path=xl/sharedStrings.xml><?xml version="1.0" encoding="utf-8"?>
<sst xmlns="http://schemas.openxmlformats.org/spreadsheetml/2006/main" count="96" uniqueCount="95">
  <si>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</si>
  <si>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</si>
  <si>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</si>
  <si>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</si>
  <si>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</si>
  <si>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</si>
  <si>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</si>
  <si>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</si>
  <si>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</si>
  <si>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</si>
  <si>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</si>
  <si>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</si>
  <si>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</si>
  <si>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</si>
  <si>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</si>
  <si>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</si>
  <si>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</si>
  <si>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</si>
  <si>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</si>
  <si>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</si>
  <si>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</si>
  <si>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</si>
  <si>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</si>
  <si>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</si>
  <si>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</si>
  <si>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</si>
  <si>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</si>
  <si>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</si>
  <si>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</si>
  <si>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</si>
  <si>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</si>
  <si>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</si>
  <si>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</si>
  <si>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</si>
  <si>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</si>
  <si>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</si>
  <si>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</si>
  <si>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</si>
  <si>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</si>
  <si>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</si>
  <si>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</si>
  <si>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</si>
  <si>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</si>
  <si>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</si>
  <si>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</si>
  <si>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</si>
  <si>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</si>
  <si>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</si>
  <si>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</si>
  <si>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</si>
  <si>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</si>
  <si>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</si>
  <si>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</si>
  <si>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</si>
  <si>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</si>
  <si>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</si>
  <si>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</si>
  <si>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</si>
  <si>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</si>
  <si>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</si>
  <si>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</si>
  <si>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Уругвая (1895-1949):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</si>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</sst>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/>
    <xf numFmtId="164" fontId="0" fillId="0" borderId="0" xfId="0" applyNumberFormat="1" applyFill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ont="1" applyFill="1" applyAlignment="1">
      <alignment horizontal="right"/>
    </xf>
    <xf numFmtId="164" fontId="0" fillId="0" borderId="0" xfId="0" applyNumberFormat="1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Fill="1" applyAlignment="1">
      <alignment horizontal="right"/>
    </xf>
    <xf numFmtId="0" fontId="0" fillId="0" borderId="0" xfId="0" applyNumberFormat="1" applyFont="1" applyAlignment="1">
      <alignment horizontal="right"/>
    </xf>
    <xf numFmtId="164" fontId="0" fillId="0" borderId="0" xfId="0" applyNumberFormat="1" applyFont="1" applyFill="1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/>
    <xf numFmtId="165" fontId="0" fillId="0" borderId="0" xfId="0" applyNumberFormat="1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39"/>
  <sheetViews>
    <sheetView workbookViewId="0">
      <selection activeCell="A40" sqref="A40"/>
    </sheetView>
  </sheetViews>
  <sheetFormatPr defaultRowHeight="15" x14ac:dyDescent="0.25"/>
  <sheetData>
    <row r="1" spans="1:4" ht="21" x14ac:dyDescent="0.35">
      <c r="A1" s="20" t="s">
        <v>80</v>
      </c>
    </row>
    <row r="3" spans="1:4" x14ac:dyDescent="0.25">
      <c r="A3" s="5" t="s">
        <v>79</v>
      </c>
    </row>
    <row r="5" spans="1:4" x14ac:dyDescent="0.25">
      <c r="A5" t="s">
        <v>67</v>
      </c>
    </row>
    <row r="7" spans="1:4" x14ac:dyDescent="0.25">
      <c r="A7" t="s">
        <v>59</v>
      </c>
    </row>
    <row r="8" spans="1:4" x14ac:dyDescent="0.25">
      <c r="A8" t="s">
        <v>60</v>
      </c>
    </row>
    <row r="9" spans="1:4" x14ac:dyDescent="0.25">
      <c r="A9" t="s">
        <v>71</v>
      </c>
    </row>
    <row r="11" spans="1:4" x14ac:dyDescent="0.25">
      <c r="B11" s="15">
        <v>1881</v>
      </c>
      <c r="C11" s="16">
        <v>47</v>
      </c>
      <c r="D11" s="16">
        <v>32.5</v>
      </c>
    </row>
    <row r="12" spans="1:4" x14ac:dyDescent="0.25">
      <c r="B12" s="15">
        <v>1890</v>
      </c>
      <c r="C12" s="16">
        <v>46.5</v>
      </c>
      <c r="D12" s="16">
        <v>30.2</v>
      </c>
    </row>
    <row r="13" spans="1:4" x14ac:dyDescent="0.25">
      <c r="B13" s="15">
        <v>1900</v>
      </c>
      <c r="C13" s="16">
        <v>46</v>
      </c>
      <c r="D13" s="16">
        <v>27.8</v>
      </c>
    </row>
    <row r="14" spans="1:4" x14ac:dyDescent="0.25">
      <c r="B14" s="15">
        <v>1910</v>
      </c>
      <c r="C14" s="16">
        <v>45.5</v>
      </c>
      <c r="D14" s="16">
        <v>27</v>
      </c>
    </row>
    <row r="15" spans="1:4" x14ac:dyDescent="0.25">
      <c r="B15" s="15">
        <v>1920</v>
      </c>
      <c r="C15" s="16">
        <v>45</v>
      </c>
      <c r="D15" s="16">
        <v>26.4</v>
      </c>
    </row>
    <row r="16" spans="1:4" x14ac:dyDescent="0.25">
      <c r="B16" s="15">
        <v>1930</v>
      </c>
      <c r="C16" s="16">
        <v>44.8</v>
      </c>
      <c r="D16" s="16">
        <v>26</v>
      </c>
    </row>
    <row r="17" spans="1:4" x14ac:dyDescent="0.25">
      <c r="B17" s="15">
        <v>1945</v>
      </c>
      <c r="C17" s="16">
        <v>44.4</v>
      </c>
      <c r="D17" s="16">
        <v>20.9</v>
      </c>
    </row>
    <row r="18" spans="1:4" x14ac:dyDescent="0.25">
      <c r="B18" s="15">
        <v>1955</v>
      </c>
      <c r="C18" s="16">
        <v>43.2</v>
      </c>
      <c r="D18" s="16">
        <v>14.2</v>
      </c>
    </row>
    <row r="19" spans="1:4" x14ac:dyDescent="0.25">
      <c r="B19" s="15">
        <v>1965</v>
      </c>
      <c r="C19" s="16">
        <v>38.700000000000003</v>
      </c>
      <c r="D19" s="16">
        <v>9.8000000000000007</v>
      </c>
    </row>
    <row r="20" spans="1:4" x14ac:dyDescent="0.25">
      <c r="B20" s="15">
        <v>1975</v>
      </c>
      <c r="C20" s="16">
        <v>34.200000000000003</v>
      </c>
      <c r="D20" s="16">
        <v>9.3000000000000007</v>
      </c>
    </row>
    <row r="21" spans="1:4" x14ac:dyDescent="0.25">
      <c r="B21" s="15">
        <v>1985</v>
      </c>
      <c r="C21" s="16">
        <v>28.99</v>
      </c>
      <c r="D21" s="16">
        <v>7.68</v>
      </c>
    </row>
    <row r="22" spans="1:4" x14ac:dyDescent="0.25">
      <c r="B22" s="15">
        <v>1995</v>
      </c>
      <c r="C22" s="16">
        <v>21.93</v>
      </c>
      <c r="D22" s="16">
        <v>6.55</v>
      </c>
    </row>
    <row r="23" spans="1:4" x14ac:dyDescent="0.25">
      <c r="B23" s="15">
        <v>2000</v>
      </c>
      <c r="C23" s="16">
        <v>21.13</v>
      </c>
      <c r="D23" s="16">
        <v>6.34</v>
      </c>
    </row>
    <row r="24" spans="1:4" x14ac:dyDescent="0.25">
      <c r="B24" s="15">
        <v>2007</v>
      </c>
      <c r="C24" s="16">
        <v>17.059999999999999</v>
      </c>
      <c r="D24" s="16">
        <v>6.27</v>
      </c>
    </row>
    <row r="25" spans="1:4" x14ac:dyDescent="0.25">
      <c r="B25" s="15"/>
      <c r="C25" s="16"/>
      <c r="D25" s="16"/>
    </row>
    <row r="26" spans="1:4" x14ac:dyDescent="0.25">
      <c r="B26" t="s">
        <v>81</v>
      </c>
      <c r="C26" s="16"/>
      <c r="D26" s="16"/>
    </row>
    <row r="27" spans="1:4" x14ac:dyDescent="0.25">
      <c r="B27" t="s">
        <v>82</v>
      </c>
      <c r="C27" s="16"/>
      <c r="D27" s="16"/>
    </row>
    <row r="28" spans="1:4" x14ac:dyDescent="0.25">
      <c r="B28" t="s">
        <v>83</v>
      </c>
      <c r="C28" s="16"/>
      <c r="D28" s="16"/>
    </row>
    <row r="30" spans="1:4" x14ac:dyDescent="0.25">
      <c r="A30" t="s">
        <v>61</v>
      </c>
    </row>
    <row r="31" spans="1:4" x14ac:dyDescent="0.25">
      <c r="B31" t="s">
        <v>63</v>
      </c>
    </row>
    <row r="32" spans="1:4" x14ac:dyDescent="0.25">
      <c r="B32" t="s">
        <v>64</v>
      </c>
    </row>
    <row r="33" spans="1:2" x14ac:dyDescent="0.25">
      <c r="B33" t="s">
        <v>65</v>
      </c>
    </row>
    <row r="35" spans="1:2" x14ac:dyDescent="0.25">
      <c r="A35" t="s">
        <v>62</v>
      </c>
    </row>
    <row r="36" spans="1:2" x14ac:dyDescent="0.25">
      <c r="B36" t="s">
        <v>66</v>
      </c>
    </row>
    <row r="38" spans="1:2" x14ac:dyDescent="0.25">
      <c r="A38" t="s">
        <v>58</v>
      </c>
    </row>
    <row r="39" spans="1:2" x14ac:dyDescent="0.25">
      <c r="A39" t="s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V12" sqref="V12"/>
    </sheetView>
  </sheetViews>
  <sheetFormatPr defaultRowHeight="15" x14ac:dyDescent="0.25"/>
  <cols>
    <col min="1" max="1" width="11.5703125" bestFit="1" customWidth="1"/>
  </cols>
  <sheetData>
    <row r="1" spans="1:39" x14ac:dyDescent="0.25">
      <c r="A1" s="1" t="s">
        <v>0</v>
      </c>
      <c r="B1" s="22" t="s">
        <v>20</v>
      </c>
      <c r="C1" s="22"/>
      <c r="D1" s="22" t="s">
        <v>21</v>
      </c>
      <c r="E1" s="22"/>
      <c r="F1" s="22" t="s">
        <v>22</v>
      </c>
      <c r="G1" s="22"/>
      <c r="H1" s="22" t="s">
        <v>23</v>
      </c>
      <c r="I1" s="22"/>
      <c r="J1" s="22" t="s">
        <v>24</v>
      </c>
      <c r="K1" s="22"/>
      <c r="L1" s="22" t="s">
        <v>25</v>
      </c>
      <c r="M1" s="22"/>
      <c r="N1" s="22" t="s">
        <v>26</v>
      </c>
      <c r="O1" s="22"/>
      <c r="P1" s="22" t="s">
        <v>27</v>
      </c>
      <c r="Q1" s="22"/>
      <c r="R1" s="22" t="s">
        <v>28</v>
      </c>
      <c r="S1" s="22"/>
      <c r="T1" s="22" t="s">
        <v>57</v>
      </c>
      <c r="U1" s="22"/>
      <c r="V1" s="22" t="s">
        <v>29</v>
      </c>
      <c r="W1" s="22"/>
      <c r="X1" s="22" t="s">
        <v>30</v>
      </c>
      <c r="Y1" s="22"/>
      <c r="Z1" s="22" t="s">
        <v>31</v>
      </c>
      <c r="AA1" s="22"/>
      <c r="AB1" s="22" t="s">
        <v>32</v>
      </c>
      <c r="AC1" s="22"/>
      <c r="AD1" s="22" t="s">
        <v>33</v>
      </c>
      <c r="AE1" s="22"/>
      <c r="AF1" s="5" t="s">
        <v>34</v>
      </c>
      <c r="AG1" s="5"/>
      <c r="AH1" s="22" t="s">
        <v>35</v>
      </c>
      <c r="AI1" s="22"/>
      <c r="AJ1" s="22" t="s">
        <v>36</v>
      </c>
      <c r="AK1" s="22"/>
      <c r="AL1" s="22" t="s">
        <v>94</v>
      </c>
      <c r="AM1" s="22"/>
    </row>
    <row r="2" spans="1:39" x14ac:dyDescent="0.25">
      <c r="A2" s="18" t="s">
        <v>93</v>
      </c>
      <c r="B2" s="23" t="s">
        <v>1</v>
      </c>
      <c r="C2" s="23"/>
      <c r="D2" s="23" t="s">
        <v>2</v>
      </c>
      <c r="E2" s="23"/>
      <c r="F2" s="23" t="s">
        <v>3</v>
      </c>
      <c r="G2" s="23"/>
      <c r="H2" s="23" t="s">
        <v>4</v>
      </c>
      <c r="I2" s="23"/>
      <c r="J2" s="23" t="s">
        <v>5</v>
      </c>
      <c r="K2" s="23"/>
      <c r="L2" s="23" t="s">
        <v>6</v>
      </c>
      <c r="M2" s="23"/>
      <c r="N2" s="23" t="s">
        <v>7</v>
      </c>
      <c r="O2" s="23"/>
      <c r="P2" s="23" t="s">
        <v>8</v>
      </c>
      <c r="Q2" s="23"/>
      <c r="R2" s="23" t="s">
        <v>9</v>
      </c>
      <c r="S2" s="23"/>
      <c r="T2" s="23" t="s">
        <v>10</v>
      </c>
      <c r="U2" s="23"/>
      <c r="V2" s="23" t="s">
        <v>11</v>
      </c>
      <c r="W2" s="23"/>
      <c r="X2" s="23" t="s">
        <v>12</v>
      </c>
      <c r="Y2" s="23"/>
      <c r="Z2" s="23" t="s">
        <v>13</v>
      </c>
      <c r="AA2" s="23"/>
      <c r="AB2" s="23" t="s">
        <v>14</v>
      </c>
      <c r="AC2" s="23"/>
      <c r="AD2" s="23" t="s">
        <v>15</v>
      </c>
      <c r="AE2" s="23"/>
      <c r="AF2" s="23" t="s">
        <v>16</v>
      </c>
      <c r="AG2" s="23"/>
      <c r="AH2" s="23" t="s">
        <v>17</v>
      </c>
      <c r="AI2" s="23"/>
      <c r="AJ2" s="23" t="s">
        <v>18</v>
      </c>
      <c r="AK2" s="23"/>
      <c r="AL2" s="23" t="s">
        <v>19</v>
      </c>
      <c r="AM2" s="23"/>
    </row>
    <row r="3" spans="1:39" x14ac:dyDescent="0.25">
      <c r="A3" s="8" t="s">
        <v>55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10">
        <v>44.6</v>
      </c>
      <c r="W3" s="10">
        <v>35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</row>
    <row r="4" spans="1:39" x14ac:dyDescent="0.25">
      <c r="A4" s="8" t="s">
        <v>56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10">
        <v>47.5</v>
      </c>
      <c r="W4" s="13">
        <v>34.700000000000003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x14ac:dyDescent="0.25">
      <c r="A5" s="7" t="s">
        <v>51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9">
        <v>46.9</v>
      </c>
      <c r="W5" s="9">
        <v>34.299999999999997</v>
      </c>
      <c r="X5" s="9">
        <v>46.8</v>
      </c>
      <c r="Y5" s="9">
        <v>31.7</v>
      </c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spans="1:39" x14ac:dyDescent="0.25">
      <c r="A6" s="8" t="s">
        <v>52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10">
        <v>46.2</v>
      </c>
      <c r="W6" s="10">
        <v>34.5</v>
      </c>
      <c r="X6" s="10">
        <v>46.7</v>
      </c>
      <c r="Y6" s="10">
        <v>31.4</v>
      </c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</row>
    <row r="7" spans="1:39" x14ac:dyDescent="0.25">
      <c r="A7" s="8" t="s">
        <v>53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10">
        <v>47.5</v>
      </c>
      <c r="W7" s="10">
        <v>34</v>
      </c>
      <c r="X7" s="10">
        <v>46.2</v>
      </c>
      <c r="Y7" s="10">
        <v>30.7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x14ac:dyDescent="0.25">
      <c r="A8" s="8" t="s">
        <v>54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10">
        <v>44.9</v>
      </c>
      <c r="W8" s="10">
        <v>33.700000000000003</v>
      </c>
      <c r="X8" s="10">
        <v>45.6</v>
      </c>
      <c r="Y8" s="10">
        <v>30</v>
      </c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</row>
    <row r="9" spans="1:39" x14ac:dyDescent="0.25">
      <c r="A9" s="7" t="s">
        <v>37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9">
        <v>48</v>
      </c>
      <c r="W9" s="9">
        <v>33.9</v>
      </c>
      <c r="X9" s="6">
        <v>45</v>
      </c>
      <c r="Y9" s="6">
        <v>29.1</v>
      </c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>
        <v>48.1</v>
      </c>
      <c r="AM9" s="6">
        <v>25</v>
      </c>
    </row>
    <row r="10" spans="1:39" x14ac:dyDescent="0.25">
      <c r="A10" s="8" t="s">
        <v>38</v>
      </c>
      <c r="B10" s="4">
        <v>44.4</v>
      </c>
      <c r="C10" s="4">
        <v>32.299999999999997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14">
        <v>46.6</v>
      </c>
      <c r="W10" s="14">
        <v>33.299999999999997</v>
      </c>
      <c r="X10" s="4">
        <v>44.6</v>
      </c>
      <c r="Y10" s="4">
        <v>27.6</v>
      </c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>
        <v>47.7</v>
      </c>
      <c r="AM10" s="4">
        <v>24.2</v>
      </c>
    </row>
    <row r="11" spans="1:39" x14ac:dyDescent="0.25">
      <c r="A11" s="7" t="s">
        <v>39</v>
      </c>
      <c r="B11" s="6">
        <v>45.5</v>
      </c>
      <c r="C11" s="6">
        <v>28.2</v>
      </c>
      <c r="D11" s="6">
        <v>46</v>
      </c>
      <c r="E11" s="6">
        <v>28.9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9">
        <v>45.9</v>
      </c>
      <c r="W11" s="9">
        <v>32.700000000000003</v>
      </c>
      <c r="X11" s="6">
        <v>42.9</v>
      </c>
      <c r="Y11" s="6">
        <v>25.1</v>
      </c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>
        <v>47.2</v>
      </c>
      <c r="AM11" s="6">
        <v>23.3</v>
      </c>
    </row>
    <row r="12" spans="1:39" x14ac:dyDescent="0.25">
      <c r="A12" s="8" t="s">
        <v>40</v>
      </c>
      <c r="B12" s="4">
        <v>43.1</v>
      </c>
      <c r="C12" s="4">
        <v>29.4</v>
      </c>
      <c r="D12" s="4">
        <v>46.7</v>
      </c>
      <c r="E12" s="4">
        <v>29.3</v>
      </c>
      <c r="F12" s="4"/>
      <c r="G12" s="4"/>
      <c r="H12" s="4"/>
      <c r="I12" s="4"/>
      <c r="J12" s="4"/>
      <c r="K12" s="4"/>
      <c r="L12" s="4">
        <v>46.15</v>
      </c>
      <c r="M12" s="4">
        <v>28.520000000000003</v>
      </c>
      <c r="N12" s="4"/>
      <c r="O12" s="4"/>
      <c r="P12" s="4"/>
      <c r="Q12" s="4"/>
      <c r="R12" s="4"/>
      <c r="S12" s="4"/>
      <c r="T12" s="4"/>
      <c r="U12" s="4"/>
      <c r="V12" s="4">
        <v>45</v>
      </c>
      <c r="W12" s="4">
        <v>30.3</v>
      </c>
      <c r="X12" s="4">
        <v>42.4</v>
      </c>
      <c r="Y12" s="4">
        <v>23.8</v>
      </c>
      <c r="Z12" s="4">
        <v>47.3</v>
      </c>
      <c r="AA12" s="4">
        <v>34.4</v>
      </c>
      <c r="AB12" s="4"/>
      <c r="AC12" s="4"/>
      <c r="AD12" s="4"/>
      <c r="AE12" s="4"/>
      <c r="AF12" s="4"/>
      <c r="AG12" s="4"/>
      <c r="AH12" s="4"/>
      <c r="AI12" s="4"/>
      <c r="AJ12" s="4">
        <v>43.4</v>
      </c>
      <c r="AK12" s="4">
        <v>14.8</v>
      </c>
      <c r="AL12" s="4">
        <v>46.1</v>
      </c>
      <c r="AM12" s="4">
        <v>21.8</v>
      </c>
    </row>
    <row r="13" spans="1:39" x14ac:dyDescent="0.25">
      <c r="A13" s="7" t="s">
        <v>41</v>
      </c>
      <c r="B13" s="6">
        <v>41.8</v>
      </c>
      <c r="C13" s="6">
        <v>29.1</v>
      </c>
      <c r="D13" s="6">
        <v>46.9</v>
      </c>
      <c r="E13" s="6">
        <v>28.8</v>
      </c>
      <c r="F13" s="6">
        <v>45.8</v>
      </c>
      <c r="G13" s="6">
        <v>35.4</v>
      </c>
      <c r="H13" s="6">
        <v>43</v>
      </c>
      <c r="I13" s="6">
        <v>26.6</v>
      </c>
      <c r="J13" s="6"/>
      <c r="K13" s="6"/>
      <c r="L13" s="6">
        <v>45.9</v>
      </c>
      <c r="M13" s="6">
        <v>27.640000000000004</v>
      </c>
      <c r="N13" s="6"/>
      <c r="O13" s="6"/>
      <c r="P13" s="6"/>
      <c r="Q13" s="6"/>
      <c r="R13" s="6"/>
      <c r="S13" s="6"/>
      <c r="T13" s="6">
        <v>43.8</v>
      </c>
      <c r="U13" s="6">
        <v>29.7</v>
      </c>
      <c r="V13" s="6">
        <v>44.7</v>
      </c>
      <c r="W13" s="6">
        <v>31.6</v>
      </c>
      <c r="X13" s="6">
        <v>41</v>
      </c>
      <c r="Y13" s="6">
        <v>21.6</v>
      </c>
      <c r="Z13" s="6">
        <v>46.5</v>
      </c>
      <c r="AA13" s="6">
        <v>33.4</v>
      </c>
      <c r="AB13" s="6">
        <v>44.6</v>
      </c>
      <c r="AC13" s="6">
        <v>23.7</v>
      </c>
      <c r="AD13" s="6">
        <v>40.299999999999997</v>
      </c>
      <c r="AE13" s="6">
        <v>21</v>
      </c>
      <c r="AF13" s="6"/>
      <c r="AG13" s="6"/>
      <c r="AH13" s="6"/>
      <c r="AI13" s="6"/>
      <c r="AJ13" s="6">
        <v>38.9</v>
      </c>
      <c r="AK13" s="6">
        <v>13.7</v>
      </c>
      <c r="AL13" s="6">
        <v>44.3</v>
      </c>
      <c r="AM13" s="6">
        <v>20</v>
      </c>
    </row>
    <row r="14" spans="1:39" x14ac:dyDescent="0.25">
      <c r="A14" s="8" t="s">
        <v>42</v>
      </c>
      <c r="B14" s="4">
        <v>43.6</v>
      </c>
      <c r="C14" s="4">
        <v>29.8</v>
      </c>
      <c r="D14" s="4">
        <v>48.2</v>
      </c>
      <c r="E14" s="4">
        <v>28.6</v>
      </c>
      <c r="F14" s="4">
        <v>43.6</v>
      </c>
      <c r="G14" s="4">
        <v>34</v>
      </c>
      <c r="H14" s="4">
        <v>44</v>
      </c>
      <c r="I14" s="4">
        <v>26.8</v>
      </c>
      <c r="J14" s="4"/>
      <c r="K14" s="4"/>
      <c r="L14" s="4">
        <v>45.65</v>
      </c>
      <c r="M14" s="4">
        <v>27.240000000000002</v>
      </c>
      <c r="N14" s="4"/>
      <c r="O14" s="4"/>
      <c r="P14" s="4"/>
      <c r="Q14" s="4"/>
      <c r="R14" s="4"/>
      <c r="S14" s="4"/>
      <c r="T14" s="4">
        <v>43.5</v>
      </c>
      <c r="U14" s="4">
        <v>31.4</v>
      </c>
      <c r="V14" s="4">
        <v>44.6</v>
      </c>
      <c r="W14" s="4">
        <v>33.200000000000003</v>
      </c>
      <c r="X14" s="4">
        <v>40</v>
      </c>
      <c r="Y14" s="4">
        <v>20.100000000000001</v>
      </c>
      <c r="Z14" s="4">
        <v>46</v>
      </c>
      <c r="AA14" s="4">
        <v>32.9</v>
      </c>
      <c r="AB14" s="4">
        <v>47.4</v>
      </c>
      <c r="AC14" s="4">
        <v>23.3</v>
      </c>
      <c r="AD14" s="4">
        <v>40.200000000000003</v>
      </c>
      <c r="AE14" s="4">
        <v>19.7</v>
      </c>
      <c r="AF14" s="4"/>
      <c r="AG14" s="4"/>
      <c r="AH14" s="4"/>
      <c r="AI14" s="4"/>
      <c r="AJ14" s="4">
        <v>37.6</v>
      </c>
      <c r="AK14" s="4">
        <v>14</v>
      </c>
      <c r="AL14" s="4">
        <v>42.4</v>
      </c>
      <c r="AM14" s="4">
        <v>17.7</v>
      </c>
    </row>
    <row r="15" spans="1:39" x14ac:dyDescent="0.25">
      <c r="A15" s="7" t="s">
        <v>43</v>
      </c>
      <c r="B15" s="6">
        <v>44.5</v>
      </c>
      <c r="C15" s="6">
        <v>28.3</v>
      </c>
      <c r="D15" s="6">
        <v>48.9</v>
      </c>
      <c r="E15" s="6">
        <v>27.2</v>
      </c>
      <c r="F15" s="6">
        <v>46.6</v>
      </c>
      <c r="G15" s="6">
        <v>33</v>
      </c>
      <c r="H15" s="6">
        <v>44.1</v>
      </c>
      <c r="I15" s="6">
        <v>26</v>
      </c>
      <c r="J15" s="6"/>
      <c r="K15" s="6"/>
      <c r="L15" s="6">
        <v>45.4</v>
      </c>
      <c r="M15" s="6">
        <v>26.879999999999995</v>
      </c>
      <c r="N15" s="6"/>
      <c r="O15" s="6"/>
      <c r="P15" s="6"/>
      <c r="Q15" s="6"/>
      <c r="R15" s="6"/>
      <c r="S15" s="6"/>
      <c r="T15" s="6">
        <v>44.7</v>
      </c>
      <c r="U15" s="6">
        <v>31.1</v>
      </c>
      <c r="V15" s="6">
        <v>44.4</v>
      </c>
      <c r="W15" s="6">
        <v>31.5</v>
      </c>
      <c r="X15" s="6">
        <v>40.299999999999997</v>
      </c>
      <c r="Y15" s="6">
        <v>17.7</v>
      </c>
      <c r="Z15" s="6">
        <v>43.2</v>
      </c>
      <c r="AA15" s="6">
        <v>46.6</v>
      </c>
      <c r="AB15" s="6">
        <v>44.7</v>
      </c>
      <c r="AC15" s="6">
        <v>21.4</v>
      </c>
      <c r="AD15" s="6">
        <v>42</v>
      </c>
      <c r="AE15" s="6">
        <v>19</v>
      </c>
      <c r="AF15" s="6"/>
      <c r="AG15" s="6"/>
      <c r="AH15" s="6">
        <v>43.7</v>
      </c>
      <c r="AI15" s="6">
        <v>24.5</v>
      </c>
      <c r="AJ15" s="6">
        <v>36.5</v>
      </c>
      <c r="AK15" s="6">
        <v>13.5</v>
      </c>
      <c r="AL15" s="6">
        <v>40.299999999999997</v>
      </c>
      <c r="AM15" s="6">
        <v>15.6</v>
      </c>
    </row>
    <row r="16" spans="1:39" x14ac:dyDescent="0.25">
      <c r="A16" s="8" t="s">
        <v>44</v>
      </c>
      <c r="B16" s="4">
        <v>41.4</v>
      </c>
      <c r="C16" s="4">
        <v>29.7</v>
      </c>
      <c r="D16" s="4">
        <v>44.7</v>
      </c>
      <c r="E16" s="4">
        <v>29</v>
      </c>
      <c r="F16" s="4">
        <v>43.2</v>
      </c>
      <c r="G16" s="4">
        <v>40.799999999999997</v>
      </c>
      <c r="H16" s="4">
        <v>44.1</v>
      </c>
      <c r="I16" s="4">
        <v>25.1</v>
      </c>
      <c r="J16" s="4">
        <v>46.5</v>
      </c>
      <c r="K16" s="4">
        <v>30.2</v>
      </c>
      <c r="L16" s="4">
        <v>45.15</v>
      </c>
      <c r="M16" s="4">
        <v>26.580000000000002</v>
      </c>
      <c r="N16" s="4"/>
      <c r="O16" s="4"/>
      <c r="P16" s="4"/>
      <c r="Q16" s="4"/>
      <c r="R16" s="4"/>
      <c r="S16" s="4"/>
      <c r="T16" s="4">
        <v>42.9</v>
      </c>
      <c r="U16" s="4">
        <v>41.2</v>
      </c>
      <c r="V16" s="4">
        <v>43.3</v>
      </c>
      <c r="W16" s="4">
        <v>31</v>
      </c>
      <c r="X16" s="4">
        <v>36.1</v>
      </c>
      <c r="Y16" s="4">
        <v>16.5</v>
      </c>
      <c r="Z16" s="4">
        <v>40.6</v>
      </c>
      <c r="AA16" s="4">
        <v>48.3</v>
      </c>
      <c r="AB16" s="4">
        <v>40.700000000000003</v>
      </c>
      <c r="AC16" s="4">
        <v>22.2</v>
      </c>
      <c r="AD16" s="4">
        <v>37.299999999999997</v>
      </c>
      <c r="AE16" s="4">
        <v>17.3</v>
      </c>
      <c r="AF16" s="4"/>
      <c r="AG16" s="4"/>
      <c r="AH16" s="4">
        <v>41.7</v>
      </c>
      <c r="AI16" s="4">
        <v>27.4</v>
      </c>
      <c r="AJ16" s="4">
        <v>31.9</v>
      </c>
      <c r="AK16" s="4">
        <v>14.1</v>
      </c>
      <c r="AL16" s="4">
        <v>36.200000000000003</v>
      </c>
      <c r="AM16" s="4">
        <v>16</v>
      </c>
    </row>
    <row r="17" spans="1:39" x14ac:dyDescent="0.25">
      <c r="A17" s="8" t="s">
        <v>45</v>
      </c>
      <c r="B17" s="4">
        <v>41.2</v>
      </c>
      <c r="C17" s="4">
        <v>26</v>
      </c>
      <c r="D17" s="4">
        <v>44.9</v>
      </c>
      <c r="E17" s="4">
        <v>25.2</v>
      </c>
      <c r="F17" s="4">
        <v>48.3</v>
      </c>
      <c r="G17" s="4">
        <v>33.700000000000003</v>
      </c>
      <c r="H17" s="4">
        <v>44.6</v>
      </c>
      <c r="I17" s="4">
        <v>23.7</v>
      </c>
      <c r="J17" s="4">
        <v>47.7</v>
      </c>
      <c r="K17" s="4">
        <v>28.9</v>
      </c>
      <c r="L17" s="4">
        <v>44.96</v>
      </c>
      <c r="M17" s="4">
        <v>26.32</v>
      </c>
      <c r="N17" s="4"/>
      <c r="O17" s="4"/>
      <c r="P17" s="4"/>
      <c r="Q17" s="4"/>
      <c r="R17" s="4"/>
      <c r="S17" s="4"/>
      <c r="T17" s="4">
        <v>46.6</v>
      </c>
      <c r="U17" s="4">
        <v>32.799999999999997</v>
      </c>
      <c r="V17" s="4">
        <v>42.2</v>
      </c>
      <c r="W17" s="4">
        <v>31.3</v>
      </c>
      <c r="X17" s="4">
        <v>34.299999999999997</v>
      </c>
      <c r="Y17" s="4">
        <v>14</v>
      </c>
      <c r="Z17" s="4">
        <v>45.3</v>
      </c>
      <c r="AA17" s="4">
        <v>28.4</v>
      </c>
      <c r="AB17" s="4">
        <v>36.700000000000003</v>
      </c>
      <c r="AC17" s="4">
        <v>19.3</v>
      </c>
      <c r="AD17" s="4">
        <v>40</v>
      </c>
      <c r="AE17" s="4">
        <v>17.3</v>
      </c>
      <c r="AF17" s="4"/>
      <c r="AG17" s="4"/>
      <c r="AH17" s="4">
        <v>44.3</v>
      </c>
      <c r="AI17" s="4">
        <v>23.1</v>
      </c>
      <c r="AJ17" s="4">
        <v>30.1</v>
      </c>
      <c r="AK17" s="4">
        <v>12.6</v>
      </c>
      <c r="AL17" s="4">
        <v>35</v>
      </c>
      <c r="AM17" s="4">
        <v>13.8</v>
      </c>
    </row>
    <row r="18" spans="1:39" x14ac:dyDescent="0.25">
      <c r="A18" s="8" t="s">
        <v>46</v>
      </c>
      <c r="B18" s="4">
        <v>43.1</v>
      </c>
      <c r="C18" s="4">
        <v>24.6</v>
      </c>
      <c r="D18" s="4">
        <v>46.2</v>
      </c>
      <c r="E18" s="4">
        <v>23.6</v>
      </c>
      <c r="F18" s="4">
        <v>49.2</v>
      </c>
      <c r="G18" s="4">
        <v>32.6</v>
      </c>
      <c r="H18" s="4">
        <v>44.9</v>
      </c>
      <c r="I18" s="4">
        <v>22.4</v>
      </c>
      <c r="J18" s="4">
        <v>49.1</v>
      </c>
      <c r="K18" s="4">
        <v>28.2</v>
      </c>
      <c r="L18" s="4">
        <v>44.86</v>
      </c>
      <c r="M18" s="4">
        <v>26.119999999999997</v>
      </c>
      <c r="N18" s="4"/>
      <c r="O18" s="4"/>
      <c r="P18" s="4"/>
      <c r="Q18" s="4"/>
      <c r="R18" s="4"/>
      <c r="S18" s="4"/>
      <c r="T18" s="4">
        <v>47.1</v>
      </c>
      <c r="U18" s="4">
        <v>34.1</v>
      </c>
      <c r="V18" s="4">
        <v>43.8</v>
      </c>
      <c r="W18" s="4">
        <v>26.4</v>
      </c>
      <c r="X18" s="4">
        <v>32.4</v>
      </c>
      <c r="Y18" s="4">
        <v>13.1</v>
      </c>
      <c r="Z18" s="4">
        <v>44.3</v>
      </c>
      <c r="AA18" s="4">
        <v>26.7</v>
      </c>
      <c r="AB18" s="4">
        <v>32.9</v>
      </c>
      <c r="AC18" s="4">
        <v>15.2</v>
      </c>
      <c r="AD18" s="4">
        <v>39</v>
      </c>
      <c r="AE18" s="4">
        <v>16.600000000000001</v>
      </c>
      <c r="AF18" s="4"/>
      <c r="AG18" s="4"/>
      <c r="AH18" s="4">
        <v>44.1</v>
      </c>
      <c r="AI18" s="4">
        <v>23.1</v>
      </c>
      <c r="AJ18" s="4">
        <v>28.6</v>
      </c>
      <c r="AK18" s="4">
        <v>11.9</v>
      </c>
      <c r="AL18" s="4">
        <v>34.200000000000003</v>
      </c>
      <c r="AM18" s="4">
        <v>13.5</v>
      </c>
    </row>
    <row r="19" spans="1:39" x14ac:dyDescent="0.25">
      <c r="A19" s="8" t="s">
        <v>47</v>
      </c>
      <c r="B19" s="4">
        <v>39.9</v>
      </c>
      <c r="C19" s="4">
        <v>21.9</v>
      </c>
      <c r="D19" s="4">
        <v>44.6</v>
      </c>
      <c r="E19" s="4">
        <v>21.5</v>
      </c>
      <c r="F19" s="4">
        <v>46.2</v>
      </c>
      <c r="G19" s="4">
        <v>31.7</v>
      </c>
      <c r="H19" s="4">
        <v>43.3</v>
      </c>
      <c r="I19" s="4">
        <v>22.5</v>
      </c>
      <c r="J19" s="4">
        <v>48.5</v>
      </c>
      <c r="K19" s="4">
        <v>25.7</v>
      </c>
      <c r="L19" s="4">
        <v>44.746666666666663</v>
      </c>
      <c r="M19" s="4">
        <v>25.32</v>
      </c>
      <c r="N19" s="4"/>
      <c r="O19" s="4"/>
      <c r="P19" s="4"/>
      <c r="Q19" s="4"/>
      <c r="R19" s="4"/>
      <c r="S19" s="4"/>
      <c r="T19" s="4">
        <v>46.5</v>
      </c>
      <c r="U19" s="4">
        <v>32.700000000000003</v>
      </c>
      <c r="V19" s="4">
        <v>40.200000000000003</v>
      </c>
      <c r="W19" s="4">
        <v>24.5</v>
      </c>
      <c r="X19" s="4">
        <v>28.9</v>
      </c>
      <c r="Y19" s="4">
        <v>11.6</v>
      </c>
      <c r="Z19" s="4">
        <v>44.1</v>
      </c>
      <c r="AA19" s="4">
        <v>26.7</v>
      </c>
      <c r="AB19" s="4">
        <v>31.3</v>
      </c>
      <c r="AC19" s="4">
        <v>13.3</v>
      </c>
      <c r="AD19" s="4">
        <v>37.4</v>
      </c>
      <c r="AE19" s="4">
        <v>15.1</v>
      </c>
      <c r="AF19" s="4"/>
      <c r="AG19" s="4"/>
      <c r="AH19" s="4">
        <v>42</v>
      </c>
      <c r="AI19" s="4">
        <v>21.7</v>
      </c>
      <c r="AJ19" s="4">
        <v>25.8</v>
      </c>
      <c r="AK19" s="4">
        <v>11.5</v>
      </c>
      <c r="AL19" s="4">
        <v>30.9</v>
      </c>
      <c r="AM19" s="4">
        <v>12.2</v>
      </c>
    </row>
    <row r="20" spans="1:39" x14ac:dyDescent="0.25">
      <c r="A20" s="8" t="s">
        <v>48</v>
      </c>
      <c r="B20" s="4">
        <v>40.200000000000003</v>
      </c>
      <c r="C20" s="4">
        <v>21.1</v>
      </c>
      <c r="D20" s="4">
        <v>43.3</v>
      </c>
      <c r="E20" s="4">
        <v>19.2</v>
      </c>
      <c r="F20" s="4">
        <v>44.2</v>
      </c>
      <c r="G20" s="4">
        <v>30.7</v>
      </c>
      <c r="H20" s="4">
        <v>42.6</v>
      </c>
      <c r="I20" s="4">
        <v>21.6</v>
      </c>
      <c r="J20" s="4">
        <v>47.7</v>
      </c>
      <c r="K20" s="4">
        <v>25.6</v>
      </c>
      <c r="L20" s="4">
        <v>44.613333333333337</v>
      </c>
      <c r="M20" s="4">
        <v>23.62</v>
      </c>
      <c r="N20" s="4"/>
      <c r="O20" s="4"/>
      <c r="P20" s="4"/>
      <c r="Q20" s="4"/>
      <c r="R20" s="4"/>
      <c r="S20" s="4"/>
      <c r="T20" s="4">
        <v>45.4</v>
      </c>
      <c r="U20" s="4">
        <v>29.6</v>
      </c>
      <c r="V20" s="4">
        <v>38.4</v>
      </c>
      <c r="W20" s="4">
        <v>23.8</v>
      </c>
      <c r="X20" s="4">
        <v>25.7</v>
      </c>
      <c r="Y20" s="4">
        <v>11.6</v>
      </c>
      <c r="Z20" s="4">
        <v>43.5</v>
      </c>
      <c r="AA20" s="4">
        <v>23.5</v>
      </c>
      <c r="AB20" s="4">
        <v>30.9</v>
      </c>
      <c r="AC20" s="4">
        <v>12.7</v>
      </c>
      <c r="AD20" s="4">
        <v>37.799999999999997</v>
      </c>
      <c r="AE20" s="4">
        <v>12.6</v>
      </c>
      <c r="AF20" s="4"/>
      <c r="AG20" s="4"/>
      <c r="AH20" s="4">
        <v>41.9</v>
      </c>
      <c r="AI20" s="4">
        <v>22.1</v>
      </c>
      <c r="AJ20" s="4">
        <v>22.3</v>
      </c>
      <c r="AK20" s="4">
        <v>11.1</v>
      </c>
      <c r="AL20" s="4">
        <v>26.9</v>
      </c>
      <c r="AM20" s="4">
        <v>12</v>
      </c>
    </row>
    <row r="21" spans="1:39" x14ac:dyDescent="0.25">
      <c r="A21" s="7" t="s">
        <v>49</v>
      </c>
      <c r="B21" s="6">
        <v>41.5</v>
      </c>
      <c r="C21" s="6">
        <v>19.8</v>
      </c>
      <c r="D21" s="6">
        <v>42.8</v>
      </c>
      <c r="E21" s="6">
        <v>17.399999999999999</v>
      </c>
      <c r="F21" s="6">
        <v>45.2</v>
      </c>
      <c r="G21" s="6">
        <v>28.5</v>
      </c>
      <c r="H21" s="6">
        <v>42.4</v>
      </c>
      <c r="I21" s="6">
        <v>20.3</v>
      </c>
      <c r="J21" s="6">
        <v>46</v>
      </c>
      <c r="K21" s="6">
        <v>24</v>
      </c>
      <c r="L21" s="6">
        <v>44.48</v>
      </c>
      <c r="M21" s="6">
        <v>21.919999999999998</v>
      </c>
      <c r="N21" s="6"/>
      <c r="O21" s="6"/>
      <c r="P21" s="6">
        <v>44.5</v>
      </c>
      <c r="Q21" s="6">
        <v>28.8</v>
      </c>
      <c r="R21" s="6">
        <v>45.1</v>
      </c>
      <c r="S21" s="6">
        <v>20.5</v>
      </c>
      <c r="T21" s="6">
        <v>45.2</v>
      </c>
      <c r="U21" s="6">
        <v>28.5</v>
      </c>
      <c r="V21" s="6">
        <v>38.299999999999997</v>
      </c>
      <c r="W21" s="6">
        <v>20.100000000000001</v>
      </c>
      <c r="X21" s="6">
        <v>25.7</v>
      </c>
      <c r="Y21" s="6">
        <v>10.4</v>
      </c>
      <c r="Z21" s="6">
        <v>43.8</v>
      </c>
      <c r="AA21" s="6">
        <v>21.8</v>
      </c>
      <c r="AB21" s="6">
        <v>31.9</v>
      </c>
      <c r="AC21" s="6">
        <v>10.9</v>
      </c>
      <c r="AD21" s="6">
        <v>39.5</v>
      </c>
      <c r="AE21" s="6">
        <v>12.7</v>
      </c>
      <c r="AF21" s="6"/>
      <c r="AG21" s="6"/>
      <c r="AH21" s="6">
        <v>43.8</v>
      </c>
      <c r="AI21" s="6">
        <v>23.9</v>
      </c>
      <c r="AJ21" s="6">
        <v>21.6</v>
      </c>
      <c r="AK21" s="6">
        <v>10.3</v>
      </c>
      <c r="AL21" s="6">
        <v>26.1</v>
      </c>
      <c r="AM21" s="6">
        <v>10.5</v>
      </c>
    </row>
    <row r="22" spans="1:39" x14ac:dyDescent="0.25">
      <c r="A22" s="8" t="s">
        <v>50</v>
      </c>
      <c r="B22" s="4">
        <v>43.6</v>
      </c>
      <c r="C22" s="4">
        <v>16.100000000000001</v>
      </c>
      <c r="D22" s="4">
        <v>42.7</v>
      </c>
      <c r="E22" s="4">
        <v>13.2</v>
      </c>
      <c r="F22" s="4">
        <v>49.1</v>
      </c>
      <c r="G22" s="4">
        <v>26.5</v>
      </c>
      <c r="H22" s="4">
        <v>43.4</v>
      </c>
      <c r="I22" s="4">
        <v>20.8</v>
      </c>
      <c r="J22" s="4">
        <v>45.9</v>
      </c>
      <c r="K22" s="4">
        <v>20</v>
      </c>
      <c r="L22" s="4">
        <v>44.160000000000004</v>
      </c>
      <c r="M22" s="4">
        <v>19.559999999999999</v>
      </c>
      <c r="N22" s="4"/>
      <c r="O22" s="4"/>
      <c r="P22" s="4">
        <v>44.9</v>
      </c>
      <c r="Q22" s="4">
        <v>24.7</v>
      </c>
      <c r="R22" s="4">
        <v>47</v>
      </c>
      <c r="S22" s="4">
        <v>19.100000000000001</v>
      </c>
      <c r="T22" s="4">
        <v>44.8</v>
      </c>
      <c r="U22" s="4">
        <v>22.8</v>
      </c>
      <c r="V22" s="4">
        <v>37</v>
      </c>
      <c r="W22" s="4">
        <v>17.5</v>
      </c>
      <c r="X22" s="4">
        <v>25.2</v>
      </c>
      <c r="Y22" s="4">
        <v>9.6</v>
      </c>
      <c r="Z22" s="4">
        <v>44.5</v>
      </c>
      <c r="AA22" s="4">
        <v>17.8</v>
      </c>
      <c r="AB22" s="4">
        <v>30</v>
      </c>
      <c r="AC22" s="4">
        <v>8.6999999999999993</v>
      </c>
      <c r="AD22" s="4">
        <v>38.299999999999997</v>
      </c>
      <c r="AE22" s="4">
        <v>10.8</v>
      </c>
      <c r="AF22" s="4"/>
      <c r="AG22" s="4"/>
      <c r="AH22" s="4">
        <v>44.5</v>
      </c>
      <c r="AI22" s="4">
        <v>19</v>
      </c>
      <c r="AJ22" s="4">
        <v>21.1</v>
      </c>
      <c r="AK22" s="4">
        <v>9.1</v>
      </c>
      <c r="AL22" s="4">
        <v>26.4</v>
      </c>
      <c r="AM22" s="4">
        <v>9.6</v>
      </c>
    </row>
    <row r="23" spans="1:39" x14ac:dyDescent="0.25">
      <c r="A23" s="7" t="s">
        <v>68</v>
      </c>
      <c r="B23" s="6">
        <v>44.2</v>
      </c>
      <c r="C23" s="6">
        <v>12.3</v>
      </c>
      <c r="D23" s="6">
        <v>45</v>
      </c>
      <c r="E23" s="6">
        <v>10.7</v>
      </c>
      <c r="F23" s="6">
        <v>50.9</v>
      </c>
      <c r="G23" s="6">
        <v>23.4</v>
      </c>
      <c r="H23" s="11">
        <v>44</v>
      </c>
      <c r="I23" s="11">
        <v>18.399999999999999</v>
      </c>
      <c r="J23" s="6">
        <v>46.4</v>
      </c>
      <c r="K23" s="6">
        <v>17.600000000000001</v>
      </c>
      <c r="L23" s="6"/>
      <c r="M23" s="6"/>
      <c r="N23" s="6"/>
      <c r="O23" s="6"/>
      <c r="P23" s="6">
        <v>45.5</v>
      </c>
      <c r="Q23" s="6">
        <v>22.4</v>
      </c>
      <c r="R23" s="6">
        <v>42.4</v>
      </c>
      <c r="S23" s="6">
        <v>16.2</v>
      </c>
      <c r="T23" s="6">
        <v>47.9</v>
      </c>
      <c r="U23" s="6">
        <v>20</v>
      </c>
      <c r="V23" s="6">
        <v>37</v>
      </c>
      <c r="W23" s="6">
        <v>13.7</v>
      </c>
      <c r="X23" s="6">
        <v>25.4</v>
      </c>
      <c r="Y23" s="6">
        <v>8.9</v>
      </c>
      <c r="Z23" s="6">
        <v>45</v>
      </c>
      <c r="AA23" s="6">
        <v>15.4</v>
      </c>
      <c r="AB23" s="6"/>
      <c r="AC23" s="6"/>
      <c r="AD23" s="6">
        <v>38.5</v>
      </c>
      <c r="AE23" s="6">
        <v>9.1</v>
      </c>
      <c r="AF23" s="6"/>
      <c r="AG23" s="6"/>
      <c r="AH23" s="6">
        <v>46</v>
      </c>
      <c r="AI23" s="6">
        <v>14.9</v>
      </c>
      <c r="AJ23" s="6">
        <v>21.2</v>
      </c>
      <c r="AK23" s="6">
        <v>8.5</v>
      </c>
      <c r="AL23" s="6">
        <v>26.1</v>
      </c>
      <c r="AM23" s="6">
        <v>8.8000000000000007</v>
      </c>
    </row>
    <row r="24" spans="1:39" x14ac:dyDescent="0.25">
      <c r="A24" s="8" t="s">
        <v>69</v>
      </c>
      <c r="B24" s="4">
        <v>44.3</v>
      </c>
      <c r="C24" s="4">
        <v>10.8</v>
      </c>
      <c r="D24" s="4">
        <v>45.3</v>
      </c>
      <c r="E24" s="4">
        <v>9.1</v>
      </c>
      <c r="F24" s="4">
        <v>49</v>
      </c>
      <c r="G24" s="4">
        <v>20</v>
      </c>
      <c r="H24" s="12">
        <v>45.1</v>
      </c>
      <c r="I24" s="12">
        <v>16</v>
      </c>
      <c r="J24" s="4">
        <v>46.5</v>
      </c>
      <c r="K24" s="4">
        <v>15.7</v>
      </c>
      <c r="L24" s="4"/>
      <c r="M24" s="4"/>
      <c r="N24" s="4"/>
      <c r="O24" s="4"/>
      <c r="P24" s="4">
        <v>46.2</v>
      </c>
      <c r="Q24" s="4">
        <v>18.600000000000001</v>
      </c>
      <c r="R24" s="4"/>
      <c r="S24" s="4"/>
      <c r="T24" s="4">
        <v>47.9</v>
      </c>
      <c r="U24" s="4">
        <v>17.7</v>
      </c>
      <c r="V24" s="4">
        <v>37.6</v>
      </c>
      <c r="W24" s="4">
        <v>12.5</v>
      </c>
      <c r="X24" s="4">
        <v>24.1</v>
      </c>
      <c r="Y24" s="4">
        <v>8.6</v>
      </c>
      <c r="Z24" s="4">
        <v>45.8</v>
      </c>
      <c r="AA24" s="4">
        <v>12.5</v>
      </c>
      <c r="AB24" s="4"/>
      <c r="AC24" s="4"/>
      <c r="AD24" s="4">
        <v>40.5</v>
      </c>
      <c r="AE24" s="4">
        <v>9.1</v>
      </c>
      <c r="AF24" s="4"/>
      <c r="AG24" s="4"/>
      <c r="AH24" s="4">
        <v>46</v>
      </c>
      <c r="AI24" s="4">
        <v>12.5</v>
      </c>
      <c r="AJ24" s="4">
        <v>21.8</v>
      </c>
      <c r="AK24" s="4">
        <v>8.8000000000000007</v>
      </c>
      <c r="AL24" s="4">
        <v>24.5</v>
      </c>
      <c r="AM24" s="4">
        <v>8.6</v>
      </c>
    </row>
    <row r="25" spans="1:39" x14ac:dyDescent="0.25">
      <c r="A25" s="8" t="s">
        <v>70</v>
      </c>
      <c r="B25" s="4"/>
      <c r="C25" s="4"/>
      <c r="D25" s="4"/>
      <c r="E25" s="4"/>
      <c r="F25" s="4"/>
      <c r="G25" s="4"/>
      <c r="H25" s="12"/>
      <c r="I25" s="12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>
        <v>22</v>
      </c>
      <c r="AK25" s="4">
        <v>8.6</v>
      </c>
      <c r="AL25" s="4">
        <v>23.1</v>
      </c>
      <c r="AM25" s="4">
        <v>8.5</v>
      </c>
    </row>
    <row r="26" spans="1:39" x14ac:dyDescent="0.25">
      <c r="A26" s="8"/>
      <c r="AL26" s="4"/>
      <c r="AM26" s="4"/>
    </row>
    <row r="27" spans="1:39" x14ac:dyDescent="0.25">
      <c r="A27" s="18">
        <v>1950</v>
      </c>
      <c r="B27" s="17">
        <v>46.8</v>
      </c>
      <c r="C27" s="17">
        <v>14.3</v>
      </c>
      <c r="D27" s="17">
        <v>44.9</v>
      </c>
      <c r="E27" s="17">
        <v>12.1</v>
      </c>
      <c r="F27" s="17">
        <v>50.7</v>
      </c>
      <c r="G27" s="17">
        <v>25.9</v>
      </c>
      <c r="H27" s="17">
        <v>46.4</v>
      </c>
      <c r="I27" s="17">
        <v>17.600000000000001</v>
      </c>
      <c r="J27" s="17">
        <v>45</v>
      </c>
      <c r="K27" s="17">
        <v>19.8</v>
      </c>
      <c r="L27" s="17">
        <v>46.4</v>
      </c>
      <c r="M27" s="17">
        <v>17</v>
      </c>
      <c r="N27" s="17">
        <v>44.5</v>
      </c>
      <c r="O27" s="17">
        <v>11.7</v>
      </c>
      <c r="P27" s="17">
        <v>48</v>
      </c>
      <c r="Q27" s="17">
        <v>20.3</v>
      </c>
      <c r="R27" s="17">
        <v>43</v>
      </c>
      <c r="S27" s="17">
        <v>25.8</v>
      </c>
      <c r="T27" s="17">
        <v>46.9</v>
      </c>
      <c r="U27" s="17">
        <v>21</v>
      </c>
      <c r="V27" s="17">
        <v>37.5</v>
      </c>
      <c r="W27" s="17">
        <v>15</v>
      </c>
      <c r="X27" s="17">
        <v>26</v>
      </c>
      <c r="Y27" s="17">
        <v>9.8000000000000007</v>
      </c>
      <c r="Z27" s="17">
        <v>49.2</v>
      </c>
      <c r="AA27" s="17">
        <v>21.6</v>
      </c>
      <c r="AB27" s="17">
        <v>32.1</v>
      </c>
      <c r="AC27" s="17">
        <v>11.2</v>
      </c>
      <c r="AD27" s="17">
        <v>40.4</v>
      </c>
      <c r="AE27" s="17">
        <v>12.9</v>
      </c>
      <c r="AF27" s="17">
        <v>53.1</v>
      </c>
      <c r="AG27" s="17">
        <v>21.8</v>
      </c>
      <c r="AH27" s="17">
        <v>52.5</v>
      </c>
      <c r="AI27" s="17">
        <v>25.7</v>
      </c>
      <c r="AJ27" s="17">
        <v>21</v>
      </c>
      <c r="AK27" s="17">
        <v>10.8</v>
      </c>
      <c r="AL27" s="17">
        <v>26</v>
      </c>
      <c r="AM27" s="17">
        <v>9.8000000000000007</v>
      </c>
    </row>
    <row r="28" spans="1:39" x14ac:dyDescent="0.25">
      <c r="A28" s="19">
        <f>A27+1</f>
        <v>1951</v>
      </c>
      <c r="B28" s="17">
        <v>47.2</v>
      </c>
      <c r="C28" s="17">
        <v>13.8</v>
      </c>
      <c r="D28" s="17">
        <v>45.3</v>
      </c>
      <c r="E28" s="17">
        <v>11.8</v>
      </c>
      <c r="F28" s="17">
        <v>51.1</v>
      </c>
      <c r="G28" s="17">
        <v>25.4</v>
      </c>
      <c r="H28" s="17">
        <v>46.5</v>
      </c>
      <c r="I28" s="17">
        <v>17.100000000000001</v>
      </c>
      <c r="J28" s="17">
        <v>44.9</v>
      </c>
      <c r="K28" s="17">
        <v>19.2</v>
      </c>
      <c r="L28" s="17">
        <v>46.4</v>
      </c>
      <c r="M28" s="17">
        <v>16.7</v>
      </c>
      <c r="N28" s="17">
        <v>44.3</v>
      </c>
      <c r="O28" s="17">
        <v>11.6</v>
      </c>
      <c r="P28" s="17">
        <v>48</v>
      </c>
      <c r="Q28" s="17">
        <v>20.100000000000001</v>
      </c>
      <c r="R28" s="17">
        <v>43</v>
      </c>
      <c r="S28" s="17">
        <v>25.5</v>
      </c>
      <c r="T28" s="17">
        <v>47</v>
      </c>
      <c r="U28" s="17">
        <v>21.4</v>
      </c>
      <c r="V28" s="17">
        <v>37.299999999999997</v>
      </c>
      <c r="W28" s="17">
        <v>14.1</v>
      </c>
      <c r="X28" s="17">
        <v>25.9</v>
      </c>
      <c r="Y28" s="17">
        <v>9.5</v>
      </c>
      <c r="Z28" s="17">
        <v>49.2</v>
      </c>
      <c r="AA28" s="17">
        <v>20.8</v>
      </c>
      <c r="AB28" s="17">
        <v>31.4</v>
      </c>
      <c r="AC28" s="17">
        <v>10.9</v>
      </c>
      <c r="AD28" s="17">
        <v>40.6</v>
      </c>
      <c r="AE28" s="17">
        <v>12.4</v>
      </c>
      <c r="AF28" s="17">
        <v>53.4</v>
      </c>
      <c r="AG28" s="17">
        <v>21.3</v>
      </c>
      <c r="AH28" s="17">
        <v>52.4</v>
      </c>
      <c r="AI28" s="17">
        <v>25.1</v>
      </c>
      <c r="AJ28" s="17">
        <v>21.1</v>
      </c>
      <c r="AK28" s="17">
        <v>10.6</v>
      </c>
      <c r="AL28" s="17">
        <v>25.9</v>
      </c>
      <c r="AM28" s="17">
        <v>9.5</v>
      </c>
    </row>
    <row r="29" spans="1:39" x14ac:dyDescent="0.25">
      <c r="A29" s="19">
        <f>A28+1</f>
        <v>1952</v>
      </c>
      <c r="B29" s="17">
        <v>47.5</v>
      </c>
      <c r="C29" s="17">
        <v>13.4</v>
      </c>
      <c r="D29" s="17">
        <v>45.6</v>
      </c>
      <c r="E29" s="17">
        <v>11.6</v>
      </c>
      <c r="F29" s="17">
        <v>51.3</v>
      </c>
      <c r="G29" s="17">
        <v>24.8</v>
      </c>
      <c r="H29" s="17">
        <v>46.7</v>
      </c>
      <c r="I29" s="17">
        <v>16.5</v>
      </c>
      <c r="J29" s="17">
        <v>44.9</v>
      </c>
      <c r="K29" s="17">
        <v>18.8</v>
      </c>
      <c r="L29" s="17">
        <v>46.3</v>
      </c>
      <c r="M29" s="17">
        <v>16.3</v>
      </c>
      <c r="N29" s="17">
        <v>44.1</v>
      </c>
      <c r="O29" s="17">
        <v>11.6</v>
      </c>
      <c r="P29" s="17">
        <v>48</v>
      </c>
      <c r="Q29" s="17">
        <v>19.899999999999999</v>
      </c>
      <c r="R29" s="17">
        <v>43</v>
      </c>
      <c r="S29" s="17">
        <v>25.2</v>
      </c>
      <c r="T29" s="17">
        <v>47.2</v>
      </c>
      <c r="U29" s="17">
        <v>20.7</v>
      </c>
      <c r="V29" s="17">
        <v>37.1</v>
      </c>
      <c r="W29" s="17">
        <v>13.4</v>
      </c>
      <c r="X29" s="17">
        <v>25.8</v>
      </c>
      <c r="Y29" s="17">
        <v>9</v>
      </c>
      <c r="Z29" s="17">
        <v>48.9</v>
      </c>
      <c r="AA29" s="17">
        <v>20</v>
      </c>
      <c r="AB29" s="17">
        <v>31.3</v>
      </c>
      <c r="AC29" s="17">
        <v>10.5</v>
      </c>
      <c r="AD29" s="17">
        <v>40.700000000000003</v>
      </c>
      <c r="AE29" s="17">
        <v>12</v>
      </c>
      <c r="AF29" s="17">
        <v>53.9</v>
      </c>
      <c r="AG29" s="17">
        <v>20.7</v>
      </c>
      <c r="AH29" s="17">
        <v>52.3</v>
      </c>
      <c r="AI29" s="17">
        <v>24.6</v>
      </c>
      <c r="AJ29" s="17">
        <v>21.3</v>
      </c>
      <c r="AK29" s="17">
        <v>10.5</v>
      </c>
      <c r="AL29" s="17">
        <v>25.8</v>
      </c>
      <c r="AM29" s="17">
        <v>9</v>
      </c>
    </row>
    <row r="30" spans="1:39" x14ac:dyDescent="0.25">
      <c r="A30" s="19">
        <f t="shared" ref="A30:A93" si="0">A29+1</f>
        <v>1953</v>
      </c>
      <c r="B30" s="17">
        <v>47.6</v>
      </c>
      <c r="C30" s="17">
        <v>13</v>
      </c>
      <c r="D30" s="17">
        <v>45.8</v>
      </c>
      <c r="E30" s="17">
        <v>11.1</v>
      </c>
      <c r="F30" s="17">
        <v>51.3</v>
      </c>
      <c r="G30" s="17">
        <v>24.3</v>
      </c>
      <c r="H30" s="17">
        <v>46.8</v>
      </c>
      <c r="I30" s="17">
        <v>15.9</v>
      </c>
      <c r="J30" s="17">
        <v>44.8</v>
      </c>
      <c r="K30" s="17">
        <v>18.399999999999999</v>
      </c>
      <c r="L30" s="17">
        <v>46.1</v>
      </c>
      <c r="M30" s="17">
        <v>16</v>
      </c>
      <c r="N30" s="17">
        <v>43.9</v>
      </c>
      <c r="O30" s="17">
        <v>11.5</v>
      </c>
      <c r="P30" s="17">
        <v>48</v>
      </c>
      <c r="Q30" s="17">
        <v>19.7</v>
      </c>
      <c r="R30" s="17">
        <v>43.2</v>
      </c>
      <c r="S30" s="17">
        <v>24.8</v>
      </c>
      <c r="T30" s="17">
        <v>47.3</v>
      </c>
      <c r="U30" s="17">
        <v>20.5</v>
      </c>
      <c r="V30" s="17">
        <v>37.1</v>
      </c>
      <c r="W30" s="17">
        <v>13</v>
      </c>
      <c r="X30" s="17">
        <v>25.6</v>
      </c>
      <c r="Y30" s="17">
        <v>9.1</v>
      </c>
      <c r="Z30" s="17">
        <v>48.7</v>
      </c>
      <c r="AA30" s="17">
        <v>18.899999999999999</v>
      </c>
      <c r="AB30" s="17">
        <v>31.2</v>
      </c>
      <c r="AC30" s="17">
        <v>10.3</v>
      </c>
      <c r="AD30" s="17">
        <v>40.9</v>
      </c>
      <c r="AE30" s="17">
        <v>11.7</v>
      </c>
      <c r="AF30" s="17">
        <v>54.2</v>
      </c>
      <c r="AG30" s="17">
        <v>20.2</v>
      </c>
      <c r="AH30" s="17">
        <v>52.1</v>
      </c>
      <c r="AI30" s="17">
        <v>24</v>
      </c>
      <c r="AJ30" s="17">
        <v>21.5</v>
      </c>
      <c r="AK30" s="17">
        <v>10.4</v>
      </c>
      <c r="AL30" s="17">
        <v>25.6</v>
      </c>
      <c r="AM30" s="17">
        <v>9.1</v>
      </c>
    </row>
    <row r="31" spans="1:39" x14ac:dyDescent="0.25">
      <c r="A31" s="19">
        <f t="shared" si="0"/>
        <v>1954</v>
      </c>
      <c r="B31" s="17">
        <v>47.5</v>
      </c>
      <c r="C31" s="17">
        <v>12.6</v>
      </c>
      <c r="D31" s="17">
        <v>45.8</v>
      </c>
      <c r="E31" s="17">
        <v>10.7</v>
      </c>
      <c r="F31" s="17">
        <v>51.1</v>
      </c>
      <c r="G31" s="17">
        <v>23.8</v>
      </c>
      <c r="H31" s="17">
        <v>46.8</v>
      </c>
      <c r="I31" s="17">
        <v>15.5</v>
      </c>
      <c r="J31" s="17">
        <v>44.7</v>
      </c>
      <c r="K31" s="17">
        <v>18.100000000000001</v>
      </c>
      <c r="L31" s="17">
        <v>45.9</v>
      </c>
      <c r="M31" s="17">
        <v>15.6</v>
      </c>
      <c r="N31" s="17">
        <v>43.6</v>
      </c>
      <c r="O31" s="17">
        <v>11.5</v>
      </c>
      <c r="P31" s="17">
        <v>47.9</v>
      </c>
      <c r="Q31" s="17">
        <v>19.399999999999999</v>
      </c>
      <c r="R31" s="17">
        <v>43.3</v>
      </c>
      <c r="S31" s="17">
        <v>24.4</v>
      </c>
      <c r="T31" s="17">
        <v>47.4</v>
      </c>
      <c r="U31" s="17">
        <v>20.100000000000001</v>
      </c>
      <c r="V31" s="17">
        <v>36.9</v>
      </c>
      <c r="W31" s="17">
        <v>12.6</v>
      </c>
      <c r="X31" s="17">
        <v>25.3</v>
      </c>
      <c r="Y31" s="17">
        <v>8.8000000000000007</v>
      </c>
      <c r="Z31" s="17">
        <v>48.4</v>
      </c>
      <c r="AA31" s="17">
        <v>18</v>
      </c>
      <c r="AB31" s="17">
        <v>31.2</v>
      </c>
      <c r="AC31" s="17">
        <v>10</v>
      </c>
      <c r="AD31" s="17">
        <v>40.799999999999997</v>
      </c>
      <c r="AE31" s="17">
        <v>11.4</v>
      </c>
      <c r="AF31" s="17">
        <v>54.4</v>
      </c>
      <c r="AG31" s="17">
        <v>19.7</v>
      </c>
      <c r="AH31" s="17">
        <v>51.9</v>
      </c>
      <c r="AI31" s="17">
        <v>23.4</v>
      </c>
      <c r="AJ31" s="17">
        <v>21.6</v>
      </c>
      <c r="AK31" s="17">
        <v>10.3</v>
      </c>
      <c r="AL31" s="17">
        <v>25.3</v>
      </c>
      <c r="AM31" s="17">
        <v>8.8000000000000007</v>
      </c>
    </row>
    <row r="32" spans="1:39" x14ac:dyDescent="0.25">
      <c r="A32" s="19">
        <f t="shared" si="0"/>
        <v>1955</v>
      </c>
      <c r="B32" s="17">
        <v>47.4</v>
      </c>
      <c r="C32" s="17">
        <v>12.2</v>
      </c>
      <c r="D32" s="17">
        <v>45.8</v>
      </c>
      <c r="E32" s="17">
        <v>10.3</v>
      </c>
      <c r="F32" s="17">
        <v>50.9</v>
      </c>
      <c r="G32" s="17">
        <v>23.2</v>
      </c>
      <c r="H32" s="17">
        <v>46.8</v>
      </c>
      <c r="I32" s="17">
        <v>15</v>
      </c>
      <c r="J32" s="17">
        <v>44.5</v>
      </c>
      <c r="K32" s="17">
        <v>17.7</v>
      </c>
      <c r="L32" s="17">
        <v>45.7</v>
      </c>
      <c r="M32" s="17">
        <v>15.3</v>
      </c>
      <c r="N32" s="17">
        <v>43.4</v>
      </c>
      <c r="O32" s="17">
        <v>11.4</v>
      </c>
      <c r="P32" s="17">
        <v>47.8</v>
      </c>
      <c r="Q32" s="17">
        <v>19.100000000000001</v>
      </c>
      <c r="R32" s="17">
        <v>43.5</v>
      </c>
      <c r="S32" s="17">
        <v>24.2</v>
      </c>
      <c r="T32" s="17">
        <v>47.5</v>
      </c>
      <c r="U32" s="17">
        <v>19.7</v>
      </c>
      <c r="V32" s="17">
        <v>36.799999999999997</v>
      </c>
      <c r="W32" s="17">
        <v>12.4</v>
      </c>
      <c r="X32" s="17">
        <v>25.1</v>
      </c>
      <c r="Y32" s="17">
        <v>9.1</v>
      </c>
      <c r="Z32" s="17">
        <v>48</v>
      </c>
      <c r="AA32" s="17">
        <v>17</v>
      </c>
      <c r="AB32" s="17">
        <v>31.1</v>
      </c>
      <c r="AC32" s="17">
        <v>9.8000000000000007</v>
      </c>
      <c r="AD32" s="17">
        <v>40.799999999999997</v>
      </c>
      <c r="AE32" s="17">
        <v>11.2</v>
      </c>
      <c r="AF32" s="17">
        <v>54.4</v>
      </c>
      <c r="AG32" s="17">
        <v>19.100000000000001</v>
      </c>
      <c r="AH32" s="17">
        <v>51.6</v>
      </c>
      <c r="AI32" s="17">
        <v>22.7</v>
      </c>
      <c r="AJ32" s="17">
        <v>21.6</v>
      </c>
      <c r="AK32" s="17">
        <v>10.199999999999999</v>
      </c>
      <c r="AL32" s="17">
        <v>25.1</v>
      </c>
      <c r="AM32" s="17">
        <v>9.1</v>
      </c>
    </row>
    <row r="33" spans="1:39" x14ac:dyDescent="0.25">
      <c r="A33" s="19">
        <f t="shared" si="0"/>
        <v>1956</v>
      </c>
      <c r="B33" s="17">
        <v>47.3</v>
      </c>
      <c r="C33" s="17">
        <v>11.8</v>
      </c>
      <c r="D33" s="17">
        <v>45.8</v>
      </c>
      <c r="E33" s="17">
        <v>9.9</v>
      </c>
      <c r="F33" s="17">
        <v>50.6</v>
      </c>
      <c r="G33" s="17">
        <v>22.6</v>
      </c>
      <c r="H33" s="17">
        <v>46.8</v>
      </c>
      <c r="I33" s="17">
        <v>14.6</v>
      </c>
      <c r="J33" s="17">
        <v>44.4</v>
      </c>
      <c r="K33" s="17">
        <v>17.2</v>
      </c>
      <c r="L33" s="17">
        <v>45.4</v>
      </c>
      <c r="M33" s="17">
        <v>14.9</v>
      </c>
      <c r="N33" s="17">
        <v>43.1</v>
      </c>
      <c r="O33" s="17">
        <v>11.2</v>
      </c>
      <c r="P33" s="17">
        <v>47.7</v>
      </c>
      <c r="Q33" s="17">
        <v>18.8</v>
      </c>
      <c r="R33" s="17">
        <v>43.5</v>
      </c>
      <c r="S33" s="17">
        <v>23.9</v>
      </c>
      <c r="T33" s="17">
        <v>47.4</v>
      </c>
      <c r="U33" s="17">
        <v>19.3</v>
      </c>
      <c r="V33" s="17">
        <v>36.799999999999997</v>
      </c>
      <c r="W33" s="17">
        <v>12</v>
      </c>
      <c r="X33" s="17">
        <v>25</v>
      </c>
      <c r="Y33" s="17">
        <v>8.6999999999999993</v>
      </c>
      <c r="Z33" s="17">
        <v>47.7</v>
      </c>
      <c r="AA33" s="17">
        <v>16.3</v>
      </c>
      <c r="AB33" s="17">
        <v>31.1</v>
      </c>
      <c r="AC33" s="17">
        <v>9.6</v>
      </c>
      <c r="AD33" s="17">
        <v>40.700000000000003</v>
      </c>
      <c r="AE33" s="17">
        <v>10.9</v>
      </c>
      <c r="AF33" s="17">
        <v>54.2</v>
      </c>
      <c r="AG33" s="17">
        <v>18.5</v>
      </c>
      <c r="AH33" s="17">
        <v>51.2</v>
      </c>
      <c r="AI33" s="17">
        <v>22</v>
      </c>
      <c r="AJ33" s="17">
        <v>21.8</v>
      </c>
      <c r="AK33" s="17">
        <v>10.1</v>
      </c>
      <c r="AL33" s="17">
        <v>25</v>
      </c>
      <c r="AM33" s="17">
        <v>8.6999999999999993</v>
      </c>
    </row>
    <row r="34" spans="1:39" x14ac:dyDescent="0.25">
      <c r="A34" s="19">
        <f t="shared" si="0"/>
        <v>1957</v>
      </c>
      <c r="B34" s="17">
        <v>47.1</v>
      </c>
      <c r="C34" s="17">
        <v>11.4</v>
      </c>
      <c r="D34" s="17">
        <v>45.9</v>
      </c>
      <c r="E34" s="17">
        <v>9.6999999999999993</v>
      </c>
      <c r="F34" s="17">
        <v>50.3</v>
      </c>
      <c r="G34" s="17">
        <v>22</v>
      </c>
      <c r="H34" s="17">
        <v>46.7</v>
      </c>
      <c r="I34" s="17">
        <v>13.6</v>
      </c>
      <c r="J34" s="17">
        <v>44.2</v>
      </c>
      <c r="K34" s="17">
        <v>16.8</v>
      </c>
      <c r="L34" s="17">
        <v>45.1</v>
      </c>
      <c r="M34" s="17">
        <v>14.6</v>
      </c>
      <c r="N34" s="17">
        <v>42.9</v>
      </c>
      <c r="O34" s="17">
        <v>11.1</v>
      </c>
      <c r="P34" s="17">
        <v>47.6</v>
      </c>
      <c r="Q34" s="17">
        <v>18.399999999999999</v>
      </c>
      <c r="R34" s="17">
        <v>43.7</v>
      </c>
      <c r="S34" s="17">
        <v>23.6</v>
      </c>
      <c r="T34" s="17">
        <v>47.5</v>
      </c>
      <c r="U34" s="17">
        <v>18.899999999999999</v>
      </c>
      <c r="V34" s="17">
        <v>36.5</v>
      </c>
      <c r="W34" s="17">
        <v>11.8</v>
      </c>
      <c r="X34" s="17">
        <v>24.7</v>
      </c>
      <c r="Y34" s="17">
        <v>9</v>
      </c>
      <c r="Z34" s="17">
        <v>47.5</v>
      </c>
      <c r="AA34" s="17">
        <v>15.7</v>
      </c>
      <c r="AB34" s="17">
        <v>31.1</v>
      </c>
      <c r="AC34" s="17">
        <v>9.4</v>
      </c>
      <c r="AD34" s="17">
        <v>40.700000000000003</v>
      </c>
      <c r="AE34" s="17">
        <v>10.7</v>
      </c>
      <c r="AF34" s="17">
        <v>53.9</v>
      </c>
      <c r="AG34" s="17">
        <v>17.899999999999999</v>
      </c>
      <c r="AH34" s="17">
        <v>50.8</v>
      </c>
      <c r="AI34" s="17">
        <v>21.3</v>
      </c>
      <c r="AJ34" s="17">
        <v>21.9</v>
      </c>
      <c r="AK34" s="17">
        <v>10</v>
      </c>
      <c r="AL34" s="17">
        <v>24.7</v>
      </c>
      <c r="AM34" s="17">
        <v>9</v>
      </c>
    </row>
    <row r="35" spans="1:39" x14ac:dyDescent="0.25">
      <c r="A35" s="19">
        <f t="shared" si="0"/>
        <v>1958</v>
      </c>
      <c r="B35" s="17">
        <v>46.8</v>
      </c>
      <c r="C35" s="17">
        <v>10.9</v>
      </c>
      <c r="D35" s="17">
        <v>46</v>
      </c>
      <c r="E35" s="17">
        <v>9.3000000000000007</v>
      </c>
      <c r="F35" s="17">
        <v>49.7</v>
      </c>
      <c r="G35" s="17">
        <v>20.9</v>
      </c>
      <c r="H35" s="17">
        <v>46.5</v>
      </c>
      <c r="I35" s="17">
        <v>13.2</v>
      </c>
      <c r="J35" s="17">
        <v>44</v>
      </c>
      <c r="K35" s="17">
        <v>16.3</v>
      </c>
      <c r="L35" s="17">
        <v>44.8</v>
      </c>
      <c r="M35" s="17">
        <v>14.3</v>
      </c>
      <c r="N35" s="17">
        <v>42.7</v>
      </c>
      <c r="O35" s="17">
        <v>10.9</v>
      </c>
      <c r="P35" s="17">
        <v>47.4</v>
      </c>
      <c r="Q35" s="17">
        <v>18</v>
      </c>
      <c r="R35" s="17">
        <v>43.8</v>
      </c>
      <c r="S35" s="17">
        <v>23.3</v>
      </c>
      <c r="T35" s="17">
        <v>47.4</v>
      </c>
      <c r="U35" s="17">
        <v>18.399999999999999</v>
      </c>
      <c r="V35" s="17">
        <v>36.1</v>
      </c>
      <c r="W35" s="17">
        <v>11.5</v>
      </c>
      <c r="X35" s="17">
        <v>24.2</v>
      </c>
      <c r="Y35" s="17">
        <v>8.4</v>
      </c>
      <c r="Z35" s="17">
        <v>47.2</v>
      </c>
      <c r="AA35" s="17">
        <v>15.2</v>
      </c>
      <c r="AB35" s="17">
        <v>31.2</v>
      </c>
      <c r="AC35" s="17">
        <v>9.1999999999999993</v>
      </c>
      <c r="AD35" s="17">
        <v>40.700000000000003</v>
      </c>
      <c r="AE35" s="17">
        <v>10.3</v>
      </c>
      <c r="AF35" s="17">
        <v>53.4</v>
      </c>
      <c r="AG35" s="17">
        <v>17.3</v>
      </c>
      <c r="AH35" s="17">
        <v>50.4</v>
      </c>
      <c r="AI35" s="17">
        <v>20.6</v>
      </c>
      <c r="AJ35" s="17">
        <v>21.9</v>
      </c>
      <c r="AK35" s="17">
        <v>9.9</v>
      </c>
      <c r="AL35" s="17">
        <v>24.2</v>
      </c>
      <c r="AM35" s="17">
        <v>8.4</v>
      </c>
    </row>
    <row r="36" spans="1:39" x14ac:dyDescent="0.25">
      <c r="A36" s="19">
        <f t="shared" si="0"/>
        <v>1959</v>
      </c>
      <c r="B36" s="17">
        <v>45.7</v>
      </c>
      <c r="C36" s="17">
        <v>10.5</v>
      </c>
      <c r="D36" s="17">
        <v>45.9</v>
      </c>
      <c r="E36" s="17">
        <v>9</v>
      </c>
      <c r="F36" s="17">
        <v>49.1</v>
      </c>
      <c r="G36" s="17">
        <v>19.899999999999999</v>
      </c>
      <c r="H36" s="17">
        <v>46.2</v>
      </c>
      <c r="I36" s="17">
        <v>12.5</v>
      </c>
      <c r="J36" s="17">
        <v>43.9</v>
      </c>
      <c r="K36" s="17">
        <v>15.8</v>
      </c>
      <c r="L36" s="17">
        <v>44.4</v>
      </c>
      <c r="M36" s="17">
        <v>13.9</v>
      </c>
      <c r="N36" s="17">
        <v>42.5</v>
      </c>
      <c r="O36" s="17">
        <v>10.7</v>
      </c>
      <c r="P36" s="17">
        <v>47.2</v>
      </c>
      <c r="Q36" s="17">
        <v>17.600000000000001</v>
      </c>
      <c r="R36" s="17">
        <v>43.9</v>
      </c>
      <c r="S36" s="17">
        <v>23</v>
      </c>
      <c r="T36" s="17">
        <v>47.2</v>
      </c>
      <c r="U36" s="17">
        <v>18.100000000000001</v>
      </c>
      <c r="V36" s="17">
        <v>35.700000000000003</v>
      </c>
      <c r="W36" s="17">
        <v>11.3</v>
      </c>
      <c r="X36" s="17">
        <v>24.4</v>
      </c>
      <c r="Y36" s="17">
        <v>8.6</v>
      </c>
      <c r="Z36" s="17">
        <v>47</v>
      </c>
      <c r="AA36" s="17">
        <v>14.6</v>
      </c>
      <c r="AB36" s="17">
        <v>31.9</v>
      </c>
      <c r="AC36" s="17">
        <v>9.1</v>
      </c>
      <c r="AD36" s="17">
        <v>40.9</v>
      </c>
      <c r="AE36" s="17">
        <v>10</v>
      </c>
      <c r="AF36" s="17">
        <v>52.8</v>
      </c>
      <c r="AG36" s="17">
        <v>16.7</v>
      </c>
      <c r="AH36" s="17">
        <v>49.9</v>
      </c>
      <c r="AI36" s="17">
        <v>19.8</v>
      </c>
      <c r="AJ36" s="17">
        <v>21.8</v>
      </c>
      <c r="AK36" s="17">
        <v>9.8000000000000007</v>
      </c>
      <c r="AL36" s="17">
        <v>24.4</v>
      </c>
      <c r="AM36" s="17">
        <v>8.6</v>
      </c>
    </row>
    <row r="37" spans="1:39" x14ac:dyDescent="0.25">
      <c r="A37" s="19">
        <f t="shared" si="0"/>
        <v>1960</v>
      </c>
      <c r="B37" s="17">
        <v>45</v>
      </c>
      <c r="C37" s="17">
        <v>10</v>
      </c>
      <c r="D37" s="17">
        <v>45.5</v>
      </c>
      <c r="E37" s="17">
        <v>8.6999999999999993</v>
      </c>
      <c r="F37" s="17">
        <v>48.5</v>
      </c>
      <c r="G37" s="17">
        <v>18.8</v>
      </c>
      <c r="H37" s="17">
        <v>45.9</v>
      </c>
      <c r="I37" s="17">
        <v>12</v>
      </c>
      <c r="J37" s="17">
        <v>43.7</v>
      </c>
      <c r="K37" s="17">
        <v>15.3</v>
      </c>
      <c r="L37" s="17">
        <v>43.9</v>
      </c>
      <c r="M37" s="17">
        <v>13.6</v>
      </c>
      <c r="N37" s="17">
        <v>42.4</v>
      </c>
      <c r="O37" s="17">
        <v>10.6</v>
      </c>
      <c r="P37" s="17">
        <v>46.9</v>
      </c>
      <c r="Q37" s="17">
        <v>17.100000000000001</v>
      </c>
      <c r="R37" s="17">
        <v>43.9</v>
      </c>
      <c r="S37" s="17">
        <v>22.7</v>
      </c>
      <c r="T37" s="17">
        <v>47</v>
      </c>
      <c r="U37" s="17">
        <v>17.8</v>
      </c>
      <c r="V37" s="17">
        <v>35.299999999999997</v>
      </c>
      <c r="W37" s="17">
        <v>11</v>
      </c>
      <c r="X37" s="17">
        <v>24.2</v>
      </c>
      <c r="Y37" s="17">
        <v>8.6999999999999993</v>
      </c>
      <c r="Z37" s="17">
        <v>46.9</v>
      </c>
      <c r="AA37" s="17">
        <v>14</v>
      </c>
      <c r="AB37" s="17">
        <v>32.799999999999997</v>
      </c>
      <c r="AC37" s="17">
        <v>8.9</v>
      </c>
      <c r="AD37" s="17">
        <v>41.1</v>
      </c>
      <c r="AE37" s="17">
        <v>9.6</v>
      </c>
      <c r="AF37" s="17">
        <v>52</v>
      </c>
      <c r="AG37" s="17">
        <v>16.100000000000001</v>
      </c>
      <c r="AH37" s="17">
        <v>49.4</v>
      </c>
      <c r="AI37" s="17">
        <v>19.100000000000001</v>
      </c>
      <c r="AJ37" s="17">
        <v>21.8</v>
      </c>
      <c r="AK37" s="17">
        <v>9.8000000000000007</v>
      </c>
      <c r="AL37" s="17">
        <v>24.2</v>
      </c>
      <c r="AM37" s="17">
        <v>8.6999999999999993</v>
      </c>
    </row>
    <row r="38" spans="1:39" x14ac:dyDescent="0.25">
      <c r="A38" s="19">
        <f t="shared" si="0"/>
        <v>1961</v>
      </c>
      <c r="B38" s="17">
        <v>44.1</v>
      </c>
      <c r="C38" s="17">
        <v>9.6</v>
      </c>
      <c r="D38" s="17">
        <v>44.8</v>
      </c>
      <c r="E38" s="17">
        <v>8.4</v>
      </c>
      <c r="F38" s="17">
        <v>48</v>
      </c>
      <c r="G38" s="17">
        <v>18.5</v>
      </c>
      <c r="H38" s="17">
        <v>45.5</v>
      </c>
      <c r="I38" s="17">
        <v>11.6</v>
      </c>
      <c r="J38" s="17">
        <v>43.5</v>
      </c>
      <c r="K38" s="17">
        <v>14.8</v>
      </c>
      <c r="L38" s="17">
        <v>43.3</v>
      </c>
      <c r="M38" s="17">
        <v>13.3</v>
      </c>
      <c r="N38" s="17">
        <v>42.3</v>
      </c>
      <c r="O38" s="17">
        <v>10.4</v>
      </c>
      <c r="P38" s="17">
        <v>46.6</v>
      </c>
      <c r="Q38" s="17">
        <v>16.7</v>
      </c>
      <c r="R38" s="17">
        <v>43.9</v>
      </c>
      <c r="S38" s="17">
        <v>22.4</v>
      </c>
      <c r="T38" s="17">
        <v>47</v>
      </c>
      <c r="U38" s="17">
        <v>17.5</v>
      </c>
      <c r="V38" s="17">
        <v>34.799999999999997</v>
      </c>
      <c r="W38" s="17">
        <v>10.9</v>
      </c>
      <c r="X38" s="17">
        <v>23.9</v>
      </c>
      <c r="Y38" s="17">
        <v>8.5</v>
      </c>
      <c r="Z38" s="17">
        <v>46.8</v>
      </c>
      <c r="AA38" s="17">
        <v>13.3</v>
      </c>
      <c r="AB38" s="17">
        <v>33.700000000000003</v>
      </c>
      <c r="AC38" s="17">
        <v>8.8000000000000007</v>
      </c>
      <c r="AD38" s="17">
        <v>41.3</v>
      </c>
      <c r="AE38" s="17">
        <v>9.3000000000000007</v>
      </c>
      <c r="AF38" s="17">
        <v>51.2</v>
      </c>
      <c r="AG38" s="17">
        <v>15.5</v>
      </c>
      <c r="AH38" s="17">
        <v>49</v>
      </c>
      <c r="AI38" s="17">
        <v>18.5</v>
      </c>
      <c r="AJ38" s="17">
        <v>21.8</v>
      </c>
      <c r="AK38" s="17">
        <v>9.6999999999999993</v>
      </c>
      <c r="AL38" s="17">
        <v>23.9</v>
      </c>
      <c r="AM38" s="17">
        <v>8.5</v>
      </c>
    </row>
    <row r="39" spans="1:39" x14ac:dyDescent="0.25">
      <c r="A39" s="19">
        <f t="shared" si="0"/>
        <v>1962</v>
      </c>
      <c r="B39" s="17">
        <v>43.4</v>
      </c>
      <c r="C39" s="17">
        <v>9.3000000000000007</v>
      </c>
      <c r="D39" s="17">
        <v>43.9</v>
      </c>
      <c r="E39" s="17">
        <v>8.1999999999999993</v>
      </c>
      <c r="F39" s="17">
        <v>47.4</v>
      </c>
      <c r="G39" s="17">
        <v>18.100000000000001</v>
      </c>
      <c r="H39" s="17">
        <v>44.9</v>
      </c>
      <c r="I39" s="17">
        <v>11.2</v>
      </c>
      <c r="J39" s="17">
        <v>43.4</v>
      </c>
      <c r="K39" s="17">
        <v>14.4</v>
      </c>
      <c r="L39" s="17">
        <v>42.7</v>
      </c>
      <c r="M39" s="17">
        <v>12.9</v>
      </c>
      <c r="N39" s="17">
        <v>42.2</v>
      </c>
      <c r="O39" s="17">
        <v>10.199999999999999</v>
      </c>
      <c r="P39" s="17">
        <v>46.2</v>
      </c>
      <c r="Q39" s="17">
        <v>16.399999999999999</v>
      </c>
      <c r="R39" s="17">
        <v>43.9</v>
      </c>
      <c r="S39" s="17">
        <v>22.1</v>
      </c>
      <c r="T39" s="17">
        <v>47.1</v>
      </c>
      <c r="U39" s="17">
        <v>17.2</v>
      </c>
      <c r="V39" s="17">
        <v>34.299999999999997</v>
      </c>
      <c r="W39" s="17">
        <v>10.6</v>
      </c>
      <c r="X39" s="17">
        <v>23.8</v>
      </c>
      <c r="Y39" s="17">
        <v>8.6999999999999993</v>
      </c>
      <c r="Z39" s="17">
        <v>46.8</v>
      </c>
      <c r="AA39" s="17">
        <v>12.8</v>
      </c>
      <c r="AB39" s="17">
        <v>34.6</v>
      </c>
      <c r="AC39" s="17">
        <v>8.6</v>
      </c>
      <c r="AD39" s="17">
        <v>41.3</v>
      </c>
      <c r="AE39" s="17">
        <v>9</v>
      </c>
      <c r="AF39" s="17">
        <v>50.2</v>
      </c>
      <c r="AG39" s="17">
        <v>14.9</v>
      </c>
      <c r="AH39" s="17">
        <v>48.6</v>
      </c>
      <c r="AI39" s="17">
        <v>17.7</v>
      </c>
      <c r="AJ39" s="17">
        <v>21.8</v>
      </c>
      <c r="AK39" s="17">
        <v>9.6999999999999993</v>
      </c>
      <c r="AL39" s="17">
        <v>23.8</v>
      </c>
      <c r="AM39" s="17">
        <v>8.6999999999999993</v>
      </c>
    </row>
    <row r="40" spans="1:39" x14ac:dyDescent="0.25">
      <c r="A40" s="19">
        <f t="shared" si="0"/>
        <v>1963</v>
      </c>
      <c r="B40" s="17">
        <v>42.7</v>
      </c>
      <c r="C40" s="17">
        <v>8.8000000000000007</v>
      </c>
      <c r="D40" s="17">
        <v>42.7</v>
      </c>
      <c r="E40" s="17">
        <v>8</v>
      </c>
      <c r="F40" s="17">
        <v>46.9</v>
      </c>
      <c r="G40" s="17">
        <v>17.8</v>
      </c>
      <c r="H40" s="17">
        <v>44.2</v>
      </c>
      <c r="I40" s="17">
        <v>10.8</v>
      </c>
      <c r="J40" s="17">
        <v>43.2</v>
      </c>
      <c r="K40" s="17">
        <v>13.9</v>
      </c>
      <c r="L40" s="17">
        <v>42</v>
      </c>
      <c r="M40" s="17">
        <v>12.6</v>
      </c>
      <c r="N40" s="17">
        <v>42.1</v>
      </c>
      <c r="O40" s="17">
        <v>10</v>
      </c>
      <c r="P40" s="17">
        <v>45.8</v>
      </c>
      <c r="Q40" s="17">
        <v>15.8</v>
      </c>
      <c r="R40" s="17">
        <v>43.8</v>
      </c>
      <c r="S40" s="17">
        <v>21.7</v>
      </c>
      <c r="T40" s="17">
        <v>47</v>
      </c>
      <c r="U40" s="17">
        <v>17</v>
      </c>
      <c r="V40" s="17">
        <v>33.700000000000003</v>
      </c>
      <c r="W40" s="17">
        <v>10.4</v>
      </c>
      <c r="X40" s="17">
        <v>23.5</v>
      </c>
      <c r="Y40" s="17">
        <v>8.6999999999999993</v>
      </c>
      <c r="Z40" s="17">
        <v>46.8</v>
      </c>
      <c r="AA40" s="17">
        <v>12.5</v>
      </c>
      <c r="AB40" s="17">
        <v>35.4</v>
      </c>
      <c r="AC40" s="17">
        <v>8.6</v>
      </c>
      <c r="AD40" s="17">
        <v>41.2</v>
      </c>
      <c r="AE40" s="17">
        <v>8.9</v>
      </c>
      <c r="AF40" s="17">
        <v>49.2</v>
      </c>
      <c r="AG40" s="17">
        <v>14.3</v>
      </c>
      <c r="AH40" s="17">
        <v>48.2</v>
      </c>
      <c r="AI40" s="17">
        <v>17.100000000000001</v>
      </c>
      <c r="AJ40" s="17">
        <v>21.8</v>
      </c>
      <c r="AK40" s="17">
        <v>9.6999999999999993</v>
      </c>
      <c r="AL40" s="17">
        <v>23.5</v>
      </c>
      <c r="AM40" s="17">
        <v>8.6999999999999993</v>
      </c>
    </row>
    <row r="41" spans="1:39" x14ac:dyDescent="0.25">
      <c r="A41" s="19">
        <f t="shared" si="0"/>
        <v>1964</v>
      </c>
      <c r="B41" s="17">
        <v>42</v>
      </c>
      <c r="C41" s="17">
        <v>8.5</v>
      </c>
      <c r="D41" s="17">
        <v>41.4</v>
      </c>
      <c r="E41" s="17">
        <v>7.8</v>
      </c>
      <c r="F41" s="17">
        <v>46.5</v>
      </c>
      <c r="G41" s="17">
        <v>17.5</v>
      </c>
      <c r="H41" s="17">
        <v>43.4</v>
      </c>
      <c r="I41" s="17">
        <v>10.4</v>
      </c>
      <c r="J41" s="17">
        <v>43.1</v>
      </c>
      <c r="K41" s="17">
        <v>13.5</v>
      </c>
      <c r="L41" s="17">
        <v>41</v>
      </c>
      <c r="M41" s="17">
        <v>12.3</v>
      </c>
      <c r="N41" s="17">
        <v>41.7</v>
      </c>
      <c r="O41" s="17">
        <v>10</v>
      </c>
      <c r="P41" s="17">
        <v>45.4</v>
      </c>
      <c r="Q41" s="17">
        <v>15.5</v>
      </c>
      <c r="R41" s="17">
        <v>43.7</v>
      </c>
      <c r="S41" s="17">
        <v>21.4</v>
      </c>
      <c r="T41" s="17">
        <v>46.8</v>
      </c>
      <c r="U41" s="17">
        <v>16.8</v>
      </c>
      <c r="V41" s="17">
        <v>33.1</v>
      </c>
      <c r="W41" s="17">
        <v>10.1</v>
      </c>
      <c r="X41" s="17">
        <v>23.2</v>
      </c>
      <c r="Y41" s="17">
        <v>8.9</v>
      </c>
      <c r="Z41" s="17">
        <v>46.8</v>
      </c>
      <c r="AA41" s="17">
        <v>12.1</v>
      </c>
      <c r="AB41" s="17">
        <v>34.9</v>
      </c>
      <c r="AC41" s="17">
        <v>8.3000000000000007</v>
      </c>
      <c r="AD41" s="17">
        <v>40.799999999999997</v>
      </c>
      <c r="AE41" s="17">
        <v>8.6999999999999993</v>
      </c>
      <c r="AF41" s="17">
        <v>48.1</v>
      </c>
      <c r="AG41" s="17">
        <v>13.6</v>
      </c>
      <c r="AH41" s="17">
        <v>47.9</v>
      </c>
      <c r="AI41" s="17">
        <v>16.399999999999999</v>
      </c>
      <c r="AJ41" s="17">
        <v>21.5</v>
      </c>
      <c r="AK41" s="17">
        <v>9.6999999999999993</v>
      </c>
      <c r="AL41" s="17">
        <v>23.2</v>
      </c>
      <c r="AM41" s="17">
        <v>8.9</v>
      </c>
    </row>
    <row r="42" spans="1:39" x14ac:dyDescent="0.25">
      <c r="A42" s="19">
        <f t="shared" si="0"/>
        <v>1965</v>
      </c>
      <c r="B42" s="17">
        <v>41.3</v>
      </c>
      <c r="C42" s="17">
        <v>8.1</v>
      </c>
      <c r="D42" s="17">
        <v>39.9</v>
      </c>
      <c r="E42" s="17">
        <v>7.6</v>
      </c>
      <c r="F42" s="17">
        <v>46.2</v>
      </c>
      <c r="G42" s="17">
        <v>17.3</v>
      </c>
      <c r="H42" s="17">
        <v>42.4</v>
      </c>
      <c r="I42" s="17">
        <v>10.1</v>
      </c>
      <c r="J42" s="17">
        <v>42.9</v>
      </c>
      <c r="K42" s="17">
        <v>13.1</v>
      </c>
      <c r="L42" s="17">
        <v>39.799999999999997</v>
      </c>
      <c r="M42" s="17">
        <v>12</v>
      </c>
      <c r="N42" s="17">
        <v>41</v>
      </c>
      <c r="O42" s="17">
        <v>9.9</v>
      </c>
      <c r="P42" s="17">
        <v>44.9</v>
      </c>
      <c r="Q42" s="17">
        <v>15.2</v>
      </c>
      <c r="R42" s="17">
        <v>43.6</v>
      </c>
      <c r="S42" s="17">
        <v>21</v>
      </c>
      <c r="T42" s="17">
        <v>46.3</v>
      </c>
      <c r="U42" s="17">
        <v>16.5</v>
      </c>
      <c r="V42" s="17">
        <v>32.4</v>
      </c>
      <c r="W42" s="17">
        <v>9.8000000000000007</v>
      </c>
      <c r="X42" s="17">
        <v>22.6</v>
      </c>
      <c r="Y42" s="17">
        <v>8.8000000000000007</v>
      </c>
      <c r="Z42" s="17">
        <v>46.5</v>
      </c>
      <c r="AA42" s="17">
        <v>11.6</v>
      </c>
      <c r="AB42" s="17">
        <v>34.4</v>
      </c>
      <c r="AC42" s="17">
        <v>8.1</v>
      </c>
      <c r="AD42" s="17">
        <v>40.299999999999997</v>
      </c>
      <c r="AE42" s="17">
        <v>8.6</v>
      </c>
      <c r="AF42" s="17">
        <v>47</v>
      </c>
      <c r="AG42" s="17">
        <v>14.1</v>
      </c>
      <c r="AH42" s="17">
        <v>47.7</v>
      </c>
      <c r="AI42" s="17">
        <v>15.9</v>
      </c>
      <c r="AJ42" s="17">
        <v>21.2</v>
      </c>
      <c r="AK42" s="17">
        <v>9.6999999999999993</v>
      </c>
      <c r="AL42" s="17">
        <v>22.6</v>
      </c>
      <c r="AM42" s="17">
        <v>8.8000000000000007</v>
      </c>
    </row>
    <row r="43" spans="1:39" x14ac:dyDescent="0.25">
      <c r="A43" s="19">
        <f t="shared" si="0"/>
        <v>1966</v>
      </c>
      <c r="B43" s="17">
        <v>40.5</v>
      </c>
      <c r="C43" s="17">
        <v>7.6</v>
      </c>
      <c r="D43" s="17">
        <v>38.299999999999997</v>
      </c>
      <c r="E43" s="17">
        <v>7.3</v>
      </c>
      <c r="F43" s="17">
        <v>46</v>
      </c>
      <c r="G43" s="17">
        <v>17</v>
      </c>
      <c r="H43" s="17">
        <v>41.3</v>
      </c>
      <c r="I43" s="17">
        <v>9.6999999999999993</v>
      </c>
      <c r="J43" s="17">
        <v>42.6</v>
      </c>
      <c r="K43" s="17">
        <v>12.7</v>
      </c>
      <c r="L43" s="17">
        <v>38.6</v>
      </c>
      <c r="M43" s="17">
        <v>11.6</v>
      </c>
      <c r="N43" s="17">
        <v>40.200000000000003</v>
      </c>
      <c r="O43" s="17">
        <v>9.8000000000000007</v>
      </c>
      <c r="P43" s="17">
        <v>44.4</v>
      </c>
      <c r="Q43" s="17">
        <v>14.9</v>
      </c>
      <c r="R43" s="17">
        <v>43.5</v>
      </c>
      <c r="S43" s="17">
        <v>20.6</v>
      </c>
      <c r="T43" s="17">
        <v>45.7</v>
      </c>
      <c r="U43" s="17">
        <v>16.2</v>
      </c>
      <c r="V43" s="17">
        <v>31.7</v>
      </c>
      <c r="W43" s="17">
        <v>9.4</v>
      </c>
      <c r="X43" s="17">
        <v>22.3</v>
      </c>
      <c r="Y43" s="17">
        <v>8.8000000000000007</v>
      </c>
      <c r="Z43" s="17">
        <v>46.3</v>
      </c>
      <c r="AA43" s="17">
        <v>11.2</v>
      </c>
      <c r="AB43" s="17">
        <v>33.4</v>
      </c>
      <c r="AC43" s="17">
        <v>7.9</v>
      </c>
      <c r="AD43" s="17">
        <v>39.9</v>
      </c>
      <c r="AE43" s="17">
        <v>8.4</v>
      </c>
      <c r="AF43" s="17">
        <v>46.2</v>
      </c>
      <c r="AG43" s="17">
        <v>12.6</v>
      </c>
      <c r="AH43" s="17">
        <v>47.3</v>
      </c>
      <c r="AI43" s="17">
        <v>15.3</v>
      </c>
      <c r="AJ43" s="17">
        <v>20.9</v>
      </c>
      <c r="AK43" s="17">
        <v>9.6999999999999993</v>
      </c>
      <c r="AL43" s="17">
        <v>22.3</v>
      </c>
      <c r="AM43" s="17">
        <v>8.8000000000000007</v>
      </c>
    </row>
    <row r="44" spans="1:39" x14ac:dyDescent="0.25">
      <c r="A44" s="19">
        <f t="shared" si="0"/>
        <v>1967</v>
      </c>
      <c r="B44" s="17">
        <v>39.700000000000003</v>
      </c>
      <c r="C44" s="17">
        <v>7.3</v>
      </c>
      <c r="D44" s="17">
        <v>36.799999999999997</v>
      </c>
      <c r="E44" s="17">
        <v>7</v>
      </c>
      <c r="F44" s="17">
        <v>45.6</v>
      </c>
      <c r="G44" s="17">
        <v>16.7</v>
      </c>
      <c r="H44" s="17">
        <v>40.200000000000003</v>
      </c>
      <c r="I44" s="17">
        <v>9.4</v>
      </c>
      <c r="J44" s="17">
        <v>42.4</v>
      </c>
      <c r="K44" s="17">
        <v>12.4</v>
      </c>
      <c r="L44" s="17">
        <v>37.4</v>
      </c>
      <c r="M44" s="17">
        <v>11.3</v>
      </c>
      <c r="N44" s="17">
        <v>39.200000000000003</v>
      </c>
      <c r="O44" s="17">
        <v>9.6999999999999993</v>
      </c>
      <c r="P44" s="17">
        <v>44</v>
      </c>
      <c r="Q44" s="17">
        <v>14.6</v>
      </c>
      <c r="R44" s="17">
        <v>43.4</v>
      </c>
      <c r="S44" s="17">
        <v>20.3</v>
      </c>
      <c r="T44" s="17">
        <v>45.1</v>
      </c>
      <c r="U44" s="17">
        <v>16</v>
      </c>
      <c r="V44" s="17">
        <v>30.9</v>
      </c>
      <c r="W44" s="17">
        <v>9.1</v>
      </c>
      <c r="X44" s="17">
        <v>22.4</v>
      </c>
      <c r="Y44" s="17">
        <v>8.9</v>
      </c>
      <c r="Z44" s="17">
        <v>45.9</v>
      </c>
      <c r="AA44" s="17">
        <v>10.8</v>
      </c>
      <c r="AB44" s="17">
        <v>32.5</v>
      </c>
      <c r="AC44" s="17">
        <v>7.7</v>
      </c>
      <c r="AD44" s="17">
        <v>39.200000000000003</v>
      </c>
      <c r="AE44" s="17">
        <v>8.1999999999999993</v>
      </c>
      <c r="AF44" s="17">
        <v>45</v>
      </c>
      <c r="AG44" s="17">
        <v>12</v>
      </c>
      <c r="AH44" s="17">
        <v>46.9</v>
      </c>
      <c r="AI44" s="17">
        <v>14.7</v>
      </c>
      <c r="AJ44" s="17">
        <v>20.5</v>
      </c>
      <c r="AK44" s="17">
        <v>9.6999999999999993</v>
      </c>
      <c r="AL44" s="17">
        <v>22.4</v>
      </c>
      <c r="AM44" s="17">
        <v>8.9</v>
      </c>
    </row>
    <row r="45" spans="1:39" x14ac:dyDescent="0.25">
      <c r="A45" s="19">
        <f t="shared" si="0"/>
        <v>1968</v>
      </c>
      <c r="B45" s="17">
        <v>39</v>
      </c>
      <c r="C45" s="17">
        <v>7.1</v>
      </c>
      <c r="D45" s="17">
        <v>34.6</v>
      </c>
      <c r="E45" s="17">
        <v>6.8</v>
      </c>
      <c r="F45" s="17">
        <v>45.3</v>
      </c>
      <c r="G45" s="17">
        <v>16.600000000000001</v>
      </c>
      <c r="H45" s="17">
        <v>38.9</v>
      </c>
      <c r="I45" s="17">
        <v>9.1</v>
      </c>
      <c r="J45" s="17">
        <v>42</v>
      </c>
      <c r="K45" s="17">
        <v>12.1</v>
      </c>
      <c r="L45" s="17">
        <v>36.299999999999997</v>
      </c>
      <c r="M45" s="17">
        <v>11</v>
      </c>
      <c r="N45" s="17">
        <v>38.4</v>
      </c>
      <c r="O45" s="17">
        <v>9.6</v>
      </c>
      <c r="P45" s="17">
        <v>43.4</v>
      </c>
      <c r="Q45" s="17">
        <v>14.4</v>
      </c>
      <c r="R45" s="17">
        <v>43.3</v>
      </c>
      <c r="S45" s="17">
        <v>19.899999999999999</v>
      </c>
      <c r="T45" s="17">
        <v>44.3</v>
      </c>
      <c r="U45" s="17">
        <v>15.9</v>
      </c>
      <c r="V45" s="17">
        <v>30.2</v>
      </c>
      <c r="W45" s="17">
        <v>8.8000000000000007</v>
      </c>
      <c r="X45" s="17">
        <v>22.7</v>
      </c>
      <c r="Y45" s="17">
        <v>9.1999999999999993</v>
      </c>
      <c r="Z45" s="17">
        <v>45.6</v>
      </c>
      <c r="AA45" s="17">
        <v>10.5</v>
      </c>
      <c r="AB45" s="17">
        <v>31.6</v>
      </c>
      <c r="AC45" s="17">
        <v>7.5</v>
      </c>
      <c r="AD45" s="17">
        <v>38.5</v>
      </c>
      <c r="AE45" s="17">
        <v>8</v>
      </c>
      <c r="AF45" s="17">
        <v>43.6</v>
      </c>
      <c r="AG45" s="17">
        <v>11.5</v>
      </c>
      <c r="AH45" s="17">
        <v>46.6</v>
      </c>
      <c r="AI45" s="17">
        <v>14.2</v>
      </c>
      <c r="AJ45" s="17">
        <v>20.2</v>
      </c>
      <c r="AK45" s="17">
        <v>9.6999999999999993</v>
      </c>
      <c r="AL45" s="17">
        <v>22.7</v>
      </c>
      <c r="AM45" s="17">
        <v>9.1999999999999993</v>
      </c>
    </row>
    <row r="46" spans="1:39" x14ac:dyDescent="0.25">
      <c r="A46" s="19">
        <f t="shared" si="0"/>
        <v>1969</v>
      </c>
      <c r="B46" s="17">
        <v>38.200000000000003</v>
      </c>
      <c r="C46" s="17">
        <v>7.1</v>
      </c>
      <c r="D46" s="17">
        <v>33.799999999999997</v>
      </c>
      <c r="E46" s="17">
        <v>6.5</v>
      </c>
      <c r="F46" s="17">
        <v>45.1</v>
      </c>
      <c r="G46" s="17">
        <v>16.7</v>
      </c>
      <c r="H46" s="17">
        <v>37.6</v>
      </c>
      <c r="I46" s="17">
        <v>8.6999999999999993</v>
      </c>
      <c r="J46" s="17">
        <v>41.7</v>
      </c>
      <c r="K46" s="17">
        <v>11.8</v>
      </c>
      <c r="L46" s="17">
        <v>35.700000000000003</v>
      </c>
      <c r="M46" s="17">
        <v>10.7</v>
      </c>
      <c r="N46" s="17">
        <v>37.6</v>
      </c>
      <c r="O46" s="17">
        <v>9.5</v>
      </c>
      <c r="P46" s="17">
        <v>42.9</v>
      </c>
      <c r="Q46" s="17">
        <v>14.1</v>
      </c>
      <c r="R46" s="17">
        <v>43</v>
      </c>
      <c r="S46" s="17">
        <v>19.5</v>
      </c>
      <c r="T46" s="17">
        <v>43.5</v>
      </c>
      <c r="U46" s="17">
        <v>15.5</v>
      </c>
      <c r="V46" s="17">
        <v>29.5</v>
      </c>
      <c r="W46" s="17">
        <v>8.5</v>
      </c>
      <c r="X46" s="17">
        <v>23</v>
      </c>
      <c r="Y46" s="17">
        <v>9.5</v>
      </c>
      <c r="Z46" s="17">
        <v>45.1</v>
      </c>
      <c r="AA46" s="17">
        <v>10.3</v>
      </c>
      <c r="AB46" s="17">
        <v>31</v>
      </c>
      <c r="AC46" s="17">
        <v>7.3</v>
      </c>
      <c r="AD46" s="17">
        <v>37.9</v>
      </c>
      <c r="AE46" s="17">
        <v>7.8</v>
      </c>
      <c r="AF46" s="17">
        <v>42.7</v>
      </c>
      <c r="AG46" s="17">
        <v>11</v>
      </c>
      <c r="AH46" s="17">
        <v>46.4</v>
      </c>
      <c r="AI46" s="17">
        <v>13.7</v>
      </c>
      <c r="AJ46" s="17">
        <v>20.100000000000001</v>
      </c>
      <c r="AK46" s="17">
        <v>9.6999999999999993</v>
      </c>
      <c r="AL46" s="17">
        <v>23</v>
      </c>
      <c r="AM46" s="17">
        <v>9.5</v>
      </c>
    </row>
    <row r="47" spans="1:39" x14ac:dyDescent="0.25">
      <c r="A47" s="19">
        <f t="shared" si="0"/>
        <v>1970</v>
      </c>
      <c r="B47" s="17">
        <v>37.5</v>
      </c>
      <c r="C47" s="17">
        <v>6.7</v>
      </c>
      <c r="D47" s="17">
        <v>32.6</v>
      </c>
      <c r="E47" s="17">
        <v>6.3</v>
      </c>
      <c r="F47" s="17">
        <v>44.9</v>
      </c>
      <c r="G47" s="17">
        <v>16</v>
      </c>
      <c r="H47" s="17">
        <v>36.5</v>
      </c>
      <c r="I47" s="17">
        <v>8.4</v>
      </c>
      <c r="J47" s="17">
        <v>41.2</v>
      </c>
      <c r="K47" s="17">
        <v>11.4</v>
      </c>
      <c r="L47" s="17">
        <v>35.200000000000003</v>
      </c>
      <c r="M47" s="17">
        <v>10.5</v>
      </c>
      <c r="N47" s="17">
        <v>37</v>
      </c>
      <c r="O47" s="17">
        <v>9.4</v>
      </c>
      <c r="P47" s="17">
        <v>42.4</v>
      </c>
      <c r="Q47" s="17">
        <v>18.8</v>
      </c>
      <c r="R47" s="17">
        <v>42.7</v>
      </c>
      <c r="S47" s="17">
        <v>19.2</v>
      </c>
      <c r="T47" s="17">
        <v>42.8</v>
      </c>
      <c r="U47" s="17">
        <v>15.4</v>
      </c>
      <c r="V47" s="17">
        <v>28.8</v>
      </c>
      <c r="W47" s="17">
        <v>8.4</v>
      </c>
      <c r="X47" s="17">
        <v>23.4</v>
      </c>
      <c r="Y47" s="17">
        <v>9.1999999999999993</v>
      </c>
      <c r="Z47" s="17">
        <v>44.5</v>
      </c>
      <c r="AA47" s="17">
        <v>10</v>
      </c>
      <c r="AB47" s="17">
        <v>29.9</v>
      </c>
      <c r="AC47" s="17">
        <v>7</v>
      </c>
      <c r="AD47" s="17">
        <v>37.4</v>
      </c>
      <c r="AE47" s="17">
        <v>7.6</v>
      </c>
      <c r="AF47" s="17">
        <v>41.9</v>
      </c>
      <c r="AG47" s="17">
        <v>10.6</v>
      </c>
      <c r="AH47" s="17">
        <v>46.3</v>
      </c>
      <c r="AI47" s="17">
        <v>13.2</v>
      </c>
      <c r="AJ47" s="17">
        <v>20.100000000000001</v>
      </c>
      <c r="AK47" s="17">
        <v>9.8000000000000007</v>
      </c>
      <c r="AL47" s="17">
        <v>23.4</v>
      </c>
      <c r="AM47" s="17">
        <v>9.1999999999999993</v>
      </c>
    </row>
    <row r="48" spans="1:39" x14ac:dyDescent="0.25">
      <c r="A48" s="19">
        <f t="shared" si="0"/>
        <v>1971</v>
      </c>
      <c r="B48" s="17">
        <v>36.700000000000003</v>
      </c>
      <c r="C48" s="17">
        <v>6.5</v>
      </c>
      <c r="D48" s="17">
        <v>31.6</v>
      </c>
      <c r="E48" s="17">
        <v>6</v>
      </c>
      <c r="F48" s="17">
        <v>44.7</v>
      </c>
      <c r="G48" s="17">
        <v>14.9</v>
      </c>
      <c r="H48" s="17">
        <v>35.4</v>
      </c>
      <c r="I48" s="17">
        <v>8.1</v>
      </c>
      <c r="J48" s="17">
        <v>40.700000000000003</v>
      </c>
      <c r="K48" s="17">
        <v>11.1</v>
      </c>
      <c r="L48" s="17">
        <v>34.9</v>
      </c>
      <c r="M48" s="17">
        <v>10.199999999999999</v>
      </c>
      <c r="N48" s="17">
        <v>36.299999999999997</v>
      </c>
      <c r="O48" s="17">
        <v>9.3000000000000007</v>
      </c>
      <c r="P48" s="17">
        <v>41.8</v>
      </c>
      <c r="Q48" s="17">
        <v>13.5</v>
      </c>
      <c r="R48" s="17">
        <v>42.4</v>
      </c>
      <c r="S48" s="17">
        <v>18.8</v>
      </c>
      <c r="T48" s="17">
        <v>42.8</v>
      </c>
      <c r="U48" s="17">
        <v>15</v>
      </c>
      <c r="V48" s="17">
        <v>28.1</v>
      </c>
      <c r="W48" s="17">
        <v>8.1999999999999993</v>
      </c>
      <c r="X48" s="17">
        <v>23.6</v>
      </c>
      <c r="Y48" s="17">
        <v>9.4</v>
      </c>
      <c r="Z48" s="17">
        <v>43.9</v>
      </c>
      <c r="AA48" s="17">
        <v>9.6999999999999993</v>
      </c>
      <c r="AB48" s="17">
        <v>28.5</v>
      </c>
      <c r="AC48" s="17">
        <v>6.8</v>
      </c>
      <c r="AD48" s="17">
        <v>36.700000000000003</v>
      </c>
      <c r="AE48" s="17">
        <v>7.3</v>
      </c>
      <c r="AF48" s="17">
        <v>41.2</v>
      </c>
      <c r="AG48" s="17">
        <v>10.199999999999999</v>
      </c>
      <c r="AH48" s="17">
        <v>46.2</v>
      </c>
      <c r="AI48" s="17">
        <v>12.8</v>
      </c>
      <c r="AJ48" s="17">
        <v>20</v>
      </c>
      <c r="AK48" s="17">
        <v>9.8000000000000007</v>
      </c>
      <c r="AL48" s="17">
        <v>23.6</v>
      </c>
      <c r="AM48" s="17">
        <v>9.4</v>
      </c>
    </row>
    <row r="49" spans="1:39" x14ac:dyDescent="0.25">
      <c r="A49" s="19">
        <f t="shared" si="0"/>
        <v>1972</v>
      </c>
      <c r="B49" s="17">
        <v>36.1</v>
      </c>
      <c r="C49" s="17">
        <v>6.3</v>
      </c>
      <c r="D49" s="17">
        <v>30.7</v>
      </c>
      <c r="E49" s="17">
        <v>5.7</v>
      </c>
      <c r="F49" s="17">
        <v>44.4</v>
      </c>
      <c r="G49" s="17">
        <v>14</v>
      </c>
      <c r="H49" s="17">
        <v>34.4</v>
      </c>
      <c r="I49" s="17">
        <v>7.8</v>
      </c>
      <c r="J49" s="17">
        <v>40.1</v>
      </c>
      <c r="K49" s="17">
        <v>10.7</v>
      </c>
      <c r="L49" s="17">
        <v>34.5</v>
      </c>
      <c r="M49" s="17">
        <v>10</v>
      </c>
      <c r="N49" s="17">
        <v>35.799999999999997</v>
      </c>
      <c r="O49" s="17">
        <v>9.1</v>
      </c>
      <c r="P49" s="17">
        <v>41.2</v>
      </c>
      <c r="Q49" s="17">
        <v>13.3</v>
      </c>
      <c r="R49" s="17">
        <v>41.9</v>
      </c>
      <c r="S49" s="17">
        <v>18.5</v>
      </c>
      <c r="T49" s="17">
        <v>42.5</v>
      </c>
      <c r="U49" s="17">
        <v>14.6</v>
      </c>
      <c r="V49" s="17">
        <v>27.4</v>
      </c>
      <c r="W49" s="17">
        <v>8</v>
      </c>
      <c r="X49" s="17">
        <v>23.8</v>
      </c>
      <c r="Y49" s="17">
        <v>9.3000000000000007</v>
      </c>
      <c r="Z49" s="17">
        <v>43</v>
      </c>
      <c r="AA49" s="17">
        <v>9.3000000000000007</v>
      </c>
      <c r="AB49" s="17">
        <v>27.2</v>
      </c>
      <c r="AC49" s="17">
        <v>6.7</v>
      </c>
      <c r="AD49" s="17">
        <v>36</v>
      </c>
      <c r="AE49" s="17">
        <v>7</v>
      </c>
      <c r="AF49" s="17">
        <v>40.6</v>
      </c>
      <c r="AG49" s="17">
        <v>9.8000000000000007</v>
      </c>
      <c r="AH49" s="17">
        <v>46.1</v>
      </c>
      <c r="AI49" s="17">
        <v>12.4</v>
      </c>
      <c r="AJ49" s="17">
        <v>20</v>
      </c>
      <c r="AK49" s="17">
        <v>9.8000000000000007</v>
      </c>
      <c r="AL49" s="17">
        <v>23.8</v>
      </c>
      <c r="AM49" s="17">
        <v>9.3000000000000007</v>
      </c>
    </row>
    <row r="50" spans="1:39" x14ac:dyDescent="0.25">
      <c r="A50" s="19">
        <f t="shared" si="0"/>
        <v>1973</v>
      </c>
      <c r="B50" s="17">
        <v>35.700000000000003</v>
      </c>
      <c r="C50" s="17">
        <v>6.2</v>
      </c>
      <c r="D50" s="17">
        <v>30.1</v>
      </c>
      <c r="E50" s="17">
        <v>5.5</v>
      </c>
      <c r="F50" s="17">
        <v>44.2</v>
      </c>
      <c r="G50" s="17">
        <v>13.4</v>
      </c>
      <c r="H50" s="17">
        <v>33.700000000000003</v>
      </c>
      <c r="I50" s="17">
        <v>7.6</v>
      </c>
      <c r="J50" s="17">
        <v>39.5</v>
      </c>
      <c r="K50" s="17">
        <v>10.4</v>
      </c>
      <c r="L50" s="17">
        <v>34.200000000000003</v>
      </c>
      <c r="M50" s="17">
        <v>9.8000000000000007</v>
      </c>
      <c r="N50" s="17">
        <v>35.4</v>
      </c>
      <c r="O50" s="17">
        <v>8.9</v>
      </c>
      <c r="P50" s="17">
        <v>40.700000000000003</v>
      </c>
      <c r="Q50" s="17">
        <v>13.2</v>
      </c>
      <c r="R50" s="17">
        <v>41.7</v>
      </c>
      <c r="S50" s="17">
        <v>18.100000000000001</v>
      </c>
      <c r="T50" s="17">
        <v>42.2</v>
      </c>
      <c r="U50" s="17">
        <v>13.9</v>
      </c>
      <c r="V50" s="17">
        <v>26.8</v>
      </c>
      <c r="W50" s="17">
        <v>7.7</v>
      </c>
      <c r="X50" s="17">
        <v>24.1</v>
      </c>
      <c r="Y50" s="17">
        <v>9.3000000000000007</v>
      </c>
      <c r="Z50" s="17">
        <v>42.1</v>
      </c>
      <c r="AA50" s="17">
        <v>9</v>
      </c>
      <c r="AB50" s="17">
        <v>25.8</v>
      </c>
      <c r="AC50" s="17">
        <v>6.6</v>
      </c>
      <c r="AD50" s="17">
        <v>35</v>
      </c>
      <c r="AE50" s="17">
        <v>6.7</v>
      </c>
      <c r="AF50" s="17">
        <v>40</v>
      </c>
      <c r="AG50" s="17">
        <v>9.4</v>
      </c>
      <c r="AH50" s="17">
        <v>45.9</v>
      </c>
      <c r="AI50" s="17">
        <v>12.9</v>
      </c>
      <c r="AJ50" s="17">
        <v>20.399999999999999</v>
      </c>
      <c r="AK50" s="17">
        <v>9.8000000000000007</v>
      </c>
      <c r="AL50" s="17">
        <v>24.1</v>
      </c>
      <c r="AM50" s="17">
        <v>9.3000000000000007</v>
      </c>
    </row>
    <row r="51" spans="1:39" x14ac:dyDescent="0.25">
      <c r="A51" s="19">
        <f t="shared" si="0"/>
        <v>1974</v>
      </c>
      <c r="B51" s="17">
        <v>35.299999999999997</v>
      </c>
      <c r="C51" s="17">
        <v>6</v>
      </c>
      <c r="D51" s="17">
        <v>29.9</v>
      </c>
      <c r="E51" s="17">
        <v>5.2</v>
      </c>
      <c r="F51" s="17">
        <v>44.1</v>
      </c>
      <c r="G51" s="17">
        <v>13.2</v>
      </c>
      <c r="H51" s="17">
        <v>33.1</v>
      </c>
      <c r="I51" s="17">
        <v>7.3</v>
      </c>
      <c r="J51" s="17">
        <v>38.9</v>
      </c>
      <c r="K51" s="17">
        <v>10.1</v>
      </c>
      <c r="L51" s="17">
        <v>33.700000000000003</v>
      </c>
      <c r="M51" s="17">
        <v>9.6999999999999993</v>
      </c>
      <c r="N51" s="17">
        <v>35.200000000000003</v>
      </c>
      <c r="O51" s="17">
        <v>8.9</v>
      </c>
      <c r="P51" s="17">
        <v>40.1</v>
      </c>
      <c r="Q51" s="17">
        <v>12.8</v>
      </c>
      <c r="R51" s="17">
        <v>41.5</v>
      </c>
      <c r="S51" s="17">
        <v>17.7</v>
      </c>
      <c r="T51" s="17">
        <v>41.9</v>
      </c>
      <c r="U51" s="17">
        <v>13.7</v>
      </c>
      <c r="V51" s="17">
        <v>26.1</v>
      </c>
      <c r="W51" s="17">
        <v>7.4</v>
      </c>
      <c r="X51" s="17">
        <v>24.5</v>
      </c>
      <c r="Y51" s="17">
        <v>9.3000000000000007</v>
      </c>
      <c r="Z51" s="17">
        <v>41.2</v>
      </c>
      <c r="AA51" s="17">
        <v>8.6</v>
      </c>
      <c r="AB51" s="17">
        <v>24.1</v>
      </c>
      <c r="AC51" s="17">
        <v>6.5</v>
      </c>
      <c r="AD51" s="17">
        <v>34.200000000000003</v>
      </c>
      <c r="AE51" s="17">
        <v>6.4</v>
      </c>
      <c r="AF51" s="17">
        <v>39.1</v>
      </c>
      <c r="AG51" s="17">
        <v>9.1</v>
      </c>
      <c r="AH51" s="17">
        <v>45.8</v>
      </c>
      <c r="AI51" s="17">
        <v>14.2</v>
      </c>
      <c r="AJ51" s="17">
        <v>21.1</v>
      </c>
      <c r="AK51" s="17">
        <v>9.9</v>
      </c>
      <c r="AL51" s="17">
        <v>24.5</v>
      </c>
      <c r="AM51" s="17">
        <v>9.3000000000000007</v>
      </c>
    </row>
    <row r="52" spans="1:39" x14ac:dyDescent="0.25">
      <c r="A52" s="19">
        <f t="shared" si="0"/>
        <v>1975</v>
      </c>
      <c r="B52" s="17">
        <v>35</v>
      </c>
      <c r="C52" s="17">
        <v>5.9</v>
      </c>
      <c r="D52" s="17">
        <v>29.8</v>
      </c>
      <c r="E52" s="17">
        <v>4.9000000000000004</v>
      </c>
      <c r="F52" s="17">
        <v>44.1</v>
      </c>
      <c r="G52" s="17">
        <v>13.3</v>
      </c>
      <c r="H52" s="17">
        <v>32.700000000000003</v>
      </c>
      <c r="I52" s="17">
        <v>7.1</v>
      </c>
      <c r="J52" s="17">
        <v>38.200000000000003</v>
      </c>
      <c r="K52" s="17">
        <v>9.8000000000000007</v>
      </c>
      <c r="L52" s="17">
        <v>33.5</v>
      </c>
      <c r="M52" s="17">
        <v>9.5</v>
      </c>
      <c r="N52" s="17">
        <v>34.9</v>
      </c>
      <c r="O52" s="17">
        <v>8.8000000000000007</v>
      </c>
      <c r="P52" s="17">
        <v>39.5</v>
      </c>
      <c r="Q52" s="17">
        <v>12.5</v>
      </c>
      <c r="R52" s="17">
        <v>41.1</v>
      </c>
      <c r="S52" s="17">
        <v>17.2</v>
      </c>
      <c r="T52" s="17">
        <v>41.5</v>
      </c>
      <c r="U52" s="17">
        <v>13.2</v>
      </c>
      <c r="V52" s="17">
        <v>25.5</v>
      </c>
      <c r="W52" s="17">
        <v>7</v>
      </c>
      <c r="X52" s="17">
        <v>24.9</v>
      </c>
      <c r="Y52" s="17">
        <v>9.1</v>
      </c>
      <c r="Z52" s="17">
        <v>40.1</v>
      </c>
      <c r="AA52" s="17">
        <v>8.1999999999999993</v>
      </c>
      <c r="AB52" s="17">
        <v>21.6</v>
      </c>
      <c r="AC52" s="17">
        <v>6.4</v>
      </c>
      <c r="AD52" s="17">
        <v>33.299999999999997</v>
      </c>
      <c r="AE52" s="17">
        <v>6.1</v>
      </c>
      <c r="AF52" s="17">
        <v>38.4</v>
      </c>
      <c r="AG52" s="17">
        <v>8.8000000000000007</v>
      </c>
      <c r="AH52" s="17">
        <v>46</v>
      </c>
      <c r="AI52" s="17">
        <v>11.1</v>
      </c>
      <c r="AJ52" s="17">
        <v>21.5</v>
      </c>
      <c r="AK52" s="17">
        <v>9.9</v>
      </c>
      <c r="AL52" s="17">
        <v>24.9</v>
      </c>
      <c r="AM52" s="17">
        <v>9.1</v>
      </c>
    </row>
    <row r="53" spans="1:39" x14ac:dyDescent="0.25">
      <c r="A53" s="19">
        <f t="shared" si="0"/>
        <v>1976</v>
      </c>
      <c r="B53" s="17">
        <v>34.700000000000003</v>
      </c>
      <c r="C53" s="17">
        <v>5.7</v>
      </c>
      <c r="D53" s="17">
        <v>29.9</v>
      </c>
      <c r="E53" s="17">
        <v>4.7</v>
      </c>
      <c r="F53" s="17">
        <v>44</v>
      </c>
      <c r="G53" s="17">
        <v>16.600000000000001</v>
      </c>
      <c r="H53" s="17">
        <v>32.5</v>
      </c>
      <c r="I53" s="17">
        <v>6.9</v>
      </c>
      <c r="J53" s="17">
        <v>37.6</v>
      </c>
      <c r="K53" s="17">
        <v>9.5</v>
      </c>
      <c r="L53" s="17">
        <v>33.299999999999997</v>
      </c>
      <c r="M53" s="17">
        <v>9.3000000000000007</v>
      </c>
      <c r="N53" s="17">
        <v>34.799999999999997</v>
      </c>
      <c r="O53" s="17">
        <v>8.6999999999999993</v>
      </c>
      <c r="P53" s="17">
        <v>38.9</v>
      </c>
      <c r="Q53" s="17">
        <v>12.2</v>
      </c>
      <c r="R53" s="17">
        <v>41.2</v>
      </c>
      <c r="S53" s="17">
        <v>16.7</v>
      </c>
      <c r="T53" s="17">
        <v>41.2</v>
      </c>
      <c r="U53" s="17">
        <v>12.5</v>
      </c>
      <c r="V53" s="17">
        <v>24.9</v>
      </c>
      <c r="W53" s="17">
        <v>6.8</v>
      </c>
      <c r="X53" s="17">
        <v>25.2</v>
      </c>
      <c r="Y53" s="17">
        <v>9.1999999999999993</v>
      </c>
      <c r="Z53" s="17">
        <v>39.1</v>
      </c>
      <c r="AA53" s="17">
        <v>7.9</v>
      </c>
      <c r="AB53" s="17">
        <v>19.399999999999999</v>
      </c>
      <c r="AC53" s="17">
        <v>6.3</v>
      </c>
      <c r="AD53" s="17">
        <v>32.5</v>
      </c>
      <c r="AE53" s="17">
        <v>5.9</v>
      </c>
      <c r="AF53" s="17">
        <v>37.700000000000003</v>
      </c>
      <c r="AG53" s="17">
        <v>8.5</v>
      </c>
      <c r="AH53" s="17">
        <v>46</v>
      </c>
      <c r="AI53" s="17">
        <v>10.9</v>
      </c>
      <c r="AJ53" s="17">
        <v>21.4</v>
      </c>
      <c r="AK53" s="17">
        <v>9.9</v>
      </c>
      <c r="AL53" s="17">
        <v>25.2</v>
      </c>
      <c r="AM53" s="17">
        <v>9.1999999999999993</v>
      </c>
    </row>
    <row r="54" spans="1:39" x14ac:dyDescent="0.25">
      <c r="A54" s="19">
        <f t="shared" si="0"/>
        <v>1977</v>
      </c>
      <c r="B54" s="17">
        <v>34.5</v>
      </c>
      <c r="C54" s="17">
        <v>5.5</v>
      </c>
      <c r="D54" s="17">
        <v>30</v>
      </c>
      <c r="E54" s="17">
        <v>4.5999999999999996</v>
      </c>
      <c r="F54" s="17">
        <v>43.9</v>
      </c>
      <c r="G54" s="17">
        <v>12.1</v>
      </c>
      <c r="H54" s="17">
        <v>32.200000000000003</v>
      </c>
      <c r="I54" s="17">
        <v>6.6</v>
      </c>
      <c r="J54" s="17">
        <v>36.9</v>
      </c>
      <c r="K54" s="17">
        <v>9.1999999999999993</v>
      </c>
      <c r="L54" s="17">
        <v>33.200000000000003</v>
      </c>
      <c r="M54" s="17">
        <v>9.1</v>
      </c>
      <c r="N54" s="17">
        <v>35</v>
      </c>
      <c r="O54" s="17">
        <v>8.6999999999999993</v>
      </c>
      <c r="P54" s="17">
        <v>38.299999999999997</v>
      </c>
      <c r="Q54" s="17">
        <v>11.9</v>
      </c>
      <c r="R54" s="17">
        <v>40.9</v>
      </c>
      <c r="S54" s="17">
        <v>16.399999999999999</v>
      </c>
      <c r="T54" s="17">
        <v>40.799999999999997</v>
      </c>
      <c r="U54" s="17">
        <v>12.5</v>
      </c>
      <c r="V54" s="17">
        <v>24.5</v>
      </c>
      <c r="W54" s="17">
        <v>6.5</v>
      </c>
      <c r="X54" s="17">
        <v>25.5</v>
      </c>
      <c r="Y54" s="17">
        <v>8.9</v>
      </c>
      <c r="Z54" s="17">
        <v>38.1</v>
      </c>
      <c r="AA54" s="17">
        <v>7.6</v>
      </c>
      <c r="AB54" s="17">
        <v>17.3</v>
      </c>
      <c r="AC54" s="17">
        <v>6.2</v>
      </c>
      <c r="AD54" s="17">
        <v>31.7</v>
      </c>
      <c r="AE54" s="17">
        <v>5.7</v>
      </c>
      <c r="AF54" s="17">
        <v>37</v>
      </c>
      <c r="AG54" s="17">
        <v>8.1999999999999993</v>
      </c>
      <c r="AH54" s="17">
        <v>45.7</v>
      </c>
      <c r="AI54" s="17">
        <v>10.6</v>
      </c>
      <c r="AJ54" s="17">
        <v>20.6</v>
      </c>
      <c r="AK54" s="17">
        <v>9.9</v>
      </c>
      <c r="AL54" s="17">
        <v>25.5</v>
      </c>
      <c r="AM54" s="17">
        <v>8.9</v>
      </c>
    </row>
    <row r="55" spans="1:39" x14ac:dyDescent="0.25">
      <c r="A55" s="19">
        <f t="shared" si="0"/>
        <v>1978</v>
      </c>
      <c r="B55" s="17">
        <v>34.1</v>
      </c>
      <c r="C55" s="17">
        <v>5.4</v>
      </c>
      <c r="D55" s="17">
        <v>30.2</v>
      </c>
      <c r="E55" s="17">
        <v>4.5</v>
      </c>
      <c r="F55" s="17">
        <v>43.7</v>
      </c>
      <c r="G55" s="17">
        <v>11.5</v>
      </c>
      <c r="H55" s="17">
        <v>31.5</v>
      </c>
      <c r="I55" s="17">
        <v>6.4</v>
      </c>
      <c r="J55" s="17">
        <v>36.299999999999997</v>
      </c>
      <c r="K55" s="17">
        <v>8.8000000000000007</v>
      </c>
      <c r="L55" s="17">
        <v>33</v>
      </c>
      <c r="M55" s="17">
        <v>8.9</v>
      </c>
      <c r="N55" s="17">
        <v>35.1</v>
      </c>
      <c r="O55" s="17">
        <v>8.6</v>
      </c>
      <c r="P55" s="17">
        <v>37.700000000000003</v>
      </c>
      <c r="Q55" s="17">
        <v>11.5</v>
      </c>
      <c r="R55" s="17">
        <v>40.5</v>
      </c>
      <c r="S55" s="17">
        <v>16.100000000000001</v>
      </c>
      <c r="T55" s="17">
        <v>40.4</v>
      </c>
      <c r="U55" s="17">
        <v>12.1</v>
      </c>
      <c r="V55" s="17">
        <v>24</v>
      </c>
      <c r="W55" s="17">
        <v>6.4</v>
      </c>
      <c r="X55" s="17">
        <v>25.4</v>
      </c>
      <c r="Y55" s="17">
        <v>8.9</v>
      </c>
      <c r="Z55" s="17">
        <v>37.4</v>
      </c>
      <c r="AA55" s="17">
        <v>7.4</v>
      </c>
      <c r="AB55" s="17">
        <v>15.1</v>
      </c>
      <c r="AC55" s="17">
        <v>6.2</v>
      </c>
      <c r="AD55" s="17">
        <v>31.1</v>
      </c>
      <c r="AE55" s="17">
        <v>5.5</v>
      </c>
      <c r="AF55" s="17">
        <v>36.299999999999997</v>
      </c>
      <c r="AG55" s="17">
        <v>8</v>
      </c>
      <c r="AH55" s="17">
        <v>45.3</v>
      </c>
      <c r="AI55" s="17">
        <v>10.3</v>
      </c>
      <c r="AJ55" s="17">
        <v>20.100000000000001</v>
      </c>
      <c r="AK55" s="17">
        <v>9.9</v>
      </c>
      <c r="AL55" s="17">
        <v>25.4</v>
      </c>
      <c r="AM55" s="17">
        <v>8.9</v>
      </c>
    </row>
    <row r="56" spans="1:39" x14ac:dyDescent="0.25">
      <c r="A56" s="19">
        <f t="shared" si="0"/>
        <v>1979</v>
      </c>
      <c r="B56" s="17">
        <v>33.799999999999997</v>
      </c>
      <c r="C56" s="17">
        <v>5.4</v>
      </c>
      <c r="D56" s="17">
        <v>30.5</v>
      </c>
      <c r="E56" s="17">
        <v>4.3</v>
      </c>
      <c r="F56" s="17">
        <v>43.6</v>
      </c>
      <c r="G56" s="17">
        <v>11.4</v>
      </c>
      <c r="H56" s="17">
        <v>31.2</v>
      </c>
      <c r="I56" s="17">
        <v>6.3</v>
      </c>
      <c r="J56" s="17">
        <v>35.700000000000003</v>
      </c>
      <c r="K56" s="17">
        <v>8.5</v>
      </c>
      <c r="L56" s="17">
        <v>32.700000000000003</v>
      </c>
      <c r="M56" s="17">
        <v>8.8000000000000007</v>
      </c>
      <c r="N56" s="17">
        <v>35.6</v>
      </c>
      <c r="O56" s="17">
        <v>8.6</v>
      </c>
      <c r="P56" s="17">
        <v>37.1</v>
      </c>
      <c r="Q56" s="17">
        <v>11.2</v>
      </c>
      <c r="R56" s="17">
        <v>40.1</v>
      </c>
      <c r="S56" s="17">
        <v>15.7</v>
      </c>
      <c r="T56" s="17">
        <v>40.1</v>
      </c>
      <c r="U56" s="17">
        <v>12.5</v>
      </c>
      <c r="V56" s="17">
        <v>23.6</v>
      </c>
      <c r="W56" s="17">
        <v>6.2</v>
      </c>
      <c r="X56" s="17">
        <v>25.1</v>
      </c>
      <c r="Y56" s="17">
        <v>8.8000000000000007</v>
      </c>
      <c r="Z56" s="17">
        <v>36.200000000000003</v>
      </c>
      <c r="AA56" s="17">
        <v>7.1</v>
      </c>
      <c r="AB56" s="17">
        <v>14.6</v>
      </c>
      <c r="AC56" s="17">
        <v>6.3</v>
      </c>
      <c r="AD56" s="17">
        <v>30.7</v>
      </c>
      <c r="AE56" s="17">
        <v>5.4</v>
      </c>
      <c r="AF56" s="17">
        <v>35.799999999999997</v>
      </c>
      <c r="AG56" s="17">
        <v>8.1</v>
      </c>
      <c r="AH56" s="17">
        <v>44.9</v>
      </c>
      <c r="AI56" s="17">
        <v>10</v>
      </c>
      <c r="AJ56" s="17">
        <v>19.3</v>
      </c>
      <c r="AK56" s="17">
        <v>10</v>
      </c>
      <c r="AL56" s="17">
        <v>25.1</v>
      </c>
      <c r="AM56" s="17">
        <v>8.8000000000000007</v>
      </c>
    </row>
    <row r="57" spans="1:39" x14ac:dyDescent="0.25">
      <c r="A57" s="19">
        <f t="shared" si="0"/>
        <v>1980</v>
      </c>
      <c r="B57" s="17">
        <v>33.299999999999997</v>
      </c>
      <c r="C57" s="17">
        <v>5.4</v>
      </c>
      <c r="D57" s="17">
        <v>30.4</v>
      </c>
      <c r="E57" s="17">
        <v>4.2</v>
      </c>
      <c r="F57" s="17">
        <v>43.6</v>
      </c>
      <c r="G57" s="17">
        <v>12</v>
      </c>
      <c r="H57" s="17">
        <v>31.1</v>
      </c>
      <c r="I57" s="17">
        <v>6.2</v>
      </c>
      <c r="J57" s="17">
        <v>35.200000000000003</v>
      </c>
      <c r="K57" s="17">
        <v>8.1999999999999993</v>
      </c>
      <c r="L57" s="17">
        <v>32.4</v>
      </c>
      <c r="M57" s="17">
        <v>8.6</v>
      </c>
      <c r="N57" s="17">
        <v>36.200000000000003</v>
      </c>
      <c r="O57" s="17">
        <v>8.5</v>
      </c>
      <c r="P57" s="17">
        <v>36.5</v>
      </c>
      <c r="Q57" s="17">
        <v>10.9</v>
      </c>
      <c r="R57" s="17">
        <v>39.700000000000003</v>
      </c>
      <c r="S57" s="17">
        <v>15.3</v>
      </c>
      <c r="T57" s="17">
        <v>39.799999999999997</v>
      </c>
      <c r="U57" s="17">
        <v>15.2</v>
      </c>
      <c r="V57" s="17">
        <v>23.2</v>
      </c>
      <c r="W57" s="17">
        <v>6</v>
      </c>
      <c r="X57" s="17">
        <v>24.7</v>
      </c>
      <c r="Y57" s="17">
        <v>8.9</v>
      </c>
      <c r="Z57" s="17">
        <v>35</v>
      </c>
      <c r="AA57" s="17">
        <v>6.9</v>
      </c>
      <c r="AB57" s="17">
        <v>13.9</v>
      </c>
      <c r="AC57" s="17">
        <v>6.3</v>
      </c>
      <c r="AD57" s="17">
        <v>30.4</v>
      </c>
      <c r="AE57" s="17">
        <v>5.3</v>
      </c>
      <c r="AF57" s="17">
        <v>35.1</v>
      </c>
      <c r="AG57" s="17">
        <v>7.6</v>
      </c>
      <c r="AH57" s="17">
        <v>44.3</v>
      </c>
      <c r="AI57" s="17">
        <v>9.6999999999999993</v>
      </c>
      <c r="AJ57" s="17">
        <v>18.5</v>
      </c>
      <c r="AK57" s="17">
        <v>9.9</v>
      </c>
      <c r="AL57" s="17">
        <v>24.7</v>
      </c>
      <c r="AM57" s="17">
        <v>8.9</v>
      </c>
    </row>
    <row r="58" spans="1:39" x14ac:dyDescent="0.25">
      <c r="A58" s="19">
        <f t="shared" si="0"/>
        <v>1981</v>
      </c>
      <c r="B58" s="17">
        <v>32.799999999999997</v>
      </c>
      <c r="C58" s="17">
        <v>5.3</v>
      </c>
      <c r="D58" s="17">
        <v>30.4</v>
      </c>
      <c r="E58" s="17">
        <v>4.0999999999999996</v>
      </c>
      <c r="F58" s="17">
        <v>43.4</v>
      </c>
      <c r="G58" s="17">
        <v>12.2</v>
      </c>
      <c r="H58" s="17">
        <v>30.8</v>
      </c>
      <c r="I58" s="17">
        <v>6</v>
      </c>
      <c r="J58" s="17">
        <v>34.700000000000003</v>
      </c>
      <c r="K58" s="17">
        <v>8</v>
      </c>
      <c r="L58" s="17">
        <v>32</v>
      </c>
      <c r="M58" s="17">
        <v>8.4</v>
      </c>
      <c r="N58" s="17">
        <v>36.9</v>
      </c>
      <c r="O58" s="17">
        <v>8.4</v>
      </c>
      <c r="P58" s="17">
        <v>35.9</v>
      </c>
      <c r="Q58" s="17">
        <v>10.5</v>
      </c>
      <c r="R58" s="17">
        <v>39.299999999999997</v>
      </c>
      <c r="S58" s="17">
        <v>15</v>
      </c>
      <c r="T58" s="17">
        <v>39.6</v>
      </c>
      <c r="U58" s="17">
        <v>13.9</v>
      </c>
      <c r="V58" s="17">
        <v>23</v>
      </c>
      <c r="W58" s="17">
        <v>6</v>
      </c>
      <c r="X58" s="17">
        <v>24.3</v>
      </c>
      <c r="Y58" s="17">
        <v>8.6999999999999993</v>
      </c>
      <c r="Z58" s="17">
        <v>34.299999999999997</v>
      </c>
      <c r="AA58" s="17">
        <v>6.7</v>
      </c>
      <c r="AB58" s="17">
        <v>13.9</v>
      </c>
      <c r="AC58" s="17">
        <v>6.4</v>
      </c>
      <c r="AD58" s="17">
        <v>30.2</v>
      </c>
      <c r="AE58" s="17">
        <v>5.2</v>
      </c>
      <c r="AF58" s="17">
        <v>34.4</v>
      </c>
      <c r="AG58" s="17">
        <v>7.4</v>
      </c>
      <c r="AH58" s="17">
        <v>43.7</v>
      </c>
      <c r="AI58" s="17">
        <v>9.4</v>
      </c>
      <c r="AJ58" s="17">
        <v>18.2</v>
      </c>
      <c r="AK58" s="17">
        <v>9.6999999999999993</v>
      </c>
      <c r="AL58" s="17">
        <v>24.3</v>
      </c>
      <c r="AM58" s="17">
        <v>8.6999999999999993</v>
      </c>
    </row>
    <row r="59" spans="1:39" x14ac:dyDescent="0.25">
      <c r="A59" s="19">
        <f t="shared" si="0"/>
        <v>1982</v>
      </c>
      <c r="B59" s="17">
        <v>32.299999999999997</v>
      </c>
      <c r="C59" s="17">
        <v>5.2</v>
      </c>
      <c r="D59" s="17">
        <v>30.5</v>
      </c>
      <c r="E59" s="17">
        <v>4</v>
      </c>
      <c r="F59" s="17">
        <v>43.2</v>
      </c>
      <c r="G59" s="17">
        <v>15.6</v>
      </c>
      <c r="H59" s="17">
        <v>30.5</v>
      </c>
      <c r="I59" s="17">
        <v>5.8</v>
      </c>
      <c r="J59" s="17">
        <v>34.1</v>
      </c>
      <c r="K59" s="17">
        <v>7.7</v>
      </c>
      <c r="L59" s="17">
        <v>31.5</v>
      </c>
      <c r="M59" s="17">
        <v>8.1999999999999993</v>
      </c>
      <c r="N59" s="17">
        <v>37</v>
      </c>
      <c r="O59" s="17">
        <v>8.1999999999999993</v>
      </c>
      <c r="P59" s="17">
        <v>35.4</v>
      </c>
      <c r="Q59" s="17">
        <v>10.1</v>
      </c>
      <c r="R59" s="17">
        <v>38.799999999999997</v>
      </c>
      <c r="S59" s="17">
        <v>14.8</v>
      </c>
      <c r="T59" s="17">
        <v>38.6</v>
      </c>
      <c r="U59" s="17">
        <v>12.4</v>
      </c>
      <c r="V59" s="17">
        <v>22.7</v>
      </c>
      <c r="W59" s="17">
        <v>5.9</v>
      </c>
      <c r="X59" s="17">
        <v>23.8</v>
      </c>
      <c r="Y59" s="17">
        <v>8.8000000000000007</v>
      </c>
      <c r="Z59" s="17">
        <v>33.9</v>
      </c>
      <c r="AA59" s="17">
        <v>6.6</v>
      </c>
      <c r="AB59" s="17">
        <v>15.9</v>
      </c>
      <c r="AC59" s="17">
        <v>6.3</v>
      </c>
      <c r="AD59" s="17">
        <v>30</v>
      </c>
      <c r="AE59" s="17">
        <v>5.2</v>
      </c>
      <c r="AF59" s="17">
        <v>33.799999999999997</v>
      </c>
      <c r="AG59" s="17">
        <v>7.2</v>
      </c>
      <c r="AH59" s="17">
        <v>43.1</v>
      </c>
      <c r="AI59" s="17">
        <v>9.1</v>
      </c>
      <c r="AJ59" s="17">
        <v>18</v>
      </c>
      <c r="AK59" s="17">
        <v>9.6</v>
      </c>
      <c r="AL59" s="17">
        <v>23.8</v>
      </c>
      <c r="AM59" s="17">
        <v>8.8000000000000007</v>
      </c>
    </row>
    <row r="60" spans="1:39" x14ac:dyDescent="0.25">
      <c r="A60" s="19">
        <f t="shared" si="0"/>
        <v>1983</v>
      </c>
      <c r="B60" s="17">
        <v>31.8</v>
      </c>
      <c r="C60" s="17">
        <v>5</v>
      </c>
      <c r="D60" s="17">
        <v>30.5</v>
      </c>
      <c r="E60" s="17">
        <v>3.9</v>
      </c>
      <c r="F60" s="17">
        <v>42.8</v>
      </c>
      <c r="G60" s="17">
        <v>10.7</v>
      </c>
      <c r="H60" s="17">
        <v>29.9</v>
      </c>
      <c r="I60" s="17">
        <v>5.8</v>
      </c>
      <c r="J60" s="17">
        <v>33.6</v>
      </c>
      <c r="K60" s="17">
        <v>7.5</v>
      </c>
      <c r="L60" s="17">
        <v>30.8</v>
      </c>
      <c r="M60" s="17">
        <v>8.1</v>
      </c>
      <c r="N60" s="17">
        <v>37</v>
      </c>
      <c r="O60" s="17">
        <v>8</v>
      </c>
      <c r="P60" s="17">
        <v>35</v>
      </c>
      <c r="Q60" s="17">
        <v>9.9</v>
      </c>
      <c r="R60" s="17">
        <v>38.4</v>
      </c>
      <c r="S60" s="17">
        <v>14.5</v>
      </c>
      <c r="T60" s="17">
        <v>37.700000000000003</v>
      </c>
      <c r="U60" s="17">
        <v>11.8</v>
      </c>
      <c r="V60" s="17">
        <v>22.6</v>
      </c>
      <c r="W60" s="17">
        <v>5.8</v>
      </c>
      <c r="X60" s="17">
        <v>23.3</v>
      </c>
      <c r="Y60" s="17">
        <v>8.8000000000000007</v>
      </c>
      <c r="Z60" s="17">
        <v>33.4</v>
      </c>
      <c r="AA60" s="17">
        <v>6.5</v>
      </c>
      <c r="AB60" s="17">
        <v>16.5</v>
      </c>
      <c r="AC60" s="17">
        <v>6.3</v>
      </c>
      <c r="AD60" s="17">
        <v>29.9</v>
      </c>
      <c r="AE60" s="17">
        <v>5.2</v>
      </c>
      <c r="AF60" s="17">
        <v>33.6</v>
      </c>
      <c r="AG60" s="17">
        <v>7.1</v>
      </c>
      <c r="AH60" s="17">
        <v>42.4</v>
      </c>
      <c r="AI60" s="17">
        <v>8.6999999999999993</v>
      </c>
      <c r="AJ60" s="17">
        <v>17.899999999999999</v>
      </c>
      <c r="AK60" s="17">
        <v>9.8000000000000007</v>
      </c>
      <c r="AL60" s="17">
        <v>23.3</v>
      </c>
      <c r="AM60" s="17">
        <v>8.8000000000000007</v>
      </c>
    </row>
    <row r="61" spans="1:39" x14ac:dyDescent="0.25">
      <c r="A61" s="19">
        <f t="shared" si="0"/>
        <v>1984</v>
      </c>
      <c r="B61" s="17">
        <v>31.4</v>
      </c>
      <c r="C61" s="17">
        <v>5</v>
      </c>
      <c r="D61" s="17">
        <v>30.5</v>
      </c>
      <c r="E61" s="17">
        <v>3.9</v>
      </c>
      <c r="F61" s="17">
        <v>41.9</v>
      </c>
      <c r="G61" s="17">
        <v>10.199999999999999</v>
      </c>
      <c r="H61" s="17">
        <v>29</v>
      </c>
      <c r="I61" s="17">
        <v>5.7</v>
      </c>
      <c r="J61" s="17">
        <v>33.299999999999997</v>
      </c>
      <c r="K61" s="17">
        <v>7.2</v>
      </c>
      <c r="L61" s="17">
        <v>30</v>
      </c>
      <c r="M61" s="17">
        <v>7.9</v>
      </c>
      <c r="N61" s="17">
        <v>37</v>
      </c>
      <c r="O61" s="17">
        <v>7.7</v>
      </c>
      <c r="P61" s="17">
        <v>34.5</v>
      </c>
      <c r="Q61" s="17">
        <v>9.6</v>
      </c>
      <c r="R61" s="17">
        <v>38.1</v>
      </c>
      <c r="S61" s="17">
        <v>14.1</v>
      </c>
      <c r="T61" s="17">
        <v>36.700000000000003</v>
      </c>
      <c r="U61" s="17">
        <v>10.6</v>
      </c>
      <c r="V61" s="17">
        <v>22.5</v>
      </c>
      <c r="W61" s="17">
        <v>5.7</v>
      </c>
      <c r="X61" s="17">
        <v>23</v>
      </c>
      <c r="Y61" s="17">
        <v>8.8000000000000007</v>
      </c>
      <c r="Z61" s="17">
        <v>33.1</v>
      </c>
      <c r="AA61" s="17">
        <v>6.4</v>
      </c>
      <c r="AB61" s="17">
        <v>16.5</v>
      </c>
      <c r="AC61" s="17">
        <v>6.4</v>
      </c>
      <c r="AD61" s="17">
        <v>29.5</v>
      </c>
      <c r="AE61" s="17">
        <v>5.0999999999999996</v>
      </c>
      <c r="AF61" s="17">
        <v>33</v>
      </c>
      <c r="AG61" s="17">
        <v>6.9</v>
      </c>
      <c r="AH61" s="17">
        <v>41.8</v>
      </c>
      <c r="AI61" s="17">
        <v>8.5</v>
      </c>
      <c r="AJ61" s="17">
        <v>17.8</v>
      </c>
      <c r="AK61" s="17">
        <v>9.9</v>
      </c>
      <c r="AL61" s="17">
        <v>23</v>
      </c>
      <c r="AM61" s="17">
        <v>8.8000000000000007</v>
      </c>
    </row>
    <row r="62" spans="1:39" x14ac:dyDescent="0.25">
      <c r="A62" s="19">
        <f t="shared" si="0"/>
        <v>1985</v>
      </c>
      <c r="B62" s="17">
        <v>31</v>
      </c>
      <c r="C62" s="17">
        <v>5</v>
      </c>
      <c r="D62" s="17">
        <v>30.4</v>
      </c>
      <c r="E62" s="17">
        <v>3.9</v>
      </c>
      <c r="F62" s="17">
        <v>41.1</v>
      </c>
      <c r="G62" s="17">
        <v>9.8000000000000007</v>
      </c>
      <c r="H62" s="17">
        <v>28.3</v>
      </c>
      <c r="I62" s="17">
        <v>6.9</v>
      </c>
      <c r="J62" s="17">
        <v>32.299999999999997</v>
      </c>
      <c r="K62" s="17">
        <v>7</v>
      </c>
      <c r="L62" s="17">
        <v>29.2</v>
      </c>
      <c r="M62" s="17">
        <v>7.7</v>
      </c>
      <c r="N62" s="17">
        <v>36.799999999999997</v>
      </c>
      <c r="O62" s="17">
        <v>7.5</v>
      </c>
      <c r="P62" s="17">
        <v>34</v>
      </c>
      <c r="Q62" s="17">
        <v>9.1999999999999993</v>
      </c>
      <c r="R62" s="17">
        <v>37.6</v>
      </c>
      <c r="S62" s="17">
        <v>13.8</v>
      </c>
      <c r="T62" s="17">
        <v>35.700000000000003</v>
      </c>
      <c r="U62" s="17">
        <v>9.6999999999999993</v>
      </c>
      <c r="V62" s="17">
        <v>22.5</v>
      </c>
      <c r="W62" s="17">
        <v>5.6</v>
      </c>
      <c r="X62" s="17">
        <v>22.5</v>
      </c>
      <c r="Y62" s="17">
        <v>8.4</v>
      </c>
      <c r="Z62" s="17">
        <v>32.700000000000003</v>
      </c>
      <c r="AA62" s="17">
        <v>6.3</v>
      </c>
      <c r="AB62" s="17">
        <v>16.7</v>
      </c>
      <c r="AC62" s="17">
        <v>6.6</v>
      </c>
      <c r="AD62" s="17">
        <v>29</v>
      </c>
      <c r="AE62" s="17">
        <v>5.0999999999999996</v>
      </c>
      <c r="AF62" s="17">
        <v>32.200000000000003</v>
      </c>
      <c r="AG62" s="17">
        <v>6.7</v>
      </c>
      <c r="AH62" s="17">
        <v>41.1</v>
      </c>
      <c r="AI62" s="17">
        <v>8.1999999999999993</v>
      </c>
      <c r="AJ62" s="17">
        <v>17.8</v>
      </c>
      <c r="AK62" s="17">
        <v>9.8000000000000007</v>
      </c>
      <c r="AL62" s="17">
        <v>22.5</v>
      </c>
      <c r="AM62" s="17">
        <v>8.4</v>
      </c>
    </row>
    <row r="63" spans="1:39" x14ac:dyDescent="0.25">
      <c r="A63" s="19">
        <f t="shared" si="0"/>
        <v>1986</v>
      </c>
      <c r="B63" s="17">
        <v>30.9</v>
      </c>
      <c r="C63" s="17">
        <v>4.8</v>
      </c>
      <c r="D63" s="17">
        <v>29.8</v>
      </c>
      <c r="E63" s="17">
        <v>3.9</v>
      </c>
      <c r="F63" s="17">
        <v>40.799999999999997</v>
      </c>
      <c r="G63" s="17">
        <v>9.5</v>
      </c>
      <c r="H63" s="17">
        <v>27.9</v>
      </c>
      <c r="I63" s="17">
        <v>5.8</v>
      </c>
      <c r="J63" s="17">
        <v>31.5</v>
      </c>
      <c r="K63" s="17">
        <v>6.7</v>
      </c>
      <c r="L63" s="17">
        <v>28.3</v>
      </c>
      <c r="M63" s="17">
        <v>7.5</v>
      </c>
      <c r="N63" s="17">
        <v>36.5</v>
      </c>
      <c r="O63" s="17">
        <v>7.3</v>
      </c>
      <c r="P63" s="17">
        <v>33.5</v>
      </c>
      <c r="Q63" s="17">
        <v>8.9</v>
      </c>
      <c r="R63" s="17">
        <v>37.4</v>
      </c>
      <c r="S63" s="17">
        <v>13.5</v>
      </c>
      <c r="T63" s="17">
        <v>35.1</v>
      </c>
      <c r="U63" s="17">
        <v>9</v>
      </c>
      <c r="V63" s="17">
        <v>22.5</v>
      </c>
      <c r="W63" s="17">
        <v>5.5</v>
      </c>
      <c r="X63" s="17">
        <v>22.4</v>
      </c>
      <c r="Y63" s="17">
        <v>8.1999999999999993</v>
      </c>
      <c r="Z63" s="17">
        <v>32.299999999999997</v>
      </c>
      <c r="AA63" s="17">
        <v>6.2</v>
      </c>
      <c r="AB63" s="17">
        <v>17</v>
      </c>
      <c r="AC63" s="17">
        <v>6.6</v>
      </c>
      <c r="AD63" s="17">
        <v>28.5</v>
      </c>
      <c r="AE63" s="17">
        <v>5.0999999999999996</v>
      </c>
      <c r="AF63" s="17">
        <v>31.8</v>
      </c>
      <c r="AG63" s="17">
        <v>6.5</v>
      </c>
      <c r="AH63" s="17">
        <v>40.5</v>
      </c>
      <c r="AI63" s="17">
        <v>8</v>
      </c>
      <c r="AJ63" s="17">
        <v>17.8</v>
      </c>
      <c r="AK63" s="17">
        <v>9.6999999999999993</v>
      </c>
      <c r="AL63" s="17">
        <v>22.4</v>
      </c>
      <c r="AM63" s="17">
        <v>8.1999999999999993</v>
      </c>
    </row>
    <row r="64" spans="1:39" x14ac:dyDescent="0.25">
      <c r="A64" s="19">
        <f t="shared" si="0"/>
        <v>1987</v>
      </c>
      <c r="B64" s="17">
        <v>30.6</v>
      </c>
      <c r="C64" s="17">
        <v>4.8</v>
      </c>
      <c r="D64" s="17">
        <v>29.1</v>
      </c>
      <c r="E64" s="17">
        <v>3.8</v>
      </c>
      <c r="F64" s="17">
        <v>40.700000000000003</v>
      </c>
      <c r="G64" s="17">
        <v>9.1999999999999993</v>
      </c>
      <c r="H64" s="17">
        <v>27.5</v>
      </c>
      <c r="I64" s="17">
        <v>5.9</v>
      </c>
      <c r="J64" s="17">
        <v>30.8</v>
      </c>
      <c r="K64" s="17">
        <v>6.5</v>
      </c>
      <c r="L64" s="17">
        <v>27.4</v>
      </c>
      <c r="M64" s="17">
        <v>7.4</v>
      </c>
      <c r="N64" s="17">
        <v>36.1</v>
      </c>
      <c r="O64" s="17">
        <v>7.1</v>
      </c>
      <c r="P64" s="17">
        <v>33</v>
      </c>
      <c r="Q64" s="17">
        <v>8.6</v>
      </c>
      <c r="R64" s="17">
        <v>37.1</v>
      </c>
      <c r="S64" s="17">
        <v>13.1</v>
      </c>
      <c r="T64" s="17">
        <v>35.200000000000003</v>
      </c>
      <c r="U64" s="17">
        <v>9</v>
      </c>
      <c r="V64" s="17">
        <v>22.5</v>
      </c>
      <c r="W64" s="17">
        <v>5.5</v>
      </c>
      <c r="X64" s="17">
        <v>22.2</v>
      </c>
      <c r="Y64" s="17">
        <v>8</v>
      </c>
      <c r="Z64" s="17">
        <v>31.4</v>
      </c>
      <c r="AA64" s="17">
        <v>6.1</v>
      </c>
      <c r="AB64" s="17">
        <v>17.3</v>
      </c>
      <c r="AC64" s="17">
        <v>6.7</v>
      </c>
      <c r="AD64" s="17">
        <v>28</v>
      </c>
      <c r="AE64" s="17">
        <v>5.0999999999999996</v>
      </c>
      <c r="AF64" s="17">
        <v>31.4</v>
      </c>
      <c r="AG64" s="17">
        <v>6.4</v>
      </c>
      <c r="AH64" s="17">
        <v>39.9</v>
      </c>
      <c r="AI64" s="17">
        <v>7.8</v>
      </c>
      <c r="AJ64" s="17">
        <v>17.899999999999999</v>
      </c>
      <c r="AK64" s="17">
        <v>9.9</v>
      </c>
      <c r="AL64" s="17">
        <v>22.2</v>
      </c>
      <c r="AM64" s="17">
        <v>8</v>
      </c>
    </row>
    <row r="65" spans="1:39" x14ac:dyDescent="0.25">
      <c r="A65" s="19">
        <f t="shared" si="0"/>
        <v>1988</v>
      </c>
      <c r="B65" s="17">
        <v>30.1</v>
      </c>
      <c r="C65" s="17">
        <v>4.8</v>
      </c>
      <c r="D65" s="17">
        <v>28.3</v>
      </c>
      <c r="E65" s="17">
        <v>3.8</v>
      </c>
      <c r="F65" s="17">
        <v>40.700000000000003</v>
      </c>
      <c r="G65" s="17">
        <v>8.9</v>
      </c>
      <c r="H65" s="17">
        <v>27.2</v>
      </c>
      <c r="I65" s="17">
        <v>5.9</v>
      </c>
      <c r="J65" s="17">
        <v>30.4</v>
      </c>
      <c r="K65" s="17">
        <v>6.3</v>
      </c>
      <c r="L65" s="17">
        <v>26.5</v>
      </c>
      <c r="M65" s="17">
        <v>7.2</v>
      </c>
      <c r="N65" s="17">
        <v>35.799999999999997</v>
      </c>
      <c r="O65" s="17">
        <v>6.9</v>
      </c>
      <c r="P65" s="17">
        <v>32.4</v>
      </c>
      <c r="Q65" s="17">
        <v>8.3000000000000007</v>
      </c>
      <c r="R65" s="17">
        <v>36.9</v>
      </c>
      <c r="S65" s="17">
        <v>12.8</v>
      </c>
      <c r="T65" s="17">
        <v>34.9</v>
      </c>
      <c r="U65" s="17">
        <v>8.6999999999999993</v>
      </c>
      <c r="V65" s="17">
        <v>22.5</v>
      </c>
      <c r="W65" s="17">
        <v>5.4</v>
      </c>
      <c r="X65" s="17">
        <v>22.2</v>
      </c>
      <c r="Y65" s="17">
        <v>7.9</v>
      </c>
      <c r="Z65" s="17">
        <v>30.4</v>
      </c>
      <c r="AA65" s="17">
        <v>6.1</v>
      </c>
      <c r="AB65" s="17">
        <v>18</v>
      </c>
      <c r="AC65" s="17">
        <v>6.8</v>
      </c>
      <c r="AD65" s="17">
        <v>27.5</v>
      </c>
      <c r="AE65" s="17">
        <v>5.0999999999999996</v>
      </c>
      <c r="AF65" s="17">
        <v>31.3</v>
      </c>
      <c r="AG65" s="17">
        <v>6.3</v>
      </c>
      <c r="AH65" s="17">
        <v>39.299999999999997</v>
      </c>
      <c r="AI65" s="17">
        <v>7.6</v>
      </c>
      <c r="AJ65" s="17">
        <v>18.100000000000001</v>
      </c>
      <c r="AK65" s="17">
        <v>9.9</v>
      </c>
      <c r="AL65" s="17">
        <v>22.2</v>
      </c>
      <c r="AM65" s="17">
        <v>7.9</v>
      </c>
    </row>
    <row r="66" spans="1:39" x14ac:dyDescent="0.25">
      <c r="A66" s="19">
        <f t="shared" si="0"/>
        <v>1989</v>
      </c>
      <c r="B66" s="17">
        <v>29.5</v>
      </c>
      <c r="C66" s="17">
        <v>4.8</v>
      </c>
      <c r="D66" s="17">
        <v>27.5</v>
      </c>
      <c r="E66" s="17">
        <v>3.7</v>
      </c>
      <c r="F66" s="17">
        <v>40.299999999999997</v>
      </c>
      <c r="G66" s="17">
        <v>8.8000000000000007</v>
      </c>
      <c r="H66" s="17">
        <v>27</v>
      </c>
      <c r="I66" s="17">
        <v>5.8</v>
      </c>
      <c r="J66" s="17">
        <v>30.2</v>
      </c>
      <c r="K66" s="17">
        <v>6</v>
      </c>
      <c r="L66" s="17">
        <v>25.6</v>
      </c>
      <c r="M66" s="17">
        <v>7.1</v>
      </c>
      <c r="N66" s="17">
        <v>35.200000000000003</v>
      </c>
      <c r="O66" s="17">
        <v>6.7</v>
      </c>
      <c r="P66" s="17">
        <v>31.8</v>
      </c>
      <c r="Q66" s="17">
        <v>8</v>
      </c>
      <c r="R66" s="17">
        <v>36.5</v>
      </c>
      <c r="S66" s="17">
        <v>12.4</v>
      </c>
      <c r="T66" s="17">
        <v>34.4</v>
      </c>
      <c r="U66" s="17">
        <v>8.1</v>
      </c>
      <c r="V66" s="17">
        <v>22.3</v>
      </c>
      <c r="W66" s="17">
        <v>5.3</v>
      </c>
      <c r="X66" s="17">
        <v>22</v>
      </c>
      <c r="Y66" s="17">
        <v>7.7</v>
      </c>
      <c r="Z66" s="17">
        <v>29.9</v>
      </c>
      <c r="AA66" s="17">
        <v>6.2</v>
      </c>
      <c r="AB66" s="17">
        <v>17.8</v>
      </c>
      <c r="AC66" s="17">
        <v>6.9</v>
      </c>
      <c r="AD66" s="17">
        <v>27.2</v>
      </c>
      <c r="AE66" s="17">
        <v>5.4</v>
      </c>
      <c r="AF66" s="17">
        <v>31.2</v>
      </c>
      <c r="AG66" s="17">
        <v>6.2</v>
      </c>
      <c r="AH66" s="17">
        <v>38.799999999999997</v>
      </c>
      <c r="AI66" s="17">
        <v>7.3</v>
      </c>
      <c r="AJ66" s="17">
        <v>18.100000000000001</v>
      </c>
      <c r="AK66" s="17">
        <v>9.9</v>
      </c>
      <c r="AL66" s="17">
        <v>22</v>
      </c>
      <c r="AM66" s="17">
        <v>7.7</v>
      </c>
    </row>
    <row r="67" spans="1:39" x14ac:dyDescent="0.25">
      <c r="A67" s="19">
        <f t="shared" si="0"/>
        <v>1990</v>
      </c>
      <c r="B67" s="17">
        <v>28.9</v>
      </c>
      <c r="C67" s="17">
        <v>4.8</v>
      </c>
      <c r="D67" s="17">
        <v>26.7</v>
      </c>
      <c r="E67" s="17">
        <v>3.7</v>
      </c>
      <c r="F67" s="17">
        <v>39.799999999999997</v>
      </c>
      <c r="G67" s="17">
        <v>8.8000000000000007</v>
      </c>
      <c r="H67" s="17">
        <v>26.9</v>
      </c>
      <c r="I67" s="17">
        <v>5.9</v>
      </c>
      <c r="J67" s="17">
        <v>29.9</v>
      </c>
      <c r="K67" s="17">
        <v>5.8</v>
      </c>
      <c r="L67" s="17">
        <v>24.8</v>
      </c>
      <c r="M67" s="17">
        <v>7</v>
      </c>
      <c r="N67" s="17">
        <v>34.4</v>
      </c>
      <c r="O67" s="17">
        <v>6.5</v>
      </c>
      <c r="P67" s="17">
        <v>31.1</v>
      </c>
      <c r="Q67" s="17">
        <v>7.7</v>
      </c>
      <c r="R67" s="17">
        <v>36.1</v>
      </c>
      <c r="S67" s="17">
        <v>12</v>
      </c>
      <c r="T67" s="17">
        <v>33.700000000000003</v>
      </c>
      <c r="U67" s="17">
        <v>7.7</v>
      </c>
      <c r="V67" s="17">
        <v>22.1</v>
      </c>
      <c r="W67" s="17">
        <v>5.2</v>
      </c>
      <c r="X67" s="17">
        <v>22.1</v>
      </c>
      <c r="Y67" s="17">
        <v>7.8</v>
      </c>
      <c r="Z67" s="17">
        <v>29.4</v>
      </c>
      <c r="AA67" s="17">
        <v>6.2</v>
      </c>
      <c r="AB67" s="17">
        <v>17.600000000000001</v>
      </c>
      <c r="AC67" s="17">
        <v>7</v>
      </c>
      <c r="AD67" s="17">
        <v>26.8</v>
      </c>
      <c r="AE67" s="17">
        <v>5.0999999999999996</v>
      </c>
      <c r="AF67" s="17">
        <v>30.8</v>
      </c>
      <c r="AG67" s="17">
        <v>6.1</v>
      </c>
      <c r="AH67" s="17">
        <v>38.5</v>
      </c>
      <c r="AI67" s="17">
        <v>7</v>
      </c>
      <c r="AJ67" s="17">
        <v>17.899999999999999</v>
      </c>
      <c r="AK67" s="17">
        <v>9.6999999999999993</v>
      </c>
      <c r="AL67" s="17">
        <v>22.1</v>
      </c>
      <c r="AM67" s="17">
        <v>7.8</v>
      </c>
    </row>
    <row r="68" spans="1:39" x14ac:dyDescent="0.25">
      <c r="A68" s="19">
        <f t="shared" si="0"/>
        <v>1991</v>
      </c>
      <c r="B68" s="17">
        <v>28.3</v>
      </c>
      <c r="C68" s="17">
        <v>4.8</v>
      </c>
      <c r="D68" s="17">
        <v>25.7</v>
      </c>
      <c r="E68" s="17">
        <v>3.7</v>
      </c>
      <c r="F68" s="17">
        <v>39.299999999999997</v>
      </c>
      <c r="G68" s="17">
        <v>8.6</v>
      </c>
      <c r="H68" s="17">
        <v>26.8</v>
      </c>
      <c r="I68" s="17">
        <v>5.9</v>
      </c>
      <c r="J68" s="17">
        <v>29.7</v>
      </c>
      <c r="K68" s="17">
        <v>5.6</v>
      </c>
      <c r="L68" s="17">
        <v>24.1</v>
      </c>
      <c r="M68" s="17">
        <v>6.9</v>
      </c>
      <c r="N68" s="17">
        <v>33.9</v>
      </c>
      <c r="O68" s="17">
        <v>6.3</v>
      </c>
      <c r="P68" s="17">
        <v>30.4</v>
      </c>
      <c r="Q68" s="17">
        <v>7.6</v>
      </c>
      <c r="R68" s="17">
        <v>35.700000000000003</v>
      </c>
      <c r="S68" s="17">
        <v>11.7</v>
      </c>
      <c r="T68" s="17">
        <v>33.1</v>
      </c>
      <c r="U68" s="17">
        <v>7.5</v>
      </c>
      <c r="V68" s="17">
        <v>21.8</v>
      </c>
      <c r="W68" s="17">
        <v>5.2</v>
      </c>
      <c r="X68" s="17">
        <v>21.9</v>
      </c>
      <c r="Y68" s="17">
        <v>7.6</v>
      </c>
      <c r="Z68" s="17">
        <v>29.1</v>
      </c>
      <c r="AA68" s="17">
        <v>6.1</v>
      </c>
      <c r="AB68" s="17">
        <v>16.100000000000001</v>
      </c>
      <c r="AC68" s="17">
        <v>7.2</v>
      </c>
      <c r="AD68" s="17">
        <v>26.2</v>
      </c>
      <c r="AE68" s="17">
        <v>5.0999999999999996</v>
      </c>
      <c r="AF68" s="17">
        <v>30.2</v>
      </c>
      <c r="AG68" s="17">
        <v>5.9</v>
      </c>
      <c r="AH68" s="17">
        <v>38.200000000000003</v>
      </c>
      <c r="AI68" s="17">
        <v>6.8</v>
      </c>
      <c r="AJ68" s="17">
        <v>17.8</v>
      </c>
      <c r="AK68" s="17">
        <v>9.6999999999999993</v>
      </c>
      <c r="AL68" s="17">
        <v>21.9</v>
      </c>
      <c r="AM68" s="17">
        <v>7.6</v>
      </c>
    </row>
    <row r="69" spans="1:39" x14ac:dyDescent="0.25">
      <c r="A69" s="19">
        <f t="shared" si="0"/>
        <v>1992</v>
      </c>
      <c r="B69" s="17">
        <v>27.7</v>
      </c>
      <c r="C69" s="17">
        <v>4.8</v>
      </c>
      <c r="D69" s="17">
        <v>25</v>
      </c>
      <c r="E69" s="17">
        <v>3.7</v>
      </c>
      <c r="F69" s="17">
        <v>38.9</v>
      </c>
      <c r="G69" s="17">
        <v>8.6</v>
      </c>
      <c r="H69" s="17">
        <v>26.6</v>
      </c>
      <c r="I69" s="17">
        <v>6</v>
      </c>
      <c r="J69" s="17">
        <v>29.3</v>
      </c>
      <c r="K69" s="17">
        <v>5.5</v>
      </c>
      <c r="L69" s="17">
        <v>23.3</v>
      </c>
      <c r="M69" s="17">
        <v>6.8</v>
      </c>
      <c r="N69" s="17">
        <v>33.299999999999997</v>
      </c>
      <c r="O69" s="17">
        <v>6.1</v>
      </c>
      <c r="P69" s="17">
        <v>29.6</v>
      </c>
      <c r="Q69" s="17">
        <v>7.2</v>
      </c>
      <c r="R69" s="17">
        <v>34.799999999999997</v>
      </c>
      <c r="S69" s="17">
        <v>11.4</v>
      </c>
      <c r="T69" s="17">
        <v>32.200000000000003</v>
      </c>
      <c r="U69" s="17">
        <v>7.3</v>
      </c>
      <c r="V69" s="17">
        <v>21</v>
      </c>
      <c r="W69" s="17">
        <v>5.2</v>
      </c>
      <c r="X69" s="17">
        <v>21.7</v>
      </c>
      <c r="Y69" s="17">
        <v>7.7</v>
      </c>
      <c r="Z69" s="17">
        <v>28.7</v>
      </c>
      <c r="AA69" s="17">
        <v>6</v>
      </c>
      <c r="AB69" s="17">
        <v>15</v>
      </c>
      <c r="AC69" s="17">
        <v>7.3</v>
      </c>
      <c r="AD69" s="17">
        <v>25.9</v>
      </c>
      <c r="AE69" s="17">
        <v>5.0999999999999996</v>
      </c>
      <c r="AF69" s="17">
        <v>29.7</v>
      </c>
      <c r="AG69" s="17">
        <v>5.8</v>
      </c>
      <c r="AH69" s="17">
        <v>37.9</v>
      </c>
      <c r="AI69" s="17">
        <v>6.6</v>
      </c>
      <c r="AJ69" s="17">
        <v>17.7</v>
      </c>
      <c r="AK69" s="17">
        <v>9.8000000000000007</v>
      </c>
      <c r="AL69" s="17">
        <v>21.7</v>
      </c>
      <c r="AM69" s="17">
        <v>7.7</v>
      </c>
    </row>
    <row r="70" spans="1:39" x14ac:dyDescent="0.25">
      <c r="A70" s="19">
        <f t="shared" si="0"/>
        <v>1993</v>
      </c>
      <c r="B70" s="17">
        <v>27.1</v>
      </c>
      <c r="C70" s="17">
        <v>4.8</v>
      </c>
      <c r="D70" s="17">
        <v>24.3</v>
      </c>
      <c r="E70" s="17">
        <v>3.8</v>
      </c>
      <c r="F70" s="17">
        <v>38.6</v>
      </c>
      <c r="G70" s="17">
        <v>8.4</v>
      </c>
      <c r="H70" s="17">
        <v>26.5</v>
      </c>
      <c r="I70" s="17">
        <v>5.9</v>
      </c>
      <c r="J70" s="17">
        <v>28.7</v>
      </c>
      <c r="K70" s="17">
        <v>5.4</v>
      </c>
      <c r="L70" s="17">
        <v>23</v>
      </c>
      <c r="M70" s="17">
        <v>6.7</v>
      </c>
      <c r="N70" s="17">
        <v>32.4</v>
      </c>
      <c r="O70" s="17">
        <v>6</v>
      </c>
      <c r="P70" s="17">
        <v>28.8</v>
      </c>
      <c r="Q70" s="17">
        <v>6.9</v>
      </c>
      <c r="R70" s="17">
        <v>34.1</v>
      </c>
      <c r="S70" s="17">
        <v>10.9</v>
      </c>
      <c r="T70" s="17">
        <v>31.3</v>
      </c>
      <c r="U70" s="17">
        <v>6.9</v>
      </c>
      <c r="V70" s="17">
        <v>20.399999999999999</v>
      </c>
      <c r="W70" s="17">
        <v>5.2</v>
      </c>
      <c r="X70" s="17">
        <v>21.6</v>
      </c>
      <c r="Y70" s="17">
        <v>7.7</v>
      </c>
      <c r="Z70" s="17">
        <v>28.3</v>
      </c>
      <c r="AA70" s="17">
        <v>5.9</v>
      </c>
      <c r="AB70" s="17">
        <v>14.1</v>
      </c>
      <c r="AC70" s="17">
        <v>7.4</v>
      </c>
      <c r="AD70" s="17">
        <v>25.5</v>
      </c>
      <c r="AE70" s="17">
        <v>5</v>
      </c>
      <c r="AF70" s="17">
        <v>29.1</v>
      </c>
      <c r="AG70" s="17">
        <v>5.8</v>
      </c>
      <c r="AH70" s="17">
        <v>37.700000000000003</v>
      </c>
      <c r="AI70" s="17">
        <v>6.4</v>
      </c>
      <c r="AJ70" s="17">
        <v>17.600000000000001</v>
      </c>
      <c r="AK70" s="17">
        <v>9.9</v>
      </c>
      <c r="AL70" s="17">
        <v>21.6</v>
      </c>
      <c r="AM70" s="17">
        <v>7.7</v>
      </c>
    </row>
    <row r="71" spans="1:39" x14ac:dyDescent="0.25">
      <c r="A71" s="19">
        <f t="shared" si="0"/>
        <v>1994</v>
      </c>
      <c r="B71" s="17">
        <v>26.5</v>
      </c>
      <c r="C71" s="17">
        <v>4.9000000000000004</v>
      </c>
      <c r="D71" s="17">
        <v>23.6</v>
      </c>
      <c r="E71" s="17">
        <v>3.8</v>
      </c>
      <c r="F71" s="17">
        <v>38.200000000000003</v>
      </c>
      <c r="G71" s="17">
        <v>8.1</v>
      </c>
      <c r="H71" s="17">
        <v>26</v>
      </c>
      <c r="I71" s="17">
        <v>5.8</v>
      </c>
      <c r="J71" s="17">
        <v>28.2</v>
      </c>
      <c r="K71" s="17">
        <v>5.2</v>
      </c>
      <c r="L71" s="17">
        <v>22.5</v>
      </c>
      <c r="M71" s="17">
        <v>6.6</v>
      </c>
      <c r="N71" s="17">
        <v>31.7</v>
      </c>
      <c r="O71" s="17">
        <v>5.9</v>
      </c>
      <c r="P71" s="17">
        <v>28</v>
      </c>
      <c r="Q71" s="17">
        <v>6.5</v>
      </c>
      <c r="R71" s="17">
        <v>33.4</v>
      </c>
      <c r="S71" s="17">
        <v>10.7</v>
      </c>
      <c r="T71" s="17">
        <v>31</v>
      </c>
      <c r="U71" s="17">
        <v>6.8</v>
      </c>
      <c r="V71" s="17">
        <v>19.8</v>
      </c>
      <c r="W71" s="17">
        <v>5.2</v>
      </c>
      <c r="X71" s="17">
        <v>21.4</v>
      </c>
      <c r="Y71" s="17">
        <v>7.5</v>
      </c>
      <c r="Z71" s="17">
        <v>27.7</v>
      </c>
      <c r="AA71" s="17">
        <v>5.8</v>
      </c>
      <c r="AB71" s="17">
        <v>13.7</v>
      </c>
      <c r="AC71" s="17">
        <v>7.4</v>
      </c>
      <c r="AD71" s="17">
        <v>25.2</v>
      </c>
      <c r="AE71" s="17">
        <v>5</v>
      </c>
      <c r="AF71" s="17">
        <v>28.5</v>
      </c>
      <c r="AG71" s="17">
        <v>5.7</v>
      </c>
      <c r="AH71" s="17">
        <v>37.299999999999997</v>
      </c>
      <c r="AI71" s="17">
        <v>6.2</v>
      </c>
      <c r="AJ71" s="17">
        <v>17.7</v>
      </c>
      <c r="AK71" s="17">
        <v>10</v>
      </c>
      <c r="AL71" s="17">
        <v>21.4</v>
      </c>
      <c r="AM71" s="17">
        <v>7.5</v>
      </c>
    </row>
    <row r="72" spans="1:39" x14ac:dyDescent="0.25">
      <c r="A72" s="19">
        <f t="shared" si="0"/>
        <v>1995</v>
      </c>
      <c r="B72" s="17">
        <v>26</v>
      </c>
      <c r="C72" s="17">
        <v>4.8</v>
      </c>
      <c r="D72" s="17">
        <v>23</v>
      </c>
      <c r="E72" s="17">
        <v>3.9</v>
      </c>
      <c r="F72" s="17">
        <v>37.799999999999997</v>
      </c>
      <c r="G72" s="17">
        <v>7.8</v>
      </c>
      <c r="H72" s="17">
        <v>25.1</v>
      </c>
      <c r="I72" s="17">
        <v>5.7</v>
      </c>
      <c r="J72" s="17">
        <v>27.9</v>
      </c>
      <c r="K72" s="17">
        <v>5.0999999999999996</v>
      </c>
      <c r="L72" s="17">
        <v>22.3</v>
      </c>
      <c r="M72" s="17">
        <v>6.5</v>
      </c>
      <c r="N72" s="17">
        <v>31</v>
      </c>
      <c r="O72" s="17">
        <v>5.7</v>
      </c>
      <c r="P72" s="17">
        <v>27.2</v>
      </c>
      <c r="Q72" s="17">
        <v>6.3</v>
      </c>
      <c r="R72" s="17">
        <v>32.799999999999997</v>
      </c>
      <c r="S72" s="17">
        <v>10.5</v>
      </c>
      <c r="T72" s="17">
        <v>30.8</v>
      </c>
      <c r="U72" s="17">
        <v>6.8</v>
      </c>
      <c r="V72" s="17">
        <v>19.5</v>
      </c>
      <c r="W72" s="17">
        <v>5.2</v>
      </c>
      <c r="X72" s="17">
        <v>21</v>
      </c>
      <c r="Y72" s="17">
        <v>7.6</v>
      </c>
      <c r="Z72" s="17">
        <v>27.1</v>
      </c>
      <c r="AA72" s="17">
        <v>5.7</v>
      </c>
      <c r="AB72" s="17">
        <v>13.5</v>
      </c>
      <c r="AC72" s="17">
        <v>7.4</v>
      </c>
      <c r="AD72" s="17">
        <v>24.9</v>
      </c>
      <c r="AE72" s="17">
        <v>5.0999999999999996</v>
      </c>
      <c r="AF72" s="17">
        <v>27.9</v>
      </c>
      <c r="AG72" s="17">
        <v>5.6</v>
      </c>
      <c r="AH72" s="17">
        <v>36.9</v>
      </c>
      <c r="AI72" s="17">
        <v>6</v>
      </c>
      <c r="AJ72" s="17">
        <v>17.600000000000001</v>
      </c>
      <c r="AK72" s="17">
        <v>9.8000000000000007</v>
      </c>
      <c r="AL72" s="17">
        <v>21</v>
      </c>
      <c r="AM72" s="17">
        <v>7.6</v>
      </c>
    </row>
    <row r="73" spans="1:39" x14ac:dyDescent="0.25">
      <c r="A73" s="19">
        <f t="shared" si="0"/>
        <v>1996</v>
      </c>
      <c r="B73" s="17">
        <v>25.5</v>
      </c>
      <c r="C73" s="17">
        <v>4.8</v>
      </c>
      <c r="D73" s="17">
        <v>22.2</v>
      </c>
      <c r="E73" s="17">
        <v>3.9</v>
      </c>
      <c r="F73" s="17">
        <v>37.1</v>
      </c>
      <c r="G73" s="17">
        <v>7.4</v>
      </c>
      <c r="H73" s="17">
        <v>24.3</v>
      </c>
      <c r="I73" s="17">
        <v>5.6</v>
      </c>
      <c r="J73" s="17">
        <v>27.7</v>
      </c>
      <c r="K73" s="17">
        <v>5</v>
      </c>
      <c r="L73" s="17">
        <v>21.9</v>
      </c>
      <c r="M73" s="17">
        <v>6.5</v>
      </c>
      <c r="N73" s="17">
        <v>30.3</v>
      </c>
      <c r="O73" s="17">
        <v>5.6</v>
      </c>
      <c r="P73" s="17">
        <v>26.4</v>
      </c>
      <c r="Q73" s="17">
        <v>6.1</v>
      </c>
      <c r="R73" s="17">
        <v>32.299999999999997</v>
      </c>
      <c r="S73" s="17">
        <v>10.3</v>
      </c>
      <c r="T73" s="17">
        <v>30.3</v>
      </c>
      <c r="U73" s="17">
        <v>6.7</v>
      </c>
      <c r="V73" s="17">
        <v>18.8</v>
      </c>
      <c r="W73" s="17">
        <v>5.2</v>
      </c>
      <c r="X73" s="17">
        <v>20.399999999999999</v>
      </c>
      <c r="Y73" s="17">
        <v>7.5</v>
      </c>
      <c r="Z73" s="17">
        <v>26.4</v>
      </c>
      <c r="AA73" s="17">
        <v>5.6</v>
      </c>
      <c r="AB73" s="17">
        <v>13</v>
      </c>
      <c r="AC73" s="17">
        <v>7.3</v>
      </c>
      <c r="AD73" s="17">
        <v>24.6</v>
      </c>
      <c r="AE73" s="17">
        <v>5</v>
      </c>
      <c r="AF73" s="17">
        <v>27.3</v>
      </c>
      <c r="AG73" s="17">
        <v>5.6</v>
      </c>
      <c r="AH73" s="17">
        <v>36.299999999999997</v>
      </c>
      <c r="AI73" s="17">
        <v>5.8</v>
      </c>
      <c r="AJ73" s="17">
        <v>17.3</v>
      </c>
      <c r="AK73" s="17">
        <v>9.6</v>
      </c>
      <c r="AL73" s="17">
        <v>20.399999999999999</v>
      </c>
      <c r="AM73" s="17">
        <v>7.5</v>
      </c>
    </row>
    <row r="74" spans="1:39" x14ac:dyDescent="0.25">
      <c r="A74" s="19">
        <f t="shared" si="0"/>
        <v>1997</v>
      </c>
      <c r="B74" s="17">
        <v>25.1</v>
      </c>
      <c r="C74" s="17">
        <v>4.7</v>
      </c>
      <c r="D74" s="17">
        <v>21.5</v>
      </c>
      <c r="E74" s="17">
        <v>3.9</v>
      </c>
      <c r="F74" s="17">
        <v>36.5</v>
      </c>
      <c r="G74" s="17">
        <v>7</v>
      </c>
      <c r="H74" s="17">
        <v>24</v>
      </c>
      <c r="I74" s="17">
        <v>5.5</v>
      </c>
      <c r="J74" s="17">
        <v>27.1</v>
      </c>
      <c r="K74" s="17">
        <v>5</v>
      </c>
      <c r="L74" s="17">
        <v>21.6</v>
      </c>
      <c r="M74" s="17">
        <v>6.4</v>
      </c>
      <c r="N74" s="17">
        <v>29.6</v>
      </c>
      <c r="O74" s="17">
        <v>5.6</v>
      </c>
      <c r="P74" s="17">
        <v>25.6</v>
      </c>
      <c r="Q74" s="17">
        <v>6</v>
      </c>
      <c r="R74" s="17">
        <v>31.4</v>
      </c>
      <c r="S74" s="17">
        <v>10.199999999999999</v>
      </c>
      <c r="T74" s="17">
        <v>29.6</v>
      </c>
      <c r="U74" s="17">
        <v>6.6</v>
      </c>
      <c r="V74" s="17">
        <v>17.899999999999999</v>
      </c>
      <c r="W74" s="17">
        <v>5.2</v>
      </c>
      <c r="X74" s="17">
        <v>20</v>
      </c>
      <c r="Y74" s="17">
        <v>7.4</v>
      </c>
      <c r="Z74" s="17">
        <v>25.8</v>
      </c>
      <c r="AA74" s="17">
        <v>5.6</v>
      </c>
      <c r="AB74" s="17">
        <v>13.8</v>
      </c>
      <c r="AC74" s="17">
        <v>7.3</v>
      </c>
      <c r="AD74" s="17">
        <v>24.4</v>
      </c>
      <c r="AE74" s="17">
        <v>5</v>
      </c>
      <c r="AF74" s="17">
        <v>26.2</v>
      </c>
      <c r="AG74" s="17">
        <v>5.6</v>
      </c>
      <c r="AH74" s="17">
        <v>35.700000000000003</v>
      </c>
      <c r="AI74" s="17">
        <v>5.6</v>
      </c>
      <c r="AJ74" s="17">
        <v>17</v>
      </c>
      <c r="AK74" s="17">
        <v>9.6999999999999993</v>
      </c>
      <c r="AL74" s="17">
        <v>20</v>
      </c>
      <c r="AM74" s="17">
        <v>7.4</v>
      </c>
    </row>
    <row r="75" spans="1:39" x14ac:dyDescent="0.25">
      <c r="A75" s="19">
        <f t="shared" si="0"/>
        <v>1998</v>
      </c>
      <c r="B75" s="17">
        <v>24.6</v>
      </c>
      <c r="C75" s="17">
        <v>4.8</v>
      </c>
      <c r="D75" s="17">
        <v>21</v>
      </c>
      <c r="E75" s="17">
        <v>3.9</v>
      </c>
      <c r="F75" s="17">
        <v>35.9</v>
      </c>
      <c r="G75" s="17">
        <v>6.7</v>
      </c>
      <c r="H75" s="17">
        <v>23.6</v>
      </c>
      <c r="I75" s="17">
        <v>5.4</v>
      </c>
      <c r="J75" s="17">
        <v>26.6</v>
      </c>
      <c r="K75" s="17">
        <v>5.0999999999999996</v>
      </c>
      <c r="L75" s="17">
        <v>21.2</v>
      </c>
      <c r="M75" s="17">
        <v>6.4</v>
      </c>
      <c r="N75" s="17">
        <v>28.8</v>
      </c>
      <c r="O75" s="17">
        <v>5.5</v>
      </c>
      <c r="P75" s="17">
        <v>24.9</v>
      </c>
      <c r="Q75" s="17">
        <v>5.9</v>
      </c>
      <c r="R75" s="17">
        <v>31</v>
      </c>
      <c r="S75" s="17">
        <v>10</v>
      </c>
      <c r="T75" s="17">
        <v>29.4</v>
      </c>
      <c r="U75" s="17">
        <v>6.6</v>
      </c>
      <c r="V75" s="17">
        <v>17.399999999999999</v>
      </c>
      <c r="W75" s="17">
        <v>5.0999999999999996</v>
      </c>
      <c r="X75" s="17">
        <v>19.7</v>
      </c>
      <c r="Y75" s="17">
        <v>7.6</v>
      </c>
      <c r="Z75" s="17">
        <v>25.1</v>
      </c>
      <c r="AA75" s="17">
        <v>5.5</v>
      </c>
      <c r="AB75" s="17">
        <v>13.7</v>
      </c>
      <c r="AC75" s="17">
        <v>7.2</v>
      </c>
      <c r="AD75" s="17">
        <v>24.1</v>
      </c>
      <c r="AE75" s="17">
        <v>4.9000000000000004</v>
      </c>
      <c r="AF75" s="17">
        <v>25.3</v>
      </c>
      <c r="AG75" s="17">
        <v>5.6</v>
      </c>
      <c r="AH75" s="17">
        <v>35.1</v>
      </c>
      <c r="AI75" s="17">
        <v>7.9</v>
      </c>
      <c r="AJ75" s="17">
        <v>16.600000000000001</v>
      </c>
      <c r="AK75" s="17">
        <v>9.6999999999999993</v>
      </c>
      <c r="AL75" s="17">
        <v>19.7</v>
      </c>
      <c r="AM75" s="17">
        <v>7.6</v>
      </c>
    </row>
    <row r="76" spans="1:39" x14ac:dyDescent="0.25">
      <c r="A76" s="19">
        <f t="shared" si="0"/>
        <v>1999</v>
      </c>
      <c r="B76" s="17">
        <v>24.2</v>
      </c>
      <c r="C76" s="17">
        <v>5</v>
      </c>
      <c r="D76" s="17">
        <v>20.7</v>
      </c>
      <c r="E76" s="17">
        <v>3.9</v>
      </c>
      <c r="F76" s="17">
        <v>35.200000000000003</v>
      </c>
      <c r="G76" s="17">
        <v>6.4</v>
      </c>
      <c r="H76" s="17">
        <v>22.9</v>
      </c>
      <c r="I76" s="17">
        <v>5.5</v>
      </c>
      <c r="J76" s="17">
        <v>26.1</v>
      </c>
      <c r="K76" s="17">
        <v>5.2</v>
      </c>
      <c r="L76" s="17">
        <v>20.6</v>
      </c>
      <c r="M76" s="17">
        <v>6.3</v>
      </c>
      <c r="N76" s="17">
        <v>27.9</v>
      </c>
      <c r="O76" s="17">
        <v>5.4</v>
      </c>
      <c r="P76" s="17">
        <v>24.3</v>
      </c>
      <c r="Q76" s="17">
        <v>5.7</v>
      </c>
      <c r="R76" s="17">
        <v>30.6</v>
      </c>
      <c r="S76" s="17">
        <v>9.9</v>
      </c>
      <c r="T76" s="17">
        <v>28.3</v>
      </c>
      <c r="U76" s="17">
        <v>6.5</v>
      </c>
      <c r="V76" s="17">
        <v>16.7</v>
      </c>
      <c r="W76" s="17">
        <v>5</v>
      </c>
      <c r="X76" s="17">
        <v>19.600000000000001</v>
      </c>
      <c r="Y76" s="17">
        <v>7.6</v>
      </c>
      <c r="Z76" s="17">
        <v>24.6</v>
      </c>
      <c r="AA76" s="17">
        <v>5.5</v>
      </c>
      <c r="AB76" s="17">
        <v>13.5</v>
      </c>
      <c r="AC76" s="17">
        <v>7.2</v>
      </c>
      <c r="AD76" s="17">
        <v>23.8</v>
      </c>
      <c r="AE76" s="17">
        <v>4.9000000000000004</v>
      </c>
      <c r="AF76" s="17">
        <v>25.4</v>
      </c>
      <c r="AG76" s="17">
        <v>5.5</v>
      </c>
      <c r="AH76" s="17">
        <v>34.6</v>
      </c>
      <c r="AI76" s="17">
        <v>5.4</v>
      </c>
      <c r="AJ76" s="17">
        <v>16.399999999999999</v>
      </c>
      <c r="AK76" s="17">
        <v>9.6999999999999993</v>
      </c>
      <c r="AL76" s="17">
        <v>19.600000000000001</v>
      </c>
      <c r="AM76" s="17">
        <v>7.6</v>
      </c>
    </row>
    <row r="77" spans="1:39" x14ac:dyDescent="0.25">
      <c r="A77" s="19">
        <f t="shared" si="0"/>
        <v>2000</v>
      </c>
      <c r="B77" s="17">
        <v>23.7</v>
      </c>
      <c r="C77" s="17">
        <v>4.9000000000000004</v>
      </c>
      <c r="D77" s="17">
        <v>20.2</v>
      </c>
      <c r="E77" s="17">
        <v>3.9</v>
      </c>
      <c r="F77" s="17">
        <v>34.700000000000003</v>
      </c>
      <c r="G77" s="17">
        <v>6.3</v>
      </c>
      <c r="H77" s="17">
        <v>22.3</v>
      </c>
      <c r="I77" s="17">
        <v>5.6</v>
      </c>
      <c r="J77" s="17">
        <v>25.6</v>
      </c>
      <c r="K77" s="17">
        <v>5.2</v>
      </c>
      <c r="L77" s="17">
        <v>19.899999999999999</v>
      </c>
      <c r="M77" s="17">
        <v>6.2</v>
      </c>
      <c r="N77" s="17">
        <v>26.9</v>
      </c>
      <c r="O77" s="17">
        <v>5.3</v>
      </c>
      <c r="P77" s="17">
        <v>23.8</v>
      </c>
      <c r="Q77" s="17">
        <v>5.6</v>
      </c>
      <c r="R77" s="17">
        <v>29.8</v>
      </c>
      <c r="S77" s="17">
        <v>9.6999999999999993</v>
      </c>
      <c r="T77" s="17">
        <v>27.1</v>
      </c>
      <c r="U77" s="17">
        <v>6.6</v>
      </c>
      <c r="V77" s="17">
        <v>16.3</v>
      </c>
      <c r="W77" s="17">
        <v>5</v>
      </c>
      <c r="X77" s="17">
        <v>19.3</v>
      </c>
      <c r="Y77" s="17">
        <v>7.6</v>
      </c>
      <c r="Z77" s="17">
        <v>24.2</v>
      </c>
      <c r="AA77" s="17">
        <v>5.5</v>
      </c>
      <c r="AB77" s="17">
        <v>12.9</v>
      </c>
      <c r="AC77" s="17">
        <v>7.4</v>
      </c>
      <c r="AD77" s="17">
        <v>23.5</v>
      </c>
      <c r="AE77" s="17">
        <v>4.8</v>
      </c>
      <c r="AF77" s="17">
        <v>25.6</v>
      </c>
      <c r="AG77" s="17">
        <v>5.6</v>
      </c>
      <c r="AH77" s="17">
        <v>34.200000000000003</v>
      </c>
      <c r="AI77" s="17">
        <v>5.2</v>
      </c>
      <c r="AJ77" s="17">
        <v>16</v>
      </c>
      <c r="AK77" s="17">
        <v>9.5</v>
      </c>
      <c r="AL77" s="17">
        <v>19.3</v>
      </c>
      <c r="AM77" s="17">
        <v>7.6</v>
      </c>
    </row>
    <row r="78" spans="1:39" x14ac:dyDescent="0.25">
      <c r="A78" s="19">
        <f t="shared" si="0"/>
        <v>2001</v>
      </c>
      <c r="B78" s="17">
        <v>23.6</v>
      </c>
      <c r="C78" s="17">
        <v>5.5</v>
      </c>
      <c r="D78" s="17">
        <v>19.399999999999999</v>
      </c>
      <c r="E78" s="17">
        <v>3.9</v>
      </c>
      <c r="F78" s="17">
        <v>34.200000000000003</v>
      </c>
      <c r="G78" s="17">
        <v>6.1</v>
      </c>
      <c r="H78" s="17">
        <v>21.7</v>
      </c>
      <c r="I78" s="17">
        <v>5.5</v>
      </c>
      <c r="J78" s="17">
        <v>25.1</v>
      </c>
      <c r="K78" s="17">
        <v>5.0999999999999996</v>
      </c>
      <c r="L78" s="17">
        <v>19.2</v>
      </c>
      <c r="M78" s="17">
        <v>6.2</v>
      </c>
      <c r="N78" s="17">
        <v>25.9</v>
      </c>
      <c r="O78" s="17">
        <v>5.3</v>
      </c>
      <c r="P78" s="17">
        <v>23</v>
      </c>
      <c r="Q78" s="17">
        <v>5.6</v>
      </c>
      <c r="R78" s="17">
        <v>29.1</v>
      </c>
      <c r="S78" s="17">
        <v>9.6</v>
      </c>
      <c r="T78" s="17">
        <v>25.8</v>
      </c>
      <c r="U78" s="17">
        <v>6.7</v>
      </c>
      <c r="V78" s="17">
        <v>15.9</v>
      </c>
      <c r="W78" s="17">
        <v>5</v>
      </c>
      <c r="X78" s="17">
        <v>18.899999999999999</v>
      </c>
      <c r="Y78" s="17">
        <v>7.5</v>
      </c>
      <c r="Z78" s="17">
        <v>23.8</v>
      </c>
      <c r="AA78" s="17">
        <v>5.4</v>
      </c>
      <c r="AB78" s="17">
        <v>12.4</v>
      </c>
      <c r="AC78" s="17">
        <v>7.3</v>
      </c>
      <c r="AD78" s="17">
        <v>23.2</v>
      </c>
      <c r="AE78" s="17">
        <v>4.8</v>
      </c>
      <c r="AF78" s="17">
        <v>25.1</v>
      </c>
      <c r="AG78" s="17">
        <v>5.6</v>
      </c>
      <c r="AH78" s="17">
        <v>33.4</v>
      </c>
      <c r="AI78" s="17">
        <v>5.0999999999999996</v>
      </c>
      <c r="AJ78" s="17">
        <v>15.7</v>
      </c>
      <c r="AK78" s="17">
        <v>9.4</v>
      </c>
      <c r="AL78" s="17">
        <v>18.899999999999999</v>
      </c>
      <c r="AM78" s="17">
        <v>7.5</v>
      </c>
    </row>
    <row r="79" spans="1:39" x14ac:dyDescent="0.25">
      <c r="A79" s="19">
        <f t="shared" si="0"/>
        <v>2002</v>
      </c>
      <c r="B79" s="17">
        <v>23.3</v>
      </c>
      <c r="C79" s="17">
        <v>4.9000000000000004</v>
      </c>
      <c r="D79" s="17">
        <v>18.2</v>
      </c>
      <c r="E79" s="17">
        <v>3.9</v>
      </c>
      <c r="F79" s="17">
        <v>33.299999999999997</v>
      </c>
      <c r="G79" s="17">
        <v>6</v>
      </c>
      <c r="H79" s="17">
        <v>21.4</v>
      </c>
      <c r="I79" s="17">
        <v>5.5</v>
      </c>
      <c r="J79" s="17">
        <v>24.7</v>
      </c>
      <c r="K79" s="17">
        <v>4.9000000000000004</v>
      </c>
      <c r="L79" s="17">
        <v>18.5</v>
      </c>
      <c r="M79" s="17">
        <v>6.1</v>
      </c>
      <c r="N79" s="17">
        <v>25.1</v>
      </c>
      <c r="O79" s="17">
        <v>5.2</v>
      </c>
      <c r="P79" s="17">
        <v>22.6</v>
      </c>
      <c r="Q79" s="17">
        <v>5.6</v>
      </c>
      <c r="R79" s="17">
        <v>28.5</v>
      </c>
      <c r="S79" s="17">
        <v>9.4</v>
      </c>
      <c r="T79" s="17">
        <v>24.4</v>
      </c>
      <c r="U79" s="17">
        <v>6.7</v>
      </c>
      <c r="V79" s="17">
        <v>15.2</v>
      </c>
      <c r="W79" s="17">
        <v>5</v>
      </c>
      <c r="X79" s="17">
        <v>18.7</v>
      </c>
      <c r="Y79" s="17">
        <v>7.5</v>
      </c>
      <c r="Z79" s="17">
        <v>23.4</v>
      </c>
      <c r="AA79" s="17">
        <v>5.5</v>
      </c>
      <c r="AB79" s="17">
        <v>12.5</v>
      </c>
      <c r="AC79" s="17">
        <v>7.3</v>
      </c>
      <c r="AD79" s="17">
        <v>22.9</v>
      </c>
      <c r="AE79" s="17">
        <v>4.7</v>
      </c>
      <c r="AF79" s="17">
        <v>24.4</v>
      </c>
      <c r="AG79" s="17">
        <v>5.5</v>
      </c>
      <c r="AH79" s="17">
        <v>32.4</v>
      </c>
      <c r="AI79" s="17">
        <v>5</v>
      </c>
      <c r="AJ79" s="17">
        <v>15.6</v>
      </c>
      <c r="AK79" s="17">
        <v>9.5</v>
      </c>
      <c r="AL79" s="17">
        <v>18.7</v>
      </c>
      <c r="AM79" s="17">
        <v>7.5</v>
      </c>
    </row>
    <row r="80" spans="1:39" x14ac:dyDescent="0.25">
      <c r="A80" s="19">
        <f t="shared" si="0"/>
        <v>2003</v>
      </c>
      <c r="B80" s="17">
        <v>22.9</v>
      </c>
      <c r="C80" s="17">
        <v>5.3</v>
      </c>
      <c r="D80" s="17">
        <v>17.600000000000001</v>
      </c>
      <c r="E80" s="17">
        <v>3.9</v>
      </c>
      <c r="F80" s="17">
        <v>32.5</v>
      </c>
      <c r="G80" s="17">
        <v>5.8</v>
      </c>
      <c r="H80" s="17">
        <v>20.9</v>
      </c>
      <c r="I80" s="17">
        <v>5.2</v>
      </c>
      <c r="J80" s="17">
        <v>24.2</v>
      </c>
      <c r="K80" s="17">
        <v>4.8</v>
      </c>
      <c r="L80" s="17">
        <v>17.8</v>
      </c>
      <c r="M80" s="17">
        <v>6</v>
      </c>
      <c r="N80" s="17">
        <v>24.4</v>
      </c>
      <c r="O80" s="17">
        <v>5.2</v>
      </c>
      <c r="P80" s="17">
        <v>22.3</v>
      </c>
      <c r="Q80" s="17">
        <v>5.7</v>
      </c>
      <c r="R80" s="17">
        <v>28.1</v>
      </c>
      <c r="S80" s="17">
        <v>9.1</v>
      </c>
      <c r="T80" s="17">
        <v>23.1</v>
      </c>
      <c r="U80" s="17">
        <v>6.8</v>
      </c>
      <c r="V80" s="17">
        <v>14.8</v>
      </c>
      <c r="W80" s="17">
        <v>5.2</v>
      </c>
      <c r="X80" s="17">
        <v>18.399999999999999</v>
      </c>
      <c r="Y80" s="17">
        <v>7.7</v>
      </c>
      <c r="Z80" s="17">
        <v>22.8</v>
      </c>
      <c r="AA80" s="17">
        <v>5.5</v>
      </c>
      <c r="AB80" s="17">
        <v>12.1</v>
      </c>
      <c r="AC80" s="17">
        <v>7.1</v>
      </c>
      <c r="AD80" s="17">
        <v>22.7</v>
      </c>
      <c r="AE80" s="17">
        <v>4.5999999999999996</v>
      </c>
      <c r="AF80" s="17">
        <v>23.7</v>
      </c>
      <c r="AG80" s="17">
        <v>5.6</v>
      </c>
      <c r="AH80" s="17">
        <v>31.4</v>
      </c>
      <c r="AI80" s="17">
        <v>5</v>
      </c>
      <c r="AJ80" s="17">
        <v>15.3</v>
      </c>
      <c r="AK80" s="17">
        <v>9.6</v>
      </c>
      <c r="AL80" s="17">
        <v>18.399999999999999</v>
      </c>
      <c r="AM80" s="17">
        <v>7.7</v>
      </c>
    </row>
    <row r="81" spans="1:39" x14ac:dyDescent="0.25">
      <c r="A81" s="19">
        <f t="shared" si="0"/>
        <v>2004</v>
      </c>
      <c r="B81" s="17">
        <v>22.4</v>
      </c>
      <c r="C81" s="17">
        <v>5.0999999999999996</v>
      </c>
      <c r="D81" s="17">
        <v>17.100000000000001</v>
      </c>
      <c r="E81" s="17">
        <v>3.9</v>
      </c>
      <c r="F81" s="17">
        <v>31.7</v>
      </c>
      <c r="G81" s="17">
        <v>5.8</v>
      </c>
      <c r="H81" s="17">
        <v>20.3</v>
      </c>
      <c r="I81" s="17">
        <v>5.2</v>
      </c>
      <c r="J81" s="17">
        <v>23.7</v>
      </c>
      <c r="K81" s="17">
        <v>4.8</v>
      </c>
      <c r="L81" s="17">
        <v>17.5</v>
      </c>
      <c r="M81" s="17">
        <v>6</v>
      </c>
      <c r="N81" s="17">
        <v>24.1</v>
      </c>
      <c r="O81" s="17">
        <v>5.2</v>
      </c>
      <c r="P81" s="17">
        <v>22.4</v>
      </c>
      <c r="Q81" s="17">
        <v>5.9</v>
      </c>
      <c r="R81" s="17">
        <v>27.7</v>
      </c>
      <c r="S81" s="17">
        <v>9</v>
      </c>
      <c r="T81" s="17">
        <v>22.1</v>
      </c>
      <c r="U81" s="17">
        <v>6.9</v>
      </c>
      <c r="V81" s="17">
        <v>14.4</v>
      </c>
      <c r="W81" s="17">
        <v>5.0999999999999996</v>
      </c>
      <c r="X81" s="17">
        <v>18.3</v>
      </c>
      <c r="Y81" s="17">
        <v>7.5</v>
      </c>
      <c r="Z81" s="17">
        <v>22.4</v>
      </c>
      <c r="AA81" s="17">
        <v>5.5</v>
      </c>
      <c r="AB81" s="17">
        <v>11.3</v>
      </c>
      <c r="AC81" s="17">
        <v>7.3</v>
      </c>
      <c r="AD81" s="17">
        <v>22.5</v>
      </c>
      <c r="AE81" s="17">
        <v>4.5999999999999996</v>
      </c>
      <c r="AF81" s="17">
        <v>23.1</v>
      </c>
      <c r="AG81" s="17">
        <v>5.7</v>
      </c>
      <c r="AH81" s="17">
        <v>30.5</v>
      </c>
      <c r="AI81" s="17">
        <v>4.9000000000000004</v>
      </c>
      <c r="AJ81" s="17">
        <v>15.1</v>
      </c>
      <c r="AK81" s="17">
        <v>9.6</v>
      </c>
      <c r="AL81" s="17">
        <v>18.3</v>
      </c>
      <c r="AM81" s="17">
        <v>7.5</v>
      </c>
    </row>
    <row r="82" spans="1:39" x14ac:dyDescent="0.25">
      <c r="A82" s="19">
        <f t="shared" si="0"/>
        <v>2005</v>
      </c>
      <c r="B82" s="17">
        <v>22.4</v>
      </c>
      <c r="C82" s="17">
        <v>5.0999999999999996</v>
      </c>
      <c r="D82" s="17">
        <v>17.3</v>
      </c>
      <c r="E82" s="17">
        <v>3.8</v>
      </c>
      <c r="F82" s="17">
        <v>30.8</v>
      </c>
      <c r="G82" s="17">
        <v>5.9</v>
      </c>
      <c r="H82" s="17">
        <v>19.600000000000001</v>
      </c>
      <c r="I82" s="17">
        <v>5.0999999999999996</v>
      </c>
      <c r="J82" s="17">
        <v>23.3</v>
      </c>
      <c r="K82" s="17">
        <v>4.9000000000000004</v>
      </c>
      <c r="L82" s="17">
        <v>17.2</v>
      </c>
      <c r="M82" s="17">
        <v>5.9</v>
      </c>
      <c r="N82" s="17">
        <v>23.7</v>
      </c>
      <c r="O82" s="17">
        <v>5.2</v>
      </c>
      <c r="P82" s="17">
        <v>22.1</v>
      </c>
      <c r="Q82" s="17">
        <v>5.9</v>
      </c>
      <c r="R82" s="17">
        <v>27.3</v>
      </c>
      <c r="S82" s="17">
        <v>8.8000000000000007</v>
      </c>
      <c r="T82" s="17">
        <v>21.4</v>
      </c>
      <c r="U82" s="17">
        <v>7.2</v>
      </c>
      <c r="V82" s="17">
        <v>14.2</v>
      </c>
      <c r="W82" s="17">
        <v>5.2</v>
      </c>
      <c r="X82" s="17">
        <v>18.3</v>
      </c>
      <c r="Y82" s="17">
        <v>7.4</v>
      </c>
      <c r="Z82" s="17">
        <v>21.9</v>
      </c>
      <c r="AA82" s="17">
        <v>5.5</v>
      </c>
      <c r="AB82" s="17">
        <v>10.6</v>
      </c>
      <c r="AC82" s="17">
        <v>7.4</v>
      </c>
      <c r="AD82" s="17">
        <v>22.1</v>
      </c>
      <c r="AE82" s="17">
        <v>4.5999999999999996</v>
      </c>
      <c r="AF82" s="17">
        <v>22.5</v>
      </c>
      <c r="AG82" s="17">
        <v>5.6</v>
      </c>
      <c r="AH82" s="17">
        <v>29.6</v>
      </c>
      <c r="AI82" s="17">
        <v>4.8</v>
      </c>
      <c r="AJ82" s="17">
        <v>15.1</v>
      </c>
      <c r="AK82" s="17">
        <v>9.3000000000000007</v>
      </c>
      <c r="AL82" s="17">
        <v>18.3</v>
      </c>
      <c r="AM82" s="17">
        <v>7.4</v>
      </c>
    </row>
    <row r="83" spans="1:39" x14ac:dyDescent="0.25">
      <c r="A83" s="19">
        <f t="shared" si="0"/>
        <v>2006</v>
      </c>
      <c r="B83" s="17">
        <v>22.1</v>
      </c>
      <c r="C83" s="17">
        <v>5.2</v>
      </c>
      <c r="D83" s="17">
        <v>16.399999999999999</v>
      </c>
      <c r="E83" s="17">
        <v>3.9</v>
      </c>
      <c r="F83" s="17">
        <v>30</v>
      </c>
      <c r="G83" s="17">
        <v>5.7</v>
      </c>
      <c r="H83" s="17">
        <v>19</v>
      </c>
      <c r="I83" s="17">
        <v>5</v>
      </c>
      <c r="J83" s="17">
        <v>23</v>
      </c>
      <c r="K83" s="17">
        <v>4.9000000000000004</v>
      </c>
      <c r="L83" s="17">
        <v>16.7</v>
      </c>
      <c r="M83" s="17">
        <v>5.8</v>
      </c>
      <c r="N83" s="17">
        <v>23.3</v>
      </c>
      <c r="O83" s="17">
        <v>5.2</v>
      </c>
      <c r="P83" s="17">
        <v>21.8</v>
      </c>
      <c r="Q83" s="17">
        <v>6.1</v>
      </c>
      <c r="R83" s="17">
        <v>27.3</v>
      </c>
      <c r="S83" s="17">
        <v>8.6</v>
      </c>
      <c r="T83" s="17">
        <v>21</v>
      </c>
      <c r="U83" s="17">
        <v>7.5</v>
      </c>
      <c r="V83" s="17">
        <v>14</v>
      </c>
      <c r="W83" s="17">
        <v>5.4</v>
      </c>
      <c r="X83" s="17">
        <v>18.2</v>
      </c>
      <c r="Y83" s="17">
        <v>7.4</v>
      </c>
      <c r="Z83" s="17">
        <v>21.5</v>
      </c>
      <c r="AA83" s="17">
        <v>5.6</v>
      </c>
      <c r="AB83" s="17">
        <v>9.9</v>
      </c>
      <c r="AC83" s="17">
        <v>7.7</v>
      </c>
      <c r="AD83" s="17">
        <v>21.8</v>
      </c>
      <c r="AE83" s="17">
        <v>4.5999999999999996</v>
      </c>
      <c r="AF83" s="17">
        <v>21.9</v>
      </c>
      <c r="AG83" s="17">
        <v>5.7</v>
      </c>
      <c r="AH83" s="17">
        <v>28.7</v>
      </c>
      <c r="AI83" s="17">
        <v>4.8</v>
      </c>
      <c r="AJ83" s="17">
        <v>14.8</v>
      </c>
      <c r="AK83" s="17">
        <v>9.4</v>
      </c>
      <c r="AL83" s="17">
        <v>18.2</v>
      </c>
      <c r="AM83" s="17">
        <v>7.4</v>
      </c>
    </row>
    <row r="84" spans="1:39" x14ac:dyDescent="0.25">
      <c r="A84" s="19">
        <f t="shared" si="0"/>
        <v>2007</v>
      </c>
      <c r="B84" s="17">
        <v>21.5</v>
      </c>
      <c r="C84" s="17">
        <v>5.0999999999999996</v>
      </c>
      <c r="D84" s="17">
        <v>16.600000000000001</v>
      </c>
      <c r="E84" s="17">
        <v>4</v>
      </c>
      <c r="F84" s="17">
        <v>29.4</v>
      </c>
      <c r="G84" s="17">
        <v>5.5</v>
      </c>
      <c r="H84" s="17">
        <v>18.600000000000001</v>
      </c>
      <c r="I84" s="17">
        <v>5.0999999999999996</v>
      </c>
      <c r="J84" s="17">
        <v>22.6</v>
      </c>
      <c r="K84" s="17">
        <v>4.9000000000000004</v>
      </c>
      <c r="L84" s="17">
        <v>16.2</v>
      </c>
      <c r="M84" s="17">
        <v>5.8</v>
      </c>
      <c r="N84" s="17">
        <v>23</v>
      </c>
      <c r="O84" s="17">
        <v>5.2</v>
      </c>
      <c r="P84" s="17">
        <v>21.4</v>
      </c>
      <c r="Q84" s="17">
        <v>6.2</v>
      </c>
      <c r="R84" s="17">
        <v>26.9</v>
      </c>
      <c r="S84" s="17">
        <v>8.5</v>
      </c>
      <c r="T84" s="17">
        <v>20.6</v>
      </c>
      <c r="U84" s="17">
        <v>7.8</v>
      </c>
      <c r="V84" s="17">
        <v>14.2</v>
      </c>
      <c r="W84" s="17">
        <v>5.5</v>
      </c>
      <c r="X84" s="17">
        <v>18</v>
      </c>
      <c r="Y84" s="17">
        <v>7.9</v>
      </c>
      <c r="Z84" s="17">
        <v>21.1</v>
      </c>
      <c r="AA84" s="17">
        <v>5.6</v>
      </c>
      <c r="AB84" s="17">
        <v>10</v>
      </c>
      <c r="AC84" s="17">
        <v>7.8</v>
      </c>
      <c r="AD84" s="17">
        <v>21.6</v>
      </c>
      <c r="AE84" s="17">
        <v>4.5999999999999996</v>
      </c>
      <c r="AF84" s="17">
        <v>21.8</v>
      </c>
      <c r="AG84" s="17">
        <v>5.7</v>
      </c>
      <c r="AH84" s="17">
        <v>28.1</v>
      </c>
      <c r="AI84" s="17">
        <v>4.8</v>
      </c>
      <c r="AJ84" s="17">
        <v>14.6</v>
      </c>
      <c r="AK84" s="17">
        <v>9.3000000000000007</v>
      </c>
      <c r="AL84" s="17">
        <v>18</v>
      </c>
      <c r="AM84" s="17">
        <v>7.9</v>
      </c>
    </row>
    <row r="85" spans="1:39" x14ac:dyDescent="0.25">
      <c r="A85" s="19">
        <f t="shared" si="0"/>
        <v>2008</v>
      </c>
      <c r="B85" s="17">
        <v>21.1</v>
      </c>
      <c r="C85" s="17">
        <v>5.5</v>
      </c>
      <c r="D85" s="17">
        <v>16.8</v>
      </c>
      <c r="E85" s="17">
        <v>4.0999999999999996</v>
      </c>
      <c r="F85" s="17">
        <v>28.7</v>
      </c>
      <c r="G85" s="17">
        <v>5.5</v>
      </c>
      <c r="H85" s="17">
        <v>18.2</v>
      </c>
      <c r="I85" s="17">
        <v>5</v>
      </c>
      <c r="J85" s="17">
        <v>22.5</v>
      </c>
      <c r="K85" s="17">
        <v>4.8</v>
      </c>
      <c r="L85" s="17">
        <v>15.8</v>
      </c>
      <c r="M85" s="17">
        <v>5.8</v>
      </c>
      <c r="N85" s="17">
        <v>23</v>
      </c>
      <c r="O85" s="17">
        <v>5.2</v>
      </c>
      <c r="P85" s="17">
        <v>20.9</v>
      </c>
      <c r="Q85" s="17">
        <v>6.5</v>
      </c>
      <c r="R85" s="17">
        <v>26.4</v>
      </c>
      <c r="S85" s="17">
        <v>8.3000000000000007</v>
      </c>
      <c r="T85" s="17">
        <v>20</v>
      </c>
      <c r="U85" s="17">
        <v>7.6</v>
      </c>
      <c r="V85" s="17">
        <v>14.4</v>
      </c>
      <c r="W85" s="17">
        <v>5.6</v>
      </c>
      <c r="X85" s="17">
        <v>18.5</v>
      </c>
      <c r="Y85" s="17">
        <v>7.5</v>
      </c>
      <c r="Z85" s="17">
        <v>20.8</v>
      </c>
      <c r="AA85" s="17">
        <v>5.7</v>
      </c>
      <c r="AB85" s="17">
        <v>10.9</v>
      </c>
      <c r="AC85" s="17">
        <v>8</v>
      </c>
      <c r="AD85" s="17">
        <v>21.4</v>
      </c>
      <c r="AE85" s="17">
        <v>4.5999999999999996</v>
      </c>
      <c r="AF85" s="17">
        <v>22.1</v>
      </c>
      <c r="AG85" s="17">
        <v>5.8</v>
      </c>
      <c r="AH85" s="17">
        <v>27.5</v>
      </c>
      <c r="AI85" s="17">
        <v>4.7</v>
      </c>
      <c r="AJ85" s="17">
        <v>14.4</v>
      </c>
      <c r="AK85" s="17">
        <v>9.4</v>
      </c>
      <c r="AL85" s="17">
        <v>18.5</v>
      </c>
      <c r="AM85" s="17">
        <v>7.5</v>
      </c>
    </row>
    <row r="86" spans="1:39" x14ac:dyDescent="0.25">
      <c r="A86" s="19">
        <f t="shared" si="0"/>
        <v>2009</v>
      </c>
      <c r="B86" s="17">
        <v>20.6</v>
      </c>
      <c r="C86" s="17">
        <v>5.5</v>
      </c>
      <c r="D86" s="17">
        <v>16.5</v>
      </c>
      <c r="E86" s="17">
        <v>4.0999999999999996</v>
      </c>
      <c r="F86" s="17">
        <v>28.2</v>
      </c>
      <c r="G86" s="17">
        <v>5.5</v>
      </c>
      <c r="H86" s="17">
        <v>17.7</v>
      </c>
      <c r="I86" s="17">
        <v>5</v>
      </c>
      <c r="J86" s="17">
        <v>22.4</v>
      </c>
      <c r="K86" s="17">
        <v>4.8</v>
      </c>
      <c r="L86" s="17">
        <v>15.6</v>
      </c>
      <c r="M86" s="17">
        <v>5.8</v>
      </c>
      <c r="N86" s="17">
        <v>22.9</v>
      </c>
      <c r="O86" s="17">
        <v>5.2</v>
      </c>
      <c r="P86" s="17">
        <v>20.399999999999999</v>
      </c>
      <c r="Q86" s="17">
        <v>6.7</v>
      </c>
      <c r="R86" s="17">
        <v>26</v>
      </c>
      <c r="S86" s="17">
        <v>8.1999999999999993</v>
      </c>
      <c r="T86" s="17">
        <v>19.8</v>
      </c>
      <c r="U86" s="17">
        <v>7.5</v>
      </c>
      <c r="V86" s="17">
        <v>14.4</v>
      </c>
      <c r="W86" s="17">
        <v>5.7</v>
      </c>
      <c r="X86" s="17">
        <v>18.2</v>
      </c>
      <c r="Y86" s="17">
        <v>7.5</v>
      </c>
      <c r="Z86" s="17">
        <v>20.6</v>
      </c>
      <c r="AA86" s="17">
        <v>5.7</v>
      </c>
      <c r="AB86" s="17">
        <v>11.5</v>
      </c>
      <c r="AC86" s="17">
        <v>8.1999999999999993</v>
      </c>
      <c r="AD86" s="17">
        <v>21.2</v>
      </c>
      <c r="AE86" s="17">
        <v>4.5999999999999996</v>
      </c>
      <c r="AF86" s="17">
        <v>22.3</v>
      </c>
      <c r="AG86" s="17">
        <v>5.7</v>
      </c>
      <c r="AH86" s="17">
        <v>27</v>
      </c>
      <c r="AI86" s="17">
        <v>4.7</v>
      </c>
      <c r="AJ86" s="17">
        <v>14.3</v>
      </c>
      <c r="AK86" s="17">
        <v>9.1999999999999993</v>
      </c>
      <c r="AL86" s="17">
        <v>18.2</v>
      </c>
      <c r="AM86" s="17">
        <v>7.5</v>
      </c>
    </row>
    <row r="87" spans="1:39" x14ac:dyDescent="0.25">
      <c r="A87" s="19">
        <f t="shared" si="0"/>
        <v>2010</v>
      </c>
      <c r="B87" s="17">
        <v>20.3</v>
      </c>
      <c r="C87" s="17">
        <v>5.5</v>
      </c>
      <c r="D87" s="17">
        <v>15.4</v>
      </c>
      <c r="E87" s="17">
        <v>4.3</v>
      </c>
      <c r="F87" s="17">
        <v>27.8</v>
      </c>
      <c r="G87" s="17">
        <v>5.4</v>
      </c>
      <c r="H87" s="17">
        <v>16.899999999999999</v>
      </c>
      <c r="I87" s="17">
        <v>5</v>
      </c>
      <c r="J87" s="17">
        <v>21.9</v>
      </c>
      <c r="K87" s="17">
        <v>4.8</v>
      </c>
      <c r="L87" s="17">
        <v>15.3</v>
      </c>
      <c r="M87" s="17">
        <v>5.8</v>
      </c>
      <c r="N87" s="17">
        <v>22.5</v>
      </c>
      <c r="O87" s="17">
        <v>5.2</v>
      </c>
      <c r="P87" s="17">
        <v>19.899999999999999</v>
      </c>
      <c r="Q87" s="17">
        <v>6.7</v>
      </c>
      <c r="R87" s="17">
        <v>25.6</v>
      </c>
      <c r="S87" s="17">
        <v>8</v>
      </c>
      <c r="T87" s="17">
        <v>19.7</v>
      </c>
      <c r="U87" s="17">
        <v>7.2</v>
      </c>
      <c r="V87" s="17">
        <v>14.2</v>
      </c>
      <c r="W87" s="17">
        <v>5.8</v>
      </c>
      <c r="X87" s="17">
        <v>18.3</v>
      </c>
      <c r="Y87" s="17">
        <v>7.6</v>
      </c>
      <c r="Z87" s="17">
        <v>20.3</v>
      </c>
      <c r="AA87" s="17">
        <v>5.7</v>
      </c>
      <c r="AB87" s="17">
        <v>11.4</v>
      </c>
      <c r="AC87" s="17">
        <v>8.1999999999999993</v>
      </c>
      <c r="AD87" s="17">
        <v>21</v>
      </c>
      <c r="AE87" s="17">
        <v>4.5999999999999996</v>
      </c>
      <c r="AF87" s="17">
        <v>22.2</v>
      </c>
      <c r="AG87" s="17">
        <v>5.7</v>
      </c>
      <c r="AH87" s="17">
        <v>26.3</v>
      </c>
      <c r="AI87" s="17">
        <v>4.8</v>
      </c>
      <c r="AJ87" s="17">
        <v>14.2</v>
      </c>
      <c r="AK87" s="17">
        <v>9.4</v>
      </c>
      <c r="AL87" s="17">
        <v>18.3</v>
      </c>
      <c r="AM87" s="17">
        <v>7.6</v>
      </c>
    </row>
    <row r="88" spans="1:39" x14ac:dyDescent="0.25">
      <c r="A88" s="19">
        <f t="shared" si="0"/>
        <v>2011</v>
      </c>
      <c r="B88" s="17">
        <v>20.2</v>
      </c>
      <c r="C88" s="17">
        <v>5.6</v>
      </c>
      <c r="D88" s="17">
        <v>15.8</v>
      </c>
      <c r="E88" s="17">
        <v>4.3</v>
      </c>
      <c r="F88" s="17">
        <v>27.5</v>
      </c>
      <c r="G88" s="17">
        <v>5.3</v>
      </c>
      <c r="H88" s="17">
        <v>16.3</v>
      </c>
      <c r="I88" s="17">
        <v>5</v>
      </c>
      <c r="J88" s="17">
        <v>21.8</v>
      </c>
      <c r="K88" s="17">
        <v>4.9000000000000004</v>
      </c>
      <c r="L88" s="17">
        <v>15.1</v>
      </c>
      <c r="M88" s="17">
        <v>5.8</v>
      </c>
      <c r="N88" s="17">
        <v>22.5</v>
      </c>
      <c r="O88" s="17">
        <v>5.2</v>
      </c>
      <c r="P88" s="17">
        <v>19.8</v>
      </c>
      <c r="Q88" s="17">
        <v>6.7</v>
      </c>
      <c r="R88" s="17">
        <v>25.2</v>
      </c>
      <c r="S88" s="17">
        <v>7.9</v>
      </c>
      <c r="T88" s="17">
        <v>19.600000000000001</v>
      </c>
      <c r="U88" s="17">
        <v>7.1</v>
      </c>
      <c r="V88" s="17">
        <v>14</v>
      </c>
      <c r="W88" s="17">
        <v>5.9</v>
      </c>
      <c r="X88" s="17">
        <v>18.2</v>
      </c>
      <c r="Y88" s="17">
        <v>7.4</v>
      </c>
      <c r="Z88" s="17">
        <v>20.100000000000001</v>
      </c>
      <c r="AA88" s="17">
        <v>5.7</v>
      </c>
      <c r="AB88" s="17">
        <v>11.8</v>
      </c>
      <c r="AC88" s="17">
        <v>8.1999999999999993</v>
      </c>
      <c r="AD88" s="17">
        <v>21</v>
      </c>
      <c r="AE88" s="17">
        <v>4.5999999999999996</v>
      </c>
      <c r="AF88" s="17">
        <v>21.9</v>
      </c>
      <c r="AG88" s="17">
        <v>5.6</v>
      </c>
      <c r="AH88" s="17">
        <v>25.8</v>
      </c>
      <c r="AI88" s="17">
        <v>4.7</v>
      </c>
      <c r="AJ88" s="17">
        <v>14.1</v>
      </c>
      <c r="AK88" s="17">
        <v>9.6</v>
      </c>
      <c r="AL88" s="17">
        <v>18.2</v>
      </c>
      <c r="AM88" s="17">
        <v>7.4</v>
      </c>
    </row>
    <row r="89" spans="1:39" x14ac:dyDescent="0.25">
      <c r="A89" s="19">
        <f t="shared" si="0"/>
        <v>2012</v>
      </c>
      <c r="B89" s="17">
        <v>19.899999999999999</v>
      </c>
      <c r="C89" s="17">
        <v>5.7</v>
      </c>
      <c r="D89" s="17">
        <v>15.5</v>
      </c>
      <c r="E89" s="17">
        <v>4.3</v>
      </c>
      <c r="F89" s="17">
        <v>27.2</v>
      </c>
      <c r="G89" s="17">
        <v>5.2</v>
      </c>
      <c r="H89" s="17">
        <v>16</v>
      </c>
      <c r="I89" s="17">
        <v>5</v>
      </c>
      <c r="J89" s="17">
        <v>20.9</v>
      </c>
      <c r="K89" s="17">
        <v>4.9000000000000004</v>
      </c>
      <c r="L89" s="17">
        <v>14.9</v>
      </c>
      <c r="M89" s="17">
        <v>5.9</v>
      </c>
      <c r="N89" s="17">
        <v>22.6</v>
      </c>
      <c r="O89" s="17">
        <v>5.2</v>
      </c>
      <c r="P89" s="17">
        <v>19.2</v>
      </c>
      <c r="Q89" s="17">
        <v>6.5</v>
      </c>
      <c r="R89" s="17">
        <v>24.8</v>
      </c>
      <c r="S89" s="17">
        <v>7.8</v>
      </c>
      <c r="T89" s="17">
        <v>19.399999999999999</v>
      </c>
      <c r="U89" s="17">
        <v>7</v>
      </c>
      <c r="V89" s="17">
        <v>13.8</v>
      </c>
      <c r="W89" s="17">
        <v>6.1</v>
      </c>
      <c r="X89" s="17">
        <v>17.5</v>
      </c>
      <c r="Y89" s="17">
        <v>7.7</v>
      </c>
      <c r="Z89" s="17">
        <v>19.899999999999999</v>
      </c>
      <c r="AA89" s="17">
        <v>5.7</v>
      </c>
      <c r="AB89" s="17">
        <v>11.2</v>
      </c>
      <c r="AC89" s="17">
        <v>8.1999999999999993</v>
      </c>
      <c r="AD89" s="17">
        <v>20.7</v>
      </c>
      <c r="AE89" s="17">
        <v>4.5999999999999996</v>
      </c>
      <c r="AF89" s="17">
        <v>21.5</v>
      </c>
      <c r="AG89" s="17">
        <v>5.5</v>
      </c>
      <c r="AH89" s="17">
        <v>25.3</v>
      </c>
      <c r="AI89" s="17">
        <v>4.5999999999999996</v>
      </c>
      <c r="AJ89" s="17">
        <v>14.2</v>
      </c>
      <c r="AK89" s="17">
        <v>9.6</v>
      </c>
      <c r="AL89" s="17">
        <v>17.5</v>
      </c>
      <c r="AM89" s="17">
        <v>7.7</v>
      </c>
    </row>
    <row r="90" spans="1:39" x14ac:dyDescent="0.25">
      <c r="A90" s="19">
        <f t="shared" si="0"/>
        <v>2013</v>
      </c>
      <c r="B90" s="17">
        <v>19.5</v>
      </c>
      <c r="C90" s="17">
        <v>5.8</v>
      </c>
      <c r="D90" s="17">
        <v>14.8</v>
      </c>
      <c r="E90" s="17">
        <v>4.3</v>
      </c>
      <c r="F90" s="17">
        <v>26.7</v>
      </c>
      <c r="G90" s="17">
        <v>5.2</v>
      </c>
      <c r="H90" s="17">
        <v>15.6</v>
      </c>
      <c r="I90" s="17">
        <v>5</v>
      </c>
      <c r="J90" s="17">
        <v>19.7</v>
      </c>
      <c r="K90" s="17">
        <v>4.8</v>
      </c>
      <c r="L90" s="17">
        <v>14.8</v>
      </c>
      <c r="M90" s="17">
        <v>5.9</v>
      </c>
      <c r="N90" s="17">
        <v>22.5</v>
      </c>
      <c r="O90" s="17">
        <v>5.2</v>
      </c>
      <c r="P90" s="17">
        <v>18.8</v>
      </c>
      <c r="Q90" s="17">
        <v>6.3</v>
      </c>
      <c r="R90" s="17">
        <v>24.4</v>
      </c>
      <c r="S90" s="17">
        <v>7.8</v>
      </c>
      <c r="T90" s="17">
        <v>19.2</v>
      </c>
      <c r="U90" s="17">
        <v>7.2</v>
      </c>
      <c r="V90" s="17">
        <v>13.6</v>
      </c>
      <c r="W90" s="17">
        <v>6.1</v>
      </c>
      <c r="X90" s="17">
        <v>17.7</v>
      </c>
      <c r="Y90" s="17">
        <v>7.8</v>
      </c>
      <c r="Z90" s="17">
        <v>19.600000000000001</v>
      </c>
      <c r="AA90" s="17">
        <v>5.7</v>
      </c>
      <c r="AB90" s="17">
        <v>11.2</v>
      </c>
      <c r="AC90" s="17">
        <v>8.5</v>
      </c>
      <c r="AD90" s="17">
        <v>20.399999999999999</v>
      </c>
      <c r="AE90" s="17">
        <v>4.7</v>
      </c>
      <c r="AF90" s="17">
        <v>21.2</v>
      </c>
      <c r="AG90" s="17">
        <v>5.5</v>
      </c>
      <c r="AH90" s="17">
        <v>24.8</v>
      </c>
      <c r="AI90" s="17">
        <v>4.5999999999999996</v>
      </c>
      <c r="AJ90" s="17">
        <v>14.3</v>
      </c>
      <c r="AK90" s="17">
        <v>9.5</v>
      </c>
      <c r="AL90" s="17">
        <v>17.7</v>
      </c>
      <c r="AM90" s="17">
        <v>7.8</v>
      </c>
    </row>
    <row r="91" spans="1:39" x14ac:dyDescent="0.25">
      <c r="A91" s="19">
        <f t="shared" si="0"/>
        <v>2014</v>
      </c>
      <c r="B91" s="17">
        <v>19.100000000000001</v>
      </c>
      <c r="C91" s="17">
        <v>6</v>
      </c>
      <c r="D91" s="17">
        <v>14.8</v>
      </c>
      <c r="E91" s="17">
        <v>4.5</v>
      </c>
      <c r="F91" s="17">
        <v>26.5</v>
      </c>
      <c r="G91" s="17">
        <v>5.2</v>
      </c>
      <c r="H91" s="17">
        <v>15.3</v>
      </c>
      <c r="I91" s="17">
        <v>5.0999999999999996</v>
      </c>
      <c r="J91" s="17">
        <v>18.899999999999999</v>
      </c>
      <c r="K91" s="17">
        <v>4.8</v>
      </c>
      <c r="L91" s="17">
        <v>14.8</v>
      </c>
      <c r="M91" s="17">
        <v>6</v>
      </c>
      <c r="N91" s="17">
        <v>22.6</v>
      </c>
      <c r="O91" s="17">
        <v>5.2</v>
      </c>
      <c r="P91" s="17">
        <v>18.399999999999999</v>
      </c>
      <c r="Q91" s="17">
        <v>6.1</v>
      </c>
      <c r="R91" s="17">
        <v>24</v>
      </c>
      <c r="S91" s="17">
        <v>7.7</v>
      </c>
      <c r="T91" s="17">
        <v>19</v>
      </c>
      <c r="U91" s="17">
        <v>7.2</v>
      </c>
      <c r="V91" s="17">
        <v>13.5</v>
      </c>
      <c r="W91" s="17">
        <v>6.1</v>
      </c>
      <c r="X91" s="17">
        <v>18</v>
      </c>
      <c r="Y91" s="17">
        <v>7.5</v>
      </c>
      <c r="Z91" s="17">
        <v>19</v>
      </c>
      <c r="AA91" s="17">
        <v>5.7</v>
      </c>
      <c r="AB91" s="17">
        <v>10.9</v>
      </c>
      <c r="AC91" s="17">
        <v>8.9</v>
      </c>
      <c r="AD91" s="17">
        <v>20.100000000000001</v>
      </c>
      <c r="AE91" s="17">
        <v>4.7</v>
      </c>
      <c r="AF91" s="17">
        <v>20.8</v>
      </c>
      <c r="AG91" s="17">
        <v>5.6</v>
      </c>
      <c r="AH91" s="17">
        <v>24.4</v>
      </c>
      <c r="AI91" s="17">
        <v>4.5</v>
      </c>
      <c r="AJ91" s="17">
        <v>14.2</v>
      </c>
      <c r="AK91" s="17">
        <v>9.4</v>
      </c>
      <c r="AL91" s="17">
        <v>18</v>
      </c>
      <c r="AM91" s="17">
        <v>7.5</v>
      </c>
    </row>
    <row r="92" spans="1:39" x14ac:dyDescent="0.25">
      <c r="A92" s="19">
        <f t="shared" si="0"/>
        <v>2015</v>
      </c>
      <c r="B92" s="17">
        <v>18.600000000000001</v>
      </c>
      <c r="C92" s="17">
        <v>6</v>
      </c>
      <c r="D92" s="17">
        <v>14.7</v>
      </c>
      <c r="E92" s="17">
        <v>4.5</v>
      </c>
      <c r="F92" s="17">
        <v>26.2</v>
      </c>
      <c r="G92" s="17">
        <v>5.2</v>
      </c>
      <c r="H92" s="17">
        <v>14.8</v>
      </c>
      <c r="I92" s="17">
        <v>5.3</v>
      </c>
      <c r="J92" s="17">
        <v>18.399999999999999</v>
      </c>
      <c r="K92" s="17">
        <v>4.9000000000000004</v>
      </c>
      <c r="L92" s="17">
        <v>14.7</v>
      </c>
      <c r="M92" s="17">
        <v>6</v>
      </c>
      <c r="N92" s="17">
        <v>22.7</v>
      </c>
      <c r="O92" s="17">
        <v>5.3</v>
      </c>
      <c r="P92" s="17">
        <v>17.899999999999999</v>
      </c>
      <c r="Q92" s="17">
        <v>6</v>
      </c>
      <c r="R92" s="17">
        <v>23.7</v>
      </c>
      <c r="S92" s="17">
        <v>7.7</v>
      </c>
      <c r="T92" s="17">
        <v>18.600000000000001</v>
      </c>
      <c r="U92" s="17">
        <v>7.4</v>
      </c>
      <c r="V92" s="17">
        <v>13.1</v>
      </c>
      <c r="W92" s="17">
        <v>6.1</v>
      </c>
      <c r="X92" s="17">
        <v>17.7</v>
      </c>
      <c r="Y92" s="17">
        <v>7.4</v>
      </c>
      <c r="Z92" s="17">
        <v>18.2</v>
      </c>
      <c r="AA92" s="17">
        <v>5.8</v>
      </c>
      <c r="AB92" s="17">
        <v>10.9</v>
      </c>
      <c r="AC92" s="17">
        <v>9.1</v>
      </c>
      <c r="AD92" s="17">
        <v>19.8</v>
      </c>
      <c r="AE92" s="17">
        <v>4.7</v>
      </c>
      <c r="AF92" s="17">
        <v>20.5</v>
      </c>
      <c r="AG92" s="17">
        <v>5.8</v>
      </c>
      <c r="AH92" s="17">
        <v>24.1</v>
      </c>
      <c r="AI92" s="17">
        <v>4.5</v>
      </c>
      <c r="AJ92" s="17">
        <v>14.3</v>
      </c>
      <c r="AK92" s="17">
        <v>9.5</v>
      </c>
      <c r="AL92" s="17">
        <v>17.7</v>
      </c>
      <c r="AM92" s="17">
        <v>7.4</v>
      </c>
    </row>
    <row r="93" spans="1:39" x14ac:dyDescent="0.25">
      <c r="A93" s="19">
        <f t="shared" si="0"/>
        <v>2016</v>
      </c>
      <c r="B93" s="17">
        <v>18.3</v>
      </c>
      <c r="C93" s="17">
        <v>6.6</v>
      </c>
      <c r="D93" s="17">
        <v>14.2</v>
      </c>
      <c r="E93" s="17">
        <v>4.8</v>
      </c>
      <c r="F93" s="17">
        <v>26</v>
      </c>
      <c r="G93" s="17">
        <v>5.2</v>
      </c>
      <c r="H93" s="17">
        <v>14.3</v>
      </c>
      <c r="I93" s="17">
        <v>5.3</v>
      </c>
      <c r="J93" s="17">
        <v>17.600000000000001</v>
      </c>
      <c r="K93" s="17">
        <v>5</v>
      </c>
      <c r="L93" s="17">
        <v>14.1</v>
      </c>
      <c r="M93" s="17">
        <v>6.2</v>
      </c>
      <c r="N93" s="17">
        <v>22.5</v>
      </c>
      <c r="O93" s="17">
        <v>5.4</v>
      </c>
      <c r="P93" s="17">
        <v>17.600000000000001</v>
      </c>
      <c r="Q93" s="17">
        <v>6</v>
      </c>
      <c r="R93" s="17">
        <v>23.3</v>
      </c>
      <c r="S93" s="17">
        <v>7.6</v>
      </c>
      <c r="T93" s="17">
        <v>17.7</v>
      </c>
      <c r="U93" s="17">
        <v>7.4</v>
      </c>
      <c r="V93" s="17">
        <v>12.7</v>
      </c>
      <c r="W93" s="17">
        <v>6.1</v>
      </c>
      <c r="X93" s="17">
        <v>16.8</v>
      </c>
      <c r="Y93" s="17">
        <v>7.9</v>
      </c>
      <c r="Z93" s="17">
        <v>17.7</v>
      </c>
      <c r="AA93" s="17">
        <v>5.9</v>
      </c>
      <c r="AB93" s="17">
        <v>10.3</v>
      </c>
      <c r="AC93" s="17">
        <v>9.4</v>
      </c>
      <c r="AD93" s="17">
        <v>19.5</v>
      </c>
      <c r="AE93" s="17">
        <v>4.7</v>
      </c>
      <c r="AF93" s="17">
        <v>20.2</v>
      </c>
      <c r="AG93" s="17">
        <v>5.9</v>
      </c>
      <c r="AH93" s="17">
        <v>23.8</v>
      </c>
      <c r="AI93" s="17">
        <v>4.4000000000000004</v>
      </c>
      <c r="AJ93" s="17">
        <v>13.7</v>
      </c>
      <c r="AK93" s="17">
        <v>9.6</v>
      </c>
      <c r="AL93" s="17">
        <v>16.8</v>
      </c>
      <c r="AM93" s="17">
        <v>7.9</v>
      </c>
    </row>
    <row r="94" spans="1:39" x14ac:dyDescent="0.25">
      <c r="A94" s="19">
        <f t="shared" ref="A94:A100" si="1">A93+1</f>
        <v>2017</v>
      </c>
      <c r="B94" s="17">
        <v>17.899999999999999</v>
      </c>
      <c r="C94" s="17">
        <v>6.8</v>
      </c>
      <c r="D94" s="17">
        <v>13.8</v>
      </c>
      <c r="E94" s="17">
        <v>5</v>
      </c>
      <c r="F94" s="17">
        <v>25.2</v>
      </c>
      <c r="G94" s="17">
        <v>5.0999999999999996</v>
      </c>
      <c r="H94" s="17">
        <v>14.2</v>
      </c>
      <c r="I94" s="17">
        <v>5.3</v>
      </c>
      <c r="J94" s="17">
        <v>17.7</v>
      </c>
      <c r="K94" s="17">
        <v>5.0999999999999996</v>
      </c>
      <c r="L94" s="17">
        <v>14.1</v>
      </c>
      <c r="M94" s="17">
        <v>6.3</v>
      </c>
      <c r="N94" s="17">
        <v>22.2</v>
      </c>
      <c r="O94" s="17">
        <v>5.5</v>
      </c>
      <c r="P94" s="17">
        <v>17.3</v>
      </c>
      <c r="Q94" s="17">
        <v>6.1</v>
      </c>
      <c r="R94" s="17">
        <v>22.9</v>
      </c>
      <c r="S94" s="17">
        <v>7.6</v>
      </c>
      <c r="T94" s="17">
        <v>17.100000000000001</v>
      </c>
      <c r="U94" s="17">
        <v>7.5</v>
      </c>
      <c r="V94" s="17">
        <v>11.8</v>
      </c>
      <c r="W94" s="17">
        <v>6</v>
      </c>
      <c r="X94" s="17">
        <v>16.2</v>
      </c>
      <c r="Y94" s="17">
        <v>7.7</v>
      </c>
      <c r="Z94" s="17">
        <v>17.2</v>
      </c>
      <c r="AA94" s="17">
        <v>6</v>
      </c>
      <c r="AB94" s="17">
        <v>10.1</v>
      </c>
      <c r="AC94" s="17">
        <v>9.9</v>
      </c>
      <c r="AD94" s="17">
        <v>19.100000000000001</v>
      </c>
      <c r="AE94" s="17">
        <v>4.8</v>
      </c>
      <c r="AF94" s="17">
        <v>20</v>
      </c>
      <c r="AG94" s="17">
        <v>5.8</v>
      </c>
      <c r="AH94" s="17">
        <v>23.5</v>
      </c>
      <c r="AI94" s="17">
        <v>4.4000000000000004</v>
      </c>
      <c r="AJ94" s="17">
        <v>12.7</v>
      </c>
      <c r="AK94" s="17">
        <v>9.5</v>
      </c>
      <c r="AL94" s="17">
        <v>16.2</v>
      </c>
      <c r="AM94" s="17">
        <v>7.7</v>
      </c>
    </row>
    <row r="95" spans="1:39" x14ac:dyDescent="0.25">
      <c r="A95" s="19">
        <f t="shared" si="1"/>
        <v>2018</v>
      </c>
      <c r="B95" s="17">
        <v>17.3</v>
      </c>
      <c r="C95" s="17">
        <v>6.7</v>
      </c>
      <c r="D95" s="17">
        <v>13.6</v>
      </c>
      <c r="E95" s="17">
        <v>5.0999999999999996</v>
      </c>
      <c r="F95" s="17">
        <v>24.3</v>
      </c>
      <c r="G95" s="17">
        <v>5.0999999999999996</v>
      </c>
      <c r="H95" s="17">
        <v>14.2</v>
      </c>
      <c r="I95" s="17">
        <v>5.4</v>
      </c>
      <c r="J95" s="17">
        <v>17.5</v>
      </c>
      <c r="K95" s="17">
        <v>4.5999999999999996</v>
      </c>
      <c r="L95" s="17">
        <v>14</v>
      </c>
      <c r="M95" s="17">
        <v>6.3</v>
      </c>
      <c r="N95" s="17">
        <v>21.8</v>
      </c>
      <c r="O95" s="17">
        <v>5.5</v>
      </c>
      <c r="P95" s="17">
        <v>16.899999999999999</v>
      </c>
      <c r="Q95" s="17">
        <v>6.2</v>
      </c>
      <c r="R95" s="17">
        <v>22.6</v>
      </c>
      <c r="S95" s="17">
        <v>7.6</v>
      </c>
      <c r="T95" s="17">
        <v>16.7</v>
      </c>
      <c r="U95" s="17">
        <v>7.4</v>
      </c>
      <c r="V95" s="17">
        <v>11.7</v>
      </c>
      <c r="W95" s="17">
        <v>6.2</v>
      </c>
      <c r="X95" s="17">
        <v>15.3</v>
      </c>
      <c r="Y95" s="17">
        <v>7.6</v>
      </c>
      <c r="Z95" s="17">
        <v>17</v>
      </c>
      <c r="AA95" s="17">
        <v>6.1</v>
      </c>
      <c r="AB95" s="17">
        <v>10.199999999999999</v>
      </c>
      <c r="AC95" s="17">
        <v>9.9</v>
      </c>
      <c r="AD95" s="17">
        <v>18.5</v>
      </c>
      <c r="AE95" s="17">
        <v>4.7</v>
      </c>
      <c r="AF95" s="17">
        <v>19.8</v>
      </c>
      <c r="AG95" s="17">
        <v>5.9</v>
      </c>
      <c r="AH95" s="17">
        <v>23.4</v>
      </c>
      <c r="AI95" s="17">
        <v>4.5</v>
      </c>
      <c r="AJ95" s="17">
        <v>11.7</v>
      </c>
      <c r="AK95" s="17">
        <v>9.5</v>
      </c>
      <c r="AL95" s="17">
        <v>15.3</v>
      </c>
      <c r="AM95" s="17">
        <v>7.6</v>
      </c>
    </row>
    <row r="96" spans="1:39" x14ac:dyDescent="0.25">
      <c r="A96" s="19">
        <f t="shared" si="1"/>
        <v>2019</v>
      </c>
      <c r="B96" s="17">
        <v>16.3</v>
      </c>
      <c r="C96" s="17">
        <v>6.8</v>
      </c>
      <c r="D96" s="17">
        <v>12.7</v>
      </c>
      <c r="E96" s="17">
        <v>5.0999999999999996</v>
      </c>
      <c r="F96" s="17">
        <v>23.1</v>
      </c>
      <c r="G96" s="17">
        <v>5.0999999999999996</v>
      </c>
      <c r="H96" s="17">
        <v>14.2</v>
      </c>
      <c r="I96" s="17">
        <v>5.4</v>
      </c>
      <c r="J96" s="17">
        <v>16.899999999999999</v>
      </c>
      <c r="K96" s="17">
        <v>4.8</v>
      </c>
      <c r="L96" s="17">
        <v>13.5</v>
      </c>
      <c r="M96" s="17">
        <v>6.5</v>
      </c>
      <c r="N96" s="17">
        <v>21.4</v>
      </c>
      <c r="O96" s="17">
        <v>5.6</v>
      </c>
      <c r="P96" s="17">
        <v>16.899999999999999</v>
      </c>
      <c r="Q96" s="17">
        <v>6.2</v>
      </c>
      <c r="R96" s="17">
        <v>22.3</v>
      </c>
      <c r="S96" s="17">
        <v>7.6</v>
      </c>
      <c r="T96" s="17">
        <v>16.600000000000001</v>
      </c>
      <c r="U96" s="17">
        <v>7.4</v>
      </c>
      <c r="V96" s="17">
        <v>10.9</v>
      </c>
      <c r="W96" s="17">
        <v>6.5</v>
      </c>
      <c r="X96" s="17">
        <v>13.9</v>
      </c>
      <c r="Y96" s="17">
        <v>7.7</v>
      </c>
      <c r="Z96" s="17">
        <v>16.899999999999999</v>
      </c>
      <c r="AA96" s="17">
        <v>6.1</v>
      </c>
      <c r="AB96" s="17">
        <v>9.6999999999999993</v>
      </c>
      <c r="AC96" s="17">
        <v>10</v>
      </c>
      <c r="AD96" s="17">
        <v>17.600000000000001</v>
      </c>
      <c r="AE96" s="17">
        <v>4.7</v>
      </c>
      <c r="AF96" s="17">
        <v>19.399999999999999</v>
      </c>
      <c r="AG96" s="17">
        <v>6.1</v>
      </c>
      <c r="AH96" s="17">
        <v>23.1</v>
      </c>
      <c r="AI96" s="17">
        <v>4.5</v>
      </c>
      <c r="AJ96" s="17">
        <v>10.9</v>
      </c>
      <c r="AK96" s="17">
        <v>9.8000000000000007</v>
      </c>
      <c r="AL96" s="17">
        <v>13.9</v>
      </c>
      <c r="AM96" s="17">
        <v>7.7</v>
      </c>
    </row>
    <row r="97" spans="1:39" x14ac:dyDescent="0.25">
      <c r="A97" s="19">
        <f t="shared" si="1"/>
        <v>2020</v>
      </c>
      <c r="B97" s="17">
        <v>15.5</v>
      </c>
      <c r="C97" s="17">
        <v>7.2</v>
      </c>
      <c r="D97" s="17">
        <v>11.4</v>
      </c>
      <c r="E97" s="17">
        <v>5.6</v>
      </c>
      <c r="F97" s="17">
        <v>22</v>
      </c>
      <c r="G97" s="17">
        <v>5.8</v>
      </c>
      <c r="H97" s="17">
        <v>14.1</v>
      </c>
      <c r="I97" s="17">
        <v>6.6</v>
      </c>
      <c r="J97" s="17">
        <v>16.399999999999999</v>
      </c>
      <c r="K97" s="17">
        <v>7.5</v>
      </c>
      <c r="L97" s="17">
        <v>13</v>
      </c>
      <c r="M97" s="17">
        <v>7.5</v>
      </c>
      <c r="N97" s="17">
        <v>21</v>
      </c>
      <c r="O97" s="17">
        <v>6.1</v>
      </c>
      <c r="P97" s="17">
        <v>16.600000000000001</v>
      </c>
      <c r="Q97" s="17">
        <v>7.4</v>
      </c>
      <c r="R97" s="17">
        <v>22</v>
      </c>
      <c r="S97" s="17">
        <v>10.8</v>
      </c>
      <c r="T97" s="17">
        <v>16.3</v>
      </c>
      <c r="U97" s="17">
        <v>8.6</v>
      </c>
      <c r="V97" s="17">
        <v>10.1</v>
      </c>
      <c r="W97" s="17">
        <v>7.4</v>
      </c>
      <c r="X97" s="17">
        <v>11.8</v>
      </c>
      <c r="Y97" s="17">
        <v>8.5</v>
      </c>
      <c r="Z97" s="17">
        <v>16.600000000000001</v>
      </c>
      <c r="AA97" s="17">
        <v>8.4</v>
      </c>
      <c r="AB97" s="17">
        <v>9.3000000000000007</v>
      </c>
      <c r="AC97" s="17">
        <v>10.4</v>
      </c>
      <c r="AD97" s="17">
        <v>16.7</v>
      </c>
      <c r="AE97" s="17">
        <v>5.9</v>
      </c>
      <c r="AF97" s="17">
        <v>19</v>
      </c>
      <c r="AG97" s="17">
        <v>6.5</v>
      </c>
      <c r="AH97" s="17">
        <v>22.8</v>
      </c>
      <c r="AI97" s="17">
        <v>5.0999999999999996</v>
      </c>
      <c r="AJ97" s="17">
        <v>10.4</v>
      </c>
      <c r="AK97" s="17">
        <v>9.1999999999999993</v>
      </c>
      <c r="AL97" s="17">
        <v>11.8</v>
      </c>
      <c r="AM97" s="17">
        <v>8.5</v>
      </c>
    </row>
    <row r="98" spans="1:39" x14ac:dyDescent="0.25">
      <c r="A98" s="19">
        <f t="shared" si="1"/>
        <v>2021</v>
      </c>
      <c r="B98" s="17">
        <v>15.2</v>
      </c>
      <c r="C98" s="17">
        <v>7.9</v>
      </c>
      <c r="D98" s="17">
        <v>10.5</v>
      </c>
      <c r="E98" s="17">
        <v>6.6</v>
      </c>
      <c r="F98" s="17">
        <v>21.4</v>
      </c>
      <c r="G98" s="17">
        <v>6.9</v>
      </c>
      <c r="H98" s="17">
        <v>13.9</v>
      </c>
      <c r="I98" s="17">
        <v>7.9</v>
      </c>
      <c r="J98" s="17">
        <v>15.9</v>
      </c>
      <c r="K98" s="17">
        <v>7.1</v>
      </c>
      <c r="L98" s="17">
        <v>12.8</v>
      </c>
      <c r="M98" s="17">
        <v>8.4</v>
      </c>
      <c r="N98" s="17">
        <v>20.7</v>
      </c>
      <c r="O98" s="17">
        <v>8.9</v>
      </c>
      <c r="P98" s="17">
        <v>16.399999999999999</v>
      </c>
      <c r="Q98" s="17">
        <v>9.3000000000000007</v>
      </c>
      <c r="R98" s="17">
        <v>21.8</v>
      </c>
      <c r="S98" s="17">
        <v>11.8</v>
      </c>
      <c r="T98" s="17">
        <v>16.2</v>
      </c>
      <c r="U98" s="17">
        <v>8.6999999999999993</v>
      </c>
      <c r="V98" s="17">
        <v>9.1</v>
      </c>
      <c r="W98" s="17">
        <v>7.7</v>
      </c>
      <c r="X98" s="17">
        <v>11.7</v>
      </c>
      <c r="Y98" s="17">
        <v>9.6999999999999993</v>
      </c>
      <c r="Z98" s="17">
        <v>16.399999999999999</v>
      </c>
      <c r="AA98" s="17">
        <v>9</v>
      </c>
      <c r="AB98" s="17">
        <v>8.8000000000000007</v>
      </c>
      <c r="AC98" s="17">
        <v>15.3</v>
      </c>
      <c r="AD98" s="17">
        <v>16.399999999999999</v>
      </c>
      <c r="AE98" s="17">
        <v>5.6</v>
      </c>
      <c r="AF98" s="17">
        <v>18.600000000000001</v>
      </c>
      <c r="AG98" s="17">
        <v>7</v>
      </c>
      <c r="AH98" s="17">
        <v>22.5</v>
      </c>
      <c r="AI98" s="17">
        <v>5.7</v>
      </c>
      <c r="AJ98" s="17">
        <v>10.1</v>
      </c>
      <c r="AK98" s="17">
        <v>11.7</v>
      </c>
      <c r="AL98" s="17">
        <v>11.7</v>
      </c>
      <c r="AM98" s="17">
        <v>9.6999999999999993</v>
      </c>
    </row>
    <row r="99" spans="1:39" x14ac:dyDescent="0.25">
      <c r="A99" s="19">
        <f t="shared" si="1"/>
        <v>2022</v>
      </c>
      <c r="B99" s="17">
        <v>15</v>
      </c>
      <c r="C99" s="17">
        <v>7.3</v>
      </c>
      <c r="D99" s="17">
        <v>10.3</v>
      </c>
      <c r="E99" s="17">
        <v>6.1</v>
      </c>
      <c r="F99" s="17">
        <v>21.1</v>
      </c>
      <c r="G99" s="17">
        <v>5.3</v>
      </c>
      <c r="H99" s="17">
        <v>13.7</v>
      </c>
      <c r="I99" s="17">
        <v>5.9</v>
      </c>
      <c r="J99" s="17">
        <v>15.4</v>
      </c>
      <c r="K99" s="17">
        <v>5.4</v>
      </c>
      <c r="L99" s="17">
        <v>12.6</v>
      </c>
      <c r="M99" s="17">
        <v>7.5</v>
      </c>
      <c r="N99" s="17">
        <v>20.399999999999999</v>
      </c>
      <c r="O99" s="17">
        <v>6.4</v>
      </c>
      <c r="P99" s="17">
        <v>16.2</v>
      </c>
      <c r="Q99" s="17">
        <v>6.4</v>
      </c>
      <c r="R99" s="17">
        <v>21.6</v>
      </c>
      <c r="S99" s="17">
        <v>7.7</v>
      </c>
      <c r="T99" s="17">
        <v>15.9</v>
      </c>
      <c r="U99" s="17">
        <v>7.5</v>
      </c>
      <c r="V99" s="17">
        <v>9.6999999999999993</v>
      </c>
      <c r="W99" s="17">
        <v>7.6</v>
      </c>
      <c r="X99" s="17">
        <v>10.9</v>
      </c>
      <c r="Y99" s="17">
        <v>8.8000000000000007</v>
      </c>
      <c r="Z99" s="17">
        <v>16</v>
      </c>
      <c r="AA99" s="17">
        <v>6.5</v>
      </c>
      <c r="AB99" s="17">
        <v>8.6999999999999993</v>
      </c>
      <c r="AC99" s="17">
        <v>10.3</v>
      </c>
      <c r="AD99" s="17">
        <v>16.2</v>
      </c>
      <c r="AE99" s="17">
        <v>4.8</v>
      </c>
      <c r="AF99" s="17">
        <v>18.3</v>
      </c>
      <c r="AG99" s="17">
        <v>5.9</v>
      </c>
      <c r="AH99" s="17">
        <v>22.2</v>
      </c>
      <c r="AI99" s="17">
        <v>4.4000000000000004</v>
      </c>
      <c r="AJ99" s="17">
        <v>10</v>
      </c>
      <c r="AK99" s="17">
        <v>10.8</v>
      </c>
      <c r="AL99" s="17">
        <v>10.9</v>
      </c>
      <c r="AM99" s="17">
        <v>8.8000000000000007</v>
      </c>
    </row>
    <row r="100" spans="1:39" x14ac:dyDescent="0.25">
      <c r="A100" s="19">
        <f t="shared" si="1"/>
        <v>2023</v>
      </c>
      <c r="B100" s="17">
        <v>15.1</v>
      </c>
      <c r="C100" s="17">
        <v>7.6</v>
      </c>
      <c r="D100" s="17">
        <v>10.199999999999999</v>
      </c>
      <c r="E100" s="17">
        <v>5.5</v>
      </c>
      <c r="F100" s="17">
        <v>20.8</v>
      </c>
      <c r="G100" s="17">
        <v>4.8</v>
      </c>
      <c r="H100" s="17">
        <v>13.5</v>
      </c>
      <c r="I100" s="17">
        <v>5.4</v>
      </c>
      <c r="J100" s="17">
        <v>15</v>
      </c>
      <c r="K100" s="17">
        <v>5.0999999999999996</v>
      </c>
      <c r="L100" s="17">
        <v>12.3</v>
      </c>
      <c r="M100" s="17">
        <v>7.1</v>
      </c>
      <c r="N100" s="17">
        <v>20</v>
      </c>
      <c r="O100" s="17">
        <v>5.7</v>
      </c>
      <c r="P100" s="17">
        <v>15.9</v>
      </c>
      <c r="Q100" s="17">
        <v>5.5</v>
      </c>
      <c r="R100" s="17">
        <v>21.2</v>
      </c>
      <c r="S100" s="17">
        <v>7.2</v>
      </c>
      <c r="T100" s="17">
        <v>15.8</v>
      </c>
      <c r="U100" s="17">
        <v>7.5</v>
      </c>
      <c r="V100" s="17">
        <v>9</v>
      </c>
      <c r="W100" s="17">
        <v>6.5</v>
      </c>
      <c r="X100" s="17">
        <v>11.1</v>
      </c>
      <c r="Y100" s="17">
        <v>7.7</v>
      </c>
      <c r="Z100" s="17">
        <v>15.7</v>
      </c>
      <c r="AA100" s="17">
        <v>6.2</v>
      </c>
      <c r="AB100" s="17">
        <v>8.6999999999999993</v>
      </c>
      <c r="AC100" s="17">
        <v>10.1</v>
      </c>
      <c r="AD100" s="17">
        <v>16</v>
      </c>
      <c r="AE100" s="17">
        <v>4.8</v>
      </c>
      <c r="AF100" s="17">
        <v>17.899999999999999</v>
      </c>
      <c r="AG100" s="17">
        <v>6.3</v>
      </c>
      <c r="AH100" s="17">
        <v>22</v>
      </c>
      <c r="AI100" s="17">
        <v>4.5</v>
      </c>
      <c r="AJ100" s="17">
        <v>9.9</v>
      </c>
      <c r="AK100" s="17">
        <v>9.8000000000000007</v>
      </c>
      <c r="AL100" s="17">
        <v>11.1</v>
      </c>
      <c r="AM100" s="17">
        <v>7.7</v>
      </c>
    </row>
    <row r="101" spans="1:39" x14ac:dyDescent="0.25">
      <c r="A101" s="3"/>
    </row>
    <row r="102" spans="1:39" x14ac:dyDescent="0.25">
      <c r="A102" s="3"/>
    </row>
    <row r="103" spans="1:39" x14ac:dyDescent="0.25">
      <c r="A103" s="3"/>
    </row>
    <row r="104" spans="1:39" x14ac:dyDescent="0.25">
      <c r="A104" s="3"/>
    </row>
    <row r="105" spans="1:39" x14ac:dyDescent="0.25">
      <c r="A105" s="3"/>
    </row>
    <row r="106" spans="1:39" x14ac:dyDescent="0.25">
      <c r="A106" s="3"/>
    </row>
    <row r="107" spans="1:39" x14ac:dyDescent="0.25">
      <c r="A107" s="3"/>
    </row>
    <row r="108" spans="1:39" x14ac:dyDescent="0.25">
      <c r="A108" s="3"/>
    </row>
    <row r="109" spans="1:39" x14ac:dyDescent="0.25">
      <c r="A109" s="3"/>
    </row>
    <row r="110" spans="1:39" x14ac:dyDescent="0.25">
      <c r="A110" s="3"/>
    </row>
    <row r="111" spans="1:39" x14ac:dyDescent="0.25">
      <c r="A111" s="3"/>
    </row>
    <row r="112" spans="1:39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P63" sqref="P63"/>
    </sheetView>
  </sheetViews>
  <sheetFormatPr defaultRowHeight="15" x14ac:dyDescent="0.25"/>
  <cols>
    <col min="1" max="1" width="9.140625" style="2"/>
  </cols>
  <sheetData>
    <row r="1" spans="1:13" x14ac:dyDescent="0.25">
      <c r="B1" s="22" t="s">
        <v>75</v>
      </c>
      <c r="C1" s="22"/>
      <c r="D1" s="22" t="s">
        <v>76</v>
      </c>
      <c r="E1" s="22"/>
      <c r="G1" s="22" t="s">
        <v>87</v>
      </c>
      <c r="H1" s="22"/>
      <c r="J1" s="22" t="s">
        <v>88</v>
      </c>
      <c r="K1" s="22"/>
      <c r="L1" s="22"/>
      <c r="M1" s="22"/>
    </row>
    <row r="2" spans="1:13" x14ac:dyDescent="0.25">
      <c r="A2" s="18" t="s">
        <v>74</v>
      </c>
      <c r="B2" s="18" t="s">
        <v>72</v>
      </c>
      <c r="C2" s="18" t="s">
        <v>73</v>
      </c>
      <c r="D2" s="18" t="s">
        <v>77</v>
      </c>
      <c r="E2" s="18" t="s">
        <v>78</v>
      </c>
      <c r="F2" s="5" t="s">
        <v>84</v>
      </c>
      <c r="G2" s="18" t="s">
        <v>85</v>
      </c>
      <c r="H2" s="18" t="s">
        <v>86</v>
      </c>
      <c r="J2" s="18" t="s">
        <v>74</v>
      </c>
      <c r="K2" s="18" t="s">
        <v>90</v>
      </c>
      <c r="L2" s="18" t="s">
        <v>91</v>
      </c>
      <c r="M2" s="18" t="s">
        <v>89</v>
      </c>
    </row>
    <row r="3" spans="1:13" x14ac:dyDescent="0.25">
      <c r="A3" s="2">
        <v>1881</v>
      </c>
      <c r="B3" s="17">
        <v>47</v>
      </c>
      <c r="C3" s="17">
        <v>32.5</v>
      </c>
      <c r="F3" s="21">
        <f>IF(A3&lt;1950,0,IF(A3&gt;1985,1,POWER((A3-1950)/35,3)*(10-15*((A3-1950)/35)+6*POWER((A3-1950)/35,2))))</f>
        <v>0</v>
      </c>
      <c r="G3" s="17">
        <f>IF(A3&lt;1950,B3,IF(A3&gt;1985,D3,(1-$F3)*B3+$F3*D3))</f>
        <v>47</v>
      </c>
      <c r="H3" s="17">
        <f>IF(A3&lt;1950,C3,IF(A3&gt;1985,E3,(1-$F3)*C3+$F3*E3))</f>
        <v>32.5</v>
      </c>
      <c r="J3">
        <f>A3</f>
        <v>1881</v>
      </c>
      <c r="K3" s="17">
        <f>G3</f>
        <v>47</v>
      </c>
      <c r="L3" s="17">
        <f>H3</f>
        <v>32.5</v>
      </c>
      <c r="M3" s="17">
        <f>K3-L3</f>
        <v>14.5</v>
      </c>
    </row>
    <row r="4" spans="1:13" x14ac:dyDescent="0.25">
      <c r="A4" s="2">
        <v>1882</v>
      </c>
      <c r="B4" s="17">
        <v>46.942999999999998</v>
      </c>
      <c r="C4" s="17">
        <v>32.240499999999997</v>
      </c>
      <c r="F4" s="21">
        <f t="shared" ref="F4:F67" si="0">IF(A4&lt;1950,0,IF(A4&gt;1985,1,POWER((A4-1950)/35,3)*(10-15*((A4-1950)/35)+6*POWER((A4-1950)/35,2))))</f>
        <v>0</v>
      </c>
      <c r="G4" s="17">
        <f t="shared" ref="G4:G67" si="1">IF(A4&lt;1950,B4,IF(A4&gt;1985,D4,(1-$F4)*B4+$F4*D4))</f>
        <v>46.942999999999998</v>
      </c>
      <c r="H4" s="17">
        <f t="shared" ref="H4:H67" si="2">IF(A4&lt;1950,C4,IF(A4&gt;1985,E4,(1-$F4)*C4+$F4*E4))</f>
        <v>32.240499999999997</v>
      </c>
      <c r="J4">
        <f t="shared" ref="J4:J67" si="3">A4</f>
        <v>1882</v>
      </c>
      <c r="K4" s="17">
        <f t="shared" ref="K4:K67" si="4">G4</f>
        <v>46.942999999999998</v>
      </c>
      <c r="L4" s="17">
        <f t="shared" ref="L4:L67" si="5">H4</f>
        <v>32.240499999999997</v>
      </c>
      <c r="M4" s="17">
        <f t="shared" ref="M4:M67" si="6">K4-L4</f>
        <v>14.702500000000001</v>
      </c>
    </row>
    <row r="5" spans="1:13" x14ac:dyDescent="0.25">
      <c r="A5" s="2">
        <v>1883</v>
      </c>
      <c r="B5" s="17">
        <v>46.886099999999999</v>
      </c>
      <c r="C5" s="17">
        <v>31.981300000000001</v>
      </c>
      <c r="F5" s="21">
        <f t="shared" si="0"/>
        <v>0</v>
      </c>
      <c r="G5" s="17">
        <f t="shared" si="1"/>
        <v>46.886099999999999</v>
      </c>
      <c r="H5" s="17">
        <f t="shared" si="2"/>
        <v>31.981300000000001</v>
      </c>
      <c r="J5">
        <f t="shared" si="3"/>
        <v>1883</v>
      </c>
      <c r="K5" s="17">
        <f t="shared" si="4"/>
        <v>46.886099999999999</v>
      </c>
      <c r="L5" s="17">
        <f t="shared" si="5"/>
        <v>31.981300000000001</v>
      </c>
      <c r="M5" s="17">
        <f t="shared" si="6"/>
        <v>14.904799999999998</v>
      </c>
    </row>
    <row r="6" spans="1:13" x14ac:dyDescent="0.25">
      <c r="A6" s="2">
        <v>1884</v>
      </c>
      <c r="B6" s="17">
        <v>46.8294</v>
      </c>
      <c r="C6" s="17">
        <v>31.7226</v>
      </c>
      <c r="F6" s="21">
        <f t="shared" si="0"/>
        <v>0</v>
      </c>
      <c r="G6" s="17">
        <f t="shared" si="1"/>
        <v>46.8294</v>
      </c>
      <c r="H6" s="17">
        <f t="shared" si="2"/>
        <v>31.7226</v>
      </c>
      <c r="J6">
        <f t="shared" si="3"/>
        <v>1884</v>
      </c>
      <c r="K6" s="17">
        <f t="shared" si="4"/>
        <v>46.8294</v>
      </c>
      <c r="L6" s="17">
        <f t="shared" si="5"/>
        <v>31.7226</v>
      </c>
      <c r="M6" s="17">
        <f t="shared" si="6"/>
        <v>15.1068</v>
      </c>
    </row>
    <row r="7" spans="1:13" x14ac:dyDescent="0.25">
      <c r="A7" s="2">
        <v>1885</v>
      </c>
      <c r="B7" s="17">
        <v>46.773099999999999</v>
      </c>
      <c r="C7" s="17">
        <v>31.4649</v>
      </c>
      <c r="F7" s="21">
        <f t="shared" si="0"/>
        <v>0</v>
      </c>
      <c r="G7" s="17">
        <f t="shared" si="1"/>
        <v>46.773099999999999</v>
      </c>
      <c r="H7" s="17">
        <f t="shared" si="2"/>
        <v>31.4649</v>
      </c>
      <c r="J7">
        <f t="shared" si="3"/>
        <v>1885</v>
      </c>
      <c r="K7" s="17">
        <f t="shared" si="4"/>
        <v>46.773099999999999</v>
      </c>
      <c r="L7" s="17">
        <f t="shared" si="5"/>
        <v>31.4649</v>
      </c>
      <c r="M7" s="17">
        <f t="shared" si="6"/>
        <v>15.308199999999999</v>
      </c>
    </row>
    <row r="8" spans="1:13" x14ac:dyDescent="0.25">
      <c r="A8" s="2">
        <v>1886</v>
      </c>
      <c r="B8" s="17">
        <v>46.717199999999998</v>
      </c>
      <c r="C8" s="17">
        <v>31.208400000000001</v>
      </c>
      <c r="F8" s="21">
        <f t="shared" si="0"/>
        <v>0</v>
      </c>
      <c r="G8" s="17">
        <f t="shared" si="1"/>
        <v>46.717199999999998</v>
      </c>
      <c r="H8" s="17">
        <f t="shared" si="2"/>
        <v>31.208400000000001</v>
      </c>
      <c r="J8">
        <f t="shared" si="3"/>
        <v>1886</v>
      </c>
      <c r="K8" s="17">
        <f t="shared" si="4"/>
        <v>46.717199999999998</v>
      </c>
      <c r="L8" s="17">
        <f t="shared" si="5"/>
        <v>31.208400000000001</v>
      </c>
      <c r="M8" s="17">
        <f t="shared" si="6"/>
        <v>15.508799999999997</v>
      </c>
    </row>
    <row r="9" spans="1:13" x14ac:dyDescent="0.25">
      <c r="A9" s="2">
        <v>1887</v>
      </c>
      <c r="B9" s="17">
        <v>46.661799999999999</v>
      </c>
      <c r="C9" s="17">
        <v>30.953299999999999</v>
      </c>
      <c r="F9" s="21">
        <f t="shared" si="0"/>
        <v>0</v>
      </c>
      <c r="G9" s="17">
        <f t="shared" si="1"/>
        <v>46.661799999999999</v>
      </c>
      <c r="H9" s="17">
        <f t="shared" si="2"/>
        <v>30.953299999999999</v>
      </c>
      <c r="J9">
        <f t="shared" si="3"/>
        <v>1887</v>
      </c>
      <c r="K9" s="17">
        <f t="shared" si="4"/>
        <v>46.661799999999999</v>
      </c>
      <c r="L9" s="17">
        <f t="shared" si="5"/>
        <v>30.953299999999999</v>
      </c>
      <c r="M9" s="17">
        <f t="shared" si="6"/>
        <v>15.708500000000001</v>
      </c>
    </row>
    <row r="10" spans="1:13" x14ac:dyDescent="0.25">
      <c r="A10" s="2">
        <v>1888</v>
      </c>
      <c r="B10" s="17">
        <v>46.607100000000003</v>
      </c>
      <c r="C10" s="17">
        <v>30.7</v>
      </c>
      <c r="F10" s="21">
        <f t="shared" si="0"/>
        <v>0</v>
      </c>
      <c r="G10" s="17">
        <f t="shared" si="1"/>
        <v>46.607100000000003</v>
      </c>
      <c r="H10" s="17">
        <f t="shared" si="2"/>
        <v>30.7</v>
      </c>
      <c r="J10">
        <f t="shared" si="3"/>
        <v>1888</v>
      </c>
      <c r="K10" s="17">
        <f t="shared" si="4"/>
        <v>46.607100000000003</v>
      </c>
      <c r="L10" s="17">
        <f t="shared" si="5"/>
        <v>30.7</v>
      </c>
      <c r="M10" s="17">
        <f t="shared" si="6"/>
        <v>15.907100000000003</v>
      </c>
    </row>
    <row r="11" spans="1:13" x14ac:dyDescent="0.25">
      <c r="A11" s="2">
        <v>1889</v>
      </c>
      <c r="B11" s="17">
        <v>46.553100000000001</v>
      </c>
      <c r="C11" s="17">
        <v>30.448799999999999</v>
      </c>
      <c r="F11" s="21">
        <f t="shared" si="0"/>
        <v>0</v>
      </c>
      <c r="G11" s="17">
        <f t="shared" si="1"/>
        <v>46.553100000000001</v>
      </c>
      <c r="H11" s="17">
        <f t="shared" si="2"/>
        <v>30.448799999999999</v>
      </c>
      <c r="J11">
        <f t="shared" si="3"/>
        <v>1889</v>
      </c>
      <c r="K11" s="17">
        <f t="shared" si="4"/>
        <v>46.553100000000001</v>
      </c>
      <c r="L11" s="17">
        <f t="shared" si="5"/>
        <v>30.448799999999999</v>
      </c>
      <c r="M11" s="17">
        <f t="shared" si="6"/>
        <v>16.104300000000002</v>
      </c>
    </row>
    <row r="12" spans="1:13" x14ac:dyDescent="0.25">
      <c r="A12" s="2">
        <v>1890</v>
      </c>
      <c r="B12" s="17">
        <v>46.5</v>
      </c>
      <c r="C12" s="17">
        <v>30.2</v>
      </c>
      <c r="F12" s="21">
        <f t="shared" si="0"/>
        <v>0</v>
      </c>
      <c r="G12" s="17">
        <f t="shared" si="1"/>
        <v>46.5</v>
      </c>
      <c r="H12" s="17">
        <f t="shared" si="2"/>
        <v>30.2</v>
      </c>
      <c r="J12">
        <f t="shared" si="3"/>
        <v>1890</v>
      </c>
      <c r="K12" s="17">
        <f t="shared" si="4"/>
        <v>46.5</v>
      </c>
      <c r="L12" s="17">
        <f t="shared" si="5"/>
        <v>30.2</v>
      </c>
      <c r="M12" s="17">
        <f t="shared" si="6"/>
        <v>16.3</v>
      </c>
    </row>
    <row r="13" spans="1:13" x14ac:dyDescent="0.25">
      <c r="A13" s="2">
        <v>1891</v>
      </c>
      <c r="B13" s="17">
        <v>46.447899999999997</v>
      </c>
      <c r="C13" s="17">
        <v>29.943100000000001</v>
      </c>
      <c r="F13" s="21">
        <f t="shared" si="0"/>
        <v>0</v>
      </c>
      <c r="G13" s="17">
        <f t="shared" si="1"/>
        <v>46.447899999999997</v>
      </c>
      <c r="H13" s="17">
        <f t="shared" si="2"/>
        <v>29.943100000000001</v>
      </c>
      <c r="J13">
        <f t="shared" si="3"/>
        <v>1891</v>
      </c>
      <c r="K13" s="17">
        <f t="shared" si="4"/>
        <v>46.447899999999997</v>
      </c>
      <c r="L13" s="17">
        <f t="shared" si="5"/>
        <v>29.943100000000001</v>
      </c>
      <c r="M13" s="17">
        <f t="shared" si="6"/>
        <v>16.504799999999996</v>
      </c>
    </row>
    <row r="14" spans="1:13" x14ac:dyDescent="0.25">
      <c r="A14" s="2">
        <v>1892</v>
      </c>
      <c r="B14" s="17">
        <v>46.396599999999999</v>
      </c>
      <c r="C14" s="17">
        <v>29.672000000000001</v>
      </c>
      <c r="F14" s="21">
        <f t="shared" si="0"/>
        <v>0</v>
      </c>
      <c r="G14" s="17">
        <f t="shared" si="1"/>
        <v>46.396599999999999</v>
      </c>
      <c r="H14" s="17">
        <f t="shared" si="2"/>
        <v>29.672000000000001</v>
      </c>
      <c r="J14">
        <f t="shared" si="3"/>
        <v>1892</v>
      </c>
      <c r="K14" s="17">
        <f t="shared" si="4"/>
        <v>46.396599999999999</v>
      </c>
      <c r="L14" s="17">
        <f t="shared" si="5"/>
        <v>29.672000000000001</v>
      </c>
      <c r="M14" s="17">
        <f t="shared" si="6"/>
        <v>16.724599999999999</v>
      </c>
    </row>
    <row r="15" spans="1:13" x14ac:dyDescent="0.25">
      <c r="A15" s="2">
        <v>1893</v>
      </c>
      <c r="B15" s="17">
        <v>46.3461</v>
      </c>
      <c r="C15" s="17">
        <v>29.3933</v>
      </c>
      <c r="F15" s="21">
        <f t="shared" si="0"/>
        <v>0</v>
      </c>
      <c r="G15" s="17">
        <f t="shared" si="1"/>
        <v>46.3461</v>
      </c>
      <c r="H15" s="17">
        <f t="shared" si="2"/>
        <v>29.3933</v>
      </c>
      <c r="J15">
        <f t="shared" si="3"/>
        <v>1893</v>
      </c>
      <c r="K15" s="17">
        <f t="shared" si="4"/>
        <v>46.3461</v>
      </c>
      <c r="L15" s="17">
        <f t="shared" si="5"/>
        <v>29.3933</v>
      </c>
      <c r="M15" s="17">
        <f t="shared" si="6"/>
        <v>16.9528</v>
      </c>
    </row>
    <row r="16" spans="1:13" x14ac:dyDescent="0.25">
      <c r="A16" s="2">
        <v>1894</v>
      </c>
      <c r="B16" s="17">
        <v>46.296199999999999</v>
      </c>
      <c r="C16" s="17">
        <v>29.114000000000001</v>
      </c>
      <c r="F16" s="21">
        <f t="shared" si="0"/>
        <v>0</v>
      </c>
      <c r="G16" s="17">
        <f t="shared" si="1"/>
        <v>46.296199999999999</v>
      </c>
      <c r="H16" s="17">
        <f t="shared" si="2"/>
        <v>29.114000000000001</v>
      </c>
      <c r="J16">
        <f t="shared" si="3"/>
        <v>1894</v>
      </c>
      <c r="K16" s="17">
        <f t="shared" si="4"/>
        <v>46.296199999999999</v>
      </c>
      <c r="L16" s="17">
        <f t="shared" si="5"/>
        <v>29.114000000000001</v>
      </c>
      <c r="M16" s="17">
        <f t="shared" si="6"/>
        <v>17.182199999999998</v>
      </c>
    </row>
    <row r="17" spans="1:13" x14ac:dyDescent="0.25">
      <c r="A17" s="2">
        <v>1895</v>
      </c>
      <c r="B17" s="17">
        <v>46.246699999999997</v>
      </c>
      <c r="C17" s="17">
        <v>28.840599999999998</v>
      </c>
      <c r="F17" s="21">
        <f t="shared" si="0"/>
        <v>0</v>
      </c>
      <c r="G17" s="17">
        <f t="shared" si="1"/>
        <v>46.246699999999997</v>
      </c>
      <c r="H17" s="17">
        <f t="shared" si="2"/>
        <v>28.840599999999998</v>
      </c>
      <c r="J17">
        <f t="shared" si="3"/>
        <v>1895</v>
      </c>
      <c r="K17" s="17">
        <f t="shared" si="4"/>
        <v>46.246699999999997</v>
      </c>
      <c r="L17" s="17">
        <f t="shared" si="5"/>
        <v>28.840599999999998</v>
      </c>
      <c r="M17" s="17">
        <f t="shared" si="6"/>
        <v>17.406099999999999</v>
      </c>
    </row>
    <row r="18" spans="1:13" x14ac:dyDescent="0.25">
      <c r="A18" s="2">
        <v>1896</v>
      </c>
      <c r="B18" s="17">
        <v>46.197499999999998</v>
      </c>
      <c r="C18" s="17">
        <v>28.58</v>
      </c>
      <c r="F18" s="21">
        <f t="shared" si="0"/>
        <v>0</v>
      </c>
      <c r="G18" s="17">
        <f t="shared" si="1"/>
        <v>46.197499999999998</v>
      </c>
      <c r="H18" s="17">
        <f t="shared" si="2"/>
        <v>28.58</v>
      </c>
      <c r="J18">
        <f t="shared" si="3"/>
        <v>1896</v>
      </c>
      <c r="K18" s="17">
        <f t="shared" si="4"/>
        <v>46.197499999999998</v>
      </c>
      <c r="L18" s="17">
        <f t="shared" si="5"/>
        <v>28.58</v>
      </c>
      <c r="M18" s="17">
        <f t="shared" si="6"/>
        <v>17.6175</v>
      </c>
    </row>
    <row r="19" spans="1:13" x14ac:dyDescent="0.25">
      <c r="A19" s="2">
        <v>1897</v>
      </c>
      <c r="B19" s="17">
        <v>46.148299999999999</v>
      </c>
      <c r="C19" s="17">
        <v>28.338899999999999</v>
      </c>
      <c r="F19" s="21">
        <f t="shared" si="0"/>
        <v>0</v>
      </c>
      <c r="G19" s="17">
        <f t="shared" si="1"/>
        <v>46.148299999999999</v>
      </c>
      <c r="H19" s="17">
        <f t="shared" si="2"/>
        <v>28.338899999999999</v>
      </c>
      <c r="J19">
        <f t="shared" si="3"/>
        <v>1897</v>
      </c>
      <c r="K19" s="17">
        <f t="shared" si="4"/>
        <v>46.148299999999999</v>
      </c>
      <c r="L19" s="17">
        <f t="shared" si="5"/>
        <v>28.338899999999999</v>
      </c>
      <c r="M19" s="17">
        <f t="shared" si="6"/>
        <v>17.8094</v>
      </c>
    </row>
    <row r="20" spans="1:13" x14ac:dyDescent="0.25">
      <c r="A20" s="2">
        <v>1898</v>
      </c>
      <c r="B20" s="17">
        <v>46.099200000000003</v>
      </c>
      <c r="C20" s="17">
        <v>28.123999999999999</v>
      </c>
      <c r="F20" s="21">
        <f t="shared" si="0"/>
        <v>0</v>
      </c>
      <c r="G20" s="17">
        <f t="shared" si="1"/>
        <v>46.099200000000003</v>
      </c>
      <c r="H20" s="17">
        <f t="shared" si="2"/>
        <v>28.123999999999999</v>
      </c>
      <c r="J20">
        <f t="shared" si="3"/>
        <v>1898</v>
      </c>
      <c r="K20" s="17">
        <f t="shared" si="4"/>
        <v>46.099200000000003</v>
      </c>
      <c r="L20" s="17">
        <f t="shared" si="5"/>
        <v>28.123999999999999</v>
      </c>
      <c r="M20" s="17">
        <f t="shared" si="6"/>
        <v>17.975200000000005</v>
      </c>
    </row>
    <row r="21" spans="1:13" x14ac:dyDescent="0.25">
      <c r="A21" s="2">
        <v>1899</v>
      </c>
      <c r="B21" s="17">
        <v>46.049799999999998</v>
      </c>
      <c r="C21" s="17">
        <v>27.9421</v>
      </c>
      <c r="F21" s="21">
        <f t="shared" si="0"/>
        <v>0</v>
      </c>
      <c r="G21" s="17">
        <f t="shared" si="1"/>
        <v>46.049799999999998</v>
      </c>
      <c r="H21" s="17">
        <f t="shared" si="2"/>
        <v>27.9421</v>
      </c>
      <c r="J21">
        <f t="shared" si="3"/>
        <v>1899</v>
      </c>
      <c r="K21" s="17">
        <f t="shared" si="4"/>
        <v>46.049799999999998</v>
      </c>
      <c r="L21" s="17">
        <f t="shared" si="5"/>
        <v>27.9421</v>
      </c>
      <c r="M21" s="17">
        <f t="shared" si="6"/>
        <v>18.107699999999998</v>
      </c>
    </row>
    <row r="22" spans="1:13" x14ac:dyDescent="0.25">
      <c r="A22" s="2">
        <v>1900</v>
      </c>
      <c r="B22" s="17">
        <v>46</v>
      </c>
      <c r="C22" s="17">
        <v>27.8</v>
      </c>
      <c r="F22" s="21">
        <f t="shared" si="0"/>
        <v>0</v>
      </c>
      <c r="G22" s="17">
        <f t="shared" si="1"/>
        <v>46</v>
      </c>
      <c r="H22" s="17">
        <f t="shared" si="2"/>
        <v>27.8</v>
      </c>
      <c r="J22">
        <f t="shared" si="3"/>
        <v>1900</v>
      </c>
      <c r="K22" s="17">
        <f t="shared" si="4"/>
        <v>46</v>
      </c>
      <c r="L22" s="17">
        <f t="shared" si="5"/>
        <v>27.8</v>
      </c>
      <c r="M22" s="17">
        <f t="shared" si="6"/>
        <v>18.2</v>
      </c>
    </row>
    <row r="23" spans="1:13" x14ac:dyDescent="0.25">
      <c r="A23" s="2">
        <v>1901</v>
      </c>
      <c r="B23" s="17">
        <v>45.95</v>
      </c>
      <c r="C23" s="17">
        <v>27.686599999999999</v>
      </c>
      <c r="F23" s="21">
        <f t="shared" si="0"/>
        <v>0</v>
      </c>
      <c r="G23" s="17">
        <f t="shared" si="1"/>
        <v>45.95</v>
      </c>
      <c r="H23" s="17">
        <f t="shared" si="2"/>
        <v>27.686599999999999</v>
      </c>
      <c r="J23">
        <f t="shared" si="3"/>
        <v>1901</v>
      </c>
      <c r="K23" s="17">
        <f t="shared" si="4"/>
        <v>45.95</v>
      </c>
      <c r="L23" s="17">
        <f t="shared" si="5"/>
        <v>27.686599999999999</v>
      </c>
      <c r="M23" s="17">
        <f t="shared" si="6"/>
        <v>18.263400000000004</v>
      </c>
    </row>
    <row r="24" spans="1:13" x14ac:dyDescent="0.25">
      <c r="A24" s="2">
        <v>1902</v>
      </c>
      <c r="B24" s="17">
        <v>45.9</v>
      </c>
      <c r="C24" s="17">
        <v>27.585100000000001</v>
      </c>
      <c r="F24" s="21">
        <f t="shared" si="0"/>
        <v>0</v>
      </c>
      <c r="G24" s="17">
        <f t="shared" si="1"/>
        <v>45.9</v>
      </c>
      <c r="H24" s="17">
        <f t="shared" si="2"/>
        <v>27.585100000000001</v>
      </c>
      <c r="J24">
        <f t="shared" si="3"/>
        <v>1902</v>
      </c>
      <c r="K24" s="17">
        <f t="shared" si="4"/>
        <v>45.9</v>
      </c>
      <c r="L24" s="17">
        <f t="shared" si="5"/>
        <v>27.585100000000001</v>
      </c>
      <c r="M24" s="17">
        <f t="shared" si="6"/>
        <v>18.314899999999998</v>
      </c>
    </row>
    <row r="25" spans="1:13" x14ac:dyDescent="0.25">
      <c r="A25" s="2">
        <v>1903</v>
      </c>
      <c r="B25" s="17">
        <v>45.85</v>
      </c>
      <c r="C25" s="17">
        <v>27.494</v>
      </c>
      <c r="F25" s="21">
        <f t="shared" si="0"/>
        <v>0</v>
      </c>
      <c r="G25" s="17">
        <f t="shared" si="1"/>
        <v>45.85</v>
      </c>
      <c r="H25" s="17">
        <f t="shared" si="2"/>
        <v>27.494</v>
      </c>
      <c r="J25">
        <f t="shared" si="3"/>
        <v>1903</v>
      </c>
      <c r="K25" s="17">
        <f t="shared" si="4"/>
        <v>45.85</v>
      </c>
      <c r="L25" s="17">
        <f t="shared" si="5"/>
        <v>27.494</v>
      </c>
      <c r="M25" s="17">
        <f t="shared" si="6"/>
        <v>18.356000000000002</v>
      </c>
    </row>
    <row r="26" spans="1:13" x14ac:dyDescent="0.25">
      <c r="A26" s="2">
        <v>1904</v>
      </c>
      <c r="B26" s="17">
        <v>45.8</v>
      </c>
      <c r="C26" s="17">
        <v>27.4114</v>
      </c>
      <c r="F26" s="21">
        <f t="shared" si="0"/>
        <v>0</v>
      </c>
      <c r="G26" s="17">
        <f t="shared" si="1"/>
        <v>45.8</v>
      </c>
      <c r="H26" s="17">
        <f t="shared" si="2"/>
        <v>27.4114</v>
      </c>
      <c r="J26">
        <f t="shared" si="3"/>
        <v>1904</v>
      </c>
      <c r="K26" s="17">
        <f t="shared" si="4"/>
        <v>45.8</v>
      </c>
      <c r="L26" s="17">
        <f t="shared" si="5"/>
        <v>27.4114</v>
      </c>
      <c r="M26" s="17">
        <f t="shared" si="6"/>
        <v>18.388599999999997</v>
      </c>
    </row>
    <row r="27" spans="1:13" x14ac:dyDescent="0.25">
      <c r="A27" s="2">
        <v>1905</v>
      </c>
      <c r="B27" s="17">
        <v>45.75</v>
      </c>
      <c r="C27" s="17">
        <v>27.335699999999999</v>
      </c>
      <c r="F27" s="21">
        <f t="shared" si="0"/>
        <v>0</v>
      </c>
      <c r="G27" s="17">
        <f t="shared" si="1"/>
        <v>45.75</v>
      </c>
      <c r="H27" s="17">
        <f t="shared" si="2"/>
        <v>27.335699999999999</v>
      </c>
      <c r="J27">
        <f t="shared" si="3"/>
        <v>1905</v>
      </c>
      <c r="K27" s="17">
        <f t="shared" si="4"/>
        <v>45.75</v>
      </c>
      <c r="L27" s="17">
        <f t="shared" si="5"/>
        <v>27.335699999999999</v>
      </c>
      <c r="M27" s="17">
        <f t="shared" si="6"/>
        <v>18.414300000000001</v>
      </c>
    </row>
    <row r="28" spans="1:13" x14ac:dyDescent="0.25">
      <c r="A28" s="2">
        <v>1906</v>
      </c>
      <c r="B28" s="17">
        <v>45.7</v>
      </c>
      <c r="C28" s="17">
        <v>27.2651</v>
      </c>
      <c r="F28" s="21">
        <f t="shared" si="0"/>
        <v>0</v>
      </c>
      <c r="G28" s="17">
        <f t="shared" si="1"/>
        <v>45.7</v>
      </c>
      <c r="H28" s="17">
        <f t="shared" si="2"/>
        <v>27.2651</v>
      </c>
      <c r="J28">
        <f t="shared" si="3"/>
        <v>1906</v>
      </c>
      <c r="K28" s="17">
        <f t="shared" si="4"/>
        <v>45.7</v>
      </c>
      <c r="L28" s="17">
        <f t="shared" si="5"/>
        <v>27.2651</v>
      </c>
      <c r="M28" s="17">
        <f t="shared" si="6"/>
        <v>18.434900000000003</v>
      </c>
    </row>
    <row r="29" spans="1:13" x14ac:dyDescent="0.25">
      <c r="A29" s="2">
        <v>1907</v>
      </c>
      <c r="B29" s="17">
        <v>45.65</v>
      </c>
      <c r="C29" s="17">
        <v>27.198</v>
      </c>
      <c r="F29" s="21">
        <f t="shared" si="0"/>
        <v>0</v>
      </c>
      <c r="G29" s="17">
        <f t="shared" si="1"/>
        <v>45.65</v>
      </c>
      <c r="H29" s="17">
        <f t="shared" si="2"/>
        <v>27.198</v>
      </c>
      <c r="J29">
        <f t="shared" si="3"/>
        <v>1907</v>
      </c>
      <c r="K29" s="17">
        <f t="shared" si="4"/>
        <v>45.65</v>
      </c>
      <c r="L29" s="17">
        <f t="shared" si="5"/>
        <v>27.198</v>
      </c>
      <c r="M29" s="17">
        <f t="shared" si="6"/>
        <v>18.451999999999998</v>
      </c>
    </row>
    <row r="30" spans="1:13" x14ac:dyDescent="0.25">
      <c r="A30" s="2">
        <v>1908</v>
      </c>
      <c r="B30" s="17">
        <v>45.6</v>
      </c>
      <c r="C30" s="17">
        <v>27.1326</v>
      </c>
      <c r="F30" s="21">
        <f t="shared" si="0"/>
        <v>0</v>
      </c>
      <c r="G30" s="17">
        <f t="shared" si="1"/>
        <v>45.6</v>
      </c>
      <c r="H30" s="17">
        <f t="shared" si="2"/>
        <v>27.1326</v>
      </c>
      <c r="J30">
        <f t="shared" si="3"/>
        <v>1908</v>
      </c>
      <c r="K30" s="17">
        <f t="shared" si="4"/>
        <v>45.6</v>
      </c>
      <c r="L30" s="17">
        <f t="shared" si="5"/>
        <v>27.1326</v>
      </c>
      <c r="M30" s="17">
        <f t="shared" si="6"/>
        <v>18.467400000000001</v>
      </c>
    </row>
    <row r="31" spans="1:13" x14ac:dyDescent="0.25">
      <c r="A31" s="2">
        <v>1909</v>
      </c>
      <c r="B31" s="17">
        <v>45.55</v>
      </c>
      <c r="C31" s="17">
        <v>27.0671</v>
      </c>
      <c r="F31" s="21">
        <f t="shared" si="0"/>
        <v>0</v>
      </c>
      <c r="G31" s="17">
        <f t="shared" si="1"/>
        <v>45.55</v>
      </c>
      <c r="H31" s="17">
        <f t="shared" si="2"/>
        <v>27.0671</v>
      </c>
      <c r="J31">
        <f t="shared" si="3"/>
        <v>1909</v>
      </c>
      <c r="K31" s="17">
        <f t="shared" si="4"/>
        <v>45.55</v>
      </c>
      <c r="L31" s="17">
        <f t="shared" si="5"/>
        <v>27.0671</v>
      </c>
      <c r="M31" s="17">
        <f t="shared" si="6"/>
        <v>18.482899999999997</v>
      </c>
    </row>
    <row r="32" spans="1:13" x14ac:dyDescent="0.25">
      <c r="A32" s="2">
        <v>1910</v>
      </c>
      <c r="B32" s="17">
        <v>45.5</v>
      </c>
      <c r="C32" s="17">
        <v>27</v>
      </c>
      <c r="F32" s="21">
        <f t="shared" si="0"/>
        <v>0</v>
      </c>
      <c r="G32" s="17">
        <f t="shared" si="1"/>
        <v>45.5</v>
      </c>
      <c r="H32" s="17">
        <f t="shared" si="2"/>
        <v>27</v>
      </c>
      <c r="J32">
        <f t="shared" si="3"/>
        <v>1910</v>
      </c>
      <c r="K32" s="17">
        <f t="shared" si="4"/>
        <v>45.5</v>
      </c>
      <c r="L32" s="17">
        <f t="shared" si="5"/>
        <v>27</v>
      </c>
      <c r="M32" s="17">
        <f t="shared" si="6"/>
        <v>18.5</v>
      </c>
    </row>
    <row r="33" spans="1:13" x14ac:dyDescent="0.25">
      <c r="A33" s="2">
        <v>1911</v>
      </c>
      <c r="B33" s="17">
        <v>45.448099999999997</v>
      </c>
      <c r="C33" s="17">
        <v>26.931999999999999</v>
      </c>
      <c r="F33" s="21">
        <f t="shared" si="0"/>
        <v>0</v>
      </c>
      <c r="G33" s="17">
        <f t="shared" si="1"/>
        <v>45.448099999999997</v>
      </c>
      <c r="H33" s="17">
        <f t="shared" si="2"/>
        <v>26.931999999999999</v>
      </c>
      <c r="J33">
        <f t="shared" si="3"/>
        <v>1911</v>
      </c>
      <c r="K33" s="17">
        <f t="shared" si="4"/>
        <v>45.448099999999997</v>
      </c>
      <c r="L33" s="17">
        <f t="shared" si="5"/>
        <v>26.931999999999999</v>
      </c>
      <c r="M33" s="17">
        <f t="shared" si="6"/>
        <v>18.516099999999998</v>
      </c>
    </row>
    <row r="34" spans="1:13" x14ac:dyDescent="0.25">
      <c r="A34" s="2">
        <v>1912</v>
      </c>
      <c r="B34" s="17">
        <v>45.393099999999997</v>
      </c>
      <c r="C34" s="17">
        <v>26.865200000000002</v>
      </c>
      <c r="F34" s="21">
        <f t="shared" si="0"/>
        <v>0</v>
      </c>
      <c r="G34" s="17">
        <f t="shared" si="1"/>
        <v>45.393099999999997</v>
      </c>
      <c r="H34" s="17">
        <f t="shared" si="2"/>
        <v>26.865200000000002</v>
      </c>
      <c r="J34">
        <f t="shared" si="3"/>
        <v>1912</v>
      </c>
      <c r="K34" s="17">
        <f t="shared" si="4"/>
        <v>45.393099999999997</v>
      </c>
      <c r="L34" s="17">
        <f t="shared" si="5"/>
        <v>26.865200000000002</v>
      </c>
      <c r="M34" s="17">
        <f t="shared" si="6"/>
        <v>18.527899999999995</v>
      </c>
    </row>
    <row r="35" spans="1:13" x14ac:dyDescent="0.25">
      <c r="A35" s="2">
        <v>1913</v>
      </c>
      <c r="B35" s="17">
        <v>45.336500000000001</v>
      </c>
      <c r="C35" s="17">
        <v>26.799800000000001</v>
      </c>
      <c r="F35" s="21">
        <f t="shared" si="0"/>
        <v>0</v>
      </c>
      <c r="G35" s="17">
        <f t="shared" si="1"/>
        <v>45.336500000000001</v>
      </c>
      <c r="H35" s="17">
        <f t="shared" si="2"/>
        <v>26.799800000000001</v>
      </c>
      <c r="J35">
        <f t="shared" si="3"/>
        <v>1913</v>
      </c>
      <c r="K35" s="17">
        <f t="shared" si="4"/>
        <v>45.336500000000001</v>
      </c>
      <c r="L35" s="17">
        <f t="shared" si="5"/>
        <v>26.799800000000001</v>
      </c>
      <c r="M35" s="17">
        <f t="shared" si="6"/>
        <v>18.5367</v>
      </c>
    </row>
    <row r="36" spans="1:13" x14ac:dyDescent="0.25">
      <c r="A36" s="2">
        <v>1914</v>
      </c>
      <c r="B36" s="17">
        <v>45.279400000000003</v>
      </c>
      <c r="C36" s="17">
        <v>26.7361</v>
      </c>
      <c r="F36" s="21">
        <f t="shared" si="0"/>
        <v>0</v>
      </c>
      <c r="G36" s="17">
        <f t="shared" si="1"/>
        <v>45.279400000000003</v>
      </c>
      <c r="H36" s="17">
        <f t="shared" si="2"/>
        <v>26.7361</v>
      </c>
      <c r="J36">
        <f t="shared" si="3"/>
        <v>1914</v>
      </c>
      <c r="K36" s="17">
        <f t="shared" si="4"/>
        <v>45.279400000000003</v>
      </c>
      <c r="L36" s="17">
        <f t="shared" si="5"/>
        <v>26.7361</v>
      </c>
      <c r="M36" s="17">
        <f t="shared" si="6"/>
        <v>18.543300000000002</v>
      </c>
    </row>
    <row r="37" spans="1:13" x14ac:dyDescent="0.25">
      <c r="A37" s="2">
        <v>1915</v>
      </c>
      <c r="B37" s="17">
        <v>45.223199999999999</v>
      </c>
      <c r="C37" s="17">
        <v>26.674299999999999</v>
      </c>
      <c r="F37" s="21">
        <f t="shared" si="0"/>
        <v>0</v>
      </c>
      <c r="G37" s="17">
        <f t="shared" si="1"/>
        <v>45.223199999999999</v>
      </c>
      <c r="H37" s="17">
        <f t="shared" si="2"/>
        <v>26.674299999999999</v>
      </c>
      <c r="J37">
        <f t="shared" si="3"/>
        <v>1915</v>
      </c>
      <c r="K37" s="17">
        <f t="shared" si="4"/>
        <v>45.223199999999999</v>
      </c>
      <c r="L37" s="17">
        <f t="shared" si="5"/>
        <v>26.674299999999999</v>
      </c>
      <c r="M37" s="17">
        <f t="shared" si="6"/>
        <v>18.5489</v>
      </c>
    </row>
    <row r="38" spans="1:13" x14ac:dyDescent="0.25">
      <c r="A38" s="2">
        <v>1916</v>
      </c>
      <c r="B38" s="17">
        <v>45.1691</v>
      </c>
      <c r="C38" s="17">
        <v>26.6145</v>
      </c>
      <c r="F38" s="21">
        <f t="shared" si="0"/>
        <v>0</v>
      </c>
      <c r="G38" s="17">
        <f t="shared" si="1"/>
        <v>45.1691</v>
      </c>
      <c r="H38" s="17">
        <f t="shared" si="2"/>
        <v>26.6145</v>
      </c>
      <c r="J38">
        <f t="shared" si="3"/>
        <v>1916</v>
      </c>
      <c r="K38" s="17">
        <f t="shared" si="4"/>
        <v>45.1691</v>
      </c>
      <c r="L38" s="17">
        <f t="shared" si="5"/>
        <v>26.6145</v>
      </c>
      <c r="M38" s="17">
        <f t="shared" si="6"/>
        <v>18.554600000000001</v>
      </c>
    </row>
    <row r="39" spans="1:13" x14ac:dyDescent="0.25">
      <c r="A39" s="2">
        <v>1917</v>
      </c>
      <c r="B39" s="17">
        <v>45.118499999999997</v>
      </c>
      <c r="C39" s="17">
        <v>26.556999999999999</v>
      </c>
      <c r="F39" s="21">
        <f t="shared" si="0"/>
        <v>0</v>
      </c>
      <c r="G39" s="17">
        <f t="shared" si="1"/>
        <v>45.118499999999997</v>
      </c>
      <c r="H39" s="17">
        <f t="shared" si="2"/>
        <v>26.556999999999999</v>
      </c>
      <c r="J39">
        <f t="shared" si="3"/>
        <v>1917</v>
      </c>
      <c r="K39" s="17">
        <f t="shared" si="4"/>
        <v>45.118499999999997</v>
      </c>
      <c r="L39" s="17">
        <f t="shared" si="5"/>
        <v>26.556999999999999</v>
      </c>
      <c r="M39" s="17">
        <f t="shared" si="6"/>
        <v>18.561499999999999</v>
      </c>
    </row>
    <row r="40" spans="1:13" x14ac:dyDescent="0.25">
      <c r="A40" s="2">
        <v>1918</v>
      </c>
      <c r="B40" s="17">
        <v>45.072600000000001</v>
      </c>
      <c r="C40" s="17">
        <v>26.501899999999999</v>
      </c>
      <c r="F40" s="21">
        <f t="shared" si="0"/>
        <v>0</v>
      </c>
      <c r="G40" s="17">
        <f t="shared" si="1"/>
        <v>45.072600000000001</v>
      </c>
      <c r="H40" s="17">
        <f t="shared" si="2"/>
        <v>26.501899999999999</v>
      </c>
      <c r="J40">
        <f t="shared" si="3"/>
        <v>1918</v>
      </c>
      <c r="K40" s="17">
        <f t="shared" si="4"/>
        <v>45.072600000000001</v>
      </c>
      <c r="L40" s="17">
        <f t="shared" si="5"/>
        <v>26.501899999999999</v>
      </c>
      <c r="M40" s="17">
        <f t="shared" si="6"/>
        <v>18.570700000000002</v>
      </c>
    </row>
    <row r="41" spans="1:13" x14ac:dyDescent="0.25">
      <c r="A41" s="2">
        <v>1919</v>
      </c>
      <c r="B41" s="17">
        <v>45.032600000000002</v>
      </c>
      <c r="C41" s="17">
        <v>26.4495</v>
      </c>
      <c r="F41" s="21">
        <f t="shared" si="0"/>
        <v>0</v>
      </c>
      <c r="G41" s="17">
        <f t="shared" si="1"/>
        <v>45.032600000000002</v>
      </c>
      <c r="H41" s="17">
        <f t="shared" si="2"/>
        <v>26.4495</v>
      </c>
      <c r="J41">
        <f t="shared" si="3"/>
        <v>1919</v>
      </c>
      <c r="K41" s="17">
        <f t="shared" si="4"/>
        <v>45.032600000000002</v>
      </c>
      <c r="L41" s="17">
        <f t="shared" si="5"/>
        <v>26.4495</v>
      </c>
      <c r="M41" s="17">
        <f t="shared" si="6"/>
        <v>18.583100000000002</v>
      </c>
    </row>
    <row r="42" spans="1:13" x14ac:dyDescent="0.25">
      <c r="A42" s="2">
        <v>1920</v>
      </c>
      <c r="B42" s="17">
        <v>45</v>
      </c>
      <c r="C42" s="17">
        <v>26.4</v>
      </c>
      <c r="F42" s="21">
        <f t="shared" si="0"/>
        <v>0</v>
      </c>
      <c r="G42" s="17">
        <f t="shared" si="1"/>
        <v>45</v>
      </c>
      <c r="H42" s="17">
        <f t="shared" si="2"/>
        <v>26.4</v>
      </c>
      <c r="J42">
        <f t="shared" si="3"/>
        <v>1920</v>
      </c>
      <c r="K42" s="17">
        <f t="shared" si="4"/>
        <v>45</v>
      </c>
      <c r="L42" s="17">
        <f t="shared" si="5"/>
        <v>26.4</v>
      </c>
      <c r="M42" s="17">
        <f t="shared" si="6"/>
        <v>18.600000000000001</v>
      </c>
    </row>
    <row r="43" spans="1:13" x14ac:dyDescent="0.25">
      <c r="A43" s="2">
        <v>1921</v>
      </c>
      <c r="B43" s="17">
        <v>44.973300000000002</v>
      </c>
      <c r="C43" s="17">
        <v>26.356400000000001</v>
      </c>
      <c r="F43" s="21">
        <f t="shared" si="0"/>
        <v>0</v>
      </c>
      <c r="G43" s="17">
        <f t="shared" si="1"/>
        <v>44.973300000000002</v>
      </c>
      <c r="H43" s="17">
        <f t="shared" si="2"/>
        <v>26.356400000000001</v>
      </c>
      <c r="J43">
        <f t="shared" si="3"/>
        <v>1921</v>
      </c>
      <c r="K43" s="17">
        <f t="shared" si="4"/>
        <v>44.973300000000002</v>
      </c>
      <c r="L43" s="17">
        <f t="shared" si="5"/>
        <v>26.356400000000001</v>
      </c>
      <c r="M43" s="17">
        <f t="shared" si="6"/>
        <v>18.616900000000001</v>
      </c>
    </row>
    <row r="44" spans="1:13" x14ac:dyDescent="0.25">
      <c r="A44" s="2">
        <v>1922</v>
      </c>
      <c r="B44" s="17">
        <v>44.9499</v>
      </c>
      <c r="C44" s="17">
        <v>26.319900000000001</v>
      </c>
      <c r="F44" s="21">
        <f t="shared" si="0"/>
        <v>0</v>
      </c>
      <c r="G44" s="17">
        <f t="shared" si="1"/>
        <v>44.9499</v>
      </c>
      <c r="H44" s="17">
        <f t="shared" si="2"/>
        <v>26.319900000000001</v>
      </c>
      <c r="J44">
        <f t="shared" si="3"/>
        <v>1922</v>
      </c>
      <c r="K44" s="17">
        <f t="shared" si="4"/>
        <v>44.9499</v>
      </c>
      <c r="L44" s="17">
        <f t="shared" si="5"/>
        <v>26.319900000000001</v>
      </c>
      <c r="M44" s="17">
        <f t="shared" si="6"/>
        <v>18.63</v>
      </c>
    </row>
    <row r="45" spans="1:13" x14ac:dyDescent="0.25">
      <c r="A45" s="2">
        <v>1923</v>
      </c>
      <c r="B45" s="17">
        <v>44.929200000000002</v>
      </c>
      <c r="C45" s="17">
        <v>26.2881</v>
      </c>
      <c r="F45" s="21">
        <f t="shared" si="0"/>
        <v>0</v>
      </c>
      <c r="G45" s="17">
        <f t="shared" si="1"/>
        <v>44.929200000000002</v>
      </c>
      <c r="H45" s="17">
        <f t="shared" si="2"/>
        <v>26.2881</v>
      </c>
      <c r="J45">
        <f t="shared" si="3"/>
        <v>1923</v>
      </c>
      <c r="K45" s="17">
        <f t="shared" si="4"/>
        <v>44.929200000000002</v>
      </c>
      <c r="L45" s="17">
        <f t="shared" si="5"/>
        <v>26.2881</v>
      </c>
      <c r="M45" s="17">
        <f t="shared" si="6"/>
        <v>18.641100000000002</v>
      </c>
    </row>
    <row r="46" spans="1:13" x14ac:dyDescent="0.25">
      <c r="A46" s="2">
        <v>1924</v>
      </c>
      <c r="B46" s="17">
        <v>44.910400000000003</v>
      </c>
      <c r="C46" s="17">
        <v>26.258800000000001</v>
      </c>
      <c r="F46" s="21">
        <f t="shared" si="0"/>
        <v>0</v>
      </c>
      <c r="G46" s="17">
        <f t="shared" si="1"/>
        <v>44.910400000000003</v>
      </c>
      <c r="H46" s="17">
        <f t="shared" si="2"/>
        <v>26.258800000000001</v>
      </c>
      <c r="J46">
        <f t="shared" si="3"/>
        <v>1924</v>
      </c>
      <c r="K46" s="17">
        <f t="shared" si="4"/>
        <v>44.910400000000003</v>
      </c>
      <c r="L46" s="17">
        <f t="shared" si="5"/>
        <v>26.258800000000001</v>
      </c>
      <c r="M46" s="17">
        <f t="shared" si="6"/>
        <v>18.651600000000002</v>
      </c>
    </row>
    <row r="47" spans="1:13" x14ac:dyDescent="0.25">
      <c r="A47" s="2">
        <v>1925</v>
      </c>
      <c r="B47" s="17">
        <v>44.892899999999997</v>
      </c>
      <c r="C47" s="17">
        <v>26.229500000000002</v>
      </c>
      <c r="F47" s="21">
        <f t="shared" si="0"/>
        <v>0</v>
      </c>
      <c r="G47" s="17">
        <f t="shared" si="1"/>
        <v>44.892899999999997</v>
      </c>
      <c r="H47" s="17">
        <f t="shared" si="2"/>
        <v>26.229500000000002</v>
      </c>
      <c r="J47">
        <f t="shared" si="3"/>
        <v>1925</v>
      </c>
      <c r="K47" s="17">
        <f t="shared" si="4"/>
        <v>44.892899999999997</v>
      </c>
      <c r="L47" s="17">
        <f t="shared" si="5"/>
        <v>26.229500000000002</v>
      </c>
      <c r="M47" s="17">
        <f t="shared" si="6"/>
        <v>18.663399999999996</v>
      </c>
    </row>
    <row r="48" spans="1:13" x14ac:dyDescent="0.25">
      <c r="A48" s="2">
        <v>1926</v>
      </c>
      <c r="B48" s="17">
        <v>44.875900000000001</v>
      </c>
      <c r="C48" s="17">
        <v>26.197800000000001</v>
      </c>
      <c r="F48" s="21">
        <f t="shared" si="0"/>
        <v>0</v>
      </c>
      <c r="G48" s="17">
        <f t="shared" si="1"/>
        <v>44.875900000000001</v>
      </c>
      <c r="H48" s="17">
        <f t="shared" si="2"/>
        <v>26.197800000000001</v>
      </c>
      <c r="J48">
        <f t="shared" si="3"/>
        <v>1926</v>
      </c>
      <c r="K48" s="17">
        <f t="shared" si="4"/>
        <v>44.875900000000001</v>
      </c>
      <c r="L48" s="17">
        <f t="shared" si="5"/>
        <v>26.197800000000001</v>
      </c>
      <c r="M48" s="17">
        <f t="shared" si="6"/>
        <v>18.678100000000001</v>
      </c>
    </row>
    <row r="49" spans="1:13" x14ac:dyDescent="0.25">
      <c r="A49" s="2">
        <v>1927</v>
      </c>
      <c r="B49" s="17">
        <v>44.858800000000002</v>
      </c>
      <c r="C49" s="17">
        <v>26.1614</v>
      </c>
      <c r="F49" s="21">
        <f t="shared" si="0"/>
        <v>0</v>
      </c>
      <c r="G49" s="17">
        <f t="shared" si="1"/>
        <v>44.858800000000002</v>
      </c>
      <c r="H49" s="17">
        <f t="shared" si="2"/>
        <v>26.1614</v>
      </c>
      <c r="J49">
        <f t="shared" si="3"/>
        <v>1927</v>
      </c>
      <c r="K49" s="17">
        <f t="shared" si="4"/>
        <v>44.858800000000002</v>
      </c>
      <c r="L49" s="17">
        <f t="shared" si="5"/>
        <v>26.1614</v>
      </c>
      <c r="M49" s="17">
        <f t="shared" si="6"/>
        <v>18.697400000000002</v>
      </c>
    </row>
    <row r="50" spans="1:13" x14ac:dyDescent="0.25">
      <c r="A50" s="2">
        <v>1928</v>
      </c>
      <c r="B50" s="17">
        <v>44.840899999999998</v>
      </c>
      <c r="C50" s="17">
        <v>26.117899999999999</v>
      </c>
      <c r="F50" s="21">
        <f t="shared" si="0"/>
        <v>0</v>
      </c>
      <c r="G50" s="17">
        <f t="shared" si="1"/>
        <v>44.840899999999998</v>
      </c>
      <c r="H50" s="17">
        <f t="shared" si="2"/>
        <v>26.117899999999999</v>
      </c>
      <c r="J50">
        <f t="shared" si="3"/>
        <v>1928</v>
      </c>
      <c r="K50" s="17">
        <f t="shared" si="4"/>
        <v>44.840899999999998</v>
      </c>
      <c r="L50" s="17">
        <f t="shared" si="5"/>
        <v>26.117899999999999</v>
      </c>
      <c r="M50" s="17">
        <f t="shared" si="6"/>
        <v>18.722999999999999</v>
      </c>
    </row>
    <row r="51" spans="1:13" x14ac:dyDescent="0.25">
      <c r="A51" s="2">
        <v>1929</v>
      </c>
      <c r="B51" s="17">
        <v>44.8215</v>
      </c>
      <c r="C51" s="17">
        <v>26.064900000000002</v>
      </c>
      <c r="F51" s="21">
        <f t="shared" si="0"/>
        <v>0</v>
      </c>
      <c r="G51" s="17">
        <f t="shared" si="1"/>
        <v>44.8215</v>
      </c>
      <c r="H51" s="17">
        <f t="shared" si="2"/>
        <v>26.064900000000002</v>
      </c>
      <c r="J51">
        <f t="shared" si="3"/>
        <v>1929</v>
      </c>
      <c r="K51" s="17">
        <f t="shared" si="4"/>
        <v>44.8215</v>
      </c>
      <c r="L51" s="17">
        <f t="shared" si="5"/>
        <v>26.064900000000002</v>
      </c>
      <c r="M51" s="17">
        <f t="shared" si="6"/>
        <v>18.756599999999999</v>
      </c>
    </row>
    <row r="52" spans="1:13" x14ac:dyDescent="0.25">
      <c r="A52" s="2">
        <v>1930</v>
      </c>
      <c r="B52" s="17">
        <v>44.8</v>
      </c>
      <c r="C52" s="17">
        <v>26</v>
      </c>
      <c r="F52" s="21">
        <f t="shared" si="0"/>
        <v>0</v>
      </c>
      <c r="G52" s="17">
        <f t="shared" si="1"/>
        <v>44.8</v>
      </c>
      <c r="H52" s="17">
        <f t="shared" si="2"/>
        <v>26</v>
      </c>
      <c r="J52">
        <f t="shared" si="3"/>
        <v>1930</v>
      </c>
      <c r="K52" s="17">
        <f t="shared" si="4"/>
        <v>44.8</v>
      </c>
      <c r="L52" s="17">
        <f t="shared" si="5"/>
        <v>26</v>
      </c>
      <c r="M52" s="17">
        <f t="shared" si="6"/>
        <v>18.799999999999997</v>
      </c>
    </row>
    <row r="53" spans="1:13" x14ac:dyDescent="0.25">
      <c r="A53" s="2">
        <v>1931</v>
      </c>
      <c r="B53" s="17">
        <v>44.777700000000003</v>
      </c>
      <c r="C53" s="17">
        <v>25.900700000000001</v>
      </c>
      <c r="F53" s="21">
        <f t="shared" si="0"/>
        <v>0</v>
      </c>
      <c r="G53" s="17">
        <f t="shared" si="1"/>
        <v>44.777700000000003</v>
      </c>
      <c r="H53" s="17">
        <f t="shared" si="2"/>
        <v>25.900700000000001</v>
      </c>
      <c r="J53">
        <f t="shared" si="3"/>
        <v>1931</v>
      </c>
      <c r="K53" s="17">
        <f t="shared" si="4"/>
        <v>44.777700000000003</v>
      </c>
      <c r="L53" s="17">
        <f t="shared" si="5"/>
        <v>25.900700000000001</v>
      </c>
      <c r="M53" s="17">
        <f t="shared" si="6"/>
        <v>18.877000000000002</v>
      </c>
    </row>
    <row r="54" spans="1:13" x14ac:dyDescent="0.25">
      <c r="A54" s="2">
        <v>1932</v>
      </c>
      <c r="B54" s="17">
        <v>44.756300000000003</v>
      </c>
      <c r="C54" s="17">
        <v>25.748899999999999</v>
      </c>
      <c r="F54" s="21">
        <f t="shared" si="0"/>
        <v>0</v>
      </c>
      <c r="G54" s="17">
        <f t="shared" si="1"/>
        <v>44.756300000000003</v>
      </c>
      <c r="H54" s="17">
        <f t="shared" si="2"/>
        <v>25.748899999999999</v>
      </c>
      <c r="J54">
        <f t="shared" si="3"/>
        <v>1932</v>
      </c>
      <c r="K54" s="17">
        <f t="shared" si="4"/>
        <v>44.756300000000003</v>
      </c>
      <c r="L54" s="17">
        <f t="shared" si="5"/>
        <v>25.748899999999999</v>
      </c>
      <c r="M54" s="17">
        <f t="shared" si="6"/>
        <v>19.007400000000004</v>
      </c>
    </row>
    <row r="55" spans="1:13" x14ac:dyDescent="0.25">
      <c r="A55" s="2">
        <v>1933</v>
      </c>
      <c r="B55" s="17">
        <v>44.735500000000002</v>
      </c>
      <c r="C55" s="17">
        <v>25.5487</v>
      </c>
      <c r="F55" s="21">
        <f t="shared" si="0"/>
        <v>0</v>
      </c>
      <c r="G55" s="17">
        <f t="shared" si="1"/>
        <v>44.735500000000002</v>
      </c>
      <c r="H55" s="17">
        <f t="shared" si="2"/>
        <v>25.5487</v>
      </c>
      <c r="J55">
        <f t="shared" si="3"/>
        <v>1933</v>
      </c>
      <c r="K55" s="17">
        <f t="shared" si="4"/>
        <v>44.735500000000002</v>
      </c>
      <c r="L55" s="17">
        <f t="shared" si="5"/>
        <v>25.5487</v>
      </c>
      <c r="M55" s="17">
        <f t="shared" si="6"/>
        <v>19.186800000000002</v>
      </c>
    </row>
    <row r="56" spans="1:13" x14ac:dyDescent="0.25">
      <c r="A56" s="2">
        <v>1934</v>
      </c>
      <c r="B56" s="17">
        <v>44.714799999999997</v>
      </c>
      <c r="C56" s="17">
        <v>25.304300000000001</v>
      </c>
      <c r="F56" s="21">
        <f t="shared" si="0"/>
        <v>0</v>
      </c>
      <c r="G56" s="17">
        <f t="shared" si="1"/>
        <v>44.714799999999997</v>
      </c>
      <c r="H56" s="17">
        <f t="shared" si="2"/>
        <v>25.304300000000001</v>
      </c>
      <c r="J56">
        <f t="shared" si="3"/>
        <v>1934</v>
      </c>
      <c r="K56" s="17">
        <f t="shared" si="4"/>
        <v>44.714799999999997</v>
      </c>
      <c r="L56" s="17">
        <f t="shared" si="5"/>
        <v>25.304300000000001</v>
      </c>
      <c r="M56" s="17">
        <f t="shared" si="6"/>
        <v>19.410499999999995</v>
      </c>
    </row>
    <row r="57" spans="1:13" x14ac:dyDescent="0.25">
      <c r="A57" s="2">
        <v>1935</v>
      </c>
      <c r="B57" s="17">
        <v>44.694000000000003</v>
      </c>
      <c r="C57" s="17">
        <v>25.0199</v>
      </c>
      <c r="F57" s="21">
        <f t="shared" si="0"/>
        <v>0</v>
      </c>
      <c r="G57" s="17">
        <f t="shared" si="1"/>
        <v>44.694000000000003</v>
      </c>
      <c r="H57" s="17">
        <f t="shared" si="2"/>
        <v>25.0199</v>
      </c>
      <c r="J57">
        <f t="shared" si="3"/>
        <v>1935</v>
      </c>
      <c r="K57" s="17">
        <f t="shared" si="4"/>
        <v>44.694000000000003</v>
      </c>
      <c r="L57" s="17">
        <f t="shared" si="5"/>
        <v>25.0199</v>
      </c>
      <c r="M57" s="17">
        <f t="shared" si="6"/>
        <v>19.674100000000003</v>
      </c>
    </row>
    <row r="58" spans="1:13" x14ac:dyDescent="0.25">
      <c r="A58" s="2">
        <v>1936</v>
      </c>
      <c r="B58" s="17">
        <v>44.672699999999999</v>
      </c>
      <c r="C58" s="17">
        <v>24.6998</v>
      </c>
      <c r="F58" s="21">
        <f t="shared" si="0"/>
        <v>0</v>
      </c>
      <c r="G58" s="17">
        <f t="shared" si="1"/>
        <v>44.672699999999999</v>
      </c>
      <c r="H58" s="17">
        <f t="shared" si="2"/>
        <v>24.6998</v>
      </c>
      <c r="J58">
        <f t="shared" si="3"/>
        <v>1936</v>
      </c>
      <c r="K58" s="17">
        <f t="shared" si="4"/>
        <v>44.672699999999999</v>
      </c>
      <c r="L58" s="17">
        <f t="shared" si="5"/>
        <v>24.6998</v>
      </c>
      <c r="M58" s="17">
        <f t="shared" si="6"/>
        <v>19.972899999999999</v>
      </c>
    </row>
    <row r="59" spans="1:13" x14ac:dyDescent="0.25">
      <c r="A59" s="2">
        <v>1937</v>
      </c>
      <c r="B59" s="17">
        <v>44.650500000000001</v>
      </c>
      <c r="C59" s="17">
        <v>24.347999999999999</v>
      </c>
      <c r="F59" s="21">
        <f t="shared" si="0"/>
        <v>0</v>
      </c>
      <c r="G59" s="17">
        <f t="shared" si="1"/>
        <v>44.650500000000001</v>
      </c>
      <c r="H59" s="17">
        <f t="shared" si="2"/>
        <v>24.347999999999999</v>
      </c>
      <c r="J59">
        <f t="shared" si="3"/>
        <v>1937</v>
      </c>
      <c r="K59" s="17">
        <f t="shared" si="4"/>
        <v>44.650500000000001</v>
      </c>
      <c r="L59" s="17">
        <f t="shared" si="5"/>
        <v>24.347999999999999</v>
      </c>
      <c r="M59" s="17">
        <f t="shared" si="6"/>
        <v>20.302500000000002</v>
      </c>
    </row>
    <row r="60" spans="1:13" x14ac:dyDescent="0.25">
      <c r="A60" s="2">
        <v>1938</v>
      </c>
      <c r="B60" s="17">
        <v>44.627099999999999</v>
      </c>
      <c r="C60" s="17">
        <v>23.968800000000002</v>
      </c>
      <c r="F60" s="21">
        <f t="shared" si="0"/>
        <v>0</v>
      </c>
      <c r="G60" s="17">
        <f t="shared" si="1"/>
        <v>44.627099999999999</v>
      </c>
      <c r="H60" s="17">
        <f t="shared" si="2"/>
        <v>23.968800000000002</v>
      </c>
      <c r="J60">
        <f t="shared" si="3"/>
        <v>1938</v>
      </c>
      <c r="K60" s="17">
        <f t="shared" si="4"/>
        <v>44.627099999999999</v>
      </c>
      <c r="L60" s="17">
        <f t="shared" si="5"/>
        <v>23.968800000000002</v>
      </c>
      <c r="M60" s="17">
        <f t="shared" si="6"/>
        <v>20.658299999999997</v>
      </c>
    </row>
    <row r="61" spans="1:13" x14ac:dyDescent="0.25">
      <c r="A61" s="2">
        <v>1939</v>
      </c>
      <c r="B61" s="17">
        <v>44.6021</v>
      </c>
      <c r="C61" s="17">
        <v>23.566500000000001</v>
      </c>
      <c r="F61" s="21">
        <f t="shared" si="0"/>
        <v>0</v>
      </c>
      <c r="G61" s="17">
        <f t="shared" si="1"/>
        <v>44.6021</v>
      </c>
      <c r="H61" s="17">
        <f t="shared" si="2"/>
        <v>23.566500000000001</v>
      </c>
      <c r="J61">
        <f t="shared" si="3"/>
        <v>1939</v>
      </c>
      <c r="K61" s="17">
        <f t="shared" si="4"/>
        <v>44.6021</v>
      </c>
      <c r="L61" s="17">
        <f t="shared" si="5"/>
        <v>23.566500000000001</v>
      </c>
      <c r="M61" s="17">
        <f t="shared" si="6"/>
        <v>21.035599999999999</v>
      </c>
    </row>
    <row r="62" spans="1:13" x14ac:dyDescent="0.25">
      <c r="A62" s="2">
        <v>1940</v>
      </c>
      <c r="B62" s="17">
        <v>44.575299999999999</v>
      </c>
      <c r="C62" s="17">
        <v>23.145099999999999</v>
      </c>
      <c r="F62" s="21">
        <f t="shared" si="0"/>
        <v>0</v>
      </c>
      <c r="G62" s="17">
        <f t="shared" si="1"/>
        <v>44.575299999999999</v>
      </c>
      <c r="H62" s="17">
        <f t="shared" si="2"/>
        <v>23.145099999999999</v>
      </c>
      <c r="J62">
        <f t="shared" si="3"/>
        <v>1940</v>
      </c>
      <c r="K62" s="17">
        <f t="shared" si="4"/>
        <v>44.575299999999999</v>
      </c>
      <c r="L62" s="17">
        <f t="shared" si="5"/>
        <v>23.145099999999999</v>
      </c>
      <c r="M62" s="17">
        <f t="shared" si="6"/>
        <v>21.430199999999999</v>
      </c>
    </row>
    <row r="63" spans="1:13" x14ac:dyDescent="0.25">
      <c r="A63" s="2">
        <v>1941</v>
      </c>
      <c r="B63" s="17">
        <v>44.546199999999999</v>
      </c>
      <c r="C63" s="17">
        <v>22.7089</v>
      </c>
      <c r="F63" s="21">
        <f t="shared" si="0"/>
        <v>0</v>
      </c>
      <c r="G63" s="17">
        <f t="shared" si="1"/>
        <v>44.546199999999999</v>
      </c>
      <c r="H63" s="17">
        <f t="shared" si="2"/>
        <v>22.7089</v>
      </c>
      <c r="J63">
        <f t="shared" si="3"/>
        <v>1941</v>
      </c>
      <c r="K63" s="17">
        <f t="shared" si="4"/>
        <v>44.546199999999999</v>
      </c>
      <c r="L63" s="17">
        <f t="shared" si="5"/>
        <v>22.7089</v>
      </c>
      <c r="M63" s="17">
        <f t="shared" si="6"/>
        <v>21.837299999999999</v>
      </c>
    </row>
    <row r="64" spans="1:13" x14ac:dyDescent="0.25">
      <c r="A64" s="2">
        <v>1942</v>
      </c>
      <c r="B64" s="17">
        <v>44.514400000000002</v>
      </c>
      <c r="C64" s="17">
        <v>22.2621</v>
      </c>
      <c r="F64" s="21">
        <f t="shared" si="0"/>
        <v>0</v>
      </c>
      <c r="G64" s="17">
        <f t="shared" si="1"/>
        <v>44.514400000000002</v>
      </c>
      <c r="H64" s="17">
        <f t="shared" si="2"/>
        <v>22.2621</v>
      </c>
      <c r="J64">
        <f t="shared" si="3"/>
        <v>1942</v>
      </c>
      <c r="K64" s="17">
        <f t="shared" si="4"/>
        <v>44.514400000000002</v>
      </c>
      <c r="L64" s="17">
        <f t="shared" si="5"/>
        <v>22.2621</v>
      </c>
      <c r="M64" s="17">
        <f t="shared" si="6"/>
        <v>22.252300000000002</v>
      </c>
    </row>
    <row r="65" spans="1:13" x14ac:dyDescent="0.25">
      <c r="A65" s="2">
        <v>1943</v>
      </c>
      <c r="B65" s="17">
        <v>44.479700000000001</v>
      </c>
      <c r="C65" s="17">
        <v>21.808900000000001</v>
      </c>
      <c r="F65" s="21">
        <f t="shared" si="0"/>
        <v>0</v>
      </c>
      <c r="G65" s="17">
        <f t="shared" si="1"/>
        <v>44.479700000000001</v>
      </c>
      <c r="H65" s="17">
        <f t="shared" si="2"/>
        <v>21.808900000000001</v>
      </c>
      <c r="J65">
        <f t="shared" si="3"/>
        <v>1943</v>
      </c>
      <c r="K65" s="17">
        <f t="shared" si="4"/>
        <v>44.479700000000001</v>
      </c>
      <c r="L65" s="17">
        <f t="shared" si="5"/>
        <v>21.808900000000001</v>
      </c>
      <c r="M65" s="17">
        <f t="shared" si="6"/>
        <v>22.6708</v>
      </c>
    </row>
    <row r="66" spans="1:13" x14ac:dyDescent="0.25">
      <c r="A66" s="2">
        <v>1944</v>
      </c>
      <c r="B66" s="17">
        <v>44.441699999999997</v>
      </c>
      <c r="C66" s="17">
        <v>21.3535</v>
      </c>
      <c r="F66" s="21">
        <f t="shared" si="0"/>
        <v>0</v>
      </c>
      <c r="G66" s="17">
        <f t="shared" si="1"/>
        <v>44.441699999999997</v>
      </c>
      <c r="H66" s="17">
        <f t="shared" si="2"/>
        <v>21.3535</v>
      </c>
      <c r="J66">
        <f t="shared" si="3"/>
        <v>1944</v>
      </c>
      <c r="K66" s="17">
        <f t="shared" si="4"/>
        <v>44.441699999999997</v>
      </c>
      <c r="L66" s="17">
        <f t="shared" si="5"/>
        <v>21.3535</v>
      </c>
      <c r="M66" s="17">
        <f t="shared" si="6"/>
        <v>23.088199999999997</v>
      </c>
    </row>
    <row r="67" spans="1:13" x14ac:dyDescent="0.25">
      <c r="A67" s="2">
        <v>1945</v>
      </c>
      <c r="B67" s="17">
        <v>44.4</v>
      </c>
      <c r="C67" s="17">
        <v>20.9</v>
      </c>
      <c r="F67" s="21">
        <f t="shared" si="0"/>
        <v>0</v>
      </c>
      <c r="G67" s="17">
        <f t="shared" si="1"/>
        <v>44.4</v>
      </c>
      <c r="H67" s="17">
        <f t="shared" si="2"/>
        <v>20.9</v>
      </c>
      <c r="J67">
        <f t="shared" si="3"/>
        <v>1945</v>
      </c>
      <c r="K67" s="17">
        <f t="shared" si="4"/>
        <v>44.4</v>
      </c>
      <c r="L67" s="17">
        <f t="shared" si="5"/>
        <v>20.9</v>
      </c>
      <c r="M67" s="17">
        <f t="shared" si="6"/>
        <v>23.5</v>
      </c>
    </row>
    <row r="68" spans="1:13" x14ac:dyDescent="0.25">
      <c r="A68" s="2">
        <v>1946</v>
      </c>
      <c r="B68" s="17">
        <v>44.348100000000002</v>
      </c>
      <c r="C68" s="17">
        <v>20.3948</v>
      </c>
      <c r="F68" s="21">
        <f t="shared" ref="F68:F131" si="7">IF(A68&lt;1950,0,IF(A68&gt;1985,1,POWER((A68-1950)/35,3)*(10-15*((A68-1950)/35)+6*POWER((A68-1950)/35,2))))</f>
        <v>0</v>
      </c>
      <c r="G68" s="17">
        <f t="shared" ref="G68:G131" si="8">IF(A68&lt;1950,B68,IF(A68&gt;1985,D68,(1-$F68)*B68+$F68*D68))</f>
        <v>44.348100000000002</v>
      </c>
      <c r="H68" s="17">
        <f t="shared" ref="H68:H131" si="9">IF(A68&lt;1950,C68,IF(A68&gt;1985,E68,(1-$F68)*C68+$F68*E68))</f>
        <v>20.3948</v>
      </c>
      <c r="J68">
        <f t="shared" ref="J68:J131" si="10">A68</f>
        <v>1946</v>
      </c>
      <c r="K68" s="17">
        <f t="shared" ref="K68:K131" si="11">G68</f>
        <v>44.348100000000002</v>
      </c>
      <c r="L68" s="17">
        <f t="shared" ref="L68:L131" si="12">H68</f>
        <v>20.3948</v>
      </c>
      <c r="M68" s="17">
        <f t="shared" ref="M68:M131" si="13">K68-L68</f>
        <v>23.953300000000002</v>
      </c>
    </row>
    <row r="69" spans="1:13" x14ac:dyDescent="0.25">
      <c r="A69" s="2">
        <v>1947</v>
      </c>
      <c r="B69" s="17">
        <v>44.28</v>
      </c>
      <c r="C69" s="17">
        <v>19.7958</v>
      </c>
      <c r="F69" s="21">
        <f t="shared" si="7"/>
        <v>0</v>
      </c>
      <c r="G69" s="17">
        <f t="shared" si="8"/>
        <v>44.28</v>
      </c>
      <c r="H69" s="17">
        <f t="shared" si="9"/>
        <v>19.7958</v>
      </c>
      <c r="J69">
        <f t="shared" si="10"/>
        <v>1947</v>
      </c>
      <c r="K69" s="17">
        <f t="shared" si="11"/>
        <v>44.28</v>
      </c>
      <c r="L69" s="17">
        <f t="shared" si="12"/>
        <v>19.7958</v>
      </c>
      <c r="M69" s="17">
        <f t="shared" si="13"/>
        <v>24.484200000000001</v>
      </c>
    </row>
    <row r="70" spans="1:13" x14ac:dyDescent="0.25">
      <c r="A70" s="2">
        <v>1948</v>
      </c>
      <c r="B70" s="17">
        <v>44.195999999999998</v>
      </c>
      <c r="C70" s="17">
        <v>19.124300000000002</v>
      </c>
      <c r="F70" s="21">
        <f t="shared" si="7"/>
        <v>0</v>
      </c>
      <c r="G70" s="17">
        <f t="shared" si="8"/>
        <v>44.195999999999998</v>
      </c>
      <c r="H70" s="17">
        <f t="shared" si="9"/>
        <v>19.124300000000002</v>
      </c>
      <c r="J70">
        <f t="shared" si="10"/>
        <v>1948</v>
      </c>
      <c r="K70" s="17">
        <f t="shared" si="11"/>
        <v>44.195999999999998</v>
      </c>
      <c r="L70" s="17">
        <f t="shared" si="12"/>
        <v>19.124300000000002</v>
      </c>
      <c r="M70" s="17">
        <f t="shared" si="13"/>
        <v>25.071699999999996</v>
      </c>
    </row>
    <row r="71" spans="1:13" x14ac:dyDescent="0.25">
      <c r="A71" s="2">
        <v>1949</v>
      </c>
      <c r="B71" s="17">
        <v>44.096699999999998</v>
      </c>
      <c r="C71" s="17">
        <v>18.402000000000001</v>
      </c>
      <c r="F71" s="21">
        <f t="shared" si="7"/>
        <v>0</v>
      </c>
      <c r="G71" s="17">
        <f t="shared" si="8"/>
        <v>44.096699999999998</v>
      </c>
      <c r="H71" s="17">
        <f t="shared" si="9"/>
        <v>18.402000000000001</v>
      </c>
      <c r="J71">
        <f t="shared" si="10"/>
        <v>1949</v>
      </c>
      <c r="K71" s="17">
        <f t="shared" si="11"/>
        <v>44.096699999999998</v>
      </c>
      <c r="L71" s="17">
        <f t="shared" si="12"/>
        <v>18.402000000000001</v>
      </c>
      <c r="M71" s="17">
        <f t="shared" si="13"/>
        <v>25.694699999999997</v>
      </c>
    </row>
    <row r="72" spans="1:13" x14ac:dyDescent="0.25">
      <c r="A72" s="2">
        <v>1950</v>
      </c>
      <c r="B72" s="17">
        <v>43.982300000000002</v>
      </c>
      <c r="C72" s="17">
        <v>17.650099999999998</v>
      </c>
      <c r="D72" s="17">
        <v>46.4</v>
      </c>
      <c r="E72" s="17">
        <v>17</v>
      </c>
      <c r="F72" s="21">
        <f t="shared" si="7"/>
        <v>0</v>
      </c>
      <c r="G72" s="17">
        <f t="shared" si="8"/>
        <v>43.982300000000002</v>
      </c>
      <c r="H72" s="17">
        <f t="shared" si="9"/>
        <v>17.650099999999998</v>
      </c>
      <c r="J72">
        <f t="shared" si="10"/>
        <v>1950</v>
      </c>
      <c r="K72" s="17">
        <f t="shared" si="11"/>
        <v>43.982300000000002</v>
      </c>
      <c r="L72" s="17">
        <f t="shared" si="12"/>
        <v>17.650099999999998</v>
      </c>
      <c r="M72" s="17">
        <f t="shared" si="13"/>
        <v>26.332200000000004</v>
      </c>
    </row>
    <row r="73" spans="1:13" x14ac:dyDescent="0.25">
      <c r="A73" s="2">
        <v>1951</v>
      </c>
      <c r="B73" s="17">
        <v>43.853400000000001</v>
      </c>
      <c r="C73" s="17">
        <v>16.8902</v>
      </c>
      <c r="D73" s="17">
        <v>46.4</v>
      </c>
      <c r="E73" s="17">
        <v>16.7</v>
      </c>
      <c r="F73" s="21">
        <f t="shared" si="7"/>
        <v>2.2335455464984823E-4</v>
      </c>
      <c r="G73" s="17">
        <f t="shared" si="8"/>
        <v>43.853968794708869</v>
      </c>
      <c r="H73" s="17">
        <f t="shared" si="9"/>
        <v>16.890157517963704</v>
      </c>
      <c r="J73">
        <f t="shared" si="10"/>
        <v>1951</v>
      </c>
      <c r="K73" s="17">
        <f t="shared" si="11"/>
        <v>43.853968794708869</v>
      </c>
      <c r="L73" s="17">
        <f t="shared" si="12"/>
        <v>16.890157517963704</v>
      </c>
      <c r="M73" s="17">
        <f t="shared" si="13"/>
        <v>26.963811276745165</v>
      </c>
    </row>
    <row r="74" spans="1:13" x14ac:dyDescent="0.25">
      <c r="A74" s="2">
        <v>1952</v>
      </c>
      <c r="B74" s="17">
        <v>43.7102</v>
      </c>
      <c r="C74" s="17">
        <v>16.143799999999999</v>
      </c>
      <c r="D74" s="17">
        <v>46.3</v>
      </c>
      <c r="E74" s="17">
        <v>16.3</v>
      </c>
      <c r="F74" s="21">
        <f t="shared" si="7"/>
        <v>1.7096114714107214E-3</v>
      </c>
      <c r="G74" s="17">
        <f t="shared" si="8"/>
        <v>43.714627551788659</v>
      </c>
      <c r="H74" s="17">
        <f t="shared" si="9"/>
        <v>16.144067041311835</v>
      </c>
      <c r="J74">
        <f t="shared" si="10"/>
        <v>1952</v>
      </c>
      <c r="K74" s="17">
        <f t="shared" si="11"/>
        <v>43.714627551788659</v>
      </c>
      <c r="L74" s="17">
        <f t="shared" si="12"/>
        <v>16.144067041311835</v>
      </c>
      <c r="M74" s="17">
        <f t="shared" si="13"/>
        <v>27.570560510476824</v>
      </c>
    </row>
    <row r="75" spans="1:13" x14ac:dyDescent="0.25">
      <c r="A75" s="2">
        <v>1953</v>
      </c>
      <c r="B75" s="17">
        <v>43.553400000000003</v>
      </c>
      <c r="C75" s="17">
        <v>15.432399999999999</v>
      </c>
      <c r="D75" s="17">
        <v>46.1</v>
      </c>
      <c r="E75" s="17">
        <v>16</v>
      </c>
      <c r="F75" s="21">
        <f t="shared" si="7"/>
        <v>5.5154733146903067E-3</v>
      </c>
      <c r="G75" s="17">
        <f t="shared" si="8"/>
        <v>43.567445704343193</v>
      </c>
      <c r="H75" s="17">
        <f t="shared" si="9"/>
        <v>15.435530582653417</v>
      </c>
      <c r="J75">
        <f t="shared" si="10"/>
        <v>1953</v>
      </c>
      <c r="K75" s="17">
        <f t="shared" si="11"/>
        <v>43.567445704343193</v>
      </c>
      <c r="L75" s="17">
        <f t="shared" si="12"/>
        <v>15.435530582653417</v>
      </c>
      <c r="M75" s="17">
        <f t="shared" si="13"/>
        <v>28.131915121689776</v>
      </c>
    </row>
    <row r="76" spans="1:13" x14ac:dyDescent="0.25">
      <c r="A76" s="2">
        <v>1954</v>
      </c>
      <c r="B76" s="17">
        <v>43.383099999999999</v>
      </c>
      <c r="C76" s="17">
        <v>14.7773</v>
      </c>
      <c r="D76" s="17">
        <v>45.9</v>
      </c>
      <c r="E76" s="17">
        <v>15.6</v>
      </c>
      <c r="F76" s="21">
        <f t="shared" si="7"/>
        <v>1.2485159754864044E-2</v>
      </c>
      <c r="G76" s="17">
        <f t="shared" si="8"/>
        <v>43.414523898587021</v>
      </c>
      <c r="H76" s="17">
        <f t="shared" si="9"/>
        <v>14.787571540930326</v>
      </c>
      <c r="J76">
        <f t="shared" si="10"/>
        <v>1954</v>
      </c>
      <c r="K76" s="17">
        <f t="shared" si="11"/>
        <v>43.414523898587021</v>
      </c>
      <c r="L76" s="17">
        <f t="shared" si="12"/>
        <v>14.787571540930326</v>
      </c>
      <c r="M76" s="17">
        <f t="shared" si="13"/>
        <v>28.626952357656695</v>
      </c>
    </row>
    <row r="77" spans="1:13" x14ac:dyDescent="0.25">
      <c r="A77" s="2">
        <v>1955</v>
      </c>
      <c r="B77" s="17">
        <v>43.2</v>
      </c>
      <c r="C77" s="17">
        <v>14.2</v>
      </c>
      <c r="D77" s="17">
        <v>45.7</v>
      </c>
      <c r="E77" s="17">
        <v>15.3</v>
      </c>
      <c r="F77" s="21">
        <f t="shared" si="7"/>
        <v>2.3264116142083652E-2</v>
      </c>
      <c r="G77" s="17">
        <f t="shared" si="8"/>
        <v>43.258160290355214</v>
      </c>
      <c r="H77" s="17">
        <f t="shared" si="9"/>
        <v>14.225590527756291</v>
      </c>
      <c r="J77">
        <f t="shared" si="10"/>
        <v>1955</v>
      </c>
      <c r="K77" s="17">
        <f t="shared" si="11"/>
        <v>43.258160290355214</v>
      </c>
      <c r="L77" s="17">
        <f t="shared" si="12"/>
        <v>14.225590527756291</v>
      </c>
      <c r="M77" s="17">
        <f t="shared" si="13"/>
        <v>29.032569762598925</v>
      </c>
    </row>
    <row r="78" spans="1:13" x14ac:dyDescent="0.25">
      <c r="A78" s="2">
        <v>1956</v>
      </c>
      <c r="B78" s="17">
        <v>42.960999999999999</v>
      </c>
      <c r="C78" s="17">
        <v>13.6546</v>
      </c>
      <c r="D78" s="17">
        <v>45.4</v>
      </c>
      <c r="E78" s="17">
        <v>14.9</v>
      </c>
      <c r="F78" s="21">
        <f t="shared" si="7"/>
        <v>3.8312722080085682E-2</v>
      </c>
      <c r="G78" s="17">
        <f t="shared" si="8"/>
        <v>43.054444729153332</v>
      </c>
      <c r="H78" s="17">
        <f t="shared" si="9"/>
        <v>13.702314664078541</v>
      </c>
      <c r="J78">
        <f t="shared" si="10"/>
        <v>1956</v>
      </c>
      <c r="K78" s="17">
        <f t="shared" si="11"/>
        <v>43.054444729153332</v>
      </c>
      <c r="L78" s="17">
        <f t="shared" si="12"/>
        <v>13.702314664078541</v>
      </c>
      <c r="M78" s="17">
        <f t="shared" si="13"/>
        <v>29.352130065074789</v>
      </c>
    </row>
    <row r="79" spans="1:13" x14ac:dyDescent="0.25">
      <c r="A79" s="2">
        <v>1957</v>
      </c>
      <c r="B79" s="17">
        <v>42.633499999999998</v>
      </c>
      <c r="C79" s="17">
        <v>13.091200000000001</v>
      </c>
      <c r="D79" s="17">
        <v>45.1</v>
      </c>
      <c r="E79" s="17">
        <v>14.6</v>
      </c>
      <c r="F79" s="21">
        <f t="shared" si="7"/>
        <v>5.7920000000000013E-2</v>
      </c>
      <c r="G79" s="17">
        <f t="shared" si="8"/>
        <v>42.776359679999999</v>
      </c>
      <c r="H79" s="17">
        <f t="shared" si="9"/>
        <v>13.178589696000001</v>
      </c>
      <c r="J79">
        <f t="shared" si="10"/>
        <v>1957</v>
      </c>
      <c r="K79" s="17">
        <f t="shared" si="11"/>
        <v>42.776359679999999</v>
      </c>
      <c r="L79" s="17">
        <f t="shared" si="12"/>
        <v>13.178589696000001</v>
      </c>
      <c r="M79" s="17">
        <f t="shared" si="13"/>
        <v>29.597769983999996</v>
      </c>
    </row>
    <row r="80" spans="1:13" x14ac:dyDescent="0.25">
      <c r="A80" s="2">
        <v>1958</v>
      </c>
      <c r="B80" s="17">
        <v>42.232999999999997</v>
      </c>
      <c r="C80" s="17">
        <v>12.5253</v>
      </c>
      <c r="D80" s="17">
        <v>44.8</v>
      </c>
      <c r="E80" s="17">
        <v>14.3</v>
      </c>
      <c r="F80" s="21">
        <f t="shared" si="7"/>
        <v>8.2217323734158382E-2</v>
      </c>
      <c r="G80" s="17">
        <f t="shared" si="8"/>
        <v>42.444051870025582</v>
      </c>
      <c r="H80" s="17">
        <f t="shared" si="9"/>
        <v>12.671211084431011</v>
      </c>
      <c r="J80">
        <f t="shared" si="10"/>
        <v>1958</v>
      </c>
      <c r="K80" s="17">
        <f t="shared" si="11"/>
        <v>42.444051870025582</v>
      </c>
      <c r="L80" s="17">
        <f t="shared" si="12"/>
        <v>12.671211084431011</v>
      </c>
      <c r="M80" s="17">
        <f t="shared" si="13"/>
        <v>29.772840785594571</v>
      </c>
    </row>
    <row r="81" spans="1:13" x14ac:dyDescent="0.25">
      <c r="A81" s="2">
        <v>1959</v>
      </c>
      <c r="B81" s="17">
        <v>41.775199999999998</v>
      </c>
      <c r="C81" s="17">
        <v>11.9725</v>
      </c>
      <c r="D81" s="17">
        <v>44.4</v>
      </c>
      <c r="E81" s="17">
        <v>13.9</v>
      </c>
      <c r="F81" s="21">
        <f t="shared" si="7"/>
        <v>0.111192127089903</v>
      </c>
      <c r="G81" s="17">
        <f t="shared" si="8"/>
        <v>42.067057095185575</v>
      </c>
      <c r="H81" s="17">
        <f t="shared" si="9"/>
        <v>12.186822824965788</v>
      </c>
      <c r="J81">
        <f t="shared" si="10"/>
        <v>1959</v>
      </c>
      <c r="K81" s="17">
        <f t="shared" si="11"/>
        <v>42.067057095185575</v>
      </c>
      <c r="L81" s="17">
        <f t="shared" si="12"/>
        <v>12.186822824965788</v>
      </c>
      <c r="M81" s="17">
        <f t="shared" si="13"/>
        <v>29.880234270219788</v>
      </c>
    </row>
    <row r="82" spans="1:13" x14ac:dyDescent="0.25">
      <c r="A82" s="2">
        <v>1960</v>
      </c>
      <c r="B82" s="17">
        <v>41.275700000000001</v>
      </c>
      <c r="C82" s="17">
        <v>11.4483</v>
      </c>
      <c r="D82" s="17">
        <v>43.9</v>
      </c>
      <c r="E82" s="17">
        <v>13.6</v>
      </c>
      <c r="F82" s="21">
        <f t="shared" si="7"/>
        <v>0.14470161242339499</v>
      </c>
      <c r="G82" s="17">
        <f t="shared" si="8"/>
        <v>41.655440441482718</v>
      </c>
      <c r="H82" s="17">
        <f t="shared" si="9"/>
        <v>11.75965445945142</v>
      </c>
      <c r="J82">
        <f t="shared" si="10"/>
        <v>1960</v>
      </c>
      <c r="K82" s="17">
        <f t="shared" si="11"/>
        <v>41.655440441482718</v>
      </c>
      <c r="L82" s="17">
        <f t="shared" si="12"/>
        <v>11.75965445945142</v>
      </c>
      <c r="M82" s="17">
        <f t="shared" si="13"/>
        <v>29.895785982031299</v>
      </c>
    </row>
    <row r="83" spans="1:13" x14ac:dyDescent="0.25">
      <c r="A83" s="2">
        <v>1961</v>
      </c>
      <c r="B83" s="17">
        <v>40.750100000000003</v>
      </c>
      <c r="C83" s="17">
        <v>10.9682</v>
      </c>
      <c r="D83" s="17">
        <v>43.3</v>
      </c>
      <c r="E83" s="17">
        <v>13.3</v>
      </c>
      <c r="F83" s="21">
        <f t="shared" si="7"/>
        <v>0.18248645921342296</v>
      </c>
      <c r="G83" s="17">
        <f t="shared" si="8"/>
        <v>41.215422222348309</v>
      </c>
      <c r="H83" s="17">
        <f t="shared" si="9"/>
        <v>11.393721925593859</v>
      </c>
      <c r="J83">
        <f t="shared" si="10"/>
        <v>1961</v>
      </c>
      <c r="K83" s="17">
        <f t="shared" si="11"/>
        <v>41.215422222348309</v>
      </c>
      <c r="L83" s="17">
        <f t="shared" si="12"/>
        <v>11.393721925593859</v>
      </c>
      <c r="M83" s="17">
        <f t="shared" si="13"/>
        <v>29.82170029675445</v>
      </c>
    </row>
    <row r="84" spans="1:13" x14ac:dyDescent="0.25">
      <c r="A84" s="2">
        <v>1962</v>
      </c>
      <c r="B84" s="17">
        <v>40.214100000000002</v>
      </c>
      <c r="C84" s="17">
        <v>10.547800000000001</v>
      </c>
      <c r="D84" s="17">
        <v>42.7</v>
      </c>
      <c r="E84" s="17">
        <v>12.9</v>
      </c>
      <c r="F84" s="21">
        <f t="shared" si="7"/>
        <v>0.22418453263521151</v>
      </c>
      <c r="G84" s="17">
        <f t="shared" si="8"/>
        <v>40.771400329677874</v>
      </c>
      <c r="H84" s="17">
        <f t="shared" si="9"/>
        <v>11.075126857664545</v>
      </c>
      <c r="J84">
        <f t="shared" si="10"/>
        <v>1962</v>
      </c>
      <c r="K84" s="17">
        <f t="shared" si="11"/>
        <v>40.771400329677874</v>
      </c>
      <c r="L84" s="17">
        <f t="shared" si="12"/>
        <v>11.075126857664545</v>
      </c>
      <c r="M84" s="17">
        <f t="shared" si="13"/>
        <v>29.696273472013331</v>
      </c>
    </row>
    <row r="85" spans="1:13" x14ac:dyDescent="0.25">
      <c r="A85" s="2">
        <v>1963</v>
      </c>
      <c r="B85" s="17">
        <v>39.683399999999999</v>
      </c>
      <c r="C85" s="17">
        <v>10.2026</v>
      </c>
      <c r="D85" s="17">
        <v>42</v>
      </c>
      <c r="E85" s="17">
        <v>12.6</v>
      </c>
      <c r="F85" s="21">
        <f t="shared" si="7"/>
        <v>0.26934459213422984</v>
      </c>
      <c r="G85" s="17">
        <f t="shared" si="8"/>
        <v>40.307363682138153</v>
      </c>
      <c r="H85" s="17">
        <f t="shared" si="9"/>
        <v>10.848326725182602</v>
      </c>
      <c r="J85">
        <f t="shared" si="10"/>
        <v>1963</v>
      </c>
      <c r="K85" s="17">
        <f t="shared" si="11"/>
        <v>40.307363682138153</v>
      </c>
      <c r="L85" s="17">
        <f t="shared" si="12"/>
        <v>10.848326725182602</v>
      </c>
      <c r="M85" s="17">
        <f t="shared" si="13"/>
        <v>29.459036956955551</v>
      </c>
    </row>
    <row r="86" spans="1:13" x14ac:dyDescent="0.25">
      <c r="A86" s="2">
        <v>1964</v>
      </c>
      <c r="B86" s="17">
        <v>39.173400000000001</v>
      </c>
      <c r="C86" s="17">
        <v>9.9481000000000002</v>
      </c>
      <c r="D86" s="17">
        <v>41</v>
      </c>
      <c r="E86" s="17">
        <v>12.3</v>
      </c>
      <c r="F86" s="21">
        <f t="shared" si="7"/>
        <v>0.31744000000000006</v>
      </c>
      <c r="G86" s="17">
        <f t="shared" si="8"/>
        <v>39.753235904</v>
      </c>
      <c r="H86" s="17">
        <f t="shared" si="9"/>
        <v>10.694687136000001</v>
      </c>
      <c r="J86">
        <f t="shared" si="10"/>
        <v>1964</v>
      </c>
      <c r="K86" s="17">
        <f t="shared" si="11"/>
        <v>39.753235904</v>
      </c>
      <c r="L86" s="17">
        <f t="shared" si="12"/>
        <v>10.694687136000001</v>
      </c>
      <c r="M86" s="17">
        <f t="shared" si="13"/>
        <v>29.058548768000001</v>
      </c>
    </row>
    <row r="87" spans="1:13" x14ac:dyDescent="0.25">
      <c r="A87" s="2">
        <v>1965</v>
      </c>
      <c r="B87" s="17">
        <v>38.700000000000003</v>
      </c>
      <c r="C87" s="17">
        <v>9.8000000000000007</v>
      </c>
      <c r="D87" s="17">
        <v>39.799999999999997</v>
      </c>
      <c r="E87" s="17">
        <v>12</v>
      </c>
      <c r="F87" s="21">
        <f t="shared" si="7"/>
        <v>0.367882429939906</v>
      </c>
      <c r="G87" s="17">
        <f t="shared" si="8"/>
        <v>39.104670672933899</v>
      </c>
      <c r="H87" s="17">
        <f t="shared" si="9"/>
        <v>10.609341345867794</v>
      </c>
      <c r="J87">
        <f t="shared" si="10"/>
        <v>1965</v>
      </c>
      <c r="K87" s="17">
        <f t="shared" si="11"/>
        <v>39.104670672933899</v>
      </c>
      <c r="L87" s="17">
        <f t="shared" si="12"/>
        <v>10.609341345867794</v>
      </c>
      <c r="M87" s="17">
        <f t="shared" si="13"/>
        <v>28.495329327066106</v>
      </c>
    </row>
    <row r="88" spans="1:13" x14ac:dyDescent="0.25">
      <c r="A88" s="2">
        <v>1966</v>
      </c>
      <c r="B88" s="17">
        <v>38.253</v>
      </c>
      <c r="C88" s="17">
        <v>9.7201000000000004</v>
      </c>
      <c r="D88" s="17">
        <v>38.6</v>
      </c>
      <c r="E88" s="17">
        <v>11.6</v>
      </c>
      <c r="F88" s="21">
        <f t="shared" si="7"/>
        <v>0.4200355756530017</v>
      </c>
      <c r="G88" s="17">
        <f t="shared" si="8"/>
        <v>38.3987523447516</v>
      </c>
      <c r="H88" s="17">
        <f t="shared" si="9"/>
        <v>10.509724878670079</v>
      </c>
      <c r="J88">
        <f t="shared" si="10"/>
        <v>1966</v>
      </c>
      <c r="K88" s="17">
        <f t="shared" si="11"/>
        <v>38.3987523447516</v>
      </c>
      <c r="L88" s="17">
        <f t="shared" si="12"/>
        <v>10.509724878670079</v>
      </c>
      <c r="M88" s="17">
        <f t="shared" si="13"/>
        <v>27.889027466081522</v>
      </c>
    </row>
    <row r="89" spans="1:13" x14ac:dyDescent="0.25">
      <c r="A89" s="2">
        <v>1967</v>
      </c>
      <c r="B89" s="17">
        <v>37.810499999999998</v>
      </c>
      <c r="C89" s="17">
        <v>9.6575000000000006</v>
      </c>
      <c r="D89" s="17">
        <v>37.4</v>
      </c>
      <c r="E89" s="17">
        <v>11.3</v>
      </c>
      <c r="F89" s="21">
        <f t="shared" si="7"/>
        <v>0.47322885940381987</v>
      </c>
      <c r="G89" s="17">
        <f t="shared" si="8"/>
        <v>37.616239553214733</v>
      </c>
      <c r="H89" s="17">
        <f t="shared" si="9"/>
        <v>10.434778401570775</v>
      </c>
      <c r="J89">
        <f t="shared" si="10"/>
        <v>1967</v>
      </c>
      <c r="K89" s="17">
        <f t="shared" si="11"/>
        <v>37.616239553214733</v>
      </c>
      <c r="L89" s="17">
        <f t="shared" si="12"/>
        <v>10.434778401570775</v>
      </c>
      <c r="M89" s="17">
        <f t="shared" si="13"/>
        <v>27.181461151643958</v>
      </c>
    </row>
    <row r="90" spans="1:13" x14ac:dyDescent="0.25">
      <c r="A90" s="2">
        <v>1968</v>
      </c>
      <c r="B90" s="17">
        <v>37.370699999999999</v>
      </c>
      <c r="C90" s="17">
        <v>9.6081000000000003</v>
      </c>
      <c r="D90" s="17">
        <v>36.299999999999997</v>
      </c>
      <c r="E90" s="17">
        <v>11</v>
      </c>
      <c r="F90" s="21">
        <f t="shared" si="7"/>
        <v>0.52677114059618002</v>
      </c>
      <c r="G90" s="17">
        <f t="shared" si="8"/>
        <v>36.80668613976367</v>
      </c>
      <c r="H90" s="17">
        <f t="shared" si="9"/>
        <v>10.341312750595822</v>
      </c>
      <c r="J90">
        <f t="shared" si="10"/>
        <v>1968</v>
      </c>
      <c r="K90" s="17">
        <f t="shared" si="11"/>
        <v>36.80668613976367</v>
      </c>
      <c r="L90" s="17">
        <f t="shared" si="12"/>
        <v>10.341312750595822</v>
      </c>
      <c r="M90" s="17">
        <f t="shared" si="13"/>
        <v>26.465373389167848</v>
      </c>
    </row>
    <row r="91" spans="1:13" x14ac:dyDescent="0.25">
      <c r="A91" s="2">
        <v>1969</v>
      </c>
      <c r="B91" s="17">
        <v>36.931600000000003</v>
      </c>
      <c r="C91" s="17">
        <v>9.5680999999999994</v>
      </c>
      <c r="D91" s="17">
        <v>35.700000000000003</v>
      </c>
      <c r="E91" s="17">
        <v>10.7</v>
      </c>
      <c r="F91" s="21">
        <f t="shared" si="7"/>
        <v>0.57996442434699824</v>
      </c>
      <c r="G91" s="17">
        <f t="shared" si="8"/>
        <v>36.217315814974242</v>
      </c>
      <c r="H91" s="17">
        <f t="shared" si="9"/>
        <v>10.224561731918367</v>
      </c>
      <c r="J91">
        <f t="shared" si="10"/>
        <v>1969</v>
      </c>
      <c r="K91" s="17">
        <f t="shared" si="11"/>
        <v>36.217315814974242</v>
      </c>
      <c r="L91" s="17">
        <f t="shared" si="12"/>
        <v>10.224561731918367</v>
      </c>
      <c r="M91" s="17">
        <f t="shared" si="13"/>
        <v>25.992754083055875</v>
      </c>
    </row>
    <row r="92" spans="1:13" x14ac:dyDescent="0.25">
      <c r="A92" s="2">
        <v>1970</v>
      </c>
      <c r="B92" s="17">
        <v>36.491100000000003</v>
      </c>
      <c r="C92" s="17">
        <v>9.5333000000000006</v>
      </c>
      <c r="D92" s="17">
        <v>35.200000000000003</v>
      </c>
      <c r="E92" s="17">
        <v>10.5</v>
      </c>
      <c r="F92" s="21">
        <f t="shared" si="7"/>
        <v>0.63211757006009395</v>
      </c>
      <c r="G92" s="17">
        <f t="shared" si="8"/>
        <v>35.674973005295413</v>
      </c>
      <c r="H92" s="17">
        <f t="shared" si="9"/>
        <v>10.144368054977093</v>
      </c>
      <c r="J92">
        <f t="shared" si="10"/>
        <v>1970</v>
      </c>
      <c r="K92" s="17">
        <f t="shared" si="11"/>
        <v>35.674973005295413</v>
      </c>
      <c r="L92" s="17">
        <f t="shared" si="12"/>
        <v>10.144368054977093</v>
      </c>
      <c r="M92" s="17">
        <f t="shared" si="13"/>
        <v>25.53060495031832</v>
      </c>
    </row>
    <row r="93" spans="1:13" x14ac:dyDescent="0.25">
      <c r="A93" s="2">
        <v>1971</v>
      </c>
      <c r="B93" s="17">
        <v>36.047400000000003</v>
      </c>
      <c r="C93" s="17">
        <v>9.4998000000000005</v>
      </c>
      <c r="D93" s="17">
        <v>34.9</v>
      </c>
      <c r="E93" s="17">
        <v>10.199999999999999</v>
      </c>
      <c r="F93" s="21">
        <f t="shared" si="7"/>
        <v>0.68256000000000006</v>
      </c>
      <c r="G93" s="17">
        <f t="shared" si="8"/>
        <v>35.264230655999995</v>
      </c>
      <c r="H93" s="17">
        <f t="shared" si="9"/>
        <v>9.9777285120000005</v>
      </c>
      <c r="J93">
        <f t="shared" si="10"/>
        <v>1971</v>
      </c>
      <c r="K93" s="17">
        <f t="shared" si="11"/>
        <v>35.264230655999995</v>
      </c>
      <c r="L93" s="17">
        <f t="shared" si="12"/>
        <v>9.9777285120000005</v>
      </c>
      <c r="M93" s="17">
        <f t="shared" si="13"/>
        <v>25.286502143999996</v>
      </c>
    </row>
    <row r="94" spans="1:13" x14ac:dyDescent="0.25">
      <c r="A94" s="2">
        <v>1972</v>
      </c>
      <c r="B94" s="17">
        <v>35.598399999999998</v>
      </c>
      <c r="C94" s="17">
        <v>9.4638000000000009</v>
      </c>
      <c r="D94" s="17">
        <v>34.5</v>
      </c>
      <c r="E94" s="17">
        <v>10</v>
      </c>
      <c r="F94" s="21">
        <f t="shared" si="7"/>
        <v>0.7306554078657701</v>
      </c>
      <c r="G94" s="17">
        <f t="shared" si="8"/>
        <v>34.795848100000235</v>
      </c>
      <c r="H94" s="17">
        <f t="shared" si="9"/>
        <v>9.8555774296976253</v>
      </c>
      <c r="J94">
        <f t="shared" si="10"/>
        <v>1972</v>
      </c>
      <c r="K94" s="17">
        <f t="shared" si="11"/>
        <v>34.795848100000235</v>
      </c>
      <c r="L94" s="17">
        <f t="shared" si="12"/>
        <v>9.8555774296976253</v>
      </c>
      <c r="M94" s="17">
        <f t="shared" si="13"/>
        <v>24.94027067030261</v>
      </c>
    </row>
    <row r="95" spans="1:13" x14ac:dyDescent="0.25">
      <c r="A95" s="2">
        <v>1973</v>
      </c>
      <c r="B95" s="17">
        <v>35.142099999999999</v>
      </c>
      <c r="C95" s="17">
        <v>9.4210999999999991</v>
      </c>
      <c r="D95" s="17">
        <v>34.200000000000003</v>
      </c>
      <c r="E95" s="17">
        <v>9.8000000000000007</v>
      </c>
      <c r="F95" s="21">
        <f t="shared" si="7"/>
        <v>0.77581546736478835</v>
      </c>
      <c r="G95" s="17">
        <f t="shared" si="8"/>
        <v>34.411204248195638</v>
      </c>
      <c r="H95" s="17">
        <f t="shared" si="9"/>
        <v>9.7150564805845185</v>
      </c>
      <c r="J95">
        <f t="shared" si="10"/>
        <v>1973</v>
      </c>
      <c r="K95" s="17">
        <f t="shared" si="11"/>
        <v>34.411204248195638</v>
      </c>
      <c r="L95" s="17">
        <f t="shared" si="12"/>
        <v>9.7150564805845185</v>
      </c>
      <c r="M95" s="17">
        <f t="shared" si="13"/>
        <v>24.696147767611119</v>
      </c>
    </row>
    <row r="96" spans="1:13" x14ac:dyDescent="0.25">
      <c r="A96" s="2">
        <v>1974</v>
      </c>
      <c r="B96" s="17">
        <v>34.676699999999997</v>
      </c>
      <c r="C96" s="17">
        <v>9.3678000000000008</v>
      </c>
      <c r="D96" s="17">
        <v>33.700000000000003</v>
      </c>
      <c r="E96" s="17">
        <v>9.6999999999999993</v>
      </c>
      <c r="F96" s="21">
        <f t="shared" si="7"/>
        <v>0.81751354078657679</v>
      </c>
      <c r="G96" s="17">
        <f t="shared" si="8"/>
        <v>33.878234524713754</v>
      </c>
      <c r="H96" s="17">
        <f t="shared" si="9"/>
        <v>9.6393779982492998</v>
      </c>
      <c r="J96">
        <f t="shared" si="10"/>
        <v>1974</v>
      </c>
      <c r="K96" s="17">
        <f t="shared" si="11"/>
        <v>33.878234524713754</v>
      </c>
      <c r="L96" s="17">
        <f t="shared" si="12"/>
        <v>9.6393779982492998</v>
      </c>
      <c r="M96" s="17">
        <f t="shared" si="13"/>
        <v>24.238856526464453</v>
      </c>
    </row>
    <row r="97" spans="1:13" x14ac:dyDescent="0.25">
      <c r="A97" s="2">
        <v>1975</v>
      </c>
      <c r="B97" s="17">
        <v>34.200000000000003</v>
      </c>
      <c r="C97" s="17">
        <v>9.3000000000000007</v>
      </c>
      <c r="D97" s="17">
        <v>33.5</v>
      </c>
      <c r="E97" s="17">
        <v>9.5</v>
      </c>
      <c r="F97" s="21">
        <f t="shared" si="7"/>
        <v>0.85529838757660481</v>
      </c>
      <c r="G97" s="17">
        <f t="shared" si="8"/>
        <v>33.601291128696374</v>
      </c>
      <c r="H97" s="17">
        <f t="shared" si="9"/>
        <v>9.4710596775153206</v>
      </c>
      <c r="J97">
        <f t="shared" si="10"/>
        <v>1975</v>
      </c>
      <c r="K97" s="17">
        <f t="shared" si="11"/>
        <v>33.601291128696374</v>
      </c>
      <c r="L97" s="17">
        <f t="shared" si="12"/>
        <v>9.4710596775153206</v>
      </c>
      <c r="M97" s="17">
        <f t="shared" si="13"/>
        <v>24.130231451181054</v>
      </c>
    </row>
    <row r="98" spans="1:13" x14ac:dyDescent="0.25">
      <c r="A98" s="2">
        <v>1976</v>
      </c>
      <c r="B98" s="17">
        <v>33.716900000000003</v>
      </c>
      <c r="C98" s="17">
        <v>9.2047000000000008</v>
      </c>
      <c r="D98" s="17">
        <v>33.299999999999997</v>
      </c>
      <c r="E98" s="17">
        <v>9.3000000000000007</v>
      </c>
      <c r="F98" s="21">
        <f t="shared" si="7"/>
        <v>0.88880787291009766</v>
      </c>
      <c r="G98" s="17">
        <f t="shared" si="8"/>
        <v>33.346355997783775</v>
      </c>
      <c r="H98" s="17">
        <f t="shared" si="9"/>
        <v>9.2894033902883333</v>
      </c>
      <c r="J98">
        <f t="shared" si="10"/>
        <v>1976</v>
      </c>
      <c r="K98" s="17">
        <f t="shared" si="11"/>
        <v>33.346355997783775</v>
      </c>
      <c r="L98" s="17">
        <f t="shared" si="12"/>
        <v>9.2894033902883333</v>
      </c>
      <c r="M98" s="17">
        <f t="shared" si="13"/>
        <v>24.05695260749544</v>
      </c>
    </row>
    <row r="99" spans="1:13" x14ac:dyDescent="0.25">
      <c r="A99" s="2">
        <v>1977</v>
      </c>
      <c r="B99" s="17">
        <v>33.231900000000003</v>
      </c>
      <c r="C99" s="17">
        <v>9.0762999999999998</v>
      </c>
      <c r="D99" s="17">
        <v>33.200000000000003</v>
      </c>
      <c r="E99" s="17">
        <v>9.1</v>
      </c>
      <c r="F99" s="21">
        <f t="shared" si="7"/>
        <v>0.91778267626584187</v>
      </c>
      <c r="G99" s="17">
        <f t="shared" si="8"/>
        <v>33.20262273262712</v>
      </c>
      <c r="H99" s="17">
        <f t="shared" si="9"/>
        <v>9.0980514494275013</v>
      </c>
      <c r="J99">
        <f t="shared" si="10"/>
        <v>1977</v>
      </c>
      <c r="K99" s="17">
        <f t="shared" si="11"/>
        <v>33.20262273262712</v>
      </c>
      <c r="L99" s="17">
        <f t="shared" si="12"/>
        <v>9.0980514494275013</v>
      </c>
      <c r="M99" s="17">
        <f t="shared" si="13"/>
        <v>24.104571283199618</v>
      </c>
    </row>
    <row r="100" spans="1:13" x14ac:dyDescent="0.25">
      <c r="A100" s="2">
        <v>1978</v>
      </c>
      <c r="B100" s="17">
        <v>32.7425</v>
      </c>
      <c r="C100" s="17">
        <v>8.9215999999999998</v>
      </c>
      <c r="D100" s="17">
        <v>33</v>
      </c>
      <c r="E100" s="17">
        <v>8.9</v>
      </c>
      <c r="F100" s="21">
        <f t="shared" si="7"/>
        <v>0.94208000000000058</v>
      </c>
      <c r="G100" s="17">
        <f t="shared" si="8"/>
        <v>32.985085599999998</v>
      </c>
      <c r="H100" s="17">
        <f t="shared" si="9"/>
        <v>8.9012510720000009</v>
      </c>
      <c r="J100">
        <f t="shared" si="10"/>
        <v>1978</v>
      </c>
      <c r="K100" s="17">
        <f t="shared" si="11"/>
        <v>32.985085599999998</v>
      </c>
      <c r="L100" s="17">
        <f t="shared" si="12"/>
        <v>8.9012510720000009</v>
      </c>
      <c r="M100" s="17">
        <f t="shared" si="13"/>
        <v>24.083834527999997</v>
      </c>
    </row>
    <row r="101" spans="1:13" x14ac:dyDescent="0.25">
      <c r="A101" s="2">
        <v>1979</v>
      </c>
      <c r="B101" s="17">
        <v>32.246299999999998</v>
      </c>
      <c r="C101" s="17">
        <v>8.7475000000000005</v>
      </c>
      <c r="D101" s="17">
        <v>32.700000000000003</v>
      </c>
      <c r="E101" s="17">
        <v>8.8000000000000007</v>
      </c>
      <c r="F101" s="21">
        <f t="shared" si="7"/>
        <v>0.96168727791991471</v>
      </c>
      <c r="G101" s="17">
        <f t="shared" si="8"/>
        <v>32.68261751799227</v>
      </c>
      <c r="H101" s="17">
        <f t="shared" si="9"/>
        <v>8.7979885820907953</v>
      </c>
      <c r="J101">
        <f t="shared" si="10"/>
        <v>1979</v>
      </c>
      <c r="K101" s="17">
        <f t="shared" si="11"/>
        <v>32.68261751799227</v>
      </c>
      <c r="L101" s="17">
        <f t="shared" si="12"/>
        <v>8.7979885820907953</v>
      </c>
      <c r="M101" s="17">
        <f t="shared" si="13"/>
        <v>23.884628935901475</v>
      </c>
    </row>
    <row r="102" spans="1:13" x14ac:dyDescent="0.25">
      <c r="A102" s="2">
        <v>1980</v>
      </c>
      <c r="B102" s="17">
        <v>31.7408</v>
      </c>
      <c r="C102" s="17">
        <v>8.5609000000000002</v>
      </c>
      <c r="D102" s="17">
        <v>32.4</v>
      </c>
      <c r="E102" s="17">
        <v>8.6</v>
      </c>
      <c r="F102" s="21">
        <f t="shared" si="7"/>
        <v>0.97673588385791676</v>
      </c>
      <c r="G102" s="17">
        <f t="shared" si="8"/>
        <v>32.384664294639137</v>
      </c>
      <c r="H102" s="17">
        <f t="shared" si="9"/>
        <v>8.5990903730588446</v>
      </c>
      <c r="J102">
        <f t="shared" si="10"/>
        <v>1980</v>
      </c>
      <c r="K102" s="17">
        <f t="shared" si="11"/>
        <v>32.384664294639137</v>
      </c>
      <c r="L102" s="17">
        <f t="shared" si="12"/>
        <v>8.5990903730588446</v>
      </c>
      <c r="M102" s="17">
        <f t="shared" si="13"/>
        <v>23.785573921580294</v>
      </c>
    </row>
    <row r="103" spans="1:13" x14ac:dyDescent="0.25">
      <c r="A103" s="2">
        <v>1981</v>
      </c>
      <c r="B103" s="17">
        <v>31.223700000000001</v>
      </c>
      <c r="C103" s="17">
        <v>8.3686000000000007</v>
      </c>
      <c r="D103" s="17">
        <v>32</v>
      </c>
      <c r="E103" s="17">
        <v>8.4</v>
      </c>
      <c r="F103" s="21">
        <f t="shared" si="7"/>
        <v>0.98751484024513625</v>
      </c>
      <c r="G103" s="17">
        <f t="shared" si="8"/>
        <v>31.9903077704823</v>
      </c>
      <c r="H103" s="17">
        <f t="shared" si="9"/>
        <v>8.399607965983698</v>
      </c>
      <c r="J103">
        <f t="shared" si="10"/>
        <v>1981</v>
      </c>
      <c r="K103" s="17">
        <f t="shared" si="11"/>
        <v>31.9903077704823</v>
      </c>
      <c r="L103" s="17">
        <f t="shared" si="12"/>
        <v>8.399607965983698</v>
      </c>
      <c r="M103" s="17">
        <f t="shared" si="13"/>
        <v>23.590699804498602</v>
      </c>
    </row>
    <row r="104" spans="1:13" x14ac:dyDescent="0.25">
      <c r="A104" s="2">
        <v>1982</v>
      </c>
      <c r="B104" s="17">
        <v>30.692499999999999</v>
      </c>
      <c r="C104" s="17">
        <v>8.1775000000000002</v>
      </c>
      <c r="D104" s="17">
        <v>31.5</v>
      </c>
      <c r="E104" s="17">
        <v>8.1999999999999993</v>
      </c>
      <c r="F104" s="21">
        <f t="shared" si="7"/>
        <v>0.99448452668530996</v>
      </c>
      <c r="G104" s="17">
        <f t="shared" si="8"/>
        <v>31.495546255298386</v>
      </c>
      <c r="H104" s="17">
        <f t="shared" si="9"/>
        <v>8.1998759018504188</v>
      </c>
      <c r="J104">
        <f t="shared" si="10"/>
        <v>1982</v>
      </c>
      <c r="K104" s="17">
        <f t="shared" si="11"/>
        <v>31.495546255298386</v>
      </c>
      <c r="L104" s="17">
        <f t="shared" si="12"/>
        <v>8.1998759018504188</v>
      </c>
      <c r="M104" s="17">
        <f t="shared" si="13"/>
        <v>23.295670353447967</v>
      </c>
    </row>
    <row r="105" spans="1:13" x14ac:dyDescent="0.25">
      <c r="A105" s="2">
        <v>1983</v>
      </c>
      <c r="B105" s="17">
        <v>30.1447</v>
      </c>
      <c r="C105" s="17">
        <v>7.9943999999999997</v>
      </c>
      <c r="D105" s="17">
        <v>30.8</v>
      </c>
      <c r="E105" s="17">
        <v>8.1</v>
      </c>
      <c r="F105" s="21">
        <f t="shared" si="7"/>
        <v>0.99829038852858965</v>
      </c>
      <c r="G105" s="17">
        <f t="shared" si="8"/>
        <v>30.798879691602785</v>
      </c>
      <c r="H105" s="17">
        <f t="shared" si="9"/>
        <v>8.0998194650286184</v>
      </c>
      <c r="J105">
        <f t="shared" si="10"/>
        <v>1983</v>
      </c>
      <c r="K105" s="17">
        <f t="shared" si="11"/>
        <v>30.798879691602785</v>
      </c>
      <c r="L105" s="17">
        <f t="shared" si="12"/>
        <v>8.0998194650286184</v>
      </c>
      <c r="M105" s="17">
        <f t="shared" si="13"/>
        <v>22.699060226574169</v>
      </c>
    </row>
    <row r="106" spans="1:13" x14ac:dyDescent="0.25">
      <c r="A106" s="2">
        <v>1984</v>
      </c>
      <c r="B106" s="17">
        <v>29.578099999999999</v>
      </c>
      <c r="C106" s="17">
        <v>7.8262999999999998</v>
      </c>
      <c r="D106" s="17">
        <v>30</v>
      </c>
      <c r="E106" s="17">
        <v>7.9</v>
      </c>
      <c r="F106" s="21">
        <f t="shared" si="7"/>
        <v>0.99977664544535072</v>
      </c>
      <c r="G106" s="17">
        <f t="shared" si="8"/>
        <v>29.999905766713393</v>
      </c>
      <c r="H106" s="17">
        <f t="shared" si="9"/>
        <v>7.8999835387693222</v>
      </c>
      <c r="J106">
        <f t="shared" si="10"/>
        <v>1984</v>
      </c>
      <c r="K106" s="17">
        <f t="shared" si="11"/>
        <v>29.999905766713393</v>
      </c>
      <c r="L106" s="17">
        <f t="shared" si="12"/>
        <v>7.8999835387693222</v>
      </c>
      <c r="M106" s="17">
        <f t="shared" si="13"/>
        <v>22.09992222794407</v>
      </c>
    </row>
    <row r="107" spans="1:13" x14ac:dyDescent="0.25">
      <c r="A107" s="2">
        <v>1985</v>
      </c>
      <c r="B107" s="17">
        <v>28.99</v>
      </c>
      <c r="C107" s="17">
        <v>7.68</v>
      </c>
      <c r="D107" s="17">
        <v>29.2</v>
      </c>
      <c r="E107" s="17">
        <v>7.7</v>
      </c>
      <c r="F107" s="21">
        <f t="shared" si="7"/>
        <v>1</v>
      </c>
      <c r="G107" s="17">
        <f t="shared" si="8"/>
        <v>29.2</v>
      </c>
      <c r="H107" s="17">
        <f t="shared" si="9"/>
        <v>7.7</v>
      </c>
      <c r="J107">
        <f t="shared" si="10"/>
        <v>1985</v>
      </c>
      <c r="K107" s="17">
        <f t="shared" si="11"/>
        <v>29.2</v>
      </c>
      <c r="L107" s="17">
        <f t="shared" si="12"/>
        <v>7.7</v>
      </c>
      <c r="M107" s="17">
        <f t="shared" si="13"/>
        <v>21.5</v>
      </c>
    </row>
    <row r="108" spans="1:13" x14ac:dyDescent="0.25">
      <c r="A108" s="2">
        <v>1986</v>
      </c>
      <c r="B108" s="17">
        <v>28.330200000000001</v>
      </c>
      <c r="C108" s="17">
        <v>7.5460000000000003</v>
      </c>
      <c r="D108" s="17">
        <v>28.3</v>
      </c>
      <c r="E108" s="17">
        <v>7.5</v>
      </c>
      <c r="F108" s="21">
        <f t="shared" si="7"/>
        <v>1</v>
      </c>
      <c r="G108" s="17">
        <f t="shared" si="8"/>
        <v>28.3</v>
      </c>
      <c r="H108" s="17">
        <f t="shared" si="9"/>
        <v>7.5</v>
      </c>
      <c r="J108">
        <f t="shared" si="10"/>
        <v>1986</v>
      </c>
      <c r="K108" s="17">
        <f t="shared" si="11"/>
        <v>28.3</v>
      </c>
      <c r="L108" s="17">
        <f t="shared" si="12"/>
        <v>7.5</v>
      </c>
      <c r="M108" s="17">
        <f t="shared" si="13"/>
        <v>20.8</v>
      </c>
    </row>
    <row r="109" spans="1:13" x14ac:dyDescent="0.25">
      <c r="A109" s="2">
        <v>1987</v>
      </c>
      <c r="B109" s="17">
        <v>27.5718</v>
      </c>
      <c r="C109" s="17">
        <v>7.4116999999999997</v>
      </c>
      <c r="D109" s="17">
        <v>27.4</v>
      </c>
      <c r="E109" s="17">
        <v>7.4</v>
      </c>
      <c r="F109" s="21">
        <f t="shared" si="7"/>
        <v>1</v>
      </c>
      <c r="G109" s="17">
        <f t="shared" si="8"/>
        <v>27.4</v>
      </c>
      <c r="H109" s="17">
        <f t="shared" si="9"/>
        <v>7.4</v>
      </c>
      <c r="J109">
        <f t="shared" si="10"/>
        <v>1987</v>
      </c>
      <c r="K109" s="17">
        <f t="shared" si="11"/>
        <v>27.4</v>
      </c>
      <c r="L109" s="17">
        <f t="shared" si="12"/>
        <v>7.4</v>
      </c>
      <c r="M109" s="17">
        <f t="shared" si="13"/>
        <v>20</v>
      </c>
    </row>
    <row r="110" spans="1:13" x14ac:dyDescent="0.25">
      <c r="A110" s="2">
        <v>1988</v>
      </c>
      <c r="B110" s="17">
        <v>26.748000000000001</v>
      </c>
      <c r="C110" s="17">
        <v>7.2788000000000004</v>
      </c>
      <c r="D110" s="17">
        <v>26.5</v>
      </c>
      <c r="E110" s="17">
        <v>7.2</v>
      </c>
      <c r="F110" s="21">
        <f t="shared" si="7"/>
        <v>1</v>
      </c>
      <c r="G110" s="17">
        <f t="shared" si="8"/>
        <v>26.5</v>
      </c>
      <c r="H110" s="17">
        <f t="shared" si="9"/>
        <v>7.2</v>
      </c>
      <c r="J110">
        <f t="shared" si="10"/>
        <v>1988</v>
      </c>
      <c r="K110" s="17">
        <f t="shared" si="11"/>
        <v>26.5</v>
      </c>
      <c r="L110" s="17">
        <f t="shared" si="12"/>
        <v>7.2</v>
      </c>
      <c r="M110" s="17">
        <f t="shared" si="13"/>
        <v>19.3</v>
      </c>
    </row>
    <row r="111" spans="1:13" x14ac:dyDescent="0.25">
      <c r="A111" s="2">
        <v>1989</v>
      </c>
      <c r="B111" s="17">
        <v>25.891999999999999</v>
      </c>
      <c r="C111" s="17">
        <v>7.1493000000000002</v>
      </c>
      <c r="D111" s="17">
        <v>25.6</v>
      </c>
      <c r="E111" s="17">
        <v>7.1</v>
      </c>
      <c r="F111" s="21">
        <f t="shared" si="7"/>
        <v>1</v>
      </c>
      <c r="G111" s="17">
        <f t="shared" si="8"/>
        <v>25.6</v>
      </c>
      <c r="H111" s="17">
        <f t="shared" si="9"/>
        <v>7.1</v>
      </c>
      <c r="J111">
        <f t="shared" si="10"/>
        <v>1989</v>
      </c>
      <c r="K111" s="17">
        <f t="shared" si="11"/>
        <v>25.6</v>
      </c>
      <c r="L111" s="17">
        <f t="shared" si="12"/>
        <v>7.1</v>
      </c>
      <c r="M111" s="17">
        <f t="shared" si="13"/>
        <v>18.5</v>
      </c>
    </row>
    <row r="112" spans="1:13" x14ac:dyDescent="0.25">
      <c r="A112" s="2">
        <v>1990</v>
      </c>
      <c r="B112" s="17">
        <v>25.0367</v>
      </c>
      <c r="C112" s="17">
        <v>7.0251000000000001</v>
      </c>
      <c r="D112" s="17">
        <v>24.8</v>
      </c>
      <c r="E112" s="17">
        <v>7</v>
      </c>
      <c r="F112" s="21">
        <f t="shared" si="7"/>
        <v>1</v>
      </c>
      <c r="G112" s="17">
        <f t="shared" si="8"/>
        <v>24.8</v>
      </c>
      <c r="H112" s="17">
        <f t="shared" si="9"/>
        <v>7</v>
      </c>
      <c r="J112">
        <f t="shared" si="10"/>
        <v>1990</v>
      </c>
      <c r="K112" s="17">
        <f t="shared" si="11"/>
        <v>24.8</v>
      </c>
      <c r="L112" s="17">
        <f t="shared" si="12"/>
        <v>7</v>
      </c>
      <c r="M112" s="17">
        <f t="shared" si="13"/>
        <v>17.8</v>
      </c>
    </row>
    <row r="113" spans="1:13" x14ac:dyDescent="0.25">
      <c r="A113" s="2">
        <v>1991</v>
      </c>
      <c r="B113" s="17">
        <v>24.215199999999999</v>
      </c>
      <c r="C113" s="17">
        <v>6.9081000000000001</v>
      </c>
      <c r="D113" s="17">
        <v>24.1</v>
      </c>
      <c r="E113" s="17">
        <v>6.9</v>
      </c>
      <c r="F113" s="21">
        <f t="shared" si="7"/>
        <v>1</v>
      </c>
      <c r="G113" s="17">
        <f t="shared" si="8"/>
        <v>24.1</v>
      </c>
      <c r="H113" s="17">
        <f t="shared" si="9"/>
        <v>6.9</v>
      </c>
      <c r="J113">
        <f t="shared" si="10"/>
        <v>1991</v>
      </c>
      <c r="K113" s="17">
        <f t="shared" si="11"/>
        <v>24.1</v>
      </c>
      <c r="L113" s="17">
        <f t="shared" si="12"/>
        <v>6.9</v>
      </c>
      <c r="M113" s="17">
        <f t="shared" si="13"/>
        <v>17.200000000000003</v>
      </c>
    </row>
    <row r="114" spans="1:13" x14ac:dyDescent="0.25">
      <c r="A114" s="2">
        <v>1992</v>
      </c>
      <c r="B114" s="17">
        <v>23.460699999999999</v>
      </c>
      <c r="C114" s="17">
        <v>6.8002000000000002</v>
      </c>
      <c r="D114" s="17">
        <v>23.3</v>
      </c>
      <c r="E114" s="17">
        <v>6.8</v>
      </c>
      <c r="F114" s="21">
        <f t="shared" si="7"/>
        <v>1</v>
      </c>
      <c r="G114" s="17">
        <f t="shared" si="8"/>
        <v>23.3</v>
      </c>
      <c r="H114" s="17">
        <f t="shared" si="9"/>
        <v>6.8</v>
      </c>
      <c r="J114">
        <f t="shared" si="10"/>
        <v>1992</v>
      </c>
      <c r="K114" s="17">
        <f t="shared" si="11"/>
        <v>23.3</v>
      </c>
      <c r="L114" s="17">
        <f t="shared" si="12"/>
        <v>6.8</v>
      </c>
      <c r="M114" s="17">
        <f t="shared" si="13"/>
        <v>16.5</v>
      </c>
    </row>
    <row r="115" spans="1:13" x14ac:dyDescent="0.25">
      <c r="A115" s="2">
        <v>1993</v>
      </c>
      <c r="B115" s="17">
        <v>22.8063</v>
      </c>
      <c r="C115" s="17">
        <v>6.7032999999999996</v>
      </c>
      <c r="D115" s="17">
        <v>23</v>
      </c>
      <c r="E115" s="17">
        <v>6.7</v>
      </c>
      <c r="F115" s="21">
        <f t="shared" si="7"/>
        <v>1</v>
      </c>
      <c r="G115" s="17">
        <f t="shared" si="8"/>
        <v>23</v>
      </c>
      <c r="H115" s="17">
        <f t="shared" si="9"/>
        <v>6.7</v>
      </c>
      <c r="J115">
        <f t="shared" si="10"/>
        <v>1993</v>
      </c>
      <c r="K115" s="17">
        <f t="shared" si="11"/>
        <v>23</v>
      </c>
      <c r="L115" s="17">
        <f t="shared" si="12"/>
        <v>6.7</v>
      </c>
      <c r="M115" s="17">
        <f t="shared" si="13"/>
        <v>16.3</v>
      </c>
    </row>
    <row r="116" spans="1:13" x14ac:dyDescent="0.25">
      <c r="A116" s="2">
        <v>1994</v>
      </c>
      <c r="B116" s="17">
        <v>22.285</v>
      </c>
      <c r="C116" s="17">
        <v>6.6193</v>
      </c>
      <c r="D116" s="17">
        <v>22.5</v>
      </c>
      <c r="E116" s="17">
        <v>6.6</v>
      </c>
      <c r="F116" s="21">
        <f t="shared" si="7"/>
        <v>1</v>
      </c>
      <c r="G116" s="17">
        <f t="shared" si="8"/>
        <v>22.5</v>
      </c>
      <c r="H116" s="17">
        <f t="shared" si="9"/>
        <v>6.6</v>
      </c>
      <c r="J116">
        <f t="shared" si="10"/>
        <v>1994</v>
      </c>
      <c r="K116" s="17">
        <f t="shared" si="11"/>
        <v>22.5</v>
      </c>
      <c r="L116" s="17">
        <f t="shared" si="12"/>
        <v>6.6</v>
      </c>
      <c r="M116" s="17">
        <f t="shared" si="13"/>
        <v>15.9</v>
      </c>
    </row>
    <row r="117" spans="1:13" x14ac:dyDescent="0.25">
      <c r="A117" s="2">
        <v>1995</v>
      </c>
      <c r="B117" s="17">
        <v>21.93</v>
      </c>
      <c r="C117" s="17">
        <v>6.55</v>
      </c>
      <c r="D117" s="17">
        <v>22.3</v>
      </c>
      <c r="E117" s="17">
        <v>6.5</v>
      </c>
      <c r="F117" s="21">
        <f t="shared" si="7"/>
        <v>1</v>
      </c>
      <c r="G117" s="17">
        <f t="shared" si="8"/>
        <v>22.3</v>
      </c>
      <c r="H117" s="17">
        <f t="shared" si="9"/>
        <v>6.5</v>
      </c>
      <c r="J117">
        <f t="shared" si="10"/>
        <v>1995</v>
      </c>
      <c r="K117" s="17">
        <f t="shared" si="11"/>
        <v>22.3</v>
      </c>
      <c r="L117" s="17">
        <f t="shared" si="12"/>
        <v>6.5</v>
      </c>
      <c r="M117" s="17">
        <f t="shared" si="13"/>
        <v>15.8</v>
      </c>
    </row>
    <row r="118" spans="1:13" x14ac:dyDescent="0.25">
      <c r="A118" s="2">
        <v>1996</v>
      </c>
      <c r="B118" s="17">
        <v>21.72</v>
      </c>
      <c r="C118" s="17">
        <v>6.4916</v>
      </c>
      <c r="D118" s="17">
        <v>21.9</v>
      </c>
      <c r="E118" s="17">
        <v>6.5</v>
      </c>
      <c r="F118" s="21">
        <f t="shared" si="7"/>
        <v>1</v>
      </c>
      <c r="G118" s="17">
        <f t="shared" si="8"/>
        <v>21.9</v>
      </c>
      <c r="H118" s="17">
        <f t="shared" si="9"/>
        <v>6.5</v>
      </c>
      <c r="J118">
        <f t="shared" si="10"/>
        <v>1996</v>
      </c>
      <c r="K118" s="17">
        <f t="shared" si="11"/>
        <v>21.9</v>
      </c>
      <c r="L118" s="17">
        <f t="shared" si="12"/>
        <v>6.5</v>
      </c>
      <c r="M118" s="17">
        <f t="shared" si="13"/>
        <v>15.399999999999999</v>
      </c>
    </row>
    <row r="119" spans="1:13" x14ac:dyDescent="0.25">
      <c r="A119" s="2">
        <v>1997</v>
      </c>
      <c r="B119" s="17">
        <v>21.581</v>
      </c>
      <c r="C119" s="17">
        <v>6.4397000000000002</v>
      </c>
      <c r="D119" s="17">
        <v>21.6</v>
      </c>
      <c r="E119" s="17">
        <v>6.4</v>
      </c>
      <c r="F119" s="21">
        <f t="shared" si="7"/>
        <v>1</v>
      </c>
      <c r="G119" s="17">
        <f t="shared" si="8"/>
        <v>21.6</v>
      </c>
      <c r="H119" s="17">
        <f t="shared" si="9"/>
        <v>6.4</v>
      </c>
      <c r="J119">
        <f t="shared" si="10"/>
        <v>1997</v>
      </c>
      <c r="K119" s="17">
        <f t="shared" si="11"/>
        <v>21.6</v>
      </c>
      <c r="L119" s="17">
        <f t="shared" si="12"/>
        <v>6.4</v>
      </c>
      <c r="M119" s="17">
        <f t="shared" si="13"/>
        <v>15.200000000000001</v>
      </c>
    </row>
    <row r="120" spans="1:13" x14ac:dyDescent="0.25">
      <c r="A120" s="2">
        <v>1998</v>
      </c>
      <c r="B120" s="17">
        <v>21.467099999999999</v>
      </c>
      <c r="C120" s="17">
        <v>6.3962000000000003</v>
      </c>
      <c r="D120" s="17">
        <v>21.2</v>
      </c>
      <c r="E120" s="17">
        <v>6.4</v>
      </c>
      <c r="F120" s="21">
        <f t="shared" si="7"/>
        <v>1</v>
      </c>
      <c r="G120" s="17">
        <f t="shared" si="8"/>
        <v>21.2</v>
      </c>
      <c r="H120" s="17">
        <f t="shared" si="9"/>
        <v>6.4</v>
      </c>
      <c r="J120">
        <f t="shared" si="10"/>
        <v>1998</v>
      </c>
      <c r="K120" s="17">
        <f t="shared" si="11"/>
        <v>21.2</v>
      </c>
      <c r="L120" s="17">
        <f t="shared" si="12"/>
        <v>6.4</v>
      </c>
      <c r="M120" s="17">
        <f t="shared" si="13"/>
        <v>14.799999999999999</v>
      </c>
    </row>
    <row r="121" spans="1:13" x14ac:dyDescent="0.25">
      <c r="A121" s="2">
        <v>1999</v>
      </c>
      <c r="B121" s="17">
        <v>21.332100000000001</v>
      </c>
      <c r="C121" s="17">
        <v>6.3624000000000001</v>
      </c>
      <c r="D121" s="17">
        <v>20.6</v>
      </c>
      <c r="E121" s="17">
        <v>6.3</v>
      </c>
      <c r="F121" s="21">
        <f t="shared" si="7"/>
        <v>1</v>
      </c>
      <c r="G121" s="17">
        <f t="shared" si="8"/>
        <v>20.6</v>
      </c>
      <c r="H121" s="17">
        <f t="shared" si="9"/>
        <v>6.3</v>
      </c>
      <c r="J121">
        <f t="shared" si="10"/>
        <v>1999</v>
      </c>
      <c r="K121" s="17">
        <f t="shared" si="11"/>
        <v>20.6</v>
      </c>
      <c r="L121" s="17">
        <f t="shared" si="12"/>
        <v>6.3</v>
      </c>
      <c r="M121" s="17">
        <f t="shared" si="13"/>
        <v>14.3</v>
      </c>
    </row>
    <row r="122" spans="1:13" x14ac:dyDescent="0.25">
      <c r="A122" s="2">
        <v>2000</v>
      </c>
      <c r="B122" s="17">
        <v>21.13</v>
      </c>
      <c r="C122" s="17">
        <v>6.34</v>
      </c>
      <c r="D122" s="17">
        <v>19.899999999999999</v>
      </c>
      <c r="E122" s="17">
        <v>6.2</v>
      </c>
      <c r="F122" s="21">
        <f t="shared" si="7"/>
        <v>1</v>
      </c>
      <c r="G122" s="17">
        <f t="shared" si="8"/>
        <v>19.899999999999999</v>
      </c>
      <c r="H122" s="17">
        <f t="shared" si="9"/>
        <v>6.2</v>
      </c>
      <c r="J122">
        <f t="shared" si="10"/>
        <v>2000</v>
      </c>
      <c r="K122" s="17">
        <f t="shared" si="11"/>
        <v>19.899999999999999</v>
      </c>
      <c r="L122" s="17">
        <f t="shared" si="12"/>
        <v>6.2</v>
      </c>
      <c r="M122" s="17">
        <f t="shared" si="13"/>
        <v>13.7</v>
      </c>
    </row>
    <row r="123" spans="1:13" x14ac:dyDescent="0.25">
      <c r="A123" s="2">
        <v>2001</v>
      </c>
      <c r="B123" s="17">
        <v>20.811599999999999</v>
      </c>
      <c r="C123" s="17">
        <v>6.3250999999999999</v>
      </c>
      <c r="D123" s="17">
        <v>19.2</v>
      </c>
      <c r="E123" s="17">
        <v>6.2</v>
      </c>
      <c r="F123" s="21">
        <f t="shared" si="7"/>
        <v>1</v>
      </c>
      <c r="G123" s="17">
        <f t="shared" si="8"/>
        <v>19.2</v>
      </c>
      <c r="H123" s="17">
        <f t="shared" si="9"/>
        <v>6.2</v>
      </c>
      <c r="J123">
        <f t="shared" si="10"/>
        <v>2001</v>
      </c>
      <c r="K123" s="17">
        <f t="shared" si="11"/>
        <v>19.2</v>
      </c>
      <c r="L123" s="17">
        <f t="shared" si="12"/>
        <v>6.2</v>
      </c>
      <c r="M123" s="17">
        <f t="shared" si="13"/>
        <v>13</v>
      </c>
    </row>
    <row r="124" spans="1:13" x14ac:dyDescent="0.25">
      <c r="A124" s="2">
        <v>2002</v>
      </c>
      <c r="B124" s="17">
        <v>20.3718</v>
      </c>
      <c r="C124" s="17">
        <v>6.3125</v>
      </c>
      <c r="D124" s="17">
        <v>18.5</v>
      </c>
      <c r="E124" s="17">
        <v>6.1</v>
      </c>
      <c r="F124" s="21">
        <f t="shared" si="7"/>
        <v>1</v>
      </c>
      <c r="G124" s="17">
        <f t="shared" si="8"/>
        <v>18.5</v>
      </c>
      <c r="H124" s="17">
        <f t="shared" si="9"/>
        <v>6.1</v>
      </c>
      <c r="J124">
        <f t="shared" si="10"/>
        <v>2002</v>
      </c>
      <c r="K124" s="17">
        <f t="shared" si="11"/>
        <v>18.5</v>
      </c>
      <c r="L124" s="17">
        <f t="shared" si="12"/>
        <v>6.1</v>
      </c>
      <c r="M124" s="17">
        <f t="shared" si="13"/>
        <v>12.4</v>
      </c>
    </row>
    <row r="125" spans="1:13" x14ac:dyDescent="0.25">
      <c r="A125" s="2">
        <v>2003</v>
      </c>
      <c r="B125" s="17">
        <v>19.8309</v>
      </c>
      <c r="C125" s="17">
        <v>6.3017000000000003</v>
      </c>
      <c r="D125" s="17">
        <v>17.8</v>
      </c>
      <c r="E125" s="17">
        <v>6</v>
      </c>
      <c r="F125" s="21">
        <f t="shared" si="7"/>
        <v>1</v>
      </c>
      <c r="G125" s="17">
        <f t="shared" si="8"/>
        <v>17.8</v>
      </c>
      <c r="H125" s="17">
        <f t="shared" si="9"/>
        <v>6</v>
      </c>
      <c r="J125">
        <f t="shared" si="10"/>
        <v>2003</v>
      </c>
      <c r="K125" s="17">
        <f t="shared" si="11"/>
        <v>17.8</v>
      </c>
      <c r="L125" s="17">
        <f t="shared" si="12"/>
        <v>6</v>
      </c>
      <c r="M125" s="17">
        <f t="shared" si="13"/>
        <v>11.8</v>
      </c>
    </row>
    <row r="126" spans="1:13" x14ac:dyDescent="0.25">
      <c r="A126" s="2">
        <v>2004</v>
      </c>
      <c r="B126" s="17">
        <v>19.209</v>
      </c>
      <c r="C126" s="17">
        <v>6.2925000000000004</v>
      </c>
      <c r="D126" s="17">
        <v>17.5</v>
      </c>
      <c r="E126" s="17">
        <v>6</v>
      </c>
      <c r="F126" s="21">
        <f t="shared" si="7"/>
        <v>1</v>
      </c>
      <c r="G126" s="17">
        <f t="shared" si="8"/>
        <v>17.5</v>
      </c>
      <c r="H126" s="17">
        <f t="shared" si="9"/>
        <v>6</v>
      </c>
      <c r="J126">
        <f t="shared" si="10"/>
        <v>2004</v>
      </c>
      <c r="K126" s="17">
        <f t="shared" si="11"/>
        <v>17.5</v>
      </c>
      <c r="L126" s="17">
        <f t="shared" si="12"/>
        <v>6</v>
      </c>
      <c r="M126" s="17">
        <f t="shared" si="13"/>
        <v>11.5</v>
      </c>
    </row>
    <row r="127" spans="1:13" x14ac:dyDescent="0.25">
      <c r="A127" s="2">
        <v>2005</v>
      </c>
      <c r="B127" s="17">
        <v>18.526399999999999</v>
      </c>
      <c r="C127" s="17">
        <v>6.2843</v>
      </c>
      <c r="D127" s="17">
        <v>17.2</v>
      </c>
      <c r="E127" s="17">
        <v>5.9</v>
      </c>
      <c r="F127" s="21">
        <f t="shared" si="7"/>
        <v>1</v>
      </c>
      <c r="G127" s="17">
        <f t="shared" si="8"/>
        <v>17.2</v>
      </c>
      <c r="H127" s="17">
        <f t="shared" si="9"/>
        <v>5.9</v>
      </c>
      <c r="J127">
        <f t="shared" si="10"/>
        <v>2005</v>
      </c>
      <c r="K127" s="17">
        <f t="shared" si="11"/>
        <v>17.2</v>
      </c>
      <c r="L127" s="17">
        <f t="shared" si="12"/>
        <v>5.9</v>
      </c>
      <c r="M127" s="17">
        <f t="shared" si="13"/>
        <v>11.299999999999999</v>
      </c>
    </row>
    <row r="128" spans="1:13" x14ac:dyDescent="0.25">
      <c r="A128" s="2">
        <v>2006</v>
      </c>
      <c r="B128" s="17">
        <v>17.8033</v>
      </c>
      <c r="C128" s="17">
        <v>6.2770000000000001</v>
      </c>
      <c r="D128" s="17">
        <v>16.7</v>
      </c>
      <c r="E128" s="17">
        <v>5.8</v>
      </c>
      <c r="F128" s="21">
        <f t="shared" si="7"/>
        <v>1</v>
      </c>
      <c r="G128" s="17">
        <f t="shared" si="8"/>
        <v>16.7</v>
      </c>
      <c r="H128" s="17">
        <f t="shared" si="9"/>
        <v>5.8</v>
      </c>
      <c r="J128">
        <f t="shared" si="10"/>
        <v>2006</v>
      </c>
      <c r="K128" s="17">
        <f t="shared" si="11"/>
        <v>16.7</v>
      </c>
      <c r="L128" s="17">
        <f t="shared" si="12"/>
        <v>5.8</v>
      </c>
      <c r="M128" s="17">
        <f t="shared" si="13"/>
        <v>10.899999999999999</v>
      </c>
    </row>
    <row r="129" spans="1:13" x14ac:dyDescent="0.25">
      <c r="A129" s="2">
        <v>2007</v>
      </c>
      <c r="B129" s="17">
        <v>17.059999999999999</v>
      </c>
      <c r="C129" s="17">
        <v>6.27</v>
      </c>
      <c r="D129" s="17">
        <v>16.2</v>
      </c>
      <c r="E129" s="17">
        <v>5.8</v>
      </c>
      <c r="F129" s="21">
        <f t="shared" si="7"/>
        <v>1</v>
      </c>
      <c r="G129" s="17">
        <f t="shared" si="8"/>
        <v>16.2</v>
      </c>
      <c r="H129" s="17">
        <f t="shared" si="9"/>
        <v>5.8</v>
      </c>
      <c r="J129">
        <f t="shared" si="10"/>
        <v>2007</v>
      </c>
      <c r="K129" s="17">
        <f t="shared" si="11"/>
        <v>16.2</v>
      </c>
      <c r="L129" s="17">
        <f t="shared" si="12"/>
        <v>5.8</v>
      </c>
      <c r="M129" s="17">
        <f t="shared" si="13"/>
        <v>10.399999999999999</v>
      </c>
    </row>
    <row r="130" spans="1:13" x14ac:dyDescent="0.25">
      <c r="A130" s="2">
        <f>A129+1</f>
        <v>2008</v>
      </c>
      <c r="D130" s="17">
        <v>15.8</v>
      </c>
      <c r="E130" s="17">
        <v>5.8</v>
      </c>
      <c r="F130" s="21">
        <f t="shared" si="7"/>
        <v>1</v>
      </c>
      <c r="G130" s="17">
        <f t="shared" si="8"/>
        <v>15.8</v>
      </c>
      <c r="H130" s="17">
        <f t="shared" si="9"/>
        <v>5.8</v>
      </c>
      <c r="J130">
        <f t="shared" si="10"/>
        <v>2008</v>
      </c>
      <c r="K130" s="17">
        <f t="shared" si="11"/>
        <v>15.8</v>
      </c>
      <c r="L130" s="17">
        <f t="shared" si="12"/>
        <v>5.8</v>
      </c>
      <c r="M130" s="17">
        <f t="shared" si="13"/>
        <v>10</v>
      </c>
    </row>
    <row r="131" spans="1:13" x14ac:dyDescent="0.25">
      <c r="A131" s="2">
        <f t="shared" ref="A131:A145" si="14">A130+1</f>
        <v>2009</v>
      </c>
      <c r="D131" s="17">
        <v>15.6</v>
      </c>
      <c r="E131" s="17">
        <v>5.8</v>
      </c>
      <c r="F131" s="21">
        <f t="shared" si="7"/>
        <v>1</v>
      </c>
      <c r="G131" s="17">
        <f t="shared" si="8"/>
        <v>15.6</v>
      </c>
      <c r="H131" s="17">
        <f t="shared" si="9"/>
        <v>5.8</v>
      </c>
      <c r="J131">
        <f t="shared" si="10"/>
        <v>2009</v>
      </c>
      <c r="K131" s="17">
        <f t="shared" si="11"/>
        <v>15.6</v>
      </c>
      <c r="L131" s="17">
        <f t="shared" si="12"/>
        <v>5.8</v>
      </c>
      <c r="M131" s="17">
        <f t="shared" si="13"/>
        <v>9.8000000000000007</v>
      </c>
    </row>
    <row r="132" spans="1:13" x14ac:dyDescent="0.25">
      <c r="A132" s="2">
        <f t="shared" si="14"/>
        <v>2010</v>
      </c>
      <c r="D132" s="17">
        <v>15.3</v>
      </c>
      <c r="E132" s="17">
        <v>5.8</v>
      </c>
      <c r="F132" s="21">
        <f t="shared" ref="F132:F145" si="15">IF(A132&lt;1950,0,IF(A132&gt;1985,1,POWER((A132-1950)/35,3)*(10-15*((A132-1950)/35)+6*POWER((A132-1950)/35,2))))</f>
        <v>1</v>
      </c>
      <c r="G132" s="17">
        <f t="shared" ref="G132:G145" si="16">IF(A132&lt;1950,B132,IF(A132&gt;1985,D132,(1-$F132)*B132+$F132*D132))</f>
        <v>15.3</v>
      </c>
      <c r="H132" s="17">
        <f t="shared" ref="H132:H145" si="17">IF(A132&lt;1950,C132,IF(A132&gt;1985,E132,(1-$F132)*C132+$F132*E132))</f>
        <v>5.8</v>
      </c>
      <c r="J132">
        <f t="shared" ref="J132:J145" si="18">A132</f>
        <v>2010</v>
      </c>
      <c r="K132" s="17">
        <f t="shared" ref="K132:K145" si="19">G132</f>
        <v>15.3</v>
      </c>
      <c r="L132" s="17">
        <f t="shared" ref="L132:L145" si="20">H132</f>
        <v>5.8</v>
      </c>
      <c r="M132" s="17">
        <f t="shared" ref="M132:M145" si="21">K132-L132</f>
        <v>9.5</v>
      </c>
    </row>
    <row r="133" spans="1:13" x14ac:dyDescent="0.25">
      <c r="A133" s="2">
        <f t="shared" si="14"/>
        <v>2011</v>
      </c>
      <c r="D133" s="17">
        <v>15.1</v>
      </c>
      <c r="E133" s="17">
        <v>5.8</v>
      </c>
      <c r="F133" s="21">
        <f t="shared" si="15"/>
        <v>1</v>
      </c>
      <c r="G133" s="17">
        <f t="shared" si="16"/>
        <v>15.1</v>
      </c>
      <c r="H133" s="17">
        <f t="shared" si="17"/>
        <v>5.8</v>
      </c>
      <c r="J133">
        <f t="shared" si="18"/>
        <v>2011</v>
      </c>
      <c r="K133" s="17">
        <f t="shared" si="19"/>
        <v>15.1</v>
      </c>
      <c r="L133" s="17">
        <f t="shared" si="20"/>
        <v>5.8</v>
      </c>
      <c r="M133" s="17">
        <f t="shared" si="21"/>
        <v>9.3000000000000007</v>
      </c>
    </row>
    <row r="134" spans="1:13" x14ac:dyDescent="0.25">
      <c r="A134" s="2">
        <f t="shared" si="14"/>
        <v>2012</v>
      </c>
      <c r="D134" s="17">
        <v>14.9</v>
      </c>
      <c r="E134" s="17">
        <v>5.9</v>
      </c>
      <c r="F134" s="21">
        <f t="shared" si="15"/>
        <v>1</v>
      </c>
      <c r="G134" s="17">
        <f t="shared" si="16"/>
        <v>14.9</v>
      </c>
      <c r="H134" s="17">
        <f t="shared" si="17"/>
        <v>5.9</v>
      </c>
      <c r="J134">
        <f t="shared" si="18"/>
        <v>2012</v>
      </c>
      <c r="K134" s="17">
        <f t="shared" si="19"/>
        <v>14.9</v>
      </c>
      <c r="L134" s="17">
        <f t="shared" si="20"/>
        <v>5.9</v>
      </c>
      <c r="M134" s="17">
        <f t="shared" si="21"/>
        <v>9</v>
      </c>
    </row>
    <row r="135" spans="1:13" x14ac:dyDescent="0.25">
      <c r="A135" s="2">
        <f t="shared" si="14"/>
        <v>2013</v>
      </c>
      <c r="D135" s="17">
        <v>14.8</v>
      </c>
      <c r="E135" s="17">
        <v>5.9</v>
      </c>
      <c r="F135" s="21">
        <f t="shared" si="15"/>
        <v>1</v>
      </c>
      <c r="G135" s="17">
        <f t="shared" si="16"/>
        <v>14.8</v>
      </c>
      <c r="H135" s="17">
        <f t="shared" si="17"/>
        <v>5.9</v>
      </c>
      <c r="J135">
        <f t="shared" si="18"/>
        <v>2013</v>
      </c>
      <c r="K135" s="17">
        <f t="shared" si="19"/>
        <v>14.8</v>
      </c>
      <c r="L135" s="17">
        <f t="shared" si="20"/>
        <v>5.9</v>
      </c>
      <c r="M135" s="17">
        <f t="shared" si="21"/>
        <v>8.9</v>
      </c>
    </row>
    <row r="136" spans="1:13" x14ac:dyDescent="0.25">
      <c r="A136" s="2">
        <f t="shared" si="14"/>
        <v>2014</v>
      </c>
      <c r="D136" s="17">
        <v>14.8</v>
      </c>
      <c r="E136" s="17">
        <v>6</v>
      </c>
      <c r="F136" s="21">
        <f t="shared" si="15"/>
        <v>1</v>
      </c>
      <c r="G136" s="17">
        <f t="shared" si="16"/>
        <v>14.8</v>
      </c>
      <c r="H136" s="17">
        <f t="shared" si="17"/>
        <v>6</v>
      </c>
      <c r="J136">
        <f t="shared" si="18"/>
        <v>2014</v>
      </c>
      <c r="K136" s="17">
        <f t="shared" si="19"/>
        <v>14.8</v>
      </c>
      <c r="L136" s="17">
        <f t="shared" si="20"/>
        <v>6</v>
      </c>
      <c r="M136" s="17">
        <f t="shared" si="21"/>
        <v>8.8000000000000007</v>
      </c>
    </row>
    <row r="137" spans="1:13" x14ac:dyDescent="0.25">
      <c r="A137" s="2">
        <f t="shared" si="14"/>
        <v>2015</v>
      </c>
      <c r="D137" s="17">
        <v>14.7</v>
      </c>
      <c r="E137" s="17">
        <v>6</v>
      </c>
      <c r="F137" s="21">
        <f t="shared" si="15"/>
        <v>1</v>
      </c>
      <c r="G137" s="17">
        <f t="shared" si="16"/>
        <v>14.7</v>
      </c>
      <c r="H137" s="17">
        <f t="shared" si="17"/>
        <v>6</v>
      </c>
      <c r="J137">
        <f t="shared" si="18"/>
        <v>2015</v>
      </c>
      <c r="K137" s="17">
        <f t="shared" si="19"/>
        <v>14.7</v>
      </c>
      <c r="L137" s="17">
        <f t="shared" si="20"/>
        <v>6</v>
      </c>
      <c r="M137" s="17">
        <f t="shared" si="21"/>
        <v>8.6999999999999993</v>
      </c>
    </row>
    <row r="138" spans="1:13" x14ac:dyDescent="0.25">
      <c r="A138" s="2">
        <f t="shared" si="14"/>
        <v>2016</v>
      </c>
      <c r="D138" s="17">
        <v>14.1</v>
      </c>
      <c r="E138" s="17">
        <v>6.2</v>
      </c>
      <c r="F138" s="21">
        <f t="shared" si="15"/>
        <v>1</v>
      </c>
      <c r="G138" s="17">
        <f t="shared" si="16"/>
        <v>14.1</v>
      </c>
      <c r="H138" s="17">
        <f t="shared" si="17"/>
        <v>6.2</v>
      </c>
      <c r="J138">
        <f t="shared" si="18"/>
        <v>2016</v>
      </c>
      <c r="K138" s="17">
        <f t="shared" si="19"/>
        <v>14.1</v>
      </c>
      <c r="L138" s="17">
        <f t="shared" si="20"/>
        <v>6.2</v>
      </c>
      <c r="M138" s="17">
        <f t="shared" si="21"/>
        <v>7.8999999999999995</v>
      </c>
    </row>
    <row r="139" spans="1:13" x14ac:dyDescent="0.25">
      <c r="A139" s="2">
        <f t="shared" si="14"/>
        <v>2017</v>
      </c>
      <c r="D139" s="17">
        <v>14.1</v>
      </c>
      <c r="E139" s="17">
        <v>6.3</v>
      </c>
      <c r="F139" s="21">
        <f t="shared" si="15"/>
        <v>1</v>
      </c>
      <c r="G139" s="17">
        <f t="shared" si="16"/>
        <v>14.1</v>
      </c>
      <c r="H139" s="17">
        <f t="shared" si="17"/>
        <v>6.3</v>
      </c>
      <c r="J139">
        <f t="shared" si="18"/>
        <v>2017</v>
      </c>
      <c r="K139" s="17">
        <f t="shared" si="19"/>
        <v>14.1</v>
      </c>
      <c r="L139" s="17">
        <f t="shared" si="20"/>
        <v>6.3</v>
      </c>
      <c r="M139" s="17">
        <f t="shared" si="21"/>
        <v>7.8</v>
      </c>
    </row>
    <row r="140" spans="1:13" x14ac:dyDescent="0.25">
      <c r="A140" s="2">
        <f t="shared" si="14"/>
        <v>2018</v>
      </c>
      <c r="D140" s="17">
        <v>14</v>
      </c>
      <c r="E140" s="17">
        <v>6.3</v>
      </c>
      <c r="F140" s="21">
        <f t="shared" si="15"/>
        <v>1</v>
      </c>
      <c r="G140" s="17">
        <f t="shared" si="16"/>
        <v>14</v>
      </c>
      <c r="H140" s="17">
        <f t="shared" si="17"/>
        <v>6.3</v>
      </c>
      <c r="J140">
        <f t="shared" si="18"/>
        <v>2018</v>
      </c>
      <c r="K140" s="17">
        <f t="shared" si="19"/>
        <v>14</v>
      </c>
      <c r="L140" s="17">
        <f t="shared" si="20"/>
        <v>6.3</v>
      </c>
      <c r="M140" s="17">
        <f t="shared" si="21"/>
        <v>7.7</v>
      </c>
    </row>
    <row r="141" spans="1:13" x14ac:dyDescent="0.25">
      <c r="A141" s="2">
        <f t="shared" si="14"/>
        <v>2019</v>
      </c>
      <c r="D141" s="17">
        <v>13.5</v>
      </c>
      <c r="E141" s="17">
        <v>6.5</v>
      </c>
      <c r="F141" s="21">
        <f t="shared" si="15"/>
        <v>1</v>
      </c>
      <c r="G141" s="17">
        <f t="shared" si="16"/>
        <v>13.5</v>
      </c>
      <c r="H141" s="17">
        <f t="shared" si="17"/>
        <v>6.5</v>
      </c>
      <c r="J141">
        <f t="shared" si="18"/>
        <v>2019</v>
      </c>
      <c r="K141" s="17">
        <f t="shared" si="19"/>
        <v>13.5</v>
      </c>
      <c r="L141" s="17">
        <f t="shared" si="20"/>
        <v>6.5</v>
      </c>
      <c r="M141" s="17">
        <f t="shared" si="21"/>
        <v>7</v>
      </c>
    </row>
    <row r="142" spans="1:13" x14ac:dyDescent="0.25">
      <c r="A142" s="2">
        <f t="shared" si="14"/>
        <v>2020</v>
      </c>
      <c r="D142" s="17">
        <v>13</v>
      </c>
      <c r="E142" s="17">
        <v>7.5</v>
      </c>
      <c r="F142" s="21">
        <f t="shared" si="15"/>
        <v>1</v>
      </c>
      <c r="G142" s="17">
        <f t="shared" si="16"/>
        <v>13</v>
      </c>
      <c r="H142" s="17">
        <f t="shared" si="17"/>
        <v>7.5</v>
      </c>
      <c r="J142">
        <f t="shared" si="18"/>
        <v>2020</v>
      </c>
      <c r="K142" s="17">
        <f t="shared" si="19"/>
        <v>13</v>
      </c>
      <c r="L142" s="17">
        <f t="shared" si="20"/>
        <v>7.5</v>
      </c>
      <c r="M142" s="17">
        <f t="shared" si="21"/>
        <v>5.5</v>
      </c>
    </row>
    <row r="143" spans="1:13" x14ac:dyDescent="0.25">
      <c r="A143" s="2">
        <f t="shared" si="14"/>
        <v>2021</v>
      </c>
      <c r="D143" s="17">
        <v>12.8</v>
      </c>
      <c r="E143" s="17">
        <v>8.4</v>
      </c>
      <c r="F143" s="21">
        <f t="shared" si="15"/>
        <v>1</v>
      </c>
      <c r="G143" s="17">
        <f t="shared" si="16"/>
        <v>12.8</v>
      </c>
      <c r="H143" s="17">
        <f t="shared" si="17"/>
        <v>8.4</v>
      </c>
      <c r="J143">
        <f t="shared" si="18"/>
        <v>2021</v>
      </c>
      <c r="K143" s="17">
        <f t="shared" si="19"/>
        <v>12.8</v>
      </c>
      <c r="L143" s="17">
        <f t="shared" si="20"/>
        <v>8.4</v>
      </c>
      <c r="M143" s="17">
        <f t="shared" si="21"/>
        <v>4.4000000000000004</v>
      </c>
    </row>
    <row r="144" spans="1:13" x14ac:dyDescent="0.25">
      <c r="A144" s="2">
        <f t="shared" si="14"/>
        <v>2022</v>
      </c>
      <c r="D144" s="17">
        <v>12.6</v>
      </c>
      <c r="E144" s="17">
        <v>7.5</v>
      </c>
      <c r="F144" s="21">
        <f t="shared" si="15"/>
        <v>1</v>
      </c>
      <c r="G144" s="17">
        <f t="shared" si="16"/>
        <v>12.6</v>
      </c>
      <c r="H144" s="17">
        <f t="shared" si="17"/>
        <v>7.5</v>
      </c>
      <c r="J144">
        <f t="shared" si="18"/>
        <v>2022</v>
      </c>
      <c r="K144" s="17">
        <f t="shared" si="19"/>
        <v>12.6</v>
      </c>
      <c r="L144" s="17">
        <f t="shared" si="20"/>
        <v>7.5</v>
      </c>
      <c r="M144" s="17">
        <f t="shared" si="21"/>
        <v>5.0999999999999996</v>
      </c>
    </row>
    <row r="145" spans="1:13" x14ac:dyDescent="0.25">
      <c r="A145" s="2">
        <f t="shared" si="14"/>
        <v>2023</v>
      </c>
      <c r="D145" s="17">
        <v>12.3</v>
      </c>
      <c r="E145" s="17">
        <v>7.1</v>
      </c>
      <c r="F145" s="21">
        <f t="shared" si="15"/>
        <v>1</v>
      </c>
      <c r="G145" s="17">
        <f t="shared" si="16"/>
        <v>12.3</v>
      </c>
      <c r="H145" s="17">
        <f t="shared" si="17"/>
        <v>7.1</v>
      </c>
      <c r="J145">
        <f t="shared" si="18"/>
        <v>2023</v>
      </c>
      <c r="K145" s="17">
        <f t="shared" si="19"/>
        <v>12.3</v>
      </c>
      <c r="L145" s="17">
        <f t="shared" si="20"/>
        <v>7.1</v>
      </c>
      <c r="M145" s="17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Все страны</vt:lpstr>
      <vt:lpstr>Бразилия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2026-06-03T07:21:52Z</dcterms:modified>
</cp:coreProperties>
</file>