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"/>
    </mc:Choice>
  </mc:AlternateContent>
  <xr:revisionPtr revIDLastSave="0" documentId="13_ncr:1_{700CE7B4-6AC2-432F-8567-B6233AA2D0BD}" xr6:coauthVersionLast="45" xr6:coauthVersionMax="45" xr10:uidLastSave="{00000000-0000-0000-0000-000000000000}"/>
  <bookViews>
    <workbookView xWindow="-60" yWindow="-60" windowWidth="38520" windowHeight="23700" tabRatio="746" firstSheet="4" activeTab="19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Колвер" sheetId="14" r:id="rId4"/>
    <sheet name="Аргентина-Ротман" sheetId="15" r:id="rId5"/>
    <sheet name="Бразилия" sheetId="3" r:id="rId6"/>
    <sheet name="Венесуэла" sheetId="5" r:id="rId7"/>
    <sheet name="Гватемала" sheetId="7" r:id="rId8"/>
    <sheet name="Колумбия" sheetId="8" r:id="rId9"/>
    <sheet name="Коста-Рика" sheetId="6" r:id="rId10"/>
    <sheet name="Куба" sheetId="18" r:id="rId11"/>
    <sheet name="Мексика-Колвер" sheetId="19" r:id="rId12"/>
    <sheet name="Панама" sheetId="17" r:id="rId13"/>
    <sheet name="Парагвай" sheetId="10" r:id="rId14"/>
    <sheet name="Перу" sheetId="11" r:id="rId15"/>
    <sheet name="Сальвадор" sheetId="12" r:id="rId16"/>
    <sheet name="Уругвай-Ротман" sheetId="16" r:id="rId17"/>
    <sheet name="Уругвай-Митчел" sheetId="20" r:id="rId18"/>
    <sheet name="Чили" sheetId="13" r:id="rId19"/>
    <sheet name="Эквадор" sheetId="9" r:id="rId2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8" i="20" l="1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D8" i="20" l="1"/>
  <c r="L131" i="19"/>
  <c r="K131" i="19"/>
  <c r="M131" i="19" s="1"/>
  <c r="J131" i="19"/>
  <c r="L130" i="19"/>
  <c r="K130" i="19"/>
  <c r="M130" i="19" s="1"/>
  <c r="J130" i="19"/>
  <c r="L129" i="19"/>
  <c r="K129" i="19"/>
  <c r="M129" i="19" s="1"/>
  <c r="J129" i="19"/>
  <c r="L128" i="19"/>
  <c r="K128" i="19"/>
  <c r="M128" i="19" s="1"/>
  <c r="J128" i="19"/>
  <c r="L127" i="19"/>
  <c r="K127" i="19"/>
  <c r="M127" i="19" s="1"/>
  <c r="J127" i="19"/>
  <c r="L126" i="19"/>
  <c r="K126" i="19"/>
  <c r="M126" i="19" s="1"/>
  <c r="J126" i="19"/>
  <c r="L125" i="19"/>
  <c r="K125" i="19"/>
  <c r="M125" i="19" s="1"/>
  <c r="J125" i="19"/>
  <c r="L124" i="19"/>
  <c r="K124" i="19"/>
  <c r="M124" i="19" s="1"/>
  <c r="J124" i="19"/>
  <c r="L123" i="19"/>
  <c r="K123" i="19"/>
  <c r="M123" i="19" s="1"/>
  <c r="J123" i="19"/>
  <c r="L122" i="19"/>
  <c r="K122" i="19"/>
  <c r="M122" i="19" s="1"/>
  <c r="J122" i="19"/>
  <c r="L121" i="19"/>
  <c r="K121" i="19"/>
  <c r="M121" i="19" s="1"/>
  <c r="J121" i="19"/>
  <c r="L120" i="19"/>
  <c r="K120" i="19"/>
  <c r="M120" i="19" s="1"/>
  <c r="J120" i="19"/>
  <c r="L119" i="19"/>
  <c r="K119" i="19"/>
  <c r="M119" i="19" s="1"/>
  <c r="J119" i="19"/>
  <c r="L118" i="19"/>
  <c r="K118" i="19"/>
  <c r="M118" i="19" s="1"/>
  <c r="J118" i="19"/>
  <c r="L117" i="19"/>
  <c r="K117" i="19"/>
  <c r="M117" i="19" s="1"/>
  <c r="J117" i="19"/>
  <c r="L116" i="19"/>
  <c r="K116" i="19"/>
  <c r="M116" i="19" s="1"/>
  <c r="J116" i="19"/>
  <c r="L115" i="19"/>
  <c r="K115" i="19"/>
  <c r="M115" i="19" s="1"/>
  <c r="J115" i="19"/>
  <c r="L114" i="19"/>
  <c r="K114" i="19"/>
  <c r="M114" i="19" s="1"/>
  <c r="J114" i="19"/>
  <c r="L113" i="19"/>
  <c r="K113" i="19"/>
  <c r="M113" i="19" s="1"/>
  <c r="J113" i="19"/>
  <c r="L112" i="19"/>
  <c r="K112" i="19"/>
  <c r="M112" i="19" s="1"/>
  <c r="J112" i="19"/>
  <c r="L111" i="19"/>
  <c r="K111" i="19"/>
  <c r="M111" i="19" s="1"/>
  <c r="J111" i="19"/>
  <c r="L110" i="19"/>
  <c r="K110" i="19"/>
  <c r="M110" i="19" s="1"/>
  <c r="J110" i="19"/>
  <c r="L109" i="19"/>
  <c r="K109" i="19"/>
  <c r="M109" i="19" s="1"/>
  <c r="J109" i="19"/>
  <c r="L108" i="19"/>
  <c r="K108" i="19"/>
  <c r="M108" i="19" s="1"/>
  <c r="J108" i="19"/>
  <c r="L107" i="19"/>
  <c r="K107" i="19"/>
  <c r="M107" i="19" s="1"/>
  <c r="J107" i="19"/>
  <c r="L106" i="19"/>
  <c r="K106" i="19"/>
  <c r="M106" i="19" s="1"/>
  <c r="J106" i="19"/>
  <c r="L105" i="19"/>
  <c r="K105" i="19"/>
  <c r="M105" i="19" s="1"/>
  <c r="J105" i="19"/>
  <c r="L104" i="19"/>
  <c r="K104" i="19"/>
  <c r="M104" i="19" s="1"/>
  <c r="J104" i="19"/>
  <c r="L103" i="19"/>
  <c r="K103" i="19"/>
  <c r="M103" i="19" s="1"/>
  <c r="J103" i="19"/>
  <c r="L102" i="19"/>
  <c r="K102" i="19"/>
  <c r="M102" i="19" s="1"/>
  <c r="J102" i="19"/>
  <c r="L101" i="19"/>
  <c r="K101" i="19"/>
  <c r="M101" i="19" s="1"/>
  <c r="J101" i="19"/>
  <c r="L100" i="19"/>
  <c r="K100" i="19"/>
  <c r="M100" i="19" s="1"/>
  <c r="J100" i="19"/>
  <c r="L99" i="19"/>
  <c r="K99" i="19"/>
  <c r="M99" i="19" s="1"/>
  <c r="J99" i="19"/>
  <c r="L98" i="19"/>
  <c r="K98" i="19"/>
  <c r="M98" i="19" s="1"/>
  <c r="J98" i="19"/>
  <c r="L97" i="19"/>
  <c r="K97" i="19"/>
  <c r="M97" i="19" s="1"/>
  <c r="J97" i="19"/>
  <c r="L96" i="19"/>
  <c r="K96" i="19"/>
  <c r="M96" i="19" s="1"/>
  <c r="J96" i="19"/>
  <c r="L95" i="19"/>
  <c r="K95" i="19"/>
  <c r="M95" i="19" s="1"/>
  <c r="J95" i="19"/>
  <c r="L94" i="19"/>
  <c r="K94" i="19"/>
  <c r="M94" i="19" s="1"/>
  <c r="J94" i="19"/>
  <c r="L93" i="19"/>
  <c r="K93" i="19"/>
  <c r="M93" i="19" s="1"/>
  <c r="J93" i="19"/>
  <c r="L92" i="19"/>
  <c r="K92" i="19"/>
  <c r="M92" i="19" s="1"/>
  <c r="J92" i="19"/>
  <c r="L91" i="19"/>
  <c r="K91" i="19"/>
  <c r="M91" i="19" s="1"/>
  <c r="J91" i="19"/>
  <c r="L90" i="19"/>
  <c r="K90" i="19"/>
  <c r="M90" i="19" s="1"/>
  <c r="J90" i="19"/>
  <c r="L89" i="19"/>
  <c r="K89" i="19"/>
  <c r="M89" i="19" s="1"/>
  <c r="J89" i="19"/>
  <c r="L88" i="19"/>
  <c r="K88" i="19"/>
  <c r="M88" i="19" s="1"/>
  <c r="J88" i="19"/>
  <c r="L87" i="19"/>
  <c r="K87" i="19"/>
  <c r="M87" i="19" s="1"/>
  <c r="J87" i="19"/>
  <c r="L86" i="19"/>
  <c r="K86" i="19"/>
  <c r="M86" i="19" s="1"/>
  <c r="J86" i="19"/>
  <c r="L85" i="19"/>
  <c r="K85" i="19"/>
  <c r="M85" i="19" s="1"/>
  <c r="J85" i="19"/>
  <c r="L84" i="19"/>
  <c r="K84" i="19"/>
  <c r="M84" i="19" s="1"/>
  <c r="J84" i="19"/>
  <c r="L83" i="19"/>
  <c r="K83" i="19"/>
  <c r="M83" i="19" s="1"/>
  <c r="J83" i="19"/>
  <c r="L82" i="19"/>
  <c r="K82" i="19"/>
  <c r="M82" i="19" s="1"/>
  <c r="J82" i="19"/>
  <c r="L81" i="19"/>
  <c r="K81" i="19"/>
  <c r="M81" i="19" s="1"/>
  <c r="J81" i="19"/>
  <c r="L80" i="19"/>
  <c r="K80" i="19"/>
  <c r="M80" i="19" s="1"/>
  <c r="J80" i="19"/>
  <c r="L79" i="19"/>
  <c r="K79" i="19"/>
  <c r="M79" i="19" s="1"/>
  <c r="J79" i="19"/>
  <c r="L78" i="19"/>
  <c r="K78" i="19"/>
  <c r="M78" i="19" s="1"/>
  <c r="J78" i="19"/>
  <c r="L77" i="19"/>
  <c r="K77" i="19"/>
  <c r="M77" i="19" s="1"/>
  <c r="J77" i="19"/>
  <c r="L76" i="19"/>
  <c r="K76" i="19"/>
  <c r="M76" i="19" s="1"/>
  <c r="J76" i="19"/>
  <c r="L75" i="19"/>
  <c r="K75" i="19"/>
  <c r="M75" i="19" s="1"/>
  <c r="J75" i="19"/>
  <c r="L74" i="19"/>
  <c r="K74" i="19"/>
  <c r="M74" i="19" s="1"/>
  <c r="J74" i="19"/>
  <c r="L73" i="19"/>
  <c r="K73" i="19"/>
  <c r="M73" i="19" s="1"/>
  <c r="J73" i="19"/>
  <c r="L72" i="19"/>
  <c r="K72" i="19"/>
  <c r="M72" i="19" s="1"/>
  <c r="J72" i="19"/>
  <c r="L71" i="19"/>
  <c r="K71" i="19"/>
  <c r="M71" i="19" s="1"/>
  <c r="J71" i="19"/>
  <c r="L70" i="19"/>
  <c r="K70" i="19"/>
  <c r="M70" i="19" s="1"/>
  <c r="J70" i="19"/>
  <c r="L69" i="19"/>
  <c r="K69" i="19"/>
  <c r="M69" i="19" s="1"/>
  <c r="J69" i="19"/>
  <c r="L68" i="19"/>
  <c r="K68" i="19"/>
  <c r="M68" i="19" s="1"/>
  <c r="J68" i="19"/>
  <c r="L67" i="19"/>
  <c r="K67" i="19"/>
  <c r="M67" i="19" s="1"/>
  <c r="J67" i="19"/>
  <c r="L66" i="19"/>
  <c r="K66" i="19"/>
  <c r="M66" i="19" s="1"/>
  <c r="J66" i="19"/>
  <c r="L65" i="19"/>
  <c r="K65" i="19"/>
  <c r="M65" i="19" s="1"/>
  <c r="J65" i="19"/>
  <c r="L64" i="19"/>
  <c r="K64" i="19"/>
  <c r="M64" i="19" s="1"/>
  <c r="J64" i="19"/>
  <c r="L63" i="19"/>
  <c r="K63" i="19"/>
  <c r="M63" i="19" s="1"/>
  <c r="J63" i="19"/>
  <c r="L62" i="19"/>
  <c r="K62" i="19"/>
  <c r="M62" i="19" s="1"/>
  <c r="J62" i="19"/>
  <c r="L61" i="19"/>
  <c r="K61" i="19"/>
  <c r="M61" i="19" s="1"/>
  <c r="J61" i="19"/>
  <c r="L60" i="19"/>
  <c r="K60" i="19"/>
  <c r="M60" i="19" s="1"/>
  <c r="J60" i="19"/>
  <c r="L59" i="19"/>
  <c r="K59" i="19"/>
  <c r="M59" i="19" s="1"/>
  <c r="J59" i="19"/>
  <c r="L58" i="19"/>
  <c r="K58" i="19"/>
  <c r="M58" i="19" s="1"/>
  <c r="J58" i="19"/>
  <c r="L57" i="19"/>
  <c r="K57" i="19"/>
  <c r="M57" i="19" s="1"/>
  <c r="J57" i="19"/>
  <c r="L56" i="19"/>
  <c r="K56" i="19"/>
  <c r="M56" i="19" s="1"/>
  <c r="J56" i="19"/>
  <c r="L55" i="19"/>
  <c r="K55" i="19"/>
  <c r="M55" i="19" s="1"/>
  <c r="J55" i="19"/>
  <c r="L54" i="19"/>
  <c r="K54" i="19"/>
  <c r="M54" i="19" s="1"/>
  <c r="J54" i="19"/>
  <c r="L53" i="19"/>
  <c r="K53" i="19"/>
  <c r="M53" i="19" s="1"/>
  <c r="J53" i="19"/>
  <c r="L52" i="19"/>
  <c r="K52" i="19"/>
  <c r="M52" i="19" s="1"/>
  <c r="J52" i="19"/>
  <c r="L51" i="19"/>
  <c r="K51" i="19"/>
  <c r="M51" i="19" s="1"/>
  <c r="J51" i="19"/>
  <c r="L50" i="19"/>
  <c r="K50" i="19"/>
  <c r="M50" i="19" s="1"/>
  <c r="J50" i="19"/>
  <c r="L49" i="19"/>
  <c r="K49" i="19"/>
  <c r="M49" i="19" s="1"/>
  <c r="J49" i="19"/>
  <c r="L48" i="19"/>
  <c r="K48" i="19"/>
  <c r="M48" i="19" s="1"/>
  <c r="J48" i="19"/>
  <c r="L47" i="19"/>
  <c r="K47" i="19"/>
  <c r="M47" i="19" s="1"/>
  <c r="J47" i="19"/>
  <c r="L46" i="19"/>
  <c r="K46" i="19"/>
  <c r="M46" i="19" s="1"/>
  <c r="J46" i="19"/>
  <c r="L45" i="19"/>
  <c r="K45" i="19"/>
  <c r="M45" i="19" s="1"/>
  <c r="J45" i="19"/>
  <c r="L44" i="19"/>
  <c r="K44" i="19"/>
  <c r="M44" i="19" s="1"/>
  <c r="J44" i="19"/>
  <c r="L43" i="19"/>
  <c r="K43" i="19"/>
  <c r="M43" i="19" s="1"/>
  <c r="J43" i="19"/>
  <c r="L42" i="19"/>
  <c r="K42" i="19"/>
  <c r="M42" i="19" s="1"/>
  <c r="J42" i="19"/>
  <c r="L41" i="19"/>
  <c r="K41" i="19"/>
  <c r="M41" i="19" s="1"/>
  <c r="J41" i="19"/>
  <c r="L40" i="19"/>
  <c r="K40" i="19"/>
  <c r="M40" i="19" s="1"/>
  <c r="J40" i="19"/>
  <c r="L39" i="19"/>
  <c r="K39" i="19"/>
  <c r="M39" i="19" s="1"/>
  <c r="J39" i="19"/>
  <c r="L38" i="19"/>
  <c r="K38" i="19"/>
  <c r="M38" i="19" s="1"/>
  <c r="J38" i="19"/>
  <c r="L37" i="19"/>
  <c r="K37" i="19"/>
  <c r="M37" i="19" s="1"/>
  <c r="J37" i="19"/>
  <c r="L36" i="19"/>
  <c r="K36" i="19"/>
  <c r="M36" i="19" s="1"/>
  <c r="J36" i="19"/>
  <c r="L35" i="19"/>
  <c r="K35" i="19"/>
  <c r="M35" i="19" s="1"/>
  <c r="J35" i="19"/>
  <c r="L34" i="19"/>
  <c r="K34" i="19"/>
  <c r="M34" i="19" s="1"/>
  <c r="J34" i="19"/>
  <c r="L33" i="19"/>
  <c r="K33" i="19"/>
  <c r="M33" i="19" s="1"/>
  <c r="J33" i="19"/>
  <c r="L32" i="19"/>
  <c r="K32" i="19"/>
  <c r="M32" i="19" s="1"/>
  <c r="J32" i="19"/>
  <c r="L31" i="19"/>
  <c r="K31" i="19"/>
  <c r="M31" i="19" s="1"/>
  <c r="J31" i="19"/>
  <c r="L30" i="19"/>
  <c r="K30" i="19"/>
  <c r="M30" i="19" s="1"/>
  <c r="J30" i="19"/>
  <c r="L29" i="19"/>
  <c r="K29" i="19"/>
  <c r="M29" i="19" s="1"/>
  <c r="J29" i="19"/>
  <c r="L28" i="19"/>
  <c r="K28" i="19"/>
  <c r="M28" i="19" s="1"/>
  <c r="J28" i="19"/>
  <c r="L27" i="19"/>
  <c r="K27" i="19"/>
  <c r="M27" i="19" s="1"/>
  <c r="J27" i="19"/>
  <c r="L26" i="19"/>
  <c r="K26" i="19"/>
  <c r="M26" i="19" s="1"/>
  <c r="J26" i="19"/>
  <c r="L25" i="19"/>
  <c r="K25" i="19"/>
  <c r="M25" i="19" s="1"/>
  <c r="J25" i="19"/>
  <c r="L24" i="19"/>
  <c r="K24" i="19"/>
  <c r="M24" i="19" s="1"/>
  <c r="J24" i="19"/>
  <c r="L23" i="19"/>
  <c r="K23" i="19"/>
  <c r="M23" i="19" s="1"/>
  <c r="J23" i="19"/>
  <c r="L22" i="19"/>
  <c r="K22" i="19"/>
  <c r="M22" i="19" s="1"/>
  <c r="J22" i="19"/>
  <c r="L21" i="19"/>
  <c r="K21" i="19"/>
  <c r="M21" i="19" s="1"/>
  <c r="J21" i="19"/>
  <c r="L20" i="19"/>
  <c r="K20" i="19"/>
  <c r="M20" i="19" s="1"/>
  <c r="J20" i="19"/>
  <c r="L19" i="19"/>
  <c r="K19" i="19"/>
  <c r="M19" i="19" s="1"/>
  <c r="J19" i="19"/>
  <c r="L18" i="19"/>
  <c r="K18" i="19"/>
  <c r="M18" i="19" s="1"/>
  <c r="J18" i="19"/>
  <c r="L17" i="19"/>
  <c r="K17" i="19"/>
  <c r="M17" i="19" s="1"/>
  <c r="J17" i="19"/>
  <c r="L16" i="19"/>
  <c r="K16" i="19"/>
  <c r="M16" i="19" s="1"/>
  <c r="J16" i="19"/>
  <c r="L15" i="19"/>
  <c r="K15" i="19"/>
  <c r="M15" i="19" s="1"/>
  <c r="J15" i="19"/>
  <c r="L14" i="19"/>
  <c r="K14" i="19"/>
  <c r="M14" i="19" s="1"/>
  <c r="J14" i="19"/>
  <c r="L13" i="19"/>
  <c r="K13" i="19"/>
  <c r="M13" i="19" s="1"/>
  <c r="J13" i="19"/>
  <c r="L12" i="19"/>
  <c r="K12" i="19"/>
  <c r="M12" i="19" s="1"/>
  <c r="J12" i="19"/>
  <c r="L11" i="19"/>
  <c r="K11" i="19"/>
  <c r="M11" i="19" s="1"/>
  <c r="J11" i="19"/>
  <c r="L10" i="19"/>
  <c r="K10" i="19"/>
  <c r="M10" i="19" s="1"/>
  <c r="J10" i="19"/>
  <c r="L9" i="19"/>
  <c r="K9" i="19"/>
  <c r="M9" i="19" s="1"/>
  <c r="J9" i="19"/>
  <c r="L8" i="19"/>
  <c r="K8" i="19"/>
  <c r="M8" i="19" s="1"/>
  <c r="J8" i="19"/>
  <c r="L7" i="19"/>
  <c r="K7" i="19"/>
  <c r="M7" i="19" s="1"/>
  <c r="J7" i="19"/>
  <c r="L6" i="19"/>
  <c r="K6" i="19"/>
  <c r="M6" i="19" s="1"/>
  <c r="J6" i="19"/>
  <c r="L5" i="19"/>
  <c r="K5" i="19"/>
  <c r="M5" i="19" s="1"/>
  <c r="J5" i="19"/>
  <c r="L4" i="19"/>
  <c r="K4" i="19"/>
  <c r="M4" i="19" s="1"/>
  <c r="J4" i="19"/>
  <c r="M3" i="19"/>
  <c r="L3" i="19"/>
  <c r="K3" i="19"/>
  <c r="J3" i="19"/>
  <c r="H131" i="19"/>
  <c r="G131" i="19"/>
  <c r="H130" i="19"/>
  <c r="G130" i="19"/>
  <c r="H129" i="19"/>
  <c r="G129" i="19"/>
  <c r="H128" i="19"/>
  <c r="G128" i="19"/>
  <c r="H127" i="19"/>
  <c r="G127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G120" i="19"/>
  <c r="H119" i="19"/>
  <c r="G119" i="19"/>
  <c r="H118" i="19"/>
  <c r="G118" i="19"/>
  <c r="H117" i="19"/>
  <c r="G117" i="19"/>
  <c r="H116" i="19"/>
  <c r="G116" i="19"/>
  <c r="H115" i="19"/>
  <c r="G115" i="19"/>
  <c r="H114" i="19"/>
  <c r="G114" i="19"/>
  <c r="H113" i="19"/>
  <c r="G113" i="19"/>
  <c r="H112" i="19"/>
  <c r="G112" i="19"/>
  <c r="H111" i="19"/>
  <c r="G111" i="19"/>
  <c r="H110" i="19"/>
  <c r="G110" i="19"/>
  <c r="H109" i="19"/>
  <c r="G109" i="19"/>
  <c r="H108" i="19"/>
  <c r="G108" i="19"/>
  <c r="H107" i="19"/>
  <c r="G107" i="19"/>
  <c r="H106" i="19"/>
  <c r="G106" i="19"/>
  <c r="H105" i="19"/>
  <c r="G105" i="19"/>
  <c r="H104" i="19"/>
  <c r="G104" i="19"/>
  <c r="H103" i="19"/>
  <c r="G103" i="19"/>
  <c r="H102" i="19"/>
  <c r="G102" i="19"/>
  <c r="H101" i="19"/>
  <c r="G101" i="19"/>
  <c r="H100" i="19"/>
  <c r="G100" i="19"/>
  <c r="H99" i="19"/>
  <c r="G99" i="19"/>
  <c r="H98" i="19"/>
  <c r="G98" i="19"/>
  <c r="H97" i="19"/>
  <c r="G97" i="19"/>
  <c r="H96" i="19"/>
  <c r="G96" i="19"/>
  <c r="H95" i="19"/>
  <c r="G95" i="19"/>
  <c r="H94" i="19"/>
  <c r="G94" i="19"/>
  <c r="H93" i="19"/>
  <c r="G93" i="19"/>
  <c r="H92" i="19"/>
  <c r="G92" i="19"/>
  <c r="H91" i="19"/>
  <c r="G91" i="19"/>
  <c r="H90" i="19"/>
  <c r="G90" i="19"/>
  <c r="H89" i="19"/>
  <c r="G89" i="19"/>
  <c r="H88" i="19"/>
  <c r="G88" i="19"/>
  <c r="H87" i="19"/>
  <c r="G87" i="19"/>
  <c r="H86" i="19"/>
  <c r="G86" i="19"/>
  <c r="H85" i="19"/>
  <c r="G85" i="19"/>
  <c r="H84" i="19"/>
  <c r="G84" i="19"/>
  <c r="H83" i="19"/>
  <c r="G83" i="19"/>
  <c r="H82" i="19"/>
  <c r="G82" i="19"/>
  <c r="H81" i="19"/>
  <c r="G81" i="19"/>
  <c r="H80" i="19"/>
  <c r="G80" i="19"/>
  <c r="H79" i="19"/>
  <c r="G79" i="19"/>
  <c r="H78" i="19"/>
  <c r="G78" i="19"/>
  <c r="H77" i="19"/>
  <c r="G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H36" i="19"/>
  <c r="G36" i="19"/>
  <c r="H35" i="19"/>
  <c r="G35" i="19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H27" i="19"/>
  <c r="G27" i="19"/>
  <c r="H26" i="19"/>
  <c r="G26" i="19"/>
  <c r="H25" i="19"/>
  <c r="G25" i="19"/>
  <c r="H24" i="19"/>
  <c r="G24" i="19"/>
  <c r="H23" i="19"/>
  <c r="G23" i="19"/>
  <c r="H22" i="19"/>
  <c r="G22" i="19"/>
  <c r="H21" i="19"/>
  <c r="G21" i="19"/>
  <c r="H20" i="19"/>
  <c r="G20" i="19"/>
  <c r="H19" i="19"/>
  <c r="G19" i="19"/>
  <c r="H18" i="19"/>
  <c r="G18" i="19"/>
  <c r="H17" i="19"/>
  <c r="G17" i="19"/>
  <c r="H16" i="19"/>
  <c r="G16" i="19"/>
  <c r="H15" i="19"/>
  <c r="G15" i="19"/>
  <c r="H14" i="19"/>
  <c r="G14" i="19"/>
  <c r="H13" i="19"/>
  <c r="G13" i="19"/>
  <c r="H12" i="19"/>
  <c r="G12" i="19"/>
  <c r="H11" i="19"/>
  <c r="G11" i="19"/>
  <c r="H10" i="19"/>
  <c r="G10" i="19"/>
  <c r="H9" i="19"/>
  <c r="G9" i="19"/>
  <c r="H8" i="19"/>
  <c r="G8" i="19"/>
  <c r="H7" i="19"/>
  <c r="G7" i="19"/>
  <c r="H6" i="19"/>
  <c r="G6" i="19"/>
  <c r="H5" i="19"/>
  <c r="G5" i="19"/>
  <c r="H4" i="19"/>
  <c r="G4" i="19"/>
  <c r="H3" i="19"/>
  <c r="G3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3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D125" i="18" l="1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45" i="3" l="1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L145" i="3"/>
  <c r="K145" i="3"/>
  <c r="J145" i="3"/>
  <c r="L144" i="3"/>
  <c r="K144" i="3"/>
  <c r="J144" i="3"/>
  <c r="L143" i="3"/>
  <c r="K143" i="3"/>
  <c r="J143" i="3"/>
  <c r="L142" i="3"/>
  <c r="K142" i="3"/>
  <c r="J142" i="3"/>
  <c r="L141" i="3"/>
  <c r="K141" i="3"/>
  <c r="J141" i="3"/>
  <c r="L140" i="3"/>
  <c r="K140" i="3"/>
  <c r="J140" i="3"/>
  <c r="L139" i="3"/>
  <c r="K139" i="3"/>
  <c r="J139" i="3"/>
  <c r="L138" i="3"/>
  <c r="K138" i="3"/>
  <c r="J138" i="3"/>
  <c r="L137" i="3"/>
  <c r="K137" i="3"/>
  <c r="J137" i="3"/>
  <c r="L136" i="3"/>
  <c r="K136" i="3"/>
  <c r="J136" i="3"/>
  <c r="L135" i="3"/>
  <c r="K135" i="3"/>
  <c r="J135" i="3"/>
  <c r="L134" i="3"/>
  <c r="K134" i="3"/>
  <c r="J134" i="3"/>
  <c r="L133" i="3"/>
  <c r="K133" i="3"/>
  <c r="J133" i="3"/>
  <c r="L132" i="3"/>
  <c r="K132" i="3"/>
  <c r="J132" i="3"/>
  <c r="L131" i="3"/>
  <c r="K131" i="3"/>
  <c r="J131" i="3"/>
  <c r="L130" i="3"/>
  <c r="K130" i="3"/>
  <c r="J130" i="3"/>
  <c r="L129" i="3"/>
  <c r="K129" i="3"/>
  <c r="J129" i="3"/>
  <c r="L128" i="3"/>
  <c r="K128" i="3"/>
  <c r="J128" i="3"/>
  <c r="L127" i="3"/>
  <c r="K127" i="3"/>
  <c r="J127" i="3"/>
  <c r="L126" i="3"/>
  <c r="K126" i="3"/>
  <c r="J126" i="3"/>
  <c r="L125" i="3"/>
  <c r="K125" i="3"/>
  <c r="J125" i="3"/>
  <c r="L124" i="3"/>
  <c r="K124" i="3"/>
  <c r="J124" i="3"/>
  <c r="L123" i="3"/>
  <c r="K123" i="3"/>
  <c r="J123" i="3"/>
  <c r="L122" i="3"/>
  <c r="K122" i="3"/>
  <c r="J122" i="3"/>
  <c r="L121" i="3"/>
  <c r="K121" i="3"/>
  <c r="J121" i="3"/>
  <c r="L120" i="3"/>
  <c r="K120" i="3"/>
  <c r="J120" i="3"/>
  <c r="L119" i="3"/>
  <c r="K119" i="3"/>
  <c r="J119" i="3"/>
  <c r="L118" i="3"/>
  <c r="K118" i="3"/>
  <c r="J118" i="3"/>
  <c r="L117" i="3"/>
  <c r="K117" i="3"/>
  <c r="J117" i="3"/>
  <c r="L116" i="3"/>
  <c r="K116" i="3"/>
  <c r="J116" i="3"/>
  <c r="L115" i="3"/>
  <c r="K115" i="3"/>
  <c r="J115" i="3"/>
  <c r="L114" i="3"/>
  <c r="K114" i="3"/>
  <c r="J114" i="3"/>
  <c r="L113" i="3"/>
  <c r="K113" i="3"/>
  <c r="J113" i="3"/>
  <c r="L112" i="3"/>
  <c r="K112" i="3"/>
  <c r="J112" i="3"/>
  <c r="L111" i="3"/>
  <c r="K111" i="3"/>
  <c r="J111" i="3"/>
  <c r="L110" i="3"/>
  <c r="K110" i="3"/>
  <c r="J110" i="3"/>
  <c r="L109" i="3"/>
  <c r="K109" i="3"/>
  <c r="J109" i="3"/>
  <c r="L108" i="3"/>
  <c r="K108" i="3"/>
  <c r="J108" i="3"/>
  <c r="L107" i="3"/>
  <c r="K107" i="3"/>
  <c r="J107" i="3"/>
  <c r="L106" i="3"/>
  <c r="K106" i="3"/>
  <c r="J106" i="3"/>
  <c r="L105" i="3"/>
  <c r="K105" i="3"/>
  <c r="J105" i="3"/>
  <c r="L104" i="3"/>
  <c r="K104" i="3"/>
  <c r="J104" i="3"/>
  <c r="L103" i="3"/>
  <c r="K103" i="3"/>
  <c r="J103" i="3"/>
  <c r="L102" i="3"/>
  <c r="K102" i="3"/>
  <c r="J102" i="3"/>
  <c r="L101" i="3"/>
  <c r="K101" i="3"/>
  <c r="J101" i="3"/>
  <c r="L100" i="3"/>
  <c r="K100" i="3"/>
  <c r="J100" i="3"/>
  <c r="L99" i="3"/>
  <c r="K99" i="3"/>
  <c r="J99" i="3"/>
  <c r="L98" i="3"/>
  <c r="K98" i="3"/>
  <c r="J98" i="3"/>
  <c r="L97" i="3"/>
  <c r="K97" i="3"/>
  <c r="J97" i="3"/>
  <c r="L96" i="3"/>
  <c r="K96" i="3"/>
  <c r="J96" i="3"/>
  <c r="L95" i="3"/>
  <c r="K95" i="3"/>
  <c r="J95" i="3"/>
  <c r="L94" i="3"/>
  <c r="K94" i="3"/>
  <c r="J94" i="3"/>
  <c r="L93" i="3"/>
  <c r="K93" i="3"/>
  <c r="J93" i="3"/>
  <c r="L92" i="3"/>
  <c r="K92" i="3"/>
  <c r="J92" i="3"/>
  <c r="L91" i="3"/>
  <c r="K91" i="3"/>
  <c r="J91" i="3"/>
  <c r="L90" i="3"/>
  <c r="K90" i="3"/>
  <c r="J90" i="3"/>
  <c r="L89" i="3"/>
  <c r="K89" i="3"/>
  <c r="J89" i="3"/>
  <c r="L88" i="3"/>
  <c r="K88" i="3"/>
  <c r="J88" i="3"/>
  <c r="L87" i="3"/>
  <c r="K87" i="3"/>
  <c r="J87" i="3"/>
  <c r="L86" i="3"/>
  <c r="K86" i="3"/>
  <c r="J86" i="3"/>
  <c r="L85" i="3"/>
  <c r="K85" i="3"/>
  <c r="J85" i="3"/>
  <c r="L84" i="3"/>
  <c r="K84" i="3"/>
  <c r="J84" i="3"/>
  <c r="L83" i="3"/>
  <c r="K83" i="3"/>
  <c r="J83" i="3"/>
  <c r="L82" i="3"/>
  <c r="K82" i="3"/>
  <c r="J82" i="3"/>
  <c r="L81" i="3"/>
  <c r="K81" i="3"/>
  <c r="J81" i="3"/>
  <c r="L80" i="3"/>
  <c r="K80" i="3"/>
  <c r="J80" i="3"/>
  <c r="L79" i="3"/>
  <c r="K79" i="3"/>
  <c r="J79" i="3"/>
  <c r="L78" i="3"/>
  <c r="K78" i="3"/>
  <c r="J78" i="3"/>
  <c r="L77" i="3"/>
  <c r="K77" i="3"/>
  <c r="J77" i="3"/>
  <c r="L76" i="3"/>
  <c r="K76" i="3"/>
  <c r="J76" i="3"/>
  <c r="L75" i="3"/>
  <c r="K75" i="3"/>
  <c r="J75" i="3"/>
  <c r="L74" i="3"/>
  <c r="K74" i="3"/>
  <c r="J74" i="3"/>
  <c r="L73" i="3"/>
  <c r="K73" i="3"/>
  <c r="J73" i="3"/>
  <c r="L72" i="3"/>
  <c r="K72" i="3"/>
  <c r="J72" i="3"/>
  <c r="L71" i="3"/>
  <c r="K71" i="3"/>
  <c r="J71" i="3"/>
  <c r="L70" i="3"/>
  <c r="K70" i="3"/>
  <c r="J70" i="3"/>
  <c r="L69" i="3"/>
  <c r="K69" i="3"/>
  <c r="J69" i="3"/>
  <c r="L68" i="3"/>
  <c r="K68" i="3"/>
  <c r="J68" i="3"/>
  <c r="L67" i="3"/>
  <c r="K67" i="3"/>
  <c r="J67" i="3"/>
  <c r="L66" i="3"/>
  <c r="K66" i="3"/>
  <c r="J66" i="3"/>
  <c r="L65" i="3"/>
  <c r="K65" i="3"/>
  <c r="J65" i="3"/>
  <c r="L64" i="3"/>
  <c r="K64" i="3"/>
  <c r="J64" i="3"/>
  <c r="L63" i="3"/>
  <c r="K63" i="3"/>
  <c r="J63" i="3"/>
  <c r="L62" i="3"/>
  <c r="K62" i="3"/>
  <c r="J62" i="3"/>
  <c r="L61" i="3"/>
  <c r="K61" i="3"/>
  <c r="J61" i="3"/>
  <c r="L60" i="3"/>
  <c r="K60" i="3"/>
  <c r="J60" i="3"/>
  <c r="L59" i="3"/>
  <c r="K59" i="3"/>
  <c r="J59" i="3"/>
  <c r="L58" i="3"/>
  <c r="K58" i="3"/>
  <c r="J58" i="3"/>
  <c r="L57" i="3"/>
  <c r="K57" i="3"/>
  <c r="J57" i="3"/>
  <c r="L56" i="3"/>
  <c r="K56" i="3"/>
  <c r="J56" i="3"/>
  <c r="L55" i="3"/>
  <c r="K55" i="3"/>
  <c r="J55" i="3"/>
  <c r="L54" i="3"/>
  <c r="K54" i="3"/>
  <c r="J54" i="3"/>
  <c r="L53" i="3"/>
  <c r="K53" i="3"/>
  <c r="J53" i="3"/>
  <c r="L52" i="3"/>
  <c r="K52" i="3"/>
  <c r="J52" i="3"/>
  <c r="L51" i="3"/>
  <c r="K51" i="3"/>
  <c r="J51" i="3"/>
  <c r="L50" i="3"/>
  <c r="K50" i="3"/>
  <c r="J50" i="3"/>
  <c r="L49" i="3"/>
  <c r="K49" i="3"/>
  <c r="J49" i="3"/>
  <c r="L48" i="3"/>
  <c r="K48" i="3"/>
  <c r="J48" i="3"/>
  <c r="L47" i="3"/>
  <c r="K47" i="3"/>
  <c r="J47" i="3"/>
  <c r="L46" i="3"/>
  <c r="K46" i="3"/>
  <c r="J46" i="3"/>
  <c r="L45" i="3"/>
  <c r="K45" i="3"/>
  <c r="J45" i="3"/>
  <c r="L44" i="3"/>
  <c r="K44" i="3"/>
  <c r="J44" i="3"/>
  <c r="L43" i="3"/>
  <c r="K43" i="3"/>
  <c r="J43" i="3"/>
  <c r="L42" i="3"/>
  <c r="K42" i="3"/>
  <c r="J42" i="3"/>
  <c r="L41" i="3"/>
  <c r="K41" i="3"/>
  <c r="J41" i="3"/>
  <c r="L40" i="3"/>
  <c r="K40" i="3"/>
  <c r="J40" i="3"/>
  <c r="L39" i="3"/>
  <c r="K39" i="3"/>
  <c r="J39" i="3"/>
  <c r="L38" i="3"/>
  <c r="K38" i="3"/>
  <c r="J38" i="3"/>
  <c r="L37" i="3"/>
  <c r="K37" i="3"/>
  <c r="J37" i="3"/>
  <c r="L36" i="3"/>
  <c r="K36" i="3"/>
  <c r="J36" i="3"/>
  <c r="L35" i="3"/>
  <c r="K35" i="3"/>
  <c r="J35" i="3"/>
  <c r="L34" i="3"/>
  <c r="K34" i="3"/>
  <c r="J34" i="3"/>
  <c r="L33" i="3"/>
  <c r="K33" i="3"/>
  <c r="J33" i="3"/>
  <c r="L32" i="3"/>
  <c r="K32" i="3"/>
  <c r="J32" i="3"/>
  <c r="L31" i="3"/>
  <c r="K31" i="3"/>
  <c r="J31" i="3"/>
  <c r="L30" i="3"/>
  <c r="K30" i="3"/>
  <c r="J30" i="3"/>
  <c r="L29" i="3"/>
  <c r="K29" i="3"/>
  <c r="J29" i="3"/>
  <c r="L28" i="3"/>
  <c r="K28" i="3"/>
  <c r="J28" i="3"/>
  <c r="L27" i="3"/>
  <c r="K27" i="3"/>
  <c r="J27" i="3"/>
  <c r="L26" i="3"/>
  <c r="K26" i="3"/>
  <c r="J26" i="3"/>
  <c r="L25" i="3"/>
  <c r="K25" i="3"/>
  <c r="J25" i="3"/>
  <c r="L24" i="3"/>
  <c r="K24" i="3"/>
  <c r="J24" i="3"/>
  <c r="L23" i="3"/>
  <c r="K23" i="3"/>
  <c r="J23" i="3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K7" i="3"/>
  <c r="J7" i="3"/>
  <c r="L6" i="3"/>
  <c r="K6" i="3"/>
  <c r="J6" i="3"/>
  <c r="L5" i="3"/>
  <c r="K5" i="3"/>
  <c r="J5" i="3"/>
  <c r="L4" i="3"/>
  <c r="K4" i="3"/>
  <c r="J4" i="3"/>
  <c r="L3" i="3"/>
  <c r="K3" i="3"/>
  <c r="J3" i="3"/>
  <c r="H145" i="3"/>
  <c r="G145" i="3"/>
  <c r="H144" i="3"/>
  <c r="G144" i="3"/>
  <c r="H143" i="3"/>
  <c r="G143" i="3"/>
  <c r="H142" i="3"/>
  <c r="G142" i="3"/>
  <c r="H141" i="3"/>
  <c r="G141" i="3"/>
  <c r="H140" i="3"/>
  <c r="G140" i="3"/>
  <c r="H139" i="3"/>
  <c r="G139" i="3"/>
  <c r="H138" i="3"/>
  <c r="G138" i="3"/>
  <c r="H137" i="3"/>
  <c r="G137" i="3"/>
  <c r="H136" i="3"/>
  <c r="G136" i="3"/>
  <c r="H135" i="3"/>
  <c r="G135" i="3"/>
  <c r="H134" i="3"/>
  <c r="G134" i="3"/>
  <c r="H133" i="3"/>
  <c r="G133" i="3"/>
  <c r="H132" i="3"/>
  <c r="G132" i="3"/>
  <c r="H131" i="3"/>
  <c r="G131" i="3"/>
  <c r="H130" i="3"/>
  <c r="G130" i="3"/>
  <c r="H129" i="3"/>
  <c r="G129" i="3"/>
  <c r="H128" i="3"/>
  <c r="G128" i="3"/>
  <c r="H127" i="3"/>
  <c r="G127" i="3"/>
  <c r="H126" i="3"/>
  <c r="G126" i="3"/>
  <c r="H125" i="3"/>
  <c r="G125" i="3"/>
  <c r="H124" i="3"/>
  <c r="G124" i="3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H114" i="3"/>
  <c r="G114" i="3"/>
  <c r="H113" i="3"/>
  <c r="G113" i="3"/>
  <c r="H112" i="3"/>
  <c r="G112" i="3"/>
  <c r="H111" i="3"/>
  <c r="G111" i="3"/>
  <c r="H110" i="3"/>
  <c r="G110" i="3"/>
  <c r="H109" i="3"/>
  <c r="G109" i="3"/>
  <c r="H108" i="3"/>
  <c r="G108" i="3"/>
  <c r="H107" i="3"/>
  <c r="G107" i="3"/>
  <c r="H106" i="3"/>
  <c r="G106" i="3"/>
  <c r="H105" i="3"/>
  <c r="G105" i="3"/>
  <c r="H104" i="3"/>
  <c r="G104" i="3"/>
  <c r="H103" i="3"/>
  <c r="G103" i="3"/>
  <c r="H102" i="3"/>
  <c r="G102" i="3"/>
  <c r="H101" i="3"/>
  <c r="G101" i="3"/>
  <c r="H100" i="3"/>
  <c r="G100" i="3"/>
  <c r="H99" i="3"/>
  <c r="G99" i="3"/>
  <c r="H98" i="3"/>
  <c r="G98" i="3"/>
  <c r="H97" i="3"/>
  <c r="G97" i="3"/>
  <c r="H96" i="3"/>
  <c r="G96" i="3"/>
  <c r="H95" i="3"/>
  <c r="G95" i="3"/>
  <c r="H94" i="3"/>
  <c r="G94" i="3"/>
  <c r="H93" i="3"/>
  <c r="G93" i="3"/>
  <c r="H92" i="3"/>
  <c r="G92" i="3"/>
  <c r="H91" i="3"/>
  <c r="G91" i="3"/>
  <c r="H90" i="3"/>
  <c r="G90" i="3"/>
  <c r="H89" i="3"/>
  <c r="G89" i="3"/>
  <c r="H88" i="3"/>
  <c r="G88" i="3"/>
  <c r="H87" i="3"/>
  <c r="G87" i="3"/>
  <c r="H86" i="3"/>
  <c r="G86" i="3"/>
  <c r="H85" i="3"/>
  <c r="G85" i="3"/>
  <c r="H84" i="3"/>
  <c r="G84" i="3"/>
  <c r="H83" i="3"/>
  <c r="G83" i="3"/>
  <c r="H82" i="3"/>
  <c r="G82" i="3"/>
  <c r="H81" i="3"/>
  <c r="G81" i="3"/>
  <c r="H80" i="3"/>
  <c r="G80" i="3"/>
  <c r="H79" i="3"/>
  <c r="G79" i="3"/>
  <c r="H78" i="3"/>
  <c r="G78" i="3"/>
  <c r="H77" i="3"/>
  <c r="G77" i="3"/>
  <c r="H76" i="3"/>
  <c r="G76" i="3"/>
  <c r="H75" i="3"/>
  <c r="G75" i="3"/>
  <c r="H74" i="3"/>
  <c r="G74" i="3"/>
  <c r="H73" i="3"/>
  <c r="G73" i="3"/>
  <c r="H72" i="3"/>
  <c r="G72" i="3"/>
  <c r="H71" i="3"/>
  <c r="G71" i="3"/>
  <c r="H70" i="3"/>
  <c r="G70" i="3"/>
  <c r="H69" i="3"/>
  <c r="G69" i="3"/>
  <c r="H68" i="3"/>
  <c r="G68" i="3"/>
  <c r="H67" i="3"/>
  <c r="G67" i="3"/>
  <c r="H66" i="3"/>
  <c r="G66" i="3"/>
  <c r="H65" i="3"/>
  <c r="G65" i="3"/>
  <c r="H64" i="3"/>
  <c r="G64" i="3"/>
  <c r="H63" i="3"/>
  <c r="G63" i="3"/>
  <c r="H62" i="3"/>
  <c r="G62" i="3"/>
  <c r="H61" i="3"/>
  <c r="G61" i="3"/>
  <c r="H60" i="3"/>
  <c r="G60" i="3"/>
  <c r="H59" i="3"/>
  <c r="G59" i="3"/>
  <c r="H58" i="3"/>
  <c r="G58" i="3"/>
  <c r="H57" i="3"/>
  <c r="G57" i="3"/>
  <c r="H56" i="3"/>
  <c r="G56" i="3"/>
  <c r="H55" i="3"/>
  <c r="G55" i="3"/>
  <c r="H54" i="3"/>
  <c r="G54" i="3"/>
  <c r="H53" i="3"/>
  <c r="G53" i="3"/>
  <c r="H52" i="3"/>
  <c r="G52" i="3"/>
  <c r="H51" i="3"/>
  <c r="G51" i="3"/>
  <c r="H50" i="3"/>
  <c r="G50" i="3"/>
  <c r="H49" i="3"/>
  <c r="G49" i="3"/>
  <c r="H48" i="3"/>
  <c r="G48" i="3"/>
  <c r="H47" i="3"/>
  <c r="G47" i="3"/>
  <c r="H46" i="3"/>
  <c r="G46" i="3"/>
  <c r="H45" i="3"/>
  <c r="G45" i="3"/>
  <c r="H44" i="3"/>
  <c r="G44" i="3"/>
  <c r="H43" i="3"/>
  <c r="G43" i="3"/>
  <c r="H42" i="3"/>
  <c r="G42" i="3"/>
  <c r="H41" i="3"/>
  <c r="G41" i="3"/>
  <c r="H40" i="3"/>
  <c r="G40" i="3"/>
  <c r="H39" i="3"/>
  <c r="G39" i="3"/>
  <c r="H38" i="3"/>
  <c r="G38" i="3"/>
  <c r="H37" i="3"/>
  <c r="G37" i="3"/>
  <c r="H36" i="3"/>
  <c r="G36" i="3"/>
  <c r="H35" i="3"/>
  <c r="G35" i="3"/>
  <c r="H34" i="3"/>
  <c r="G34" i="3"/>
  <c r="H33" i="3"/>
  <c r="G33" i="3"/>
  <c r="H32" i="3"/>
  <c r="G32" i="3"/>
  <c r="H31" i="3"/>
  <c r="G31" i="3"/>
  <c r="H30" i="3"/>
  <c r="G30" i="3"/>
  <c r="H29" i="3"/>
  <c r="G29" i="3"/>
  <c r="H28" i="3"/>
  <c r="G28" i="3"/>
  <c r="H27" i="3"/>
  <c r="G27" i="3"/>
  <c r="H26" i="3"/>
  <c r="G26" i="3"/>
  <c r="H25" i="3"/>
  <c r="G25" i="3"/>
  <c r="H24" i="3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1" i="3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30" i="3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</calcChain>
</file>

<file path=xl/sharedStrings.xml><?xml version="1.0" encoding="utf-8"?>
<sst xmlns="http://schemas.openxmlformats.org/spreadsheetml/2006/main" count="226" uniqueCount="115">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</sst>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Fill="1"/>
    <xf numFmtId="164" fontId="0" fillId="0" borderId="0" xfId="0" applyNumberFormat="1" applyFill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ont="1" applyFill="1" applyAlignment="1">
      <alignment horizontal="right"/>
    </xf>
    <xf numFmtId="164" fontId="0" fillId="0" borderId="0" xfId="0" applyNumberFormat="1" applyFont="1" applyAlignment="1">
      <alignment horizontal="right"/>
    </xf>
    <xf numFmtId="164" fontId="0" fillId="2" borderId="0" xfId="0" applyNumberFormat="1" applyFill="1" applyAlignment="1">
      <alignment horizontal="right"/>
    </xf>
    <xf numFmtId="164" fontId="0" fillId="0" borderId="0" xfId="0" applyNumberFormat="1" applyFill="1" applyAlignment="1">
      <alignment horizontal="right"/>
    </xf>
    <xf numFmtId="0" fontId="0" fillId="0" borderId="0" xfId="0" applyNumberFormat="1" applyFont="1" applyAlignment="1">
      <alignment horizontal="right"/>
    </xf>
    <xf numFmtId="164" fontId="0" fillId="0" borderId="0" xfId="0" applyNumberFormat="1" applyFont="1" applyFill="1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16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/>
    <xf numFmtId="165" fontId="0" fillId="0" borderId="0" xfId="0" applyNumberFormat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Венесуэла!$B$1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Венесуэла!$A$2:$A$140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Венесуэла!$B$2:$B$140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Венесуэла!$C$1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Венесуэла!$A$2:$A$140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Венесуэла!$C$2:$C$140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Венесуэла!$D$1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Венесуэла!$A$2:$A$140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Венесуэла!$D$2:$D$140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Куба!$B$1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Куба!$A$2:$A$125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Куба!$B$2:$B$125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Куба!$C$1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Куба!$A$2:$A$125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Куба!$C$2:$C$125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Куба!$D$1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Куба!$A$2:$A$125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Куба!$D$2:$D$125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Чили!$B$1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Чили!$A$2:$A$175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Чили!$B$2:$B$175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Чили!$C$1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Чили!$A$2:$A$175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Чили!$C$2:$C$175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Чили!$D$1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Чили!$A$2:$A$175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Чили!$D$2:$D$175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56"/>
  <sheetViews>
    <sheetView workbookViewId="0">
      <selection activeCell="A31" sqref="A31"/>
    </sheetView>
  </sheetViews>
  <sheetFormatPr defaultRowHeight="15" x14ac:dyDescent="0.25"/>
  <sheetData>
    <row r="1" spans="1:4" ht="21" x14ac:dyDescent="0.35">
      <c r="A1" s="19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4">
        <v>1881</v>
      </c>
      <c r="C11" s="15">
        <v>47</v>
      </c>
      <c r="D11" s="15">
        <v>32.5</v>
      </c>
    </row>
    <row r="12" spans="1:4" x14ac:dyDescent="0.25">
      <c r="B12" s="14">
        <v>1890</v>
      </c>
      <c r="C12" s="15">
        <v>46.5</v>
      </c>
      <c r="D12" s="15">
        <v>30.2</v>
      </c>
    </row>
    <row r="13" spans="1:4" x14ac:dyDescent="0.25">
      <c r="B13" s="14">
        <v>1900</v>
      </c>
      <c r="C13" s="15">
        <v>46</v>
      </c>
      <c r="D13" s="15">
        <v>27.8</v>
      </c>
    </row>
    <row r="14" spans="1:4" x14ac:dyDescent="0.25">
      <c r="B14" s="14">
        <v>1910</v>
      </c>
      <c r="C14" s="15">
        <v>45.5</v>
      </c>
      <c r="D14" s="15">
        <v>27</v>
      </c>
    </row>
    <row r="15" spans="1:4" x14ac:dyDescent="0.25">
      <c r="B15" s="14">
        <v>1920</v>
      </c>
      <c r="C15" s="15">
        <v>45</v>
      </c>
      <c r="D15" s="15">
        <v>26.4</v>
      </c>
    </row>
    <row r="16" spans="1:4" x14ac:dyDescent="0.25">
      <c r="B16" s="14">
        <v>1930</v>
      </c>
      <c r="C16" s="15">
        <v>44.8</v>
      </c>
      <c r="D16" s="15">
        <v>26</v>
      </c>
    </row>
    <row r="17" spans="1:4" x14ac:dyDescent="0.25">
      <c r="B17" s="14">
        <v>1945</v>
      </c>
      <c r="C17" s="15">
        <v>44.4</v>
      </c>
      <c r="D17" s="15">
        <v>20.9</v>
      </c>
    </row>
    <row r="18" spans="1:4" x14ac:dyDescent="0.25">
      <c r="B18" s="14">
        <v>1955</v>
      </c>
      <c r="C18" s="15">
        <v>43.2</v>
      </c>
      <c r="D18" s="15">
        <v>14.2</v>
      </c>
    </row>
    <row r="19" spans="1:4" x14ac:dyDescent="0.25">
      <c r="B19" s="14">
        <v>1965</v>
      </c>
      <c r="C19" s="15">
        <v>38.700000000000003</v>
      </c>
      <c r="D19" s="15">
        <v>9.8000000000000007</v>
      </c>
    </row>
    <row r="20" spans="1:4" x14ac:dyDescent="0.25">
      <c r="B20" s="14">
        <v>1975</v>
      </c>
      <c r="C20" s="15">
        <v>34.200000000000003</v>
      </c>
      <c r="D20" s="15">
        <v>9.3000000000000007</v>
      </c>
    </row>
    <row r="21" spans="1:4" x14ac:dyDescent="0.25">
      <c r="B21" s="14">
        <v>1985</v>
      </c>
      <c r="C21" s="15">
        <v>28.99</v>
      </c>
      <c r="D21" s="15">
        <v>7.68</v>
      </c>
    </row>
    <row r="22" spans="1:4" x14ac:dyDescent="0.25">
      <c r="B22" s="14">
        <v>1995</v>
      </c>
      <c r="C22" s="15">
        <v>21.93</v>
      </c>
      <c r="D22" s="15">
        <v>6.55</v>
      </c>
    </row>
    <row r="23" spans="1:4" x14ac:dyDescent="0.25">
      <c r="B23" s="14">
        <v>2000</v>
      </c>
      <c r="C23" s="15">
        <v>21.13</v>
      </c>
      <c r="D23" s="15">
        <v>6.34</v>
      </c>
    </row>
    <row r="24" spans="1:4" x14ac:dyDescent="0.25">
      <c r="B24" s="14">
        <v>2007</v>
      </c>
      <c r="C24" s="15">
        <v>17.059999999999999</v>
      </c>
      <c r="D24" s="15">
        <v>6.27</v>
      </c>
    </row>
    <row r="25" spans="1:4" x14ac:dyDescent="0.25">
      <c r="B25" s="14"/>
      <c r="C25" s="15"/>
      <c r="D25" s="15"/>
    </row>
    <row r="26" spans="1:4" x14ac:dyDescent="0.25">
      <c r="B26" t="s">
        <v>80</v>
      </c>
      <c r="C26" s="15"/>
      <c r="D26" s="15"/>
    </row>
    <row r="27" spans="1:4" x14ac:dyDescent="0.25">
      <c r="B27" t="s">
        <v>81</v>
      </c>
      <c r="C27" s="15"/>
      <c r="D27" s="15"/>
    </row>
    <row r="28" spans="1:4" x14ac:dyDescent="0.25">
      <c r="B28" t="s">
        <v>82</v>
      </c>
      <c r="C28" s="15"/>
      <c r="D28" s="15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2" x14ac:dyDescent="0.25">
      <c r="A49" t="s">
        <v>61</v>
      </c>
    </row>
    <row r="50" spans="1:2" x14ac:dyDescent="0.25">
      <c r="B50" t="s">
        <v>65</v>
      </c>
    </row>
    <row r="52" spans="1:2" x14ac:dyDescent="0.25">
      <c r="A52" t="s">
        <v>58</v>
      </c>
    </row>
    <row r="53" spans="1:2" x14ac:dyDescent="0.25">
      <c r="A53" t="s">
        <v>91</v>
      </c>
    </row>
    <row r="55" spans="1:2" x14ac:dyDescent="0.25">
      <c r="A55" t="s">
        <v>94</v>
      </c>
    </row>
    <row r="56" spans="1:2" x14ac:dyDescent="0.25">
      <c r="A56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T13" sqref="T13"/>
    </sheetView>
  </sheetViews>
  <sheetFormatPr defaultRowHeight="15" x14ac:dyDescent="0.25"/>
  <cols>
    <col min="1" max="1" width="11.5703125" bestFit="1" customWidth="1"/>
  </cols>
  <sheetData>
    <row r="1" spans="1:39" x14ac:dyDescent="0.25">
      <c r="A1" s="24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25" t="s">
        <v>34</v>
      </c>
      <c r="AG1" s="25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25">
      <c r="A2" s="26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2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13">
        <v>46.6</v>
      </c>
      <c r="W10" s="13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10">
        <v>44</v>
      </c>
      <c r="I23" s="10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11">
        <v>45.1</v>
      </c>
      <c r="I24" s="11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11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7">
        <v>1950</v>
      </c>
      <c r="B27" s="16">
        <v>46.8</v>
      </c>
      <c r="C27" s="16">
        <v>14.3</v>
      </c>
      <c r="D27" s="16">
        <v>44.9</v>
      </c>
      <c r="E27" s="16">
        <v>12.1</v>
      </c>
      <c r="F27" s="16">
        <v>50.7</v>
      </c>
      <c r="G27" s="16">
        <v>25.9</v>
      </c>
      <c r="H27" s="16">
        <v>46.4</v>
      </c>
      <c r="I27" s="16">
        <v>17.600000000000001</v>
      </c>
      <c r="J27" s="16">
        <v>45</v>
      </c>
      <c r="K27" s="16">
        <v>19.8</v>
      </c>
      <c r="L27" s="16">
        <v>46.4</v>
      </c>
      <c r="M27" s="16">
        <v>17</v>
      </c>
      <c r="N27" s="16">
        <v>44.5</v>
      </c>
      <c r="O27" s="16">
        <v>11.7</v>
      </c>
      <c r="P27" s="16">
        <v>48</v>
      </c>
      <c r="Q27" s="16">
        <v>20.3</v>
      </c>
      <c r="R27" s="16">
        <v>43</v>
      </c>
      <c r="S27" s="16">
        <v>25.8</v>
      </c>
      <c r="T27" s="16">
        <v>46.9</v>
      </c>
      <c r="U27" s="16">
        <v>21</v>
      </c>
      <c r="V27" s="16">
        <v>37.5</v>
      </c>
      <c r="W27" s="16">
        <v>15</v>
      </c>
      <c r="X27" s="16">
        <v>26</v>
      </c>
      <c r="Y27" s="16">
        <v>9.8000000000000007</v>
      </c>
      <c r="Z27" s="16">
        <v>49.2</v>
      </c>
      <c r="AA27" s="16">
        <v>21.6</v>
      </c>
      <c r="AB27" s="16">
        <v>32.1</v>
      </c>
      <c r="AC27" s="16">
        <v>11.2</v>
      </c>
      <c r="AD27" s="16">
        <v>40.4</v>
      </c>
      <c r="AE27" s="16">
        <v>12.9</v>
      </c>
      <c r="AF27" s="16">
        <v>53.1</v>
      </c>
      <c r="AG27" s="16">
        <v>21.8</v>
      </c>
      <c r="AH27" s="16">
        <v>52.5</v>
      </c>
      <c r="AI27" s="16">
        <v>25.7</v>
      </c>
      <c r="AJ27" s="16">
        <v>21</v>
      </c>
      <c r="AK27" s="16">
        <v>10.8</v>
      </c>
      <c r="AL27" s="16">
        <v>26</v>
      </c>
      <c r="AM27" s="16">
        <v>9.8000000000000007</v>
      </c>
    </row>
    <row r="28" spans="1:39" x14ac:dyDescent="0.25">
      <c r="A28" s="18">
        <f>A27+1</f>
        <v>1951</v>
      </c>
      <c r="B28" s="16">
        <v>47.2</v>
      </c>
      <c r="C28" s="16">
        <v>13.8</v>
      </c>
      <c r="D28" s="16">
        <v>45.3</v>
      </c>
      <c r="E28" s="16">
        <v>11.8</v>
      </c>
      <c r="F28" s="16">
        <v>51.1</v>
      </c>
      <c r="G28" s="16">
        <v>25.4</v>
      </c>
      <c r="H28" s="16">
        <v>46.5</v>
      </c>
      <c r="I28" s="16">
        <v>17.100000000000001</v>
      </c>
      <c r="J28" s="16">
        <v>44.9</v>
      </c>
      <c r="K28" s="16">
        <v>19.2</v>
      </c>
      <c r="L28" s="16">
        <v>46.4</v>
      </c>
      <c r="M28" s="16">
        <v>16.7</v>
      </c>
      <c r="N28" s="16">
        <v>44.3</v>
      </c>
      <c r="O28" s="16">
        <v>11.6</v>
      </c>
      <c r="P28" s="16">
        <v>48</v>
      </c>
      <c r="Q28" s="16">
        <v>20.100000000000001</v>
      </c>
      <c r="R28" s="16">
        <v>43</v>
      </c>
      <c r="S28" s="16">
        <v>25.5</v>
      </c>
      <c r="T28" s="16">
        <v>47</v>
      </c>
      <c r="U28" s="16">
        <v>21.4</v>
      </c>
      <c r="V28" s="16">
        <v>37.299999999999997</v>
      </c>
      <c r="W28" s="16">
        <v>14.1</v>
      </c>
      <c r="X28" s="16">
        <v>25.9</v>
      </c>
      <c r="Y28" s="16">
        <v>9.5</v>
      </c>
      <c r="Z28" s="16">
        <v>49.2</v>
      </c>
      <c r="AA28" s="16">
        <v>20.8</v>
      </c>
      <c r="AB28" s="16">
        <v>31.4</v>
      </c>
      <c r="AC28" s="16">
        <v>10.9</v>
      </c>
      <c r="AD28" s="16">
        <v>40.6</v>
      </c>
      <c r="AE28" s="16">
        <v>12.4</v>
      </c>
      <c r="AF28" s="16">
        <v>53.4</v>
      </c>
      <c r="AG28" s="16">
        <v>21.3</v>
      </c>
      <c r="AH28" s="16">
        <v>52.4</v>
      </c>
      <c r="AI28" s="16">
        <v>25.1</v>
      </c>
      <c r="AJ28" s="16">
        <v>21.1</v>
      </c>
      <c r="AK28" s="16">
        <v>10.6</v>
      </c>
      <c r="AL28" s="16">
        <v>25.9</v>
      </c>
      <c r="AM28" s="16">
        <v>9.5</v>
      </c>
    </row>
    <row r="29" spans="1:39" x14ac:dyDescent="0.25">
      <c r="A29" s="18">
        <f>A28+1</f>
        <v>1952</v>
      </c>
      <c r="B29" s="16">
        <v>47.5</v>
      </c>
      <c r="C29" s="16">
        <v>13.4</v>
      </c>
      <c r="D29" s="16">
        <v>45.6</v>
      </c>
      <c r="E29" s="16">
        <v>11.6</v>
      </c>
      <c r="F29" s="16">
        <v>51.3</v>
      </c>
      <c r="G29" s="16">
        <v>24.8</v>
      </c>
      <c r="H29" s="16">
        <v>46.7</v>
      </c>
      <c r="I29" s="16">
        <v>16.5</v>
      </c>
      <c r="J29" s="16">
        <v>44.9</v>
      </c>
      <c r="K29" s="16">
        <v>18.8</v>
      </c>
      <c r="L29" s="16">
        <v>46.3</v>
      </c>
      <c r="M29" s="16">
        <v>16.3</v>
      </c>
      <c r="N29" s="16">
        <v>44.1</v>
      </c>
      <c r="O29" s="16">
        <v>11.6</v>
      </c>
      <c r="P29" s="16">
        <v>48</v>
      </c>
      <c r="Q29" s="16">
        <v>19.899999999999999</v>
      </c>
      <c r="R29" s="16">
        <v>43</v>
      </c>
      <c r="S29" s="16">
        <v>25.2</v>
      </c>
      <c r="T29" s="16">
        <v>47.2</v>
      </c>
      <c r="U29" s="16">
        <v>20.7</v>
      </c>
      <c r="V29" s="16">
        <v>37.1</v>
      </c>
      <c r="W29" s="16">
        <v>13.4</v>
      </c>
      <c r="X29" s="16">
        <v>25.8</v>
      </c>
      <c r="Y29" s="16">
        <v>9</v>
      </c>
      <c r="Z29" s="16">
        <v>48.9</v>
      </c>
      <c r="AA29" s="16">
        <v>20</v>
      </c>
      <c r="AB29" s="16">
        <v>31.3</v>
      </c>
      <c r="AC29" s="16">
        <v>10.5</v>
      </c>
      <c r="AD29" s="16">
        <v>40.700000000000003</v>
      </c>
      <c r="AE29" s="16">
        <v>12</v>
      </c>
      <c r="AF29" s="16">
        <v>53.9</v>
      </c>
      <c r="AG29" s="16">
        <v>20.7</v>
      </c>
      <c r="AH29" s="16">
        <v>52.3</v>
      </c>
      <c r="AI29" s="16">
        <v>24.6</v>
      </c>
      <c r="AJ29" s="16">
        <v>21.3</v>
      </c>
      <c r="AK29" s="16">
        <v>10.5</v>
      </c>
      <c r="AL29" s="16">
        <v>25.8</v>
      </c>
      <c r="AM29" s="16">
        <v>9</v>
      </c>
    </row>
    <row r="30" spans="1:39" x14ac:dyDescent="0.25">
      <c r="A30" s="18">
        <f t="shared" ref="A30:A93" si="0">A29+1</f>
        <v>1953</v>
      </c>
      <c r="B30" s="16">
        <v>47.6</v>
      </c>
      <c r="C30" s="16">
        <v>13</v>
      </c>
      <c r="D30" s="16">
        <v>45.8</v>
      </c>
      <c r="E30" s="16">
        <v>11.1</v>
      </c>
      <c r="F30" s="16">
        <v>51.3</v>
      </c>
      <c r="G30" s="16">
        <v>24.3</v>
      </c>
      <c r="H30" s="16">
        <v>46.8</v>
      </c>
      <c r="I30" s="16">
        <v>15.9</v>
      </c>
      <c r="J30" s="16">
        <v>44.8</v>
      </c>
      <c r="K30" s="16">
        <v>18.399999999999999</v>
      </c>
      <c r="L30" s="16">
        <v>46.1</v>
      </c>
      <c r="M30" s="16">
        <v>16</v>
      </c>
      <c r="N30" s="16">
        <v>43.9</v>
      </c>
      <c r="O30" s="16">
        <v>11.5</v>
      </c>
      <c r="P30" s="16">
        <v>48</v>
      </c>
      <c r="Q30" s="16">
        <v>19.7</v>
      </c>
      <c r="R30" s="16">
        <v>43.2</v>
      </c>
      <c r="S30" s="16">
        <v>24.8</v>
      </c>
      <c r="T30" s="16">
        <v>47.3</v>
      </c>
      <c r="U30" s="16">
        <v>20.5</v>
      </c>
      <c r="V30" s="16">
        <v>37.1</v>
      </c>
      <c r="W30" s="16">
        <v>13</v>
      </c>
      <c r="X30" s="16">
        <v>25.6</v>
      </c>
      <c r="Y30" s="16">
        <v>9.1</v>
      </c>
      <c r="Z30" s="16">
        <v>48.7</v>
      </c>
      <c r="AA30" s="16">
        <v>18.899999999999999</v>
      </c>
      <c r="AB30" s="16">
        <v>31.2</v>
      </c>
      <c r="AC30" s="16">
        <v>10.3</v>
      </c>
      <c r="AD30" s="16">
        <v>40.9</v>
      </c>
      <c r="AE30" s="16">
        <v>11.7</v>
      </c>
      <c r="AF30" s="16">
        <v>54.2</v>
      </c>
      <c r="AG30" s="16">
        <v>20.2</v>
      </c>
      <c r="AH30" s="16">
        <v>52.1</v>
      </c>
      <c r="AI30" s="16">
        <v>24</v>
      </c>
      <c r="AJ30" s="16">
        <v>21.5</v>
      </c>
      <c r="AK30" s="16">
        <v>10.4</v>
      </c>
      <c r="AL30" s="16">
        <v>25.6</v>
      </c>
      <c r="AM30" s="16">
        <v>9.1</v>
      </c>
    </row>
    <row r="31" spans="1:39" x14ac:dyDescent="0.25">
      <c r="A31" s="18">
        <f t="shared" si="0"/>
        <v>1954</v>
      </c>
      <c r="B31" s="16">
        <v>47.5</v>
      </c>
      <c r="C31" s="16">
        <v>12.6</v>
      </c>
      <c r="D31" s="16">
        <v>45.8</v>
      </c>
      <c r="E31" s="16">
        <v>10.7</v>
      </c>
      <c r="F31" s="16">
        <v>51.1</v>
      </c>
      <c r="G31" s="16">
        <v>23.8</v>
      </c>
      <c r="H31" s="16">
        <v>46.8</v>
      </c>
      <c r="I31" s="16">
        <v>15.5</v>
      </c>
      <c r="J31" s="16">
        <v>44.7</v>
      </c>
      <c r="K31" s="16">
        <v>18.100000000000001</v>
      </c>
      <c r="L31" s="16">
        <v>45.9</v>
      </c>
      <c r="M31" s="16">
        <v>15.6</v>
      </c>
      <c r="N31" s="16">
        <v>43.6</v>
      </c>
      <c r="O31" s="16">
        <v>11.5</v>
      </c>
      <c r="P31" s="16">
        <v>47.9</v>
      </c>
      <c r="Q31" s="16">
        <v>19.399999999999999</v>
      </c>
      <c r="R31" s="16">
        <v>43.3</v>
      </c>
      <c r="S31" s="16">
        <v>24.4</v>
      </c>
      <c r="T31" s="16">
        <v>47.4</v>
      </c>
      <c r="U31" s="16">
        <v>20.100000000000001</v>
      </c>
      <c r="V31" s="16">
        <v>36.9</v>
      </c>
      <c r="W31" s="16">
        <v>12.6</v>
      </c>
      <c r="X31" s="16">
        <v>25.3</v>
      </c>
      <c r="Y31" s="16">
        <v>8.8000000000000007</v>
      </c>
      <c r="Z31" s="16">
        <v>48.4</v>
      </c>
      <c r="AA31" s="16">
        <v>18</v>
      </c>
      <c r="AB31" s="16">
        <v>31.2</v>
      </c>
      <c r="AC31" s="16">
        <v>10</v>
      </c>
      <c r="AD31" s="16">
        <v>40.799999999999997</v>
      </c>
      <c r="AE31" s="16">
        <v>11.4</v>
      </c>
      <c r="AF31" s="16">
        <v>54.4</v>
      </c>
      <c r="AG31" s="16">
        <v>19.7</v>
      </c>
      <c r="AH31" s="16">
        <v>51.9</v>
      </c>
      <c r="AI31" s="16">
        <v>23.4</v>
      </c>
      <c r="AJ31" s="16">
        <v>21.6</v>
      </c>
      <c r="AK31" s="16">
        <v>10.3</v>
      </c>
      <c r="AL31" s="16">
        <v>25.3</v>
      </c>
      <c r="AM31" s="16">
        <v>8.8000000000000007</v>
      </c>
    </row>
    <row r="32" spans="1:39" x14ac:dyDescent="0.25">
      <c r="A32" s="18">
        <f t="shared" si="0"/>
        <v>1955</v>
      </c>
      <c r="B32" s="16">
        <v>47.4</v>
      </c>
      <c r="C32" s="16">
        <v>12.2</v>
      </c>
      <c r="D32" s="16">
        <v>45.8</v>
      </c>
      <c r="E32" s="16">
        <v>10.3</v>
      </c>
      <c r="F32" s="16">
        <v>50.9</v>
      </c>
      <c r="G32" s="16">
        <v>23.2</v>
      </c>
      <c r="H32" s="16">
        <v>46.8</v>
      </c>
      <c r="I32" s="16">
        <v>15</v>
      </c>
      <c r="J32" s="16">
        <v>44.5</v>
      </c>
      <c r="K32" s="16">
        <v>17.7</v>
      </c>
      <c r="L32" s="16">
        <v>45.7</v>
      </c>
      <c r="M32" s="16">
        <v>15.3</v>
      </c>
      <c r="N32" s="16">
        <v>43.4</v>
      </c>
      <c r="O32" s="16">
        <v>11.4</v>
      </c>
      <c r="P32" s="16">
        <v>47.8</v>
      </c>
      <c r="Q32" s="16">
        <v>19.100000000000001</v>
      </c>
      <c r="R32" s="16">
        <v>43.5</v>
      </c>
      <c r="S32" s="16">
        <v>24.2</v>
      </c>
      <c r="T32" s="16">
        <v>47.5</v>
      </c>
      <c r="U32" s="16">
        <v>19.7</v>
      </c>
      <c r="V32" s="16">
        <v>36.799999999999997</v>
      </c>
      <c r="W32" s="16">
        <v>12.4</v>
      </c>
      <c r="X32" s="16">
        <v>25.1</v>
      </c>
      <c r="Y32" s="16">
        <v>9.1</v>
      </c>
      <c r="Z32" s="16">
        <v>48</v>
      </c>
      <c r="AA32" s="16">
        <v>17</v>
      </c>
      <c r="AB32" s="16">
        <v>31.1</v>
      </c>
      <c r="AC32" s="16">
        <v>9.8000000000000007</v>
      </c>
      <c r="AD32" s="16">
        <v>40.799999999999997</v>
      </c>
      <c r="AE32" s="16">
        <v>11.2</v>
      </c>
      <c r="AF32" s="16">
        <v>54.4</v>
      </c>
      <c r="AG32" s="16">
        <v>19.100000000000001</v>
      </c>
      <c r="AH32" s="16">
        <v>51.6</v>
      </c>
      <c r="AI32" s="16">
        <v>22.7</v>
      </c>
      <c r="AJ32" s="16">
        <v>21.6</v>
      </c>
      <c r="AK32" s="16">
        <v>10.199999999999999</v>
      </c>
      <c r="AL32" s="16">
        <v>25.1</v>
      </c>
      <c r="AM32" s="16">
        <v>9.1</v>
      </c>
    </row>
    <row r="33" spans="1:39" x14ac:dyDescent="0.25">
      <c r="A33" s="18">
        <f t="shared" si="0"/>
        <v>1956</v>
      </c>
      <c r="B33" s="16">
        <v>47.3</v>
      </c>
      <c r="C33" s="16">
        <v>11.8</v>
      </c>
      <c r="D33" s="16">
        <v>45.8</v>
      </c>
      <c r="E33" s="16">
        <v>9.9</v>
      </c>
      <c r="F33" s="16">
        <v>50.6</v>
      </c>
      <c r="G33" s="16">
        <v>22.6</v>
      </c>
      <c r="H33" s="16">
        <v>46.8</v>
      </c>
      <c r="I33" s="16">
        <v>14.6</v>
      </c>
      <c r="J33" s="16">
        <v>44.4</v>
      </c>
      <c r="K33" s="16">
        <v>17.2</v>
      </c>
      <c r="L33" s="16">
        <v>45.4</v>
      </c>
      <c r="M33" s="16">
        <v>14.9</v>
      </c>
      <c r="N33" s="16">
        <v>43.1</v>
      </c>
      <c r="O33" s="16">
        <v>11.2</v>
      </c>
      <c r="P33" s="16">
        <v>47.7</v>
      </c>
      <c r="Q33" s="16">
        <v>18.8</v>
      </c>
      <c r="R33" s="16">
        <v>43.5</v>
      </c>
      <c r="S33" s="16">
        <v>23.9</v>
      </c>
      <c r="T33" s="16">
        <v>47.4</v>
      </c>
      <c r="U33" s="16">
        <v>19.3</v>
      </c>
      <c r="V33" s="16">
        <v>36.799999999999997</v>
      </c>
      <c r="W33" s="16">
        <v>12</v>
      </c>
      <c r="X33" s="16">
        <v>25</v>
      </c>
      <c r="Y33" s="16">
        <v>8.6999999999999993</v>
      </c>
      <c r="Z33" s="16">
        <v>47.7</v>
      </c>
      <c r="AA33" s="16">
        <v>16.3</v>
      </c>
      <c r="AB33" s="16">
        <v>31.1</v>
      </c>
      <c r="AC33" s="16">
        <v>9.6</v>
      </c>
      <c r="AD33" s="16">
        <v>40.700000000000003</v>
      </c>
      <c r="AE33" s="16">
        <v>10.9</v>
      </c>
      <c r="AF33" s="16">
        <v>54.2</v>
      </c>
      <c r="AG33" s="16">
        <v>18.5</v>
      </c>
      <c r="AH33" s="16">
        <v>51.2</v>
      </c>
      <c r="AI33" s="16">
        <v>22</v>
      </c>
      <c r="AJ33" s="16">
        <v>21.8</v>
      </c>
      <c r="AK33" s="16">
        <v>10.1</v>
      </c>
      <c r="AL33" s="16">
        <v>25</v>
      </c>
      <c r="AM33" s="16">
        <v>8.6999999999999993</v>
      </c>
    </row>
    <row r="34" spans="1:39" x14ac:dyDescent="0.25">
      <c r="A34" s="18">
        <f t="shared" si="0"/>
        <v>1957</v>
      </c>
      <c r="B34" s="16">
        <v>47.1</v>
      </c>
      <c r="C34" s="16">
        <v>11.4</v>
      </c>
      <c r="D34" s="16">
        <v>45.9</v>
      </c>
      <c r="E34" s="16">
        <v>9.6999999999999993</v>
      </c>
      <c r="F34" s="16">
        <v>50.3</v>
      </c>
      <c r="G34" s="16">
        <v>22</v>
      </c>
      <c r="H34" s="16">
        <v>46.7</v>
      </c>
      <c r="I34" s="16">
        <v>13.6</v>
      </c>
      <c r="J34" s="16">
        <v>44.2</v>
      </c>
      <c r="K34" s="16">
        <v>16.8</v>
      </c>
      <c r="L34" s="16">
        <v>45.1</v>
      </c>
      <c r="M34" s="16">
        <v>14.6</v>
      </c>
      <c r="N34" s="16">
        <v>42.9</v>
      </c>
      <c r="O34" s="16">
        <v>11.1</v>
      </c>
      <c r="P34" s="16">
        <v>47.6</v>
      </c>
      <c r="Q34" s="16">
        <v>18.399999999999999</v>
      </c>
      <c r="R34" s="16">
        <v>43.7</v>
      </c>
      <c r="S34" s="16">
        <v>23.6</v>
      </c>
      <c r="T34" s="16">
        <v>47.5</v>
      </c>
      <c r="U34" s="16">
        <v>18.899999999999999</v>
      </c>
      <c r="V34" s="16">
        <v>36.5</v>
      </c>
      <c r="W34" s="16">
        <v>11.8</v>
      </c>
      <c r="X34" s="16">
        <v>24.7</v>
      </c>
      <c r="Y34" s="16">
        <v>9</v>
      </c>
      <c r="Z34" s="16">
        <v>47.5</v>
      </c>
      <c r="AA34" s="16">
        <v>15.7</v>
      </c>
      <c r="AB34" s="16">
        <v>31.1</v>
      </c>
      <c r="AC34" s="16">
        <v>9.4</v>
      </c>
      <c r="AD34" s="16">
        <v>40.700000000000003</v>
      </c>
      <c r="AE34" s="16">
        <v>10.7</v>
      </c>
      <c r="AF34" s="16">
        <v>53.9</v>
      </c>
      <c r="AG34" s="16">
        <v>17.899999999999999</v>
      </c>
      <c r="AH34" s="16">
        <v>50.8</v>
      </c>
      <c r="AI34" s="16">
        <v>21.3</v>
      </c>
      <c r="AJ34" s="16">
        <v>21.9</v>
      </c>
      <c r="AK34" s="16">
        <v>10</v>
      </c>
      <c r="AL34" s="16">
        <v>24.7</v>
      </c>
      <c r="AM34" s="16">
        <v>9</v>
      </c>
    </row>
    <row r="35" spans="1:39" x14ac:dyDescent="0.25">
      <c r="A35" s="18">
        <f t="shared" si="0"/>
        <v>1958</v>
      </c>
      <c r="B35" s="16">
        <v>46.8</v>
      </c>
      <c r="C35" s="16">
        <v>10.9</v>
      </c>
      <c r="D35" s="16">
        <v>46</v>
      </c>
      <c r="E35" s="16">
        <v>9.3000000000000007</v>
      </c>
      <c r="F35" s="16">
        <v>49.7</v>
      </c>
      <c r="G35" s="16">
        <v>20.9</v>
      </c>
      <c r="H35" s="16">
        <v>46.5</v>
      </c>
      <c r="I35" s="16">
        <v>13.2</v>
      </c>
      <c r="J35" s="16">
        <v>44</v>
      </c>
      <c r="K35" s="16">
        <v>16.3</v>
      </c>
      <c r="L35" s="16">
        <v>44.8</v>
      </c>
      <c r="M35" s="16">
        <v>14.3</v>
      </c>
      <c r="N35" s="16">
        <v>42.7</v>
      </c>
      <c r="O35" s="16">
        <v>10.9</v>
      </c>
      <c r="P35" s="16">
        <v>47.4</v>
      </c>
      <c r="Q35" s="16">
        <v>18</v>
      </c>
      <c r="R35" s="16">
        <v>43.8</v>
      </c>
      <c r="S35" s="16">
        <v>23.3</v>
      </c>
      <c r="T35" s="16">
        <v>47.4</v>
      </c>
      <c r="U35" s="16">
        <v>18.399999999999999</v>
      </c>
      <c r="V35" s="16">
        <v>36.1</v>
      </c>
      <c r="W35" s="16">
        <v>11.5</v>
      </c>
      <c r="X35" s="16">
        <v>24.2</v>
      </c>
      <c r="Y35" s="16">
        <v>8.4</v>
      </c>
      <c r="Z35" s="16">
        <v>47.2</v>
      </c>
      <c r="AA35" s="16">
        <v>15.2</v>
      </c>
      <c r="AB35" s="16">
        <v>31.2</v>
      </c>
      <c r="AC35" s="16">
        <v>9.1999999999999993</v>
      </c>
      <c r="AD35" s="16">
        <v>40.700000000000003</v>
      </c>
      <c r="AE35" s="16">
        <v>10.3</v>
      </c>
      <c r="AF35" s="16">
        <v>53.4</v>
      </c>
      <c r="AG35" s="16">
        <v>17.3</v>
      </c>
      <c r="AH35" s="16">
        <v>50.4</v>
      </c>
      <c r="AI35" s="16">
        <v>20.6</v>
      </c>
      <c r="AJ35" s="16">
        <v>21.9</v>
      </c>
      <c r="AK35" s="16">
        <v>9.9</v>
      </c>
      <c r="AL35" s="16">
        <v>24.2</v>
      </c>
      <c r="AM35" s="16">
        <v>8.4</v>
      </c>
    </row>
    <row r="36" spans="1:39" x14ac:dyDescent="0.25">
      <c r="A36" s="18">
        <f t="shared" si="0"/>
        <v>1959</v>
      </c>
      <c r="B36" s="16">
        <v>45.7</v>
      </c>
      <c r="C36" s="16">
        <v>10.5</v>
      </c>
      <c r="D36" s="16">
        <v>45.9</v>
      </c>
      <c r="E36" s="16">
        <v>9</v>
      </c>
      <c r="F36" s="16">
        <v>49.1</v>
      </c>
      <c r="G36" s="16">
        <v>19.899999999999999</v>
      </c>
      <c r="H36" s="16">
        <v>46.2</v>
      </c>
      <c r="I36" s="16">
        <v>12.5</v>
      </c>
      <c r="J36" s="16">
        <v>43.9</v>
      </c>
      <c r="K36" s="16">
        <v>15.8</v>
      </c>
      <c r="L36" s="16">
        <v>44.4</v>
      </c>
      <c r="M36" s="16">
        <v>13.9</v>
      </c>
      <c r="N36" s="16">
        <v>42.5</v>
      </c>
      <c r="O36" s="16">
        <v>10.7</v>
      </c>
      <c r="P36" s="16">
        <v>47.2</v>
      </c>
      <c r="Q36" s="16">
        <v>17.600000000000001</v>
      </c>
      <c r="R36" s="16">
        <v>43.9</v>
      </c>
      <c r="S36" s="16">
        <v>23</v>
      </c>
      <c r="T36" s="16">
        <v>47.2</v>
      </c>
      <c r="U36" s="16">
        <v>18.100000000000001</v>
      </c>
      <c r="V36" s="16">
        <v>35.700000000000003</v>
      </c>
      <c r="W36" s="16">
        <v>11.3</v>
      </c>
      <c r="X36" s="16">
        <v>24.4</v>
      </c>
      <c r="Y36" s="16">
        <v>8.6</v>
      </c>
      <c r="Z36" s="16">
        <v>47</v>
      </c>
      <c r="AA36" s="16">
        <v>14.6</v>
      </c>
      <c r="AB36" s="16">
        <v>31.9</v>
      </c>
      <c r="AC36" s="16">
        <v>9.1</v>
      </c>
      <c r="AD36" s="16">
        <v>40.9</v>
      </c>
      <c r="AE36" s="16">
        <v>10</v>
      </c>
      <c r="AF36" s="16">
        <v>52.8</v>
      </c>
      <c r="AG36" s="16">
        <v>16.7</v>
      </c>
      <c r="AH36" s="16">
        <v>49.9</v>
      </c>
      <c r="AI36" s="16">
        <v>19.8</v>
      </c>
      <c r="AJ36" s="16">
        <v>21.8</v>
      </c>
      <c r="AK36" s="16">
        <v>9.8000000000000007</v>
      </c>
      <c r="AL36" s="16">
        <v>24.4</v>
      </c>
      <c r="AM36" s="16">
        <v>8.6</v>
      </c>
    </row>
    <row r="37" spans="1:39" x14ac:dyDescent="0.25">
      <c r="A37" s="18">
        <f t="shared" si="0"/>
        <v>1960</v>
      </c>
      <c r="B37" s="16">
        <v>45</v>
      </c>
      <c r="C37" s="16">
        <v>10</v>
      </c>
      <c r="D37" s="16">
        <v>45.5</v>
      </c>
      <c r="E37" s="16">
        <v>8.6999999999999993</v>
      </c>
      <c r="F37" s="16">
        <v>48.5</v>
      </c>
      <c r="G37" s="16">
        <v>18.8</v>
      </c>
      <c r="H37" s="16">
        <v>45.9</v>
      </c>
      <c r="I37" s="16">
        <v>12</v>
      </c>
      <c r="J37" s="16">
        <v>43.7</v>
      </c>
      <c r="K37" s="16">
        <v>15.3</v>
      </c>
      <c r="L37" s="16">
        <v>43.9</v>
      </c>
      <c r="M37" s="16">
        <v>13.6</v>
      </c>
      <c r="N37" s="16">
        <v>42.4</v>
      </c>
      <c r="O37" s="16">
        <v>10.6</v>
      </c>
      <c r="P37" s="16">
        <v>46.9</v>
      </c>
      <c r="Q37" s="16">
        <v>17.100000000000001</v>
      </c>
      <c r="R37" s="16">
        <v>43.9</v>
      </c>
      <c r="S37" s="16">
        <v>22.7</v>
      </c>
      <c r="T37" s="16">
        <v>47</v>
      </c>
      <c r="U37" s="16">
        <v>17.8</v>
      </c>
      <c r="V37" s="16">
        <v>35.299999999999997</v>
      </c>
      <c r="W37" s="16">
        <v>11</v>
      </c>
      <c r="X37" s="16">
        <v>24.2</v>
      </c>
      <c r="Y37" s="16">
        <v>8.6999999999999993</v>
      </c>
      <c r="Z37" s="16">
        <v>46.9</v>
      </c>
      <c r="AA37" s="16">
        <v>14</v>
      </c>
      <c r="AB37" s="16">
        <v>32.799999999999997</v>
      </c>
      <c r="AC37" s="16">
        <v>8.9</v>
      </c>
      <c r="AD37" s="16">
        <v>41.1</v>
      </c>
      <c r="AE37" s="16">
        <v>9.6</v>
      </c>
      <c r="AF37" s="16">
        <v>52</v>
      </c>
      <c r="AG37" s="16">
        <v>16.100000000000001</v>
      </c>
      <c r="AH37" s="16">
        <v>49.4</v>
      </c>
      <c r="AI37" s="16">
        <v>19.100000000000001</v>
      </c>
      <c r="AJ37" s="16">
        <v>21.8</v>
      </c>
      <c r="AK37" s="16">
        <v>9.8000000000000007</v>
      </c>
      <c r="AL37" s="16">
        <v>24.2</v>
      </c>
      <c r="AM37" s="16">
        <v>8.6999999999999993</v>
      </c>
    </row>
    <row r="38" spans="1:39" x14ac:dyDescent="0.25">
      <c r="A38" s="18">
        <f t="shared" si="0"/>
        <v>1961</v>
      </c>
      <c r="B38" s="16">
        <v>44.1</v>
      </c>
      <c r="C38" s="16">
        <v>9.6</v>
      </c>
      <c r="D38" s="16">
        <v>44.8</v>
      </c>
      <c r="E38" s="16">
        <v>8.4</v>
      </c>
      <c r="F38" s="16">
        <v>48</v>
      </c>
      <c r="G38" s="16">
        <v>18.5</v>
      </c>
      <c r="H38" s="16">
        <v>45.5</v>
      </c>
      <c r="I38" s="16">
        <v>11.6</v>
      </c>
      <c r="J38" s="16">
        <v>43.5</v>
      </c>
      <c r="K38" s="16">
        <v>14.8</v>
      </c>
      <c r="L38" s="16">
        <v>43.3</v>
      </c>
      <c r="M38" s="16">
        <v>13.3</v>
      </c>
      <c r="N38" s="16">
        <v>42.3</v>
      </c>
      <c r="O38" s="16">
        <v>10.4</v>
      </c>
      <c r="P38" s="16">
        <v>46.6</v>
      </c>
      <c r="Q38" s="16">
        <v>16.7</v>
      </c>
      <c r="R38" s="16">
        <v>43.9</v>
      </c>
      <c r="S38" s="16">
        <v>22.4</v>
      </c>
      <c r="T38" s="16">
        <v>47</v>
      </c>
      <c r="U38" s="16">
        <v>17.5</v>
      </c>
      <c r="V38" s="16">
        <v>34.799999999999997</v>
      </c>
      <c r="W38" s="16">
        <v>10.9</v>
      </c>
      <c r="X38" s="16">
        <v>23.9</v>
      </c>
      <c r="Y38" s="16">
        <v>8.5</v>
      </c>
      <c r="Z38" s="16">
        <v>46.8</v>
      </c>
      <c r="AA38" s="16">
        <v>13.3</v>
      </c>
      <c r="AB38" s="16">
        <v>33.700000000000003</v>
      </c>
      <c r="AC38" s="16">
        <v>8.8000000000000007</v>
      </c>
      <c r="AD38" s="16">
        <v>41.3</v>
      </c>
      <c r="AE38" s="16">
        <v>9.3000000000000007</v>
      </c>
      <c r="AF38" s="16">
        <v>51.2</v>
      </c>
      <c r="AG38" s="16">
        <v>15.5</v>
      </c>
      <c r="AH38" s="16">
        <v>49</v>
      </c>
      <c r="AI38" s="16">
        <v>18.5</v>
      </c>
      <c r="AJ38" s="16">
        <v>21.8</v>
      </c>
      <c r="AK38" s="16">
        <v>9.6999999999999993</v>
      </c>
      <c r="AL38" s="16">
        <v>23.9</v>
      </c>
      <c r="AM38" s="16">
        <v>8.5</v>
      </c>
    </row>
    <row r="39" spans="1:39" x14ac:dyDescent="0.25">
      <c r="A39" s="18">
        <f t="shared" si="0"/>
        <v>1962</v>
      </c>
      <c r="B39" s="16">
        <v>43.4</v>
      </c>
      <c r="C39" s="16">
        <v>9.3000000000000007</v>
      </c>
      <c r="D39" s="16">
        <v>43.9</v>
      </c>
      <c r="E39" s="16">
        <v>8.1999999999999993</v>
      </c>
      <c r="F39" s="16">
        <v>47.4</v>
      </c>
      <c r="G39" s="16">
        <v>18.100000000000001</v>
      </c>
      <c r="H39" s="16">
        <v>44.9</v>
      </c>
      <c r="I39" s="16">
        <v>11.2</v>
      </c>
      <c r="J39" s="16">
        <v>43.4</v>
      </c>
      <c r="K39" s="16">
        <v>14.4</v>
      </c>
      <c r="L39" s="16">
        <v>42.7</v>
      </c>
      <c r="M39" s="16">
        <v>12.9</v>
      </c>
      <c r="N39" s="16">
        <v>42.2</v>
      </c>
      <c r="O39" s="16">
        <v>10.199999999999999</v>
      </c>
      <c r="P39" s="16">
        <v>46.2</v>
      </c>
      <c r="Q39" s="16">
        <v>16.399999999999999</v>
      </c>
      <c r="R39" s="16">
        <v>43.9</v>
      </c>
      <c r="S39" s="16">
        <v>22.1</v>
      </c>
      <c r="T39" s="16">
        <v>47.1</v>
      </c>
      <c r="U39" s="16">
        <v>17.2</v>
      </c>
      <c r="V39" s="16">
        <v>34.299999999999997</v>
      </c>
      <c r="W39" s="16">
        <v>10.6</v>
      </c>
      <c r="X39" s="16">
        <v>23.8</v>
      </c>
      <c r="Y39" s="16">
        <v>8.6999999999999993</v>
      </c>
      <c r="Z39" s="16">
        <v>46.8</v>
      </c>
      <c r="AA39" s="16">
        <v>12.8</v>
      </c>
      <c r="AB39" s="16">
        <v>34.6</v>
      </c>
      <c r="AC39" s="16">
        <v>8.6</v>
      </c>
      <c r="AD39" s="16">
        <v>41.3</v>
      </c>
      <c r="AE39" s="16">
        <v>9</v>
      </c>
      <c r="AF39" s="16">
        <v>50.2</v>
      </c>
      <c r="AG39" s="16">
        <v>14.9</v>
      </c>
      <c r="AH39" s="16">
        <v>48.6</v>
      </c>
      <c r="AI39" s="16">
        <v>17.7</v>
      </c>
      <c r="AJ39" s="16">
        <v>21.8</v>
      </c>
      <c r="AK39" s="16">
        <v>9.6999999999999993</v>
      </c>
      <c r="AL39" s="16">
        <v>23.8</v>
      </c>
      <c r="AM39" s="16">
        <v>8.6999999999999993</v>
      </c>
    </row>
    <row r="40" spans="1:39" x14ac:dyDescent="0.25">
      <c r="A40" s="18">
        <f t="shared" si="0"/>
        <v>1963</v>
      </c>
      <c r="B40" s="16">
        <v>42.7</v>
      </c>
      <c r="C40" s="16">
        <v>8.8000000000000007</v>
      </c>
      <c r="D40" s="16">
        <v>42.7</v>
      </c>
      <c r="E40" s="16">
        <v>8</v>
      </c>
      <c r="F40" s="16">
        <v>46.9</v>
      </c>
      <c r="G40" s="16">
        <v>17.8</v>
      </c>
      <c r="H40" s="16">
        <v>44.2</v>
      </c>
      <c r="I40" s="16">
        <v>10.8</v>
      </c>
      <c r="J40" s="16">
        <v>43.2</v>
      </c>
      <c r="K40" s="16">
        <v>13.9</v>
      </c>
      <c r="L40" s="16">
        <v>42</v>
      </c>
      <c r="M40" s="16">
        <v>12.6</v>
      </c>
      <c r="N40" s="16">
        <v>42.1</v>
      </c>
      <c r="O40" s="16">
        <v>10</v>
      </c>
      <c r="P40" s="16">
        <v>45.8</v>
      </c>
      <c r="Q40" s="16">
        <v>15.8</v>
      </c>
      <c r="R40" s="16">
        <v>43.8</v>
      </c>
      <c r="S40" s="16">
        <v>21.7</v>
      </c>
      <c r="T40" s="16">
        <v>47</v>
      </c>
      <c r="U40" s="16">
        <v>17</v>
      </c>
      <c r="V40" s="16">
        <v>33.700000000000003</v>
      </c>
      <c r="W40" s="16">
        <v>10.4</v>
      </c>
      <c r="X40" s="16">
        <v>23.5</v>
      </c>
      <c r="Y40" s="16">
        <v>8.6999999999999993</v>
      </c>
      <c r="Z40" s="16">
        <v>46.8</v>
      </c>
      <c r="AA40" s="16">
        <v>12.5</v>
      </c>
      <c r="AB40" s="16">
        <v>35.4</v>
      </c>
      <c r="AC40" s="16">
        <v>8.6</v>
      </c>
      <c r="AD40" s="16">
        <v>41.2</v>
      </c>
      <c r="AE40" s="16">
        <v>8.9</v>
      </c>
      <c r="AF40" s="16">
        <v>49.2</v>
      </c>
      <c r="AG40" s="16">
        <v>14.3</v>
      </c>
      <c r="AH40" s="16">
        <v>48.2</v>
      </c>
      <c r="AI40" s="16">
        <v>17.100000000000001</v>
      </c>
      <c r="AJ40" s="16">
        <v>21.8</v>
      </c>
      <c r="AK40" s="16">
        <v>9.6999999999999993</v>
      </c>
      <c r="AL40" s="16">
        <v>23.5</v>
      </c>
      <c r="AM40" s="16">
        <v>8.6999999999999993</v>
      </c>
    </row>
    <row r="41" spans="1:39" x14ac:dyDescent="0.25">
      <c r="A41" s="18">
        <f t="shared" si="0"/>
        <v>1964</v>
      </c>
      <c r="B41" s="16">
        <v>42</v>
      </c>
      <c r="C41" s="16">
        <v>8.5</v>
      </c>
      <c r="D41" s="16">
        <v>41.4</v>
      </c>
      <c r="E41" s="16">
        <v>7.8</v>
      </c>
      <c r="F41" s="16">
        <v>46.5</v>
      </c>
      <c r="G41" s="16">
        <v>17.5</v>
      </c>
      <c r="H41" s="16">
        <v>43.4</v>
      </c>
      <c r="I41" s="16">
        <v>10.4</v>
      </c>
      <c r="J41" s="16">
        <v>43.1</v>
      </c>
      <c r="K41" s="16">
        <v>13.5</v>
      </c>
      <c r="L41" s="16">
        <v>41</v>
      </c>
      <c r="M41" s="16">
        <v>12.3</v>
      </c>
      <c r="N41" s="16">
        <v>41.7</v>
      </c>
      <c r="O41" s="16">
        <v>10</v>
      </c>
      <c r="P41" s="16">
        <v>45.4</v>
      </c>
      <c r="Q41" s="16">
        <v>15.5</v>
      </c>
      <c r="R41" s="16">
        <v>43.7</v>
      </c>
      <c r="S41" s="16">
        <v>21.4</v>
      </c>
      <c r="T41" s="16">
        <v>46.8</v>
      </c>
      <c r="U41" s="16">
        <v>16.8</v>
      </c>
      <c r="V41" s="16">
        <v>33.1</v>
      </c>
      <c r="W41" s="16">
        <v>10.1</v>
      </c>
      <c r="X41" s="16">
        <v>23.2</v>
      </c>
      <c r="Y41" s="16">
        <v>8.9</v>
      </c>
      <c r="Z41" s="16">
        <v>46.8</v>
      </c>
      <c r="AA41" s="16">
        <v>12.1</v>
      </c>
      <c r="AB41" s="16">
        <v>34.9</v>
      </c>
      <c r="AC41" s="16">
        <v>8.3000000000000007</v>
      </c>
      <c r="AD41" s="16">
        <v>40.799999999999997</v>
      </c>
      <c r="AE41" s="16">
        <v>8.6999999999999993</v>
      </c>
      <c r="AF41" s="16">
        <v>48.1</v>
      </c>
      <c r="AG41" s="16">
        <v>13.6</v>
      </c>
      <c r="AH41" s="16">
        <v>47.9</v>
      </c>
      <c r="AI41" s="16">
        <v>16.399999999999999</v>
      </c>
      <c r="AJ41" s="16">
        <v>21.5</v>
      </c>
      <c r="AK41" s="16">
        <v>9.6999999999999993</v>
      </c>
      <c r="AL41" s="16">
        <v>23.2</v>
      </c>
      <c r="AM41" s="16">
        <v>8.9</v>
      </c>
    </row>
    <row r="42" spans="1:39" x14ac:dyDescent="0.25">
      <c r="A42" s="18">
        <f t="shared" si="0"/>
        <v>1965</v>
      </c>
      <c r="B42" s="16">
        <v>41.3</v>
      </c>
      <c r="C42" s="16">
        <v>8.1</v>
      </c>
      <c r="D42" s="16">
        <v>39.9</v>
      </c>
      <c r="E42" s="16">
        <v>7.6</v>
      </c>
      <c r="F42" s="16">
        <v>46.2</v>
      </c>
      <c r="G42" s="16">
        <v>17.3</v>
      </c>
      <c r="H42" s="16">
        <v>42.4</v>
      </c>
      <c r="I42" s="16">
        <v>10.1</v>
      </c>
      <c r="J42" s="16">
        <v>42.9</v>
      </c>
      <c r="K42" s="16">
        <v>13.1</v>
      </c>
      <c r="L42" s="16">
        <v>39.799999999999997</v>
      </c>
      <c r="M42" s="16">
        <v>12</v>
      </c>
      <c r="N42" s="16">
        <v>41</v>
      </c>
      <c r="O42" s="16">
        <v>9.9</v>
      </c>
      <c r="P42" s="16">
        <v>44.9</v>
      </c>
      <c r="Q42" s="16">
        <v>15.2</v>
      </c>
      <c r="R42" s="16">
        <v>43.6</v>
      </c>
      <c r="S42" s="16">
        <v>21</v>
      </c>
      <c r="T42" s="16">
        <v>46.3</v>
      </c>
      <c r="U42" s="16">
        <v>16.5</v>
      </c>
      <c r="V42" s="16">
        <v>32.4</v>
      </c>
      <c r="W42" s="16">
        <v>9.8000000000000007</v>
      </c>
      <c r="X42" s="16">
        <v>22.6</v>
      </c>
      <c r="Y42" s="16">
        <v>8.8000000000000007</v>
      </c>
      <c r="Z42" s="16">
        <v>46.5</v>
      </c>
      <c r="AA42" s="16">
        <v>11.6</v>
      </c>
      <c r="AB42" s="16">
        <v>34.4</v>
      </c>
      <c r="AC42" s="16">
        <v>8.1</v>
      </c>
      <c r="AD42" s="16">
        <v>40.299999999999997</v>
      </c>
      <c r="AE42" s="16">
        <v>8.6</v>
      </c>
      <c r="AF42" s="16">
        <v>47</v>
      </c>
      <c r="AG42" s="16">
        <v>14.1</v>
      </c>
      <c r="AH42" s="16">
        <v>47.7</v>
      </c>
      <c r="AI42" s="16">
        <v>15.9</v>
      </c>
      <c r="AJ42" s="16">
        <v>21.2</v>
      </c>
      <c r="AK42" s="16">
        <v>9.6999999999999993</v>
      </c>
      <c r="AL42" s="16">
        <v>22.6</v>
      </c>
      <c r="AM42" s="16">
        <v>8.8000000000000007</v>
      </c>
    </row>
    <row r="43" spans="1:39" x14ac:dyDescent="0.25">
      <c r="A43" s="18">
        <f t="shared" si="0"/>
        <v>1966</v>
      </c>
      <c r="B43" s="16">
        <v>40.5</v>
      </c>
      <c r="C43" s="16">
        <v>7.6</v>
      </c>
      <c r="D43" s="16">
        <v>38.299999999999997</v>
      </c>
      <c r="E43" s="16">
        <v>7.3</v>
      </c>
      <c r="F43" s="16">
        <v>46</v>
      </c>
      <c r="G43" s="16">
        <v>17</v>
      </c>
      <c r="H43" s="16">
        <v>41.3</v>
      </c>
      <c r="I43" s="16">
        <v>9.6999999999999993</v>
      </c>
      <c r="J43" s="16">
        <v>42.6</v>
      </c>
      <c r="K43" s="16">
        <v>12.7</v>
      </c>
      <c r="L43" s="16">
        <v>38.6</v>
      </c>
      <c r="M43" s="16">
        <v>11.6</v>
      </c>
      <c r="N43" s="16">
        <v>40.200000000000003</v>
      </c>
      <c r="O43" s="16">
        <v>9.8000000000000007</v>
      </c>
      <c r="P43" s="16">
        <v>44.4</v>
      </c>
      <c r="Q43" s="16">
        <v>14.9</v>
      </c>
      <c r="R43" s="16">
        <v>43.5</v>
      </c>
      <c r="S43" s="16">
        <v>20.6</v>
      </c>
      <c r="T43" s="16">
        <v>45.7</v>
      </c>
      <c r="U43" s="16">
        <v>16.2</v>
      </c>
      <c r="V43" s="16">
        <v>31.7</v>
      </c>
      <c r="W43" s="16">
        <v>9.4</v>
      </c>
      <c r="X43" s="16">
        <v>22.3</v>
      </c>
      <c r="Y43" s="16">
        <v>8.8000000000000007</v>
      </c>
      <c r="Z43" s="16">
        <v>46.3</v>
      </c>
      <c r="AA43" s="16">
        <v>11.2</v>
      </c>
      <c r="AB43" s="16">
        <v>33.4</v>
      </c>
      <c r="AC43" s="16">
        <v>7.9</v>
      </c>
      <c r="AD43" s="16">
        <v>39.9</v>
      </c>
      <c r="AE43" s="16">
        <v>8.4</v>
      </c>
      <c r="AF43" s="16">
        <v>46.2</v>
      </c>
      <c r="AG43" s="16">
        <v>12.6</v>
      </c>
      <c r="AH43" s="16">
        <v>47.3</v>
      </c>
      <c r="AI43" s="16">
        <v>15.3</v>
      </c>
      <c r="AJ43" s="16">
        <v>20.9</v>
      </c>
      <c r="AK43" s="16">
        <v>9.6999999999999993</v>
      </c>
      <c r="AL43" s="16">
        <v>22.3</v>
      </c>
      <c r="AM43" s="16">
        <v>8.8000000000000007</v>
      </c>
    </row>
    <row r="44" spans="1:39" x14ac:dyDescent="0.25">
      <c r="A44" s="18">
        <f t="shared" si="0"/>
        <v>1967</v>
      </c>
      <c r="B44" s="16">
        <v>39.700000000000003</v>
      </c>
      <c r="C44" s="16">
        <v>7.3</v>
      </c>
      <c r="D44" s="16">
        <v>36.799999999999997</v>
      </c>
      <c r="E44" s="16">
        <v>7</v>
      </c>
      <c r="F44" s="16">
        <v>45.6</v>
      </c>
      <c r="G44" s="16">
        <v>16.7</v>
      </c>
      <c r="H44" s="16">
        <v>40.200000000000003</v>
      </c>
      <c r="I44" s="16">
        <v>9.4</v>
      </c>
      <c r="J44" s="16">
        <v>42.4</v>
      </c>
      <c r="K44" s="16">
        <v>12.4</v>
      </c>
      <c r="L44" s="16">
        <v>37.4</v>
      </c>
      <c r="M44" s="16">
        <v>11.3</v>
      </c>
      <c r="N44" s="16">
        <v>39.200000000000003</v>
      </c>
      <c r="O44" s="16">
        <v>9.6999999999999993</v>
      </c>
      <c r="P44" s="16">
        <v>44</v>
      </c>
      <c r="Q44" s="16">
        <v>14.6</v>
      </c>
      <c r="R44" s="16">
        <v>43.4</v>
      </c>
      <c r="S44" s="16">
        <v>20.3</v>
      </c>
      <c r="T44" s="16">
        <v>45.1</v>
      </c>
      <c r="U44" s="16">
        <v>16</v>
      </c>
      <c r="V44" s="16">
        <v>30.9</v>
      </c>
      <c r="W44" s="16">
        <v>9.1</v>
      </c>
      <c r="X44" s="16">
        <v>22.4</v>
      </c>
      <c r="Y44" s="16">
        <v>8.9</v>
      </c>
      <c r="Z44" s="16">
        <v>45.9</v>
      </c>
      <c r="AA44" s="16">
        <v>10.8</v>
      </c>
      <c r="AB44" s="16">
        <v>32.5</v>
      </c>
      <c r="AC44" s="16">
        <v>7.7</v>
      </c>
      <c r="AD44" s="16">
        <v>39.200000000000003</v>
      </c>
      <c r="AE44" s="16">
        <v>8.1999999999999993</v>
      </c>
      <c r="AF44" s="16">
        <v>45</v>
      </c>
      <c r="AG44" s="16">
        <v>12</v>
      </c>
      <c r="AH44" s="16">
        <v>46.9</v>
      </c>
      <c r="AI44" s="16">
        <v>14.7</v>
      </c>
      <c r="AJ44" s="16">
        <v>20.5</v>
      </c>
      <c r="AK44" s="16">
        <v>9.6999999999999993</v>
      </c>
      <c r="AL44" s="16">
        <v>22.4</v>
      </c>
      <c r="AM44" s="16">
        <v>8.9</v>
      </c>
    </row>
    <row r="45" spans="1:39" x14ac:dyDescent="0.25">
      <c r="A45" s="18">
        <f t="shared" si="0"/>
        <v>1968</v>
      </c>
      <c r="B45" s="16">
        <v>39</v>
      </c>
      <c r="C45" s="16">
        <v>7.1</v>
      </c>
      <c r="D45" s="16">
        <v>34.6</v>
      </c>
      <c r="E45" s="16">
        <v>6.8</v>
      </c>
      <c r="F45" s="16">
        <v>45.3</v>
      </c>
      <c r="G45" s="16">
        <v>16.600000000000001</v>
      </c>
      <c r="H45" s="16">
        <v>38.9</v>
      </c>
      <c r="I45" s="16">
        <v>9.1</v>
      </c>
      <c r="J45" s="16">
        <v>42</v>
      </c>
      <c r="K45" s="16">
        <v>12.1</v>
      </c>
      <c r="L45" s="16">
        <v>36.299999999999997</v>
      </c>
      <c r="M45" s="16">
        <v>11</v>
      </c>
      <c r="N45" s="16">
        <v>38.4</v>
      </c>
      <c r="O45" s="16">
        <v>9.6</v>
      </c>
      <c r="P45" s="16">
        <v>43.4</v>
      </c>
      <c r="Q45" s="16">
        <v>14.4</v>
      </c>
      <c r="R45" s="16">
        <v>43.3</v>
      </c>
      <c r="S45" s="16">
        <v>19.899999999999999</v>
      </c>
      <c r="T45" s="16">
        <v>44.3</v>
      </c>
      <c r="U45" s="16">
        <v>15.9</v>
      </c>
      <c r="V45" s="16">
        <v>30.2</v>
      </c>
      <c r="W45" s="16">
        <v>8.8000000000000007</v>
      </c>
      <c r="X45" s="16">
        <v>22.7</v>
      </c>
      <c r="Y45" s="16">
        <v>9.1999999999999993</v>
      </c>
      <c r="Z45" s="16">
        <v>45.6</v>
      </c>
      <c r="AA45" s="16">
        <v>10.5</v>
      </c>
      <c r="AB45" s="16">
        <v>31.6</v>
      </c>
      <c r="AC45" s="16">
        <v>7.5</v>
      </c>
      <c r="AD45" s="16">
        <v>38.5</v>
      </c>
      <c r="AE45" s="16">
        <v>8</v>
      </c>
      <c r="AF45" s="16">
        <v>43.6</v>
      </c>
      <c r="AG45" s="16">
        <v>11.5</v>
      </c>
      <c r="AH45" s="16">
        <v>46.6</v>
      </c>
      <c r="AI45" s="16">
        <v>14.2</v>
      </c>
      <c r="AJ45" s="16">
        <v>20.2</v>
      </c>
      <c r="AK45" s="16">
        <v>9.6999999999999993</v>
      </c>
      <c r="AL45" s="16">
        <v>22.7</v>
      </c>
      <c r="AM45" s="16">
        <v>9.1999999999999993</v>
      </c>
    </row>
    <row r="46" spans="1:39" x14ac:dyDescent="0.25">
      <c r="A46" s="18">
        <f t="shared" si="0"/>
        <v>1969</v>
      </c>
      <c r="B46" s="16">
        <v>38.200000000000003</v>
      </c>
      <c r="C46" s="16">
        <v>7.1</v>
      </c>
      <c r="D46" s="16">
        <v>33.799999999999997</v>
      </c>
      <c r="E46" s="16">
        <v>6.5</v>
      </c>
      <c r="F46" s="16">
        <v>45.1</v>
      </c>
      <c r="G46" s="16">
        <v>16.7</v>
      </c>
      <c r="H46" s="16">
        <v>37.6</v>
      </c>
      <c r="I46" s="16">
        <v>8.6999999999999993</v>
      </c>
      <c r="J46" s="16">
        <v>41.7</v>
      </c>
      <c r="K46" s="16">
        <v>11.8</v>
      </c>
      <c r="L46" s="16">
        <v>35.700000000000003</v>
      </c>
      <c r="M46" s="16">
        <v>10.7</v>
      </c>
      <c r="N46" s="16">
        <v>37.6</v>
      </c>
      <c r="O46" s="16">
        <v>9.5</v>
      </c>
      <c r="P46" s="16">
        <v>42.9</v>
      </c>
      <c r="Q46" s="16">
        <v>14.1</v>
      </c>
      <c r="R46" s="16">
        <v>43</v>
      </c>
      <c r="S46" s="16">
        <v>19.5</v>
      </c>
      <c r="T46" s="16">
        <v>43.5</v>
      </c>
      <c r="U46" s="16">
        <v>15.5</v>
      </c>
      <c r="V46" s="16">
        <v>29.5</v>
      </c>
      <c r="W46" s="16">
        <v>8.5</v>
      </c>
      <c r="X46" s="16">
        <v>23</v>
      </c>
      <c r="Y46" s="16">
        <v>9.5</v>
      </c>
      <c r="Z46" s="16">
        <v>45.1</v>
      </c>
      <c r="AA46" s="16">
        <v>10.3</v>
      </c>
      <c r="AB46" s="16">
        <v>31</v>
      </c>
      <c r="AC46" s="16">
        <v>7.3</v>
      </c>
      <c r="AD46" s="16">
        <v>37.9</v>
      </c>
      <c r="AE46" s="16">
        <v>7.8</v>
      </c>
      <c r="AF46" s="16">
        <v>42.7</v>
      </c>
      <c r="AG46" s="16">
        <v>11</v>
      </c>
      <c r="AH46" s="16">
        <v>46.4</v>
      </c>
      <c r="AI46" s="16">
        <v>13.7</v>
      </c>
      <c r="AJ46" s="16">
        <v>20.100000000000001</v>
      </c>
      <c r="AK46" s="16">
        <v>9.6999999999999993</v>
      </c>
      <c r="AL46" s="16">
        <v>23</v>
      </c>
      <c r="AM46" s="16">
        <v>9.5</v>
      </c>
    </row>
    <row r="47" spans="1:39" x14ac:dyDescent="0.25">
      <c r="A47" s="18">
        <f t="shared" si="0"/>
        <v>1970</v>
      </c>
      <c r="B47" s="16">
        <v>37.5</v>
      </c>
      <c r="C47" s="16">
        <v>6.7</v>
      </c>
      <c r="D47" s="16">
        <v>32.6</v>
      </c>
      <c r="E47" s="16">
        <v>6.3</v>
      </c>
      <c r="F47" s="16">
        <v>44.9</v>
      </c>
      <c r="G47" s="16">
        <v>16</v>
      </c>
      <c r="H47" s="16">
        <v>36.5</v>
      </c>
      <c r="I47" s="16">
        <v>8.4</v>
      </c>
      <c r="J47" s="16">
        <v>41.2</v>
      </c>
      <c r="K47" s="16">
        <v>11.4</v>
      </c>
      <c r="L47" s="16">
        <v>35.200000000000003</v>
      </c>
      <c r="M47" s="16">
        <v>10.5</v>
      </c>
      <c r="N47" s="16">
        <v>37</v>
      </c>
      <c r="O47" s="16">
        <v>9.4</v>
      </c>
      <c r="P47" s="16">
        <v>42.4</v>
      </c>
      <c r="Q47" s="16">
        <v>18.8</v>
      </c>
      <c r="R47" s="16">
        <v>42.7</v>
      </c>
      <c r="S47" s="16">
        <v>19.2</v>
      </c>
      <c r="T47" s="16">
        <v>42.8</v>
      </c>
      <c r="U47" s="16">
        <v>15.4</v>
      </c>
      <c r="V47" s="16">
        <v>28.8</v>
      </c>
      <c r="W47" s="16">
        <v>8.4</v>
      </c>
      <c r="X47" s="16">
        <v>23.4</v>
      </c>
      <c r="Y47" s="16">
        <v>9.1999999999999993</v>
      </c>
      <c r="Z47" s="16">
        <v>44.5</v>
      </c>
      <c r="AA47" s="16">
        <v>10</v>
      </c>
      <c r="AB47" s="16">
        <v>29.9</v>
      </c>
      <c r="AC47" s="16">
        <v>7</v>
      </c>
      <c r="AD47" s="16">
        <v>37.4</v>
      </c>
      <c r="AE47" s="16">
        <v>7.6</v>
      </c>
      <c r="AF47" s="16">
        <v>41.9</v>
      </c>
      <c r="AG47" s="16">
        <v>10.6</v>
      </c>
      <c r="AH47" s="16">
        <v>46.3</v>
      </c>
      <c r="AI47" s="16">
        <v>13.2</v>
      </c>
      <c r="AJ47" s="16">
        <v>20.100000000000001</v>
      </c>
      <c r="AK47" s="16">
        <v>9.8000000000000007</v>
      </c>
      <c r="AL47" s="16">
        <v>23.4</v>
      </c>
      <c r="AM47" s="16">
        <v>9.1999999999999993</v>
      </c>
    </row>
    <row r="48" spans="1:39" x14ac:dyDescent="0.25">
      <c r="A48" s="18">
        <f t="shared" si="0"/>
        <v>1971</v>
      </c>
      <c r="B48" s="16">
        <v>36.700000000000003</v>
      </c>
      <c r="C48" s="16">
        <v>6.5</v>
      </c>
      <c r="D48" s="16">
        <v>31.6</v>
      </c>
      <c r="E48" s="16">
        <v>6</v>
      </c>
      <c r="F48" s="16">
        <v>44.7</v>
      </c>
      <c r="G48" s="16">
        <v>14.9</v>
      </c>
      <c r="H48" s="16">
        <v>35.4</v>
      </c>
      <c r="I48" s="16">
        <v>8.1</v>
      </c>
      <c r="J48" s="16">
        <v>40.700000000000003</v>
      </c>
      <c r="K48" s="16">
        <v>11.1</v>
      </c>
      <c r="L48" s="16">
        <v>34.9</v>
      </c>
      <c r="M48" s="16">
        <v>10.199999999999999</v>
      </c>
      <c r="N48" s="16">
        <v>36.299999999999997</v>
      </c>
      <c r="O48" s="16">
        <v>9.3000000000000007</v>
      </c>
      <c r="P48" s="16">
        <v>41.8</v>
      </c>
      <c r="Q48" s="16">
        <v>13.5</v>
      </c>
      <c r="R48" s="16">
        <v>42.4</v>
      </c>
      <c r="S48" s="16">
        <v>18.8</v>
      </c>
      <c r="T48" s="16">
        <v>42.8</v>
      </c>
      <c r="U48" s="16">
        <v>15</v>
      </c>
      <c r="V48" s="16">
        <v>28.1</v>
      </c>
      <c r="W48" s="16">
        <v>8.1999999999999993</v>
      </c>
      <c r="X48" s="16">
        <v>23.6</v>
      </c>
      <c r="Y48" s="16">
        <v>9.4</v>
      </c>
      <c r="Z48" s="16">
        <v>43.9</v>
      </c>
      <c r="AA48" s="16">
        <v>9.6999999999999993</v>
      </c>
      <c r="AB48" s="16">
        <v>28.5</v>
      </c>
      <c r="AC48" s="16">
        <v>6.8</v>
      </c>
      <c r="AD48" s="16">
        <v>36.700000000000003</v>
      </c>
      <c r="AE48" s="16">
        <v>7.3</v>
      </c>
      <c r="AF48" s="16">
        <v>41.2</v>
      </c>
      <c r="AG48" s="16">
        <v>10.199999999999999</v>
      </c>
      <c r="AH48" s="16">
        <v>46.2</v>
      </c>
      <c r="AI48" s="16">
        <v>12.8</v>
      </c>
      <c r="AJ48" s="16">
        <v>20</v>
      </c>
      <c r="AK48" s="16">
        <v>9.8000000000000007</v>
      </c>
      <c r="AL48" s="16">
        <v>23.6</v>
      </c>
      <c r="AM48" s="16">
        <v>9.4</v>
      </c>
    </row>
    <row r="49" spans="1:39" x14ac:dyDescent="0.25">
      <c r="A49" s="18">
        <f t="shared" si="0"/>
        <v>1972</v>
      </c>
      <c r="B49" s="16">
        <v>36.1</v>
      </c>
      <c r="C49" s="16">
        <v>6.3</v>
      </c>
      <c r="D49" s="16">
        <v>30.7</v>
      </c>
      <c r="E49" s="16">
        <v>5.7</v>
      </c>
      <c r="F49" s="16">
        <v>44.4</v>
      </c>
      <c r="G49" s="16">
        <v>14</v>
      </c>
      <c r="H49" s="16">
        <v>34.4</v>
      </c>
      <c r="I49" s="16">
        <v>7.8</v>
      </c>
      <c r="J49" s="16">
        <v>40.1</v>
      </c>
      <c r="K49" s="16">
        <v>10.7</v>
      </c>
      <c r="L49" s="16">
        <v>34.5</v>
      </c>
      <c r="M49" s="16">
        <v>10</v>
      </c>
      <c r="N49" s="16">
        <v>35.799999999999997</v>
      </c>
      <c r="O49" s="16">
        <v>9.1</v>
      </c>
      <c r="P49" s="16">
        <v>41.2</v>
      </c>
      <c r="Q49" s="16">
        <v>13.3</v>
      </c>
      <c r="R49" s="16">
        <v>41.9</v>
      </c>
      <c r="S49" s="16">
        <v>18.5</v>
      </c>
      <c r="T49" s="16">
        <v>42.5</v>
      </c>
      <c r="U49" s="16">
        <v>14.6</v>
      </c>
      <c r="V49" s="16">
        <v>27.4</v>
      </c>
      <c r="W49" s="16">
        <v>8</v>
      </c>
      <c r="X49" s="16">
        <v>23.8</v>
      </c>
      <c r="Y49" s="16">
        <v>9.3000000000000007</v>
      </c>
      <c r="Z49" s="16">
        <v>43</v>
      </c>
      <c r="AA49" s="16">
        <v>9.3000000000000007</v>
      </c>
      <c r="AB49" s="16">
        <v>27.2</v>
      </c>
      <c r="AC49" s="16">
        <v>6.7</v>
      </c>
      <c r="AD49" s="16">
        <v>36</v>
      </c>
      <c r="AE49" s="16">
        <v>7</v>
      </c>
      <c r="AF49" s="16">
        <v>40.6</v>
      </c>
      <c r="AG49" s="16">
        <v>9.8000000000000007</v>
      </c>
      <c r="AH49" s="16">
        <v>46.1</v>
      </c>
      <c r="AI49" s="16">
        <v>12.4</v>
      </c>
      <c r="AJ49" s="16">
        <v>20</v>
      </c>
      <c r="AK49" s="16">
        <v>9.8000000000000007</v>
      </c>
      <c r="AL49" s="16">
        <v>23.8</v>
      </c>
      <c r="AM49" s="16">
        <v>9.3000000000000007</v>
      </c>
    </row>
    <row r="50" spans="1:39" x14ac:dyDescent="0.25">
      <c r="A50" s="18">
        <f t="shared" si="0"/>
        <v>1973</v>
      </c>
      <c r="B50" s="16">
        <v>35.700000000000003</v>
      </c>
      <c r="C50" s="16">
        <v>6.2</v>
      </c>
      <c r="D50" s="16">
        <v>30.1</v>
      </c>
      <c r="E50" s="16">
        <v>5.5</v>
      </c>
      <c r="F50" s="16">
        <v>44.2</v>
      </c>
      <c r="G50" s="16">
        <v>13.4</v>
      </c>
      <c r="H50" s="16">
        <v>33.700000000000003</v>
      </c>
      <c r="I50" s="16">
        <v>7.6</v>
      </c>
      <c r="J50" s="16">
        <v>39.5</v>
      </c>
      <c r="K50" s="16">
        <v>10.4</v>
      </c>
      <c r="L50" s="16">
        <v>34.200000000000003</v>
      </c>
      <c r="M50" s="16">
        <v>9.8000000000000007</v>
      </c>
      <c r="N50" s="16">
        <v>35.4</v>
      </c>
      <c r="O50" s="16">
        <v>8.9</v>
      </c>
      <c r="P50" s="16">
        <v>40.700000000000003</v>
      </c>
      <c r="Q50" s="16">
        <v>13.2</v>
      </c>
      <c r="R50" s="16">
        <v>41.7</v>
      </c>
      <c r="S50" s="16">
        <v>18.100000000000001</v>
      </c>
      <c r="T50" s="16">
        <v>42.2</v>
      </c>
      <c r="U50" s="16">
        <v>13.9</v>
      </c>
      <c r="V50" s="16">
        <v>26.8</v>
      </c>
      <c r="W50" s="16">
        <v>7.7</v>
      </c>
      <c r="X50" s="16">
        <v>24.1</v>
      </c>
      <c r="Y50" s="16">
        <v>9.3000000000000007</v>
      </c>
      <c r="Z50" s="16">
        <v>42.1</v>
      </c>
      <c r="AA50" s="16">
        <v>9</v>
      </c>
      <c r="AB50" s="16">
        <v>25.8</v>
      </c>
      <c r="AC50" s="16">
        <v>6.6</v>
      </c>
      <c r="AD50" s="16">
        <v>35</v>
      </c>
      <c r="AE50" s="16">
        <v>6.7</v>
      </c>
      <c r="AF50" s="16">
        <v>40</v>
      </c>
      <c r="AG50" s="16">
        <v>9.4</v>
      </c>
      <c r="AH50" s="16">
        <v>45.9</v>
      </c>
      <c r="AI50" s="16">
        <v>12.9</v>
      </c>
      <c r="AJ50" s="16">
        <v>20.399999999999999</v>
      </c>
      <c r="AK50" s="16">
        <v>9.8000000000000007</v>
      </c>
      <c r="AL50" s="16">
        <v>24.1</v>
      </c>
      <c r="AM50" s="16">
        <v>9.3000000000000007</v>
      </c>
    </row>
    <row r="51" spans="1:39" x14ac:dyDescent="0.25">
      <c r="A51" s="18">
        <f t="shared" si="0"/>
        <v>1974</v>
      </c>
      <c r="B51" s="16">
        <v>35.299999999999997</v>
      </c>
      <c r="C51" s="16">
        <v>6</v>
      </c>
      <c r="D51" s="16">
        <v>29.9</v>
      </c>
      <c r="E51" s="16">
        <v>5.2</v>
      </c>
      <c r="F51" s="16">
        <v>44.1</v>
      </c>
      <c r="G51" s="16">
        <v>13.2</v>
      </c>
      <c r="H51" s="16">
        <v>33.1</v>
      </c>
      <c r="I51" s="16">
        <v>7.3</v>
      </c>
      <c r="J51" s="16">
        <v>38.9</v>
      </c>
      <c r="K51" s="16">
        <v>10.1</v>
      </c>
      <c r="L51" s="16">
        <v>33.700000000000003</v>
      </c>
      <c r="M51" s="16">
        <v>9.6999999999999993</v>
      </c>
      <c r="N51" s="16">
        <v>35.200000000000003</v>
      </c>
      <c r="O51" s="16">
        <v>8.9</v>
      </c>
      <c r="P51" s="16">
        <v>40.1</v>
      </c>
      <c r="Q51" s="16">
        <v>12.8</v>
      </c>
      <c r="R51" s="16">
        <v>41.5</v>
      </c>
      <c r="S51" s="16">
        <v>17.7</v>
      </c>
      <c r="T51" s="16">
        <v>41.9</v>
      </c>
      <c r="U51" s="16">
        <v>13.7</v>
      </c>
      <c r="V51" s="16">
        <v>26.1</v>
      </c>
      <c r="W51" s="16">
        <v>7.4</v>
      </c>
      <c r="X51" s="16">
        <v>24.5</v>
      </c>
      <c r="Y51" s="16">
        <v>9.3000000000000007</v>
      </c>
      <c r="Z51" s="16">
        <v>41.2</v>
      </c>
      <c r="AA51" s="16">
        <v>8.6</v>
      </c>
      <c r="AB51" s="16">
        <v>24.1</v>
      </c>
      <c r="AC51" s="16">
        <v>6.5</v>
      </c>
      <c r="AD51" s="16">
        <v>34.200000000000003</v>
      </c>
      <c r="AE51" s="16">
        <v>6.4</v>
      </c>
      <c r="AF51" s="16">
        <v>39.1</v>
      </c>
      <c r="AG51" s="16">
        <v>9.1</v>
      </c>
      <c r="AH51" s="16">
        <v>45.8</v>
      </c>
      <c r="AI51" s="16">
        <v>14.2</v>
      </c>
      <c r="AJ51" s="16">
        <v>21.1</v>
      </c>
      <c r="AK51" s="16">
        <v>9.9</v>
      </c>
      <c r="AL51" s="16">
        <v>24.5</v>
      </c>
      <c r="AM51" s="16">
        <v>9.3000000000000007</v>
      </c>
    </row>
    <row r="52" spans="1:39" x14ac:dyDescent="0.25">
      <c r="A52" s="18">
        <f t="shared" si="0"/>
        <v>1975</v>
      </c>
      <c r="B52" s="16">
        <v>35</v>
      </c>
      <c r="C52" s="16">
        <v>5.9</v>
      </c>
      <c r="D52" s="16">
        <v>29.8</v>
      </c>
      <c r="E52" s="16">
        <v>4.9000000000000004</v>
      </c>
      <c r="F52" s="16">
        <v>44.1</v>
      </c>
      <c r="G52" s="16">
        <v>13.3</v>
      </c>
      <c r="H52" s="16">
        <v>32.700000000000003</v>
      </c>
      <c r="I52" s="16">
        <v>7.1</v>
      </c>
      <c r="J52" s="16">
        <v>38.200000000000003</v>
      </c>
      <c r="K52" s="16">
        <v>9.8000000000000007</v>
      </c>
      <c r="L52" s="16">
        <v>33.5</v>
      </c>
      <c r="M52" s="16">
        <v>9.5</v>
      </c>
      <c r="N52" s="16">
        <v>34.9</v>
      </c>
      <c r="O52" s="16">
        <v>8.8000000000000007</v>
      </c>
      <c r="P52" s="16">
        <v>39.5</v>
      </c>
      <c r="Q52" s="16">
        <v>12.5</v>
      </c>
      <c r="R52" s="16">
        <v>41.1</v>
      </c>
      <c r="S52" s="16">
        <v>17.2</v>
      </c>
      <c r="T52" s="16">
        <v>41.5</v>
      </c>
      <c r="U52" s="16">
        <v>13.2</v>
      </c>
      <c r="V52" s="16">
        <v>25.5</v>
      </c>
      <c r="W52" s="16">
        <v>7</v>
      </c>
      <c r="X52" s="16">
        <v>24.9</v>
      </c>
      <c r="Y52" s="16">
        <v>9.1</v>
      </c>
      <c r="Z52" s="16">
        <v>40.1</v>
      </c>
      <c r="AA52" s="16">
        <v>8.1999999999999993</v>
      </c>
      <c r="AB52" s="16">
        <v>21.6</v>
      </c>
      <c r="AC52" s="16">
        <v>6.4</v>
      </c>
      <c r="AD52" s="16">
        <v>33.299999999999997</v>
      </c>
      <c r="AE52" s="16">
        <v>6.1</v>
      </c>
      <c r="AF52" s="16">
        <v>38.4</v>
      </c>
      <c r="AG52" s="16">
        <v>8.8000000000000007</v>
      </c>
      <c r="AH52" s="16">
        <v>46</v>
      </c>
      <c r="AI52" s="16">
        <v>11.1</v>
      </c>
      <c r="AJ52" s="16">
        <v>21.5</v>
      </c>
      <c r="AK52" s="16">
        <v>9.9</v>
      </c>
      <c r="AL52" s="16">
        <v>24.9</v>
      </c>
      <c r="AM52" s="16">
        <v>9.1</v>
      </c>
    </row>
    <row r="53" spans="1:39" x14ac:dyDescent="0.25">
      <c r="A53" s="18">
        <f t="shared" si="0"/>
        <v>1976</v>
      </c>
      <c r="B53" s="16">
        <v>34.700000000000003</v>
      </c>
      <c r="C53" s="16">
        <v>5.7</v>
      </c>
      <c r="D53" s="16">
        <v>29.9</v>
      </c>
      <c r="E53" s="16">
        <v>4.7</v>
      </c>
      <c r="F53" s="16">
        <v>44</v>
      </c>
      <c r="G53" s="16">
        <v>16.600000000000001</v>
      </c>
      <c r="H53" s="16">
        <v>32.5</v>
      </c>
      <c r="I53" s="16">
        <v>6.9</v>
      </c>
      <c r="J53" s="16">
        <v>37.6</v>
      </c>
      <c r="K53" s="16">
        <v>9.5</v>
      </c>
      <c r="L53" s="16">
        <v>33.299999999999997</v>
      </c>
      <c r="M53" s="16">
        <v>9.3000000000000007</v>
      </c>
      <c r="N53" s="16">
        <v>34.799999999999997</v>
      </c>
      <c r="O53" s="16">
        <v>8.6999999999999993</v>
      </c>
      <c r="P53" s="16">
        <v>38.9</v>
      </c>
      <c r="Q53" s="16">
        <v>12.2</v>
      </c>
      <c r="R53" s="16">
        <v>41.2</v>
      </c>
      <c r="S53" s="16">
        <v>16.7</v>
      </c>
      <c r="T53" s="16">
        <v>41.2</v>
      </c>
      <c r="U53" s="16">
        <v>12.5</v>
      </c>
      <c r="V53" s="16">
        <v>24.9</v>
      </c>
      <c r="W53" s="16">
        <v>6.8</v>
      </c>
      <c r="X53" s="16">
        <v>25.2</v>
      </c>
      <c r="Y53" s="16">
        <v>9.1999999999999993</v>
      </c>
      <c r="Z53" s="16">
        <v>39.1</v>
      </c>
      <c r="AA53" s="16">
        <v>7.9</v>
      </c>
      <c r="AB53" s="16">
        <v>19.399999999999999</v>
      </c>
      <c r="AC53" s="16">
        <v>6.3</v>
      </c>
      <c r="AD53" s="16">
        <v>32.5</v>
      </c>
      <c r="AE53" s="16">
        <v>5.9</v>
      </c>
      <c r="AF53" s="16">
        <v>37.700000000000003</v>
      </c>
      <c r="AG53" s="16">
        <v>8.5</v>
      </c>
      <c r="AH53" s="16">
        <v>46</v>
      </c>
      <c r="AI53" s="16">
        <v>10.9</v>
      </c>
      <c r="AJ53" s="16">
        <v>21.4</v>
      </c>
      <c r="AK53" s="16">
        <v>9.9</v>
      </c>
      <c r="AL53" s="16">
        <v>25.2</v>
      </c>
      <c r="AM53" s="16">
        <v>9.1999999999999993</v>
      </c>
    </row>
    <row r="54" spans="1:39" x14ac:dyDescent="0.25">
      <c r="A54" s="18">
        <f t="shared" si="0"/>
        <v>1977</v>
      </c>
      <c r="B54" s="16">
        <v>34.5</v>
      </c>
      <c r="C54" s="16">
        <v>5.5</v>
      </c>
      <c r="D54" s="16">
        <v>30</v>
      </c>
      <c r="E54" s="16">
        <v>4.5999999999999996</v>
      </c>
      <c r="F54" s="16">
        <v>43.9</v>
      </c>
      <c r="G54" s="16">
        <v>12.1</v>
      </c>
      <c r="H54" s="16">
        <v>32.200000000000003</v>
      </c>
      <c r="I54" s="16">
        <v>6.6</v>
      </c>
      <c r="J54" s="16">
        <v>36.9</v>
      </c>
      <c r="K54" s="16">
        <v>9.1999999999999993</v>
      </c>
      <c r="L54" s="16">
        <v>33.200000000000003</v>
      </c>
      <c r="M54" s="16">
        <v>9.1</v>
      </c>
      <c r="N54" s="16">
        <v>35</v>
      </c>
      <c r="O54" s="16">
        <v>8.6999999999999993</v>
      </c>
      <c r="P54" s="16">
        <v>38.299999999999997</v>
      </c>
      <c r="Q54" s="16">
        <v>11.9</v>
      </c>
      <c r="R54" s="16">
        <v>40.9</v>
      </c>
      <c r="S54" s="16">
        <v>16.399999999999999</v>
      </c>
      <c r="T54" s="16">
        <v>40.799999999999997</v>
      </c>
      <c r="U54" s="16">
        <v>12.5</v>
      </c>
      <c r="V54" s="16">
        <v>24.5</v>
      </c>
      <c r="W54" s="16">
        <v>6.5</v>
      </c>
      <c r="X54" s="16">
        <v>25.5</v>
      </c>
      <c r="Y54" s="16">
        <v>8.9</v>
      </c>
      <c r="Z54" s="16">
        <v>38.1</v>
      </c>
      <c r="AA54" s="16">
        <v>7.6</v>
      </c>
      <c r="AB54" s="16">
        <v>17.3</v>
      </c>
      <c r="AC54" s="16">
        <v>6.2</v>
      </c>
      <c r="AD54" s="16">
        <v>31.7</v>
      </c>
      <c r="AE54" s="16">
        <v>5.7</v>
      </c>
      <c r="AF54" s="16">
        <v>37</v>
      </c>
      <c r="AG54" s="16">
        <v>8.1999999999999993</v>
      </c>
      <c r="AH54" s="16">
        <v>45.7</v>
      </c>
      <c r="AI54" s="16">
        <v>10.6</v>
      </c>
      <c r="AJ54" s="16">
        <v>20.6</v>
      </c>
      <c r="AK54" s="16">
        <v>9.9</v>
      </c>
      <c r="AL54" s="16">
        <v>25.5</v>
      </c>
      <c r="AM54" s="16">
        <v>8.9</v>
      </c>
    </row>
    <row r="55" spans="1:39" x14ac:dyDescent="0.25">
      <c r="A55" s="18">
        <f t="shared" si="0"/>
        <v>1978</v>
      </c>
      <c r="B55" s="16">
        <v>34.1</v>
      </c>
      <c r="C55" s="16">
        <v>5.4</v>
      </c>
      <c r="D55" s="16">
        <v>30.2</v>
      </c>
      <c r="E55" s="16">
        <v>4.5</v>
      </c>
      <c r="F55" s="16">
        <v>43.7</v>
      </c>
      <c r="G55" s="16">
        <v>11.5</v>
      </c>
      <c r="H55" s="16">
        <v>31.5</v>
      </c>
      <c r="I55" s="16">
        <v>6.4</v>
      </c>
      <c r="J55" s="16">
        <v>36.299999999999997</v>
      </c>
      <c r="K55" s="16">
        <v>8.8000000000000007</v>
      </c>
      <c r="L55" s="16">
        <v>33</v>
      </c>
      <c r="M55" s="16">
        <v>8.9</v>
      </c>
      <c r="N55" s="16">
        <v>35.1</v>
      </c>
      <c r="O55" s="16">
        <v>8.6</v>
      </c>
      <c r="P55" s="16">
        <v>37.700000000000003</v>
      </c>
      <c r="Q55" s="16">
        <v>11.5</v>
      </c>
      <c r="R55" s="16">
        <v>40.5</v>
      </c>
      <c r="S55" s="16">
        <v>16.100000000000001</v>
      </c>
      <c r="T55" s="16">
        <v>40.4</v>
      </c>
      <c r="U55" s="16">
        <v>12.1</v>
      </c>
      <c r="V55" s="16">
        <v>24</v>
      </c>
      <c r="W55" s="16">
        <v>6.4</v>
      </c>
      <c r="X55" s="16">
        <v>25.4</v>
      </c>
      <c r="Y55" s="16">
        <v>8.9</v>
      </c>
      <c r="Z55" s="16">
        <v>37.4</v>
      </c>
      <c r="AA55" s="16">
        <v>7.4</v>
      </c>
      <c r="AB55" s="16">
        <v>15.1</v>
      </c>
      <c r="AC55" s="16">
        <v>6.2</v>
      </c>
      <c r="AD55" s="16">
        <v>31.1</v>
      </c>
      <c r="AE55" s="16">
        <v>5.5</v>
      </c>
      <c r="AF55" s="16">
        <v>36.299999999999997</v>
      </c>
      <c r="AG55" s="16">
        <v>8</v>
      </c>
      <c r="AH55" s="16">
        <v>45.3</v>
      </c>
      <c r="AI55" s="16">
        <v>10.3</v>
      </c>
      <c r="AJ55" s="16">
        <v>20.100000000000001</v>
      </c>
      <c r="AK55" s="16">
        <v>9.9</v>
      </c>
      <c r="AL55" s="16">
        <v>25.4</v>
      </c>
      <c r="AM55" s="16">
        <v>8.9</v>
      </c>
    </row>
    <row r="56" spans="1:39" x14ac:dyDescent="0.25">
      <c r="A56" s="18">
        <f t="shared" si="0"/>
        <v>1979</v>
      </c>
      <c r="B56" s="16">
        <v>33.799999999999997</v>
      </c>
      <c r="C56" s="16">
        <v>5.4</v>
      </c>
      <c r="D56" s="16">
        <v>30.5</v>
      </c>
      <c r="E56" s="16">
        <v>4.3</v>
      </c>
      <c r="F56" s="16">
        <v>43.6</v>
      </c>
      <c r="G56" s="16">
        <v>11.4</v>
      </c>
      <c r="H56" s="16">
        <v>31.2</v>
      </c>
      <c r="I56" s="16">
        <v>6.3</v>
      </c>
      <c r="J56" s="16">
        <v>35.700000000000003</v>
      </c>
      <c r="K56" s="16">
        <v>8.5</v>
      </c>
      <c r="L56" s="16">
        <v>32.700000000000003</v>
      </c>
      <c r="M56" s="16">
        <v>8.8000000000000007</v>
      </c>
      <c r="N56" s="16">
        <v>35.6</v>
      </c>
      <c r="O56" s="16">
        <v>8.6</v>
      </c>
      <c r="P56" s="16">
        <v>37.1</v>
      </c>
      <c r="Q56" s="16">
        <v>11.2</v>
      </c>
      <c r="R56" s="16">
        <v>40.1</v>
      </c>
      <c r="S56" s="16">
        <v>15.7</v>
      </c>
      <c r="T56" s="16">
        <v>40.1</v>
      </c>
      <c r="U56" s="16">
        <v>12.5</v>
      </c>
      <c r="V56" s="16">
        <v>23.6</v>
      </c>
      <c r="W56" s="16">
        <v>6.2</v>
      </c>
      <c r="X56" s="16">
        <v>25.1</v>
      </c>
      <c r="Y56" s="16">
        <v>8.8000000000000007</v>
      </c>
      <c r="Z56" s="16">
        <v>36.200000000000003</v>
      </c>
      <c r="AA56" s="16">
        <v>7.1</v>
      </c>
      <c r="AB56" s="16">
        <v>14.6</v>
      </c>
      <c r="AC56" s="16">
        <v>6.3</v>
      </c>
      <c r="AD56" s="16">
        <v>30.7</v>
      </c>
      <c r="AE56" s="16">
        <v>5.4</v>
      </c>
      <c r="AF56" s="16">
        <v>35.799999999999997</v>
      </c>
      <c r="AG56" s="16">
        <v>8.1</v>
      </c>
      <c r="AH56" s="16">
        <v>44.9</v>
      </c>
      <c r="AI56" s="16">
        <v>10</v>
      </c>
      <c r="AJ56" s="16">
        <v>19.3</v>
      </c>
      <c r="AK56" s="16">
        <v>10</v>
      </c>
      <c r="AL56" s="16">
        <v>25.1</v>
      </c>
      <c r="AM56" s="16">
        <v>8.8000000000000007</v>
      </c>
    </row>
    <row r="57" spans="1:39" x14ac:dyDescent="0.25">
      <c r="A57" s="18">
        <f t="shared" si="0"/>
        <v>1980</v>
      </c>
      <c r="B57" s="16">
        <v>33.299999999999997</v>
      </c>
      <c r="C57" s="16">
        <v>5.4</v>
      </c>
      <c r="D57" s="16">
        <v>30.4</v>
      </c>
      <c r="E57" s="16">
        <v>4.2</v>
      </c>
      <c r="F57" s="16">
        <v>43.6</v>
      </c>
      <c r="G57" s="16">
        <v>12</v>
      </c>
      <c r="H57" s="16">
        <v>31.1</v>
      </c>
      <c r="I57" s="16">
        <v>6.2</v>
      </c>
      <c r="J57" s="16">
        <v>35.200000000000003</v>
      </c>
      <c r="K57" s="16">
        <v>8.1999999999999993</v>
      </c>
      <c r="L57" s="16">
        <v>32.4</v>
      </c>
      <c r="M57" s="16">
        <v>8.6</v>
      </c>
      <c r="N57" s="16">
        <v>36.200000000000003</v>
      </c>
      <c r="O57" s="16">
        <v>8.5</v>
      </c>
      <c r="P57" s="16">
        <v>36.5</v>
      </c>
      <c r="Q57" s="16">
        <v>10.9</v>
      </c>
      <c r="R57" s="16">
        <v>39.700000000000003</v>
      </c>
      <c r="S57" s="16">
        <v>15.3</v>
      </c>
      <c r="T57" s="16">
        <v>39.799999999999997</v>
      </c>
      <c r="U57" s="16">
        <v>15.2</v>
      </c>
      <c r="V57" s="16">
        <v>23.2</v>
      </c>
      <c r="W57" s="16">
        <v>6</v>
      </c>
      <c r="X57" s="16">
        <v>24.7</v>
      </c>
      <c r="Y57" s="16">
        <v>8.9</v>
      </c>
      <c r="Z57" s="16">
        <v>35</v>
      </c>
      <c r="AA57" s="16">
        <v>6.9</v>
      </c>
      <c r="AB57" s="16">
        <v>13.9</v>
      </c>
      <c r="AC57" s="16">
        <v>6.3</v>
      </c>
      <c r="AD57" s="16">
        <v>30.4</v>
      </c>
      <c r="AE57" s="16">
        <v>5.3</v>
      </c>
      <c r="AF57" s="16">
        <v>35.1</v>
      </c>
      <c r="AG57" s="16">
        <v>7.6</v>
      </c>
      <c r="AH57" s="16">
        <v>44.3</v>
      </c>
      <c r="AI57" s="16">
        <v>9.6999999999999993</v>
      </c>
      <c r="AJ57" s="16">
        <v>18.5</v>
      </c>
      <c r="AK57" s="16">
        <v>9.9</v>
      </c>
      <c r="AL57" s="16">
        <v>24.7</v>
      </c>
      <c r="AM57" s="16">
        <v>8.9</v>
      </c>
    </row>
    <row r="58" spans="1:39" x14ac:dyDescent="0.25">
      <c r="A58" s="18">
        <f t="shared" si="0"/>
        <v>1981</v>
      </c>
      <c r="B58" s="16">
        <v>32.799999999999997</v>
      </c>
      <c r="C58" s="16">
        <v>5.3</v>
      </c>
      <c r="D58" s="16">
        <v>30.4</v>
      </c>
      <c r="E58" s="16">
        <v>4.0999999999999996</v>
      </c>
      <c r="F58" s="16">
        <v>43.4</v>
      </c>
      <c r="G58" s="16">
        <v>12.2</v>
      </c>
      <c r="H58" s="16">
        <v>30.8</v>
      </c>
      <c r="I58" s="16">
        <v>6</v>
      </c>
      <c r="J58" s="16">
        <v>34.700000000000003</v>
      </c>
      <c r="K58" s="16">
        <v>8</v>
      </c>
      <c r="L58" s="16">
        <v>32</v>
      </c>
      <c r="M58" s="16">
        <v>8.4</v>
      </c>
      <c r="N58" s="16">
        <v>36.9</v>
      </c>
      <c r="O58" s="16">
        <v>8.4</v>
      </c>
      <c r="P58" s="16">
        <v>35.9</v>
      </c>
      <c r="Q58" s="16">
        <v>10.5</v>
      </c>
      <c r="R58" s="16">
        <v>39.299999999999997</v>
      </c>
      <c r="S58" s="16">
        <v>15</v>
      </c>
      <c r="T58" s="16">
        <v>39.6</v>
      </c>
      <c r="U58" s="16">
        <v>13.9</v>
      </c>
      <c r="V58" s="16">
        <v>23</v>
      </c>
      <c r="W58" s="16">
        <v>6</v>
      </c>
      <c r="X58" s="16">
        <v>24.3</v>
      </c>
      <c r="Y58" s="16">
        <v>8.6999999999999993</v>
      </c>
      <c r="Z58" s="16">
        <v>34.299999999999997</v>
      </c>
      <c r="AA58" s="16">
        <v>6.7</v>
      </c>
      <c r="AB58" s="16">
        <v>13.9</v>
      </c>
      <c r="AC58" s="16">
        <v>6.4</v>
      </c>
      <c r="AD58" s="16">
        <v>30.2</v>
      </c>
      <c r="AE58" s="16">
        <v>5.2</v>
      </c>
      <c r="AF58" s="16">
        <v>34.4</v>
      </c>
      <c r="AG58" s="16">
        <v>7.4</v>
      </c>
      <c r="AH58" s="16">
        <v>43.7</v>
      </c>
      <c r="AI58" s="16">
        <v>9.4</v>
      </c>
      <c r="AJ58" s="16">
        <v>18.2</v>
      </c>
      <c r="AK58" s="16">
        <v>9.6999999999999993</v>
      </c>
      <c r="AL58" s="16">
        <v>24.3</v>
      </c>
      <c r="AM58" s="16">
        <v>8.6999999999999993</v>
      </c>
    </row>
    <row r="59" spans="1:39" x14ac:dyDescent="0.25">
      <c r="A59" s="18">
        <f t="shared" si="0"/>
        <v>1982</v>
      </c>
      <c r="B59" s="16">
        <v>32.299999999999997</v>
      </c>
      <c r="C59" s="16">
        <v>5.2</v>
      </c>
      <c r="D59" s="16">
        <v>30.5</v>
      </c>
      <c r="E59" s="16">
        <v>4</v>
      </c>
      <c r="F59" s="16">
        <v>43.2</v>
      </c>
      <c r="G59" s="16">
        <v>15.6</v>
      </c>
      <c r="H59" s="16">
        <v>30.5</v>
      </c>
      <c r="I59" s="16">
        <v>5.8</v>
      </c>
      <c r="J59" s="16">
        <v>34.1</v>
      </c>
      <c r="K59" s="16">
        <v>7.7</v>
      </c>
      <c r="L59" s="16">
        <v>31.5</v>
      </c>
      <c r="M59" s="16">
        <v>8.1999999999999993</v>
      </c>
      <c r="N59" s="16">
        <v>37</v>
      </c>
      <c r="O59" s="16">
        <v>8.1999999999999993</v>
      </c>
      <c r="P59" s="16">
        <v>35.4</v>
      </c>
      <c r="Q59" s="16">
        <v>10.1</v>
      </c>
      <c r="R59" s="16">
        <v>38.799999999999997</v>
      </c>
      <c r="S59" s="16">
        <v>14.8</v>
      </c>
      <c r="T59" s="16">
        <v>38.6</v>
      </c>
      <c r="U59" s="16">
        <v>12.4</v>
      </c>
      <c r="V59" s="16">
        <v>22.7</v>
      </c>
      <c r="W59" s="16">
        <v>5.9</v>
      </c>
      <c r="X59" s="16">
        <v>23.8</v>
      </c>
      <c r="Y59" s="16">
        <v>8.8000000000000007</v>
      </c>
      <c r="Z59" s="16">
        <v>33.9</v>
      </c>
      <c r="AA59" s="16">
        <v>6.6</v>
      </c>
      <c r="AB59" s="16">
        <v>15.9</v>
      </c>
      <c r="AC59" s="16">
        <v>6.3</v>
      </c>
      <c r="AD59" s="16">
        <v>30</v>
      </c>
      <c r="AE59" s="16">
        <v>5.2</v>
      </c>
      <c r="AF59" s="16">
        <v>33.799999999999997</v>
      </c>
      <c r="AG59" s="16">
        <v>7.2</v>
      </c>
      <c r="AH59" s="16">
        <v>43.1</v>
      </c>
      <c r="AI59" s="16">
        <v>9.1</v>
      </c>
      <c r="AJ59" s="16">
        <v>18</v>
      </c>
      <c r="AK59" s="16">
        <v>9.6</v>
      </c>
      <c r="AL59" s="16">
        <v>23.8</v>
      </c>
      <c r="AM59" s="16">
        <v>8.8000000000000007</v>
      </c>
    </row>
    <row r="60" spans="1:39" x14ac:dyDescent="0.25">
      <c r="A60" s="18">
        <f t="shared" si="0"/>
        <v>1983</v>
      </c>
      <c r="B60" s="16">
        <v>31.8</v>
      </c>
      <c r="C60" s="16">
        <v>5</v>
      </c>
      <c r="D60" s="16">
        <v>30.5</v>
      </c>
      <c r="E60" s="16">
        <v>3.9</v>
      </c>
      <c r="F60" s="16">
        <v>42.8</v>
      </c>
      <c r="G60" s="16">
        <v>10.7</v>
      </c>
      <c r="H60" s="16">
        <v>29.9</v>
      </c>
      <c r="I60" s="16">
        <v>5.8</v>
      </c>
      <c r="J60" s="16">
        <v>33.6</v>
      </c>
      <c r="K60" s="16">
        <v>7.5</v>
      </c>
      <c r="L60" s="16">
        <v>30.8</v>
      </c>
      <c r="M60" s="16">
        <v>8.1</v>
      </c>
      <c r="N60" s="16">
        <v>37</v>
      </c>
      <c r="O60" s="16">
        <v>8</v>
      </c>
      <c r="P60" s="16">
        <v>35</v>
      </c>
      <c r="Q60" s="16">
        <v>9.9</v>
      </c>
      <c r="R60" s="16">
        <v>38.4</v>
      </c>
      <c r="S60" s="16">
        <v>14.5</v>
      </c>
      <c r="T60" s="16">
        <v>37.700000000000003</v>
      </c>
      <c r="U60" s="16">
        <v>11.8</v>
      </c>
      <c r="V60" s="16">
        <v>22.6</v>
      </c>
      <c r="W60" s="16">
        <v>5.8</v>
      </c>
      <c r="X60" s="16">
        <v>23.3</v>
      </c>
      <c r="Y60" s="16">
        <v>8.8000000000000007</v>
      </c>
      <c r="Z60" s="16">
        <v>33.4</v>
      </c>
      <c r="AA60" s="16">
        <v>6.5</v>
      </c>
      <c r="AB60" s="16">
        <v>16.5</v>
      </c>
      <c r="AC60" s="16">
        <v>6.3</v>
      </c>
      <c r="AD60" s="16">
        <v>29.9</v>
      </c>
      <c r="AE60" s="16">
        <v>5.2</v>
      </c>
      <c r="AF60" s="16">
        <v>33.6</v>
      </c>
      <c r="AG60" s="16">
        <v>7.1</v>
      </c>
      <c r="AH60" s="16">
        <v>42.4</v>
      </c>
      <c r="AI60" s="16">
        <v>8.6999999999999993</v>
      </c>
      <c r="AJ60" s="16">
        <v>17.899999999999999</v>
      </c>
      <c r="AK60" s="16">
        <v>9.8000000000000007</v>
      </c>
      <c r="AL60" s="16">
        <v>23.3</v>
      </c>
      <c r="AM60" s="16">
        <v>8.8000000000000007</v>
      </c>
    </row>
    <row r="61" spans="1:39" x14ac:dyDescent="0.25">
      <c r="A61" s="18">
        <f t="shared" si="0"/>
        <v>1984</v>
      </c>
      <c r="B61" s="16">
        <v>31.4</v>
      </c>
      <c r="C61" s="16">
        <v>5</v>
      </c>
      <c r="D61" s="16">
        <v>30.5</v>
      </c>
      <c r="E61" s="16">
        <v>3.9</v>
      </c>
      <c r="F61" s="16">
        <v>41.9</v>
      </c>
      <c r="G61" s="16">
        <v>10.199999999999999</v>
      </c>
      <c r="H61" s="16">
        <v>29</v>
      </c>
      <c r="I61" s="16">
        <v>5.7</v>
      </c>
      <c r="J61" s="16">
        <v>33.299999999999997</v>
      </c>
      <c r="K61" s="16">
        <v>7.2</v>
      </c>
      <c r="L61" s="16">
        <v>30</v>
      </c>
      <c r="M61" s="16">
        <v>7.9</v>
      </c>
      <c r="N61" s="16">
        <v>37</v>
      </c>
      <c r="O61" s="16">
        <v>7.7</v>
      </c>
      <c r="P61" s="16">
        <v>34.5</v>
      </c>
      <c r="Q61" s="16">
        <v>9.6</v>
      </c>
      <c r="R61" s="16">
        <v>38.1</v>
      </c>
      <c r="S61" s="16">
        <v>14.1</v>
      </c>
      <c r="T61" s="16">
        <v>36.700000000000003</v>
      </c>
      <c r="U61" s="16">
        <v>10.6</v>
      </c>
      <c r="V61" s="16">
        <v>22.5</v>
      </c>
      <c r="W61" s="16">
        <v>5.7</v>
      </c>
      <c r="X61" s="16">
        <v>23</v>
      </c>
      <c r="Y61" s="16">
        <v>8.8000000000000007</v>
      </c>
      <c r="Z61" s="16">
        <v>33.1</v>
      </c>
      <c r="AA61" s="16">
        <v>6.4</v>
      </c>
      <c r="AB61" s="16">
        <v>16.5</v>
      </c>
      <c r="AC61" s="16">
        <v>6.4</v>
      </c>
      <c r="AD61" s="16">
        <v>29.5</v>
      </c>
      <c r="AE61" s="16">
        <v>5.0999999999999996</v>
      </c>
      <c r="AF61" s="16">
        <v>33</v>
      </c>
      <c r="AG61" s="16">
        <v>6.9</v>
      </c>
      <c r="AH61" s="16">
        <v>41.8</v>
      </c>
      <c r="AI61" s="16">
        <v>8.5</v>
      </c>
      <c r="AJ61" s="16">
        <v>17.8</v>
      </c>
      <c r="AK61" s="16">
        <v>9.9</v>
      </c>
      <c r="AL61" s="16">
        <v>23</v>
      </c>
      <c r="AM61" s="16">
        <v>8.8000000000000007</v>
      </c>
    </row>
    <row r="62" spans="1:39" x14ac:dyDescent="0.25">
      <c r="A62" s="18">
        <f t="shared" si="0"/>
        <v>1985</v>
      </c>
      <c r="B62" s="16">
        <v>31</v>
      </c>
      <c r="C62" s="16">
        <v>5</v>
      </c>
      <c r="D62" s="16">
        <v>30.4</v>
      </c>
      <c r="E62" s="16">
        <v>3.9</v>
      </c>
      <c r="F62" s="16">
        <v>41.1</v>
      </c>
      <c r="G62" s="16">
        <v>9.8000000000000007</v>
      </c>
      <c r="H62" s="16">
        <v>28.3</v>
      </c>
      <c r="I62" s="16">
        <v>6.9</v>
      </c>
      <c r="J62" s="16">
        <v>32.299999999999997</v>
      </c>
      <c r="K62" s="16">
        <v>7</v>
      </c>
      <c r="L62" s="16">
        <v>29.2</v>
      </c>
      <c r="M62" s="16">
        <v>7.7</v>
      </c>
      <c r="N62" s="16">
        <v>36.799999999999997</v>
      </c>
      <c r="O62" s="16">
        <v>7.5</v>
      </c>
      <c r="P62" s="16">
        <v>34</v>
      </c>
      <c r="Q62" s="16">
        <v>9.1999999999999993</v>
      </c>
      <c r="R62" s="16">
        <v>37.6</v>
      </c>
      <c r="S62" s="16">
        <v>13.8</v>
      </c>
      <c r="T62" s="16">
        <v>35.700000000000003</v>
      </c>
      <c r="U62" s="16">
        <v>9.6999999999999993</v>
      </c>
      <c r="V62" s="16">
        <v>22.5</v>
      </c>
      <c r="W62" s="16">
        <v>5.6</v>
      </c>
      <c r="X62" s="16">
        <v>22.5</v>
      </c>
      <c r="Y62" s="16">
        <v>8.4</v>
      </c>
      <c r="Z62" s="16">
        <v>32.700000000000003</v>
      </c>
      <c r="AA62" s="16">
        <v>6.3</v>
      </c>
      <c r="AB62" s="16">
        <v>16.7</v>
      </c>
      <c r="AC62" s="16">
        <v>6.6</v>
      </c>
      <c r="AD62" s="16">
        <v>29</v>
      </c>
      <c r="AE62" s="16">
        <v>5.0999999999999996</v>
      </c>
      <c r="AF62" s="16">
        <v>32.200000000000003</v>
      </c>
      <c r="AG62" s="16">
        <v>6.7</v>
      </c>
      <c r="AH62" s="16">
        <v>41.1</v>
      </c>
      <c r="AI62" s="16">
        <v>8.1999999999999993</v>
      </c>
      <c r="AJ62" s="16">
        <v>17.8</v>
      </c>
      <c r="AK62" s="16">
        <v>9.8000000000000007</v>
      </c>
      <c r="AL62" s="16">
        <v>22.5</v>
      </c>
      <c r="AM62" s="16">
        <v>8.4</v>
      </c>
    </row>
    <row r="63" spans="1:39" x14ac:dyDescent="0.25">
      <c r="A63" s="18">
        <f t="shared" si="0"/>
        <v>1986</v>
      </c>
      <c r="B63" s="16">
        <v>30.9</v>
      </c>
      <c r="C63" s="16">
        <v>4.8</v>
      </c>
      <c r="D63" s="16">
        <v>29.8</v>
      </c>
      <c r="E63" s="16">
        <v>3.9</v>
      </c>
      <c r="F63" s="16">
        <v>40.799999999999997</v>
      </c>
      <c r="G63" s="16">
        <v>9.5</v>
      </c>
      <c r="H63" s="16">
        <v>27.9</v>
      </c>
      <c r="I63" s="16">
        <v>5.8</v>
      </c>
      <c r="J63" s="16">
        <v>31.5</v>
      </c>
      <c r="K63" s="16">
        <v>6.7</v>
      </c>
      <c r="L63" s="16">
        <v>28.3</v>
      </c>
      <c r="M63" s="16">
        <v>7.5</v>
      </c>
      <c r="N63" s="16">
        <v>36.5</v>
      </c>
      <c r="O63" s="16">
        <v>7.3</v>
      </c>
      <c r="P63" s="16">
        <v>33.5</v>
      </c>
      <c r="Q63" s="16">
        <v>8.9</v>
      </c>
      <c r="R63" s="16">
        <v>37.4</v>
      </c>
      <c r="S63" s="16">
        <v>13.5</v>
      </c>
      <c r="T63" s="16">
        <v>35.1</v>
      </c>
      <c r="U63" s="16">
        <v>9</v>
      </c>
      <c r="V63" s="16">
        <v>22.5</v>
      </c>
      <c r="W63" s="16">
        <v>5.5</v>
      </c>
      <c r="X63" s="16">
        <v>22.4</v>
      </c>
      <c r="Y63" s="16">
        <v>8.1999999999999993</v>
      </c>
      <c r="Z63" s="16">
        <v>32.299999999999997</v>
      </c>
      <c r="AA63" s="16">
        <v>6.2</v>
      </c>
      <c r="AB63" s="16">
        <v>17</v>
      </c>
      <c r="AC63" s="16">
        <v>6.6</v>
      </c>
      <c r="AD63" s="16">
        <v>28.5</v>
      </c>
      <c r="AE63" s="16">
        <v>5.0999999999999996</v>
      </c>
      <c r="AF63" s="16">
        <v>31.8</v>
      </c>
      <c r="AG63" s="16">
        <v>6.5</v>
      </c>
      <c r="AH63" s="16">
        <v>40.5</v>
      </c>
      <c r="AI63" s="16">
        <v>8</v>
      </c>
      <c r="AJ63" s="16">
        <v>17.8</v>
      </c>
      <c r="AK63" s="16">
        <v>9.6999999999999993</v>
      </c>
      <c r="AL63" s="16">
        <v>22.4</v>
      </c>
      <c r="AM63" s="16">
        <v>8.1999999999999993</v>
      </c>
    </row>
    <row r="64" spans="1:39" x14ac:dyDescent="0.25">
      <c r="A64" s="18">
        <f t="shared" si="0"/>
        <v>1987</v>
      </c>
      <c r="B64" s="16">
        <v>30.6</v>
      </c>
      <c r="C64" s="16">
        <v>4.8</v>
      </c>
      <c r="D64" s="16">
        <v>29.1</v>
      </c>
      <c r="E64" s="16">
        <v>3.8</v>
      </c>
      <c r="F64" s="16">
        <v>40.700000000000003</v>
      </c>
      <c r="G64" s="16">
        <v>9.1999999999999993</v>
      </c>
      <c r="H64" s="16">
        <v>27.5</v>
      </c>
      <c r="I64" s="16">
        <v>5.9</v>
      </c>
      <c r="J64" s="16">
        <v>30.8</v>
      </c>
      <c r="K64" s="16">
        <v>6.5</v>
      </c>
      <c r="L64" s="16">
        <v>27.4</v>
      </c>
      <c r="M64" s="16">
        <v>7.4</v>
      </c>
      <c r="N64" s="16">
        <v>36.1</v>
      </c>
      <c r="O64" s="16">
        <v>7.1</v>
      </c>
      <c r="P64" s="16">
        <v>33</v>
      </c>
      <c r="Q64" s="16">
        <v>8.6</v>
      </c>
      <c r="R64" s="16">
        <v>37.1</v>
      </c>
      <c r="S64" s="16">
        <v>13.1</v>
      </c>
      <c r="T64" s="16">
        <v>35.200000000000003</v>
      </c>
      <c r="U64" s="16">
        <v>9</v>
      </c>
      <c r="V64" s="16">
        <v>22.5</v>
      </c>
      <c r="W64" s="16">
        <v>5.5</v>
      </c>
      <c r="X64" s="16">
        <v>22.2</v>
      </c>
      <c r="Y64" s="16">
        <v>8</v>
      </c>
      <c r="Z64" s="16">
        <v>31.4</v>
      </c>
      <c r="AA64" s="16">
        <v>6.1</v>
      </c>
      <c r="AB64" s="16">
        <v>17.3</v>
      </c>
      <c r="AC64" s="16">
        <v>6.7</v>
      </c>
      <c r="AD64" s="16">
        <v>28</v>
      </c>
      <c r="AE64" s="16">
        <v>5.0999999999999996</v>
      </c>
      <c r="AF64" s="16">
        <v>31.4</v>
      </c>
      <c r="AG64" s="16">
        <v>6.4</v>
      </c>
      <c r="AH64" s="16">
        <v>39.9</v>
      </c>
      <c r="AI64" s="16">
        <v>7.8</v>
      </c>
      <c r="AJ64" s="16">
        <v>17.899999999999999</v>
      </c>
      <c r="AK64" s="16">
        <v>9.9</v>
      </c>
      <c r="AL64" s="16">
        <v>22.2</v>
      </c>
      <c r="AM64" s="16">
        <v>8</v>
      </c>
    </row>
    <row r="65" spans="1:39" x14ac:dyDescent="0.25">
      <c r="A65" s="18">
        <f t="shared" si="0"/>
        <v>1988</v>
      </c>
      <c r="B65" s="16">
        <v>30.1</v>
      </c>
      <c r="C65" s="16">
        <v>4.8</v>
      </c>
      <c r="D65" s="16">
        <v>28.3</v>
      </c>
      <c r="E65" s="16">
        <v>3.8</v>
      </c>
      <c r="F65" s="16">
        <v>40.700000000000003</v>
      </c>
      <c r="G65" s="16">
        <v>8.9</v>
      </c>
      <c r="H65" s="16">
        <v>27.2</v>
      </c>
      <c r="I65" s="16">
        <v>5.9</v>
      </c>
      <c r="J65" s="16">
        <v>30.4</v>
      </c>
      <c r="K65" s="16">
        <v>6.3</v>
      </c>
      <c r="L65" s="16">
        <v>26.5</v>
      </c>
      <c r="M65" s="16">
        <v>7.2</v>
      </c>
      <c r="N65" s="16">
        <v>35.799999999999997</v>
      </c>
      <c r="O65" s="16">
        <v>6.9</v>
      </c>
      <c r="P65" s="16">
        <v>32.4</v>
      </c>
      <c r="Q65" s="16">
        <v>8.3000000000000007</v>
      </c>
      <c r="R65" s="16">
        <v>36.9</v>
      </c>
      <c r="S65" s="16">
        <v>12.8</v>
      </c>
      <c r="T65" s="16">
        <v>34.9</v>
      </c>
      <c r="U65" s="16">
        <v>8.6999999999999993</v>
      </c>
      <c r="V65" s="16">
        <v>22.5</v>
      </c>
      <c r="W65" s="16">
        <v>5.4</v>
      </c>
      <c r="X65" s="16">
        <v>22.2</v>
      </c>
      <c r="Y65" s="16">
        <v>7.9</v>
      </c>
      <c r="Z65" s="16">
        <v>30.4</v>
      </c>
      <c r="AA65" s="16">
        <v>6.1</v>
      </c>
      <c r="AB65" s="16">
        <v>18</v>
      </c>
      <c r="AC65" s="16">
        <v>6.8</v>
      </c>
      <c r="AD65" s="16">
        <v>27.5</v>
      </c>
      <c r="AE65" s="16">
        <v>5.0999999999999996</v>
      </c>
      <c r="AF65" s="16">
        <v>31.3</v>
      </c>
      <c r="AG65" s="16">
        <v>6.3</v>
      </c>
      <c r="AH65" s="16">
        <v>39.299999999999997</v>
      </c>
      <c r="AI65" s="16">
        <v>7.6</v>
      </c>
      <c r="AJ65" s="16">
        <v>18.100000000000001</v>
      </c>
      <c r="AK65" s="16">
        <v>9.9</v>
      </c>
      <c r="AL65" s="16">
        <v>22.2</v>
      </c>
      <c r="AM65" s="16">
        <v>7.9</v>
      </c>
    </row>
    <row r="66" spans="1:39" x14ac:dyDescent="0.25">
      <c r="A66" s="18">
        <f t="shared" si="0"/>
        <v>1989</v>
      </c>
      <c r="B66" s="16">
        <v>29.5</v>
      </c>
      <c r="C66" s="16">
        <v>4.8</v>
      </c>
      <c r="D66" s="16">
        <v>27.5</v>
      </c>
      <c r="E66" s="16">
        <v>3.7</v>
      </c>
      <c r="F66" s="16">
        <v>40.299999999999997</v>
      </c>
      <c r="G66" s="16">
        <v>8.8000000000000007</v>
      </c>
      <c r="H66" s="16">
        <v>27</v>
      </c>
      <c r="I66" s="16">
        <v>5.8</v>
      </c>
      <c r="J66" s="16">
        <v>30.2</v>
      </c>
      <c r="K66" s="16">
        <v>6</v>
      </c>
      <c r="L66" s="16">
        <v>25.6</v>
      </c>
      <c r="M66" s="16">
        <v>7.1</v>
      </c>
      <c r="N66" s="16">
        <v>35.200000000000003</v>
      </c>
      <c r="O66" s="16">
        <v>6.7</v>
      </c>
      <c r="P66" s="16">
        <v>31.8</v>
      </c>
      <c r="Q66" s="16">
        <v>8</v>
      </c>
      <c r="R66" s="16">
        <v>36.5</v>
      </c>
      <c r="S66" s="16">
        <v>12.4</v>
      </c>
      <c r="T66" s="16">
        <v>34.4</v>
      </c>
      <c r="U66" s="16">
        <v>8.1</v>
      </c>
      <c r="V66" s="16">
        <v>22.3</v>
      </c>
      <c r="W66" s="16">
        <v>5.3</v>
      </c>
      <c r="X66" s="16">
        <v>22</v>
      </c>
      <c r="Y66" s="16">
        <v>7.7</v>
      </c>
      <c r="Z66" s="16">
        <v>29.9</v>
      </c>
      <c r="AA66" s="16">
        <v>6.2</v>
      </c>
      <c r="AB66" s="16">
        <v>17.8</v>
      </c>
      <c r="AC66" s="16">
        <v>6.9</v>
      </c>
      <c r="AD66" s="16">
        <v>27.2</v>
      </c>
      <c r="AE66" s="16">
        <v>5.4</v>
      </c>
      <c r="AF66" s="16">
        <v>31.2</v>
      </c>
      <c r="AG66" s="16">
        <v>6.2</v>
      </c>
      <c r="AH66" s="16">
        <v>38.799999999999997</v>
      </c>
      <c r="AI66" s="16">
        <v>7.3</v>
      </c>
      <c r="AJ66" s="16">
        <v>18.100000000000001</v>
      </c>
      <c r="AK66" s="16">
        <v>9.9</v>
      </c>
      <c r="AL66" s="16">
        <v>22</v>
      </c>
      <c r="AM66" s="16">
        <v>7.7</v>
      </c>
    </row>
    <row r="67" spans="1:39" x14ac:dyDescent="0.25">
      <c r="A67" s="18">
        <f t="shared" si="0"/>
        <v>1990</v>
      </c>
      <c r="B67" s="16">
        <v>28.9</v>
      </c>
      <c r="C67" s="16">
        <v>4.8</v>
      </c>
      <c r="D67" s="16">
        <v>26.7</v>
      </c>
      <c r="E67" s="16">
        <v>3.7</v>
      </c>
      <c r="F67" s="16">
        <v>39.799999999999997</v>
      </c>
      <c r="G67" s="16">
        <v>8.8000000000000007</v>
      </c>
      <c r="H67" s="16">
        <v>26.9</v>
      </c>
      <c r="I67" s="16">
        <v>5.9</v>
      </c>
      <c r="J67" s="16">
        <v>29.9</v>
      </c>
      <c r="K67" s="16">
        <v>5.8</v>
      </c>
      <c r="L67" s="16">
        <v>24.8</v>
      </c>
      <c r="M67" s="16">
        <v>7</v>
      </c>
      <c r="N67" s="16">
        <v>34.4</v>
      </c>
      <c r="O67" s="16">
        <v>6.5</v>
      </c>
      <c r="P67" s="16">
        <v>31.1</v>
      </c>
      <c r="Q67" s="16">
        <v>7.7</v>
      </c>
      <c r="R67" s="16">
        <v>36.1</v>
      </c>
      <c r="S67" s="16">
        <v>12</v>
      </c>
      <c r="T67" s="16">
        <v>33.700000000000003</v>
      </c>
      <c r="U67" s="16">
        <v>7.7</v>
      </c>
      <c r="V67" s="16">
        <v>22.1</v>
      </c>
      <c r="W67" s="16">
        <v>5.2</v>
      </c>
      <c r="X67" s="16">
        <v>22.1</v>
      </c>
      <c r="Y67" s="16">
        <v>7.8</v>
      </c>
      <c r="Z67" s="16">
        <v>29.4</v>
      </c>
      <c r="AA67" s="16">
        <v>6.2</v>
      </c>
      <c r="AB67" s="16">
        <v>17.600000000000001</v>
      </c>
      <c r="AC67" s="16">
        <v>7</v>
      </c>
      <c r="AD67" s="16">
        <v>26.8</v>
      </c>
      <c r="AE67" s="16">
        <v>5.0999999999999996</v>
      </c>
      <c r="AF67" s="16">
        <v>30.8</v>
      </c>
      <c r="AG67" s="16">
        <v>6.1</v>
      </c>
      <c r="AH67" s="16">
        <v>38.5</v>
      </c>
      <c r="AI67" s="16">
        <v>7</v>
      </c>
      <c r="AJ67" s="16">
        <v>17.899999999999999</v>
      </c>
      <c r="AK67" s="16">
        <v>9.6999999999999993</v>
      </c>
      <c r="AL67" s="16">
        <v>22.1</v>
      </c>
      <c r="AM67" s="16">
        <v>7.8</v>
      </c>
    </row>
    <row r="68" spans="1:39" x14ac:dyDescent="0.25">
      <c r="A68" s="18">
        <f t="shared" si="0"/>
        <v>1991</v>
      </c>
      <c r="B68" s="16">
        <v>28.3</v>
      </c>
      <c r="C68" s="16">
        <v>4.8</v>
      </c>
      <c r="D68" s="16">
        <v>25.7</v>
      </c>
      <c r="E68" s="16">
        <v>3.7</v>
      </c>
      <c r="F68" s="16">
        <v>39.299999999999997</v>
      </c>
      <c r="G68" s="16">
        <v>8.6</v>
      </c>
      <c r="H68" s="16">
        <v>26.8</v>
      </c>
      <c r="I68" s="16">
        <v>5.9</v>
      </c>
      <c r="J68" s="16">
        <v>29.7</v>
      </c>
      <c r="K68" s="16">
        <v>5.6</v>
      </c>
      <c r="L68" s="16">
        <v>24.1</v>
      </c>
      <c r="M68" s="16">
        <v>6.9</v>
      </c>
      <c r="N68" s="16">
        <v>33.9</v>
      </c>
      <c r="O68" s="16">
        <v>6.3</v>
      </c>
      <c r="P68" s="16">
        <v>30.4</v>
      </c>
      <c r="Q68" s="16">
        <v>7.6</v>
      </c>
      <c r="R68" s="16">
        <v>35.700000000000003</v>
      </c>
      <c r="S68" s="16">
        <v>11.7</v>
      </c>
      <c r="T68" s="16">
        <v>33.1</v>
      </c>
      <c r="U68" s="16">
        <v>7.5</v>
      </c>
      <c r="V68" s="16">
        <v>21.8</v>
      </c>
      <c r="W68" s="16">
        <v>5.2</v>
      </c>
      <c r="X68" s="16">
        <v>21.9</v>
      </c>
      <c r="Y68" s="16">
        <v>7.6</v>
      </c>
      <c r="Z68" s="16">
        <v>29.1</v>
      </c>
      <c r="AA68" s="16">
        <v>6.1</v>
      </c>
      <c r="AB68" s="16">
        <v>16.100000000000001</v>
      </c>
      <c r="AC68" s="16">
        <v>7.2</v>
      </c>
      <c r="AD68" s="16">
        <v>26.2</v>
      </c>
      <c r="AE68" s="16">
        <v>5.0999999999999996</v>
      </c>
      <c r="AF68" s="16">
        <v>30.2</v>
      </c>
      <c r="AG68" s="16">
        <v>5.9</v>
      </c>
      <c r="AH68" s="16">
        <v>38.200000000000003</v>
      </c>
      <c r="AI68" s="16">
        <v>6.8</v>
      </c>
      <c r="AJ68" s="16">
        <v>17.8</v>
      </c>
      <c r="AK68" s="16">
        <v>9.6999999999999993</v>
      </c>
      <c r="AL68" s="16">
        <v>21.9</v>
      </c>
      <c r="AM68" s="16">
        <v>7.6</v>
      </c>
    </row>
    <row r="69" spans="1:39" x14ac:dyDescent="0.25">
      <c r="A69" s="18">
        <f t="shared" si="0"/>
        <v>1992</v>
      </c>
      <c r="B69" s="16">
        <v>27.7</v>
      </c>
      <c r="C69" s="16">
        <v>4.8</v>
      </c>
      <c r="D69" s="16">
        <v>25</v>
      </c>
      <c r="E69" s="16">
        <v>3.7</v>
      </c>
      <c r="F69" s="16">
        <v>38.9</v>
      </c>
      <c r="G69" s="16">
        <v>8.6</v>
      </c>
      <c r="H69" s="16">
        <v>26.6</v>
      </c>
      <c r="I69" s="16">
        <v>6</v>
      </c>
      <c r="J69" s="16">
        <v>29.3</v>
      </c>
      <c r="K69" s="16">
        <v>5.5</v>
      </c>
      <c r="L69" s="16">
        <v>23.3</v>
      </c>
      <c r="M69" s="16">
        <v>6.8</v>
      </c>
      <c r="N69" s="16">
        <v>33.299999999999997</v>
      </c>
      <c r="O69" s="16">
        <v>6.1</v>
      </c>
      <c r="P69" s="16">
        <v>29.6</v>
      </c>
      <c r="Q69" s="16">
        <v>7.2</v>
      </c>
      <c r="R69" s="16">
        <v>34.799999999999997</v>
      </c>
      <c r="S69" s="16">
        <v>11.4</v>
      </c>
      <c r="T69" s="16">
        <v>32.200000000000003</v>
      </c>
      <c r="U69" s="16">
        <v>7.3</v>
      </c>
      <c r="V69" s="16">
        <v>21</v>
      </c>
      <c r="W69" s="16">
        <v>5.2</v>
      </c>
      <c r="X69" s="16">
        <v>21.7</v>
      </c>
      <c r="Y69" s="16">
        <v>7.7</v>
      </c>
      <c r="Z69" s="16">
        <v>28.7</v>
      </c>
      <c r="AA69" s="16">
        <v>6</v>
      </c>
      <c r="AB69" s="16">
        <v>15</v>
      </c>
      <c r="AC69" s="16">
        <v>7.3</v>
      </c>
      <c r="AD69" s="16">
        <v>25.9</v>
      </c>
      <c r="AE69" s="16">
        <v>5.0999999999999996</v>
      </c>
      <c r="AF69" s="16">
        <v>29.7</v>
      </c>
      <c r="AG69" s="16">
        <v>5.8</v>
      </c>
      <c r="AH69" s="16">
        <v>37.9</v>
      </c>
      <c r="AI69" s="16">
        <v>6.6</v>
      </c>
      <c r="AJ69" s="16">
        <v>17.7</v>
      </c>
      <c r="AK69" s="16">
        <v>9.8000000000000007</v>
      </c>
      <c r="AL69" s="16">
        <v>21.7</v>
      </c>
      <c r="AM69" s="16">
        <v>7.7</v>
      </c>
    </row>
    <row r="70" spans="1:39" x14ac:dyDescent="0.25">
      <c r="A70" s="18">
        <f t="shared" si="0"/>
        <v>1993</v>
      </c>
      <c r="B70" s="16">
        <v>27.1</v>
      </c>
      <c r="C70" s="16">
        <v>4.8</v>
      </c>
      <c r="D70" s="16">
        <v>24.3</v>
      </c>
      <c r="E70" s="16">
        <v>3.8</v>
      </c>
      <c r="F70" s="16">
        <v>38.6</v>
      </c>
      <c r="G70" s="16">
        <v>8.4</v>
      </c>
      <c r="H70" s="16">
        <v>26.5</v>
      </c>
      <c r="I70" s="16">
        <v>5.9</v>
      </c>
      <c r="J70" s="16">
        <v>28.7</v>
      </c>
      <c r="K70" s="16">
        <v>5.4</v>
      </c>
      <c r="L70" s="16">
        <v>23</v>
      </c>
      <c r="M70" s="16">
        <v>6.7</v>
      </c>
      <c r="N70" s="16">
        <v>32.4</v>
      </c>
      <c r="O70" s="16">
        <v>6</v>
      </c>
      <c r="P70" s="16">
        <v>28.8</v>
      </c>
      <c r="Q70" s="16">
        <v>6.9</v>
      </c>
      <c r="R70" s="16">
        <v>34.1</v>
      </c>
      <c r="S70" s="16">
        <v>10.9</v>
      </c>
      <c r="T70" s="16">
        <v>31.3</v>
      </c>
      <c r="U70" s="16">
        <v>6.9</v>
      </c>
      <c r="V70" s="16">
        <v>20.399999999999999</v>
      </c>
      <c r="W70" s="16">
        <v>5.2</v>
      </c>
      <c r="X70" s="16">
        <v>21.6</v>
      </c>
      <c r="Y70" s="16">
        <v>7.7</v>
      </c>
      <c r="Z70" s="16">
        <v>28.3</v>
      </c>
      <c r="AA70" s="16">
        <v>5.9</v>
      </c>
      <c r="AB70" s="16">
        <v>14.1</v>
      </c>
      <c r="AC70" s="16">
        <v>7.4</v>
      </c>
      <c r="AD70" s="16">
        <v>25.5</v>
      </c>
      <c r="AE70" s="16">
        <v>5</v>
      </c>
      <c r="AF70" s="16">
        <v>29.1</v>
      </c>
      <c r="AG70" s="16">
        <v>5.8</v>
      </c>
      <c r="AH70" s="16">
        <v>37.700000000000003</v>
      </c>
      <c r="AI70" s="16">
        <v>6.4</v>
      </c>
      <c r="AJ70" s="16">
        <v>17.600000000000001</v>
      </c>
      <c r="AK70" s="16">
        <v>9.9</v>
      </c>
      <c r="AL70" s="16">
        <v>21.6</v>
      </c>
      <c r="AM70" s="16">
        <v>7.7</v>
      </c>
    </row>
    <row r="71" spans="1:39" x14ac:dyDescent="0.25">
      <c r="A71" s="18">
        <f t="shared" si="0"/>
        <v>1994</v>
      </c>
      <c r="B71" s="16">
        <v>26.5</v>
      </c>
      <c r="C71" s="16">
        <v>4.9000000000000004</v>
      </c>
      <c r="D71" s="16">
        <v>23.6</v>
      </c>
      <c r="E71" s="16">
        <v>3.8</v>
      </c>
      <c r="F71" s="16">
        <v>38.200000000000003</v>
      </c>
      <c r="G71" s="16">
        <v>8.1</v>
      </c>
      <c r="H71" s="16">
        <v>26</v>
      </c>
      <c r="I71" s="16">
        <v>5.8</v>
      </c>
      <c r="J71" s="16">
        <v>28.2</v>
      </c>
      <c r="K71" s="16">
        <v>5.2</v>
      </c>
      <c r="L71" s="16">
        <v>22.5</v>
      </c>
      <c r="M71" s="16">
        <v>6.6</v>
      </c>
      <c r="N71" s="16">
        <v>31.7</v>
      </c>
      <c r="O71" s="16">
        <v>5.9</v>
      </c>
      <c r="P71" s="16">
        <v>28</v>
      </c>
      <c r="Q71" s="16">
        <v>6.5</v>
      </c>
      <c r="R71" s="16">
        <v>33.4</v>
      </c>
      <c r="S71" s="16">
        <v>10.7</v>
      </c>
      <c r="T71" s="16">
        <v>31</v>
      </c>
      <c r="U71" s="16">
        <v>6.8</v>
      </c>
      <c r="V71" s="16">
        <v>19.8</v>
      </c>
      <c r="W71" s="16">
        <v>5.2</v>
      </c>
      <c r="X71" s="16">
        <v>21.4</v>
      </c>
      <c r="Y71" s="16">
        <v>7.5</v>
      </c>
      <c r="Z71" s="16">
        <v>27.7</v>
      </c>
      <c r="AA71" s="16">
        <v>5.8</v>
      </c>
      <c r="AB71" s="16">
        <v>13.7</v>
      </c>
      <c r="AC71" s="16">
        <v>7.4</v>
      </c>
      <c r="AD71" s="16">
        <v>25.2</v>
      </c>
      <c r="AE71" s="16">
        <v>5</v>
      </c>
      <c r="AF71" s="16">
        <v>28.5</v>
      </c>
      <c r="AG71" s="16">
        <v>5.7</v>
      </c>
      <c r="AH71" s="16">
        <v>37.299999999999997</v>
      </c>
      <c r="AI71" s="16">
        <v>6.2</v>
      </c>
      <c r="AJ71" s="16">
        <v>17.7</v>
      </c>
      <c r="AK71" s="16">
        <v>10</v>
      </c>
      <c r="AL71" s="16">
        <v>21.4</v>
      </c>
      <c r="AM71" s="16">
        <v>7.5</v>
      </c>
    </row>
    <row r="72" spans="1:39" x14ac:dyDescent="0.25">
      <c r="A72" s="18">
        <f t="shared" si="0"/>
        <v>1995</v>
      </c>
      <c r="B72" s="16">
        <v>26</v>
      </c>
      <c r="C72" s="16">
        <v>4.8</v>
      </c>
      <c r="D72" s="16">
        <v>23</v>
      </c>
      <c r="E72" s="16">
        <v>3.9</v>
      </c>
      <c r="F72" s="16">
        <v>37.799999999999997</v>
      </c>
      <c r="G72" s="16">
        <v>7.8</v>
      </c>
      <c r="H72" s="16">
        <v>25.1</v>
      </c>
      <c r="I72" s="16">
        <v>5.7</v>
      </c>
      <c r="J72" s="16">
        <v>27.9</v>
      </c>
      <c r="K72" s="16">
        <v>5.0999999999999996</v>
      </c>
      <c r="L72" s="16">
        <v>22.3</v>
      </c>
      <c r="M72" s="16">
        <v>6.5</v>
      </c>
      <c r="N72" s="16">
        <v>31</v>
      </c>
      <c r="O72" s="16">
        <v>5.7</v>
      </c>
      <c r="P72" s="16">
        <v>27.2</v>
      </c>
      <c r="Q72" s="16">
        <v>6.3</v>
      </c>
      <c r="R72" s="16">
        <v>32.799999999999997</v>
      </c>
      <c r="S72" s="16">
        <v>10.5</v>
      </c>
      <c r="T72" s="16">
        <v>30.8</v>
      </c>
      <c r="U72" s="16">
        <v>6.8</v>
      </c>
      <c r="V72" s="16">
        <v>19.5</v>
      </c>
      <c r="W72" s="16">
        <v>5.2</v>
      </c>
      <c r="X72" s="16">
        <v>21</v>
      </c>
      <c r="Y72" s="16">
        <v>7.6</v>
      </c>
      <c r="Z72" s="16">
        <v>27.1</v>
      </c>
      <c r="AA72" s="16">
        <v>5.7</v>
      </c>
      <c r="AB72" s="16">
        <v>13.5</v>
      </c>
      <c r="AC72" s="16">
        <v>7.4</v>
      </c>
      <c r="AD72" s="16">
        <v>24.9</v>
      </c>
      <c r="AE72" s="16">
        <v>5.0999999999999996</v>
      </c>
      <c r="AF72" s="16">
        <v>27.9</v>
      </c>
      <c r="AG72" s="16">
        <v>5.6</v>
      </c>
      <c r="AH72" s="16">
        <v>36.9</v>
      </c>
      <c r="AI72" s="16">
        <v>6</v>
      </c>
      <c r="AJ72" s="16">
        <v>17.600000000000001</v>
      </c>
      <c r="AK72" s="16">
        <v>9.8000000000000007</v>
      </c>
      <c r="AL72" s="16">
        <v>21</v>
      </c>
      <c r="AM72" s="16">
        <v>7.6</v>
      </c>
    </row>
    <row r="73" spans="1:39" x14ac:dyDescent="0.25">
      <c r="A73" s="18">
        <f t="shared" si="0"/>
        <v>1996</v>
      </c>
      <c r="B73" s="16">
        <v>25.5</v>
      </c>
      <c r="C73" s="16">
        <v>4.8</v>
      </c>
      <c r="D73" s="16">
        <v>22.2</v>
      </c>
      <c r="E73" s="16">
        <v>3.9</v>
      </c>
      <c r="F73" s="16">
        <v>37.1</v>
      </c>
      <c r="G73" s="16">
        <v>7.4</v>
      </c>
      <c r="H73" s="16">
        <v>24.3</v>
      </c>
      <c r="I73" s="16">
        <v>5.6</v>
      </c>
      <c r="J73" s="16">
        <v>27.7</v>
      </c>
      <c r="K73" s="16">
        <v>5</v>
      </c>
      <c r="L73" s="16">
        <v>21.9</v>
      </c>
      <c r="M73" s="16">
        <v>6.5</v>
      </c>
      <c r="N73" s="16">
        <v>30.3</v>
      </c>
      <c r="O73" s="16">
        <v>5.6</v>
      </c>
      <c r="P73" s="16">
        <v>26.4</v>
      </c>
      <c r="Q73" s="16">
        <v>6.1</v>
      </c>
      <c r="R73" s="16">
        <v>32.299999999999997</v>
      </c>
      <c r="S73" s="16">
        <v>10.3</v>
      </c>
      <c r="T73" s="16">
        <v>30.3</v>
      </c>
      <c r="U73" s="16">
        <v>6.7</v>
      </c>
      <c r="V73" s="16">
        <v>18.8</v>
      </c>
      <c r="W73" s="16">
        <v>5.2</v>
      </c>
      <c r="X73" s="16">
        <v>20.399999999999999</v>
      </c>
      <c r="Y73" s="16">
        <v>7.5</v>
      </c>
      <c r="Z73" s="16">
        <v>26.4</v>
      </c>
      <c r="AA73" s="16">
        <v>5.6</v>
      </c>
      <c r="AB73" s="16">
        <v>13</v>
      </c>
      <c r="AC73" s="16">
        <v>7.3</v>
      </c>
      <c r="AD73" s="16">
        <v>24.6</v>
      </c>
      <c r="AE73" s="16">
        <v>5</v>
      </c>
      <c r="AF73" s="16">
        <v>27.3</v>
      </c>
      <c r="AG73" s="16">
        <v>5.6</v>
      </c>
      <c r="AH73" s="16">
        <v>36.299999999999997</v>
      </c>
      <c r="AI73" s="16">
        <v>5.8</v>
      </c>
      <c r="AJ73" s="16">
        <v>17.3</v>
      </c>
      <c r="AK73" s="16">
        <v>9.6</v>
      </c>
      <c r="AL73" s="16">
        <v>20.399999999999999</v>
      </c>
      <c r="AM73" s="16">
        <v>7.5</v>
      </c>
    </row>
    <row r="74" spans="1:39" x14ac:dyDescent="0.25">
      <c r="A74" s="18">
        <f t="shared" si="0"/>
        <v>1997</v>
      </c>
      <c r="B74" s="16">
        <v>25.1</v>
      </c>
      <c r="C74" s="16">
        <v>4.7</v>
      </c>
      <c r="D74" s="16">
        <v>21.5</v>
      </c>
      <c r="E74" s="16">
        <v>3.9</v>
      </c>
      <c r="F74" s="16">
        <v>36.5</v>
      </c>
      <c r="G74" s="16">
        <v>7</v>
      </c>
      <c r="H74" s="16">
        <v>24</v>
      </c>
      <c r="I74" s="16">
        <v>5.5</v>
      </c>
      <c r="J74" s="16">
        <v>27.1</v>
      </c>
      <c r="K74" s="16">
        <v>5</v>
      </c>
      <c r="L74" s="16">
        <v>21.6</v>
      </c>
      <c r="M74" s="16">
        <v>6.4</v>
      </c>
      <c r="N74" s="16">
        <v>29.6</v>
      </c>
      <c r="O74" s="16">
        <v>5.6</v>
      </c>
      <c r="P74" s="16">
        <v>25.6</v>
      </c>
      <c r="Q74" s="16">
        <v>6</v>
      </c>
      <c r="R74" s="16">
        <v>31.4</v>
      </c>
      <c r="S74" s="16">
        <v>10.199999999999999</v>
      </c>
      <c r="T74" s="16">
        <v>29.6</v>
      </c>
      <c r="U74" s="16">
        <v>6.6</v>
      </c>
      <c r="V74" s="16">
        <v>17.899999999999999</v>
      </c>
      <c r="W74" s="16">
        <v>5.2</v>
      </c>
      <c r="X74" s="16">
        <v>20</v>
      </c>
      <c r="Y74" s="16">
        <v>7.4</v>
      </c>
      <c r="Z74" s="16">
        <v>25.8</v>
      </c>
      <c r="AA74" s="16">
        <v>5.6</v>
      </c>
      <c r="AB74" s="16">
        <v>13.8</v>
      </c>
      <c r="AC74" s="16">
        <v>7.3</v>
      </c>
      <c r="AD74" s="16">
        <v>24.4</v>
      </c>
      <c r="AE74" s="16">
        <v>5</v>
      </c>
      <c r="AF74" s="16">
        <v>26.2</v>
      </c>
      <c r="AG74" s="16">
        <v>5.6</v>
      </c>
      <c r="AH74" s="16">
        <v>35.700000000000003</v>
      </c>
      <c r="AI74" s="16">
        <v>5.6</v>
      </c>
      <c r="AJ74" s="16">
        <v>17</v>
      </c>
      <c r="AK74" s="16">
        <v>9.6999999999999993</v>
      </c>
      <c r="AL74" s="16">
        <v>20</v>
      </c>
      <c r="AM74" s="16">
        <v>7.4</v>
      </c>
    </row>
    <row r="75" spans="1:39" x14ac:dyDescent="0.25">
      <c r="A75" s="18">
        <f t="shared" si="0"/>
        <v>1998</v>
      </c>
      <c r="B75" s="16">
        <v>24.6</v>
      </c>
      <c r="C75" s="16">
        <v>4.8</v>
      </c>
      <c r="D75" s="16">
        <v>21</v>
      </c>
      <c r="E75" s="16">
        <v>3.9</v>
      </c>
      <c r="F75" s="16">
        <v>35.9</v>
      </c>
      <c r="G75" s="16">
        <v>6.7</v>
      </c>
      <c r="H75" s="16">
        <v>23.6</v>
      </c>
      <c r="I75" s="16">
        <v>5.4</v>
      </c>
      <c r="J75" s="16">
        <v>26.6</v>
      </c>
      <c r="K75" s="16">
        <v>5.0999999999999996</v>
      </c>
      <c r="L75" s="16">
        <v>21.2</v>
      </c>
      <c r="M75" s="16">
        <v>6.4</v>
      </c>
      <c r="N75" s="16">
        <v>28.8</v>
      </c>
      <c r="O75" s="16">
        <v>5.5</v>
      </c>
      <c r="P75" s="16">
        <v>24.9</v>
      </c>
      <c r="Q75" s="16">
        <v>5.9</v>
      </c>
      <c r="R75" s="16">
        <v>31</v>
      </c>
      <c r="S75" s="16">
        <v>10</v>
      </c>
      <c r="T75" s="16">
        <v>29.4</v>
      </c>
      <c r="U75" s="16">
        <v>6.6</v>
      </c>
      <c r="V75" s="16">
        <v>17.399999999999999</v>
      </c>
      <c r="W75" s="16">
        <v>5.0999999999999996</v>
      </c>
      <c r="X75" s="16">
        <v>19.7</v>
      </c>
      <c r="Y75" s="16">
        <v>7.6</v>
      </c>
      <c r="Z75" s="16">
        <v>25.1</v>
      </c>
      <c r="AA75" s="16">
        <v>5.5</v>
      </c>
      <c r="AB75" s="16">
        <v>13.7</v>
      </c>
      <c r="AC75" s="16">
        <v>7.2</v>
      </c>
      <c r="AD75" s="16">
        <v>24.1</v>
      </c>
      <c r="AE75" s="16">
        <v>4.9000000000000004</v>
      </c>
      <c r="AF75" s="16">
        <v>25.3</v>
      </c>
      <c r="AG75" s="16">
        <v>5.6</v>
      </c>
      <c r="AH75" s="16">
        <v>35.1</v>
      </c>
      <c r="AI75" s="16">
        <v>7.9</v>
      </c>
      <c r="AJ75" s="16">
        <v>16.600000000000001</v>
      </c>
      <c r="AK75" s="16">
        <v>9.6999999999999993</v>
      </c>
      <c r="AL75" s="16">
        <v>19.7</v>
      </c>
      <c r="AM75" s="16">
        <v>7.6</v>
      </c>
    </row>
    <row r="76" spans="1:39" x14ac:dyDescent="0.25">
      <c r="A76" s="18">
        <f t="shared" si="0"/>
        <v>1999</v>
      </c>
      <c r="B76" s="16">
        <v>24.2</v>
      </c>
      <c r="C76" s="16">
        <v>5</v>
      </c>
      <c r="D76" s="16">
        <v>20.7</v>
      </c>
      <c r="E76" s="16">
        <v>3.9</v>
      </c>
      <c r="F76" s="16">
        <v>35.200000000000003</v>
      </c>
      <c r="G76" s="16">
        <v>6.4</v>
      </c>
      <c r="H76" s="16">
        <v>22.9</v>
      </c>
      <c r="I76" s="16">
        <v>5.5</v>
      </c>
      <c r="J76" s="16">
        <v>26.1</v>
      </c>
      <c r="K76" s="16">
        <v>5.2</v>
      </c>
      <c r="L76" s="16">
        <v>20.6</v>
      </c>
      <c r="M76" s="16">
        <v>6.3</v>
      </c>
      <c r="N76" s="16">
        <v>27.9</v>
      </c>
      <c r="O76" s="16">
        <v>5.4</v>
      </c>
      <c r="P76" s="16">
        <v>24.3</v>
      </c>
      <c r="Q76" s="16">
        <v>5.7</v>
      </c>
      <c r="R76" s="16">
        <v>30.6</v>
      </c>
      <c r="S76" s="16">
        <v>9.9</v>
      </c>
      <c r="T76" s="16">
        <v>28.3</v>
      </c>
      <c r="U76" s="16">
        <v>6.5</v>
      </c>
      <c r="V76" s="16">
        <v>16.7</v>
      </c>
      <c r="W76" s="16">
        <v>5</v>
      </c>
      <c r="X76" s="16">
        <v>19.600000000000001</v>
      </c>
      <c r="Y76" s="16">
        <v>7.6</v>
      </c>
      <c r="Z76" s="16">
        <v>24.6</v>
      </c>
      <c r="AA76" s="16">
        <v>5.5</v>
      </c>
      <c r="AB76" s="16">
        <v>13.5</v>
      </c>
      <c r="AC76" s="16">
        <v>7.2</v>
      </c>
      <c r="AD76" s="16">
        <v>23.8</v>
      </c>
      <c r="AE76" s="16">
        <v>4.9000000000000004</v>
      </c>
      <c r="AF76" s="16">
        <v>25.4</v>
      </c>
      <c r="AG76" s="16">
        <v>5.5</v>
      </c>
      <c r="AH76" s="16">
        <v>34.6</v>
      </c>
      <c r="AI76" s="16">
        <v>5.4</v>
      </c>
      <c r="AJ76" s="16">
        <v>16.399999999999999</v>
      </c>
      <c r="AK76" s="16">
        <v>9.6999999999999993</v>
      </c>
      <c r="AL76" s="16">
        <v>19.600000000000001</v>
      </c>
      <c r="AM76" s="16">
        <v>7.6</v>
      </c>
    </row>
    <row r="77" spans="1:39" x14ac:dyDescent="0.25">
      <c r="A77" s="18">
        <f t="shared" si="0"/>
        <v>2000</v>
      </c>
      <c r="B77" s="16">
        <v>23.7</v>
      </c>
      <c r="C77" s="16">
        <v>4.9000000000000004</v>
      </c>
      <c r="D77" s="16">
        <v>20.2</v>
      </c>
      <c r="E77" s="16">
        <v>3.9</v>
      </c>
      <c r="F77" s="16">
        <v>34.700000000000003</v>
      </c>
      <c r="G77" s="16">
        <v>6.3</v>
      </c>
      <c r="H77" s="16">
        <v>22.3</v>
      </c>
      <c r="I77" s="16">
        <v>5.6</v>
      </c>
      <c r="J77" s="16">
        <v>25.6</v>
      </c>
      <c r="K77" s="16">
        <v>5.2</v>
      </c>
      <c r="L77" s="16">
        <v>19.899999999999999</v>
      </c>
      <c r="M77" s="16">
        <v>6.2</v>
      </c>
      <c r="N77" s="16">
        <v>26.9</v>
      </c>
      <c r="O77" s="16">
        <v>5.3</v>
      </c>
      <c r="P77" s="16">
        <v>23.8</v>
      </c>
      <c r="Q77" s="16">
        <v>5.6</v>
      </c>
      <c r="R77" s="16">
        <v>29.8</v>
      </c>
      <c r="S77" s="16">
        <v>9.6999999999999993</v>
      </c>
      <c r="T77" s="16">
        <v>27.1</v>
      </c>
      <c r="U77" s="16">
        <v>6.6</v>
      </c>
      <c r="V77" s="16">
        <v>16.3</v>
      </c>
      <c r="W77" s="16">
        <v>5</v>
      </c>
      <c r="X77" s="16">
        <v>19.3</v>
      </c>
      <c r="Y77" s="16">
        <v>7.6</v>
      </c>
      <c r="Z77" s="16">
        <v>24.2</v>
      </c>
      <c r="AA77" s="16">
        <v>5.5</v>
      </c>
      <c r="AB77" s="16">
        <v>12.9</v>
      </c>
      <c r="AC77" s="16">
        <v>7.4</v>
      </c>
      <c r="AD77" s="16">
        <v>23.5</v>
      </c>
      <c r="AE77" s="16">
        <v>4.8</v>
      </c>
      <c r="AF77" s="16">
        <v>25.6</v>
      </c>
      <c r="AG77" s="16">
        <v>5.6</v>
      </c>
      <c r="AH77" s="16">
        <v>34.200000000000003</v>
      </c>
      <c r="AI77" s="16">
        <v>5.2</v>
      </c>
      <c r="AJ77" s="16">
        <v>16</v>
      </c>
      <c r="AK77" s="16">
        <v>9.5</v>
      </c>
      <c r="AL77" s="16">
        <v>19.3</v>
      </c>
      <c r="AM77" s="16">
        <v>7.6</v>
      </c>
    </row>
    <row r="78" spans="1:39" x14ac:dyDescent="0.25">
      <c r="A78" s="18">
        <f t="shared" si="0"/>
        <v>2001</v>
      </c>
      <c r="B78" s="16">
        <v>23.6</v>
      </c>
      <c r="C78" s="16">
        <v>5.5</v>
      </c>
      <c r="D78" s="16">
        <v>19.399999999999999</v>
      </c>
      <c r="E78" s="16">
        <v>3.9</v>
      </c>
      <c r="F78" s="16">
        <v>34.200000000000003</v>
      </c>
      <c r="G78" s="16">
        <v>6.1</v>
      </c>
      <c r="H78" s="16">
        <v>21.7</v>
      </c>
      <c r="I78" s="16">
        <v>5.5</v>
      </c>
      <c r="J78" s="16">
        <v>25.1</v>
      </c>
      <c r="K78" s="16">
        <v>5.0999999999999996</v>
      </c>
      <c r="L78" s="16">
        <v>19.2</v>
      </c>
      <c r="M78" s="16">
        <v>6.2</v>
      </c>
      <c r="N78" s="16">
        <v>25.9</v>
      </c>
      <c r="O78" s="16">
        <v>5.3</v>
      </c>
      <c r="P78" s="16">
        <v>23</v>
      </c>
      <c r="Q78" s="16">
        <v>5.6</v>
      </c>
      <c r="R78" s="16">
        <v>29.1</v>
      </c>
      <c r="S78" s="16">
        <v>9.6</v>
      </c>
      <c r="T78" s="16">
        <v>25.8</v>
      </c>
      <c r="U78" s="16">
        <v>6.7</v>
      </c>
      <c r="V78" s="16">
        <v>15.9</v>
      </c>
      <c r="W78" s="16">
        <v>5</v>
      </c>
      <c r="X78" s="16">
        <v>18.899999999999999</v>
      </c>
      <c r="Y78" s="16">
        <v>7.5</v>
      </c>
      <c r="Z78" s="16">
        <v>23.8</v>
      </c>
      <c r="AA78" s="16">
        <v>5.4</v>
      </c>
      <c r="AB78" s="16">
        <v>12.4</v>
      </c>
      <c r="AC78" s="16">
        <v>7.3</v>
      </c>
      <c r="AD78" s="16">
        <v>23.2</v>
      </c>
      <c r="AE78" s="16">
        <v>4.8</v>
      </c>
      <c r="AF78" s="16">
        <v>25.1</v>
      </c>
      <c r="AG78" s="16">
        <v>5.6</v>
      </c>
      <c r="AH78" s="16">
        <v>33.4</v>
      </c>
      <c r="AI78" s="16">
        <v>5.0999999999999996</v>
      </c>
      <c r="AJ78" s="16">
        <v>15.7</v>
      </c>
      <c r="AK78" s="16">
        <v>9.4</v>
      </c>
      <c r="AL78" s="16">
        <v>18.899999999999999</v>
      </c>
      <c r="AM78" s="16">
        <v>7.5</v>
      </c>
    </row>
    <row r="79" spans="1:39" x14ac:dyDescent="0.25">
      <c r="A79" s="18">
        <f t="shared" si="0"/>
        <v>2002</v>
      </c>
      <c r="B79" s="16">
        <v>23.3</v>
      </c>
      <c r="C79" s="16">
        <v>4.9000000000000004</v>
      </c>
      <c r="D79" s="16">
        <v>18.2</v>
      </c>
      <c r="E79" s="16">
        <v>3.9</v>
      </c>
      <c r="F79" s="16">
        <v>33.299999999999997</v>
      </c>
      <c r="G79" s="16">
        <v>6</v>
      </c>
      <c r="H79" s="16">
        <v>21.4</v>
      </c>
      <c r="I79" s="16">
        <v>5.5</v>
      </c>
      <c r="J79" s="16">
        <v>24.7</v>
      </c>
      <c r="K79" s="16">
        <v>4.9000000000000004</v>
      </c>
      <c r="L79" s="16">
        <v>18.5</v>
      </c>
      <c r="M79" s="16">
        <v>6.1</v>
      </c>
      <c r="N79" s="16">
        <v>25.1</v>
      </c>
      <c r="O79" s="16">
        <v>5.2</v>
      </c>
      <c r="P79" s="16">
        <v>22.6</v>
      </c>
      <c r="Q79" s="16">
        <v>5.6</v>
      </c>
      <c r="R79" s="16">
        <v>28.5</v>
      </c>
      <c r="S79" s="16">
        <v>9.4</v>
      </c>
      <c r="T79" s="16">
        <v>24.4</v>
      </c>
      <c r="U79" s="16">
        <v>6.7</v>
      </c>
      <c r="V79" s="16">
        <v>15.2</v>
      </c>
      <c r="W79" s="16">
        <v>5</v>
      </c>
      <c r="X79" s="16">
        <v>18.7</v>
      </c>
      <c r="Y79" s="16">
        <v>7.5</v>
      </c>
      <c r="Z79" s="16">
        <v>23.4</v>
      </c>
      <c r="AA79" s="16">
        <v>5.5</v>
      </c>
      <c r="AB79" s="16">
        <v>12.5</v>
      </c>
      <c r="AC79" s="16">
        <v>7.3</v>
      </c>
      <c r="AD79" s="16">
        <v>22.9</v>
      </c>
      <c r="AE79" s="16">
        <v>4.7</v>
      </c>
      <c r="AF79" s="16">
        <v>24.4</v>
      </c>
      <c r="AG79" s="16">
        <v>5.5</v>
      </c>
      <c r="AH79" s="16">
        <v>32.4</v>
      </c>
      <c r="AI79" s="16">
        <v>5</v>
      </c>
      <c r="AJ79" s="16">
        <v>15.6</v>
      </c>
      <c r="AK79" s="16">
        <v>9.5</v>
      </c>
      <c r="AL79" s="16">
        <v>18.7</v>
      </c>
      <c r="AM79" s="16">
        <v>7.5</v>
      </c>
    </row>
    <row r="80" spans="1:39" x14ac:dyDescent="0.25">
      <c r="A80" s="18">
        <f t="shared" si="0"/>
        <v>2003</v>
      </c>
      <c r="B80" s="16">
        <v>22.9</v>
      </c>
      <c r="C80" s="16">
        <v>5.3</v>
      </c>
      <c r="D80" s="16">
        <v>17.600000000000001</v>
      </c>
      <c r="E80" s="16">
        <v>3.9</v>
      </c>
      <c r="F80" s="16">
        <v>32.5</v>
      </c>
      <c r="G80" s="16">
        <v>5.8</v>
      </c>
      <c r="H80" s="16">
        <v>20.9</v>
      </c>
      <c r="I80" s="16">
        <v>5.2</v>
      </c>
      <c r="J80" s="16">
        <v>24.2</v>
      </c>
      <c r="K80" s="16">
        <v>4.8</v>
      </c>
      <c r="L80" s="16">
        <v>17.8</v>
      </c>
      <c r="M80" s="16">
        <v>6</v>
      </c>
      <c r="N80" s="16">
        <v>24.4</v>
      </c>
      <c r="O80" s="16">
        <v>5.2</v>
      </c>
      <c r="P80" s="16">
        <v>22.3</v>
      </c>
      <c r="Q80" s="16">
        <v>5.7</v>
      </c>
      <c r="R80" s="16">
        <v>28.1</v>
      </c>
      <c r="S80" s="16">
        <v>9.1</v>
      </c>
      <c r="T80" s="16">
        <v>23.1</v>
      </c>
      <c r="U80" s="16">
        <v>6.8</v>
      </c>
      <c r="V80" s="16">
        <v>14.8</v>
      </c>
      <c r="W80" s="16">
        <v>5.2</v>
      </c>
      <c r="X80" s="16">
        <v>18.399999999999999</v>
      </c>
      <c r="Y80" s="16">
        <v>7.7</v>
      </c>
      <c r="Z80" s="16">
        <v>22.8</v>
      </c>
      <c r="AA80" s="16">
        <v>5.5</v>
      </c>
      <c r="AB80" s="16">
        <v>12.1</v>
      </c>
      <c r="AC80" s="16">
        <v>7.1</v>
      </c>
      <c r="AD80" s="16">
        <v>22.7</v>
      </c>
      <c r="AE80" s="16">
        <v>4.5999999999999996</v>
      </c>
      <c r="AF80" s="16">
        <v>23.7</v>
      </c>
      <c r="AG80" s="16">
        <v>5.6</v>
      </c>
      <c r="AH80" s="16">
        <v>31.4</v>
      </c>
      <c r="AI80" s="16">
        <v>5</v>
      </c>
      <c r="AJ80" s="16">
        <v>15.3</v>
      </c>
      <c r="AK80" s="16">
        <v>9.6</v>
      </c>
      <c r="AL80" s="16">
        <v>18.399999999999999</v>
      </c>
      <c r="AM80" s="16">
        <v>7.7</v>
      </c>
    </row>
    <row r="81" spans="1:39" x14ac:dyDescent="0.25">
      <c r="A81" s="18">
        <f t="shared" si="0"/>
        <v>2004</v>
      </c>
      <c r="B81" s="16">
        <v>22.4</v>
      </c>
      <c r="C81" s="16">
        <v>5.0999999999999996</v>
      </c>
      <c r="D81" s="16">
        <v>17.100000000000001</v>
      </c>
      <c r="E81" s="16">
        <v>3.9</v>
      </c>
      <c r="F81" s="16">
        <v>31.7</v>
      </c>
      <c r="G81" s="16">
        <v>5.8</v>
      </c>
      <c r="H81" s="16">
        <v>20.3</v>
      </c>
      <c r="I81" s="16">
        <v>5.2</v>
      </c>
      <c r="J81" s="16">
        <v>23.7</v>
      </c>
      <c r="K81" s="16">
        <v>4.8</v>
      </c>
      <c r="L81" s="16">
        <v>17.5</v>
      </c>
      <c r="M81" s="16">
        <v>6</v>
      </c>
      <c r="N81" s="16">
        <v>24.1</v>
      </c>
      <c r="O81" s="16">
        <v>5.2</v>
      </c>
      <c r="P81" s="16">
        <v>22.4</v>
      </c>
      <c r="Q81" s="16">
        <v>5.9</v>
      </c>
      <c r="R81" s="16">
        <v>27.7</v>
      </c>
      <c r="S81" s="16">
        <v>9</v>
      </c>
      <c r="T81" s="16">
        <v>22.1</v>
      </c>
      <c r="U81" s="16">
        <v>6.9</v>
      </c>
      <c r="V81" s="16">
        <v>14.4</v>
      </c>
      <c r="W81" s="16">
        <v>5.0999999999999996</v>
      </c>
      <c r="X81" s="16">
        <v>18.3</v>
      </c>
      <c r="Y81" s="16">
        <v>7.5</v>
      </c>
      <c r="Z81" s="16">
        <v>22.4</v>
      </c>
      <c r="AA81" s="16">
        <v>5.5</v>
      </c>
      <c r="AB81" s="16">
        <v>11.3</v>
      </c>
      <c r="AC81" s="16">
        <v>7.3</v>
      </c>
      <c r="AD81" s="16">
        <v>22.5</v>
      </c>
      <c r="AE81" s="16">
        <v>4.5999999999999996</v>
      </c>
      <c r="AF81" s="16">
        <v>23.1</v>
      </c>
      <c r="AG81" s="16">
        <v>5.7</v>
      </c>
      <c r="AH81" s="16">
        <v>30.5</v>
      </c>
      <c r="AI81" s="16">
        <v>4.9000000000000004</v>
      </c>
      <c r="AJ81" s="16">
        <v>15.1</v>
      </c>
      <c r="AK81" s="16">
        <v>9.6</v>
      </c>
      <c r="AL81" s="16">
        <v>18.3</v>
      </c>
      <c r="AM81" s="16">
        <v>7.5</v>
      </c>
    </row>
    <row r="82" spans="1:39" x14ac:dyDescent="0.25">
      <c r="A82" s="18">
        <f t="shared" si="0"/>
        <v>2005</v>
      </c>
      <c r="B82" s="16">
        <v>22.4</v>
      </c>
      <c r="C82" s="16">
        <v>5.0999999999999996</v>
      </c>
      <c r="D82" s="16">
        <v>17.3</v>
      </c>
      <c r="E82" s="16">
        <v>3.8</v>
      </c>
      <c r="F82" s="16">
        <v>30.8</v>
      </c>
      <c r="G82" s="16">
        <v>5.9</v>
      </c>
      <c r="H82" s="16">
        <v>19.600000000000001</v>
      </c>
      <c r="I82" s="16">
        <v>5.0999999999999996</v>
      </c>
      <c r="J82" s="16">
        <v>23.3</v>
      </c>
      <c r="K82" s="16">
        <v>4.9000000000000004</v>
      </c>
      <c r="L82" s="16">
        <v>17.2</v>
      </c>
      <c r="M82" s="16">
        <v>5.9</v>
      </c>
      <c r="N82" s="16">
        <v>23.7</v>
      </c>
      <c r="O82" s="16">
        <v>5.2</v>
      </c>
      <c r="P82" s="16">
        <v>22.1</v>
      </c>
      <c r="Q82" s="16">
        <v>5.9</v>
      </c>
      <c r="R82" s="16">
        <v>27.3</v>
      </c>
      <c r="S82" s="16">
        <v>8.8000000000000007</v>
      </c>
      <c r="T82" s="16">
        <v>21.4</v>
      </c>
      <c r="U82" s="16">
        <v>7.2</v>
      </c>
      <c r="V82" s="16">
        <v>14.2</v>
      </c>
      <c r="W82" s="16">
        <v>5.2</v>
      </c>
      <c r="X82" s="16">
        <v>18.3</v>
      </c>
      <c r="Y82" s="16">
        <v>7.4</v>
      </c>
      <c r="Z82" s="16">
        <v>21.9</v>
      </c>
      <c r="AA82" s="16">
        <v>5.5</v>
      </c>
      <c r="AB82" s="16">
        <v>10.6</v>
      </c>
      <c r="AC82" s="16">
        <v>7.4</v>
      </c>
      <c r="AD82" s="16">
        <v>22.1</v>
      </c>
      <c r="AE82" s="16">
        <v>4.5999999999999996</v>
      </c>
      <c r="AF82" s="16">
        <v>22.5</v>
      </c>
      <c r="AG82" s="16">
        <v>5.6</v>
      </c>
      <c r="AH82" s="16">
        <v>29.6</v>
      </c>
      <c r="AI82" s="16">
        <v>4.8</v>
      </c>
      <c r="AJ82" s="16">
        <v>15.1</v>
      </c>
      <c r="AK82" s="16">
        <v>9.3000000000000007</v>
      </c>
      <c r="AL82" s="16">
        <v>18.3</v>
      </c>
      <c r="AM82" s="16">
        <v>7.4</v>
      </c>
    </row>
    <row r="83" spans="1:39" x14ac:dyDescent="0.25">
      <c r="A83" s="18">
        <f t="shared" si="0"/>
        <v>2006</v>
      </c>
      <c r="B83" s="16">
        <v>22.1</v>
      </c>
      <c r="C83" s="16">
        <v>5.2</v>
      </c>
      <c r="D83" s="16">
        <v>16.399999999999999</v>
      </c>
      <c r="E83" s="16">
        <v>3.9</v>
      </c>
      <c r="F83" s="16">
        <v>30</v>
      </c>
      <c r="G83" s="16">
        <v>5.7</v>
      </c>
      <c r="H83" s="16">
        <v>19</v>
      </c>
      <c r="I83" s="16">
        <v>5</v>
      </c>
      <c r="J83" s="16">
        <v>23</v>
      </c>
      <c r="K83" s="16">
        <v>4.9000000000000004</v>
      </c>
      <c r="L83" s="16">
        <v>16.7</v>
      </c>
      <c r="M83" s="16">
        <v>5.8</v>
      </c>
      <c r="N83" s="16">
        <v>23.3</v>
      </c>
      <c r="O83" s="16">
        <v>5.2</v>
      </c>
      <c r="P83" s="16">
        <v>21.8</v>
      </c>
      <c r="Q83" s="16">
        <v>6.1</v>
      </c>
      <c r="R83" s="16">
        <v>27.3</v>
      </c>
      <c r="S83" s="16">
        <v>8.6</v>
      </c>
      <c r="T83" s="16">
        <v>21</v>
      </c>
      <c r="U83" s="16">
        <v>7.5</v>
      </c>
      <c r="V83" s="16">
        <v>14</v>
      </c>
      <c r="W83" s="16">
        <v>5.4</v>
      </c>
      <c r="X83" s="16">
        <v>18.2</v>
      </c>
      <c r="Y83" s="16">
        <v>7.4</v>
      </c>
      <c r="Z83" s="16">
        <v>21.5</v>
      </c>
      <c r="AA83" s="16">
        <v>5.6</v>
      </c>
      <c r="AB83" s="16">
        <v>9.9</v>
      </c>
      <c r="AC83" s="16">
        <v>7.7</v>
      </c>
      <c r="AD83" s="16">
        <v>21.8</v>
      </c>
      <c r="AE83" s="16">
        <v>4.5999999999999996</v>
      </c>
      <c r="AF83" s="16">
        <v>21.9</v>
      </c>
      <c r="AG83" s="16">
        <v>5.7</v>
      </c>
      <c r="AH83" s="16">
        <v>28.7</v>
      </c>
      <c r="AI83" s="16">
        <v>4.8</v>
      </c>
      <c r="AJ83" s="16">
        <v>14.8</v>
      </c>
      <c r="AK83" s="16">
        <v>9.4</v>
      </c>
      <c r="AL83" s="16">
        <v>18.2</v>
      </c>
      <c r="AM83" s="16">
        <v>7.4</v>
      </c>
    </row>
    <row r="84" spans="1:39" x14ac:dyDescent="0.25">
      <c r="A84" s="18">
        <f t="shared" si="0"/>
        <v>2007</v>
      </c>
      <c r="B84" s="16">
        <v>21.5</v>
      </c>
      <c r="C84" s="16">
        <v>5.0999999999999996</v>
      </c>
      <c r="D84" s="16">
        <v>16.600000000000001</v>
      </c>
      <c r="E84" s="16">
        <v>4</v>
      </c>
      <c r="F84" s="16">
        <v>29.4</v>
      </c>
      <c r="G84" s="16">
        <v>5.5</v>
      </c>
      <c r="H84" s="16">
        <v>18.600000000000001</v>
      </c>
      <c r="I84" s="16">
        <v>5.0999999999999996</v>
      </c>
      <c r="J84" s="16">
        <v>22.6</v>
      </c>
      <c r="K84" s="16">
        <v>4.9000000000000004</v>
      </c>
      <c r="L84" s="16">
        <v>16.2</v>
      </c>
      <c r="M84" s="16">
        <v>5.8</v>
      </c>
      <c r="N84" s="16">
        <v>23</v>
      </c>
      <c r="O84" s="16">
        <v>5.2</v>
      </c>
      <c r="P84" s="16">
        <v>21.4</v>
      </c>
      <c r="Q84" s="16">
        <v>6.2</v>
      </c>
      <c r="R84" s="16">
        <v>26.9</v>
      </c>
      <c r="S84" s="16">
        <v>8.5</v>
      </c>
      <c r="T84" s="16">
        <v>20.6</v>
      </c>
      <c r="U84" s="16">
        <v>7.8</v>
      </c>
      <c r="V84" s="16">
        <v>14.2</v>
      </c>
      <c r="W84" s="16">
        <v>5.5</v>
      </c>
      <c r="X84" s="16">
        <v>18</v>
      </c>
      <c r="Y84" s="16">
        <v>7.9</v>
      </c>
      <c r="Z84" s="16">
        <v>21.1</v>
      </c>
      <c r="AA84" s="16">
        <v>5.6</v>
      </c>
      <c r="AB84" s="16">
        <v>10</v>
      </c>
      <c r="AC84" s="16">
        <v>7.8</v>
      </c>
      <c r="AD84" s="16">
        <v>21.6</v>
      </c>
      <c r="AE84" s="16">
        <v>4.5999999999999996</v>
      </c>
      <c r="AF84" s="16">
        <v>21.8</v>
      </c>
      <c r="AG84" s="16">
        <v>5.7</v>
      </c>
      <c r="AH84" s="16">
        <v>28.1</v>
      </c>
      <c r="AI84" s="16">
        <v>4.8</v>
      </c>
      <c r="AJ84" s="16">
        <v>14.6</v>
      </c>
      <c r="AK84" s="16">
        <v>9.3000000000000007</v>
      </c>
      <c r="AL84" s="16">
        <v>18</v>
      </c>
      <c r="AM84" s="16">
        <v>7.9</v>
      </c>
    </row>
    <row r="85" spans="1:39" x14ac:dyDescent="0.25">
      <c r="A85" s="18">
        <f t="shared" si="0"/>
        <v>2008</v>
      </c>
      <c r="B85" s="16">
        <v>21.1</v>
      </c>
      <c r="C85" s="16">
        <v>5.5</v>
      </c>
      <c r="D85" s="16">
        <v>16.8</v>
      </c>
      <c r="E85" s="16">
        <v>4.0999999999999996</v>
      </c>
      <c r="F85" s="16">
        <v>28.7</v>
      </c>
      <c r="G85" s="16">
        <v>5.5</v>
      </c>
      <c r="H85" s="16">
        <v>18.2</v>
      </c>
      <c r="I85" s="16">
        <v>5</v>
      </c>
      <c r="J85" s="16">
        <v>22.5</v>
      </c>
      <c r="K85" s="16">
        <v>4.8</v>
      </c>
      <c r="L85" s="16">
        <v>15.8</v>
      </c>
      <c r="M85" s="16">
        <v>5.8</v>
      </c>
      <c r="N85" s="16">
        <v>23</v>
      </c>
      <c r="O85" s="16">
        <v>5.2</v>
      </c>
      <c r="P85" s="16">
        <v>20.9</v>
      </c>
      <c r="Q85" s="16">
        <v>6.5</v>
      </c>
      <c r="R85" s="16">
        <v>26.4</v>
      </c>
      <c r="S85" s="16">
        <v>8.3000000000000007</v>
      </c>
      <c r="T85" s="16">
        <v>20</v>
      </c>
      <c r="U85" s="16">
        <v>7.6</v>
      </c>
      <c r="V85" s="16">
        <v>14.4</v>
      </c>
      <c r="W85" s="16">
        <v>5.6</v>
      </c>
      <c r="X85" s="16">
        <v>18.5</v>
      </c>
      <c r="Y85" s="16">
        <v>7.5</v>
      </c>
      <c r="Z85" s="16">
        <v>20.8</v>
      </c>
      <c r="AA85" s="16">
        <v>5.7</v>
      </c>
      <c r="AB85" s="16">
        <v>10.9</v>
      </c>
      <c r="AC85" s="16">
        <v>8</v>
      </c>
      <c r="AD85" s="16">
        <v>21.4</v>
      </c>
      <c r="AE85" s="16">
        <v>4.5999999999999996</v>
      </c>
      <c r="AF85" s="16">
        <v>22.1</v>
      </c>
      <c r="AG85" s="16">
        <v>5.8</v>
      </c>
      <c r="AH85" s="16">
        <v>27.5</v>
      </c>
      <c r="AI85" s="16">
        <v>4.7</v>
      </c>
      <c r="AJ85" s="16">
        <v>14.4</v>
      </c>
      <c r="AK85" s="16">
        <v>9.4</v>
      </c>
      <c r="AL85" s="16">
        <v>18.5</v>
      </c>
      <c r="AM85" s="16">
        <v>7.5</v>
      </c>
    </row>
    <row r="86" spans="1:39" x14ac:dyDescent="0.25">
      <c r="A86" s="18">
        <f t="shared" si="0"/>
        <v>2009</v>
      </c>
      <c r="B86" s="16">
        <v>20.6</v>
      </c>
      <c r="C86" s="16">
        <v>5.5</v>
      </c>
      <c r="D86" s="16">
        <v>16.5</v>
      </c>
      <c r="E86" s="16">
        <v>4.0999999999999996</v>
      </c>
      <c r="F86" s="16">
        <v>28.2</v>
      </c>
      <c r="G86" s="16">
        <v>5.5</v>
      </c>
      <c r="H86" s="16">
        <v>17.7</v>
      </c>
      <c r="I86" s="16">
        <v>5</v>
      </c>
      <c r="J86" s="16">
        <v>22.4</v>
      </c>
      <c r="K86" s="16">
        <v>4.8</v>
      </c>
      <c r="L86" s="16">
        <v>15.6</v>
      </c>
      <c r="M86" s="16">
        <v>5.8</v>
      </c>
      <c r="N86" s="16">
        <v>22.9</v>
      </c>
      <c r="O86" s="16">
        <v>5.2</v>
      </c>
      <c r="P86" s="16">
        <v>20.399999999999999</v>
      </c>
      <c r="Q86" s="16">
        <v>6.7</v>
      </c>
      <c r="R86" s="16">
        <v>26</v>
      </c>
      <c r="S86" s="16">
        <v>8.1999999999999993</v>
      </c>
      <c r="T86" s="16">
        <v>19.8</v>
      </c>
      <c r="U86" s="16">
        <v>7.5</v>
      </c>
      <c r="V86" s="16">
        <v>14.4</v>
      </c>
      <c r="W86" s="16">
        <v>5.7</v>
      </c>
      <c r="X86" s="16">
        <v>18.2</v>
      </c>
      <c r="Y86" s="16">
        <v>7.5</v>
      </c>
      <c r="Z86" s="16">
        <v>20.6</v>
      </c>
      <c r="AA86" s="16">
        <v>5.7</v>
      </c>
      <c r="AB86" s="16">
        <v>11.5</v>
      </c>
      <c r="AC86" s="16">
        <v>8.1999999999999993</v>
      </c>
      <c r="AD86" s="16">
        <v>21.2</v>
      </c>
      <c r="AE86" s="16">
        <v>4.5999999999999996</v>
      </c>
      <c r="AF86" s="16">
        <v>22.3</v>
      </c>
      <c r="AG86" s="16">
        <v>5.7</v>
      </c>
      <c r="AH86" s="16">
        <v>27</v>
      </c>
      <c r="AI86" s="16">
        <v>4.7</v>
      </c>
      <c r="AJ86" s="16">
        <v>14.3</v>
      </c>
      <c r="AK86" s="16">
        <v>9.1999999999999993</v>
      </c>
      <c r="AL86" s="16">
        <v>18.2</v>
      </c>
      <c r="AM86" s="16">
        <v>7.5</v>
      </c>
    </row>
    <row r="87" spans="1:39" x14ac:dyDescent="0.25">
      <c r="A87" s="18">
        <f t="shared" si="0"/>
        <v>2010</v>
      </c>
      <c r="B87" s="16">
        <v>20.3</v>
      </c>
      <c r="C87" s="16">
        <v>5.5</v>
      </c>
      <c r="D87" s="16">
        <v>15.4</v>
      </c>
      <c r="E87" s="16">
        <v>4.3</v>
      </c>
      <c r="F87" s="16">
        <v>27.8</v>
      </c>
      <c r="G87" s="16">
        <v>5.4</v>
      </c>
      <c r="H87" s="16">
        <v>16.899999999999999</v>
      </c>
      <c r="I87" s="16">
        <v>5</v>
      </c>
      <c r="J87" s="16">
        <v>21.9</v>
      </c>
      <c r="K87" s="16">
        <v>4.8</v>
      </c>
      <c r="L87" s="16">
        <v>15.3</v>
      </c>
      <c r="M87" s="16">
        <v>5.8</v>
      </c>
      <c r="N87" s="16">
        <v>22.5</v>
      </c>
      <c r="O87" s="16">
        <v>5.2</v>
      </c>
      <c r="P87" s="16">
        <v>19.899999999999999</v>
      </c>
      <c r="Q87" s="16">
        <v>6.7</v>
      </c>
      <c r="R87" s="16">
        <v>25.6</v>
      </c>
      <c r="S87" s="16">
        <v>8</v>
      </c>
      <c r="T87" s="16">
        <v>19.7</v>
      </c>
      <c r="U87" s="16">
        <v>7.2</v>
      </c>
      <c r="V87" s="16">
        <v>14.2</v>
      </c>
      <c r="W87" s="16">
        <v>5.8</v>
      </c>
      <c r="X87" s="16">
        <v>18.3</v>
      </c>
      <c r="Y87" s="16">
        <v>7.6</v>
      </c>
      <c r="Z87" s="16">
        <v>20.3</v>
      </c>
      <c r="AA87" s="16">
        <v>5.7</v>
      </c>
      <c r="AB87" s="16">
        <v>11.4</v>
      </c>
      <c r="AC87" s="16">
        <v>8.1999999999999993</v>
      </c>
      <c r="AD87" s="16">
        <v>21</v>
      </c>
      <c r="AE87" s="16">
        <v>4.5999999999999996</v>
      </c>
      <c r="AF87" s="16">
        <v>22.2</v>
      </c>
      <c r="AG87" s="16">
        <v>5.7</v>
      </c>
      <c r="AH87" s="16">
        <v>26.3</v>
      </c>
      <c r="AI87" s="16">
        <v>4.8</v>
      </c>
      <c r="AJ87" s="16">
        <v>14.2</v>
      </c>
      <c r="AK87" s="16">
        <v>9.4</v>
      </c>
      <c r="AL87" s="16">
        <v>18.3</v>
      </c>
      <c r="AM87" s="16">
        <v>7.6</v>
      </c>
    </row>
    <row r="88" spans="1:39" x14ac:dyDescent="0.25">
      <c r="A88" s="18">
        <f t="shared" si="0"/>
        <v>2011</v>
      </c>
      <c r="B88" s="16">
        <v>20.2</v>
      </c>
      <c r="C88" s="16">
        <v>5.6</v>
      </c>
      <c r="D88" s="16">
        <v>15.8</v>
      </c>
      <c r="E88" s="16">
        <v>4.3</v>
      </c>
      <c r="F88" s="16">
        <v>27.5</v>
      </c>
      <c r="G88" s="16">
        <v>5.3</v>
      </c>
      <c r="H88" s="16">
        <v>16.3</v>
      </c>
      <c r="I88" s="16">
        <v>5</v>
      </c>
      <c r="J88" s="16">
        <v>21.8</v>
      </c>
      <c r="K88" s="16">
        <v>4.9000000000000004</v>
      </c>
      <c r="L88" s="16">
        <v>15.1</v>
      </c>
      <c r="M88" s="16">
        <v>5.8</v>
      </c>
      <c r="N88" s="16">
        <v>22.5</v>
      </c>
      <c r="O88" s="16">
        <v>5.2</v>
      </c>
      <c r="P88" s="16">
        <v>19.8</v>
      </c>
      <c r="Q88" s="16">
        <v>6.7</v>
      </c>
      <c r="R88" s="16">
        <v>25.2</v>
      </c>
      <c r="S88" s="16">
        <v>7.9</v>
      </c>
      <c r="T88" s="16">
        <v>19.600000000000001</v>
      </c>
      <c r="U88" s="16">
        <v>7.1</v>
      </c>
      <c r="V88" s="16">
        <v>14</v>
      </c>
      <c r="W88" s="16">
        <v>5.9</v>
      </c>
      <c r="X88" s="16">
        <v>18.2</v>
      </c>
      <c r="Y88" s="16">
        <v>7.4</v>
      </c>
      <c r="Z88" s="16">
        <v>20.100000000000001</v>
      </c>
      <c r="AA88" s="16">
        <v>5.7</v>
      </c>
      <c r="AB88" s="16">
        <v>11.8</v>
      </c>
      <c r="AC88" s="16">
        <v>8.1999999999999993</v>
      </c>
      <c r="AD88" s="16">
        <v>21</v>
      </c>
      <c r="AE88" s="16">
        <v>4.5999999999999996</v>
      </c>
      <c r="AF88" s="16">
        <v>21.9</v>
      </c>
      <c r="AG88" s="16">
        <v>5.6</v>
      </c>
      <c r="AH88" s="16">
        <v>25.8</v>
      </c>
      <c r="AI88" s="16">
        <v>4.7</v>
      </c>
      <c r="AJ88" s="16">
        <v>14.1</v>
      </c>
      <c r="AK88" s="16">
        <v>9.6</v>
      </c>
      <c r="AL88" s="16">
        <v>18.2</v>
      </c>
      <c r="AM88" s="16">
        <v>7.4</v>
      </c>
    </row>
    <row r="89" spans="1:39" x14ac:dyDescent="0.25">
      <c r="A89" s="18">
        <f t="shared" si="0"/>
        <v>2012</v>
      </c>
      <c r="B89" s="16">
        <v>19.899999999999999</v>
      </c>
      <c r="C89" s="16">
        <v>5.7</v>
      </c>
      <c r="D89" s="16">
        <v>15.5</v>
      </c>
      <c r="E89" s="16">
        <v>4.3</v>
      </c>
      <c r="F89" s="16">
        <v>27.2</v>
      </c>
      <c r="G89" s="16">
        <v>5.2</v>
      </c>
      <c r="H89" s="16">
        <v>16</v>
      </c>
      <c r="I89" s="16">
        <v>5</v>
      </c>
      <c r="J89" s="16">
        <v>20.9</v>
      </c>
      <c r="K89" s="16">
        <v>4.9000000000000004</v>
      </c>
      <c r="L89" s="16">
        <v>14.9</v>
      </c>
      <c r="M89" s="16">
        <v>5.9</v>
      </c>
      <c r="N89" s="16">
        <v>22.6</v>
      </c>
      <c r="O89" s="16">
        <v>5.2</v>
      </c>
      <c r="P89" s="16">
        <v>19.2</v>
      </c>
      <c r="Q89" s="16">
        <v>6.5</v>
      </c>
      <c r="R89" s="16">
        <v>24.8</v>
      </c>
      <c r="S89" s="16">
        <v>7.8</v>
      </c>
      <c r="T89" s="16">
        <v>19.399999999999999</v>
      </c>
      <c r="U89" s="16">
        <v>7</v>
      </c>
      <c r="V89" s="16">
        <v>13.8</v>
      </c>
      <c r="W89" s="16">
        <v>6.1</v>
      </c>
      <c r="X89" s="16">
        <v>17.5</v>
      </c>
      <c r="Y89" s="16">
        <v>7.7</v>
      </c>
      <c r="Z89" s="16">
        <v>19.899999999999999</v>
      </c>
      <c r="AA89" s="16">
        <v>5.7</v>
      </c>
      <c r="AB89" s="16">
        <v>11.2</v>
      </c>
      <c r="AC89" s="16">
        <v>8.1999999999999993</v>
      </c>
      <c r="AD89" s="16">
        <v>20.7</v>
      </c>
      <c r="AE89" s="16">
        <v>4.5999999999999996</v>
      </c>
      <c r="AF89" s="16">
        <v>21.5</v>
      </c>
      <c r="AG89" s="16">
        <v>5.5</v>
      </c>
      <c r="AH89" s="16">
        <v>25.3</v>
      </c>
      <c r="AI89" s="16">
        <v>4.5999999999999996</v>
      </c>
      <c r="AJ89" s="16">
        <v>14.2</v>
      </c>
      <c r="AK89" s="16">
        <v>9.6</v>
      </c>
      <c r="AL89" s="16">
        <v>17.5</v>
      </c>
      <c r="AM89" s="16">
        <v>7.7</v>
      </c>
    </row>
    <row r="90" spans="1:39" x14ac:dyDescent="0.25">
      <c r="A90" s="18">
        <f t="shared" si="0"/>
        <v>2013</v>
      </c>
      <c r="B90" s="16">
        <v>19.5</v>
      </c>
      <c r="C90" s="16">
        <v>5.8</v>
      </c>
      <c r="D90" s="16">
        <v>14.8</v>
      </c>
      <c r="E90" s="16">
        <v>4.3</v>
      </c>
      <c r="F90" s="16">
        <v>26.7</v>
      </c>
      <c r="G90" s="16">
        <v>5.2</v>
      </c>
      <c r="H90" s="16">
        <v>15.6</v>
      </c>
      <c r="I90" s="16">
        <v>5</v>
      </c>
      <c r="J90" s="16">
        <v>19.7</v>
      </c>
      <c r="K90" s="16">
        <v>4.8</v>
      </c>
      <c r="L90" s="16">
        <v>14.8</v>
      </c>
      <c r="M90" s="16">
        <v>5.9</v>
      </c>
      <c r="N90" s="16">
        <v>22.5</v>
      </c>
      <c r="O90" s="16">
        <v>5.2</v>
      </c>
      <c r="P90" s="16">
        <v>18.8</v>
      </c>
      <c r="Q90" s="16">
        <v>6.3</v>
      </c>
      <c r="R90" s="16">
        <v>24.4</v>
      </c>
      <c r="S90" s="16">
        <v>7.8</v>
      </c>
      <c r="T90" s="16">
        <v>19.2</v>
      </c>
      <c r="U90" s="16">
        <v>7.2</v>
      </c>
      <c r="V90" s="16">
        <v>13.6</v>
      </c>
      <c r="W90" s="16">
        <v>6.1</v>
      </c>
      <c r="X90" s="16">
        <v>17.7</v>
      </c>
      <c r="Y90" s="16">
        <v>7.8</v>
      </c>
      <c r="Z90" s="16">
        <v>19.600000000000001</v>
      </c>
      <c r="AA90" s="16">
        <v>5.7</v>
      </c>
      <c r="AB90" s="16">
        <v>11.2</v>
      </c>
      <c r="AC90" s="16">
        <v>8.5</v>
      </c>
      <c r="AD90" s="16">
        <v>20.399999999999999</v>
      </c>
      <c r="AE90" s="16">
        <v>4.7</v>
      </c>
      <c r="AF90" s="16">
        <v>21.2</v>
      </c>
      <c r="AG90" s="16">
        <v>5.5</v>
      </c>
      <c r="AH90" s="16">
        <v>24.8</v>
      </c>
      <c r="AI90" s="16">
        <v>4.5999999999999996</v>
      </c>
      <c r="AJ90" s="16">
        <v>14.3</v>
      </c>
      <c r="AK90" s="16">
        <v>9.5</v>
      </c>
      <c r="AL90" s="16">
        <v>17.7</v>
      </c>
      <c r="AM90" s="16">
        <v>7.8</v>
      </c>
    </row>
    <row r="91" spans="1:39" x14ac:dyDescent="0.25">
      <c r="A91" s="18">
        <f t="shared" si="0"/>
        <v>2014</v>
      </c>
      <c r="B91" s="16">
        <v>19.100000000000001</v>
      </c>
      <c r="C91" s="16">
        <v>6</v>
      </c>
      <c r="D91" s="16">
        <v>14.8</v>
      </c>
      <c r="E91" s="16">
        <v>4.5</v>
      </c>
      <c r="F91" s="16">
        <v>26.5</v>
      </c>
      <c r="G91" s="16">
        <v>5.2</v>
      </c>
      <c r="H91" s="16">
        <v>15.3</v>
      </c>
      <c r="I91" s="16">
        <v>5.0999999999999996</v>
      </c>
      <c r="J91" s="16">
        <v>18.899999999999999</v>
      </c>
      <c r="K91" s="16">
        <v>4.8</v>
      </c>
      <c r="L91" s="16">
        <v>14.8</v>
      </c>
      <c r="M91" s="16">
        <v>6</v>
      </c>
      <c r="N91" s="16">
        <v>22.6</v>
      </c>
      <c r="O91" s="16">
        <v>5.2</v>
      </c>
      <c r="P91" s="16">
        <v>18.399999999999999</v>
      </c>
      <c r="Q91" s="16">
        <v>6.1</v>
      </c>
      <c r="R91" s="16">
        <v>24</v>
      </c>
      <c r="S91" s="16">
        <v>7.7</v>
      </c>
      <c r="T91" s="16">
        <v>19</v>
      </c>
      <c r="U91" s="16">
        <v>7.2</v>
      </c>
      <c r="V91" s="16">
        <v>13.5</v>
      </c>
      <c r="W91" s="16">
        <v>6.1</v>
      </c>
      <c r="X91" s="16">
        <v>18</v>
      </c>
      <c r="Y91" s="16">
        <v>7.5</v>
      </c>
      <c r="Z91" s="16">
        <v>19</v>
      </c>
      <c r="AA91" s="16">
        <v>5.7</v>
      </c>
      <c r="AB91" s="16">
        <v>10.9</v>
      </c>
      <c r="AC91" s="16">
        <v>8.9</v>
      </c>
      <c r="AD91" s="16">
        <v>20.100000000000001</v>
      </c>
      <c r="AE91" s="16">
        <v>4.7</v>
      </c>
      <c r="AF91" s="16">
        <v>20.8</v>
      </c>
      <c r="AG91" s="16">
        <v>5.6</v>
      </c>
      <c r="AH91" s="16">
        <v>24.4</v>
      </c>
      <c r="AI91" s="16">
        <v>4.5</v>
      </c>
      <c r="AJ91" s="16">
        <v>14.2</v>
      </c>
      <c r="AK91" s="16">
        <v>9.4</v>
      </c>
      <c r="AL91" s="16">
        <v>18</v>
      </c>
      <c r="AM91" s="16">
        <v>7.5</v>
      </c>
    </row>
    <row r="92" spans="1:39" x14ac:dyDescent="0.25">
      <c r="A92" s="18">
        <f t="shared" si="0"/>
        <v>2015</v>
      </c>
      <c r="B92" s="16">
        <v>18.600000000000001</v>
      </c>
      <c r="C92" s="16">
        <v>6</v>
      </c>
      <c r="D92" s="16">
        <v>14.7</v>
      </c>
      <c r="E92" s="16">
        <v>4.5</v>
      </c>
      <c r="F92" s="16">
        <v>26.2</v>
      </c>
      <c r="G92" s="16">
        <v>5.2</v>
      </c>
      <c r="H92" s="16">
        <v>14.8</v>
      </c>
      <c r="I92" s="16">
        <v>5.3</v>
      </c>
      <c r="J92" s="16">
        <v>18.399999999999999</v>
      </c>
      <c r="K92" s="16">
        <v>4.9000000000000004</v>
      </c>
      <c r="L92" s="16">
        <v>14.7</v>
      </c>
      <c r="M92" s="16">
        <v>6</v>
      </c>
      <c r="N92" s="16">
        <v>22.7</v>
      </c>
      <c r="O92" s="16">
        <v>5.3</v>
      </c>
      <c r="P92" s="16">
        <v>17.899999999999999</v>
      </c>
      <c r="Q92" s="16">
        <v>6</v>
      </c>
      <c r="R92" s="16">
        <v>23.7</v>
      </c>
      <c r="S92" s="16">
        <v>7.7</v>
      </c>
      <c r="T92" s="16">
        <v>18.600000000000001</v>
      </c>
      <c r="U92" s="16">
        <v>7.4</v>
      </c>
      <c r="V92" s="16">
        <v>13.1</v>
      </c>
      <c r="W92" s="16">
        <v>6.1</v>
      </c>
      <c r="X92" s="16">
        <v>17.7</v>
      </c>
      <c r="Y92" s="16">
        <v>7.4</v>
      </c>
      <c r="Z92" s="16">
        <v>18.2</v>
      </c>
      <c r="AA92" s="16">
        <v>5.8</v>
      </c>
      <c r="AB92" s="16">
        <v>10.9</v>
      </c>
      <c r="AC92" s="16">
        <v>9.1</v>
      </c>
      <c r="AD92" s="16">
        <v>19.8</v>
      </c>
      <c r="AE92" s="16">
        <v>4.7</v>
      </c>
      <c r="AF92" s="16">
        <v>20.5</v>
      </c>
      <c r="AG92" s="16">
        <v>5.8</v>
      </c>
      <c r="AH92" s="16">
        <v>24.1</v>
      </c>
      <c r="AI92" s="16">
        <v>4.5</v>
      </c>
      <c r="AJ92" s="16">
        <v>14.3</v>
      </c>
      <c r="AK92" s="16">
        <v>9.5</v>
      </c>
      <c r="AL92" s="16">
        <v>17.7</v>
      </c>
      <c r="AM92" s="16">
        <v>7.4</v>
      </c>
    </row>
    <row r="93" spans="1:39" x14ac:dyDescent="0.25">
      <c r="A93" s="18">
        <f t="shared" si="0"/>
        <v>2016</v>
      </c>
      <c r="B93" s="16">
        <v>18.3</v>
      </c>
      <c r="C93" s="16">
        <v>6.6</v>
      </c>
      <c r="D93" s="16">
        <v>14.2</v>
      </c>
      <c r="E93" s="16">
        <v>4.8</v>
      </c>
      <c r="F93" s="16">
        <v>26</v>
      </c>
      <c r="G93" s="16">
        <v>5.2</v>
      </c>
      <c r="H93" s="16">
        <v>14.3</v>
      </c>
      <c r="I93" s="16">
        <v>5.3</v>
      </c>
      <c r="J93" s="16">
        <v>17.600000000000001</v>
      </c>
      <c r="K93" s="16">
        <v>5</v>
      </c>
      <c r="L93" s="16">
        <v>14.1</v>
      </c>
      <c r="M93" s="16">
        <v>6.2</v>
      </c>
      <c r="N93" s="16">
        <v>22.5</v>
      </c>
      <c r="O93" s="16">
        <v>5.4</v>
      </c>
      <c r="P93" s="16">
        <v>17.600000000000001</v>
      </c>
      <c r="Q93" s="16">
        <v>6</v>
      </c>
      <c r="R93" s="16">
        <v>23.3</v>
      </c>
      <c r="S93" s="16">
        <v>7.6</v>
      </c>
      <c r="T93" s="16">
        <v>17.7</v>
      </c>
      <c r="U93" s="16">
        <v>7.4</v>
      </c>
      <c r="V93" s="16">
        <v>12.7</v>
      </c>
      <c r="W93" s="16">
        <v>6.1</v>
      </c>
      <c r="X93" s="16">
        <v>16.8</v>
      </c>
      <c r="Y93" s="16">
        <v>7.9</v>
      </c>
      <c r="Z93" s="16">
        <v>17.7</v>
      </c>
      <c r="AA93" s="16">
        <v>5.9</v>
      </c>
      <c r="AB93" s="16">
        <v>10.3</v>
      </c>
      <c r="AC93" s="16">
        <v>9.4</v>
      </c>
      <c r="AD93" s="16">
        <v>19.5</v>
      </c>
      <c r="AE93" s="16">
        <v>4.7</v>
      </c>
      <c r="AF93" s="16">
        <v>20.2</v>
      </c>
      <c r="AG93" s="16">
        <v>5.9</v>
      </c>
      <c r="AH93" s="16">
        <v>23.8</v>
      </c>
      <c r="AI93" s="16">
        <v>4.4000000000000004</v>
      </c>
      <c r="AJ93" s="16">
        <v>13.7</v>
      </c>
      <c r="AK93" s="16">
        <v>9.6</v>
      </c>
      <c r="AL93" s="16">
        <v>16.8</v>
      </c>
      <c r="AM93" s="16">
        <v>7.9</v>
      </c>
    </row>
    <row r="94" spans="1:39" x14ac:dyDescent="0.25">
      <c r="A94" s="18">
        <f t="shared" ref="A94:A100" si="1">A93+1</f>
        <v>2017</v>
      </c>
      <c r="B94" s="16">
        <v>17.899999999999999</v>
      </c>
      <c r="C94" s="16">
        <v>6.8</v>
      </c>
      <c r="D94" s="16">
        <v>13.8</v>
      </c>
      <c r="E94" s="16">
        <v>5</v>
      </c>
      <c r="F94" s="16">
        <v>25.2</v>
      </c>
      <c r="G94" s="16">
        <v>5.0999999999999996</v>
      </c>
      <c r="H94" s="16">
        <v>14.2</v>
      </c>
      <c r="I94" s="16">
        <v>5.3</v>
      </c>
      <c r="J94" s="16">
        <v>17.7</v>
      </c>
      <c r="K94" s="16">
        <v>5.0999999999999996</v>
      </c>
      <c r="L94" s="16">
        <v>14.1</v>
      </c>
      <c r="M94" s="16">
        <v>6.3</v>
      </c>
      <c r="N94" s="16">
        <v>22.2</v>
      </c>
      <c r="O94" s="16">
        <v>5.5</v>
      </c>
      <c r="P94" s="16">
        <v>17.3</v>
      </c>
      <c r="Q94" s="16">
        <v>6.1</v>
      </c>
      <c r="R94" s="16">
        <v>22.9</v>
      </c>
      <c r="S94" s="16">
        <v>7.6</v>
      </c>
      <c r="T94" s="16">
        <v>17.100000000000001</v>
      </c>
      <c r="U94" s="16">
        <v>7.5</v>
      </c>
      <c r="V94" s="16">
        <v>11.8</v>
      </c>
      <c r="W94" s="16">
        <v>6</v>
      </c>
      <c r="X94" s="16">
        <v>16.2</v>
      </c>
      <c r="Y94" s="16">
        <v>7.7</v>
      </c>
      <c r="Z94" s="16">
        <v>17.2</v>
      </c>
      <c r="AA94" s="16">
        <v>6</v>
      </c>
      <c r="AB94" s="16">
        <v>10.1</v>
      </c>
      <c r="AC94" s="16">
        <v>9.9</v>
      </c>
      <c r="AD94" s="16">
        <v>19.100000000000001</v>
      </c>
      <c r="AE94" s="16">
        <v>4.8</v>
      </c>
      <c r="AF94" s="16">
        <v>20</v>
      </c>
      <c r="AG94" s="16">
        <v>5.8</v>
      </c>
      <c r="AH94" s="16">
        <v>23.5</v>
      </c>
      <c r="AI94" s="16">
        <v>4.4000000000000004</v>
      </c>
      <c r="AJ94" s="16">
        <v>12.7</v>
      </c>
      <c r="AK94" s="16">
        <v>9.5</v>
      </c>
      <c r="AL94" s="16">
        <v>16.2</v>
      </c>
      <c r="AM94" s="16">
        <v>7.7</v>
      </c>
    </row>
    <row r="95" spans="1:39" x14ac:dyDescent="0.25">
      <c r="A95" s="18">
        <f t="shared" si="1"/>
        <v>2018</v>
      </c>
      <c r="B95" s="16">
        <v>17.3</v>
      </c>
      <c r="C95" s="16">
        <v>6.7</v>
      </c>
      <c r="D95" s="16">
        <v>13.6</v>
      </c>
      <c r="E95" s="16">
        <v>5.0999999999999996</v>
      </c>
      <c r="F95" s="16">
        <v>24.3</v>
      </c>
      <c r="G95" s="16">
        <v>5.0999999999999996</v>
      </c>
      <c r="H95" s="16">
        <v>14.2</v>
      </c>
      <c r="I95" s="16">
        <v>5.4</v>
      </c>
      <c r="J95" s="16">
        <v>17.5</v>
      </c>
      <c r="K95" s="16">
        <v>4.5999999999999996</v>
      </c>
      <c r="L95" s="16">
        <v>14</v>
      </c>
      <c r="M95" s="16">
        <v>6.3</v>
      </c>
      <c r="N95" s="16">
        <v>21.8</v>
      </c>
      <c r="O95" s="16">
        <v>5.5</v>
      </c>
      <c r="P95" s="16">
        <v>16.899999999999999</v>
      </c>
      <c r="Q95" s="16">
        <v>6.2</v>
      </c>
      <c r="R95" s="16">
        <v>22.6</v>
      </c>
      <c r="S95" s="16">
        <v>7.6</v>
      </c>
      <c r="T95" s="16">
        <v>16.7</v>
      </c>
      <c r="U95" s="16">
        <v>7.4</v>
      </c>
      <c r="V95" s="16">
        <v>11.7</v>
      </c>
      <c r="W95" s="16">
        <v>6.2</v>
      </c>
      <c r="X95" s="16">
        <v>15.3</v>
      </c>
      <c r="Y95" s="16">
        <v>7.6</v>
      </c>
      <c r="Z95" s="16">
        <v>17</v>
      </c>
      <c r="AA95" s="16">
        <v>6.1</v>
      </c>
      <c r="AB95" s="16">
        <v>10.199999999999999</v>
      </c>
      <c r="AC95" s="16">
        <v>9.9</v>
      </c>
      <c r="AD95" s="16">
        <v>18.5</v>
      </c>
      <c r="AE95" s="16">
        <v>4.7</v>
      </c>
      <c r="AF95" s="16">
        <v>19.8</v>
      </c>
      <c r="AG95" s="16">
        <v>5.9</v>
      </c>
      <c r="AH95" s="16">
        <v>23.4</v>
      </c>
      <c r="AI95" s="16">
        <v>4.5</v>
      </c>
      <c r="AJ95" s="16">
        <v>11.7</v>
      </c>
      <c r="AK95" s="16">
        <v>9.5</v>
      </c>
      <c r="AL95" s="16">
        <v>15.3</v>
      </c>
      <c r="AM95" s="16">
        <v>7.6</v>
      </c>
    </row>
    <row r="96" spans="1:39" x14ac:dyDescent="0.25">
      <c r="A96" s="18">
        <f t="shared" si="1"/>
        <v>2019</v>
      </c>
      <c r="B96" s="16">
        <v>16.3</v>
      </c>
      <c r="C96" s="16">
        <v>6.8</v>
      </c>
      <c r="D96" s="16">
        <v>12.7</v>
      </c>
      <c r="E96" s="16">
        <v>5.0999999999999996</v>
      </c>
      <c r="F96" s="16">
        <v>23.1</v>
      </c>
      <c r="G96" s="16">
        <v>5.0999999999999996</v>
      </c>
      <c r="H96" s="16">
        <v>14.2</v>
      </c>
      <c r="I96" s="16">
        <v>5.4</v>
      </c>
      <c r="J96" s="16">
        <v>16.899999999999999</v>
      </c>
      <c r="K96" s="16">
        <v>4.8</v>
      </c>
      <c r="L96" s="16">
        <v>13.5</v>
      </c>
      <c r="M96" s="16">
        <v>6.5</v>
      </c>
      <c r="N96" s="16">
        <v>21.4</v>
      </c>
      <c r="O96" s="16">
        <v>5.6</v>
      </c>
      <c r="P96" s="16">
        <v>16.899999999999999</v>
      </c>
      <c r="Q96" s="16">
        <v>6.2</v>
      </c>
      <c r="R96" s="16">
        <v>22.3</v>
      </c>
      <c r="S96" s="16">
        <v>7.6</v>
      </c>
      <c r="T96" s="16">
        <v>16.600000000000001</v>
      </c>
      <c r="U96" s="16">
        <v>7.4</v>
      </c>
      <c r="V96" s="16">
        <v>10.9</v>
      </c>
      <c r="W96" s="16">
        <v>6.5</v>
      </c>
      <c r="X96" s="16">
        <v>13.9</v>
      </c>
      <c r="Y96" s="16">
        <v>7.7</v>
      </c>
      <c r="Z96" s="16">
        <v>16.899999999999999</v>
      </c>
      <c r="AA96" s="16">
        <v>6.1</v>
      </c>
      <c r="AB96" s="16">
        <v>9.6999999999999993</v>
      </c>
      <c r="AC96" s="16">
        <v>10</v>
      </c>
      <c r="AD96" s="16">
        <v>17.600000000000001</v>
      </c>
      <c r="AE96" s="16">
        <v>4.7</v>
      </c>
      <c r="AF96" s="16">
        <v>19.399999999999999</v>
      </c>
      <c r="AG96" s="16">
        <v>6.1</v>
      </c>
      <c r="AH96" s="16">
        <v>23.1</v>
      </c>
      <c r="AI96" s="16">
        <v>4.5</v>
      </c>
      <c r="AJ96" s="16">
        <v>10.9</v>
      </c>
      <c r="AK96" s="16">
        <v>9.8000000000000007</v>
      </c>
      <c r="AL96" s="16">
        <v>13.9</v>
      </c>
      <c r="AM96" s="16">
        <v>7.7</v>
      </c>
    </row>
    <row r="97" spans="1:39" x14ac:dyDescent="0.25">
      <c r="A97" s="18">
        <f t="shared" si="1"/>
        <v>2020</v>
      </c>
      <c r="B97" s="16">
        <v>15.5</v>
      </c>
      <c r="C97" s="16">
        <v>7.2</v>
      </c>
      <c r="D97" s="16">
        <v>11.4</v>
      </c>
      <c r="E97" s="16">
        <v>5.6</v>
      </c>
      <c r="F97" s="16">
        <v>22</v>
      </c>
      <c r="G97" s="16">
        <v>5.8</v>
      </c>
      <c r="H97" s="16">
        <v>14.1</v>
      </c>
      <c r="I97" s="16">
        <v>6.6</v>
      </c>
      <c r="J97" s="16">
        <v>16.399999999999999</v>
      </c>
      <c r="K97" s="16">
        <v>7.5</v>
      </c>
      <c r="L97" s="16">
        <v>13</v>
      </c>
      <c r="M97" s="16">
        <v>7.5</v>
      </c>
      <c r="N97" s="16">
        <v>21</v>
      </c>
      <c r="O97" s="16">
        <v>6.1</v>
      </c>
      <c r="P97" s="16">
        <v>16.600000000000001</v>
      </c>
      <c r="Q97" s="16">
        <v>7.4</v>
      </c>
      <c r="R97" s="16">
        <v>22</v>
      </c>
      <c r="S97" s="16">
        <v>10.8</v>
      </c>
      <c r="T97" s="16">
        <v>16.3</v>
      </c>
      <c r="U97" s="16">
        <v>8.6</v>
      </c>
      <c r="V97" s="16">
        <v>10.1</v>
      </c>
      <c r="W97" s="16">
        <v>7.4</v>
      </c>
      <c r="X97" s="16">
        <v>11.8</v>
      </c>
      <c r="Y97" s="16">
        <v>8.5</v>
      </c>
      <c r="Z97" s="16">
        <v>16.600000000000001</v>
      </c>
      <c r="AA97" s="16">
        <v>8.4</v>
      </c>
      <c r="AB97" s="16">
        <v>9.3000000000000007</v>
      </c>
      <c r="AC97" s="16">
        <v>10.4</v>
      </c>
      <c r="AD97" s="16">
        <v>16.7</v>
      </c>
      <c r="AE97" s="16">
        <v>5.9</v>
      </c>
      <c r="AF97" s="16">
        <v>19</v>
      </c>
      <c r="AG97" s="16">
        <v>6.5</v>
      </c>
      <c r="AH97" s="16">
        <v>22.8</v>
      </c>
      <c r="AI97" s="16">
        <v>5.0999999999999996</v>
      </c>
      <c r="AJ97" s="16">
        <v>10.4</v>
      </c>
      <c r="AK97" s="16">
        <v>9.1999999999999993</v>
      </c>
      <c r="AL97" s="16">
        <v>11.8</v>
      </c>
      <c r="AM97" s="16">
        <v>8.5</v>
      </c>
    </row>
    <row r="98" spans="1:39" x14ac:dyDescent="0.25">
      <c r="A98" s="18">
        <f t="shared" si="1"/>
        <v>2021</v>
      </c>
      <c r="B98" s="16">
        <v>15.2</v>
      </c>
      <c r="C98" s="16">
        <v>7.9</v>
      </c>
      <c r="D98" s="16">
        <v>10.5</v>
      </c>
      <c r="E98" s="16">
        <v>6.6</v>
      </c>
      <c r="F98" s="16">
        <v>21.4</v>
      </c>
      <c r="G98" s="16">
        <v>6.9</v>
      </c>
      <c r="H98" s="16">
        <v>13.9</v>
      </c>
      <c r="I98" s="16">
        <v>7.9</v>
      </c>
      <c r="J98" s="16">
        <v>15.9</v>
      </c>
      <c r="K98" s="16">
        <v>7.1</v>
      </c>
      <c r="L98" s="16">
        <v>12.8</v>
      </c>
      <c r="M98" s="16">
        <v>8.4</v>
      </c>
      <c r="N98" s="16">
        <v>20.7</v>
      </c>
      <c r="O98" s="16">
        <v>8.9</v>
      </c>
      <c r="P98" s="16">
        <v>16.399999999999999</v>
      </c>
      <c r="Q98" s="16">
        <v>9.3000000000000007</v>
      </c>
      <c r="R98" s="16">
        <v>21.8</v>
      </c>
      <c r="S98" s="16">
        <v>11.8</v>
      </c>
      <c r="T98" s="16">
        <v>16.2</v>
      </c>
      <c r="U98" s="16">
        <v>8.6999999999999993</v>
      </c>
      <c r="V98" s="16">
        <v>9.1</v>
      </c>
      <c r="W98" s="16">
        <v>7.7</v>
      </c>
      <c r="X98" s="16">
        <v>11.7</v>
      </c>
      <c r="Y98" s="16">
        <v>9.6999999999999993</v>
      </c>
      <c r="Z98" s="16">
        <v>16.399999999999999</v>
      </c>
      <c r="AA98" s="16">
        <v>9</v>
      </c>
      <c r="AB98" s="16">
        <v>8.8000000000000007</v>
      </c>
      <c r="AC98" s="16">
        <v>15.3</v>
      </c>
      <c r="AD98" s="16">
        <v>16.399999999999999</v>
      </c>
      <c r="AE98" s="16">
        <v>5.6</v>
      </c>
      <c r="AF98" s="16">
        <v>18.600000000000001</v>
      </c>
      <c r="AG98" s="16">
        <v>7</v>
      </c>
      <c r="AH98" s="16">
        <v>22.5</v>
      </c>
      <c r="AI98" s="16">
        <v>5.7</v>
      </c>
      <c r="AJ98" s="16">
        <v>10.1</v>
      </c>
      <c r="AK98" s="16">
        <v>11.7</v>
      </c>
      <c r="AL98" s="16">
        <v>11.7</v>
      </c>
      <c r="AM98" s="16">
        <v>9.6999999999999993</v>
      </c>
    </row>
    <row r="99" spans="1:39" x14ac:dyDescent="0.25">
      <c r="A99" s="18">
        <f t="shared" si="1"/>
        <v>2022</v>
      </c>
      <c r="B99" s="16">
        <v>15</v>
      </c>
      <c r="C99" s="16">
        <v>7.3</v>
      </c>
      <c r="D99" s="16">
        <v>10.3</v>
      </c>
      <c r="E99" s="16">
        <v>6.1</v>
      </c>
      <c r="F99" s="16">
        <v>21.1</v>
      </c>
      <c r="G99" s="16">
        <v>5.3</v>
      </c>
      <c r="H99" s="16">
        <v>13.7</v>
      </c>
      <c r="I99" s="16">
        <v>5.9</v>
      </c>
      <c r="J99" s="16">
        <v>15.4</v>
      </c>
      <c r="K99" s="16">
        <v>5.4</v>
      </c>
      <c r="L99" s="16">
        <v>12.6</v>
      </c>
      <c r="M99" s="16">
        <v>7.5</v>
      </c>
      <c r="N99" s="16">
        <v>20.399999999999999</v>
      </c>
      <c r="O99" s="16">
        <v>6.4</v>
      </c>
      <c r="P99" s="16">
        <v>16.2</v>
      </c>
      <c r="Q99" s="16">
        <v>6.4</v>
      </c>
      <c r="R99" s="16">
        <v>21.6</v>
      </c>
      <c r="S99" s="16">
        <v>7.7</v>
      </c>
      <c r="T99" s="16">
        <v>15.9</v>
      </c>
      <c r="U99" s="16">
        <v>7.5</v>
      </c>
      <c r="V99" s="16">
        <v>9.6999999999999993</v>
      </c>
      <c r="W99" s="16">
        <v>7.6</v>
      </c>
      <c r="X99" s="16">
        <v>10.9</v>
      </c>
      <c r="Y99" s="16">
        <v>8.8000000000000007</v>
      </c>
      <c r="Z99" s="16">
        <v>16</v>
      </c>
      <c r="AA99" s="16">
        <v>6.5</v>
      </c>
      <c r="AB99" s="16">
        <v>8.6999999999999993</v>
      </c>
      <c r="AC99" s="16">
        <v>10.3</v>
      </c>
      <c r="AD99" s="16">
        <v>16.2</v>
      </c>
      <c r="AE99" s="16">
        <v>4.8</v>
      </c>
      <c r="AF99" s="16">
        <v>18.3</v>
      </c>
      <c r="AG99" s="16">
        <v>5.9</v>
      </c>
      <c r="AH99" s="16">
        <v>22.2</v>
      </c>
      <c r="AI99" s="16">
        <v>4.4000000000000004</v>
      </c>
      <c r="AJ99" s="16">
        <v>10</v>
      </c>
      <c r="AK99" s="16">
        <v>10.8</v>
      </c>
      <c r="AL99" s="16">
        <v>10.9</v>
      </c>
      <c r="AM99" s="16">
        <v>8.8000000000000007</v>
      </c>
    </row>
    <row r="100" spans="1:39" x14ac:dyDescent="0.25">
      <c r="A100" s="18">
        <f t="shared" si="1"/>
        <v>2023</v>
      </c>
      <c r="B100" s="16">
        <v>15.1</v>
      </c>
      <c r="C100" s="16">
        <v>7.6</v>
      </c>
      <c r="D100" s="16">
        <v>10.199999999999999</v>
      </c>
      <c r="E100" s="16">
        <v>5.5</v>
      </c>
      <c r="F100" s="16">
        <v>20.8</v>
      </c>
      <c r="G100" s="16">
        <v>4.8</v>
      </c>
      <c r="H100" s="16">
        <v>13.5</v>
      </c>
      <c r="I100" s="16">
        <v>5.4</v>
      </c>
      <c r="J100" s="16">
        <v>15</v>
      </c>
      <c r="K100" s="16">
        <v>5.0999999999999996</v>
      </c>
      <c r="L100" s="16">
        <v>12.3</v>
      </c>
      <c r="M100" s="16">
        <v>7.1</v>
      </c>
      <c r="N100" s="16">
        <v>20</v>
      </c>
      <c r="O100" s="16">
        <v>5.7</v>
      </c>
      <c r="P100" s="16">
        <v>15.9</v>
      </c>
      <c r="Q100" s="16">
        <v>5.5</v>
      </c>
      <c r="R100" s="16">
        <v>21.2</v>
      </c>
      <c r="S100" s="16">
        <v>7.2</v>
      </c>
      <c r="T100" s="16">
        <v>15.8</v>
      </c>
      <c r="U100" s="16">
        <v>7.5</v>
      </c>
      <c r="V100" s="16">
        <v>9</v>
      </c>
      <c r="W100" s="16">
        <v>6.5</v>
      </c>
      <c r="X100" s="16">
        <v>11.1</v>
      </c>
      <c r="Y100" s="16">
        <v>7.7</v>
      </c>
      <c r="Z100" s="16">
        <v>15.7</v>
      </c>
      <c r="AA100" s="16">
        <v>6.2</v>
      </c>
      <c r="AB100" s="16">
        <v>8.6999999999999993</v>
      </c>
      <c r="AC100" s="16">
        <v>10.1</v>
      </c>
      <c r="AD100" s="16">
        <v>16</v>
      </c>
      <c r="AE100" s="16">
        <v>4.8</v>
      </c>
      <c r="AF100" s="16">
        <v>17.899999999999999</v>
      </c>
      <c r="AG100" s="16">
        <v>6.3</v>
      </c>
      <c r="AH100" s="16">
        <v>22</v>
      </c>
      <c r="AI100" s="16">
        <v>4.5</v>
      </c>
      <c r="AJ100" s="16">
        <v>9.9</v>
      </c>
      <c r="AK100" s="16">
        <v>9.8000000000000007</v>
      </c>
      <c r="AL100" s="16">
        <v>11.1</v>
      </c>
      <c r="AM100" s="16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H18" activePane="bottomRight" state="frozen"/>
      <selection pane="topRight" activeCell="B1" sqref="B1"/>
      <selection pane="bottomLeft" activeCell="A3" sqref="A3"/>
      <selection pane="bottomRight" activeCell="AG82" sqref="AG82"/>
    </sheetView>
  </sheetViews>
  <sheetFormatPr defaultRowHeight="15" x14ac:dyDescent="0.25"/>
  <sheetData>
    <row r="1" spans="1:39" x14ac:dyDescent="0.25">
      <c r="A1" s="24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25" t="s">
        <v>34</v>
      </c>
      <c r="AG1" s="25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25">
      <c r="A2" s="26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25">
      <c r="A3" s="1">
        <v>1850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>
        <v>43.9</v>
      </c>
      <c r="W3" s="16">
        <v>35</v>
      </c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 spans="1:39" x14ac:dyDescent="0.25">
      <c r="A4" s="1">
        <v>1851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>
        <v>44</v>
      </c>
      <c r="W4" s="16">
        <v>35</v>
      </c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 spans="1:39" x14ac:dyDescent="0.25">
      <c r="A5" s="1">
        <v>1852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>
        <v>44.4</v>
      </c>
      <c r="W5" s="16">
        <v>35</v>
      </c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spans="1:39" x14ac:dyDescent="0.25">
      <c r="A6" s="22">
        <v>1853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>
        <v>45</v>
      </c>
      <c r="W6" s="16">
        <v>35</v>
      </c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 spans="1:39" x14ac:dyDescent="0.25">
      <c r="A7" s="22">
        <v>1854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>
        <v>45.7</v>
      </c>
      <c r="W7" s="16">
        <v>34.9</v>
      </c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 spans="1:39" x14ac:dyDescent="0.25">
      <c r="A8" s="22">
        <v>1855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>
        <v>46.6</v>
      </c>
      <c r="W8" s="16">
        <v>34.9</v>
      </c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 spans="1:39" x14ac:dyDescent="0.25">
      <c r="A9" s="22">
        <v>1856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>
        <v>47.3</v>
      </c>
      <c r="W9" s="16">
        <v>34.799999999999997</v>
      </c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 spans="1:39" x14ac:dyDescent="0.25">
      <c r="A10" s="22">
        <v>1857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>
        <v>47.7</v>
      </c>
      <c r="W10" s="16">
        <v>34.700000000000003</v>
      </c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spans="1:39" x14ac:dyDescent="0.25">
      <c r="A11" s="22">
        <v>1858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>
        <v>47.9</v>
      </c>
      <c r="W11" s="16">
        <v>34.6</v>
      </c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</row>
    <row r="12" spans="1:39" x14ac:dyDescent="0.25">
      <c r="A12" s="22">
        <v>1859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>
        <v>47.9</v>
      </c>
      <c r="W12" s="16">
        <v>34.5</v>
      </c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</row>
    <row r="13" spans="1:39" x14ac:dyDescent="0.25">
      <c r="A13" s="22">
        <v>1860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>
        <v>47.5</v>
      </c>
      <c r="W13" s="16">
        <v>34.4</v>
      </c>
      <c r="X13" s="16">
        <v>46.8</v>
      </c>
      <c r="Y13" s="16">
        <v>31.7</v>
      </c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</row>
    <row r="14" spans="1:39" x14ac:dyDescent="0.25">
      <c r="A14" s="22">
        <v>1861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>
        <v>47.2</v>
      </c>
      <c r="W14" s="16">
        <v>34.299999999999997</v>
      </c>
      <c r="X14" s="16">
        <v>46.8</v>
      </c>
      <c r="Y14" s="16">
        <v>31.7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</row>
    <row r="15" spans="1:39" x14ac:dyDescent="0.25">
      <c r="A15" s="22">
        <v>1862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>
        <v>46.9</v>
      </c>
      <c r="W15" s="16">
        <v>34.200000000000003</v>
      </c>
      <c r="X15" s="16">
        <v>46.8</v>
      </c>
      <c r="Y15" s="16">
        <v>31.7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</row>
    <row r="16" spans="1:39" x14ac:dyDescent="0.25">
      <c r="A16" s="22">
        <v>1863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>
        <v>46.6</v>
      </c>
      <c r="W16" s="16">
        <v>34.299999999999997</v>
      </c>
      <c r="X16" s="16">
        <v>46.8</v>
      </c>
      <c r="Y16" s="16">
        <v>31.7</v>
      </c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</row>
    <row r="17" spans="1:39" x14ac:dyDescent="0.25">
      <c r="A17" s="22">
        <v>1864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>
        <v>46.3</v>
      </c>
      <c r="W17" s="16">
        <v>34.299999999999997</v>
      </c>
      <c r="X17" s="16">
        <v>46.8</v>
      </c>
      <c r="Y17" s="16">
        <v>31.6</v>
      </c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x14ac:dyDescent="0.25">
      <c r="A18" s="22">
        <v>1865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>
        <v>46</v>
      </c>
      <c r="W18" s="16">
        <v>34.5</v>
      </c>
      <c r="X18" s="16">
        <v>46.8</v>
      </c>
      <c r="Y18" s="16">
        <v>31.6</v>
      </c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</row>
    <row r="19" spans="1:39" x14ac:dyDescent="0.25">
      <c r="A19" s="22">
        <v>1866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>
        <v>45.9</v>
      </c>
      <c r="W19" s="16">
        <v>34.5</v>
      </c>
      <c r="X19" s="16">
        <v>46.8</v>
      </c>
      <c r="Y19" s="16">
        <v>31.5</v>
      </c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</row>
    <row r="20" spans="1:39" x14ac:dyDescent="0.25">
      <c r="A20" s="22">
        <v>1867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>
        <v>46</v>
      </c>
      <c r="W20" s="16">
        <v>34.6</v>
      </c>
      <c r="X20" s="16">
        <v>46.7</v>
      </c>
      <c r="Y20" s="16">
        <v>31.4</v>
      </c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</row>
    <row r="21" spans="1:39" x14ac:dyDescent="0.25">
      <c r="A21" s="22">
        <v>1868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>
        <v>46.3</v>
      </c>
      <c r="W21" s="16">
        <v>34.5</v>
      </c>
      <c r="X21" s="16">
        <v>46.7</v>
      </c>
      <c r="Y21" s="16">
        <v>31.3</v>
      </c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</row>
    <row r="22" spans="1:39" x14ac:dyDescent="0.25">
      <c r="A22" s="22">
        <v>1869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>
        <v>46.9</v>
      </c>
      <c r="W22" s="16">
        <v>34.4</v>
      </c>
      <c r="X22" s="16">
        <v>46.6</v>
      </c>
      <c r="Y22" s="16">
        <v>31.2</v>
      </c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</row>
    <row r="23" spans="1:39" x14ac:dyDescent="0.25">
      <c r="A23" s="22">
        <v>1870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>
        <v>47.6</v>
      </c>
      <c r="W23" s="16">
        <v>34.299999999999997</v>
      </c>
      <c r="X23" s="16">
        <v>46.4</v>
      </c>
      <c r="Y23" s="16">
        <v>31</v>
      </c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</row>
    <row r="24" spans="1:39" x14ac:dyDescent="0.25">
      <c r="A24" s="22">
        <v>1871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>
        <v>48</v>
      </c>
      <c r="W24" s="16">
        <v>34.1</v>
      </c>
      <c r="X24" s="16">
        <v>46.3</v>
      </c>
      <c r="Y24" s="16">
        <v>30.8</v>
      </c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</row>
    <row r="25" spans="1:39" x14ac:dyDescent="0.25">
      <c r="A25" s="22">
        <v>1872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>
        <v>47.9</v>
      </c>
      <c r="W25" s="16">
        <v>34</v>
      </c>
      <c r="X25" s="16">
        <v>46.2</v>
      </c>
      <c r="Y25" s="16">
        <v>30.7</v>
      </c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</row>
    <row r="26" spans="1:39" x14ac:dyDescent="0.25">
      <c r="A26" s="22">
        <v>1873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>
        <v>47.5</v>
      </c>
      <c r="W26" s="16">
        <v>33.9</v>
      </c>
      <c r="X26" s="16">
        <v>46.1</v>
      </c>
      <c r="Y26" s="16">
        <v>30.6</v>
      </c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</row>
    <row r="27" spans="1:39" x14ac:dyDescent="0.25">
      <c r="A27" s="22">
        <v>1874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>
        <v>46.6</v>
      </c>
      <c r="W27" s="16">
        <v>33.799999999999997</v>
      </c>
      <c r="X27" s="16">
        <v>46</v>
      </c>
      <c r="Y27" s="16">
        <v>30.4</v>
      </c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</row>
    <row r="28" spans="1:39" x14ac:dyDescent="0.25">
      <c r="A28" s="22">
        <v>1875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>
        <v>45.3</v>
      </c>
      <c r="W28" s="16">
        <v>33.700000000000003</v>
      </c>
      <c r="X28" s="16">
        <v>45.9</v>
      </c>
      <c r="Y28" s="16">
        <v>30.3</v>
      </c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</row>
    <row r="29" spans="1:39" x14ac:dyDescent="0.25">
      <c r="A29" s="22">
        <v>1876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>
        <v>44.6</v>
      </c>
      <c r="W29" s="16">
        <v>33.700000000000003</v>
      </c>
      <c r="X29" s="16">
        <v>45.7</v>
      </c>
      <c r="Y29" s="16">
        <v>30.2</v>
      </c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</row>
    <row r="30" spans="1:39" x14ac:dyDescent="0.25">
      <c r="A30" s="22">
        <v>1877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>
        <v>44.4</v>
      </c>
      <c r="W30" s="16">
        <v>33.700000000000003</v>
      </c>
      <c r="X30" s="16">
        <v>45.6</v>
      </c>
      <c r="Y30" s="16">
        <v>30</v>
      </c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</row>
    <row r="31" spans="1:39" x14ac:dyDescent="0.25">
      <c r="A31" s="22">
        <v>1878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>
        <v>44.7</v>
      </c>
      <c r="W31" s="16">
        <v>33.700000000000003</v>
      </c>
      <c r="X31" s="16">
        <v>45.5</v>
      </c>
      <c r="Y31" s="16">
        <v>29.9</v>
      </c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</row>
    <row r="32" spans="1:39" x14ac:dyDescent="0.25">
      <c r="A32" s="22">
        <v>1879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>
        <v>45.5</v>
      </c>
      <c r="W32" s="16">
        <v>33.799999999999997</v>
      </c>
      <c r="X32" s="16">
        <v>45.3</v>
      </c>
      <c r="Y32" s="16">
        <v>29.7</v>
      </c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</row>
    <row r="33" spans="1:39" x14ac:dyDescent="0.25">
      <c r="A33" s="22">
        <v>1880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>
        <v>46.9</v>
      </c>
      <c r="W33" s="16">
        <v>33.9</v>
      </c>
      <c r="X33" s="16">
        <v>45.2</v>
      </c>
      <c r="Y33" s="16">
        <v>29.5</v>
      </c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>
        <v>48.2</v>
      </c>
      <c r="AM33" s="16">
        <v>25.2</v>
      </c>
    </row>
    <row r="34" spans="1:39" x14ac:dyDescent="0.25">
      <c r="A34" s="22">
        <v>1881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>
        <v>47.9</v>
      </c>
      <c r="W34" s="16">
        <v>34</v>
      </c>
      <c r="X34" s="16">
        <v>45</v>
      </c>
      <c r="Y34" s="16">
        <v>29.3</v>
      </c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>
        <v>48.2</v>
      </c>
      <c r="AM34" s="16">
        <v>25.1</v>
      </c>
    </row>
    <row r="35" spans="1:39" x14ac:dyDescent="0.25">
      <c r="A35" s="22">
        <v>1882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>
        <v>48.4</v>
      </c>
      <c r="W35" s="16">
        <v>34</v>
      </c>
      <c r="X35" s="16">
        <v>45</v>
      </c>
      <c r="Y35" s="16">
        <v>29.1</v>
      </c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>
        <v>48.1</v>
      </c>
      <c r="AM35" s="16">
        <v>25</v>
      </c>
    </row>
    <row r="36" spans="1:39" x14ac:dyDescent="0.25">
      <c r="A36" s="22">
        <v>1883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>
        <v>48.5</v>
      </c>
      <c r="W36" s="16">
        <v>33.9</v>
      </c>
      <c r="X36" s="16">
        <v>44.9</v>
      </c>
      <c r="Y36" s="16">
        <v>28.9</v>
      </c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>
        <v>48.1</v>
      </c>
      <c r="AM36" s="16">
        <v>24.9</v>
      </c>
    </row>
    <row r="37" spans="1:39" x14ac:dyDescent="0.25">
      <c r="A37" s="22">
        <v>1884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>
        <v>48.2</v>
      </c>
      <c r="W37" s="16">
        <v>33.700000000000003</v>
      </c>
      <c r="X37" s="16">
        <v>44.9</v>
      </c>
      <c r="Y37" s="16">
        <v>28.7</v>
      </c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>
        <v>48</v>
      </c>
      <c r="AM37" s="16">
        <v>24.8</v>
      </c>
    </row>
    <row r="38" spans="1:39" x14ac:dyDescent="0.25">
      <c r="A38" s="22">
        <v>1885</v>
      </c>
      <c r="B38" s="16">
        <v>44</v>
      </c>
      <c r="C38" s="16">
        <v>33.5</v>
      </c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>
        <v>47.5</v>
      </c>
      <c r="W38" s="16">
        <v>33.5</v>
      </c>
      <c r="X38" s="16">
        <v>45</v>
      </c>
      <c r="Y38" s="16">
        <v>28.4</v>
      </c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>
        <v>47.9</v>
      </c>
      <c r="AM38" s="16">
        <v>24.6</v>
      </c>
    </row>
    <row r="39" spans="1:39" x14ac:dyDescent="0.25">
      <c r="A39" s="22">
        <v>1886</v>
      </c>
      <c r="B39" s="16">
        <v>44.1</v>
      </c>
      <c r="C39" s="16">
        <v>33.200000000000003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>
        <v>46.9</v>
      </c>
      <c r="W39" s="16">
        <v>33.299999999999997</v>
      </c>
      <c r="X39" s="16">
        <v>44.9</v>
      </c>
      <c r="Y39" s="16">
        <v>28.1</v>
      </c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>
        <v>47.8</v>
      </c>
      <c r="AM39" s="16">
        <v>24.4</v>
      </c>
    </row>
    <row r="40" spans="1:39" x14ac:dyDescent="0.25">
      <c r="A40" s="22">
        <v>1887</v>
      </c>
      <c r="B40" s="16">
        <v>44.3</v>
      </c>
      <c r="C40" s="16">
        <v>32.6</v>
      </c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>
        <v>46.5</v>
      </c>
      <c r="W40" s="16">
        <v>33.200000000000003</v>
      </c>
      <c r="X40" s="16">
        <v>44.7</v>
      </c>
      <c r="Y40" s="16">
        <v>27.7</v>
      </c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>
        <v>47.7</v>
      </c>
      <c r="AM40" s="16">
        <v>24.2</v>
      </c>
    </row>
    <row r="41" spans="1:39" x14ac:dyDescent="0.25">
      <c r="A41" s="22">
        <v>1888</v>
      </c>
      <c r="B41" s="16">
        <v>44.6</v>
      </c>
      <c r="C41" s="16">
        <v>31.7</v>
      </c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>
        <v>46.2</v>
      </c>
      <c r="W41" s="16">
        <v>33.200000000000003</v>
      </c>
      <c r="X41" s="16">
        <v>44.4</v>
      </c>
      <c r="Y41" s="16">
        <v>27.2</v>
      </c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>
        <v>47.6</v>
      </c>
      <c r="AM41" s="16">
        <v>24</v>
      </c>
    </row>
    <row r="42" spans="1:39" x14ac:dyDescent="0.25">
      <c r="A42" s="22">
        <v>1889</v>
      </c>
      <c r="B42" s="16">
        <v>45</v>
      </c>
      <c r="C42" s="16">
        <v>30.6</v>
      </c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>
        <v>46.1</v>
      </c>
      <c r="W42" s="16">
        <v>33.200000000000003</v>
      </c>
      <c r="X42" s="16">
        <v>44</v>
      </c>
      <c r="Y42" s="16">
        <v>26.6</v>
      </c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>
        <v>47.5</v>
      </c>
      <c r="AM42" s="16">
        <v>23.9</v>
      </c>
    </row>
    <row r="43" spans="1:39" x14ac:dyDescent="0.25">
      <c r="A43" s="22">
        <v>1890</v>
      </c>
      <c r="B43" s="16">
        <v>45.5</v>
      </c>
      <c r="C43" s="16">
        <v>29.2</v>
      </c>
      <c r="D43" s="16">
        <v>45.8</v>
      </c>
      <c r="E43" s="16">
        <v>28.8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>
        <v>46.1</v>
      </c>
      <c r="W43" s="16">
        <v>33.299999999999997</v>
      </c>
      <c r="X43" s="16">
        <v>43.5</v>
      </c>
      <c r="Y43" s="16">
        <v>26</v>
      </c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>
        <v>47.5</v>
      </c>
      <c r="AM43" s="16">
        <v>23.7</v>
      </c>
    </row>
    <row r="44" spans="1:39" x14ac:dyDescent="0.25">
      <c r="A44" s="22">
        <v>1891</v>
      </c>
      <c r="B44" s="16">
        <v>45.8</v>
      </c>
      <c r="C44" s="16">
        <v>28.3</v>
      </c>
      <c r="D44" s="16">
        <v>45.9</v>
      </c>
      <c r="E44" s="16">
        <v>28.8</v>
      </c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>
        <v>46.1</v>
      </c>
      <c r="W44" s="16">
        <v>33.200000000000003</v>
      </c>
      <c r="X44" s="16">
        <v>43.1</v>
      </c>
      <c r="Y44" s="16">
        <v>25.4</v>
      </c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>
        <v>47.4</v>
      </c>
      <c r="AM44" s="16">
        <v>23.6</v>
      </c>
    </row>
    <row r="45" spans="1:39" x14ac:dyDescent="0.25">
      <c r="A45" s="22">
        <v>1892</v>
      </c>
      <c r="B45" s="16">
        <v>45.8</v>
      </c>
      <c r="C45" s="16">
        <v>27.8</v>
      </c>
      <c r="D45" s="16">
        <v>46</v>
      </c>
      <c r="E45" s="16">
        <v>28.9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>
        <v>46</v>
      </c>
      <c r="W45" s="16">
        <v>32.9</v>
      </c>
      <c r="X45" s="16">
        <v>42.8</v>
      </c>
      <c r="Y45" s="16">
        <v>25</v>
      </c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>
        <v>47.2</v>
      </c>
      <c r="AM45" s="16">
        <v>23.3</v>
      </c>
    </row>
    <row r="46" spans="1:39" x14ac:dyDescent="0.25">
      <c r="A46" s="22">
        <v>1893</v>
      </c>
      <c r="B46" s="16">
        <v>45.5</v>
      </c>
      <c r="C46" s="16">
        <v>27.7</v>
      </c>
      <c r="D46" s="16">
        <v>46.1</v>
      </c>
      <c r="E46" s="16">
        <v>29</v>
      </c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>
        <v>45.8</v>
      </c>
      <c r="W46" s="16">
        <v>32.4</v>
      </c>
      <c r="X46" s="16">
        <v>42.6</v>
      </c>
      <c r="Y46" s="16">
        <v>24.7</v>
      </c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>
        <v>47.1</v>
      </c>
      <c r="AM46" s="16">
        <v>23.1</v>
      </c>
    </row>
    <row r="47" spans="1:39" x14ac:dyDescent="0.25">
      <c r="A47" s="22">
        <v>1894</v>
      </c>
      <c r="B47" s="16">
        <v>45</v>
      </c>
      <c r="C47" s="16">
        <v>28</v>
      </c>
      <c r="D47" s="16">
        <v>46.3</v>
      </c>
      <c r="E47" s="16">
        <v>29.1</v>
      </c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>
        <v>45.6</v>
      </c>
      <c r="W47" s="16">
        <v>31.8</v>
      </c>
      <c r="X47" s="16">
        <v>42.6</v>
      </c>
      <c r="Y47" s="16">
        <v>24.5</v>
      </c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>
        <v>46.9</v>
      </c>
      <c r="AM47" s="16">
        <v>22.8</v>
      </c>
    </row>
    <row r="48" spans="1:39" x14ac:dyDescent="0.25">
      <c r="A48" s="22">
        <v>1895</v>
      </c>
      <c r="B48" s="16">
        <v>44.3</v>
      </c>
      <c r="C48" s="16">
        <v>28.8</v>
      </c>
      <c r="D48" s="16">
        <v>46.5</v>
      </c>
      <c r="E48" s="16">
        <v>29.3</v>
      </c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>
        <v>45.3</v>
      </c>
      <c r="W48" s="16">
        <v>30.9</v>
      </c>
      <c r="X48" s="16">
        <v>42.6</v>
      </c>
      <c r="Y48" s="16">
        <v>24.4</v>
      </c>
      <c r="Z48" s="16">
        <v>47.5</v>
      </c>
      <c r="AA48" s="16">
        <v>34.4</v>
      </c>
      <c r="AB48" s="16"/>
      <c r="AC48" s="16"/>
      <c r="AD48" s="16"/>
      <c r="AE48" s="16"/>
      <c r="AF48" s="16"/>
      <c r="AG48" s="16"/>
      <c r="AH48" s="16"/>
      <c r="AI48" s="16"/>
      <c r="AJ48" s="16">
        <v>44.5</v>
      </c>
      <c r="AK48" s="16">
        <v>15.1</v>
      </c>
      <c r="AL48" s="16">
        <v>46.7</v>
      </c>
      <c r="AM48" s="16">
        <v>22.5</v>
      </c>
    </row>
    <row r="49" spans="1:39" x14ac:dyDescent="0.25">
      <c r="A49" s="22">
        <v>1896</v>
      </c>
      <c r="B49" s="16">
        <v>43.6</v>
      </c>
      <c r="C49" s="16">
        <v>29.3</v>
      </c>
      <c r="D49" s="16">
        <v>46.6</v>
      </c>
      <c r="E49" s="16">
        <v>29.4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>
        <v>45.1</v>
      </c>
      <c r="W49" s="16">
        <v>30.4</v>
      </c>
      <c r="X49" s="16">
        <v>42.6</v>
      </c>
      <c r="Y49" s="16">
        <v>24.2</v>
      </c>
      <c r="Z49" s="16">
        <v>47.5</v>
      </c>
      <c r="AA49" s="16">
        <v>34.4</v>
      </c>
      <c r="AB49" s="16"/>
      <c r="AC49" s="16"/>
      <c r="AD49" s="16"/>
      <c r="AE49" s="16"/>
      <c r="AF49" s="16"/>
      <c r="AG49" s="16"/>
      <c r="AH49" s="16"/>
      <c r="AI49" s="16"/>
      <c r="AJ49" s="16">
        <v>44.2</v>
      </c>
      <c r="AK49" s="16">
        <v>15</v>
      </c>
      <c r="AL49" s="16">
        <v>46.4</v>
      </c>
      <c r="AM49" s="16">
        <v>22.2</v>
      </c>
    </row>
    <row r="50" spans="1:39" x14ac:dyDescent="0.25">
      <c r="A50" s="22">
        <v>1897</v>
      </c>
      <c r="B50" s="16">
        <v>43</v>
      </c>
      <c r="C50" s="16">
        <v>29.6</v>
      </c>
      <c r="D50" s="16">
        <v>46.8</v>
      </c>
      <c r="E50" s="16">
        <v>29.4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>
        <v>45</v>
      </c>
      <c r="W50" s="16">
        <v>30.1</v>
      </c>
      <c r="X50" s="16">
        <v>42.5</v>
      </c>
      <c r="Y50" s="16">
        <v>23.9</v>
      </c>
      <c r="Z50" s="16">
        <v>47.4</v>
      </c>
      <c r="AA50" s="16">
        <v>34.4</v>
      </c>
      <c r="AB50" s="16"/>
      <c r="AC50" s="16"/>
      <c r="AD50" s="16"/>
      <c r="AE50" s="16"/>
      <c r="AF50" s="16"/>
      <c r="AG50" s="16"/>
      <c r="AH50" s="16"/>
      <c r="AI50" s="16"/>
      <c r="AJ50" s="16">
        <v>43.7</v>
      </c>
      <c r="AK50" s="16">
        <v>14.9</v>
      </c>
      <c r="AL50" s="16">
        <v>46.1</v>
      </c>
      <c r="AM50" s="16">
        <v>21.8</v>
      </c>
    </row>
    <row r="51" spans="1:39" x14ac:dyDescent="0.25">
      <c r="A51" s="22">
        <v>1898</v>
      </c>
      <c r="B51" s="16">
        <v>42.5</v>
      </c>
      <c r="C51" s="16">
        <v>29.7</v>
      </c>
      <c r="D51" s="16">
        <v>46.8</v>
      </c>
      <c r="E51" s="16">
        <v>29.3</v>
      </c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>
        <v>44.8</v>
      </c>
      <c r="W51" s="16">
        <v>30</v>
      </c>
      <c r="X51" s="16">
        <v>42.3</v>
      </c>
      <c r="Y51" s="16">
        <v>23.5</v>
      </c>
      <c r="Z51" s="16">
        <v>47.2</v>
      </c>
      <c r="AA51" s="16">
        <v>34.4</v>
      </c>
      <c r="AB51" s="16"/>
      <c r="AC51" s="16"/>
      <c r="AD51" s="16"/>
      <c r="AE51" s="16"/>
      <c r="AF51" s="16"/>
      <c r="AG51" s="16"/>
      <c r="AH51" s="16"/>
      <c r="AI51" s="16"/>
      <c r="AJ51" s="16">
        <v>42.9</v>
      </c>
      <c r="AK51" s="16">
        <v>14.7</v>
      </c>
      <c r="AL51" s="16">
        <v>45.8</v>
      </c>
      <c r="AM51" s="16">
        <v>21.5</v>
      </c>
    </row>
    <row r="52" spans="1:39" x14ac:dyDescent="0.25">
      <c r="A52" s="22">
        <v>1899</v>
      </c>
      <c r="B52" s="16">
        <v>42.1</v>
      </c>
      <c r="C52" s="16">
        <v>29.6</v>
      </c>
      <c r="D52" s="16">
        <v>46.8</v>
      </c>
      <c r="E52" s="16">
        <v>29.2</v>
      </c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>
        <v>44.8</v>
      </c>
      <c r="W52" s="16">
        <v>30.2</v>
      </c>
      <c r="X52" s="16">
        <v>42</v>
      </c>
      <c r="Y52" s="16">
        <v>23</v>
      </c>
      <c r="Z52" s="16">
        <v>47</v>
      </c>
      <c r="AA52" s="16">
        <v>34.4</v>
      </c>
      <c r="AB52" s="16"/>
      <c r="AC52" s="16"/>
      <c r="AD52" s="16"/>
      <c r="AE52" s="16"/>
      <c r="AF52" s="16"/>
      <c r="AG52" s="16"/>
      <c r="AH52" s="16"/>
      <c r="AI52" s="16"/>
      <c r="AJ52" s="16">
        <v>41.9</v>
      </c>
      <c r="AK52" s="16">
        <v>14.3</v>
      </c>
      <c r="AL52" s="16">
        <v>45.5</v>
      </c>
      <c r="AM52" s="16">
        <v>21.1</v>
      </c>
    </row>
    <row r="53" spans="1:39" x14ac:dyDescent="0.25">
      <c r="A53" s="22">
        <v>1900</v>
      </c>
      <c r="B53" s="16">
        <v>41.8</v>
      </c>
      <c r="C53" s="16">
        <v>29.2</v>
      </c>
      <c r="D53" s="16">
        <v>46.7</v>
      </c>
      <c r="E53" s="16">
        <v>28.9</v>
      </c>
      <c r="F53" s="16">
        <v>46.6</v>
      </c>
      <c r="G53" s="16">
        <v>35.5</v>
      </c>
      <c r="H53" s="16">
        <v>42.8</v>
      </c>
      <c r="I53" s="16">
        <v>26.5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>
        <v>44</v>
      </c>
      <c r="U53" s="16">
        <v>29.1</v>
      </c>
      <c r="V53" s="16">
        <v>44.7</v>
      </c>
      <c r="W53" s="16">
        <v>30.6</v>
      </c>
      <c r="X53" s="16">
        <v>41.7</v>
      </c>
      <c r="Y53" s="16">
        <v>22.4</v>
      </c>
      <c r="Z53" s="16">
        <v>46.8</v>
      </c>
      <c r="AA53" s="16">
        <v>34.299999999999997</v>
      </c>
      <c r="AB53" s="16">
        <v>43.8</v>
      </c>
      <c r="AC53" s="16">
        <v>23.7</v>
      </c>
      <c r="AD53" s="16">
        <v>40.5</v>
      </c>
      <c r="AE53" s="16">
        <v>21.3</v>
      </c>
      <c r="AF53" s="16"/>
      <c r="AG53" s="16"/>
      <c r="AH53" s="16"/>
      <c r="AI53" s="16"/>
      <c r="AJ53" s="16">
        <v>40.6</v>
      </c>
      <c r="AK53" s="16">
        <v>14</v>
      </c>
      <c r="AL53" s="16">
        <v>45.1</v>
      </c>
      <c r="AM53" s="16">
        <v>20.8</v>
      </c>
    </row>
    <row r="54" spans="1:39" x14ac:dyDescent="0.25">
      <c r="A54" s="22">
        <v>1901</v>
      </c>
      <c r="B54" s="16">
        <v>41.6</v>
      </c>
      <c r="C54" s="16">
        <v>29</v>
      </c>
      <c r="D54" s="16">
        <v>46.8</v>
      </c>
      <c r="E54" s="16">
        <v>28.8</v>
      </c>
      <c r="F54" s="16">
        <v>46.4</v>
      </c>
      <c r="G54" s="16">
        <v>35.5</v>
      </c>
      <c r="H54" s="16">
        <v>42.8</v>
      </c>
      <c r="I54" s="16">
        <v>26.5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>
        <v>43.9</v>
      </c>
      <c r="U54" s="16">
        <v>29.2</v>
      </c>
      <c r="V54" s="16">
        <v>44.7</v>
      </c>
      <c r="W54" s="16">
        <v>31.1</v>
      </c>
      <c r="X54" s="16">
        <v>41.4</v>
      </c>
      <c r="Y54" s="16">
        <v>21.9</v>
      </c>
      <c r="Z54" s="16">
        <v>46.6</v>
      </c>
      <c r="AA54" s="16">
        <v>34.1</v>
      </c>
      <c r="AB54" s="16">
        <v>44</v>
      </c>
      <c r="AC54" s="16">
        <v>23.7</v>
      </c>
      <c r="AD54" s="16">
        <v>40.5</v>
      </c>
      <c r="AE54" s="16">
        <v>21.2</v>
      </c>
      <c r="AF54" s="16"/>
      <c r="AG54" s="16"/>
      <c r="AH54" s="16"/>
      <c r="AI54" s="16"/>
      <c r="AJ54" s="16">
        <v>39.5</v>
      </c>
      <c r="AK54" s="16">
        <v>13.7</v>
      </c>
      <c r="AL54" s="16">
        <v>44.7</v>
      </c>
      <c r="AM54" s="16">
        <v>20.399999999999999</v>
      </c>
    </row>
    <row r="55" spans="1:39" x14ac:dyDescent="0.25">
      <c r="A55" s="22">
        <v>1902</v>
      </c>
      <c r="B55" s="16">
        <v>41.6</v>
      </c>
      <c r="C55" s="16">
        <v>28.9</v>
      </c>
      <c r="D55" s="16">
        <v>46.8</v>
      </c>
      <c r="E55" s="16">
        <v>28.7</v>
      </c>
      <c r="F55" s="16">
        <v>46</v>
      </c>
      <c r="G55" s="16">
        <v>35.4</v>
      </c>
      <c r="H55" s="16">
        <v>42.9</v>
      </c>
      <c r="I55" s="16">
        <v>26.6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>
        <v>43.9</v>
      </c>
      <c r="U55" s="16">
        <v>29.5</v>
      </c>
      <c r="V55" s="16">
        <v>44.7</v>
      </c>
      <c r="W55" s="16">
        <v>31.6</v>
      </c>
      <c r="X55" s="16">
        <v>41</v>
      </c>
      <c r="Y55" s="16">
        <v>21.5</v>
      </c>
      <c r="Z55" s="16">
        <v>46.4</v>
      </c>
      <c r="AA55" s="16">
        <v>33.6</v>
      </c>
      <c r="AB55" s="16">
        <v>44.4</v>
      </c>
      <c r="AC55" s="16">
        <v>23.7</v>
      </c>
      <c r="AD55" s="16">
        <v>40.4</v>
      </c>
      <c r="AE55" s="16">
        <v>21.1</v>
      </c>
      <c r="AF55" s="16"/>
      <c r="AG55" s="16"/>
      <c r="AH55" s="16"/>
      <c r="AI55" s="16"/>
      <c r="AJ55" s="16">
        <v>38.700000000000003</v>
      </c>
      <c r="AK55" s="16">
        <v>13.6</v>
      </c>
      <c r="AL55" s="16">
        <v>44.3</v>
      </c>
      <c r="AM55" s="16">
        <v>20</v>
      </c>
    </row>
    <row r="56" spans="1:39" x14ac:dyDescent="0.25">
      <c r="A56" s="22">
        <v>1903</v>
      </c>
      <c r="B56" s="16">
        <v>41.8</v>
      </c>
      <c r="C56" s="16">
        <v>29.1</v>
      </c>
      <c r="D56" s="16">
        <v>47</v>
      </c>
      <c r="E56" s="16">
        <v>28.7</v>
      </c>
      <c r="F56" s="16">
        <v>45.4</v>
      </c>
      <c r="G56" s="16">
        <v>35.299999999999997</v>
      </c>
      <c r="H56" s="16">
        <v>43.1</v>
      </c>
      <c r="I56" s="16">
        <v>26.6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>
        <v>43.7</v>
      </c>
      <c r="U56" s="16">
        <v>30</v>
      </c>
      <c r="V56" s="16">
        <v>44.7</v>
      </c>
      <c r="W56" s="16">
        <v>32.1</v>
      </c>
      <c r="X56" s="16">
        <v>40.700000000000003</v>
      </c>
      <c r="Y56" s="16">
        <v>21.2</v>
      </c>
      <c r="Z56" s="16">
        <v>46.4</v>
      </c>
      <c r="AA56" s="16">
        <v>33</v>
      </c>
      <c r="AB56" s="16">
        <v>45</v>
      </c>
      <c r="AC56" s="16">
        <v>23.7</v>
      </c>
      <c r="AD56" s="16">
        <v>40.200000000000003</v>
      </c>
      <c r="AE56" s="16">
        <v>20.9</v>
      </c>
      <c r="AF56" s="16"/>
      <c r="AG56" s="16"/>
      <c r="AH56" s="16"/>
      <c r="AI56" s="16"/>
      <c r="AJ56" s="16">
        <v>38.1</v>
      </c>
      <c r="AK56" s="16">
        <v>13.6</v>
      </c>
      <c r="AL56" s="16">
        <v>43.9</v>
      </c>
      <c r="AM56" s="16">
        <v>19.600000000000001</v>
      </c>
    </row>
    <row r="57" spans="1:39" x14ac:dyDescent="0.25">
      <c r="A57" s="22">
        <v>1904</v>
      </c>
      <c r="B57" s="16">
        <v>42.1</v>
      </c>
      <c r="C57" s="16">
        <v>29.4</v>
      </c>
      <c r="D57" s="16">
        <v>47.2</v>
      </c>
      <c r="E57" s="16">
        <v>28.8</v>
      </c>
      <c r="F57" s="16">
        <v>44.6</v>
      </c>
      <c r="G57" s="16">
        <v>35.200000000000003</v>
      </c>
      <c r="H57" s="16">
        <v>43.4</v>
      </c>
      <c r="I57" s="16">
        <v>26.7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>
        <v>43.5</v>
      </c>
      <c r="U57" s="16">
        <v>30.6</v>
      </c>
      <c r="V57" s="16">
        <v>44.7</v>
      </c>
      <c r="W57" s="16">
        <v>32.6</v>
      </c>
      <c r="X57" s="16">
        <v>40.299999999999997</v>
      </c>
      <c r="Y57" s="16">
        <v>21</v>
      </c>
      <c r="Z57" s="16">
        <v>46.4</v>
      </c>
      <c r="AA57" s="16">
        <v>32.1</v>
      </c>
      <c r="AB57" s="16">
        <v>45.8</v>
      </c>
      <c r="AC57" s="16">
        <v>23.8</v>
      </c>
      <c r="AD57" s="16">
        <v>40</v>
      </c>
      <c r="AE57" s="16">
        <v>20.5</v>
      </c>
      <c r="AF57" s="16"/>
      <c r="AG57" s="16"/>
      <c r="AH57" s="16"/>
      <c r="AI57" s="16"/>
      <c r="AJ57" s="16">
        <v>37.799999999999997</v>
      </c>
      <c r="AK57" s="16">
        <v>13.7</v>
      </c>
      <c r="AL57" s="16">
        <v>43.5</v>
      </c>
      <c r="AM57" s="16">
        <v>19.2</v>
      </c>
    </row>
    <row r="58" spans="1:39" x14ac:dyDescent="0.25">
      <c r="A58" s="22">
        <v>1905</v>
      </c>
      <c r="B58" s="16">
        <v>42.7</v>
      </c>
      <c r="C58" s="16">
        <v>29.8</v>
      </c>
      <c r="D58" s="16">
        <v>47.5</v>
      </c>
      <c r="E58" s="16">
        <v>29</v>
      </c>
      <c r="F58" s="16">
        <v>43.6</v>
      </c>
      <c r="G58" s="16">
        <v>35</v>
      </c>
      <c r="H58" s="16">
        <v>43.7</v>
      </c>
      <c r="I58" s="16">
        <v>26.8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>
        <v>43.3</v>
      </c>
      <c r="U58" s="16">
        <v>31.4</v>
      </c>
      <c r="V58" s="16">
        <v>44.6</v>
      </c>
      <c r="W58" s="16">
        <v>33.1</v>
      </c>
      <c r="X58" s="16">
        <v>40</v>
      </c>
      <c r="Y58" s="16">
        <v>20.8</v>
      </c>
      <c r="Z58" s="16">
        <v>46.4</v>
      </c>
      <c r="AA58" s="16">
        <v>31.1</v>
      </c>
      <c r="AB58" s="16">
        <v>46.8</v>
      </c>
      <c r="AC58" s="16">
        <v>23.8</v>
      </c>
      <c r="AD58" s="16">
        <v>39.700000000000003</v>
      </c>
      <c r="AE58" s="16">
        <v>20.2</v>
      </c>
      <c r="AF58" s="16"/>
      <c r="AG58" s="16"/>
      <c r="AH58" s="16"/>
      <c r="AI58" s="16"/>
      <c r="AJ58" s="16">
        <v>37.700000000000003</v>
      </c>
      <c r="AK58" s="16">
        <v>13.9</v>
      </c>
      <c r="AL58" s="16">
        <v>43.1</v>
      </c>
      <c r="AM58" s="16">
        <v>18.8</v>
      </c>
    </row>
    <row r="59" spans="1:39" x14ac:dyDescent="0.25">
      <c r="A59" s="22">
        <v>1906</v>
      </c>
      <c r="B59" s="16">
        <v>43.1</v>
      </c>
      <c r="C59" s="16">
        <v>30.1</v>
      </c>
      <c r="D59" s="16">
        <v>47.8</v>
      </c>
      <c r="E59" s="16">
        <v>29</v>
      </c>
      <c r="F59" s="16">
        <v>43.1</v>
      </c>
      <c r="G59" s="16">
        <v>34.700000000000003</v>
      </c>
      <c r="H59" s="16">
        <v>43.9</v>
      </c>
      <c r="I59" s="16">
        <v>26.9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>
        <v>43.2</v>
      </c>
      <c r="U59" s="16">
        <v>31.8</v>
      </c>
      <c r="V59" s="16">
        <v>44.6</v>
      </c>
      <c r="W59" s="16">
        <v>33.4</v>
      </c>
      <c r="X59" s="16">
        <v>39.799999999999997</v>
      </c>
      <c r="Y59" s="16">
        <v>20.6</v>
      </c>
      <c r="Z59" s="16">
        <v>46.3</v>
      </c>
      <c r="AA59" s="16">
        <v>31</v>
      </c>
      <c r="AB59" s="16">
        <v>47.5</v>
      </c>
      <c r="AC59" s="16">
        <v>23.7</v>
      </c>
      <c r="AD59" s="16">
        <v>39.700000000000003</v>
      </c>
      <c r="AE59" s="16">
        <v>19.899999999999999</v>
      </c>
      <c r="AF59" s="16"/>
      <c r="AG59" s="16"/>
      <c r="AH59" s="16"/>
      <c r="AI59" s="16"/>
      <c r="AJ59" s="16">
        <v>37.6</v>
      </c>
      <c r="AK59" s="16">
        <v>14.1</v>
      </c>
      <c r="AL59" s="16">
        <v>42.7</v>
      </c>
      <c r="AM59" s="16">
        <v>18.3</v>
      </c>
    </row>
    <row r="60" spans="1:39" x14ac:dyDescent="0.25">
      <c r="A60" s="22">
        <v>1907</v>
      </c>
      <c r="B60" s="16">
        <v>43.6</v>
      </c>
      <c r="C60" s="16">
        <v>30.1</v>
      </c>
      <c r="D60" s="16">
        <v>48.1</v>
      </c>
      <c r="E60" s="16">
        <v>28.8</v>
      </c>
      <c r="F60" s="16">
        <v>43.1</v>
      </c>
      <c r="G60" s="16">
        <v>34.200000000000003</v>
      </c>
      <c r="H60" s="16">
        <v>44.1</v>
      </c>
      <c r="I60" s="16">
        <v>26.9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>
        <v>43.3</v>
      </c>
      <c r="U60" s="16">
        <v>31.8</v>
      </c>
      <c r="V60" s="16">
        <v>44.6</v>
      </c>
      <c r="W60" s="16">
        <v>33.4</v>
      </c>
      <c r="X60" s="16">
        <v>39.799999999999997</v>
      </c>
      <c r="Y60" s="16">
        <v>20.2</v>
      </c>
      <c r="Z60" s="16">
        <v>46.1</v>
      </c>
      <c r="AA60" s="16">
        <v>31.9</v>
      </c>
      <c r="AB60" s="16">
        <v>47.8</v>
      </c>
      <c r="AC60" s="16">
        <v>23.5</v>
      </c>
      <c r="AD60" s="16">
        <v>39.9</v>
      </c>
      <c r="AE60" s="16">
        <v>19.600000000000001</v>
      </c>
      <c r="AF60" s="16"/>
      <c r="AG60" s="16"/>
      <c r="AH60" s="16"/>
      <c r="AI60" s="16"/>
      <c r="AJ60" s="16">
        <v>37.6</v>
      </c>
      <c r="AK60" s="16">
        <v>14.1</v>
      </c>
      <c r="AL60" s="16">
        <v>42.4</v>
      </c>
      <c r="AM60" s="16">
        <v>17.8</v>
      </c>
    </row>
    <row r="61" spans="1:39" x14ac:dyDescent="0.25">
      <c r="A61" s="22">
        <v>1908</v>
      </c>
      <c r="B61" s="16">
        <v>44.1</v>
      </c>
      <c r="C61" s="16">
        <v>29.8</v>
      </c>
      <c r="D61" s="16">
        <v>48.5</v>
      </c>
      <c r="E61" s="16">
        <v>28.4</v>
      </c>
      <c r="F61" s="16">
        <v>43.6</v>
      </c>
      <c r="G61" s="16">
        <v>33.5</v>
      </c>
      <c r="H61" s="16">
        <v>44.2</v>
      </c>
      <c r="I61" s="16">
        <v>26.8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>
        <v>43.6</v>
      </c>
      <c r="U61" s="16">
        <v>31.4</v>
      </c>
      <c r="V61" s="16">
        <v>44.6</v>
      </c>
      <c r="W61" s="16">
        <v>33.299999999999997</v>
      </c>
      <c r="X61" s="16">
        <v>40</v>
      </c>
      <c r="Y61" s="16">
        <v>19.8</v>
      </c>
      <c r="Z61" s="16">
        <v>45.8</v>
      </c>
      <c r="AA61" s="16">
        <v>33.700000000000003</v>
      </c>
      <c r="AB61" s="16">
        <v>47.7</v>
      </c>
      <c r="AC61" s="16">
        <v>23.1</v>
      </c>
      <c r="AD61" s="16">
        <v>40.4</v>
      </c>
      <c r="AE61" s="16">
        <v>19.5</v>
      </c>
      <c r="AF61" s="16"/>
      <c r="AG61" s="16"/>
      <c r="AH61" s="16"/>
      <c r="AI61" s="16"/>
      <c r="AJ61" s="16">
        <v>37.6</v>
      </c>
      <c r="AK61" s="16">
        <v>14</v>
      </c>
      <c r="AL61" s="16">
        <v>42.1</v>
      </c>
      <c r="AM61" s="16">
        <v>17.2</v>
      </c>
    </row>
    <row r="62" spans="1:39" x14ac:dyDescent="0.25">
      <c r="A62" s="22">
        <v>1909</v>
      </c>
      <c r="B62" s="16">
        <v>44.5</v>
      </c>
      <c r="C62" s="16">
        <v>29.3</v>
      </c>
      <c r="D62" s="16">
        <v>49</v>
      </c>
      <c r="E62" s="16">
        <v>27.9</v>
      </c>
      <c r="F62" s="16">
        <v>44.6</v>
      </c>
      <c r="G62" s="16">
        <v>32.700000000000003</v>
      </c>
      <c r="H62" s="16">
        <v>44.2</v>
      </c>
      <c r="I62" s="16">
        <v>26.6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>
        <v>44.1</v>
      </c>
      <c r="U62" s="16">
        <v>30.6</v>
      </c>
      <c r="V62" s="16">
        <v>44.6</v>
      </c>
      <c r="W62" s="16">
        <v>32.9</v>
      </c>
      <c r="X62" s="16">
        <v>40.299999999999997</v>
      </c>
      <c r="Y62" s="16">
        <v>19.2</v>
      </c>
      <c r="Z62" s="16">
        <v>45.3</v>
      </c>
      <c r="AA62" s="16">
        <v>36.700000000000003</v>
      </c>
      <c r="AB62" s="16">
        <v>47.2</v>
      </c>
      <c r="AC62" s="16">
        <v>22.5</v>
      </c>
      <c r="AD62" s="16">
        <v>41.2</v>
      </c>
      <c r="AE62" s="16">
        <v>19.399999999999999</v>
      </c>
      <c r="AF62" s="16"/>
      <c r="AG62" s="16"/>
      <c r="AH62" s="16"/>
      <c r="AI62" s="16"/>
      <c r="AJ62" s="16">
        <v>37.6</v>
      </c>
      <c r="AK62" s="16">
        <v>13.8</v>
      </c>
      <c r="AL62" s="16">
        <v>41.8</v>
      </c>
      <c r="AM62" s="16">
        <v>16.600000000000001</v>
      </c>
    </row>
    <row r="63" spans="1:39" x14ac:dyDescent="0.25">
      <c r="A63" s="22">
        <v>1910</v>
      </c>
      <c r="B63" s="16">
        <v>44.9</v>
      </c>
      <c r="C63" s="16">
        <v>28.5</v>
      </c>
      <c r="D63" s="16">
        <v>49.5</v>
      </c>
      <c r="E63" s="16">
        <v>27.2</v>
      </c>
      <c r="F63" s="16">
        <v>46.2</v>
      </c>
      <c r="G63" s="16">
        <v>31.7</v>
      </c>
      <c r="H63" s="16">
        <v>44.2</v>
      </c>
      <c r="I63" s="16">
        <v>26.4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>
        <v>44.7</v>
      </c>
      <c r="U63" s="16">
        <v>29.4</v>
      </c>
      <c r="V63" s="16">
        <v>44.6</v>
      </c>
      <c r="W63" s="16">
        <v>32.299999999999997</v>
      </c>
      <c r="X63" s="16">
        <v>40.799999999999997</v>
      </c>
      <c r="Y63" s="16">
        <v>18.5</v>
      </c>
      <c r="Z63" s="16">
        <v>44.7</v>
      </c>
      <c r="AA63" s="16">
        <v>40.700000000000003</v>
      </c>
      <c r="AB63" s="16">
        <v>46.4</v>
      </c>
      <c r="AC63" s="16">
        <v>21.8</v>
      </c>
      <c r="AD63" s="16">
        <v>42.3</v>
      </c>
      <c r="AE63" s="16">
        <v>19.399999999999999</v>
      </c>
      <c r="AF63" s="16"/>
      <c r="AG63" s="16"/>
      <c r="AH63" s="16"/>
      <c r="AI63" s="16"/>
      <c r="AJ63" s="16">
        <v>37.6</v>
      </c>
      <c r="AK63" s="16">
        <v>13.6</v>
      </c>
      <c r="AL63" s="16">
        <v>41.5</v>
      </c>
      <c r="AM63" s="16">
        <v>16</v>
      </c>
    </row>
    <row r="64" spans="1:39" x14ac:dyDescent="0.25">
      <c r="A64" s="22">
        <v>1911</v>
      </c>
      <c r="B64" s="16">
        <v>45</v>
      </c>
      <c r="C64" s="16">
        <v>28.1</v>
      </c>
      <c r="D64" s="16">
        <v>49.6</v>
      </c>
      <c r="E64" s="16">
        <v>26.9</v>
      </c>
      <c r="F64" s="16">
        <v>47.1</v>
      </c>
      <c r="G64" s="16">
        <v>31.5</v>
      </c>
      <c r="H64" s="16">
        <v>44.1</v>
      </c>
      <c r="I64" s="16">
        <v>26.2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>
        <v>45</v>
      </c>
      <c r="U64" s="16">
        <v>29.2</v>
      </c>
      <c r="V64" s="16">
        <v>44.5</v>
      </c>
      <c r="W64" s="16">
        <v>31.8</v>
      </c>
      <c r="X64" s="16">
        <v>40.9</v>
      </c>
      <c r="Y64" s="16">
        <v>18</v>
      </c>
      <c r="Z64" s="16">
        <v>44.1</v>
      </c>
      <c r="AA64" s="16">
        <v>44.2</v>
      </c>
      <c r="AB64" s="16">
        <v>45.6</v>
      </c>
      <c r="AC64" s="16">
        <v>21.3</v>
      </c>
      <c r="AD64" s="16">
        <v>42.8</v>
      </c>
      <c r="AE64" s="16">
        <v>19.3</v>
      </c>
      <c r="AF64" s="16"/>
      <c r="AG64" s="16"/>
      <c r="AH64" s="16"/>
      <c r="AI64" s="16"/>
      <c r="AJ64" s="16">
        <v>37.299999999999997</v>
      </c>
      <c r="AK64" s="16">
        <v>13.4</v>
      </c>
      <c r="AL64" s="16">
        <v>41.1</v>
      </c>
      <c r="AM64" s="16">
        <v>15.6</v>
      </c>
    </row>
    <row r="65" spans="1:39" x14ac:dyDescent="0.25">
      <c r="A65" s="22">
        <v>1912</v>
      </c>
      <c r="B65" s="16">
        <v>44.8</v>
      </c>
      <c r="C65" s="16">
        <v>28</v>
      </c>
      <c r="D65" s="16">
        <v>49.3</v>
      </c>
      <c r="E65" s="16">
        <v>26.9</v>
      </c>
      <c r="F65" s="16">
        <v>47.3</v>
      </c>
      <c r="G65" s="16">
        <v>32.1</v>
      </c>
      <c r="H65" s="16">
        <v>44.1</v>
      </c>
      <c r="I65" s="16">
        <v>26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>
        <v>45</v>
      </c>
      <c r="U65" s="16">
        <v>30</v>
      </c>
      <c r="V65" s="16">
        <v>44.4</v>
      </c>
      <c r="W65" s="16">
        <v>31.4</v>
      </c>
      <c r="X65" s="16">
        <v>40.700000000000003</v>
      </c>
      <c r="Y65" s="16">
        <v>17.600000000000001</v>
      </c>
      <c r="Z65" s="16">
        <v>43.3</v>
      </c>
      <c r="AA65" s="16">
        <v>47.2</v>
      </c>
      <c r="AB65" s="16">
        <v>44.7</v>
      </c>
      <c r="AC65" s="16">
        <v>21.1</v>
      </c>
      <c r="AD65" s="16">
        <v>42.6</v>
      </c>
      <c r="AE65" s="16">
        <v>19.100000000000001</v>
      </c>
      <c r="AF65" s="16"/>
      <c r="AG65" s="16"/>
      <c r="AH65" s="16"/>
      <c r="AI65" s="16"/>
      <c r="AJ65" s="16">
        <v>36.799999999999997</v>
      </c>
      <c r="AK65" s="16">
        <v>13.4</v>
      </c>
      <c r="AL65" s="16">
        <v>40.5</v>
      </c>
      <c r="AM65" s="16">
        <v>15.4</v>
      </c>
    </row>
    <row r="66" spans="1:39" x14ac:dyDescent="0.25">
      <c r="A66" s="22">
        <v>1913</v>
      </c>
      <c r="B66" s="16">
        <v>44.3</v>
      </c>
      <c r="C66" s="16">
        <v>28.2</v>
      </c>
      <c r="D66" s="16">
        <v>48.6</v>
      </c>
      <c r="E66" s="16">
        <v>27.2</v>
      </c>
      <c r="F66" s="16">
        <v>46.8</v>
      </c>
      <c r="G66" s="16">
        <v>33.6</v>
      </c>
      <c r="H66" s="16">
        <v>44.1</v>
      </c>
      <c r="I66" s="16">
        <v>25.8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>
        <v>44.7</v>
      </c>
      <c r="U66" s="16">
        <v>31.9</v>
      </c>
      <c r="V66" s="16">
        <v>44.3</v>
      </c>
      <c r="W66" s="16">
        <v>31.1</v>
      </c>
      <c r="X66" s="16">
        <v>40.1</v>
      </c>
      <c r="Y66" s="16">
        <v>17.3</v>
      </c>
      <c r="Z66" s="16">
        <v>42.4</v>
      </c>
      <c r="AA66" s="16">
        <v>49.6</v>
      </c>
      <c r="AB66" s="16">
        <v>43.9</v>
      </c>
      <c r="AC66" s="16">
        <v>21.2</v>
      </c>
      <c r="AD66" s="16">
        <v>41.9</v>
      </c>
      <c r="AE66" s="16">
        <v>18.8</v>
      </c>
      <c r="AF66" s="16"/>
      <c r="AG66" s="16"/>
      <c r="AH66" s="16"/>
      <c r="AI66" s="16"/>
      <c r="AJ66" s="16">
        <v>36</v>
      </c>
      <c r="AK66" s="16">
        <v>13.5</v>
      </c>
      <c r="AL66" s="16">
        <v>39.700000000000003</v>
      </c>
      <c r="AM66" s="16">
        <v>15.4</v>
      </c>
    </row>
    <row r="67" spans="1:39" x14ac:dyDescent="0.25">
      <c r="A67" s="22">
        <v>1914</v>
      </c>
      <c r="B67" s="16">
        <v>43.6</v>
      </c>
      <c r="C67" s="16">
        <v>28.8</v>
      </c>
      <c r="D67" s="16">
        <v>47.6</v>
      </c>
      <c r="E67" s="16">
        <v>27.8</v>
      </c>
      <c r="F67" s="16">
        <v>45.7</v>
      </c>
      <c r="G67" s="16">
        <v>35.9</v>
      </c>
      <c r="H67" s="16">
        <v>44.1</v>
      </c>
      <c r="I67" s="16">
        <v>25.7</v>
      </c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>
        <v>44</v>
      </c>
      <c r="U67" s="16">
        <v>34.9</v>
      </c>
      <c r="V67" s="16">
        <v>44.2</v>
      </c>
      <c r="W67" s="16">
        <v>30.9</v>
      </c>
      <c r="X67" s="16">
        <v>39.1</v>
      </c>
      <c r="Y67" s="16">
        <v>17.2</v>
      </c>
      <c r="Z67" s="16">
        <v>41.5</v>
      </c>
      <c r="AA67" s="16">
        <v>51.3</v>
      </c>
      <c r="AB67" s="16">
        <v>43.1</v>
      </c>
      <c r="AC67" s="16">
        <v>21.5</v>
      </c>
      <c r="AD67" s="16">
        <v>40.5</v>
      </c>
      <c r="AE67" s="16">
        <v>18.399999999999999</v>
      </c>
      <c r="AF67" s="16"/>
      <c r="AG67" s="16"/>
      <c r="AH67" s="16"/>
      <c r="AI67" s="16"/>
      <c r="AJ67" s="16">
        <v>34.9</v>
      </c>
      <c r="AK67" s="16">
        <v>13.7</v>
      </c>
      <c r="AL67" s="16">
        <v>38.799999999999997</v>
      </c>
      <c r="AM67" s="16">
        <v>15.7</v>
      </c>
    </row>
    <row r="68" spans="1:39" x14ac:dyDescent="0.25">
      <c r="A68" s="22">
        <v>1915</v>
      </c>
      <c r="B68" s="16">
        <v>42.6</v>
      </c>
      <c r="C68" s="16">
        <v>29.7</v>
      </c>
      <c r="D68" s="16">
        <v>46.2</v>
      </c>
      <c r="E68" s="16">
        <v>28.9</v>
      </c>
      <c r="F68" s="16">
        <v>43.8</v>
      </c>
      <c r="G68" s="16">
        <v>39.200000000000003</v>
      </c>
      <c r="H68" s="16">
        <v>44</v>
      </c>
      <c r="I68" s="16">
        <v>25.5</v>
      </c>
      <c r="J68" s="16">
        <v>46.3</v>
      </c>
      <c r="K68" s="16">
        <v>30.5</v>
      </c>
      <c r="L68" s="16"/>
      <c r="M68" s="16"/>
      <c r="N68" s="16"/>
      <c r="O68" s="16"/>
      <c r="P68" s="16"/>
      <c r="Q68" s="16"/>
      <c r="R68" s="16"/>
      <c r="S68" s="16"/>
      <c r="T68" s="16">
        <v>43</v>
      </c>
      <c r="U68" s="16">
        <v>39.1</v>
      </c>
      <c r="V68" s="16">
        <v>43.9</v>
      </c>
      <c r="W68" s="16">
        <v>30.8</v>
      </c>
      <c r="X68" s="16">
        <v>37.799999999999997</v>
      </c>
      <c r="Y68" s="16">
        <v>17.100000000000001</v>
      </c>
      <c r="Z68" s="16">
        <v>40.4</v>
      </c>
      <c r="AA68" s="16">
        <v>52.4</v>
      </c>
      <c r="AB68" s="16">
        <v>42.3</v>
      </c>
      <c r="AC68" s="16">
        <v>22.1</v>
      </c>
      <c r="AD68" s="16">
        <v>38.5</v>
      </c>
      <c r="AE68" s="16">
        <v>17.8</v>
      </c>
      <c r="AF68" s="16"/>
      <c r="AG68" s="16"/>
      <c r="AH68" s="16"/>
      <c r="AI68" s="16"/>
      <c r="AJ68" s="16">
        <v>33.6</v>
      </c>
      <c r="AK68" s="16">
        <v>14.1</v>
      </c>
      <c r="AL68" s="16">
        <v>37.6</v>
      </c>
      <c r="AM68" s="16">
        <v>16.100000000000001</v>
      </c>
    </row>
    <row r="69" spans="1:39" x14ac:dyDescent="0.25">
      <c r="A69" s="22">
        <v>1916</v>
      </c>
      <c r="B69" s="16">
        <v>41.8</v>
      </c>
      <c r="C69" s="16">
        <v>30.1</v>
      </c>
      <c r="D69" s="16">
        <v>45.1</v>
      </c>
      <c r="E69" s="16">
        <v>29.4</v>
      </c>
      <c r="F69" s="16">
        <v>42.8</v>
      </c>
      <c r="G69" s="16">
        <v>41.3</v>
      </c>
      <c r="H69" s="16">
        <v>44</v>
      </c>
      <c r="I69" s="16">
        <v>25.3</v>
      </c>
      <c r="J69" s="16">
        <v>46.3</v>
      </c>
      <c r="K69" s="16">
        <v>30.4</v>
      </c>
      <c r="L69" s="16"/>
      <c r="M69" s="16"/>
      <c r="N69" s="16"/>
      <c r="O69" s="16"/>
      <c r="P69" s="16"/>
      <c r="Q69" s="16"/>
      <c r="R69" s="16"/>
      <c r="S69" s="16"/>
      <c r="T69" s="16">
        <v>42.5</v>
      </c>
      <c r="U69" s="16">
        <v>41.8</v>
      </c>
      <c r="V69" s="16">
        <v>43.7</v>
      </c>
      <c r="W69" s="16">
        <v>30.8</v>
      </c>
      <c r="X69" s="16">
        <v>36.700000000000003</v>
      </c>
      <c r="Y69" s="16">
        <v>17</v>
      </c>
      <c r="Z69" s="16">
        <v>40</v>
      </c>
      <c r="AA69" s="16">
        <v>51.9</v>
      </c>
      <c r="AB69" s="16">
        <v>41.5</v>
      </c>
      <c r="AC69" s="16">
        <v>22.4</v>
      </c>
      <c r="AD69" s="16">
        <v>37.299999999999997</v>
      </c>
      <c r="AE69" s="16">
        <v>17.399999999999999</v>
      </c>
      <c r="AF69" s="16"/>
      <c r="AG69" s="16"/>
      <c r="AH69" s="16"/>
      <c r="AI69" s="16"/>
      <c r="AJ69" s="16">
        <v>32.5</v>
      </c>
      <c r="AK69" s="16">
        <v>14.3</v>
      </c>
      <c r="AL69" s="16">
        <v>36.700000000000003</v>
      </c>
      <c r="AM69" s="16">
        <v>16.3</v>
      </c>
    </row>
    <row r="70" spans="1:39" x14ac:dyDescent="0.25">
      <c r="A70" s="22">
        <v>1917</v>
      </c>
      <c r="B70" s="16">
        <v>41.2</v>
      </c>
      <c r="C70" s="16">
        <v>30.2</v>
      </c>
      <c r="D70" s="16">
        <v>44.4</v>
      </c>
      <c r="E70" s="16">
        <v>29.5</v>
      </c>
      <c r="F70" s="16">
        <v>42.5</v>
      </c>
      <c r="G70" s="16">
        <v>42.1</v>
      </c>
      <c r="H70" s="16">
        <v>44.1</v>
      </c>
      <c r="I70" s="16">
        <v>25.1</v>
      </c>
      <c r="J70" s="16">
        <v>46.4</v>
      </c>
      <c r="K70" s="16">
        <v>30.3</v>
      </c>
      <c r="L70" s="16"/>
      <c r="M70" s="16"/>
      <c r="N70" s="16"/>
      <c r="O70" s="16"/>
      <c r="P70" s="16"/>
      <c r="Q70" s="16"/>
      <c r="R70" s="16"/>
      <c r="S70" s="16"/>
      <c r="T70" s="16">
        <v>42.4</v>
      </c>
      <c r="U70" s="16">
        <v>42.9</v>
      </c>
      <c r="V70" s="16">
        <v>43.4</v>
      </c>
      <c r="W70" s="16">
        <v>30.9</v>
      </c>
      <c r="X70" s="16">
        <v>35.9</v>
      </c>
      <c r="Y70" s="16">
        <v>16.7</v>
      </c>
      <c r="Z70" s="16">
        <v>40</v>
      </c>
      <c r="AA70" s="16">
        <v>49.8</v>
      </c>
      <c r="AB70" s="16">
        <v>40.700000000000003</v>
      </c>
      <c r="AC70" s="16">
        <v>22.5</v>
      </c>
      <c r="AD70" s="16">
        <v>36.700000000000003</v>
      </c>
      <c r="AE70" s="16">
        <v>17.2</v>
      </c>
      <c r="AF70" s="16"/>
      <c r="AG70" s="16"/>
      <c r="AH70" s="16"/>
      <c r="AI70" s="16"/>
      <c r="AJ70" s="16">
        <v>31.7</v>
      </c>
      <c r="AK70" s="16">
        <v>14.3</v>
      </c>
      <c r="AL70" s="16">
        <v>36</v>
      </c>
      <c r="AM70" s="16">
        <v>16.3</v>
      </c>
    </row>
    <row r="71" spans="1:39" x14ac:dyDescent="0.25">
      <c r="A71" s="22">
        <v>1918</v>
      </c>
      <c r="B71" s="16">
        <v>40.799999999999997</v>
      </c>
      <c r="C71" s="16">
        <v>29.7</v>
      </c>
      <c r="D71" s="16">
        <v>44</v>
      </c>
      <c r="E71" s="16">
        <v>29.1</v>
      </c>
      <c r="F71" s="16">
        <v>42.9</v>
      </c>
      <c r="G71" s="16">
        <v>41.6</v>
      </c>
      <c r="H71" s="16">
        <v>44.1</v>
      </c>
      <c r="I71" s="16">
        <v>24.9</v>
      </c>
      <c r="J71" s="16">
        <v>46.6</v>
      </c>
      <c r="K71" s="16">
        <v>30</v>
      </c>
      <c r="L71" s="16"/>
      <c r="M71" s="16"/>
      <c r="N71" s="16"/>
      <c r="O71" s="16"/>
      <c r="P71" s="16"/>
      <c r="Q71" s="16"/>
      <c r="R71" s="16"/>
      <c r="S71" s="16"/>
      <c r="T71" s="16">
        <v>42.8</v>
      </c>
      <c r="U71" s="16">
        <v>42.2</v>
      </c>
      <c r="V71" s="16">
        <v>43</v>
      </c>
      <c r="W71" s="16">
        <v>31.1</v>
      </c>
      <c r="X71" s="16">
        <v>35.299999999999997</v>
      </c>
      <c r="Y71" s="16">
        <v>16.2</v>
      </c>
      <c r="Z71" s="16">
        <v>40.700000000000003</v>
      </c>
      <c r="AA71" s="16">
        <v>46.1</v>
      </c>
      <c r="AB71" s="16">
        <v>39.9</v>
      </c>
      <c r="AC71" s="16">
        <v>22.2</v>
      </c>
      <c r="AD71" s="16">
        <v>36.700000000000003</v>
      </c>
      <c r="AE71" s="16">
        <v>17.100000000000001</v>
      </c>
      <c r="AF71" s="16"/>
      <c r="AG71" s="16"/>
      <c r="AH71" s="16"/>
      <c r="AI71" s="16"/>
      <c r="AJ71" s="16">
        <v>31.1</v>
      </c>
      <c r="AK71" s="16">
        <v>14.1</v>
      </c>
      <c r="AL71" s="16">
        <v>35.5</v>
      </c>
      <c r="AM71" s="16">
        <v>16</v>
      </c>
    </row>
    <row r="72" spans="1:39" x14ac:dyDescent="0.25">
      <c r="A72" s="22">
        <v>1919</v>
      </c>
      <c r="B72" s="16">
        <v>40.6</v>
      </c>
      <c r="C72" s="16">
        <v>28.8</v>
      </c>
      <c r="D72" s="16">
        <v>43.9</v>
      </c>
      <c r="E72" s="16">
        <v>28.2</v>
      </c>
      <c r="F72" s="16">
        <v>44</v>
      </c>
      <c r="G72" s="16">
        <v>39.799999999999997</v>
      </c>
      <c r="H72" s="16">
        <v>44.2</v>
      </c>
      <c r="I72" s="16">
        <v>24.6</v>
      </c>
      <c r="J72" s="16">
        <v>46.8</v>
      </c>
      <c r="K72" s="16">
        <v>29.7</v>
      </c>
      <c r="L72" s="16"/>
      <c r="M72" s="16"/>
      <c r="N72" s="16"/>
      <c r="O72" s="16"/>
      <c r="P72" s="16"/>
      <c r="Q72" s="16"/>
      <c r="R72" s="16"/>
      <c r="S72" s="16"/>
      <c r="T72" s="16">
        <v>43.7</v>
      </c>
      <c r="U72" s="16">
        <v>40</v>
      </c>
      <c r="V72" s="16">
        <v>42.6</v>
      </c>
      <c r="W72" s="16">
        <v>31.5</v>
      </c>
      <c r="X72" s="16">
        <v>34.9</v>
      </c>
      <c r="Y72" s="16">
        <v>15.6</v>
      </c>
      <c r="Z72" s="16">
        <v>41.9</v>
      </c>
      <c r="AA72" s="16">
        <v>41.1</v>
      </c>
      <c r="AB72" s="16">
        <v>39.200000000000003</v>
      </c>
      <c r="AC72" s="16">
        <v>21.8</v>
      </c>
      <c r="AD72" s="16">
        <v>37.4</v>
      </c>
      <c r="AE72" s="16">
        <v>17.100000000000001</v>
      </c>
      <c r="AF72" s="16"/>
      <c r="AG72" s="16"/>
      <c r="AH72" s="16"/>
      <c r="AI72" s="16"/>
      <c r="AJ72" s="16">
        <v>30.7</v>
      </c>
      <c r="AK72" s="16">
        <v>13.8</v>
      </c>
      <c r="AL72" s="16">
        <v>35.200000000000003</v>
      </c>
      <c r="AM72" s="16">
        <v>15.4</v>
      </c>
    </row>
    <row r="73" spans="1:39" x14ac:dyDescent="0.25">
      <c r="A73" s="22">
        <v>1920</v>
      </c>
      <c r="B73" s="16">
        <v>40.5</v>
      </c>
      <c r="C73" s="16">
        <v>27.5</v>
      </c>
      <c r="D73" s="16">
        <v>44.2</v>
      </c>
      <c r="E73" s="16">
        <v>26.8</v>
      </c>
      <c r="F73" s="16">
        <v>45.9</v>
      </c>
      <c r="G73" s="16">
        <v>36.9</v>
      </c>
      <c r="H73" s="16">
        <v>44.3</v>
      </c>
      <c r="I73" s="16">
        <v>24.3</v>
      </c>
      <c r="J73" s="16">
        <v>47.1</v>
      </c>
      <c r="K73" s="16">
        <v>29.3</v>
      </c>
      <c r="L73" s="16"/>
      <c r="M73" s="16"/>
      <c r="N73" s="16"/>
      <c r="O73" s="16"/>
      <c r="P73" s="16"/>
      <c r="Q73" s="16"/>
      <c r="R73" s="16"/>
      <c r="S73" s="16"/>
      <c r="T73" s="16">
        <v>45.1</v>
      </c>
      <c r="U73" s="16">
        <v>36.200000000000003</v>
      </c>
      <c r="V73" s="16">
        <v>42.1</v>
      </c>
      <c r="W73" s="16">
        <v>32</v>
      </c>
      <c r="X73" s="16">
        <v>34.799999999999997</v>
      </c>
      <c r="Y73" s="16">
        <v>14.9</v>
      </c>
      <c r="Z73" s="16">
        <v>43.7</v>
      </c>
      <c r="AA73" s="16">
        <v>34.799999999999997</v>
      </c>
      <c r="AB73" s="16">
        <v>38.4</v>
      </c>
      <c r="AC73" s="16">
        <v>21</v>
      </c>
      <c r="AD73" s="16">
        <v>38.700000000000003</v>
      </c>
      <c r="AE73" s="16">
        <v>17.3</v>
      </c>
      <c r="AF73" s="16"/>
      <c r="AG73" s="16"/>
      <c r="AH73" s="16"/>
      <c r="AI73" s="16"/>
      <c r="AJ73" s="16">
        <v>30.5</v>
      </c>
      <c r="AK73" s="16">
        <v>13.3</v>
      </c>
      <c r="AL73" s="16">
        <v>35.1</v>
      </c>
      <c r="AM73" s="16">
        <v>14.6</v>
      </c>
    </row>
    <row r="74" spans="1:39" x14ac:dyDescent="0.25">
      <c r="A74" s="22">
        <v>1921</v>
      </c>
      <c r="B74" s="16">
        <v>40.700000000000003</v>
      </c>
      <c r="C74" s="16">
        <v>26.5</v>
      </c>
      <c r="D74" s="16">
        <v>44.5</v>
      </c>
      <c r="E74" s="16">
        <v>25.8</v>
      </c>
      <c r="F74" s="16">
        <v>47.5</v>
      </c>
      <c r="G74" s="16">
        <v>34.6</v>
      </c>
      <c r="H74" s="16">
        <v>44.4</v>
      </c>
      <c r="I74" s="16">
        <v>24</v>
      </c>
      <c r="J74" s="16">
        <v>47.3</v>
      </c>
      <c r="K74" s="16">
        <v>29</v>
      </c>
      <c r="L74" s="16"/>
      <c r="M74" s="16"/>
      <c r="N74" s="16"/>
      <c r="O74" s="16"/>
      <c r="P74" s="16"/>
      <c r="Q74" s="16"/>
      <c r="R74" s="16"/>
      <c r="S74" s="16"/>
      <c r="T74" s="16">
        <v>46.1</v>
      </c>
      <c r="U74" s="16">
        <v>33.5</v>
      </c>
      <c r="V74" s="16">
        <v>41.9</v>
      </c>
      <c r="W74" s="16">
        <v>32</v>
      </c>
      <c r="X74" s="16">
        <v>34.6</v>
      </c>
      <c r="Y74" s="16">
        <v>14.3</v>
      </c>
      <c r="Z74" s="16">
        <v>45</v>
      </c>
      <c r="AA74" s="16">
        <v>30.2</v>
      </c>
      <c r="AB74" s="16">
        <v>37.6</v>
      </c>
      <c r="AC74" s="16">
        <v>20.2</v>
      </c>
      <c r="AD74" s="16">
        <v>39.700000000000003</v>
      </c>
      <c r="AE74" s="16">
        <v>17.3</v>
      </c>
      <c r="AF74" s="16"/>
      <c r="AG74" s="16"/>
      <c r="AH74" s="16"/>
      <c r="AI74" s="16"/>
      <c r="AJ74" s="16">
        <v>30.3</v>
      </c>
      <c r="AK74" s="16">
        <v>12.9</v>
      </c>
      <c r="AL74" s="16">
        <v>35.1</v>
      </c>
      <c r="AM74" s="16">
        <v>14</v>
      </c>
    </row>
    <row r="75" spans="1:39" x14ac:dyDescent="0.25">
      <c r="A75" s="22">
        <v>1922</v>
      </c>
      <c r="B75" s="16">
        <v>41</v>
      </c>
      <c r="C75" s="16">
        <v>25.7</v>
      </c>
      <c r="D75" s="16">
        <v>44.9</v>
      </c>
      <c r="E75" s="16">
        <v>25</v>
      </c>
      <c r="F75" s="16">
        <v>48.7</v>
      </c>
      <c r="G75" s="16">
        <v>33.1</v>
      </c>
      <c r="H75" s="16">
        <v>44.6</v>
      </c>
      <c r="I75" s="16">
        <v>23.7</v>
      </c>
      <c r="J75" s="16">
        <v>47.7</v>
      </c>
      <c r="K75" s="16">
        <v>28.8</v>
      </c>
      <c r="L75" s="16"/>
      <c r="M75" s="16"/>
      <c r="N75" s="16"/>
      <c r="O75" s="16"/>
      <c r="P75" s="16"/>
      <c r="Q75" s="16"/>
      <c r="R75" s="16"/>
      <c r="S75" s="16"/>
      <c r="T75" s="16">
        <v>46.9</v>
      </c>
      <c r="U75" s="16">
        <v>31.8</v>
      </c>
      <c r="V75" s="16">
        <v>41.9</v>
      </c>
      <c r="W75" s="16">
        <v>31.7</v>
      </c>
      <c r="X75" s="16">
        <v>34.299999999999997</v>
      </c>
      <c r="Y75" s="16">
        <v>13.9</v>
      </c>
      <c r="Z75" s="16">
        <v>45.8</v>
      </c>
      <c r="AA75" s="16">
        <v>27.1</v>
      </c>
      <c r="AB75" s="16">
        <v>36.799999999999997</v>
      </c>
      <c r="AC75" s="16">
        <v>19.399999999999999</v>
      </c>
      <c r="AD75" s="16">
        <v>40.4</v>
      </c>
      <c r="AE75" s="16">
        <v>17.399999999999999</v>
      </c>
      <c r="AF75" s="16"/>
      <c r="AG75" s="16"/>
      <c r="AH75" s="16"/>
      <c r="AI75" s="16"/>
      <c r="AJ75" s="16">
        <v>30.1</v>
      </c>
      <c r="AK75" s="16">
        <v>12.5</v>
      </c>
      <c r="AL75" s="16">
        <v>35</v>
      </c>
      <c r="AM75" s="16">
        <v>13.6</v>
      </c>
    </row>
    <row r="76" spans="1:39" x14ac:dyDescent="0.25">
      <c r="A76" s="22">
        <v>1923</v>
      </c>
      <c r="B76" s="16">
        <v>41.5</v>
      </c>
      <c r="C76" s="16">
        <v>25.3</v>
      </c>
      <c r="D76" s="16">
        <v>45.2</v>
      </c>
      <c r="E76" s="16">
        <v>24.4</v>
      </c>
      <c r="F76" s="16">
        <v>49.4</v>
      </c>
      <c r="G76" s="16">
        <v>32.200000000000003</v>
      </c>
      <c r="H76" s="16">
        <v>44.7</v>
      </c>
      <c r="I76" s="16">
        <v>23.4</v>
      </c>
      <c r="J76" s="16">
        <v>48</v>
      </c>
      <c r="K76" s="16">
        <v>28.7</v>
      </c>
      <c r="L76" s="16"/>
      <c r="M76" s="16"/>
      <c r="N76" s="16"/>
      <c r="O76" s="16"/>
      <c r="P76" s="16"/>
      <c r="Q76" s="16"/>
      <c r="R76" s="16"/>
      <c r="S76" s="16"/>
      <c r="T76" s="16">
        <v>47.3</v>
      </c>
      <c r="U76" s="16">
        <v>31.2</v>
      </c>
      <c r="V76" s="16">
        <v>42.3</v>
      </c>
      <c r="W76" s="16">
        <v>31</v>
      </c>
      <c r="X76" s="16">
        <v>34.1</v>
      </c>
      <c r="Y76" s="16">
        <v>13.6</v>
      </c>
      <c r="Z76" s="16">
        <v>46.1</v>
      </c>
      <c r="AA76" s="16">
        <v>25.4</v>
      </c>
      <c r="AB76" s="16">
        <v>35.9</v>
      </c>
      <c r="AC76" s="16">
        <v>18.5</v>
      </c>
      <c r="AD76" s="16">
        <v>40.6</v>
      </c>
      <c r="AE76" s="16">
        <v>17.3</v>
      </c>
      <c r="AF76" s="16"/>
      <c r="AG76" s="16"/>
      <c r="AH76" s="16"/>
      <c r="AI76" s="16"/>
      <c r="AJ76" s="16">
        <v>29.9</v>
      </c>
      <c r="AK76" s="16">
        <v>12.3</v>
      </c>
      <c r="AL76" s="16">
        <v>34.9</v>
      </c>
      <c r="AM76" s="16">
        <v>13.4</v>
      </c>
    </row>
    <row r="77" spans="1:39" x14ac:dyDescent="0.25">
      <c r="A77" s="22">
        <v>1924</v>
      </c>
      <c r="B77" s="16">
        <v>42.2</v>
      </c>
      <c r="C77" s="16">
        <v>25.1</v>
      </c>
      <c r="D77" s="16">
        <v>45.6</v>
      </c>
      <c r="E77" s="16">
        <v>24.1</v>
      </c>
      <c r="F77" s="16">
        <v>49.8</v>
      </c>
      <c r="G77" s="16">
        <v>32</v>
      </c>
      <c r="H77" s="16">
        <v>44.9</v>
      </c>
      <c r="I77" s="16">
        <v>23.1</v>
      </c>
      <c r="J77" s="16">
        <v>48.4</v>
      </c>
      <c r="K77" s="16">
        <v>28.7</v>
      </c>
      <c r="L77" s="16"/>
      <c r="M77" s="16"/>
      <c r="N77" s="16"/>
      <c r="O77" s="16"/>
      <c r="P77" s="16"/>
      <c r="Q77" s="16"/>
      <c r="R77" s="16"/>
      <c r="S77" s="16"/>
      <c r="T77" s="16">
        <v>47.5</v>
      </c>
      <c r="U77" s="16">
        <v>31.5</v>
      </c>
      <c r="V77" s="16">
        <v>42.8</v>
      </c>
      <c r="W77" s="16">
        <v>29.9</v>
      </c>
      <c r="X77" s="16">
        <v>33.799999999999997</v>
      </c>
      <c r="Y77" s="16">
        <v>13.5</v>
      </c>
      <c r="Z77" s="16">
        <v>45.8</v>
      </c>
      <c r="AA77" s="16">
        <v>24.9</v>
      </c>
      <c r="AB77" s="16">
        <v>35</v>
      </c>
      <c r="AC77" s="16">
        <v>17.600000000000001</v>
      </c>
      <c r="AD77" s="16">
        <v>40.5</v>
      </c>
      <c r="AE77" s="16">
        <v>17.2</v>
      </c>
      <c r="AF77" s="16"/>
      <c r="AG77" s="16"/>
      <c r="AH77" s="16"/>
      <c r="AI77" s="16"/>
      <c r="AJ77" s="16">
        <v>29.6</v>
      </c>
      <c r="AK77" s="16">
        <v>12.1</v>
      </c>
      <c r="AL77" s="16">
        <v>34.9</v>
      </c>
      <c r="AM77" s="16">
        <v>13.4</v>
      </c>
    </row>
    <row r="78" spans="1:39" x14ac:dyDescent="0.25">
      <c r="A78" s="22">
        <v>1925</v>
      </c>
      <c r="B78" s="16">
        <v>43.1</v>
      </c>
      <c r="C78" s="16">
        <v>25.2</v>
      </c>
      <c r="D78" s="16">
        <v>46.1</v>
      </c>
      <c r="E78" s="16">
        <v>24.1</v>
      </c>
      <c r="F78" s="16">
        <v>49.8</v>
      </c>
      <c r="G78" s="16">
        <v>32.4</v>
      </c>
      <c r="H78" s="16">
        <v>45.1</v>
      </c>
      <c r="I78" s="16">
        <v>22.7</v>
      </c>
      <c r="J78" s="16">
        <v>48.8</v>
      </c>
      <c r="K78" s="16">
        <v>28.8</v>
      </c>
      <c r="L78" s="16"/>
      <c r="M78" s="16"/>
      <c r="N78" s="16"/>
      <c r="O78" s="16"/>
      <c r="P78" s="16"/>
      <c r="Q78" s="16"/>
      <c r="R78" s="16"/>
      <c r="S78" s="16"/>
      <c r="T78" s="16">
        <v>47.3</v>
      </c>
      <c r="U78" s="16">
        <v>32.9</v>
      </c>
      <c r="V78" s="16">
        <v>43.7</v>
      </c>
      <c r="W78" s="16">
        <v>28.4</v>
      </c>
      <c r="X78" s="16">
        <v>33.4</v>
      </c>
      <c r="Y78" s="16">
        <v>13.5</v>
      </c>
      <c r="Z78" s="16">
        <v>45.1</v>
      </c>
      <c r="AA78" s="16">
        <v>25.7</v>
      </c>
      <c r="AB78" s="16">
        <v>34.200000000000003</v>
      </c>
      <c r="AC78" s="16">
        <v>16.600000000000001</v>
      </c>
      <c r="AD78" s="16">
        <v>39.9</v>
      </c>
      <c r="AE78" s="16">
        <v>17</v>
      </c>
      <c r="AF78" s="16"/>
      <c r="AG78" s="16"/>
      <c r="AH78" s="16"/>
      <c r="AI78" s="16"/>
      <c r="AJ78" s="16">
        <v>29.4</v>
      </c>
      <c r="AK78" s="16">
        <v>12.1</v>
      </c>
      <c r="AL78" s="16">
        <v>34.799999999999997</v>
      </c>
      <c r="AM78" s="16">
        <v>13.6</v>
      </c>
    </row>
    <row r="79" spans="1:39" x14ac:dyDescent="0.25">
      <c r="A79" s="22">
        <v>1926</v>
      </c>
      <c r="B79" s="16">
        <v>43.5</v>
      </c>
      <c r="C79" s="16">
        <v>25.1</v>
      </c>
      <c r="D79" s="16">
        <v>46.3</v>
      </c>
      <c r="E79" s="16">
        <v>23.9</v>
      </c>
      <c r="F79" s="16">
        <v>49.7</v>
      </c>
      <c r="G79" s="16">
        <v>32.6</v>
      </c>
      <c r="H79" s="16">
        <v>45.1</v>
      </c>
      <c r="I79" s="16">
        <v>22.5</v>
      </c>
      <c r="J79" s="16">
        <v>49.1</v>
      </c>
      <c r="K79" s="16">
        <v>28.7</v>
      </c>
      <c r="L79" s="16"/>
      <c r="M79" s="16"/>
      <c r="N79" s="16"/>
      <c r="O79" s="16"/>
      <c r="P79" s="16"/>
      <c r="Q79" s="16"/>
      <c r="R79" s="16"/>
      <c r="S79" s="16"/>
      <c r="T79" s="16">
        <v>47.2</v>
      </c>
      <c r="U79" s="16">
        <v>33.9</v>
      </c>
      <c r="V79" s="16">
        <v>44.2</v>
      </c>
      <c r="W79" s="16">
        <v>27.2</v>
      </c>
      <c r="X79" s="16">
        <v>33</v>
      </c>
      <c r="Y79" s="16">
        <v>13.4</v>
      </c>
      <c r="Z79" s="16">
        <v>44.5</v>
      </c>
      <c r="AA79" s="16">
        <v>26.3</v>
      </c>
      <c r="AB79" s="16">
        <v>33.4</v>
      </c>
      <c r="AC79" s="16">
        <v>15.8</v>
      </c>
      <c r="AD79" s="16">
        <v>39.4</v>
      </c>
      <c r="AE79" s="16">
        <v>16.8</v>
      </c>
      <c r="AF79" s="16"/>
      <c r="AG79" s="16"/>
      <c r="AH79" s="16"/>
      <c r="AI79" s="16"/>
      <c r="AJ79" s="16">
        <v>29</v>
      </c>
      <c r="AK79" s="16">
        <v>12</v>
      </c>
      <c r="AL79" s="16">
        <v>34.700000000000003</v>
      </c>
      <c r="AM79" s="16">
        <v>13.7</v>
      </c>
    </row>
    <row r="80" spans="1:39" x14ac:dyDescent="0.25">
      <c r="A80" s="22">
        <v>1927</v>
      </c>
      <c r="B80" s="16">
        <v>43.5</v>
      </c>
      <c r="C80" s="16">
        <v>24.8</v>
      </c>
      <c r="D80" s="16">
        <v>46.4</v>
      </c>
      <c r="E80" s="16">
        <v>23.7</v>
      </c>
      <c r="F80" s="16">
        <v>49.4</v>
      </c>
      <c r="G80" s="16">
        <v>32.799999999999997</v>
      </c>
      <c r="H80" s="16">
        <v>45</v>
      </c>
      <c r="I80" s="16">
        <v>22.3</v>
      </c>
      <c r="J80" s="16">
        <v>49.2</v>
      </c>
      <c r="K80" s="16">
        <v>28.4</v>
      </c>
      <c r="L80" s="16"/>
      <c r="M80" s="16"/>
      <c r="N80" s="16"/>
      <c r="O80" s="16"/>
      <c r="P80" s="16"/>
      <c r="Q80" s="16"/>
      <c r="R80" s="16"/>
      <c r="S80" s="16"/>
      <c r="T80" s="16">
        <v>47.1</v>
      </c>
      <c r="U80" s="16">
        <v>34.5</v>
      </c>
      <c r="V80" s="16">
        <v>44.2</v>
      </c>
      <c r="W80" s="16">
        <v>26.2</v>
      </c>
      <c r="X80" s="16">
        <v>32.5</v>
      </c>
      <c r="Y80" s="16">
        <v>13.2</v>
      </c>
      <c r="Z80" s="16">
        <v>44.1</v>
      </c>
      <c r="AA80" s="16">
        <v>26.8</v>
      </c>
      <c r="AB80" s="16">
        <v>32.799999999999997</v>
      </c>
      <c r="AC80" s="16">
        <v>15.1</v>
      </c>
      <c r="AD80" s="16">
        <v>39</v>
      </c>
      <c r="AE80" s="16">
        <v>16.600000000000001</v>
      </c>
      <c r="AF80" s="16"/>
      <c r="AG80" s="16"/>
      <c r="AH80" s="16"/>
      <c r="AI80" s="16"/>
      <c r="AJ80" s="16">
        <v>28.7</v>
      </c>
      <c r="AK80" s="16">
        <v>11.9</v>
      </c>
      <c r="AL80" s="16">
        <v>34.4</v>
      </c>
      <c r="AM80" s="16">
        <v>13.6</v>
      </c>
    </row>
    <row r="81" spans="1:39" x14ac:dyDescent="0.25">
      <c r="A81" s="22">
        <v>1928</v>
      </c>
      <c r="B81" s="16">
        <v>43.1</v>
      </c>
      <c r="C81" s="16">
        <v>24.3</v>
      </c>
      <c r="D81" s="16">
        <v>46.3</v>
      </c>
      <c r="E81" s="16">
        <v>23.4</v>
      </c>
      <c r="F81" s="16">
        <v>48.9</v>
      </c>
      <c r="G81" s="16">
        <v>32.700000000000003</v>
      </c>
      <c r="H81" s="16">
        <v>44.8</v>
      </c>
      <c r="I81" s="16">
        <v>22.3</v>
      </c>
      <c r="J81" s="16">
        <v>49.2</v>
      </c>
      <c r="K81" s="16">
        <v>27.9</v>
      </c>
      <c r="L81" s="16"/>
      <c r="M81" s="16"/>
      <c r="N81" s="16"/>
      <c r="O81" s="16"/>
      <c r="P81" s="16"/>
      <c r="Q81" s="16"/>
      <c r="R81" s="16"/>
      <c r="S81" s="16"/>
      <c r="T81" s="16">
        <v>47</v>
      </c>
      <c r="U81" s="16">
        <v>34.700000000000003</v>
      </c>
      <c r="V81" s="16">
        <v>43.8</v>
      </c>
      <c r="W81" s="16">
        <v>25.5</v>
      </c>
      <c r="X81" s="16">
        <v>31.9</v>
      </c>
      <c r="Y81" s="16">
        <v>12.9</v>
      </c>
      <c r="Z81" s="16">
        <v>43.9</v>
      </c>
      <c r="AA81" s="16">
        <v>27.2</v>
      </c>
      <c r="AB81" s="16">
        <v>32.299999999999997</v>
      </c>
      <c r="AC81" s="16">
        <v>14.5</v>
      </c>
      <c r="AD81" s="16">
        <v>38.6</v>
      </c>
      <c r="AE81" s="16">
        <v>16.399999999999999</v>
      </c>
      <c r="AF81" s="16"/>
      <c r="AG81" s="16"/>
      <c r="AH81" s="16"/>
      <c r="AI81" s="16"/>
      <c r="AJ81" s="16">
        <v>28.2</v>
      </c>
      <c r="AK81" s="16">
        <v>11.8</v>
      </c>
      <c r="AL81" s="16">
        <v>33.9</v>
      </c>
      <c r="AM81" s="16">
        <v>13.4</v>
      </c>
    </row>
    <row r="82" spans="1:39" x14ac:dyDescent="0.25">
      <c r="A82" s="22">
        <v>1929</v>
      </c>
      <c r="B82" s="16">
        <v>42.3</v>
      </c>
      <c r="C82" s="16">
        <v>23.7</v>
      </c>
      <c r="D82" s="16">
        <v>45.9</v>
      </c>
      <c r="E82" s="16">
        <v>23</v>
      </c>
      <c r="F82" s="16">
        <v>48.3</v>
      </c>
      <c r="G82" s="16">
        <v>32.5</v>
      </c>
      <c r="H82" s="16">
        <v>44.5</v>
      </c>
      <c r="I82" s="16">
        <v>22.3</v>
      </c>
      <c r="J82" s="16">
        <v>49.1</v>
      </c>
      <c r="K82" s="16">
        <v>27.3</v>
      </c>
      <c r="L82" s="16"/>
      <c r="M82" s="16"/>
      <c r="N82" s="16"/>
      <c r="O82" s="16"/>
      <c r="P82" s="16"/>
      <c r="Q82" s="16"/>
      <c r="R82" s="16"/>
      <c r="S82" s="16"/>
      <c r="T82" s="16">
        <v>46.9</v>
      </c>
      <c r="U82" s="16">
        <v>34.6</v>
      </c>
      <c r="V82" s="16">
        <v>43.1</v>
      </c>
      <c r="W82" s="16">
        <v>25</v>
      </c>
      <c r="X82" s="16">
        <v>31.2</v>
      </c>
      <c r="Y82" s="16">
        <v>12.5</v>
      </c>
      <c r="Z82" s="16">
        <v>43.9</v>
      </c>
      <c r="AA82" s="16">
        <v>27.4</v>
      </c>
      <c r="AB82" s="16">
        <v>32</v>
      </c>
      <c r="AC82" s="16">
        <v>14.1</v>
      </c>
      <c r="AD82" s="16">
        <v>38.200000000000003</v>
      </c>
      <c r="AE82" s="16">
        <v>16.2</v>
      </c>
      <c r="AF82" s="16"/>
      <c r="AG82" s="16"/>
      <c r="AH82" s="16"/>
      <c r="AI82" s="16"/>
      <c r="AJ82" s="16">
        <v>27.7</v>
      </c>
      <c r="AK82" s="16">
        <v>11.7</v>
      </c>
      <c r="AL82" s="16">
        <v>33.299999999999997</v>
      </c>
      <c r="AM82" s="16">
        <v>13.1</v>
      </c>
    </row>
    <row r="83" spans="1:39" x14ac:dyDescent="0.25">
      <c r="A83" s="22">
        <v>1930</v>
      </c>
      <c r="B83" s="16">
        <v>41.1</v>
      </c>
      <c r="C83" s="16">
        <v>22.9</v>
      </c>
      <c r="D83" s="16">
        <v>45.4</v>
      </c>
      <c r="E83" s="16">
        <v>22.5</v>
      </c>
      <c r="F83" s="16">
        <v>47.5</v>
      </c>
      <c r="G83" s="16">
        <v>32.200000000000003</v>
      </c>
      <c r="H83" s="16">
        <v>44</v>
      </c>
      <c r="I83" s="16">
        <v>22.5</v>
      </c>
      <c r="J83" s="16">
        <v>48.9</v>
      </c>
      <c r="K83" s="16">
        <v>26.5</v>
      </c>
      <c r="L83" s="16"/>
      <c r="M83" s="16"/>
      <c r="N83" s="16"/>
      <c r="O83" s="16"/>
      <c r="P83" s="16"/>
      <c r="Q83" s="16"/>
      <c r="R83" s="16"/>
      <c r="S83" s="16"/>
      <c r="T83" s="16">
        <v>46.8</v>
      </c>
      <c r="U83" s="16">
        <v>34</v>
      </c>
      <c r="V83" s="16">
        <v>41.9</v>
      </c>
      <c r="W83" s="16">
        <v>24.7</v>
      </c>
      <c r="X83" s="16">
        <v>30.5</v>
      </c>
      <c r="Y83" s="16">
        <v>12</v>
      </c>
      <c r="Z83" s="16">
        <v>44.1</v>
      </c>
      <c r="AA83" s="16">
        <v>27.4</v>
      </c>
      <c r="AB83" s="16">
        <v>31.7</v>
      </c>
      <c r="AC83" s="16">
        <v>13.7</v>
      </c>
      <c r="AD83" s="16">
        <v>37.799999999999997</v>
      </c>
      <c r="AE83" s="16">
        <v>16</v>
      </c>
      <c r="AF83" s="16"/>
      <c r="AG83" s="16"/>
      <c r="AH83" s="16"/>
      <c r="AI83" s="16"/>
      <c r="AJ83" s="16">
        <v>27.2</v>
      </c>
      <c r="AK83" s="16">
        <v>11.7</v>
      </c>
      <c r="AL83" s="16">
        <v>32.6</v>
      </c>
      <c r="AM83" s="16">
        <v>12.6</v>
      </c>
    </row>
    <row r="84" spans="1:39" x14ac:dyDescent="0.25">
      <c r="A84" s="22">
        <v>1931</v>
      </c>
      <c r="B84" s="16">
        <v>40.200000000000003</v>
      </c>
      <c r="C84" s="16">
        <v>22.2</v>
      </c>
      <c r="D84" s="16">
        <v>45</v>
      </c>
      <c r="E84" s="16">
        <v>22</v>
      </c>
      <c r="F84" s="16">
        <v>46.8</v>
      </c>
      <c r="G84" s="16">
        <v>31.9</v>
      </c>
      <c r="H84" s="16">
        <v>43.5</v>
      </c>
      <c r="I84" s="16">
        <v>22.6</v>
      </c>
      <c r="J84" s="16">
        <v>48.6</v>
      </c>
      <c r="K84" s="16">
        <v>25.9</v>
      </c>
      <c r="L84" s="16"/>
      <c r="M84" s="16"/>
      <c r="N84" s="16"/>
      <c r="O84" s="16"/>
      <c r="P84" s="16"/>
      <c r="Q84" s="16"/>
      <c r="R84" s="16"/>
      <c r="S84" s="16"/>
      <c r="T84" s="16">
        <v>46.7</v>
      </c>
      <c r="U84" s="16">
        <v>33.4</v>
      </c>
      <c r="V84" s="16">
        <v>40.9</v>
      </c>
      <c r="W84" s="16">
        <v>24.5</v>
      </c>
      <c r="X84" s="16">
        <v>29.7</v>
      </c>
      <c r="Y84" s="16">
        <v>11.7</v>
      </c>
      <c r="Z84" s="16">
        <v>44.2</v>
      </c>
      <c r="AA84" s="16">
        <v>27.3</v>
      </c>
      <c r="AB84" s="16">
        <v>31.5</v>
      </c>
      <c r="AC84" s="16">
        <v>13.4</v>
      </c>
      <c r="AD84" s="16">
        <v>37.5</v>
      </c>
      <c r="AE84" s="16">
        <v>15.7</v>
      </c>
      <c r="AF84" s="16"/>
      <c r="AG84" s="16"/>
      <c r="AH84" s="16"/>
      <c r="AI84" s="16"/>
      <c r="AJ84" s="16">
        <v>26.6</v>
      </c>
      <c r="AK84" s="16">
        <v>11.6</v>
      </c>
      <c r="AL84" s="16">
        <v>31.8</v>
      </c>
      <c r="AM84" s="16">
        <v>12.3</v>
      </c>
    </row>
    <row r="85" spans="1:39" x14ac:dyDescent="0.25">
      <c r="A85" s="22">
        <v>1932</v>
      </c>
      <c r="B85" s="16">
        <v>39.6</v>
      </c>
      <c r="C85" s="16">
        <v>21.8</v>
      </c>
      <c r="D85" s="16">
        <v>44.6</v>
      </c>
      <c r="E85" s="16">
        <v>21.5</v>
      </c>
      <c r="F85" s="16">
        <v>46.2</v>
      </c>
      <c r="G85" s="16">
        <v>31.7</v>
      </c>
      <c r="H85" s="16">
        <v>43.2</v>
      </c>
      <c r="I85" s="16">
        <v>22.6</v>
      </c>
      <c r="J85" s="16">
        <v>48.5</v>
      </c>
      <c r="K85" s="16">
        <v>25.5</v>
      </c>
      <c r="L85" s="16"/>
      <c r="M85" s="16"/>
      <c r="N85" s="16"/>
      <c r="O85" s="16"/>
      <c r="P85" s="16"/>
      <c r="Q85" s="16"/>
      <c r="R85" s="16"/>
      <c r="S85" s="16"/>
      <c r="T85" s="16">
        <v>46.6</v>
      </c>
      <c r="U85" s="16">
        <v>32.799999999999997</v>
      </c>
      <c r="V85" s="16">
        <v>40</v>
      </c>
      <c r="W85" s="16">
        <v>24.4</v>
      </c>
      <c r="X85" s="16">
        <v>28.9</v>
      </c>
      <c r="Y85" s="16">
        <v>11.5</v>
      </c>
      <c r="Z85" s="16">
        <v>44.2</v>
      </c>
      <c r="AA85" s="16">
        <v>26.9</v>
      </c>
      <c r="AB85" s="16">
        <v>31.3</v>
      </c>
      <c r="AC85" s="16">
        <v>13.2</v>
      </c>
      <c r="AD85" s="16">
        <v>37.299999999999997</v>
      </c>
      <c r="AE85" s="16">
        <v>15.2</v>
      </c>
      <c r="AF85" s="16"/>
      <c r="AG85" s="16"/>
      <c r="AH85" s="16"/>
      <c r="AI85" s="16"/>
      <c r="AJ85" s="16">
        <v>25.9</v>
      </c>
      <c r="AK85" s="16">
        <v>11.5</v>
      </c>
      <c r="AL85" s="16">
        <v>31</v>
      </c>
      <c r="AM85" s="16">
        <v>12.1</v>
      </c>
    </row>
    <row r="86" spans="1:39" x14ac:dyDescent="0.25">
      <c r="A86" s="22">
        <v>1933</v>
      </c>
      <c r="B86" s="16">
        <v>39.299999999999997</v>
      </c>
      <c r="C86" s="16">
        <v>21.4</v>
      </c>
      <c r="D86" s="16">
        <v>44.2</v>
      </c>
      <c r="E86" s="16">
        <v>21</v>
      </c>
      <c r="F86" s="16">
        <v>45.6</v>
      </c>
      <c r="G86" s="16">
        <v>31.5</v>
      </c>
      <c r="H86" s="16">
        <v>43</v>
      </c>
      <c r="I86" s="16">
        <v>22.5</v>
      </c>
      <c r="J86" s="16">
        <v>48.3</v>
      </c>
      <c r="K86" s="16">
        <v>25.3</v>
      </c>
      <c r="L86" s="16"/>
      <c r="M86" s="16"/>
      <c r="N86" s="16"/>
      <c r="O86" s="16"/>
      <c r="P86" s="16"/>
      <c r="Q86" s="16"/>
      <c r="R86" s="16"/>
      <c r="S86" s="16"/>
      <c r="T86" s="16">
        <v>46.3</v>
      </c>
      <c r="U86" s="16">
        <v>32.1</v>
      </c>
      <c r="V86" s="16">
        <v>39.4</v>
      </c>
      <c r="W86" s="16">
        <v>24.4</v>
      </c>
      <c r="X86" s="16">
        <v>28.1</v>
      </c>
      <c r="Y86" s="16">
        <v>11.4</v>
      </c>
      <c r="Z86" s="16">
        <v>44.1</v>
      </c>
      <c r="AA86" s="16">
        <v>26.4</v>
      </c>
      <c r="AB86" s="16">
        <v>31.1</v>
      </c>
      <c r="AC86" s="16">
        <v>13.1</v>
      </c>
      <c r="AD86" s="16">
        <v>37.200000000000003</v>
      </c>
      <c r="AE86" s="16">
        <v>14.7</v>
      </c>
      <c r="AF86" s="16"/>
      <c r="AG86" s="16"/>
      <c r="AH86" s="16"/>
      <c r="AI86" s="16"/>
      <c r="AJ86" s="16">
        <v>25.1</v>
      </c>
      <c r="AK86" s="16">
        <v>11.4</v>
      </c>
      <c r="AL86" s="16">
        <v>30.1</v>
      </c>
      <c r="AM86" s="16">
        <v>12</v>
      </c>
    </row>
    <row r="87" spans="1:39" x14ac:dyDescent="0.25">
      <c r="A87" s="22">
        <v>1934</v>
      </c>
      <c r="B87" s="16">
        <v>39.299999999999997</v>
      </c>
      <c r="C87" s="16">
        <v>21.3</v>
      </c>
      <c r="D87" s="16">
        <v>43.9</v>
      </c>
      <c r="E87" s="16">
        <v>20.5</v>
      </c>
      <c r="F87" s="16">
        <v>45.1</v>
      </c>
      <c r="G87" s="16">
        <v>31.3</v>
      </c>
      <c r="H87" s="16">
        <v>42.8</v>
      </c>
      <c r="I87" s="16">
        <v>22.4</v>
      </c>
      <c r="J87" s="16">
        <v>48.2</v>
      </c>
      <c r="K87" s="16">
        <v>25.3</v>
      </c>
      <c r="L87" s="16"/>
      <c r="M87" s="16"/>
      <c r="N87" s="16"/>
      <c r="O87" s="16"/>
      <c r="P87" s="16"/>
      <c r="Q87" s="16"/>
      <c r="R87" s="16"/>
      <c r="S87" s="16"/>
      <c r="T87" s="16">
        <v>46.1</v>
      </c>
      <c r="U87" s="16">
        <v>31.3</v>
      </c>
      <c r="V87" s="16">
        <v>38.9</v>
      </c>
      <c r="W87" s="16">
        <v>24.4</v>
      </c>
      <c r="X87" s="16">
        <v>27.3</v>
      </c>
      <c r="Y87" s="16">
        <v>11.5</v>
      </c>
      <c r="Z87" s="16">
        <v>43.9</v>
      </c>
      <c r="AA87" s="16">
        <v>25.6</v>
      </c>
      <c r="AB87" s="16">
        <v>30.9</v>
      </c>
      <c r="AC87" s="16">
        <v>13</v>
      </c>
      <c r="AD87" s="16">
        <v>37.200000000000003</v>
      </c>
      <c r="AE87" s="16">
        <v>14</v>
      </c>
      <c r="AF87" s="16"/>
      <c r="AG87" s="16"/>
      <c r="AH87" s="16"/>
      <c r="AI87" s="16"/>
      <c r="AJ87" s="16">
        <v>24.3</v>
      </c>
      <c r="AK87" s="16">
        <v>11.4</v>
      </c>
      <c r="AL87" s="16">
        <v>29.1</v>
      </c>
      <c r="AM87" s="16">
        <v>12</v>
      </c>
    </row>
    <row r="88" spans="1:39" x14ac:dyDescent="0.25">
      <c r="A88" s="22">
        <v>1935</v>
      </c>
      <c r="B88" s="16">
        <v>39.700000000000003</v>
      </c>
      <c r="C88" s="16">
        <v>21.3</v>
      </c>
      <c r="D88" s="16">
        <v>43.6</v>
      </c>
      <c r="E88" s="16">
        <v>20</v>
      </c>
      <c r="F88" s="16">
        <v>44.6</v>
      </c>
      <c r="G88" s="16">
        <v>31.3</v>
      </c>
      <c r="H88" s="16">
        <v>42.8</v>
      </c>
      <c r="I88" s="16">
        <v>22.2</v>
      </c>
      <c r="J88" s="16">
        <v>48.2</v>
      </c>
      <c r="K88" s="16">
        <v>25.6</v>
      </c>
      <c r="L88" s="16"/>
      <c r="M88" s="16"/>
      <c r="N88" s="16"/>
      <c r="O88" s="16"/>
      <c r="P88" s="16"/>
      <c r="Q88" s="16"/>
      <c r="R88" s="16"/>
      <c r="S88" s="16"/>
      <c r="T88" s="16">
        <v>45.7</v>
      </c>
      <c r="U88" s="16">
        <v>30.4</v>
      </c>
      <c r="V88" s="16">
        <v>38.6</v>
      </c>
      <c r="W88" s="16">
        <v>24.5</v>
      </c>
      <c r="X88" s="16">
        <v>26.5</v>
      </c>
      <c r="Y88" s="16">
        <v>11.7</v>
      </c>
      <c r="Z88" s="16">
        <v>43.7</v>
      </c>
      <c r="AA88" s="16">
        <v>24.6</v>
      </c>
      <c r="AB88" s="16">
        <v>30.7</v>
      </c>
      <c r="AC88" s="16">
        <v>13</v>
      </c>
      <c r="AD88" s="16">
        <v>37.200000000000003</v>
      </c>
      <c r="AE88" s="16">
        <v>13.2</v>
      </c>
      <c r="AF88" s="16"/>
      <c r="AG88" s="16"/>
      <c r="AH88" s="16"/>
      <c r="AI88" s="16"/>
      <c r="AJ88" s="16">
        <v>23.4</v>
      </c>
      <c r="AK88" s="16">
        <v>11.3</v>
      </c>
      <c r="AL88" s="16">
        <v>28.1</v>
      </c>
      <c r="AM88" s="16">
        <v>12.2</v>
      </c>
    </row>
    <row r="89" spans="1:39" x14ac:dyDescent="0.25">
      <c r="A89" s="22">
        <v>1936</v>
      </c>
      <c r="B89" s="16">
        <v>40</v>
      </c>
      <c r="C89" s="16">
        <v>21.2</v>
      </c>
      <c r="D89" s="16">
        <v>43.4</v>
      </c>
      <c r="E89" s="16">
        <v>19.5</v>
      </c>
      <c r="F89" s="16">
        <v>44.3</v>
      </c>
      <c r="G89" s="16">
        <v>31.1</v>
      </c>
      <c r="H89" s="16">
        <v>42.7</v>
      </c>
      <c r="I89" s="16">
        <v>22</v>
      </c>
      <c r="J89" s="16">
        <v>48</v>
      </c>
      <c r="K89" s="16">
        <v>25.7</v>
      </c>
      <c r="L89" s="16"/>
      <c r="M89" s="16"/>
      <c r="N89" s="16"/>
      <c r="O89" s="16"/>
      <c r="P89" s="16"/>
      <c r="Q89" s="16"/>
      <c r="R89" s="16"/>
      <c r="S89" s="16"/>
      <c r="T89" s="16">
        <v>45.5</v>
      </c>
      <c r="U89" s="16">
        <v>29.8</v>
      </c>
      <c r="V89" s="16">
        <v>38.4</v>
      </c>
      <c r="W89" s="16">
        <v>24.4</v>
      </c>
      <c r="X89" s="16">
        <v>25.9</v>
      </c>
      <c r="Y89" s="16">
        <v>11.7</v>
      </c>
      <c r="Z89" s="16">
        <v>43.5</v>
      </c>
      <c r="AA89" s="16">
        <v>23.9</v>
      </c>
      <c r="AB89" s="16">
        <v>30.7</v>
      </c>
      <c r="AC89" s="16">
        <v>12.9</v>
      </c>
      <c r="AD89" s="16">
        <v>37.4</v>
      </c>
      <c r="AE89" s="16">
        <v>12.7</v>
      </c>
      <c r="AF89" s="16"/>
      <c r="AG89" s="16"/>
      <c r="AH89" s="16"/>
      <c r="AI89" s="16"/>
      <c r="AJ89" s="16">
        <v>22.6</v>
      </c>
      <c r="AK89" s="16">
        <v>11.2</v>
      </c>
      <c r="AL89" s="16">
        <v>27.3</v>
      </c>
      <c r="AM89" s="16">
        <v>12.2</v>
      </c>
    </row>
    <row r="90" spans="1:39" x14ac:dyDescent="0.25">
      <c r="A90" s="22">
        <v>1937</v>
      </c>
      <c r="B90" s="16">
        <v>40.200000000000003</v>
      </c>
      <c r="C90" s="16">
        <v>21.1</v>
      </c>
      <c r="D90" s="16">
        <v>43.3</v>
      </c>
      <c r="E90" s="16">
        <v>19.100000000000001</v>
      </c>
      <c r="F90" s="16">
        <v>44.1</v>
      </c>
      <c r="G90" s="16">
        <v>30.8</v>
      </c>
      <c r="H90" s="16">
        <v>42.6</v>
      </c>
      <c r="I90" s="16">
        <v>21.7</v>
      </c>
      <c r="J90" s="16">
        <v>47.8</v>
      </c>
      <c r="K90" s="16">
        <v>25.7</v>
      </c>
      <c r="L90" s="16"/>
      <c r="M90" s="16"/>
      <c r="N90" s="16"/>
      <c r="O90" s="16"/>
      <c r="P90" s="16"/>
      <c r="Q90" s="16"/>
      <c r="R90" s="16"/>
      <c r="S90" s="16"/>
      <c r="T90" s="16">
        <v>45.3</v>
      </c>
      <c r="U90" s="16">
        <v>29.4</v>
      </c>
      <c r="V90" s="16">
        <v>38.299999999999997</v>
      </c>
      <c r="W90" s="16">
        <v>24</v>
      </c>
      <c r="X90" s="16">
        <v>25.5</v>
      </c>
      <c r="Y90" s="16">
        <v>11.7</v>
      </c>
      <c r="Z90" s="16">
        <v>43.4</v>
      </c>
      <c r="AA90" s="16">
        <v>23.3</v>
      </c>
      <c r="AB90" s="16">
        <v>30.8</v>
      </c>
      <c r="AC90" s="16">
        <v>12.8</v>
      </c>
      <c r="AD90" s="16">
        <v>37.700000000000003</v>
      </c>
      <c r="AE90" s="16">
        <v>12.4</v>
      </c>
      <c r="AF90" s="16"/>
      <c r="AG90" s="16"/>
      <c r="AH90" s="16"/>
      <c r="AI90" s="16"/>
      <c r="AJ90" s="16">
        <v>22.1</v>
      </c>
      <c r="AK90" s="16">
        <v>11.1</v>
      </c>
      <c r="AL90" s="16">
        <v>26.7</v>
      </c>
      <c r="AM90" s="16">
        <v>12.1</v>
      </c>
    </row>
    <row r="91" spans="1:39" x14ac:dyDescent="0.25">
      <c r="A91" s="22">
        <v>1938</v>
      </c>
      <c r="B91" s="16">
        <v>40.5</v>
      </c>
      <c r="C91" s="16">
        <v>21</v>
      </c>
      <c r="D91" s="16">
        <v>43.1</v>
      </c>
      <c r="E91" s="16">
        <v>18.8</v>
      </c>
      <c r="F91" s="16">
        <v>44</v>
      </c>
      <c r="G91" s="16">
        <v>30.4</v>
      </c>
      <c r="H91" s="16">
        <v>42.5</v>
      </c>
      <c r="I91" s="16">
        <v>21.3</v>
      </c>
      <c r="J91" s="16">
        <v>47.5</v>
      </c>
      <c r="K91" s="16">
        <v>25.6</v>
      </c>
      <c r="L91" s="16"/>
      <c r="M91" s="16"/>
      <c r="N91" s="16"/>
      <c r="O91" s="16"/>
      <c r="P91" s="16"/>
      <c r="Q91" s="16"/>
      <c r="R91" s="16"/>
      <c r="S91" s="16"/>
      <c r="T91" s="16">
        <v>45.2</v>
      </c>
      <c r="U91" s="16">
        <v>29.2</v>
      </c>
      <c r="V91" s="16">
        <v>38.299999999999997</v>
      </c>
      <c r="W91" s="16">
        <v>23.4</v>
      </c>
      <c r="X91" s="16">
        <v>25.3</v>
      </c>
      <c r="Y91" s="16">
        <v>11.6</v>
      </c>
      <c r="Z91" s="16">
        <v>43.4</v>
      </c>
      <c r="AA91" s="16">
        <v>23</v>
      </c>
      <c r="AB91" s="16">
        <v>31</v>
      </c>
      <c r="AC91" s="16">
        <v>12.5</v>
      </c>
      <c r="AD91" s="16">
        <v>38.1</v>
      </c>
      <c r="AE91" s="16">
        <v>12.3</v>
      </c>
      <c r="AF91" s="16"/>
      <c r="AG91" s="16"/>
      <c r="AH91" s="16"/>
      <c r="AI91" s="16"/>
      <c r="AJ91" s="16">
        <v>21.8</v>
      </c>
      <c r="AK91" s="16">
        <v>11</v>
      </c>
      <c r="AL91" s="16">
        <v>26.3</v>
      </c>
      <c r="AM91" s="16">
        <v>11.9</v>
      </c>
    </row>
    <row r="92" spans="1:39" x14ac:dyDescent="0.25">
      <c r="A92" s="22">
        <v>1939</v>
      </c>
      <c r="B92" s="16">
        <v>40.700000000000003</v>
      </c>
      <c r="C92" s="16">
        <v>20.9</v>
      </c>
      <c r="D92" s="16">
        <v>43.1</v>
      </c>
      <c r="E92" s="16">
        <v>18.600000000000001</v>
      </c>
      <c r="F92" s="16">
        <v>44</v>
      </c>
      <c r="G92" s="16">
        <v>30</v>
      </c>
      <c r="H92" s="16">
        <v>42.4</v>
      </c>
      <c r="I92" s="16">
        <v>20.9</v>
      </c>
      <c r="J92" s="16">
        <v>47.1</v>
      </c>
      <c r="K92" s="16">
        <v>25.5</v>
      </c>
      <c r="L92" s="16"/>
      <c r="M92" s="16"/>
      <c r="N92" s="16"/>
      <c r="O92" s="16"/>
      <c r="P92" s="16"/>
      <c r="Q92" s="16"/>
      <c r="R92" s="16"/>
      <c r="S92" s="16"/>
      <c r="T92" s="16">
        <v>45.3</v>
      </c>
      <c r="U92" s="16">
        <v>29.3</v>
      </c>
      <c r="V92" s="16">
        <v>38.299999999999997</v>
      </c>
      <c r="W92" s="16">
        <v>22.6</v>
      </c>
      <c r="X92" s="16">
        <v>25.4</v>
      </c>
      <c r="Y92" s="16">
        <v>11.3</v>
      </c>
      <c r="Z92" s="16">
        <v>43.4</v>
      </c>
      <c r="AA92" s="16">
        <v>22.8</v>
      </c>
      <c r="AB92" s="16">
        <v>31.3</v>
      </c>
      <c r="AC92" s="16">
        <v>12.2</v>
      </c>
      <c r="AD92" s="16">
        <v>38.6</v>
      </c>
      <c r="AE92" s="16">
        <v>12.4</v>
      </c>
      <c r="AF92" s="16"/>
      <c r="AG92" s="16"/>
      <c r="AH92" s="16"/>
      <c r="AI92" s="16"/>
      <c r="AJ92" s="16">
        <v>21.6</v>
      </c>
      <c r="AK92" s="16">
        <v>10.9</v>
      </c>
      <c r="AL92" s="16">
        <v>26.1</v>
      </c>
      <c r="AM92" s="16">
        <v>11.6</v>
      </c>
    </row>
    <row r="93" spans="1:39" x14ac:dyDescent="0.25">
      <c r="A93" s="22">
        <v>1940</v>
      </c>
      <c r="B93" s="16">
        <v>40.799999999999997</v>
      </c>
      <c r="C93" s="16">
        <v>20.7</v>
      </c>
      <c r="D93" s="16">
        <v>43</v>
      </c>
      <c r="E93" s="16">
        <v>18.5</v>
      </c>
      <c r="F93" s="16">
        <v>44.2</v>
      </c>
      <c r="G93" s="16">
        <v>29.4</v>
      </c>
      <c r="H93" s="16">
        <v>42.3</v>
      </c>
      <c r="I93" s="16">
        <v>20.5</v>
      </c>
      <c r="J93" s="16">
        <v>46.6</v>
      </c>
      <c r="K93" s="16">
        <v>25.2</v>
      </c>
      <c r="L93" s="16"/>
      <c r="M93" s="16"/>
      <c r="N93" s="16"/>
      <c r="O93" s="16"/>
      <c r="P93" s="16">
        <v>44.4</v>
      </c>
      <c r="Q93" s="16">
        <v>29.8</v>
      </c>
      <c r="R93" s="16"/>
      <c r="S93" s="16"/>
      <c r="T93" s="16">
        <v>45.4</v>
      </c>
      <c r="U93" s="16">
        <v>29.6</v>
      </c>
      <c r="V93" s="16">
        <v>38.5</v>
      </c>
      <c r="W93" s="16">
        <v>21.6</v>
      </c>
      <c r="X93" s="16">
        <v>25.6</v>
      </c>
      <c r="Y93" s="16">
        <v>10.9</v>
      </c>
      <c r="Z93" s="16">
        <v>43.5</v>
      </c>
      <c r="AA93" s="16">
        <v>22.8</v>
      </c>
      <c r="AB93" s="16">
        <v>31.8</v>
      </c>
      <c r="AC93" s="16">
        <v>11.8</v>
      </c>
      <c r="AD93" s="16">
        <v>39.200000000000003</v>
      </c>
      <c r="AE93" s="16">
        <v>12.7</v>
      </c>
      <c r="AF93" s="16"/>
      <c r="AG93" s="16"/>
      <c r="AH93" s="16"/>
      <c r="AI93" s="16"/>
      <c r="AJ93" s="16">
        <v>21.7</v>
      </c>
      <c r="AK93" s="16">
        <v>10.7</v>
      </c>
      <c r="AL93" s="16">
        <v>26.1</v>
      </c>
      <c r="AM93" s="16">
        <v>11.1</v>
      </c>
    </row>
    <row r="94" spans="1:39" x14ac:dyDescent="0.25">
      <c r="A94" s="22">
        <v>1941</v>
      </c>
      <c r="B94" s="16">
        <v>41.1</v>
      </c>
      <c r="C94" s="16">
        <v>20.399999999999999</v>
      </c>
      <c r="D94" s="16">
        <v>42.9</v>
      </c>
      <c r="E94" s="16">
        <v>18.2</v>
      </c>
      <c r="F94" s="16">
        <v>44.5</v>
      </c>
      <c r="G94" s="16">
        <v>28.9</v>
      </c>
      <c r="H94" s="16">
        <v>42.3</v>
      </c>
      <c r="I94" s="16">
        <v>20.2</v>
      </c>
      <c r="J94" s="16">
        <v>46.2</v>
      </c>
      <c r="K94" s="16">
        <v>24.8</v>
      </c>
      <c r="L94" s="16"/>
      <c r="M94" s="16"/>
      <c r="N94" s="16"/>
      <c r="O94" s="16"/>
      <c r="P94" s="16">
        <v>44.4</v>
      </c>
      <c r="Q94" s="16">
        <v>29.5</v>
      </c>
      <c r="R94" s="16"/>
      <c r="S94" s="16"/>
      <c r="T94" s="16">
        <v>45.4</v>
      </c>
      <c r="U94" s="16">
        <v>29.4</v>
      </c>
      <c r="V94" s="16">
        <v>38.5</v>
      </c>
      <c r="W94" s="16">
        <v>20.7</v>
      </c>
      <c r="X94" s="16">
        <v>25.8</v>
      </c>
      <c r="Y94" s="16">
        <v>10.6</v>
      </c>
      <c r="Z94" s="16">
        <v>43.7</v>
      </c>
      <c r="AA94" s="16">
        <v>22.5</v>
      </c>
      <c r="AB94" s="16">
        <v>32.1</v>
      </c>
      <c r="AC94" s="16">
        <v>11.4</v>
      </c>
      <c r="AD94" s="16">
        <v>39.6</v>
      </c>
      <c r="AE94" s="16">
        <v>12.9</v>
      </c>
      <c r="AF94" s="16"/>
      <c r="AG94" s="16"/>
      <c r="AH94" s="16"/>
      <c r="AI94" s="16"/>
      <c r="AJ94" s="16">
        <v>21.7</v>
      </c>
      <c r="AK94" s="16">
        <v>10.5</v>
      </c>
      <c r="AL94" s="16">
        <v>26.1</v>
      </c>
      <c r="AM94" s="16">
        <v>10.8</v>
      </c>
    </row>
    <row r="95" spans="1:39" x14ac:dyDescent="0.25">
      <c r="A95" s="22">
        <v>1942</v>
      </c>
      <c r="B95" s="16">
        <v>41.4</v>
      </c>
      <c r="C95" s="16">
        <v>20</v>
      </c>
      <c r="D95" s="16">
        <v>42.8</v>
      </c>
      <c r="E95" s="16">
        <v>17.600000000000001</v>
      </c>
      <c r="F95" s="16">
        <v>45</v>
      </c>
      <c r="G95" s="16">
        <v>28.5</v>
      </c>
      <c r="H95" s="16">
        <v>42.3</v>
      </c>
      <c r="I95" s="16">
        <v>20.100000000000001</v>
      </c>
      <c r="J95" s="16">
        <v>45.9</v>
      </c>
      <c r="K95" s="16">
        <v>24.2</v>
      </c>
      <c r="L95" s="16"/>
      <c r="M95" s="16"/>
      <c r="N95" s="16"/>
      <c r="O95" s="16"/>
      <c r="P95" s="16">
        <v>44.5</v>
      </c>
      <c r="Q95" s="16">
        <v>29.1</v>
      </c>
      <c r="R95" s="16"/>
      <c r="S95" s="16"/>
      <c r="T95" s="16">
        <v>45.3</v>
      </c>
      <c r="U95" s="16">
        <v>28.9</v>
      </c>
      <c r="V95" s="16">
        <v>38.4</v>
      </c>
      <c r="W95" s="16">
        <v>20</v>
      </c>
      <c r="X95" s="16">
        <v>25.8</v>
      </c>
      <c r="Y95" s="16">
        <v>10.4</v>
      </c>
      <c r="Z95" s="16">
        <v>43.8</v>
      </c>
      <c r="AA95" s="16">
        <v>22</v>
      </c>
      <c r="AB95" s="16">
        <v>32.1</v>
      </c>
      <c r="AC95" s="16">
        <v>11</v>
      </c>
      <c r="AD95" s="16">
        <v>39.700000000000003</v>
      </c>
      <c r="AE95" s="16">
        <v>12.9</v>
      </c>
      <c r="AF95" s="16"/>
      <c r="AG95" s="16"/>
      <c r="AH95" s="16"/>
      <c r="AI95" s="16"/>
      <c r="AJ95" s="16">
        <v>21.6</v>
      </c>
      <c r="AK95" s="16">
        <v>10.3</v>
      </c>
      <c r="AL95" s="16">
        <v>26.1</v>
      </c>
      <c r="AM95" s="16">
        <v>10.4</v>
      </c>
    </row>
    <row r="96" spans="1:39" x14ac:dyDescent="0.25">
      <c r="A96" s="22">
        <v>1943</v>
      </c>
      <c r="B96" s="16">
        <v>41.8</v>
      </c>
      <c r="C96" s="16">
        <v>19.399999999999999</v>
      </c>
      <c r="D96" s="16">
        <v>42.7</v>
      </c>
      <c r="E96" s="16">
        <v>16.899999999999999</v>
      </c>
      <c r="F96" s="16">
        <v>45.7</v>
      </c>
      <c r="G96" s="16">
        <v>28.1</v>
      </c>
      <c r="H96" s="16">
        <v>42.4</v>
      </c>
      <c r="I96" s="16">
        <v>20.2</v>
      </c>
      <c r="J96" s="16">
        <v>45.7</v>
      </c>
      <c r="K96" s="16">
        <v>23.4</v>
      </c>
      <c r="L96" s="16"/>
      <c r="M96" s="16"/>
      <c r="N96" s="16"/>
      <c r="O96" s="16"/>
      <c r="P96" s="16">
        <v>44.5</v>
      </c>
      <c r="Q96" s="16">
        <v>28.3</v>
      </c>
      <c r="R96" s="16"/>
      <c r="S96" s="16"/>
      <c r="T96" s="16">
        <v>45.1</v>
      </c>
      <c r="U96" s="16">
        <v>28</v>
      </c>
      <c r="V96" s="16">
        <v>38.200000000000003</v>
      </c>
      <c r="W96" s="16">
        <v>19.399999999999999</v>
      </c>
      <c r="X96" s="16">
        <v>25.7</v>
      </c>
      <c r="Y96" s="16">
        <v>10.1</v>
      </c>
      <c r="Z96" s="16">
        <v>43.9</v>
      </c>
      <c r="AA96" s="16">
        <v>21.4</v>
      </c>
      <c r="AB96" s="16">
        <v>31.9</v>
      </c>
      <c r="AC96" s="16">
        <v>10.5</v>
      </c>
      <c r="AD96" s="16">
        <v>39.700000000000003</v>
      </c>
      <c r="AE96" s="16">
        <v>12.7</v>
      </c>
      <c r="AF96" s="16"/>
      <c r="AG96" s="16"/>
      <c r="AH96" s="16"/>
      <c r="AI96" s="16"/>
      <c r="AJ96" s="16">
        <v>21.6</v>
      </c>
      <c r="AK96" s="16">
        <v>10.1</v>
      </c>
      <c r="AL96" s="16">
        <v>26.1</v>
      </c>
      <c r="AM96" s="16">
        <v>10.199999999999999</v>
      </c>
    </row>
    <row r="97" spans="1:39" x14ac:dyDescent="0.25">
      <c r="A97" s="22">
        <v>1944</v>
      </c>
      <c r="B97" s="16">
        <v>42.3</v>
      </c>
      <c r="C97" s="16">
        <v>18.7</v>
      </c>
      <c r="D97" s="16">
        <v>42.5</v>
      </c>
      <c r="E97" s="16">
        <v>16</v>
      </c>
      <c r="F97" s="16">
        <v>46.5</v>
      </c>
      <c r="G97" s="16">
        <v>27.7</v>
      </c>
      <c r="H97" s="16">
        <v>42.7</v>
      </c>
      <c r="I97" s="16">
        <v>20.399999999999999</v>
      </c>
      <c r="J97" s="16">
        <v>45.7</v>
      </c>
      <c r="K97" s="16">
        <v>22.6</v>
      </c>
      <c r="L97" s="16"/>
      <c r="M97" s="16"/>
      <c r="N97" s="16"/>
      <c r="O97" s="16"/>
      <c r="P97" s="16">
        <v>44.6</v>
      </c>
      <c r="Q97" s="16">
        <v>27.4</v>
      </c>
      <c r="R97" s="16"/>
      <c r="S97" s="16"/>
      <c r="T97" s="16">
        <v>44.8</v>
      </c>
      <c r="U97" s="16">
        <v>26.7</v>
      </c>
      <c r="V97" s="16">
        <v>37.9</v>
      </c>
      <c r="W97" s="16">
        <v>19</v>
      </c>
      <c r="X97" s="16">
        <v>25.6</v>
      </c>
      <c r="Y97" s="16">
        <v>10</v>
      </c>
      <c r="Z97" s="16">
        <v>44.1</v>
      </c>
      <c r="AA97" s="16">
        <v>20.5</v>
      </c>
      <c r="AB97" s="16">
        <v>31.5</v>
      </c>
      <c r="AC97" s="16">
        <v>9.9</v>
      </c>
      <c r="AD97" s="16">
        <v>39.4</v>
      </c>
      <c r="AE97" s="16">
        <v>12.3</v>
      </c>
      <c r="AF97" s="16"/>
      <c r="AG97" s="16"/>
      <c r="AH97" s="16"/>
      <c r="AI97" s="16"/>
      <c r="AJ97" s="16">
        <v>21.4</v>
      </c>
      <c r="AK97" s="16">
        <v>9.8000000000000007</v>
      </c>
      <c r="AL97" s="16">
        <v>26.2</v>
      </c>
      <c r="AM97" s="16">
        <v>10</v>
      </c>
    </row>
    <row r="98" spans="1:39" x14ac:dyDescent="0.25">
      <c r="A98" s="22">
        <v>1945</v>
      </c>
      <c r="B98" s="16">
        <v>42.9</v>
      </c>
      <c r="C98" s="16">
        <v>17.8</v>
      </c>
      <c r="D98" s="16">
        <v>42.3</v>
      </c>
      <c r="E98" s="16">
        <v>14.9</v>
      </c>
      <c r="F98" s="16">
        <v>47.5</v>
      </c>
      <c r="G98" s="16">
        <v>27.4</v>
      </c>
      <c r="H98" s="16">
        <v>43</v>
      </c>
      <c r="I98" s="16">
        <v>20.9</v>
      </c>
      <c r="J98" s="16">
        <v>45.7</v>
      </c>
      <c r="K98" s="16">
        <v>21.5</v>
      </c>
      <c r="L98" s="16"/>
      <c r="M98" s="16"/>
      <c r="N98" s="16"/>
      <c r="O98" s="16"/>
      <c r="P98" s="16">
        <v>44.7</v>
      </c>
      <c r="Q98" s="16">
        <v>26.2</v>
      </c>
      <c r="R98" s="16"/>
      <c r="S98" s="16"/>
      <c r="T98" s="16">
        <v>44.4</v>
      </c>
      <c r="U98" s="16">
        <v>25</v>
      </c>
      <c r="V98" s="16">
        <v>37.5</v>
      </c>
      <c r="W98" s="16">
        <v>18.7</v>
      </c>
      <c r="X98" s="16">
        <v>25.3</v>
      </c>
      <c r="Y98" s="16">
        <v>9.9</v>
      </c>
      <c r="Z98" s="16">
        <v>44.2</v>
      </c>
      <c r="AA98" s="16">
        <v>19.3</v>
      </c>
      <c r="AB98" s="16">
        <v>30.8</v>
      </c>
      <c r="AC98" s="16">
        <v>9.4</v>
      </c>
      <c r="AD98" s="16">
        <v>38.9</v>
      </c>
      <c r="AE98" s="16">
        <v>11.8</v>
      </c>
      <c r="AF98" s="16"/>
      <c r="AG98" s="16"/>
      <c r="AH98" s="16"/>
      <c r="AI98" s="16"/>
      <c r="AJ98" s="16">
        <v>21.3</v>
      </c>
      <c r="AK98" s="16">
        <v>9.6</v>
      </c>
      <c r="AL98" s="16">
        <v>26.3</v>
      </c>
      <c r="AM98" s="16">
        <v>9.9</v>
      </c>
    </row>
    <row r="99" spans="1:39" x14ac:dyDescent="0.25">
      <c r="A99" s="22">
        <v>1946</v>
      </c>
      <c r="B99" s="16">
        <v>43.3</v>
      </c>
      <c r="C99" s="16">
        <v>17</v>
      </c>
      <c r="D99" s="16">
        <v>42.3</v>
      </c>
      <c r="E99" s="16">
        <v>13.9</v>
      </c>
      <c r="F99" s="16">
        <v>48.4</v>
      </c>
      <c r="G99" s="16">
        <v>27</v>
      </c>
      <c r="H99" s="16">
        <v>43.2</v>
      </c>
      <c r="I99" s="16">
        <v>21</v>
      </c>
      <c r="J99" s="16">
        <v>45.8</v>
      </c>
      <c r="K99" s="16">
        <v>20.6</v>
      </c>
      <c r="L99" s="16"/>
      <c r="M99" s="16"/>
      <c r="N99" s="16"/>
      <c r="O99" s="16"/>
      <c r="P99" s="16">
        <v>44.8</v>
      </c>
      <c r="Q99" s="16">
        <v>25.3</v>
      </c>
      <c r="R99" s="16"/>
      <c r="S99" s="16"/>
      <c r="T99" s="16">
        <v>44.3</v>
      </c>
      <c r="U99" s="16">
        <v>23.7</v>
      </c>
      <c r="V99" s="16">
        <v>37.1</v>
      </c>
      <c r="W99" s="16">
        <v>18.3</v>
      </c>
      <c r="X99" s="16">
        <v>25.2</v>
      </c>
      <c r="Y99" s="16">
        <v>9.8000000000000007</v>
      </c>
      <c r="Z99" s="16">
        <v>44.4</v>
      </c>
      <c r="AA99" s="16">
        <v>18.399999999999999</v>
      </c>
      <c r="AB99" s="16">
        <v>30.3</v>
      </c>
      <c r="AC99" s="16">
        <v>8.9</v>
      </c>
      <c r="AD99" s="16">
        <v>38.5</v>
      </c>
      <c r="AE99" s="16">
        <v>11.3</v>
      </c>
      <c r="AF99" s="16"/>
      <c r="AG99" s="16"/>
      <c r="AH99" s="16"/>
      <c r="AI99" s="16"/>
      <c r="AJ99" s="16">
        <v>21.1</v>
      </c>
      <c r="AK99" s="16">
        <v>9.3000000000000007</v>
      </c>
      <c r="AL99" s="16">
        <v>26.4</v>
      </c>
      <c r="AM99" s="16">
        <v>9.8000000000000007</v>
      </c>
    </row>
    <row r="100" spans="1:39" x14ac:dyDescent="0.25">
      <c r="A100" s="22">
        <v>1947</v>
      </c>
      <c r="B100" s="16">
        <v>43.7</v>
      </c>
      <c r="C100" s="16">
        <v>16.2</v>
      </c>
      <c r="D100" s="16">
        <v>42.5</v>
      </c>
      <c r="E100" s="16">
        <v>13.1</v>
      </c>
      <c r="F100" s="16">
        <v>49.2</v>
      </c>
      <c r="G100" s="16">
        <v>26.6</v>
      </c>
      <c r="H100" s="16">
        <v>43.4</v>
      </c>
      <c r="I100" s="16">
        <v>21</v>
      </c>
      <c r="J100" s="16">
        <v>45.9</v>
      </c>
      <c r="K100" s="16">
        <v>19.899999999999999</v>
      </c>
      <c r="L100" s="16"/>
      <c r="M100" s="16"/>
      <c r="N100" s="16"/>
      <c r="O100" s="16"/>
      <c r="P100" s="16">
        <v>44.9</v>
      </c>
      <c r="Q100" s="16">
        <v>24.5</v>
      </c>
      <c r="R100" s="16"/>
      <c r="S100" s="16"/>
      <c r="T100" s="16">
        <v>44.5</v>
      </c>
      <c r="U100" s="16">
        <v>22.6</v>
      </c>
      <c r="V100" s="16">
        <v>36.9</v>
      </c>
      <c r="W100" s="16">
        <v>17.7</v>
      </c>
      <c r="X100" s="16">
        <v>25.1</v>
      </c>
      <c r="Y100" s="16">
        <v>9.6</v>
      </c>
      <c r="Z100" s="16">
        <v>44.5</v>
      </c>
      <c r="AA100" s="16">
        <v>17.7</v>
      </c>
      <c r="AB100" s="16">
        <v>29.9</v>
      </c>
      <c r="AC100" s="16">
        <v>8.6</v>
      </c>
      <c r="AD100" s="16">
        <v>38.200000000000003</v>
      </c>
      <c r="AE100" s="16">
        <v>10.8</v>
      </c>
      <c r="AF100" s="16"/>
      <c r="AG100" s="16"/>
      <c r="AH100" s="16"/>
      <c r="AI100" s="16"/>
      <c r="AJ100" s="16">
        <v>21.1</v>
      </c>
      <c r="AK100" s="16">
        <v>9.1</v>
      </c>
      <c r="AL100" s="16">
        <v>26.4</v>
      </c>
      <c r="AM100" s="16">
        <v>9.6</v>
      </c>
    </row>
    <row r="101" spans="1:39" x14ac:dyDescent="0.25">
      <c r="A101" s="22">
        <v>1948</v>
      </c>
      <c r="B101" s="16">
        <v>43.9</v>
      </c>
      <c r="C101" s="16">
        <v>15.3</v>
      </c>
      <c r="D101" s="16">
        <v>42.9</v>
      </c>
      <c r="E101" s="16">
        <v>12.4</v>
      </c>
      <c r="F101" s="16">
        <v>49.9</v>
      </c>
      <c r="G101" s="16">
        <v>26.1</v>
      </c>
      <c r="H101" s="16">
        <v>43.6</v>
      </c>
      <c r="I101" s="16">
        <v>20.8</v>
      </c>
      <c r="J101" s="16">
        <v>46</v>
      </c>
      <c r="K101" s="16">
        <v>19.3</v>
      </c>
      <c r="L101" s="16"/>
      <c r="M101" s="16"/>
      <c r="N101" s="16"/>
      <c r="O101" s="16"/>
      <c r="P101" s="16">
        <v>45</v>
      </c>
      <c r="Q101" s="16">
        <v>24</v>
      </c>
      <c r="R101" s="16"/>
      <c r="S101" s="16"/>
      <c r="T101" s="16">
        <v>45</v>
      </c>
      <c r="U101" s="16">
        <v>21.8</v>
      </c>
      <c r="V101" s="16">
        <v>36.799999999999997</v>
      </c>
      <c r="W101" s="16">
        <v>16.899999999999999</v>
      </c>
      <c r="X101" s="16">
        <v>25.1</v>
      </c>
      <c r="Y101" s="16">
        <v>9.5</v>
      </c>
      <c r="Z101" s="16">
        <v>44.6</v>
      </c>
      <c r="AA101" s="16">
        <v>17.100000000000001</v>
      </c>
      <c r="AB101" s="16">
        <v>29.6</v>
      </c>
      <c r="AC101" s="16">
        <v>8.4</v>
      </c>
      <c r="AD101" s="16">
        <v>38</v>
      </c>
      <c r="AE101" s="16">
        <v>10.3</v>
      </c>
      <c r="AF101" s="16"/>
      <c r="AG101" s="16"/>
      <c r="AH101" s="16"/>
      <c r="AI101" s="16"/>
      <c r="AJ101" s="16">
        <v>21</v>
      </c>
      <c r="AK101" s="16">
        <v>8.9</v>
      </c>
      <c r="AL101" s="16">
        <v>26.5</v>
      </c>
      <c r="AM101" s="16">
        <v>9.5</v>
      </c>
    </row>
    <row r="102" spans="1:39" x14ac:dyDescent="0.25">
      <c r="A102" s="22">
        <v>1949</v>
      </c>
      <c r="B102" s="16">
        <v>44.1</v>
      </c>
      <c r="C102" s="16">
        <v>14.4</v>
      </c>
      <c r="D102" s="16">
        <v>43.4</v>
      </c>
      <c r="E102" s="16">
        <v>11.9</v>
      </c>
      <c r="F102" s="16">
        <v>50.4</v>
      </c>
      <c r="G102" s="16">
        <v>25.5</v>
      </c>
      <c r="H102" s="16">
        <v>43.7</v>
      </c>
      <c r="I102" s="16">
        <v>20.3</v>
      </c>
      <c r="J102" s="16">
        <v>46.1</v>
      </c>
      <c r="K102" s="16">
        <v>18.8</v>
      </c>
      <c r="L102" s="16"/>
      <c r="M102" s="16"/>
      <c r="N102" s="16"/>
      <c r="O102" s="16"/>
      <c r="P102" s="16">
        <v>45.1</v>
      </c>
      <c r="Q102" s="16">
        <v>23.6</v>
      </c>
      <c r="R102" s="16"/>
      <c r="S102" s="16"/>
      <c r="T102" s="16">
        <v>45.7</v>
      </c>
      <c r="U102" s="16">
        <v>21.2</v>
      </c>
      <c r="V102" s="16">
        <v>36.700000000000003</v>
      </c>
      <c r="W102" s="16">
        <v>16</v>
      </c>
      <c r="X102" s="16">
        <v>25.3</v>
      </c>
      <c r="Y102" s="16">
        <v>9.3000000000000007</v>
      </c>
      <c r="Z102" s="16">
        <v>44.7</v>
      </c>
      <c r="AA102" s="16">
        <v>16.7</v>
      </c>
      <c r="AB102" s="16">
        <v>29.5</v>
      </c>
      <c r="AC102" s="16">
        <v>8.3000000000000007</v>
      </c>
      <c r="AD102" s="16">
        <v>38</v>
      </c>
      <c r="AE102" s="16">
        <v>9.9</v>
      </c>
      <c r="AF102" s="16"/>
      <c r="AG102" s="16"/>
      <c r="AH102" s="16"/>
      <c r="AI102" s="16"/>
      <c r="AJ102" s="16">
        <v>21</v>
      </c>
      <c r="AK102" s="16">
        <v>8.6999999999999993</v>
      </c>
      <c r="AL102" s="16">
        <v>26.5</v>
      </c>
      <c r="AM102" s="16">
        <v>9.3000000000000007</v>
      </c>
    </row>
    <row r="103" spans="1:39" x14ac:dyDescent="0.25">
      <c r="A103" s="22">
        <v>1950</v>
      </c>
      <c r="B103" s="16">
        <v>44.1</v>
      </c>
      <c r="C103" s="16">
        <v>13.6</v>
      </c>
      <c r="D103" s="16">
        <v>44.1</v>
      </c>
      <c r="E103" s="16">
        <v>11.5</v>
      </c>
      <c r="F103" s="16">
        <v>50.9</v>
      </c>
      <c r="G103" s="16">
        <v>24.9</v>
      </c>
      <c r="H103" s="16">
        <v>43.7</v>
      </c>
      <c r="I103" s="16">
        <v>19.7</v>
      </c>
      <c r="J103" s="16">
        <v>46.2</v>
      </c>
      <c r="K103" s="16">
        <v>18.399999999999999</v>
      </c>
      <c r="L103" s="16"/>
      <c r="M103" s="16"/>
      <c r="N103" s="16">
        <v>44.5</v>
      </c>
      <c r="O103" s="16">
        <v>11.7</v>
      </c>
      <c r="P103" s="16">
        <v>45.2</v>
      </c>
      <c r="Q103" s="16">
        <v>23.5</v>
      </c>
      <c r="R103" s="16"/>
      <c r="S103" s="16"/>
      <c r="T103" s="16">
        <v>46.8</v>
      </c>
      <c r="U103" s="16">
        <v>20.9</v>
      </c>
      <c r="V103" s="16">
        <v>36.799999999999997</v>
      </c>
      <c r="W103" s="16">
        <v>15</v>
      </c>
      <c r="X103" s="16">
        <v>25.5</v>
      </c>
      <c r="Y103" s="16">
        <v>9.1</v>
      </c>
      <c r="Z103" s="16">
        <v>44.7</v>
      </c>
      <c r="AA103" s="16">
        <v>16.399999999999999</v>
      </c>
      <c r="AB103" s="16">
        <v>32.1</v>
      </c>
      <c r="AC103" s="16">
        <v>11.2</v>
      </c>
      <c r="AD103" s="16">
        <v>38</v>
      </c>
      <c r="AE103" s="16">
        <v>9.5</v>
      </c>
      <c r="AF103" s="16">
        <v>53.1</v>
      </c>
      <c r="AG103" s="16">
        <v>21.8</v>
      </c>
      <c r="AH103" s="16"/>
      <c r="AI103" s="16"/>
      <c r="AJ103" s="16">
        <v>21</v>
      </c>
      <c r="AK103" s="16">
        <v>8.6</v>
      </c>
      <c r="AL103" s="16">
        <v>26.4</v>
      </c>
      <c r="AM103" s="16">
        <v>9.1</v>
      </c>
    </row>
    <row r="104" spans="1:39" x14ac:dyDescent="0.25">
      <c r="A104" s="22">
        <v>1951</v>
      </c>
      <c r="B104" s="16">
        <v>44.2</v>
      </c>
      <c r="C104" s="16">
        <v>12.8</v>
      </c>
      <c r="D104" s="16">
        <v>44.7</v>
      </c>
      <c r="E104" s="16">
        <v>11.1</v>
      </c>
      <c r="F104" s="16">
        <v>51.1</v>
      </c>
      <c r="G104" s="16">
        <v>24.2</v>
      </c>
      <c r="H104" s="16">
        <v>43.8</v>
      </c>
      <c r="I104" s="16">
        <v>19</v>
      </c>
      <c r="J104" s="16">
        <v>46.3</v>
      </c>
      <c r="K104" s="16">
        <v>18.100000000000001</v>
      </c>
      <c r="L104" s="16"/>
      <c r="M104" s="16"/>
      <c r="N104" s="16">
        <v>44.3</v>
      </c>
      <c r="O104" s="16">
        <v>11.6</v>
      </c>
      <c r="P104" s="16">
        <v>45.4</v>
      </c>
      <c r="Q104" s="16">
        <v>23.1</v>
      </c>
      <c r="R104" s="16"/>
      <c r="S104" s="16"/>
      <c r="T104" s="16">
        <v>47.6</v>
      </c>
      <c r="U104" s="16">
        <v>20.5</v>
      </c>
      <c r="V104" s="16">
        <v>36.9</v>
      </c>
      <c r="W104" s="16">
        <v>14.2</v>
      </c>
      <c r="X104" s="16">
        <v>25.6</v>
      </c>
      <c r="Y104" s="16">
        <v>9</v>
      </c>
      <c r="Z104" s="16">
        <v>44.8</v>
      </c>
      <c r="AA104" s="16">
        <v>16</v>
      </c>
      <c r="AB104" s="16">
        <v>31.4</v>
      </c>
      <c r="AC104" s="16">
        <v>10.9</v>
      </c>
      <c r="AD104" s="16">
        <v>38.1</v>
      </c>
      <c r="AE104" s="16">
        <v>9.1999999999999993</v>
      </c>
      <c r="AF104" s="16">
        <v>53.4</v>
      </c>
      <c r="AG104" s="16">
        <v>21.3</v>
      </c>
      <c r="AH104" s="16"/>
      <c r="AI104" s="16"/>
      <c r="AJ104" s="16">
        <v>21.1</v>
      </c>
      <c r="AK104" s="16">
        <v>8.5</v>
      </c>
      <c r="AL104" s="16">
        <v>26.3</v>
      </c>
      <c r="AM104" s="16">
        <v>8.9</v>
      </c>
    </row>
    <row r="105" spans="1:39" x14ac:dyDescent="0.25">
      <c r="A105" s="22">
        <v>1952</v>
      </c>
      <c r="B105" s="16">
        <v>44.4</v>
      </c>
      <c r="C105" s="16">
        <v>12.3</v>
      </c>
      <c r="D105" s="16">
        <v>45.2</v>
      </c>
      <c r="E105" s="16">
        <v>10.8</v>
      </c>
      <c r="F105" s="16">
        <v>51.1</v>
      </c>
      <c r="G105" s="16">
        <v>23.6</v>
      </c>
      <c r="H105" s="16">
        <v>44.1</v>
      </c>
      <c r="I105" s="16">
        <v>18.3</v>
      </c>
      <c r="J105" s="16">
        <v>46.3</v>
      </c>
      <c r="K105" s="16">
        <v>17.7</v>
      </c>
      <c r="L105" s="16"/>
      <c r="M105" s="16"/>
      <c r="N105" s="16">
        <v>44.1</v>
      </c>
      <c r="O105" s="16">
        <v>11.6</v>
      </c>
      <c r="P105" s="16">
        <v>45.6</v>
      </c>
      <c r="Q105" s="16">
        <v>22.5</v>
      </c>
      <c r="R105" s="16"/>
      <c r="S105" s="16"/>
      <c r="T105" s="16">
        <v>48.1</v>
      </c>
      <c r="U105" s="16">
        <v>20.100000000000001</v>
      </c>
      <c r="V105" s="16">
        <v>37</v>
      </c>
      <c r="W105" s="16">
        <v>13.5</v>
      </c>
      <c r="X105" s="16">
        <v>25.6</v>
      </c>
      <c r="Y105" s="16">
        <v>8.9</v>
      </c>
      <c r="Z105" s="16">
        <v>45</v>
      </c>
      <c r="AA105" s="16">
        <v>15.5</v>
      </c>
      <c r="AB105" s="16">
        <v>31.3</v>
      </c>
      <c r="AC105" s="16">
        <v>10.5</v>
      </c>
      <c r="AD105" s="16">
        <v>38.5</v>
      </c>
      <c r="AE105" s="16">
        <v>9.1999999999999993</v>
      </c>
      <c r="AF105" s="16">
        <v>53.9</v>
      </c>
      <c r="AG105" s="16">
        <v>20.7</v>
      </c>
      <c r="AH105" s="16"/>
      <c r="AI105" s="16"/>
      <c r="AJ105" s="16">
        <v>21.2</v>
      </c>
      <c r="AK105" s="16">
        <v>8.5</v>
      </c>
      <c r="AL105" s="16">
        <v>26.2</v>
      </c>
      <c r="AM105" s="16">
        <v>8.8000000000000007</v>
      </c>
    </row>
    <row r="106" spans="1:39" x14ac:dyDescent="0.25">
      <c r="A106" s="22">
        <v>1953</v>
      </c>
      <c r="B106" s="16">
        <v>44.8</v>
      </c>
      <c r="C106" s="16">
        <v>11.9</v>
      </c>
      <c r="D106" s="16">
        <v>45.5</v>
      </c>
      <c r="E106" s="16">
        <v>10.5</v>
      </c>
      <c r="F106" s="16">
        <v>51</v>
      </c>
      <c r="G106" s="16">
        <v>23</v>
      </c>
      <c r="H106" s="16">
        <v>44.6</v>
      </c>
      <c r="I106" s="16">
        <v>17.5</v>
      </c>
      <c r="J106" s="16">
        <v>46.2</v>
      </c>
      <c r="K106" s="16">
        <v>17.399999999999999</v>
      </c>
      <c r="L106" s="16"/>
      <c r="M106" s="16"/>
      <c r="N106" s="16">
        <v>43.9</v>
      </c>
      <c r="O106" s="16">
        <v>11.5</v>
      </c>
      <c r="P106" s="16">
        <v>46</v>
      </c>
      <c r="Q106" s="16">
        <v>21.5</v>
      </c>
      <c r="R106" s="16"/>
      <c r="S106" s="16"/>
      <c r="T106" s="16">
        <v>48.2</v>
      </c>
      <c r="U106" s="16">
        <v>19.7</v>
      </c>
      <c r="V106" s="16">
        <v>37.1</v>
      </c>
      <c r="W106" s="16">
        <v>13.1</v>
      </c>
      <c r="X106" s="16">
        <v>25.4</v>
      </c>
      <c r="Y106" s="16">
        <v>8.8000000000000007</v>
      </c>
      <c r="Z106" s="16">
        <v>45.1</v>
      </c>
      <c r="AA106" s="16">
        <v>14.9</v>
      </c>
      <c r="AB106" s="16">
        <v>31.2</v>
      </c>
      <c r="AC106" s="16">
        <v>10.3</v>
      </c>
      <c r="AD106" s="16">
        <v>39.1</v>
      </c>
      <c r="AE106" s="16">
        <v>9.4</v>
      </c>
      <c r="AF106" s="16">
        <v>54.2</v>
      </c>
      <c r="AG106" s="16">
        <v>20.2</v>
      </c>
      <c r="AH106" s="16"/>
      <c r="AI106" s="16"/>
      <c r="AJ106" s="16">
        <v>21.3</v>
      </c>
      <c r="AK106" s="16">
        <v>8.6</v>
      </c>
      <c r="AL106" s="16">
        <v>25.9</v>
      </c>
      <c r="AM106" s="16">
        <v>8.6999999999999993</v>
      </c>
    </row>
    <row r="107" spans="1:39" x14ac:dyDescent="0.25">
      <c r="A107" s="22">
        <v>1954</v>
      </c>
      <c r="B107" s="16">
        <v>45.3</v>
      </c>
      <c r="C107" s="16">
        <v>11.8</v>
      </c>
      <c r="D107" s="16">
        <v>45.6</v>
      </c>
      <c r="E107" s="16">
        <v>10.199999999999999</v>
      </c>
      <c r="F107" s="16">
        <v>50.7</v>
      </c>
      <c r="G107" s="16">
        <v>22.5</v>
      </c>
      <c r="H107" s="16">
        <v>45.2</v>
      </c>
      <c r="I107" s="16">
        <v>16.7</v>
      </c>
      <c r="J107" s="16">
        <v>45.9</v>
      </c>
      <c r="K107" s="16">
        <v>17.2</v>
      </c>
      <c r="L107" s="16"/>
      <c r="M107" s="16"/>
      <c r="N107" s="16">
        <v>43.6</v>
      </c>
      <c r="O107" s="16">
        <v>11.5</v>
      </c>
      <c r="P107" s="16">
        <v>46.5</v>
      </c>
      <c r="Q107" s="16">
        <v>20.5</v>
      </c>
      <c r="R107" s="16"/>
      <c r="S107" s="16"/>
      <c r="T107" s="16">
        <v>48.1</v>
      </c>
      <c r="U107" s="16">
        <v>19.399999999999999</v>
      </c>
      <c r="V107" s="16">
        <v>37.1</v>
      </c>
      <c r="W107" s="16">
        <v>12.7</v>
      </c>
      <c r="X107" s="16">
        <v>25.1</v>
      </c>
      <c r="Y107" s="16">
        <v>8.6999999999999993</v>
      </c>
      <c r="Z107" s="16">
        <v>45.3</v>
      </c>
      <c r="AA107" s="16">
        <v>14.2</v>
      </c>
      <c r="AB107" s="16">
        <v>31.2</v>
      </c>
      <c r="AC107" s="16">
        <v>10</v>
      </c>
      <c r="AD107" s="16">
        <v>39.700000000000003</v>
      </c>
      <c r="AE107" s="16">
        <v>9.6999999999999993</v>
      </c>
      <c r="AF107" s="16">
        <v>54.4</v>
      </c>
      <c r="AG107" s="16">
        <v>19.7</v>
      </c>
      <c r="AH107" s="16"/>
      <c r="AI107" s="16"/>
      <c r="AJ107" s="16">
        <v>21.4</v>
      </c>
      <c r="AK107" s="16">
        <v>8.8000000000000007</v>
      </c>
      <c r="AL107" s="16">
        <v>25.6</v>
      </c>
      <c r="AM107" s="16">
        <v>8.6999999999999993</v>
      </c>
    </row>
    <row r="108" spans="1:39" x14ac:dyDescent="0.25">
      <c r="A108" s="22">
        <v>1955</v>
      </c>
      <c r="B108" s="16">
        <v>45.8</v>
      </c>
      <c r="C108" s="16">
        <v>11.7</v>
      </c>
      <c r="D108" s="16">
        <v>45.6</v>
      </c>
      <c r="E108" s="16">
        <v>9.9</v>
      </c>
      <c r="F108" s="16">
        <v>50.4</v>
      </c>
      <c r="G108" s="16">
        <v>22.1</v>
      </c>
      <c r="H108" s="16">
        <v>45.8</v>
      </c>
      <c r="I108" s="16">
        <v>15.8</v>
      </c>
      <c r="J108" s="16">
        <v>45.5</v>
      </c>
      <c r="K108" s="16">
        <v>17</v>
      </c>
      <c r="L108" s="16"/>
      <c r="M108" s="16"/>
      <c r="N108" s="16">
        <v>43.4</v>
      </c>
      <c r="O108" s="16">
        <v>11.4</v>
      </c>
      <c r="P108" s="16">
        <v>46.9</v>
      </c>
      <c r="Q108" s="16">
        <v>19.5</v>
      </c>
      <c r="R108" s="16"/>
      <c r="S108" s="16"/>
      <c r="T108" s="16">
        <v>47.8</v>
      </c>
      <c r="U108" s="16">
        <v>19.100000000000001</v>
      </c>
      <c r="V108" s="16">
        <v>37.1</v>
      </c>
      <c r="W108" s="16">
        <v>12.5</v>
      </c>
      <c r="X108" s="16">
        <v>24.9</v>
      </c>
      <c r="Y108" s="16">
        <v>8.9</v>
      </c>
      <c r="Z108" s="16">
        <v>45.5</v>
      </c>
      <c r="AA108" s="16">
        <v>13.5</v>
      </c>
      <c r="AB108" s="16">
        <v>31.1</v>
      </c>
      <c r="AC108" s="16">
        <v>9.8000000000000007</v>
      </c>
      <c r="AD108" s="16">
        <v>40.299999999999997</v>
      </c>
      <c r="AE108" s="16">
        <v>10.1</v>
      </c>
      <c r="AF108" s="16">
        <v>54.4</v>
      </c>
      <c r="AG108" s="16">
        <v>19.100000000000001</v>
      </c>
      <c r="AH108" s="16"/>
      <c r="AI108" s="16"/>
      <c r="AJ108" s="16">
        <v>21.6</v>
      </c>
      <c r="AK108" s="16">
        <v>9</v>
      </c>
      <c r="AL108" s="16">
        <v>25.2</v>
      </c>
      <c r="AM108" s="16">
        <v>8.6999999999999993</v>
      </c>
    </row>
    <row r="109" spans="1:39" x14ac:dyDescent="0.25">
      <c r="A109" s="22">
        <v>1956</v>
      </c>
      <c r="B109" s="16">
        <v>46.3</v>
      </c>
      <c r="C109" s="16">
        <v>11.5</v>
      </c>
      <c r="D109" s="16">
        <v>45.7</v>
      </c>
      <c r="E109" s="16">
        <v>9.6999999999999993</v>
      </c>
      <c r="F109" s="16">
        <v>50.2</v>
      </c>
      <c r="G109" s="16">
        <v>21.9</v>
      </c>
      <c r="H109" s="16">
        <v>46.2</v>
      </c>
      <c r="I109" s="16">
        <v>15.1</v>
      </c>
      <c r="J109" s="16">
        <v>45.1</v>
      </c>
      <c r="K109" s="16">
        <v>16.8</v>
      </c>
      <c r="L109" s="16"/>
      <c r="M109" s="16"/>
      <c r="N109" s="16">
        <v>43.1</v>
      </c>
      <c r="O109" s="16">
        <v>11.2</v>
      </c>
      <c r="P109" s="16">
        <v>47.2</v>
      </c>
      <c r="Q109" s="16">
        <v>18.899999999999999</v>
      </c>
      <c r="R109" s="16"/>
      <c r="S109" s="16"/>
      <c r="T109" s="16">
        <v>47.6</v>
      </c>
      <c r="U109" s="16">
        <v>18.899999999999999</v>
      </c>
      <c r="V109" s="16">
        <v>37</v>
      </c>
      <c r="W109" s="16">
        <v>12.2</v>
      </c>
      <c r="X109" s="16">
        <v>24.8</v>
      </c>
      <c r="Y109" s="16">
        <v>8.6999999999999993</v>
      </c>
      <c r="Z109" s="16">
        <v>45.7</v>
      </c>
      <c r="AA109" s="16">
        <v>12.8</v>
      </c>
      <c r="AB109" s="16">
        <v>31.1</v>
      </c>
      <c r="AC109" s="16">
        <v>9.6</v>
      </c>
      <c r="AD109" s="16">
        <v>40.6</v>
      </c>
      <c r="AE109" s="16">
        <v>10.3</v>
      </c>
      <c r="AF109" s="16">
        <v>54.2</v>
      </c>
      <c r="AG109" s="16">
        <v>18.5</v>
      </c>
      <c r="AH109" s="16"/>
      <c r="AI109" s="16"/>
      <c r="AJ109" s="16">
        <v>21.7</v>
      </c>
      <c r="AK109" s="16">
        <v>9.1999999999999993</v>
      </c>
      <c r="AL109" s="16">
        <v>24.9</v>
      </c>
      <c r="AM109" s="16">
        <v>8.6</v>
      </c>
    </row>
    <row r="110" spans="1:39" x14ac:dyDescent="0.25">
      <c r="A110" s="22">
        <v>1957</v>
      </c>
      <c r="B110" s="16">
        <v>46.6</v>
      </c>
      <c r="C110" s="16">
        <v>11.3</v>
      </c>
      <c r="D110" s="16">
        <v>45.8</v>
      </c>
      <c r="E110" s="16">
        <v>9.6</v>
      </c>
      <c r="F110" s="16">
        <v>50.1</v>
      </c>
      <c r="G110" s="16">
        <v>21.6</v>
      </c>
      <c r="H110" s="16">
        <v>46.4</v>
      </c>
      <c r="I110" s="16">
        <v>14</v>
      </c>
      <c r="J110" s="16">
        <v>44.6</v>
      </c>
      <c r="K110" s="16">
        <v>16.600000000000001</v>
      </c>
      <c r="L110" s="16"/>
      <c r="M110" s="16"/>
      <c r="N110" s="16">
        <v>42.9</v>
      </c>
      <c r="O110" s="16">
        <v>11.1</v>
      </c>
      <c r="P110" s="16">
        <v>47.4</v>
      </c>
      <c r="Q110" s="16">
        <v>18.399999999999999</v>
      </c>
      <c r="R110" s="16"/>
      <c r="S110" s="16"/>
      <c r="T110" s="16">
        <v>47.6</v>
      </c>
      <c r="U110" s="16">
        <v>18.7</v>
      </c>
      <c r="V110" s="16">
        <v>36.700000000000003</v>
      </c>
      <c r="W110" s="16">
        <v>11.9</v>
      </c>
      <c r="X110" s="16">
        <v>24.6</v>
      </c>
      <c r="Y110" s="16">
        <v>8.9</v>
      </c>
      <c r="Z110" s="16">
        <v>45.8</v>
      </c>
      <c r="AA110" s="16">
        <v>12.4</v>
      </c>
      <c r="AB110" s="16">
        <v>31.1</v>
      </c>
      <c r="AC110" s="16">
        <v>9.4</v>
      </c>
      <c r="AD110" s="16">
        <v>40.700000000000003</v>
      </c>
      <c r="AE110" s="16">
        <v>10.4</v>
      </c>
      <c r="AF110" s="16">
        <v>53.9</v>
      </c>
      <c r="AG110" s="16">
        <v>17.899999999999999</v>
      </c>
      <c r="AH110" s="16"/>
      <c r="AI110" s="16"/>
      <c r="AJ110" s="16">
        <v>21.9</v>
      </c>
      <c r="AK110" s="16">
        <v>9.4</v>
      </c>
      <c r="AL110" s="16">
        <v>24.6</v>
      </c>
      <c r="AM110" s="16">
        <v>8.8000000000000007</v>
      </c>
    </row>
    <row r="111" spans="1:39" x14ac:dyDescent="0.25">
      <c r="A111" s="22">
        <v>1958</v>
      </c>
      <c r="B111" s="16">
        <v>46.7</v>
      </c>
      <c r="C111" s="16">
        <v>10.9</v>
      </c>
      <c r="D111" s="16">
        <v>46</v>
      </c>
      <c r="E111" s="16">
        <v>9.3000000000000007</v>
      </c>
      <c r="F111" s="16">
        <v>49.6</v>
      </c>
      <c r="G111" s="16">
        <v>20.8</v>
      </c>
      <c r="H111" s="16">
        <v>46.4</v>
      </c>
      <c r="I111" s="16">
        <v>13.3</v>
      </c>
      <c r="J111" s="16">
        <v>44.1</v>
      </c>
      <c r="K111" s="16">
        <v>16.2</v>
      </c>
      <c r="L111" s="16"/>
      <c r="M111" s="16"/>
      <c r="N111" s="16">
        <v>42.7</v>
      </c>
      <c r="O111" s="16">
        <v>10.9</v>
      </c>
      <c r="P111" s="16">
        <v>47.3</v>
      </c>
      <c r="Q111" s="16">
        <v>18</v>
      </c>
      <c r="R111" s="16"/>
      <c r="S111" s="16"/>
      <c r="T111" s="16">
        <v>47.4</v>
      </c>
      <c r="U111" s="16">
        <v>18.3</v>
      </c>
      <c r="V111" s="16">
        <v>36.200000000000003</v>
      </c>
      <c r="W111" s="16">
        <v>11.6</v>
      </c>
      <c r="X111" s="16">
        <v>24.2</v>
      </c>
      <c r="Y111" s="16">
        <v>8.4</v>
      </c>
      <c r="Z111" s="16">
        <v>45.9</v>
      </c>
      <c r="AA111" s="16">
        <v>12.1</v>
      </c>
      <c r="AB111" s="16">
        <v>31.2</v>
      </c>
      <c r="AC111" s="16">
        <v>9.1999999999999993</v>
      </c>
      <c r="AD111" s="16">
        <v>40.700000000000003</v>
      </c>
      <c r="AE111" s="16">
        <v>10.199999999999999</v>
      </c>
      <c r="AF111" s="16">
        <v>53.4</v>
      </c>
      <c r="AG111" s="16">
        <v>17.3</v>
      </c>
      <c r="AH111" s="16"/>
      <c r="AI111" s="16"/>
      <c r="AJ111" s="16">
        <v>21.9</v>
      </c>
      <c r="AK111" s="16">
        <v>9.4</v>
      </c>
      <c r="AL111" s="16">
        <v>24.2</v>
      </c>
      <c r="AM111" s="16">
        <v>8.5</v>
      </c>
    </row>
    <row r="112" spans="1:39" x14ac:dyDescent="0.25">
      <c r="A112" s="22">
        <v>1959</v>
      </c>
      <c r="B112" s="16">
        <v>45.7</v>
      </c>
      <c r="C112" s="16">
        <v>10.5</v>
      </c>
      <c r="D112" s="16">
        <v>45.9</v>
      </c>
      <c r="E112" s="16">
        <v>9</v>
      </c>
      <c r="F112" s="16">
        <v>49.1</v>
      </c>
      <c r="G112" s="16">
        <v>19.899999999999999</v>
      </c>
      <c r="H112" s="16">
        <v>46.2</v>
      </c>
      <c r="I112" s="16">
        <v>12.5</v>
      </c>
      <c r="J112" s="16">
        <v>43.9</v>
      </c>
      <c r="K112" s="16">
        <v>15.8</v>
      </c>
      <c r="L112" s="16"/>
      <c r="M112" s="16"/>
      <c r="N112" s="16">
        <v>42.5</v>
      </c>
      <c r="O112" s="16">
        <v>10.7</v>
      </c>
      <c r="P112" s="16">
        <v>47.2</v>
      </c>
      <c r="Q112" s="16">
        <v>17.600000000000001</v>
      </c>
      <c r="R112" s="16"/>
      <c r="S112" s="16"/>
      <c r="T112" s="16">
        <v>47.2</v>
      </c>
      <c r="U112" s="16">
        <v>18.100000000000001</v>
      </c>
      <c r="V112" s="16">
        <v>35.700000000000003</v>
      </c>
      <c r="W112" s="16">
        <v>11.3</v>
      </c>
      <c r="X112" s="16">
        <v>24.4</v>
      </c>
      <c r="Y112" s="16">
        <v>8.6</v>
      </c>
      <c r="Z112" s="16">
        <v>46</v>
      </c>
      <c r="AA112" s="16">
        <v>11.9</v>
      </c>
      <c r="AB112" s="16">
        <v>31.9</v>
      </c>
      <c r="AC112" s="16">
        <v>9.1</v>
      </c>
      <c r="AD112" s="16">
        <v>40.9</v>
      </c>
      <c r="AE112" s="16">
        <v>10</v>
      </c>
      <c r="AF112" s="16">
        <v>52.8</v>
      </c>
      <c r="AG112" s="16">
        <v>16.7</v>
      </c>
      <c r="AH112" s="16"/>
      <c r="AI112" s="16"/>
      <c r="AJ112" s="16">
        <v>21.8</v>
      </c>
      <c r="AK112" s="16">
        <v>9.5</v>
      </c>
      <c r="AL112" s="16">
        <v>24.2</v>
      </c>
      <c r="AM112" s="16">
        <v>8.6</v>
      </c>
    </row>
    <row r="113" spans="1:39" x14ac:dyDescent="0.25">
      <c r="A113" s="22">
        <v>1960</v>
      </c>
      <c r="B113" s="16">
        <v>45</v>
      </c>
      <c r="C113" s="16">
        <v>10</v>
      </c>
      <c r="D113" s="16">
        <v>45.5</v>
      </c>
      <c r="E113" s="16">
        <v>8.6999999999999993</v>
      </c>
      <c r="F113" s="16">
        <v>48.5</v>
      </c>
      <c r="G113" s="16">
        <v>18.8</v>
      </c>
      <c r="H113" s="16">
        <v>45.9</v>
      </c>
      <c r="I113" s="16">
        <v>12</v>
      </c>
      <c r="J113" s="16">
        <v>43.7</v>
      </c>
      <c r="K113" s="16">
        <v>15.3</v>
      </c>
      <c r="L113" s="16"/>
      <c r="M113" s="16"/>
      <c r="N113" s="16">
        <v>42.4</v>
      </c>
      <c r="O113" s="16">
        <v>10.6</v>
      </c>
      <c r="P113" s="16">
        <v>46.9</v>
      </c>
      <c r="Q113" s="16">
        <v>17.100000000000001</v>
      </c>
      <c r="R113" s="16"/>
      <c r="S113" s="16"/>
      <c r="T113" s="16">
        <v>47</v>
      </c>
      <c r="U113" s="16">
        <v>17.8</v>
      </c>
      <c r="V113" s="16">
        <v>35.299999999999997</v>
      </c>
      <c r="W113" s="16">
        <v>11</v>
      </c>
      <c r="X113" s="16">
        <v>24.2</v>
      </c>
      <c r="Y113" s="16">
        <v>8.6999999999999993</v>
      </c>
      <c r="Z113" s="16">
        <v>46</v>
      </c>
      <c r="AA113" s="16">
        <v>11.8</v>
      </c>
      <c r="AB113" s="16">
        <v>32.799999999999997</v>
      </c>
      <c r="AC113" s="16">
        <v>8.9</v>
      </c>
      <c r="AD113" s="16">
        <v>41.1</v>
      </c>
      <c r="AE113" s="16">
        <v>9.6</v>
      </c>
      <c r="AF113" s="16">
        <v>52</v>
      </c>
      <c r="AG113" s="16">
        <v>16.100000000000001</v>
      </c>
      <c r="AH113" s="16"/>
      <c r="AI113" s="16"/>
      <c r="AJ113" s="16">
        <v>21.8</v>
      </c>
      <c r="AK113" s="16">
        <v>9.6</v>
      </c>
      <c r="AL113" s="16">
        <v>24.1</v>
      </c>
      <c r="AM113" s="16">
        <v>8.6999999999999993</v>
      </c>
    </row>
    <row r="114" spans="1:39" x14ac:dyDescent="0.25">
      <c r="A114" s="22">
        <v>1961</v>
      </c>
      <c r="B114" s="16">
        <v>44.1</v>
      </c>
      <c r="C114" s="16">
        <v>9.6</v>
      </c>
      <c r="D114" s="16">
        <v>44.8</v>
      </c>
      <c r="E114" s="16">
        <v>8.4</v>
      </c>
      <c r="F114" s="16">
        <v>48</v>
      </c>
      <c r="G114" s="16">
        <v>18.5</v>
      </c>
      <c r="H114" s="16">
        <v>45.5</v>
      </c>
      <c r="I114" s="16">
        <v>11.6</v>
      </c>
      <c r="J114" s="16">
        <v>43.5</v>
      </c>
      <c r="K114" s="16">
        <v>14.8</v>
      </c>
      <c r="L114" s="16"/>
      <c r="M114" s="16"/>
      <c r="N114" s="16">
        <v>42.3</v>
      </c>
      <c r="O114" s="16">
        <v>10.4</v>
      </c>
      <c r="P114" s="16">
        <v>46.6</v>
      </c>
      <c r="Q114" s="16">
        <v>16.7</v>
      </c>
      <c r="R114" s="16"/>
      <c r="S114" s="16"/>
      <c r="T114" s="16">
        <v>47</v>
      </c>
      <c r="U114" s="16">
        <v>17.5</v>
      </c>
      <c r="V114" s="16">
        <v>34.799999999999997</v>
      </c>
      <c r="W114" s="16">
        <v>10.9</v>
      </c>
      <c r="X114" s="16">
        <v>23.9</v>
      </c>
      <c r="Y114" s="16">
        <v>8.5</v>
      </c>
      <c r="Z114" s="16">
        <v>45.9</v>
      </c>
      <c r="AA114" s="16">
        <v>11.1</v>
      </c>
      <c r="AB114" s="16">
        <v>33.700000000000003</v>
      </c>
      <c r="AC114" s="16">
        <v>8.8000000000000007</v>
      </c>
      <c r="AD114" s="16">
        <v>41.3</v>
      </c>
      <c r="AE114" s="16">
        <v>9.3000000000000007</v>
      </c>
      <c r="AF114" s="16">
        <v>51.2</v>
      </c>
      <c r="AG114" s="16">
        <v>15.5</v>
      </c>
      <c r="AH114" s="16"/>
      <c r="AI114" s="16"/>
      <c r="AJ114" s="16">
        <v>21.8</v>
      </c>
      <c r="AK114" s="16">
        <v>9.6</v>
      </c>
      <c r="AL114" s="16">
        <v>23.8</v>
      </c>
      <c r="AM114" s="16">
        <v>8.5</v>
      </c>
    </row>
    <row r="115" spans="1:39" x14ac:dyDescent="0.25">
      <c r="A115" s="22">
        <v>1962</v>
      </c>
      <c r="B115" s="16">
        <v>43.4</v>
      </c>
      <c r="C115" s="16">
        <v>9.3000000000000007</v>
      </c>
      <c r="D115" s="16">
        <v>43.9</v>
      </c>
      <c r="E115" s="16">
        <v>8.1999999999999993</v>
      </c>
      <c r="F115" s="16">
        <v>47.4</v>
      </c>
      <c r="G115" s="16">
        <v>18.100000000000001</v>
      </c>
      <c r="H115" s="16">
        <v>44.9</v>
      </c>
      <c r="I115" s="16">
        <v>11.2</v>
      </c>
      <c r="J115" s="16">
        <v>43.4</v>
      </c>
      <c r="K115" s="16">
        <v>14.4</v>
      </c>
      <c r="L115" s="16"/>
      <c r="M115" s="16"/>
      <c r="N115" s="16">
        <v>42.2</v>
      </c>
      <c r="O115" s="16">
        <v>10.199999999999999</v>
      </c>
      <c r="P115" s="16">
        <v>46.2</v>
      </c>
      <c r="Q115" s="16">
        <v>16.399999999999999</v>
      </c>
      <c r="R115" s="16"/>
      <c r="S115" s="16"/>
      <c r="T115" s="16">
        <v>47.1</v>
      </c>
      <c r="U115" s="16">
        <v>17.2</v>
      </c>
      <c r="V115" s="16">
        <v>34.299999999999997</v>
      </c>
      <c r="W115" s="16">
        <v>10.6</v>
      </c>
      <c r="X115" s="16">
        <v>23.8</v>
      </c>
      <c r="Y115" s="16">
        <v>8.6999999999999993</v>
      </c>
      <c r="Z115" s="16">
        <v>46</v>
      </c>
      <c r="AA115" s="16">
        <v>10.7</v>
      </c>
      <c r="AB115" s="16">
        <v>34.6</v>
      </c>
      <c r="AC115" s="16">
        <v>8.6</v>
      </c>
      <c r="AD115" s="16">
        <v>41.3</v>
      </c>
      <c r="AE115" s="16">
        <v>9</v>
      </c>
      <c r="AF115" s="16">
        <v>50.2</v>
      </c>
      <c r="AG115" s="16">
        <v>14.9</v>
      </c>
      <c r="AH115" s="16"/>
      <c r="AI115" s="16"/>
      <c r="AJ115" s="16">
        <v>21.8</v>
      </c>
      <c r="AK115" s="16">
        <v>9.6</v>
      </c>
      <c r="AL115" s="16">
        <v>23.8</v>
      </c>
      <c r="AM115" s="16">
        <v>8.6999999999999993</v>
      </c>
    </row>
    <row r="116" spans="1:39" x14ac:dyDescent="0.25">
      <c r="A116" s="22">
        <v>1963</v>
      </c>
      <c r="B116" s="16">
        <v>42.7</v>
      </c>
      <c r="C116" s="16">
        <v>8.8000000000000007</v>
      </c>
      <c r="D116" s="16">
        <v>42.7</v>
      </c>
      <c r="E116" s="16">
        <v>8</v>
      </c>
      <c r="F116" s="16">
        <v>46.9</v>
      </c>
      <c r="G116" s="16">
        <v>17.8</v>
      </c>
      <c r="H116" s="16">
        <v>44.2</v>
      </c>
      <c r="I116" s="16">
        <v>10.8</v>
      </c>
      <c r="J116" s="16">
        <v>43.2</v>
      </c>
      <c r="K116" s="16">
        <v>13.9</v>
      </c>
      <c r="L116" s="16"/>
      <c r="M116" s="16"/>
      <c r="N116" s="16">
        <v>42.1</v>
      </c>
      <c r="O116" s="16">
        <v>10</v>
      </c>
      <c r="P116" s="16">
        <v>45.8</v>
      </c>
      <c r="Q116" s="16">
        <v>15.8</v>
      </c>
      <c r="R116" s="16"/>
      <c r="S116" s="16"/>
      <c r="T116" s="16">
        <v>47</v>
      </c>
      <c r="U116" s="16">
        <v>17</v>
      </c>
      <c r="V116" s="16">
        <v>33.700000000000003</v>
      </c>
      <c r="W116" s="16">
        <v>10.4</v>
      </c>
      <c r="X116" s="16">
        <v>23.5</v>
      </c>
      <c r="Y116" s="16">
        <v>8.6999999999999993</v>
      </c>
      <c r="Z116" s="16">
        <v>46.1</v>
      </c>
      <c r="AA116" s="16">
        <v>10.6</v>
      </c>
      <c r="AB116" s="16">
        <v>35.4</v>
      </c>
      <c r="AC116" s="16">
        <v>8.6</v>
      </c>
      <c r="AD116" s="16">
        <v>41.2</v>
      </c>
      <c r="AE116" s="16">
        <v>8.9</v>
      </c>
      <c r="AF116" s="16">
        <v>49.2</v>
      </c>
      <c r="AG116" s="16">
        <v>14.3</v>
      </c>
      <c r="AH116" s="16"/>
      <c r="AI116" s="16"/>
      <c r="AJ116" s="16">
        <v>21.8</v>
      </c>
      <c r="AK116" s="16">
        <v>9.6999999999999993</v>
      </c>
      <c r="AL116" s="16">
        <v>23.5</v>
      </c>
      <c r="AM116" s="16">
        <v>8.6999999999999993</v>
      </c>
    </row>
    <row r="117" spans="1:39" x14ac:dyDescent="0.25">
      <c r="A117" s="22">
        <v>1964</v>
      </c>
      <c r="B117" s="16">
        <v>42</v>
      </c>
      <c r="C117" s="16">
        <v>8.5</v>
      </c>
      <c r="D117" s="16">
        <v>41.4</v>
      </c>
      <c r="E117" s="16">
        <v>7.8</v>
      </c>
      <c r="F117" s="16">
        <v>46.5</v>
      </c>
      <c r="G117" s="16">
        <v>17.5</v>
      </c>
      <c r="H117" s="16">
        <v>43.4</v>
      </c>
      <c r="I117" s="16">
        <v>10.4</v>
      </c>
      <c r="J117" s="16">
        <v>43.1</v>
      </c>
      <c r="K117" s="16">
        <v>13.5</v>
      </c>
      <c r="L117" s="16"/>
      <c r="M117" s="16"/>
      <c r="N117" s="16">
        <v>41.7</v>
      </c>
      <c r="O117" s="16">
        <v>10</v>
      </c>
      <c r="P117" s="16">
        <v>45.4</v>
      </c>
      <c r="Q117" s="16">
        <v>15.5</v>
      </c>
      <c r="R117" s="16"/>
      <c r="S117" s="16"/>
      <c r="T117" s="16">
        <v>46.8</v>
      </c>
      <c r="U117" s="16">
        <v>16.8</v>
      </c>
      <c r="V117" s="16">
        <v>33.1</v>
      </c>
      <c r="W117" s="16">
        <v>10.1</v>
      </c>
      <c r="X117" s="16">
        <v>23.2</v>
      </c>
      <c r="Y117" s="16">
        <v>8.9</v>
      </c>
      <c r="Z117" s="16">
        <v>46.2</v>
      </c>
      <c r="AA117" s="16">
        <v>10.6</v>
      </c>
      <c r="AB117" s="16">
        <v>34.9</v>
      </c>
      <c r="AC117" s="16">
        <v>8.3000000000000007</v>
      </c>
      <c r="AD117" s="16">
        <v>40.799999999999997</v>
      </c>
      <c r="AE117" s="16">
        <v>8.6999999999999993</v>
      </c>
      <c r="AF117" s="16">
        <v>48.1</v>
      </c>
      <c r="AG117" s="16">
        <v>13.6</v>
      </c>
      <c r="AH117" s="16"/>
      <c r="AI117" s="16"/>
      <c r="AJ117" s="16">
        <v>21.5</v>
      </c>
      <c r="AK117" s="16">
        <v>9.6999999999999993</v>
      </c>
      <c r="AL117" s="16">
        <v>23.2</v>
      </c>
      <c r="AM117" s="16">
        <v>8.9</v>
      </c>
    </row>
    <row r="118" spans="1:39" x14ac:dyDescent="0.25">
      <c r="A118" s="22">
        <v>1965</v>
      </c>
      <c r="B118" s="16">
        <v>41.3</v>
      </c>
      <c r="C118" s="16">
        <v>8.1</v>
      </c>
      <c r="D118" s="16">
        <v>39.9</v>
      </c>
      <c r="E118" s="16">
        <v>7.6</v>
      </c>
      <c r="F118" s="16">
        <v>46.2</v>
      </c>
      <c r="G118" s="16">
        <v>17.3</v>
      </c>
      <c r="H118" s="16">
        <v>42.4</v>
      </c>
      <c r="I118" s="16">
        <v>10.1</v>
      </c>
      <c r="J118" s="16">
        <v>42.9</v>
      </c>
      <c r="K118" s="16">
        <v>13.1</v>
      </c>
      <c r="L118" s="16"/>
      <c r="M118" s="16"/>
      <c r="N118" s="16">
        <v>41</v>
      </c>
      <c r="O118" s="16">
        <v>9.9</v>
      </c>
      <c r="P118" s="16">
        <v>44.9</v>
      </c>
      <c r="Q118" s="16">
        <v>15.2</v>
      </c>
      <c r="R118" s="16"/>
      <c r="S118" s="16"/>
      <c r="T118" s="16">
        <v>46.3</v>
      </c>
      <c r="U118" s="16">
        <v>16.5</v>
      </c>
      <c r="V118" s="16">
        <v>32.4</v>
      </c>
      <c r="W118" s="16">
        <v>9.8000000000000007</v>
      </c>
      <c r="X118" s="16">
        <v>22.6</v>
      </c>
      <c r="Y118" s="16">
        <v>8.8000000000000007</v>
      </c>
      <c r="Z118" s="16">
        <v>46.1</v>
      </c>
      <c r="AA118" s="16">
        <v>10.5</v>
      </c>
      <c r="AB118" s="16">
        <v>34.4</v>
      </c>
      <c r="AC118" s="16">
        <v>8.1</v>
      </c>
      <c r="AD118" s="16">
        <v>40.299999999999997</v>
      </c>
      <c r="AE118" s="16">
        <v>8.6</v>
      </c>
      <c r="AF118" s="16">
        <v>47</v>
      </c>
      <c r="AG118" s="16">
        <v>14.1</v>
      </c>
      <c r="AH118" s="16"/>
      <c r="AI118" s="16"/>
      <c r="AJ118" s="16">
        <v>21.2</v>
      </c>
      <c r="AK118" s="16">
        <v>9.6999999999999993</v>
      </c>
      <c r="AL118" s="16">
        <v>22.6</v>
      </c>
      <c r="AM118" s="16">
        <v>8.8000000000000007</v>
      </c>
    </row>
    <row r="119" spans="1:39" x14ac:dyDescent="0.25">
      <c r="A119" s="22">
        <v>1966</v>
      </c>
      <c r="B119" s="16">
        <v>40.5</v>
      </c>
      <c r="C119" s="16">
        <v>7.6</v>
      </c>
      <c r="D119" s="16">
        <v>38.299999999999997</v>
      </c>
      <c r="E119" s="16">
        <v>7.3</v>
      </c>
      <c r="F119" s="16">
        <v>46</v>
      </c>
      <c r="G119" s="16">
        <v>17</v>
      </c>
      <c r="H119" s="16">
        <v>41.3</v>
      </c>
      <c r="I119" s="16">
        <v>9.6999999999999993</v>
      </c>
      <c r="J119" s="16">
        <v>42.6</v>
      </c>
      <c r="K119" s="16">
        <v>12.7</v>
      </c>
      <c r="L119" s="16"/>
      <c r="M119" s="16"/>
      <c r="N119" s="16">
        <v>40.200000000000003</v>
      </c>
      <c r="O119" s="16">
        <v>9.8000000000000007</v>
      </c>
      <c r="P119" s="16">
        <v>44.4</v>
      </c>
      <c r="Q119" s="16">
        <v>14.9</v>
      </c>
      <c r="R119" s="16"/>
      <c r="S119" s="16"/>
      <c r="T119" s="16">
        <v>45.7</v>
      </c>
      <c r="U119" s="16">
        <v>16.2</v>
      </c>
      <c r="V119" s="16">
        <v>31.7</v>
      </c>
      <c r="W119" s="16">
        <v>9.4</v>
      </c>
      <c r="X119" s="16">
        <v>22.3</v>
      </c>
      <c r="Y119" s="16">
        <v>8.8000000000000007</v>
      </c>
      <c r="Z119" s="16">
        <v>46</v>
      </c>
      <c r="AA119" s="16">
        <v>10.5</v>
      </c>
      <c r="AB119" s="16">
        <v>33.4</v>
      </c>
      <c r="AC119" s="16">
        <v>7.9</v>
      </c>
      <c r="AD119" s="16">
        <v>39.9</v>
      </c>
      <c r="AE119" s="16">
        <v>8.4</v>
      </c>
      <c r="AF119" s="16">
        <v>46.2</v>
      </c>
      <c r="AG119" s="16">
        <v>12.6</v>
      </c>
      <c r="AH119" s="16"/>
      <c r="AI119" s="16"/>
      <c r="AJ119" s="16">
        <v>20.9</v>
      </c>
      <c r="AK119" s="16">
        <v>9.6999999999999993</v>
      </c>
      <c r="AL119" s="16">
        <v>22.3</v>
      </c>
      <c r="AM119" s="16">
        <v>8.8000000000000007</v>
      </c>
    </row>
    <row r="120" spans="1:39" x14ac:dyDescent="0.25">
      <c r="A120" s="22">
        <v>1967</v>
      </c>
      <c r="B120" s="16">
        <v>39.700000000000003</v>
      </c>
      <c r="C120" s="16">
        <v>7.3</v>
      </c>
      <c r="D120" s="16">
        <v>36.799999999999997</v>
      </c>
      <c r="E120" s="16">
        <v>7</v>
      </c>
      <c r="F120" s="16">
        <v>45.6</v>
      </c>
      <c r="G120" s="16">
        <v>16.7</v>
      </c>
      <c r="H120" s="16">
        <v>40.200000000000003</v>
      </c>
      <c r="I120" s="16">
        <v>9.4</v>
      </c>
      <c r="J120" s="16">
        <v>42.4</v>
      </c>
      <c r="K120" s="16">
        <v>12.4</v>
      </c>
      <c r="L120" s="16"/>
      <c r="M120" s="16"/>
      <c r="N120" s="16">
        <v>39.200000000000003</v>
      </c>
      <c r="O120" s="16">
        <v>9.6999999999999993</v>
      </c>
      <c r="P120" s="16">
        <v>44</v>
      </c>
      <c r="Q120" s="16">
        <v>14.6</v>
      </c>
      <c r="R120" s="16"/>
      <c r="S120" s="16"/>
      <c r="T120" s="16">
        <v>45.1</v>
      </c>
      <c r="U120" s="16">
        <v>16</v>
      </c>
      <c r="V120" s="16">
        <v>30.9</v>
      </c>
      <c r="W120" s="16">
        <v>9.1</v>
      </c>
      <c r="X120" s="16">
        <v>22.4</v>
      </c>
      <c r="Y120" s="16">
        <v>8.9</v>
      </c>
      <c r="Z120" s="16">
        <v>45.8</v>
      </c>
      <c r="AA120" s="16">
        <v>10.4</v>
      </c>
      <c r="AB120" s="16">
        <v>32.5</v>
      </c>
      <c r="AC120" s="16">
        <v>7.7</v>
      </c>
      <c r="AD120" s="16">
        <v>39.200000000000003</v>
      </c>
      <c r="AE120" s="16">
        <v>8.1999999999999993</v>
      </c>
      <c r="AF120" s="16">
        <v>45</v>
      </c>
      <c r="AG120" s="16">
        <v>12</v>
      </c>
      <c r="AH120" s="16"/>
      <c r="AI120" s="16"/>
      <c r="AJ120" s="16">
        <v>20.5</v>
      </c>
      <c r="AK120" s="16">
        <v>9.6999999999999993</v>
      </c>
      <c r="AL120" s="16">
        <v>22.4</v>
      </c>
      <c r="AM120" s="16">
        <v>8.9</v>
      </c>
    </row>
    <row r="121" spans="1:39" x14ac:dyDescent="0.25">
      <c r="A121" s="22">
        <v>1968</v>
      </c>
      <c r="B121" s="16">
        <v>39</v>
      </c>
      <c r="C121" s="16">
        <v>7.1</v>
      </c>
      <c r="D121" s="16">
        <v>34.6</v>
      </c>
      <c r="E121" s="16">
        <v>6.8</v>
      </c>
      <c r="F121" s="16">
        <v>45.3</v>
      </c>
      <c r="G121" s="16">
        <v>16.600000000000001</v>
      </c>
      <c r="H121" s="16">
        <v>38.9</v>
      </c>
      <c r="I121" s="16">
        <v>9.1</v>
      </c>
      <c r="J121" s="16">
        <v>42</v>
      </c>
      <c r="K121" s="16">
        <v>12.1</v>
      </c>
      <c r="L121" s="16"/>
      <c r="M121" s="16"/>
      <c r="N121" s="16">
        <v>38.4</v>
      </c>
      <c r="O121" s="16">
        <v>9.6</v>
      </c>
      <c r="P121" s="16">
        <v>43.4</v>
      </c>
      <c r="Q121" s="16">
        <v>14.4</v>
      </c>
      <c r="R121" s="16"/>
      <c r="S121" s="16"/>
      <c r="T121" s="16">
        <v>44.3</v>
      </c>
      <c r="U121" s="16">
        <v>15.9</v>
      </c>
      <c r="V121" s="16">
        <v>30.2</v>
      </c>
      <c r="W121" s="16">
        <v>8.8000000000000007</v>
      </c>
      <c r="X121" s="16">
        <v>22.7</v>
      </c>
      <c r="Y121" s="16">
        <v>9.1999999999999993</v>
      </c>
      <c r="Z121" s="16">
        <v>45.5</v>
      </c>
      <c r="AA121" s="16">
        <v>10.4</v>
      </c>
      <c r="AB121" s="16">
        <v>31.6</v>
      </c>
      <c r="AC121" s="16">
        <v>7.5</v>
      </c>
      <c r="AD121" s="16">
        <v>38.5</v>
      </c>
      <c r="AE121" s="16">
        <v>8</v>
      </c>
      <c r="AF121" s="16">
        <v>43.6</v>
      </c>
      <c r="AG121" s="16">
        <v>11.5</v>
      </c>
      <c r="AH121" s="16"/>
      <c r="AI121" s="16"/>
      <c r="AJ121" s="16">
        <v>20.2</v>
      </c>
      <c r="AK121" s="16">
        <v>9.6999999999999993</v>
      </c>
      <c r="AL121" s="16">
        <v>22.7</v>
      </c>
      <c r="AM121" s="16">
        <v>9.1999999999999993</v>
      </c>
    </row>
    <row r="122" spans="1:39" x14ac:dyDescent="0.25">
      <c r="A122" s="22">
        <v>1969</v>
      </c>
      <c r="B122" s="16">
        <v>38.200000000000003</v>
      </c>
      <c r="C122" s="16">
        <v>7.1</v>
      </c>
      <c r="D122" s="16">
        <v>33.799999999999997</v>
      </c>
      <c r="E122" s="16">
        <v>6.5</v>
      </c>
      <c r="F122" s="16">
        <v>45.1</v>
      </c>
      <c r="G122" s="16">
        <v>16.7</v>
      </c>
      <c r="H122" s="16">
        <v>37.6</v>
      </c>
      <c r="I122" s="16">
        <v>8.6999999999999993</v>
      </c>
      <c r="J122" s="16">
        <v>41.7</v>
      </c>
      <c r="K122" s="16">
        <v>11.8</v>
      </c>
      <c r="L122" s="16"/>
      <c r="M122" s="16"/>
      <c r="N122" s="16">
        <v>37.6</v>
      </c>
      <c r="O122" s="16">
        <v>9.5</v>
      </c>
      <c r="P122" s="16">
        <v>42.9</v>
      </c>
      <c r="Q122" s="16">
        <v>14.1</v>
      </c>
      <c r="R122" s="16"/>
      <c r="S122" s="16"/>
      <c r="T122" s="16">
        <v>43.5</v>
      </c>
      <c r="U122" s="16">
        <v>15.5</v>
      </c>
      <c r="V122" s="16">
        <v>29.5</v>
      </c>
      <c r="W122" s="16">
        <v>8.5</v>
      </c>
      <c r="X122" s="16">
        <v>23</v>
      </c>
      <c r="Y122" s="16">
        <v>9.5</v>
      </c>
      <c r="Z122" s="16">
        <v>45.1</v>
      </c>
      <c r="AA122" s="16">
        <v>10.3</v>
      </c>
      <c r="AB122" s="16">
        <v>31</v>
      </c>
      <c r="AC122" s="16">
        <v>7.3</v>
      </c>
      <c r="AD122" s="16">
        <v>37.9</v>
      </c>
      <c r="AE122" s="16">
        <v>7.8</v>
      </c>
      <c r="AF122" s="16">
        <v>42.7</v>
      </c>
      <c r="AG122" s="16">
        <v>11</v>
      </c>
      <c r="AH122" s="16"/>
      <c r="AI122" s="16"/>
      <c r="AJ122" s="16">
        <v>20.100000000000001</v>
      </c>
      <c r="AK122" s="16">
        <v>9.6999999999999993</v>
      </c>
      <c r="AL122" s="16">
        <v>23</v>
      </c>
      <c r="AM122" s="16">
        <v>9.5</v>
      </c>
    </row>
    <row r="123" spans="1:39" x14ac:dyDescent="0.25">
      <c r="A123" s="22">
        <v>1970</v>
      </c>
      <c r="B123" s="16">
        <v>37.5</v>
      </c>
      <c r="C123" s="16">
        <v>6.7</v>
      </c>
      <c r="D123" s="16">
        <v>32.6</v>
      </c>
      <c r="E123" s="16">
        <v>6.3</v>
      </c>
      <c r="F123" s="16">
        <v>44.9</v>
      </c>
      <c r="G123" s="16">
        <v>16</v>
      </c>
      <c r="H123" s="16">
        <v>36.5</v>
      </c>
      <c r="I123" s="16">
        <v>8.4</v>
      </c>
      <c r="J123" s="16">
        <v>41.2</v>
      </c>
      <c r="K123" s="16">
        <v>11.4</v>
      </c>
      <c r="L123" s="16"/>
      <c r="M123" s="16"/>
      <c r="N123" s="16">
        <v>37</v>
      </c>
      <c r="O123" s="16">
        <v>9.4</v>
      </c>
      <c r="P123" s="16">
        <v>42.4</v>
      </c>
      <c r="Q123" s="16">
        <v>18.8</v>
      </c>
      <c r="R123" s="16"/>
      <c r="S123" s="16"/>
      <c r="T123" s="16">
        <v>42.8</v>
      </c>
      <c r="U123" s="16">
        <v>15.4</v>
      </c>
      <c r="V123" s="16">
        <v>28.8</v>
      </c>
      <c r="W123" s="16">
        <v>8.4</v>
      </c>
      <c r="X123" s="16">
        <v>23.4</v>
      </c>
      <c r="Y123" s="16">
        <v>9.1999999999999993</v>
      </c>
      <c r="Z123" s="16">
        <v>44.5</v>
      </c>
      <c r="AA123" s="16">
        <v>10</v>
      </c>
      <c r="AB123" s="16">
        <v>29.9</v>
      </c>
      <c r="AC123" s="16">
        <v>7</v>
      </c>
      <c r="AD123" s="16">
        <v>37.4</v>
      </c>
      <c r="AE123" s="16">
        <v>7.6</v>
      </c>
      <c r="AF123" s="16">
        <v>41.9</v>
      </c>
      <c r="AG123" s="16">
        <v>10.6</v>
      </c>
      <c r="AH123" s="16"/>
      <c r="AI123" s="16"/>
      <c r="AJ123" s="16">
        <v>20.100000000000001</v>
      </c>
      <c r="AK123" s="16">
        <v>9.8000000000000007</v>
      </c>
      <c r="AL123" s="16">
        <v>23.4</v>
      </c>
      <c r="AM123" s="16">
        <v>9.1999999999999993</v>
      </c>
    </row>
    <row r="124" spans="1:39" x14ac:dyDescent="0.25">
      <c r="A124" s="22">
        <v>1971</v>
      </c>
      <c r="B124" s="16">
        <v>36.700000000000003</v>
      </c>
      <c r="C124" s="16">
        <v>6.5</v>
      </c>
      <c r="D124" s="16">
        <v>31.6</v>
      </c>
      <c r="E124" s="16">
        <v>6</v>
      </c>
      <c r="F124" s="16">
        <v>44.7</v>
      </c>
      <c r="G124" s="16">
        <v>14.9</v>
      </c>
      <c r="H124" s="16">
        <v>35.4</v>
      </c>
      <c r="I124" s="16">
        <v>8.1</v>
      </c>
      <c r="J124" s="16">
        <v>40.700000000000003</v>
      </c>
      <c r="K124" s="16">
        <v>11.1</v>
      </c>
      <c r="L124" s="16"/>
      <c r="M124" s="16"/>
      <c r="N124" s="16">
        <v>36.299999999999997</v>
      </c>
      <c r="O124" s="16">
        <v>9.3000000000000007</v>
      </c>
      <c r="P124" s="16">
        <v>41.8</v>
      </c>
      <c r="Q124" s="16">
        <v>13.5</v>
      </c>
      <c r="R124" s="16"/>
      <c r="S124" s="16"/>
      <c r="T124" s="16">
        <v>42.8</v>
      </c>
      <c r="U124" s="16">
        <v>15</v>
      </c>
      <c r="V124" s="16">
        <v>28.1</v>
      </c>
      <c r="W124" s="16">
        <v>8.1999999999999993</v>
      </c>
      <c r="X124" s="16">
        <v>23.6</v>
      </c>
      <c r="Y124" s="16">
        <v>9.4</v>
      </c>
      <c r="Z124" s="16">
        <v>43.9</v>
      </c>
      <c r="AA124" s="16">
        <v>9.6999999999999993</v>
      </c>
      <c r="AB124" s="16">
        <v>28.5</v>
      </c>
      <c r="AC124" s="16">
        <v>6.8</v>
      </c>
      <c r="AD124" s="16">
        <v>36.700000000000003</v>
      </c>
      <c r="AE124" s="16">
        <v>7.3</v>
      </c>
      <c r="AF124" s="16">
        <v>41.2</v>
      </c>
      <c r="AG124" s="16">
        <v>10.199999999999999</v>
      </c>
      <c r="AH124" s="16"/>
      <c r="AI124" s="16"/>
      <c r="AJ124" s="16">
        <v>20</v>
      </c>
      <c r="AK124" s="16">
        <v>9.8000000000000007</v>
      </c>
      <c r="AL124" s="16">
        <v>23.6</v>
      </c>
      <c r="AM124" s="16">
        <v>9.4</v>
      </c>
    </row>
    <row r="125" spans="1:39" x14ac:dyDescent="0.25">
      <c r="A125" s="22">
        <v>1972</v>
      </c>
      <c r="B125" s="16">
        <v>36.1</v>
      </c>
      <c r="C125" s="16">
        <v>6.3</v>
      </c>
      <c r="D125" s="16">
        <v>30.7</v>
      </c>
      <c r="E125" s="16">
        <v>5.7</v>
      </c>
      <c r="F125" s="16">
        <v>44.4</v>
      </c>
      <c r="G125" s="16">
        <v>14</v>
      </c>
      <c r="H125" s="16">
        <v>34.4</v>
      </c>
      <c r="I125" s="16">
        <v>7.8</v>
      </c>
      <c r="J125" s="16">
        <v>40.1</v>
      </c>
      <c r="K125" s="16">
        <v>10.7</v>
      </c>
      <c r="L125" s="16"/>
      <c r="M125" s="16"/>
      <c r="N125" s="16">
        <v>35.799999999999997</v>
      </c>
      <c r="O125" s="16">
        <v>9.1</v>
      </c>
      <c r="P125" s="16">
        <v>41.2</v>
      </c>
      <c r="Q125" s="16">
        <v>13.3</v>
      </c>
      <c r="R125" s="16"/>
      <c r="S125" s="16"/>
      <c r="T125" s="16">
        <v>42.5</v>
      </c>
      <c r="U125" s="16">
        <v>14.6</v>
      </c>
      <c r="V125" s="16">
        <v>27.4</v>
      </c>
      <c r="W125" s="16">
        <v>8</v>
      </c>
      <c r="X125" s="16">
        <v>23.8</v>
      </c>
      <c r="Y125" s="16">
        <v>9.3000000000000007</v>
      </c>
      <c r="Z125" s="16">
        <v>43</v>
      </c>
      <c r="AA125" s="16">
        <v>9.3000000000000007</v>
      </c>
      <c r="AB125" s="16">
        <v>27.2</v>
      </c>
      <c r="AC125" s="16">
        <v>6.7</v>
      </c>
      <c r="AD125" s="16">
        <v>36</v>
      </c>
      <c r="AE125" s="16">
        <v>7</v>
      </c>
      <c r="AF125" s="16">
        <v>40.6</v>
      </c>
      <c r="AG125" s="16">
        <v>9.8000000000000007</v>
      </c>
      <c r="AH125" s="16"/>
      <c r="AI125" s="16"/>
      <c r="AJ125" s="16">
        <v>20</v>
      </c>
      <c r="AK125" s="16">
        <v>9.8000000000000007</v>
      </c>
      <c r="AL125" s="16">
        <v>23.8</v>
      </c>
      <c r="AM125" s="16">
        <v>9.3000000000000007</v>
      </c>
    </row>
    <row r="126" spans="1:39" x14ac:dyDescent="0.25">
      <c r="A126" s="22">
        <v>1973</v>
      </c>
      <c r="B126" s="16">
        <v>35.700000000000003</v>
      </c>
      <c r="C126" s="16">
        <v>6.2</v>
      </c>
      <c r="D126" s="16">
        <v>30.1</v>
      </c>
      <c r="E126" s="16">
        <v>5.5</v>
      </c>
      <c r="F126" s="16">
        <v>44.2</v>
      </c>
      <c r="G126" s="16">
        <v>13.4</v>
      </c>
      <c r="H126" s="16">
        <v>33.700000000000003</v>
      </c>
      <c r="I126" s="16">
        <v>7.6</v>
      </c>
      <c r="J126" s="16">
        <v>39.5</v>
      </c>
      <c r="K126" s="16">
        <v>10.4</v>
      </c>
      <c r="L126" s="16"/>
      <c r="M126" s="16"/>
      <c r="N126" s="16">
        <v>35.4</v>
      </c>
      <c r="O126" s="16">
        <v>8.9</v>
      </c>
      <c r="P126" s="16">
        <v>40.700000000000003</v>
      </c>
      <c r="Q126" s="16">
        <v>13.2</v>
      </c>
      <c r="R126" s="16"/>
      <c r="S126" s="16"/>
      <c r="T126" s="16">
        <v>42.2</v>
      </c>
      <c r="U126" s="16">
        <v>13.9</v>
      </c>
      <c r="V126" s="16">
        <v>26.8</v>
      </c>
      <c r="W126" s="16">
        <v>7.7</v>
      </c>
      <c r="X126" s="16">
        <v>24.1</v>
      </c>
      <c r="Y126" s="16">
        <v>9.3000000000000007</v>
      </c>
      <c r="Z126" s="16">
        <v>42.1</v>
      </c>
      <c r="AA126" s="16">
        <v>9</v>
      </c>
      <c r="AB126" s="16">
        <v>25.8</v>
      </c>
      <c r="AC126" s="16">
        <v>6.6</v>
      </c>
      <c r="AD126" s="16">
        <v>35</v>
      </c>
      <c r="AE126" s="16">
        <v>6.7</v>
      </c>
      <c r="AF126" s="16">
        <v>40</v>
      </c>
      <c r="AG126" s="16">
        <v>9.4</v>
      </c>
      <c r="AH126" s="16"/>
      <c r="AI126" s="16"/>
      <c r="AJ126" s="16">
        <v>20.399999999999999</v>
      </c>
      <c r="AK126" s="16">
        <v>9.8000000000000007</v>
      </c>
      <c r="AL126" s="16">
        <v>24.1</v>
      </c>
      <c r="AM126" s="16">
        <v>9.3000000000000007</v>
      </c>
    </row>
    <row r="127" spans="1:39" x14ac:dyDescent="0.25">
      <c r="A127" s="22">
        <v>1974</v>
      </c>
      <c r="B127" s="16">
        <v>35.299999999999997</v>
      </c>
      <c r="C127" s="16">
        <v>6</v>
      </c>
      <c r="D127" s="16">
        <v>29.9</v>
      </c>
      <c r="E127" s="16">
        <v>5.2</v>
      </c>
      <c r="F127" s="16">
        <v>44.1</v>
      </c>
      <c r="G127" s="16">
        <v>13.2</v>
      </c>
      <c r="H127" s="16">
        <v>33.1</v>
      </c>
      <c r="I127" s="16">
        <v>7.3</v>
      </c>
      <c r="J127" s="16">
        <v>38.9</v>
      </c>
      <c r="K127" s="16">
        <v>10.1</v>
      </c>
      <c r="L127" s="16"/>
      <c r="M127" s="16"/>
      <c r="N127" s="16">
        <v>35.200000000000003</v>
      </c>
      <c r="O127" s="16">
        <v>8.9</v>
      </c>
      <c r="P127" s="16">
        <v>40.1</v>
      </c>
      <c r="Q127" s="16">
        <v>12.8</v>
      </c>
      <c r="R127" s="16"/>
      <c r="S127" s="16"/>
      <c r="T127" s="16">
        <v>41.9</v>
      </c>
      <c r="U127" s="16">
        <v>13.7</v>
      </c>
      <c r="V127" s="16">
        <v>26.1</v>
      </c>
      <c r="W127" s="16">
        <v>7.4</v>
      </c>
      <c r="X127" s="16">
        <v>24.5</v>
      </c>
      <c r="Y127" s="16">
        <v>9.3000000000000007</v>
      </c>
      <c r="Z127" s="16">
        <v>41.2</v>
      </c>
      <c r="AA127" s="16">
        <v>8.6</v>
      </c>
      <c r="AB127" s="16">
        <v>24.1</v>
      </c>
      <c r="AC127" s="16">
        <v>6.5</v>
      </c>
      <c r="AD127" s="16">
        <v>34.200000000000003</v>
      </c>
      <c r="AE127" s="16">
        <v>6.4</v>
      </c>
      <c r="AF127" s="16">
        <v>39.1</v>
      </c>
      <c r="AG127" s="16">
        <v>9.1</v>
      </c>
      <c r="AH127" s="16"/>
      <c r="AI127" s="16"/>
      <c r="AJ127" s="16">
        <v>21.1</v>
      </c>
      <c r="AK127" s="16">
        <v>9.9</v>
      </c>
      <c r="AL127" s="16">
        <v>24.5</v>
      </c>
      <c r="AM127" s="16">
        <v>9.3000000000000007</v>
      </c>
    </row>
    <row r="128" spans="1:39" x14ac:dyDescent="0.25">
      <c r="A128" s="22">
        <v>1975</v>
      </c>
      <c r="B128" s="16">
        <v>35</v>
      </c>
      <c r="C128" s="16">
        <v>5.9</v>
      </c>
      <c r="D128" s="16">
        <v>29.8</v>
      </c>
      <c r="E128" s="16">
        <v>4.9000000000000004</v>
      </c>
      <c r="F128" s="16">
        <v>44.1</v>
      </c>
      <c r="G128" s="16">
        <v>13.3</v>
      </c>
      <c r="H128" s="16">
        <v>32.700000000000003</v>
      </c>
      <c r="I128" s="16">
        <v>7.1</v>
      </c>
      <c r="J128" s="16">
        <v>38.200000000000003</v>
      </c>
      <c r="K128" s="16">
        <v>9.8000000000000007</v>
      </c>
      <c r="L128" s="16"/>
      <c r="M128" s="16"/>
      <c r="N128" s="16">
        <v>34.9</v>
      </c>
      <c r="O128" s="16">
        <v>8.8000000000000007</v>
      </c>
      <c r="P128" s="16">
        <v>39.5</v>
      </c>
      <c r="Q128" s="16">
        <v>12.5</v>
      </c>
      <c r="R128" s="16"/>
      <c r="S128" s="16"/>
      <c r="T128" s="16">
        <v>41.5</v>
      </c>
      <c r="U128" s="16">
        <v>13.2</v>
      </c>
      <c r="V128" s="16">
        <v>25.5</v>
      </c>
      <c r="W128" s="16">
        <v>7</v>
      </c>
      <c r="X128" s="16">
        <v>24.9</v>
      </c>
      <c r="Y128" s="16">
        <v>9.1</v>
      </c>
      <c r="Z128" s="16">
        <v>40.1</v>
      </c>
      <c r="AA128" s="16">
        <v>8.1999999999999993</v>
      </c>
      <c r="AB128" s="16">
        <v>21.6</v>
      </c>
      <c r="AC128" s="16">
        <v>6.4</v>
      </c>
      <c r="AD128" s="16">
        <v>33.299999999999997</v>
      </c>
      <c r="AE128" s="16">
        <v>6.1</v>
      </c>
      <c r="AF128" s="16">
        <v>38.4</v>
      </c>
      <c r="AG128" s="16">
        <v>8.8000000000000007</v>
      </c>
      <c r="AH128" s="16"/>
      <c r="AI128" s="16"/>
      <c r="AJ128" s="16">
        <v>21.5</v>
      </c>
      <c r="AK128" s="16">
        <v>9.9</v>
      </c>
      <c r="AL128" s="16">
        <v>24.9</v>
      </c>
      <c r="AM128" s="16">
        <v>9.1</v>
      </c>
    </row>
    <row r="129" spans="1:39" x14ac:dyDescent="0.25">
      <c r="A129" s="22">
        <v>1976</v>
      </c>
      <c r="B129" s="16">
        <v>34.700000000000003</v>
      </c>
      <c r="C129" s="16">
        <v>5.7</v>
      </c>
      <c r="D129" s="16">
        <v>29.9</v>
      </c>
      <c r="E129" s="16">
        <v>4.7</v>
      </c>
      <c r="F129" s="16">
        <v>44</v>
      </c>
      <c r="G129" s="16">
        <v>16.600000000000001</v>
      </c>
      <c r="H129" s="16">
        <v>32.5</v>
      </c>
      <c r="I129" s="16">
        <v>6.9</v>
      </c>
      <c r="J129" s="16">
        <v>37.6</v>
      </c>
      <c r="K129" s="16">
        <v>9.5</v>
      </c>
      <c r="L129" s="16"/>
      <c r="M129" s="16"/>
      <c r="N129" s="16">
        <v>34.799999999999997</v>
      </c>
      <c r="O129" s="16">
        <v>8.6999999999999993</v>
      </c>
      <c r="P129" s="16">
        <v>38.9</v>
      </c>
      <c r="Q129" s="16">
        <v>12.2</v>
      </c>
      <c r="R129" s="16"/>
      <c r="S129" s="16"/>
      <c r="T129" s="16">
        <v>41.2</v>
      </c>
      <c r="U129" s="16">
        <v>12.5</v>
      </c>
      <c r="V129" s="16">
        <v>24.9</v>
      </c>
      <c r="W129" s="16">
        <v>6.8</v>
      </c>
      <c r="X129" s="16">
        <v>25.2</v>
      </c>
      <c r="Y129" s="16">
        <v>9.1999999999999993</v>
      </c>
      <c r="Z129" s="16">
        <v>39.1</v>
      </c>
      <c r="AA129" s="16">
        <v>7.9</v>
      </c>
      <c r="AB129" s="16">
        <v>19.399999999999999</v>
      </c>
      <c r="AC129" s="16">
        <v>6.3</v>
      </c>
      <c r="AD129" s="16">
        <v>32.5</v>
      </c>
      <c r="AE129" s="16">
        <v>5.9</v>
      </c>
      <c r="AF129" s="16">
        <v>37.700000000000003</v>
      </c>
      <c r="AG129" s="16">
        <v>8.5</v>
      </c>
      <c r="AH129" s="16"/>
      <c r="AI129" s="16"/>
      <c r="AJ129" s="16">
        <v>21.4</v>
      </c>
      <c r="AK129" s="16">
        <v>9.9</v>
      </c>
      <c r="AL129" s="16">
        <v>25.2</v>
      </c>
      <c r="AM129" s="16">
        <v>9.1999999999999993</v>
      </c>
    </row>
    <row r="130" spans="1:39" x14ac:dyDescent="0.25">
      <c r="A130" s="22">
        <v>1977</v>
      </c>
      <c r="B130" s="16">
        <v>34.5</v>
      </c>
      <c r="C130" s="16">
        <v>5.5</v>
      </c>
      <c r="D130" s="16">
        <v>30</v>
      </c>
      <c r="E130" s="16">
        <v>4.5999999999999996</v>
      </c>
      <c r="F130" s="16">
        <v>43.9</v>
      </c>
      <c r="G130" s="16">
        <v>12.1</v>
      </c>
      <c r="H130" s="16">
        <v>32.200000000000003</v>
      </c>
      <c r="I130" s="16">
        <v>6.6</v>
      </c>
      <c r="J130" s="16">
        <v>36.9</v>
      </c>
      <c r="K130" s="16">
        <v>9.1999999999999993</v>
      </c>
      <c r="L130" s="16"/>
      <c r="M130" s="16"/>
      <c r="N130" s="16">
        <v>35</v>
      </c>
      <c r="O130" s="16">
        <v>8.6999999999999993</v>
      </c>
      <c r="P130" s="16">
        <v>38.299999999999997</v>
      </c>
      <c r="Q130" s="16">
        <v>11.9</v>
      </c>
      <c r="R130" s="16"/>
      <c r="S130" s="16"/>
      <c r="T130" s="16">
        <v>40.799999999999997</v>
      </c>
      <c r="U130" s="16">
        <v>12.5</v>
      </c>
      <c r="V130" s="16">
        <v>24.5</v>
      </c>
      <c r="W130" s="16">
        <v>6.5</v>
      </c>
      <c r="X130" s="16">
        <v>25.5</v>
      </c>
      <c r="Y130" s="16">
        <v>8.9</v>
      </c>
      <c r="Z130" s="16">
        <v>38.1</v>
      </c>
      <c r="AA130" s="16">
        <v>7.6</v>
      </c>
      <c r="AB130" s="16">
        <v>17.3</v>
      </c>
      <c r="AC130" s="16">
        <v>6.2</v>
      </c>
      <c r="AD130" s="16">
        <v>31.7</v>
      </c>
      <c r="AE130" s="16">
        <v>5.7</v>
      </c>
      <c r="AF130" s="16">
        <v>37</v>
      </c>
      <c r="AG130" s="16">
        <v>8.1999999999999993</v>
      </c>
      <c r="AH130" s="16"/>
      <c r="AI130" s="16"/>
      <c r="AJ130" s="16">
        <v>20.6</v>
      </c>
      <c r="AK130" s="16">
        <v>9.9</v>
      </c>
      <c r="AL130" s="16">
        <v>25.5</v>
      </c>
      <c r="AM130" s="16">
        <v>8.9</v>
      </c>
    </row>
    <row r="131" spans="1:39" x14ac:dyDescent="0.25">
      <c r="A131" s="22">
        <v>1978</v>
      </c>
      <c r="B131" s="16">
        <v>34.1</v>
      </c>
      <c r="C131" s="16">
        <v>5.4</v>
      </c>
      <c r="D131" s="16">
        <v>30.2</v>
      </c>
      <c r="E131" s="16">
        <v>4.5</v>
      </c>
      <c r="F131" s="16">
        <v>43.7</v>
      </c>
      <c r="G131" s="16">
        <v>11.5</v>
      </c>
      <c r="H131" s="16">
        <v>31.5</v>
      </c>
      <c r="I131" s="16">
        <v>6.4</v>
      </c>
      <c r="J131" s="16">
        <v>36.299999999999997</v>
      </c>
      <c r="K131" s="16">
        <v>8.8000000000000007</v>
      </c>
      <c r="L131" s="16"/>
      <c r="M131" s="16"/>
      <c r="N131" s="16">
        <v>35.1</v>
      </c>
      <c r="O131" s="16">
        <v>8.6</v>
      </c>
      <c r="P131" s="16">
        <v>37.700000000000003</v>
      </c>
      <c r="Q131" s="16">
        <v>11.5</v>
      </c>
      <c r="R131" s="16"/>
      <c r="S131" s="16"/>
      <c r="T131" s="16">
        <v>40.4</v>
      </c>
      <c r="U131" s="16">
        <v>12.1</v>
      </c>
      <c r="V131" s="16">
        <v>24</v>
      </c>
      <c r="W131" s="16">
        <v>6.4</v>
      </c>
      <c r="X131" s="16">
        <v>25.4</v>
      </c>
      <c r="Y131" s="16">
        <v>8.9</v>
      </c>
      <c r="Z131" s="16">
        <v>37.4</v>
      </c>
      <c r="AA131" s="16">
        <v>7.4</v>
      </c>
      <c r="AB131" s="16">
        <v>15.1</v>
      </c>
      <c r="AC131" s="16">
        <v>6.2</v>
      </c>
      <c r="AD131" s="16">
        <v>31.1</v>
      </c>
      <c r="AE131" s="16">
        <v>5.5</v>
      </c>
      <c r="AF131" s="16">
        <v>36.299999999999997</v>
      </c>
      <c r="AG131" s="16">
        <v>8</v>
      </c>
      <c r="AH131" s="16"/>
      <c r="AI131" s="16"/>
      <c r="AJ131" s="16">
        <v>20.100000000000001</v>
      </c>
      <c r="AK131" s="16">
        <v>9.9</v>
      </c>
      <c r="AL131" s="16">
        <v>25.4</v>
      </c>
      <c r="AM131" s="16">
        <v>8.9</v>
      </c>
    </row>
    <row r="132" spans="1:39" x14ac:dyDescent="0.25">
      <c r="A132" s="22">
        <v>1979</v>
      </c>
      <c r="B132" s="16">
        <v>33.799999999999997</v>
      </c>
      <c r="C132" s="16">
        <v>5.4</v>
      </c>
      <c r="D132" s="16">
        <v>30.5</v>
      </c>
      <c r="E132" s="16">
        <v>4.3</v>
      </c>
      <c r="F132" s="16">
        <v>43.6</v>
      </c>
      <c r="G132" s="16">
        <v>11.4</v>
      </c>
      <c r="H132" s="16">
        <v>31.2</v>
      </c>
      <c r="I132" s="16">
        <v>6.3</v>
      </c>
      <c r="J132" s="16">
        <v>35.700000000000003</v>
      </c>
      <c r="K132" s="16">
        <v>8.5</v>
      </c>
      <c r="L132" s="16"/>
      <c r="M132" s="16"/>
      <c r="N132" s="16">
        <v>35.6</v>
      </c>
      <c r="O132" s="16">
        <v>8.6</v>
      </c>
      <c r="P132" s="16">
        <v>37.1</v>
      </c>
      <c r="Q132" s="16">
        <v>11.2</v>
      </c>
      <c r="R132" s="16"/>
      <c r="S132" s="16"/>
      <c r="T132" s="16">
        <v>40.1</v>
      </c>
      <c r="U132" s="16">
        <v>12.5</v>
      </c>
      <c r="V132" s="16">
        <v>23.6</v>
      </c>
      <c r="W132" s="16">
        <v>6.2</v>
      </c>
      <c r="X132" s="16">
        <v>25.1</v>
      </c>
      <c r="Y132" s="16">
        <v>8.8000000000000007</v>
      </c>
      <c r="Z132" s="16">
        <v>36.200000000000003</v>
      </c>
      <c r="AA132" s="16">
        <v>7.1</v>
      </c>
      <c r="AB132" s="16">
        <v>14.6</v>
      </c>
      <c r="AC132" s="16">
        <v>6.3</v>
      </c>
      <c r="AD132" s="16">
        <v>30.7</v>
      </c>
      <c r="AE132" s="16">
        <v>5.4</v>
      </c>
      <c r="AF132" s="16">
        <v>35.799999999999997</v>
      </c>
      <c r="AG132" s="16">
        <v>8.1</v>
      </c>
      <c r="AH132" s="16"/>
      <c r="AI132" s="16"/>
      <c r="AJ132" s="16">
        <v>19.3</v>
      </c>
      <c r="AK132" s="16">
        <v>10</v>
      </c>
      <c r="AL132" s="16">
        <v>25.1</v>
      </c>
      <c r="AM132" s="16">
        <v>8.8000000000000007</v>
      </c>
    </row>
    <row r="133" spans="1:39" x14ac:dyDescent="0.25">
      <c r="A133" s="22">
        <v>1980</v>
      </c>
      <c r="B133" s="16">
        <v>33.299999999999997</v>
      </c>
      <c r="C133" s="16">
        <v>5.4</v>
      </c>
      <c r="D133" s="16">
        <v>30.4</v>
      </c>
      <c r="E133" s="16">
        <v>4.2</v>
      </c>
      <c r="F133" s="16">
        <v>43.6</v>
      </c>
      <c r="G133" s="16">
        <v>12</v>
      </c>
      <c r="H133" s="16">
        <v>31.1</v>
      </c>
      <c r="I133" s="16">
        <v>6.2</v>
      </c>
      <c r="J133" s="16">
        <v>35.200000000000003</v>
      </c>
      <c r="K133" s="16">
        <v>8.1999999999999993</v>
      </c>
      <c r="L133" s="16"/>
      <c r="M133" s="16"/>
      <c r="N133" s="16">
        <v>36.200000000000003</v>
      </c>
      <c r="O133" s="16">
        <v>8.5</v>
      </c>
      <c r="P133" s="16">
        <v>36.5</v>
      </c>
      <c r="Q133" s="16">
        <v>10.9</v>
      </c>
      <c r="R133" s="16"/>
      <c r="S133" s="16"/>
      <c r="T133" s="16">
        <v>39.799999999999997</v>
      </c>
      <c r="U133" s="16">
        <v>15.2</v>
      </c>
      <c r="V133" s="16">
        <v>23.2</v>
      </c>
      <c r="W133" s="16">
        <v>6</v>
      </c>
      <c r="X133" s="16">
        <v>24.7</v>
      </c>
      <c r="Y133" s="16">
        <v>8.9</v>
      </c>
      <c r="Z133" s="16">
        <v>35</v>
      </c>
      <c r="AA133" s="16">
        <v>6.9</v>
      </c>
      <c r="AB133" s="16">
        <v>13.9</v>
      </c>
      <c r="AC133" s="16">
        <v>6.3</v>
      </c>
      <c r="AD133" s="16">
        <v>30.4</v>
      </c>
      <c r="AE133" s="16">
        <v>5.3</v>
      </c>
      <c r="AF133" s="16">
        <v>35.1</v>
      </c>
      <c r="AG133" s="16">
        <v>7.6</v>
      </c>
      <c r="AH133" s="16"/>
      <c r="AI133" s="16"/>
      <c r="AJ133" s="16">
        <v>18.5</v>
      </c>
      <c r="AK133" s="16">
        <v>9.9</v>
      </c>
      <c r="AL133" s="16">
        <v>24.7</v>
      </c>
      <c r="AM133" s="16">
        <v>8.9</v>
      </c>
    </row>
    <row r="134" spans="1:39" x14ac:dyDescent="0.25">
      <c r="A134" s="22">
        <v>1981</v>
      </c>
      <c r="B134" s="16">
        <v>32.799999999999997</v>
      </c>
      <c r="C134" s="16">
        <v>5.3</v>
      </c>
      <c r="D134" s="16">
        <v>30.4</v>
      </c>
      <c r="E134" s="16">
        <v>4.0999999999999996</v>
      </c>
      <c r="F134" s="16">
        <v>43.4</v>
      </c>
      <c r="G134" s="16">
        <v>12.2</v>
      </c>
      <c r="H134" s="16">
        <v>30.8</v>
      </c>
      <c r="I134" s="16">
        <v>6</v>
      </c>
      <c r="J134" s="16">
        <v>34.700000000000003</v>
      </c>
      <c r="K134" s="16">
        <v>8</v>
      </c>
      <c r="L134" s="16"/>
      <c r="M134" s="16"/>
      <c r="N134" s="16">
        <v>36.9</v>
      </c>
      <c r="O134" s="16">
        <v>8.4</v>
      </c>
      <c r="P134" s="16">
        <v>35.9</v>
      </c>
      <c r="Q134" s="16">
        <v>10.5</v>
      </c>
      <c r="R134" s="16"/>
      <c r="S134" s="16"/>
      <c r="T134" s="16">
        <v>39.6</v>
      </c>
      <c r="U134" s="16">
        <v>13.9</v>
      </c>
      <c r="V134" s="16">
        <v>23</v>
      </c>
      <c r="W134" s="16">
        <v>6</v>
      </c>
      <c r="X134" s="16">
        <v>24.3</v>
      </c>
      <c r="Y134" s="16">
        <v>8.6999999999999993</v>
      </c>
      <c r="Z134" s="16">
        <v>34.299999999999997</v>
      </c>
      <c r="AA134" s="16">
        <v>6.7</v>
      </c>
      <c r="AB134" s="16">
        <v>13.9</v>
      </c>
      <c r="AC134" s="16">
        <v>6.4</v>
      </c>
      <c r="AD134" s="16">
        <v>30.2</v>
      </c>
      <c r="AE134" s="16">
        <v>5.2</v>
      </c>
      <c r="AF134" s="16">
        <v>34.4</v>
      </c>
      <c r="AG134" s="16">
        <v>7.4</v>
      </c>
      <c r="AH134" s="16"/>
      <c r="AI134" s="16"/>
      <c r="AJ134" s="16">
        <v>18.2</v>
      </c>
      <c r="AK134" s="16">
        <v>9.6999999999999993</v>
      </c>
      <c r="AL134" s="16">
        <v>24.3</v>
      </c>
      <c r="AM134" s="16">
        <v>8.6999999999999993</v>
      </c>
    </row>
    <row r="135" spans="1:39" x14ac:dyDescent="0.25">
      <c r="A135" s="22">
        <v>1982</v>
      </c>
      <c r="B135" s="16">
        <v>32.299999999999997</v>
      </c>
      <c r="C135" s="16">
        <v>5.2</v>
      </c>
      <c r="D135" s="16">
        <v>30.5</v>
      </c>
      <c r="E135" s="16">
        <v>4</v>
      </c>
      <c r="F135" s="16">
        <v>43.2</v>
      </c>
      <c r="G135" s="16">
        <v>15.6</v>
      </c>
      <c r="H135" s="16">
        <v>30.5</v>
      </c>
      <c r="I135" s="16">
        <v>5.8</v>
      </c>
      <c r="J135" s="16">
        <v>34.1</v>
      </c>
      <c r="K135" s="16">
        <v>7.7</v>
      </c>
      <c r="L135" s="16"/>
      <c r="M135" s="16"/>
      <c r="N135" s="16">
        <v>37</v>
      </c>
      <c r="O135" s="16">
        <v>8.1999999999999993</v>
      </c>
      <c r="P135" s="16">
        <v>35.4</v>
      </c>
      <c r="Q135" s="16">
        <v>10.1</v>
      </c>
      <c r="R135" s="16"/>
      <c r="S135" s="16"/>
      <c r="T135" s="16">
        <v>38.6</v>
      </c>
      <c r="U135" s="16">
        <v>12.4</v>
      </c>
      <c r="V135" s="16">
        <v>22.7</v>
      </c>
      <c r="W135" s="16">
        <v>5.9</v>
      </c>
      <c r="X135" s="16">
        <v>23.8</v>
      </c>
      <c r="Y135" s="16">
        <v>8.8000000000000007</v>
      </c>
      <c r="Z135" s="16">
        <v>33.9</v>
      </c>
      <c r="AA135" s="16">
        <v>6.6</v>
      </c>
      <c r="AB135" s="16">
        <v>15.9</v>
      </c>
      <c r="AC135" s="16">
        <v>6.3</v>
      </c>
      <c r="AD135" s="16">
        <v>30</v>
      </c>
      <c r="AE135" s="16">
        <v>5.2</v>
      </c>
      <c r="AF135" s="16">
        <v>33.799999999999997</v>
      </c>
      <c r="AG135" s="16">
        <v>7.2</v>
      </c>
      <c r="AH135" s="16"/>
      <c r="AI135" s="16"/>
      <c r="AJ135" s="16">
        <v>18</v>
      </c>
      <c r="AK135" s="16">
        <v>9.6</v>
      </c>
      <c r="AL135" s="16">
        <v>23.8</v>
      </c>
      <c r="AM135" s="16">
        <v>8.8000000000000007</v>
      </c>
    </row>
    <row r="136" spans="1:39" x14ac:dyDescent="0.25">
      <c r="A136" s="22">
        <v>1983</v>
      </c>
      <c r="B136" s="16">
        <v>31.8</v>
      </c>
      <c r="C136" s="16">
        <v>5</v>
      </c>
      <c r="D136" s="16">
        <v>30.5</v>
      </c>
      <c r="E136" s="16">
        <v>3.9</v>
      </c>
      <c r="F136" s="16">
        <v>42.8</v>
      </c>
      <c r="G136" s="16">
        <v>10.7</v>
      </c>
      <c r="H136" s="16">
        <v>29.9</v>
      </c>
      <c r="I136" s="16">
        <v>5.8</v>
      </c>
      <c r="J136" s="16">
        <v>33.6</v>
      </c>
      <c r="K136" s="16">
        <v>7.5</v>
      </c>
      <c r="L136" s="16"/>
      <c r="M136" s="16"/>
      <c r="N136" s="16">
        <v>37</v>
      </c>
      <c r="O136" s="16">
        <v>8</v>
      </c>
      <c r="P136" s="16">
        <v>35</v>
      </c>
      <c r="Q136" s="16">
        <v>9.9</v>
      </c>
      <c r="R136" s="16"/>
      <c r="S136" s="16"/>
      <c r="T136" s="16">
        <v>37.700000000000003</v>
      </c>
      <c r="U136" s="16">
        <v>11.8</v>
      </c>
      <c r="V136" s="16">
        <v>22.6</v>
      </c>
      <c r="W136" s="16">
        <v>5.8</v>
      </c>
      <c r="X136" s="16">
        <v>23.3</v>
      </c>
      <c r="Y136" s="16">
        <v>8.8000000000000007</v>
      </c>
      <c r="Z136" s="16">
        <v>33.4</v>
      </c>
      <c r="AA136" s="16">
        <v>6.5</v>
      </c>
      <c r="AB136" s="16">
        <v>16.5</v>
      </c>
      <c r="AC136" s="16">
        <v>6.3</v>
      </c>
      <c r="AD136" s="16">
        <v>29.9</v>
      </c>
      <c r="AE136" s="16">
        <v>5.2</v>
      </c>
      <c r="AF136" s="16">
        <v>33.6</v>
      </c>
      <c r="AG136" s="16">
        <v>7.1</v>
      </c>
      <c r="AH136" s="16"/>
      <c r="AI136" s="16"/>
      <c r="AJ136" s="16">
        <v>17.899999999999999</v>
      </c>
      <c r="AK136" s="16">
        <v>9.8000000000000007</v>
      </c>
      <c r="AL136" s="16">
        <v>23.3</v>
      </c>
      <c r="AM136" s="16">
        <v>8.8000000000000007</v>
      </c>
    </row>
    <row r="137" spans="1:39" x14ac:dyDescent="0.25">
      <c r="A137" s="22">
        <v>1984</v>
      </c>
      <c r="B137" s="16">
        <v>31.4</v>
      </c>
      <c r="C137" s="16">
        <v>5</v>
      </c>
      <c r="D137" s="16">
        <v>30.5</v>
      </c>
      <c r="E137" s="16">
        <v>3.9</v>
      </c>
      <c r="F137" s="16">
        <v>41.9</v>
      </c>
      <c r="G137" s="16">
        <v>10.199999999999999</v>
      </c>
      <c r="H137" s="16">
        <v>29</v>
      </c>
      <c r="I137" s="16">
        <v>5.7</v>
      </c>
      <c r="J137" s="16">
        <v>33.299999999999997</v>
      </c>
      <c r="K137" s="16">
        <v>7.2</v>
      </c>
      <c r="L137" s="16"/>
      <c r="M137" s="16"/>
      <c r="N137" s="16">
        <v>37</v>
      </c>
      <c r="O137" s="16">
        <v>7.7</v>
      </c>
      <c r="P137" s="16">
        <v>34.5</v>
      </c>
      <c r="Q137" s="16">
        <v>9.6</v>
      </c>
      <c r="R137" s="16"/>
      <c r="S137" s="16"/>
      <c r="T137" s="16">
        <v>36.700000000000003</v>
      </c>
      <c r="U137" s="16">
        <v>10.6</v>
      </c>
      <c r="V137" s="16">
        <v>22.5</v>
      </c>
      <c r="W137" s="16">
        <v>5.7</v>
      </c>
      <c r="X137" s="16">
        <v>23</v>
      </c>
      <c r="Y137" s="16">
        <v>8.8000000000000007</v>
      </c>
      <c r="Z137" s="16">
        <v>33.1</v>
      </c>
      <c r="AA137" s="16">
        <v>6.4</v>
      </c>
      <c r="AB137" s="16">
        <v>16.5</v>
      </c>
      <c r="AC137" s="16">
        <v>6.4</v>
      </c>
      <c r="AD137" s="16">
        <v>29.5</v>
      </c>
      <c r="AE137" s="16">
        <v>5.0999999999999996</v>
      </c>
      <c r="AF137" s="16">
        <v>33</v>
      </c>
      <c r="AG137" s="16">
        <v>6.9</v>
      </c>
      <c r="AH137" s="16"/>
      <c r="AI137" s="16"/>
      <c r="AJ137" s="16">
        <v>17.8</v>
      </c>
      <c r="AK137" s="16">
        <v>9.9</v>
      </c>
      <c r="AL137" s="16">
        <v>23</v>
      </c>
      <c r="AM137" s="16">
        <v>8.8000000000000007</v>
      </c>
    </row>
    <row r="138" spans="1:39" x14ac:dyDescent="0.25">
      <c r="A138" s="22">
        <v>1985</v>
      </c>
      <c r="B138" s="16">
        <v>31</v>
      </c>
      <c r="C138" s="16">
        <v>5</v>
      </c>
      <c r="D138" s="16">
        <v>30.4</v>
      </c>
      <c r="E138" s="16">
        <v>3.9</v>
      </c>
      <c r="F138" s="16">
        <v>41.1</v>
      </c>
      <c r="G138" s="16">
        <v>9.8000000000000007</v>
      </c>
      <c r="H138" s="16">
        <v>28.3</v>
      </c>
      <c r="I138" s="16">
        <v>6.9</v>
      </c>
      <c r="J138" s="16">
        <v>32.299999999999997</v>
      </c>
      <c r="K138" s="16">
        <v>7</v>
      </c>
      <c r="L138" s="16"/>
      <c r="M138" s="16"/>
      <c r="N138" s="16">
        <v>36.799999999999997</v>
      </c>
      <c r="O138" s="16">
        <v>7.5</v>
      </c>
      <c r="P138" s="16">
        <v>34</v>
      </c>
      <c r="Q138" s="16">
        <v>9.1999999999999993</v>
      </c>
      <c r="R138" s="16"/>
      <c r="S138" s="16"/>
      <c r="T138" s="16">
        <v>35.700000000000003</v>
      </c>
      <c r="U138" s="16">
        <v>9.6999999999999993</v>
      </c>
      <c r="V138" s="16">
        <v>22.5</v>
      </c>
      <c r="W138" s="16">
        <v>5.6</v>
      </c>
      <c r="X138" s="16">
        <v>22.5</v>
      </c>
      <c r="Y138" s="16">
        <v>8.4</v>
      </c>
      <c r="Z138" s="16">
        <v>32.700000000000003</v>
      </c>
      <c r="AA138" s="16">
        <v>6.3</v>
      </c>
      <c r="AB138" s="16">
        <v>16.7</v>
      </c>
      <c r="AC138" s="16">
        <v>6.6</v>
      </c>
      <c r="AD138" s="16">
        <v>29</v>
      </c>
      <c r="AE138" s="16">
        <v>5.0999999999999996</v>
      </c>
      <c r="AF138" s="16">
        <v>32.200000000000003</v>
      </c>
      <c r="AG138" s="16">
        <v>6.7</v>
      </c>
      <c r="AH138" s="16"/>
      <c r="AI138" s="16"/>
      <c r="AJ138" s="16">
        <v>17.8</v>
      </c>
      <c r="AK138" s="16">
        <v>9.8000000000000007</v>
      </c>
      <c r="AL138" s="16">
        <v>22.5</v>
      </c>
      <c r="AM138" s="16">
        <v>8.4</v>
      </c>
    </row>
    <row r="139" spans="1:39" x14ac:dyDescent="0.25">
      <c r="A139" s="22">
        <v>1986</v>
      </c>
      <c r="B139" s="16">
        <v>30.9</v>
      </c>
      <c r="C139" s="16">
        <v>4.8</v>
      </c>
      <c r="D139" s="16">
        <v>29.8</v>
      </c>
      <c r="E139" s="16">
        <v>3.9</v>
      </c>
      <c r="F139" s="16">
        <v>40.799999999999997</v>
      </c>
      <c r="G139" s="16">
        <v>9.5</v>
      </c>
      <c r="H139" s="16">
        <v>27.9</v>
      </c>
      <c r="I139" s="16">
        <v>5.8</v>
      </c>
      <c r="J139" s="16">
        <v>31.5</v>
      </c>
      <c r="K139" s="16">
        <v>6.7</v>
      </c>
      <c r="L139" s="16"/>
      <c r="M139" s="16"/>
      <c r="N139" s="16">
        <v>36.5</v>
      </c>
      <c r="O139" s="16">
        <v>7.3</v>
      </c>
      <c r="P139" s="16">
        <v>33.5</v>
      </c>
      <c r="Q139" s="16">
        <v>8.9</v>
      </c>
      <c r="R139" s="16"/>
      <c r="S139" s="16"/>
      <c r="T139" s="16">
        <v>35.1</v>
      </c>
      <c r="U139" s="16">
        <v>9</v>
      </c>
      <c r="V139" s="16">
        <v>22.5</v>
      </c>
      <c r="W139" s="16">
        <v>5.5</v>
      </c>
      <c r="X139" s="16">
        <v>22.4</v>
      </c>
      <c r="Y139" s="16">
        <v>8.1999999999999993</v>
      </c>
      <c r="Z139" s="16">
        <v>32.299999999999997</v>
      </c>
      <c r="AA139" s="16">
        <v>6.2</v>
      </c>
      <c r="AB139" s="16">
        <v>17</v>
      </c>
      <c r="AC139" s="16">
        <v>6.6</v>
      </c>
      <c r="AD139" s="16">
        <v>28.5</v>
      </c>
      <c r="AE139" s="16">
        <v>5.0999999999999996</v>
      </c>
      <c r="AF139" s="16">
        <v>31.8</v>
      </c>
      <c r="AG139" s="16">
        <v>6.5</v>
      </c>
      <c r="AH139" s="16"/>
      <c r="AI139" s="16"/>
      <c r="AJ139" s="16">
        <v>17.8</v>
      </c>
      <c r="AK139" s="16">
        <v>9.6999999999999993</v>
      </c>
      <c r="AL139" s="16">
        <v>22.4</v>
      </c>
      <c r="AM139" s="16">
        <v>8.1999999999999993</v>
      </c>
    </row>
    <row r="140" spans="1:39" x14ac:dyDescent="0.25">
      <c r="A140" s="22">
        <v>1987</v>
      </c>
      <c r="B140" s="16">
        <v>30.6</v>
      </c>
      <c r="C140" s="16">
        <v>4.8</v>
      </c>
      <c r="D140" s="16">
        <v>29.1</v>
      </c>
      <c r="E140" s="16">
        <v>3.8</v>
      </c>
      <c r="F140" s="16">
        <v>40.700000000000003</v>
      </c>
      <c r="G140" s="16">
        <v>9.1999999999999993</v>
      </c>
      <c r="H140" s="16">
        <v>27.5</v>
      </c>
      <c r="I140" s="16">
        <v>5.9</v>
      </c>
      <c r="J140" s="16">
        <v>30.8</v>
      </c>
      <c r="K140" s="16">
        <v>6.5</v>
      </c>
      <c r="L140" s="16"/>
      <c r="M140" s="16"/>
      <c r="N140" s="16">
        <v>36.1</v>
      </c>
      <c r="O140" s="16">
        <v>7.1</v>
      </c>
      <c r="P140" s="16">
        <v>33</v>
      </c>
      <c r="Q140" s="16">
        <v>8.6</v>
      </c>
      <c r="R140" s="16"/>
      <c r="S140" s="16"/>
      <c r="T140" s="16">
        <v>35.200000000000003</v>
      </c>
      <c r="U140" s="16">
        <v>9</v>
      </c>
      <c r="V140" s="16">
        <v>22.5</v>
      </c>
      <c r="W140" s="16">
        <v>5.5</v>
      </c>
      <c r="X140" s="16">
        <v>22.2</v>
      </c>
      <c r="Y140" s="16">
        <v>8</v>
      </c>
      <c r="Z140" s="16">
        <v>31.4</v>
      </c>
      <c r="AA140" s="16">
        <v>6.1</v>
      </c>
      <c r="AB140" s="16">
        <v>17.3</v>
      </c>
      <c r="AC140" s="16">
        <v>6.7</v>
      </c>
      <c r="AD140" s="16">
        <v>28</v>
      </c>
      <c r="AE140" s="16">
        <v>5.0999999999999996</v>
      </c>
      <c r="AF140" s="16">
        <v>31.4</v>
      </c>
      <c r="AG140" s="16">
        <v>6.4</v>
      </c>
      <c r="AH140" s="16"/>
      <c r="AI140" s="16"/>
      <c r="AJ140" s="16">
        <v>17.899999999999999</v>
      </c>
      <c r="AK140" s="16">
        <v>9.9</v>
      </c>
      <c r="AL140" s="16">
        <v>22.2</v>
      </c>
      <c r="AM140" s="16">
        <v>8</v>
      </c>
    </row>
    <row r="141" spans="1:39" x14ac:dyDescent="0.25">
      <c r="A141" s="22">
        <v>1988</v>
      </c>
      <c r="B141" s="16">
        <v>30.1</v>
      </c>
      <c r="C141" s="16">
        <v>4.8</v>
      </c>
      <c r="D141" s="16">
        <v>28.3</v>
      </c>
      <c r="E141" s="16">
        <v>3.8</v>
      </c>
      <c r="F141" s="16">
        <v>40.700000000000003</v>
      </c>
      <c r="G141" s="16">
        <v>8.9</v>
      </c>
      <c r="H141" s="16">
        <v>27.2</v>
      </c>
      <c r="I141" s="16">
        <v>5.9</v>
      </c>
      <c r="J141" s="16">
        <v>30.4</v>
      </c>
      <c r="K141" s="16">
        <v>6.3</v>
      </c>
      <c r="L141" s="16"/>
      <c r="M141" s="16"/>
      <c r="N141" s="16">
        <v>35.799999999999997</v>
      </c>
      <c r="O141" s="16">
        <v>6.9</v>
      </c>
      <c r="P141" s="16">
        <v>32.4</v>
      </c>
      <c r="Q141" s="16">
        <v>8.3000000000000007</v>
      </c>
      <c r="R141" s="16"/>
      <c r="S141" s="16"/>
      <c r="T141" s="16">
        <v>34.9</v>
      </c>
      <c r="U141" s="16">
        <v>8.6999999999999993</v>
      </c>
      <c r="V141" s="16">
        <v>22.5</v>
      </c>
      <c r="W141" s="16">
        <v>5.4</v>
      </c>
      <c r="X141" s="16">
        <v>22.2</v>
      </c>
      <c r="Y141" s="16">
        <v>7.9</v>
      </c>
      <c r="Z141" s="16">
        <v>30.4</v>
      </c>
      <c r="AA141" s="16">
        <v>6.1</v>
      </c>
      <c r="AB141" s="16">
        <v>18</v>
      </c>
      <c r="AC141" s="16">
        <v>6.8</v>
      </c>
      <c r="AD141" s="16">
        <v>27.5</v>
      </c>
      <c r="AE141" s="16">
        <v>5.0999999999999996</v>
      </c>
      <c r="AF141" s="16">
        <v>31.3</v>
      </c>
      <c r="AG141" s="16">
        <v>6.3</v>
      </c>
      <c r="AH141" s="16"/>
      <c r="AI141" s="16"/>
      <c r="AJ141" s="16">
        <v>18.100000000000001</v>
      </c>
      <c r="AK141" s="16">
        <v>9.9</v>
      </c>
      <c r="AL141" s="16">
        <v>22.2</v>
      </c>
      <c r="AM141" s="16">
        <v>7.9</v>
      </c>
    </row>
    <row r="142" spans="1:39" x14ac:dyDescent="0.25">
      <c r="A142" s="22">
        <v>1989</v>
      </c>
      <c r="B142" s="16">
        <v>29.5</v>
      </c>
      <c r="C142" s="16">
        <v>4.8</v>
      </c>
      <c r="D142" s="16">
        <v>27.5</v>
      </c>
      <c r="E142" s="16">
        <v>3.7</v>
      </c>
      <c r="F142" s="16">
        <v>40.299999999999997</v>
      </c>
      <c r="G142" s="16">
        <v>8.8000000000000007</v>
      </c>
      <c r="H142" s="16">
        <v>27</v>
      </c>
      <c r="I142" s="16">
        <v>5.8</v>
      </c>
      <c r="J142" s="16">
        <v>30.2</v>
      </c>
      <c r="K142" s="16">
        <v>6</v>
      </c>
      <c r="L142" s="16"/>
      <c r="M142" s="16"/>
      <c r="N142" s="16">
        <v>35.200000000000003</v>
      </c>
      <c r="O142" s="16">
        <v>6.7</v>
      </c>
      <c r="P142" s="16">
        <v>31.8</v>
      </c>
      <c r="Q142" s="16">
        <v>8</v>
      </c>
      <c r="R142" s="16"/>
      <c r="S142" s="16"/>
      <c r="T142" s="16">
        <v>34.4</v>
      </c>
      <c r="U142" s="16">
        <v>8.1</v>
      </c>
      <c r="V142" s="16">
        <v>22.3</v>
      </c>
      <c r="W142" s="16">
        <v>5.3</v>
      </c>
      <c r="X142" s="16">
        <v>22</v>
      </c>
      <c r="Y142" s="16">
        <v>7.7</v>
      </c>
      <c r="Z142" s="16">
        <v>29.9</v>
      </c>
      <c r="AA142" s="16">
        <v>6.2</v>
      </c>
      <c r="AB142" s="16">
        <v>17.8</v>
      </c>
      <c r="AC142" s="16">
        <v>6.9</v>
      </c>
      <c r="AD142" s="16">
        <v>27.2</v>
      </c>
      <c r="AE142" s="16">
        <v>5.4</v>
      </c>
      <c r="AF142" s="16">
        <v>31.2</v>
      </c>
      <c r="AG142" s="16">
        <v>6.2</v>
      </c>
      <c r="AH142" s="16"/>
      <c r="AI142" s="16"/>
      <c r="AJ142" s="16">
        <v>18.100000000000001</v>
      </c>
      <c r="AK142" s="16">
        <v>9.9</v>
      </c>
      <c r="AL142" s="16">
        <v>22</v>
      </c>
      <c r="AM142" s="16">
        <v>7.7</v>
      </c>
    </row>
    <row r="143" spans="1:39" x14ac:dyDescent="0.25">
      <c r="A143" s="22">
        <v>1990</v>
      </c>
      <c r="B143" s="16">
        <v>28.9</v>
      </c>
      <c r="C143" s="16">
        <v>4.8</v>
      </c>
      <c r="D143" s="16">
        <v>26.7</v>
      </c>
      <c r="E143" s="16">
        <v>3.7</v>
      </c>
      <c r="F143" s="16">
        <v>39.799999999999997</v>
      </c>
      <c r="G143" s="16">
        <v>8.8000000000000007</v>
      </c>
      <c r="H143" s="16">
        <v>26.9</v>
      </c>
      <c r="I143" s="16">
        <v>5.9</v>
      </c>
      <c r="J143" s="16">
        <v>29.9</v>
      </c>
      <c r="K143" s="16">
        <v>5.8</v>
      </c>
      <c r="L143" s="16"/>
      <c r="M143" s="16"/>
      <c r="N143" s="16">
        <v>34.4</v>
      </c>
      <c r="O143" s="16">
        <v>6.5</v>
      </c>
      <c r="P143" s="16">
        <v>31.1</v>
      </c>
      <c r="Q143" s="16">
        <v>7.7</v>
      </c>
      <c r="R143" s="16"/>
      <c r="S143" s="16"/>
      <c r="T143" s="16">
        <v>33.700000000000003</v>
      </c>
      <c r="U143" s="16">
        <v>7.7</v>
      </c>
      <c r="V143" s="16">
        <v>22.1</v>
      </c>
      <c r="W143" s="16">
        <v>5.2</v>
      </c>
      <c r="X143" s="16">
        <v>22.1</v>
      </c>
      <c r="Y143" s="16">
        <v>7.8</v>
      </c>
      <c r="Z143" s="16">
        <v>29.4</v>
      </c>
      <c r="AA143" s="16">
        <v>6.2</v>
      </c>
      <c r="AB143" s="16">
        <v>17.600000000000001</v>
      </c>
      <c r="AC143" s="16">
        <v>7</v>
      </c>
      <c r="AD143" s="16">
        <v>26.8</v>
      </c>
      <c r="AE143" s="16">
        <v>5.0999999999999996</v>
      </c>
      <c r="AF143" s="16">
        <v>30.8</v>
      </c>
      <c r="AG143" s="16">
        <v>6.1</v>
      </c>
      <c r="AH143" s="16"/>
      <c r="AI143" s="16"/>
      <c r="AJ143" s="16">
        <v>17.899999999999999</v>
      </c>
      <c r="AK143" s="16">
        <v>9.6999999999999993</v>
      </c>
      <c r="AL143" s="16">
        <v>22.1</v>
      </c>
      <c r="AM143" s="16">
        <v>7.8</v>
      </c>
    </row>
    <row r="144" spans="1:39" x14ac:dyDescent="0.25">
      <c r="A144" s="22">
        <v>1991</v>
      </c>
      <c r="B144" s="16">
        <v>28.3</v>
      </c>
      <c r="C144" s="16">
        <v>4.8</v>
      </c>
      <c r="D144" s="16">
        <v>25.7</v>
      </c>
      <c r="E144" s="16">
        <v>3.7</v>
      </c>
      <c r="F144" s="16">
        <v>39.299999999999997</v>
      </c>
      <c r="G144" s="16">
        <v>8.6</v>
      </c>
      <c r="H144" s="16">
        <v>26.8</v>
      </c>
      <c r="I144" s="16">
        <v>5.9</v>
      </c>
      <c r="J144" s="16">
        <v>29.7</v>
      </c>
      <c r="K144" s="16">
        <v>5.6</v>
      </c>
      <c r="L144" s="16"/>
      <c r="M144" s="16"/>
      <c r="N144" s="16">
        <v>33.9</v>
      </c>
      <c r="O144" s="16">
        <v>6.3</v>
      </c>
      <c r="P144" s="16">
        <v>30.4</v>
      </c>
      <c r="Q144" s="16">
        <v>7.6</v>
      </c>
      <c r="R144" s="16"/>
      <c r="S144" s="16"/>
      <c r="T144" s="16">
        <v>33.1</v>
      </c>
      <c r="U144" s="16">
        <v>7.5</v>
      </c>
      <c r="V144" s="16">
        <v>21.8</v>
      </c>
      <c r="W144" s="16">
        <v>5.2</v>
      </c>
      <c r="X144" s="16">
        <v>21.9</v>
      </c>
      <c r="Y144" s="16">
        <v>7.6</v>
      </c>
      <c r="Z144" s="16">
        <v>29.1</v>
      </c>
      <c r="AA144" s="16">
        <v>6.1</v>
      </c>
      <c r="AB144" s="16">
        <v>16.100000000000001</v>
      </c>
      <c r="AC144" s="16">
        <v>7.2</v>
      </c>
      <c r="AD144" s="16">
        <v>26.2</v>
      </c>
      <c r="AE144" s="16">
        <v>5.0999999999999996</v>
      </c>
      <c r="AF144" s="16">
        <v>30.2</v>
      </c>
      <c r="AG144" s="16">
        <v>5.9</v>
      </c>
      <c r="AH144" s="16"/>
      <c r="AI144" s="16"/>
      <c r="AJ144" s="16">
        <v>17.8</v>
      </c>
      <c r="AK144" s="16">
        <v>9.6999999999999993</v>
      </c>
      <c r="AL144" s="16">
        <v>21.9</v>
      </c>
      <c r="AM144" s="16">
        <v>7.6</v>
      </c>
    </row>
    <row r="145" spans="1:39" x14ac:dyDescent="0.25">
      <c r="A145" s="22">
        <v>1992</v>
      </c>
      <c r="B145" s="16">
        <v>27.7</v>
      </c>
      <c r="C145" s="16">
        <v>4.8</v>
      </c>
      <c r="D145" s="16">
        <v>25</v>
      </c>
      <c r="E145" s="16">
        <v>3.7</v>
      </c>
      <c r="F145" s="16">
        <v>38.9</v>
      </c>
      <c r="G145" s="16">
        <v>8.6</v>
      </c>
      <c r="H145" s="16">
        <v>26.6</v>
      </c>
      <c r="I145" s="16">
        <v>6</v>
      </c>
      <c r="J145" s="16">
        <v>29.3</v>
      </c>
      <c r="K145" s="16">
        <v>5.5</v>
      </c>
      <c r="L145" s="16"/>
      <c r="M145" s="16"/>
      <c r="N145" s="16">
        <v>33.299999999999997</v>
      </c>
      <c r="O145" s="16">
        <v>6.1</v>
      </c>
      <c r="P145" s="16">
        <v>29.6</v>
      </c>
      <c r="Q145" s="16">
        <v>7.2</v>
      </c>
      <c r="R145" s="16"/>
      <c r="S145" s="16"/>
      <c r="T145" s="16">
        <v>32.200000000000003</v>
      </c>
      <c r="U145" s="16">
        <v>7.3</v>
      </c>
      <c r="V145" s="16">
        <v>21</v>
      </c>
      <c r="W145" s="16">
        <v>5.2</v>
      </c>
      <c r="X145" s="16">
        <v>21.7</v>
      </c>
      <c r="Y145" s="16">
        <v>7.7</v>
      </c>
      <c r="Z145" s="16">
        <v>28.7</v>
      </c>
      <c r="AA145" s="16">
        <v>6</v>
      </c>
      <c r="AB145" s="16">
        <v>15</v>
      </c>
      <c r="AC145" s="16">
        <v>7.3</v>
      </c>
      <c r="AD145" s="16">
        <v>25.9</v>
      </c>
      <c r="AE145" s="16">
        <v>5.0999999999999996</v>
      </c>
      <c r="AF145" s="16">
        <v>29.7</v>
      </c>
      <c r="AG145" s="16">
        <v>5.8</v>
      </c>
      <c r="AH145" s="16"/>
      <c r="AI145" s="16"/>
      <c r="AJ145" s="16">
        <v>17.7</v>
      </c>
      <c r="AK145" s="16">
        <v>9.8000000000000007</v>
      </c>
      <c r="AL145" s="16">
        <v>21.7</v>
      </c>
      <c r="AM145" s="16">
        <v>7.7</v>
      </c>
    </row>
    <row r="146" spans="1:39" x14ac:dyDescent="0.25">
      <c r="A146" s="22">
        <v>1993</v>
      </c>
      <c r="B146" s="16">
        <v>27.1</v>
      </c>
      <c r="C146" s="16">
        <v>4.8</v>
      </c>
      <c r="D146" s="16">
        <v>24.3</v>
      </c>
      <c r="E146" s="16">
        <v>3.8</v>
      </c>
      <c r="F146" s="16">
        <v>38.6</v>
      </c>
      <c r="G146" s="16">
        <v>8.4</v>
      </c>
      <c r="H146" s="16">
        <v>26.5</v>
      </c>
      <c r="I146" s="16">
        <v>5.9</v>
      </c>
      <c r="J146" s="16">
        <v>28.7</v>
      </c>
      <c r="K146" s="16">
        <v>5.4</v>
      </c>
      <c r="L146" s="16"/>
      <c r="M146" s="16"/>
      <c r="N146" s="16">
        <v>32.4</v>
      </c>
      <c r="O146" s="16">
        <v>6</v>
      </c>
      <c r="P146" s="16">
        <v>28.8</v>
      </c>
      <c r="Q146" s="16">
        <v>6.9</v>
      </c>
      <c r="R146" s="16"/>
      <c r="S146" s="16"/>
      <c r="T146" s="16">
        <v>31.3</v>
      </c>
      <c r="U146" s="16">
        <v>6.9</v>
      </c>
      <c r="V146" s="16">
        <v>20.399999999999999</v>
      </c>
      <c r="W146" s="16">
        <v>5.2</v>
      </c>
      <c r="X146" s="16">
        <v>21.6</v>
      </c>
      <c r="Y146" s="16">
        <v>7.7</v>
      </c>
      <c r="Z146" s="16">
        <v>28.3</v>
      </c>
      <c r="AA146" s="16">
        <v>5.9</v>
      </c>
      <c r="AB146" s="16">
        <v>14.1</v>
      </c>
      <c r="AC146" s="16">
        <v>7.4</v>
      </c>
      <c r="AD146" s="16">
        <v>25.5</v>
      </c>
      <c r="AE146" s="16">
        <v>5</v>
      </c>
      <c r="AF146" s="16">
        <v>29.1</v>
      </c>
      <c r="AG146" s="16">
        <v>5.8</v>
      </c>
      <c r="AH146" s="16"/>
      <c r="AI146" s="16"/>
      <c r="AJ146" s="16">
        <v>17.600000000000001</v>
      </c>
      <c r="AK146" s="16">
        <v>9.9</v>
      </c>
      <c r="AL146" s="16">
        <v>21.6</v>
      </c>
      <c r="AM146" s="16">
        <v>7.7</v>
      </c>
    </row>
    <row r="147" spans="1:39" x14ac:dyDescent="0.25">
      <c r="A147" s="22">
        <v>1994</v>
      </c>
      <c r="B147" s="16">
        <v>26.5</v>
      </c>
      <c r="C147" s="16">
        <v>4.9000000000000004</v>
      </c>
      <c r="D147" s="16">
        <v>23.6</v>
      </c>
      <c r="E147" s="16">
        <v>3.8</v>
      </c>
      <c r="F147" s="16">
        <v>38.200000000000003</v>
      </c>
      <c r="G147" s="16">
        <v>8.1</v>
      </c>
      <c r="H147" s="16">
        <v>26</v>
      </c>
      <c r="I147" s="16">
        <v>5.8</v>
      </c>
      <c r="J147" s="16">
        <v>28.2</v>
      </c>
      <c r="K147" s="16">
        <v>5.2</v>
      </c>
      <c r="L147" s="16"/>
      <c r="M147" s="16"/>
      <c r="N147" s="16">
        <v>31.7</v>
      </c>
      <c r="O147" s="16">
        <v>5.9</v>
      </c>
      <c r="P147" s="16">
        <v>28</v>
      </c>
      <c r="Q147" s="16">
        <v>6.5</v>
      </c>
      <c r="R147" s="16"/>
      <c r="S147" s="16"/>
      <c r="T147" s="16">
        <v>31</v>
      </c>
      <c r="U147" s="16">
        <v>6.8</v>
      </c>
      <c r="V147" s="16">
        <v>19.8</v>
      </c>
      <c r="W147" s="16">
        <v>5.2</v>
      </c>
      <c r="X147" s="16">
        <v>21.4</v>
      </c>
      <c r="Y147" s="16">
        <v>7.5</v>
      </c>
      <c r="Z147" s="16">
        <v>27.7</v>
      </c>
      <c r="AA147" s="16">
        <v>5.8</v>
      </c>
      <c r="AB147" s="16">
        <v>13.7</v>
      </c>
      <c r="AC147" s="16">
        <v>7.4</v>
      </c>
      <c r="AD147" s="16">
        <v>25.2</v>
      </c>
      <c r="AE147" s="16">
        <v>5</v>
      </c>
      <c r="AF147" s="16">
        <v>28.5</v>
      </c>
      <c r="AG147" s="16">
        <v>5.7</v>
      </c>
      <c r="AH147" s="16"/>
      <c r="AI147" s="16"/>
      <c r="AJ147" s="16">
        <v>17.7</v>
      </c>
      <c r="AK147" s="16">
        <v>10</v>
      </c>
      <c r="AL147" s="16">
        <v>21.4</v>
      </c>
      <c r="AM147" s="16">
        <v>7.5</v>
      </c>
    </row>
    <row r="148" spans="1:39" x14ac:dyDescent="0.25">
      <c r="A148" s="22">
        <v>1995</v>
      </c>
      <c r="B148" s="16">
        <v>26</v>
      </c>
      <c r="C148" s="16">
        <v>4.8</v>
      </c>
      <c r="D148" s="16">
        <v>23</v>
      </c>
      <c r="E148" s="16">
        <v>3.9</v>
      </c>
      <c r="F148" s="16">
        <v>37.799999999999997</v>
      </c>
      <c r="G148" s="16">
        <v>7.8</v>
      </c>
      <c r="H148" s="16">
        <v>25.1</v>
      </c>
      <c r="I148" s="16">
        <v>5.7</v>
      </c>
      <c r="J148" s="16">
        <v>27.9</v>
      </c>
      <c r="K148" s="16">
        <v>5.0999999999999996</v>
      </c>
      <c r="L148" s="16"/>
      <c r="M148" s="16"/>
      <c r="N148" s="16">
        <v>31</v>
      </c>
      <c r="O148" s="16">
        <v>5.7</v>
      </c>
      <c r="P148" s="16">
        <v>27.2</v>
      </c>
      <c r="Q148" s="16">
        <v>6.3</v>
      </c>
      <c r="R148" s="16"/>
      <c r="S148" s="16"/>
      <c r="T148" s="16">
        <v>30.8</v>
      </c>
      <c r="U148" s="16">
        <v>6.8</v>
      </c>
      <c r="V148" s="16">
        <v>19.5</v>
      </c>
      <c r="W148" s="16">
        <v>5.2</v>
      </c>
      <c r="X148" s="16">
        <v>21</v>
      </c>
      <c r="Y148" s="16">
        <v>7.6</v>
      </c>
      <c r="Z148" s="16">
        <v>27.1</v>
      </c>
      <c r="AA148" s="16">
        <v>5.7</v>
      </c>
      <c r="AB148" s="16">
        <v>13.5</v>
      </c>
      <c r="AC148" s="16">
        <v>7.4</v>
      </c>
      <c r="AD148" s="16">
        <v>24.9</v>
      </c>
      <c r="AE148" s="16">
        <v>5.0999999999999996</v>
      </c>
      <c r="AF148" s="16">
        <v>27.9</v>
      </c>
      <c r="AG148" s="16">
        <v>5.6</v>
      </c>
      <c r="AH148" s="16"/>
      <c r="AI148" s="16"/>
      <c r="AJ148" s="16">
        <v>17.600000000000001</v>
      </c>
      <c r="AK148" s="16">
        <v>9.8000000000000007</v>
      </c>
      <c r="AL148" s="16">
        <v>21</v>
      </c>
      <c r="AM148" s="16">
        <v>7.6</v>
      </c>
    </row>
    <row r="149" spans="1:39" x14ac:dyDescent="0.25">
      <c r="A149" s="22">
        <v>1996</v>
      </c>
      <c r="B149" s="16">
        <v>25.5</v>
      </c>
      <c r="C149" s="16">
        <v>4.8</v>
      </c>
      <c r="D149" s="16">
        <v>22.2</v>
      </c>
      <c r="E149" s="16">
        <v>3.9</v>
      </c>
      <c r="F149" s="16">
        <v>37.1</v>
      </c>
      <c r="G149" s="16">
        <v>7.4</v>
      </c>
      <c r="H149" s="16">
        <v>24.3</v>
      </c>
      <c r="I149" s="16">
        <v>5.6</v>
      </c>
      <c r="J149" s="16">
        <v>27.7</v>
      </c>
      <c r="K149" s="16">
        <v>5</v>
      </c>
      <c r="L149" s="16"/>
      <c r="M149" s="16"/>
      <c r="N149" s="16">
        <v>30.3</v>
      </c>
      <c r="O149" s="16">
        <v>5.6</v>
      </c>
      <c r="P149" s="16">
        <v>26.4</v>
      </c>
      <c r="Q149" s="16">
        <v>6.1</v>
      </c>
      <c r="R149" s="16"/>
      <c r="S149" s="16"/>
      <c r="T149" s="16">
        <v>30.3</v>
      </c>
      <c r="U149" s="16">
        <v>6.7</v>
      </c>
      <c r="V149" s="16">
        <v>18.8</v>
      </c>
      <c r="W149" s="16">
        <v>5.2</v>
      </c>
      <c r="X149" s="16">
        <v>20.399999999999999</v>
      </c>
      <c r="Y149" s="16">
        <v>7.5</v>
      </c>
      <c r="Z149" s="16">
        <v>26.4</v>
      </c>
      <c r="AA149" s="16">
        <v>5.6</v>
      </c>
      <c r="AB149" s="16">
        <v>13</v>
      </c>
      <c r="AC149" s="16">
        <v>7.3</v>
      </c>
      <c r="AD149" s="16">
        <v>24.6</v>
      </c>
      <c r="AE149" s="16">
        <v>5</v>
      </c>
      <c r="AF149" s="16">
        <v>27.3</v>
      </c>
      <c r="AG149" s="16">
        <v>5.6</v>
      </c>
      <c r="AH149" s="16"/>
      <c r="AI149" s="16"/>
      <c r="AJ149" s="16">
        <v>17.3</v>
      </c>
      <c r="AK149" s="16">
        <v>9.6</v>
      </c>
      <c r="AL149" s="16">
        <v>20.399999999999999</v>
      </c>
      <c r="AM149" s="16">
        <v>7.5</v>
      </c>
    </row>
    <row r="150" spans="1:39" x14ac:dyDescent="0.25">
      <c r="A150" s="22">
        <v>1997</v>
      </c>
      <c r="B150" s="16">
        <v>25.1</v>
      </c>
      <c r="C150" s="16">
        <v>4.7</v>
      </c>
      <c r="D150" s="16">
        <v>21.5</v>
      </c>
      <c r="E150" s="16">
        <v>3.9</v>
      </c>
      <c r="F150" s="16">
        <v>36.5</v>
      </c>
      <c r="G150" s="16">
        <v>7</v>
      </c>
      <c r="H150" s="16">
        <v>24</v>
      </c>
      <c r="I150" s="16">
        <v>5.5</v>
      </c>
      <c r="J150" s="16">
        <v>27.1</v>
      </c>
      <c r="K150" s="16">
        <v>5</v>
      </c>
      <c r="L150" s="16"/>
      <c r="M150" s="16"/>
      <c r="N150" s="16">
        <v>29.6</v>
      </c>
      <c r="O150" s="16">
        <v>5.6</v>
      </c>
      <c r="P150" s="16">
        <v>25.6</v>
      </c>
      <c r="Q150" s="16">
        <v>6</v>
      </c>
      <c r="R150" s="16"/>
      <c r="S150" s="16"/>
      <c r="T150" s="16">
        <v>29.6</v>
      </c>
      <c r="U150" s="16">
        <v>6.6</v>
      </c>
      <c r="V150" s="16">
        <v>17.899999999999999</v>
      </c>
      <c r="W150" s="16">
        <v>5.2</v>
      </c>
      <c r="X150" s="16">
        <v>20</v>
      </c>
      <c r="Y150" s="16">
        <v>7.4</v>
      </c>
      <c r="Z150" s="16">
        <v>25.8</v>
      </c>
      <c r="AA150" s="16">
        <v>5.6</v>
      </c>
      <c r="AB150" s="16">
        <v>13.8</v>
      </c>
      <c r="AC150" s="16">
        <v>7.3</v>
      </c>
      <c r="AD150" s="16">
        <v>24.4</v>
      </c>
      <c r="AE150" s="16">
        <v>5</v>
      </c>
      <c r="AF150" s="16">
        <v>26.2</v>
      </c>
      <c r="AG150" s="16">
        <v>5.6</v>
      </c>
      <c r="AH150" s="16"/>
      <c r="AI150" s="16"/>
      <c r="AJ150" s="16">
        <v>17</v>
      </c>
      <c r="AK150" s="16">
        <v>9.6999999999999993</v>
      </c>
      <c r="AL150" s="16">
        <v>20</v>
      </c>
      <c r="AM150" s="16">
        <v>7.4</v>
      </c>
    </row>
    <row r="151" spans="1:39" x14ac:dyDescent="0.25">
      <c r="A151" s="22">
        <v>1998</v>
      </c>
      <c r="B151" s="16">
        <v>24.6</v>
      </c>
      <c r="C151" s="16">
        <v>4.8</v>
      </c>
      <c r="D151" s="16">
        <v>21</v>
      </c>
      <c r="E151" s="16">
        <v>3.9</v>
      </c>
      <c r="F151" s="16">
        <v>35.9</v>
      </c>
      <c r="G151" s="16">
        <v>6.7</v>
      </c>
      <c r="H151" s="16">
        <v>23.6</v>
      </c>
      <c r="I151" s="16">
        <v>5.4</v>
      </c>
      <c r="J151" s="16">
        <v>26.6</v>
      </c>
      <c r="K151" s="16">
        <v>5.0999999999999996</v>
      </c>
      <c r="L151" s="16"/>
      <c r="M151" s="16"/>
      <c r="N151" s="16">
        <v>28.8</v>
      </c>
      <c r="O151" s="16">
        <v>5.5</v>
      </c>
      <c r="P151" s="16">
        <v>24.9</v>
      </c>
      <c r="Q151" s="16">
        <v>5.9</v>
      </c>
      <c r="R151" s="16"/>
      <c r="S151" s="16"/>
      <c r="T151" s="16">
        <v>29.4</v>
      </c>
      <c r="U151" s="16">
        <v>6.6</v>
      </c>
      <c r="V151" s="16">
        <v>17.399999999999999</v>
      </c>
      <c r="W151" s="16">
        <v>5.0999999999999996</v>
      </c>
      <c r="X151" s="16">
        <v>19.7</v>
      </c>
      <c r="Y151" s="16">
        <v>7.6</v>
      </c>
      <c r="Z151" s="16">
        <v>25.1</v>
      </c>
      <c r="AA151" s="16">
        <v>5.5</v>
      </c>
      <c r="AB151" s="16">
        <v>13.7</v>
      </c>
      <c r="AC151" s="16">
        <v>7.2</v>
      </c>
      <c r="AD151" s="16">
        <v>24.1</v>
      </c>
      <c r="AE151" s="16">
        <v>4.9000000000000004</v>
      </c>
      <c r="AF151" s="16">
        <v>25.3</v>
      </c>
      <c r="AG151" s="16">
        <v>5.6</v>
      </c>
      <c r="AH151" s="16"/>
      <c r="AI151" s="16"/>
      <c r="AJ151" s="16">
        <v>16.600000000000001</v>
      </c>
      <c r="AK151" s="16">
        <v>9.6999999999999993</v>
      </c>
      <c r="AL151" s="16">
        <v>19.7</v>
      </c>
      <c r="AM151" s="16">
        <v>7.6</v>
      </c>
    </row>
    <row r="152" spans="1:39" x14ac:dyDescent="0.25">
      <c r="A152" s="22">
        <v>1999</v>
      </c>
      <c r="B152" s="16">
        <v>24.2</v>
      </c>
      <c r="C152" s="16">
        <v>5</v>
      </c>
      <c r="D152" s="16">
        <v>20.7</v>
      </c>
      <c r="E152" s="16">
        <v>3.9</v>
      </c>
      <c r="F152" s="16">
        <v>35.200000000000003</v>
      </c>
      <c r="G152" s="16">
        <v>6.4</v>
      </c>
      <c r="H152" s="16">
        <v>22.9</v>
      </c>
      <c r="I152" s="16">
        <v>5.5</v>
      </c>
      <c r="J152" s="16">
        <v>26.1</v>
      </c>
      <c r="K152" s="16">
        <v>5.2</v>
      </c>
      <c r="L152" s="16"/>
      <c r="M152" s="16"/>
      <c r="N152" s="16">
        <v>27.9</v>
      </c>
      <c r="O152" s="16">
        <v>5.4</v>
      </c>
      <c r="P152" s="16">
        <v>24.3</v>
      </c>
      <c r="Q152" s="16">
        <v>5.7</v>
      </c>
      <c r="R152" s="16"/>
      <c r="S152" s="16"/>
      <c r="T152" s="16">
        <v>28.3</v>
      </c>
      <c r="U152" s="16">
        <v>6.5</v>
      </c>
      <c r="V152" s="16">
        <v>16.7</v>
      </c>
      <c r="W152" s="16">
        <v>5</v>
      </c>
      <c r="X152" s="16">
        <v>19.600000000000001</v>
      </c>
      <c r="Y152" s="16">
        <v>7.6</v>
      </c>
      <c r="Z152" s="16">
        <v>24.6</v>
      </c>
      <c r="AA152" s="16">
        <v>5.5</v>
      </c>
      <c r="AB152" s="16">
        <v>13.5</v>
      </c>
      <c r="AC152" s="16">
        <v>7.2</v>
      </c>
      <c r="AD152" s="16">
        <v>23.8</v>
      </c>
      <c r="AE152" s="16">
        <v>4.9000000000000004</v>
      </c>
      <c r="AF152" s="16">
        <v>25.4</v>
      </c>
      <c r="AG152" s="16">
        <v>5.5</v>
      </c>
      <c r="AH152" s="16"/>
      <c r="AI152" s="16"/>
      <c r="AJ152" s="16">
        <v>16.399999999999999</v>
      </c>
      <c r="AK152" s="16">
        <v>9.6999999999999993</v>
      </c>
      <c r="AL152" s="16">
        <v>19.600000000000001</v>
      </c>
      <c r="AM152" s="16">
        <v>7.6</v>
      </c>
    </row>
    <row r="153" spans="1:39" x14ac:dyDescent="0.25">
      <c r="A153" s="22">
        <v>2000</v>
      </c>
      <c r="B153" s="16">
        <v>23.7</v>
      </c>
      <c r="C153" s="16">
        <v>4.9000000000000004</v>
      </c>
      <c r="D153" s="16">
        <v>20.2</v>
      </c>
      <c r="E153" s="16">
        <v>3.9</v>
      </c>
      <c r="F153" s="16">
        <v>34.700000000000003</v>
      </c>
      <c r="G153" s="16">
        <v>6.3</v>
      </c>
      <c r="H153" s="16">
        <v>22.3</v>
      </c>
      <c r="I153" s="16">
        <v>5.6</v>
      </c>
      <c r="J153" s="16">
        <v>25.6</v>
      </c>
      <c r="K153" s="16">
        <v>5.2</v>
      </c>
      <c r="L153" s="16"/>
      <c r="M153" s="16"/>
      <c r="N153" s="16">
        <v>26.9</v>
      </c>
      <c r="O153" s="16">
        <v>5.3</v>
      </c>
      <c r="P153" s="16">
        <v>23.8</v>
      </c>
      <c r="Q153" s="16">
        <v>5.6</v>
      </c>
      <c r="R153" s="16"/>
      <c r="S153" s="16"/>
      <c r="T153" s="16">
        <v>27.1</v>
      </c>
      <c r="U153" s="16">
        <v>6.6</v>
      </c>
      <c r="V153" s="16">
        <v>16.3</v>
      </c>
      <c r="W153" s="16">
        <v>5</v>
      </c>
      <c r="X153" s="16">
        <v>19.3</v>
      </c>
      <c r="Y153" s="16">
        <v>7.6</v>
      </c>
      <c r="Z153" s="16">
        <v>24.2</v>
      </c>
      <c r="AA153" s="16">
        <v>5.5</v>
      </c>
      <c r="AB153" s="16">
        <v>12.9</v>
      </c>
      <c r="AC153" s="16">
        <v>7.4</v>
      </c>
      <c r="AD153" s="16">
        <v>23.5</v>
      </c>
      <c r="AE153" s="16">
        <v>4.8</v>
      </c>
      <c r="AF153" s="16">
        <v>25.6</v>
      </c>
      <c r="AG153" s="16">
        <v>5.6</v>
      </c>
      <c r="AH153" s="16"/>
      <c r="AI153" s="16"/>
      <c r="AJ153" s="16">
        <v>16</v>
      </c>
      <c r="AK153" s="16">
        <v>9.5</v>
      </c>
      <c r="AL153" s="16">
        <v>19.3</v>
      </c>
      <c r="AM153" s="16">
        <v>7.6</v>
      </c>
    </row>
    <row r="154" spans="1:39" x14ac:dyDescent="0.25">
      <c r="A154" s="22">
        <v>2001</v>
      </c>
      <c r="B154" s="16">
        <v>23.6</v>
      </c>
      <c r="C154" s="16">
        <v>5.5</v>
      </c>
      <c r="D154" s="16">
        <v>19.399999999999999</v>
      </c>
      <c r="E154" s="16">
        <v>3.9</v>
      </c>
      <c r="F154" s="16">
        <v>34.200000000000003</v>
      </c>
      <c r="G154" s="16">
        <v>6.1</v>
      </c>
      <c r="H154" s="16">
        <v>21.7</v>
      </c>
      <c r="I154" s="16">
        <v>5.5</v>
      </c>
      <c r="J154" s="16">
        <v>25.1</v>
      </c>
      <c r="K154" s="16">
        <v>5.0999999999999996</v>
      </c>
      <c r="L154" s="16"/>
      <c r="M154" s="16"/>
      <c r="N154" s="16">
        <v>25.9</v>
      </c>
      <c r="O154" s="16">
        <v>5.3</v>
      </c>
      <c r="P154" s="16">
        <v>23</v>
      </c>
      <c r="Q154" s="16">
        <v>5.6</v>
      </c>
      <c r="R154" s="16"/>
      <c r="S154" s="16"/>
      <c r="T154" s="16">
        <v>25.8</v>
      </c>
      <c r="U154" s="16">
        <v>6.7</v>
      </c>
      <c r="V154" s="16">
        <v>15.9</v>
      </c>
      <c r="W154" s="16">
        <v>5</v>
      </c>
      <c r="X154" s="16">
        <v>18.899999999999999</v>
      </c>
      <c r="Y154" s="16">
        <v>7.5</v>
      </c>
      <c r="Z154" s="16">
        <v>23.8</v>
      </c>
      <c r="AA154" s="16">
        <v>5.4</v>
      </c>
      <c r="AB154" s="16">
        <v>12.4</v>
      </c>
      <c r="AC154" s="16">
        <v>7.3</v>
      </c>
      <c r="AD154" s="16">
        <v>23.2</v>
      </c>
      <c r="AE154" s="16">
        <v>4.8</v>
      </c>
      <c r="AF154" s="16">
        <v>25.1</v>
      </c>
      <c r="AG154" s="16">
        <v>5.6</v>
      </c>
      <c r="AH154" s="16"/>
      <c r="AI154" s="16"/>
      <c r="AJ154" s="16">
        <v>15.7</v>
      </c>
      <c r="AK154" s="16">
        <v>9.4</v>
      </c>
      <c r="AL154" s="16">
        <v>18.899999999999999</v>
      </c>
      <c r="AM154" s="16">
        <v>7.5</v>
      </c>
    </row>
    <row r="155" spans="1:39" x14ac:dyDescent="0.25">
      <c r="A155" s="22">
        <v>2002</v>
      </c>
      <c r="B155" s="16">
        <v>23.3</v>
      </c>
      <c r="C155" s="16">
        <v>4.9000000000000004</v>
      </c>
      <c r="D155" s="16">
        <v>18.2</v>
      </c>
      <c r="E155" s="16">
        <v>3.9</v>
      </c>
      <c r="F155" s="16">
        <v>33.299999999999997</v>
      </c>
      <c r="G155" s="16">
        <v>6</v>
      </c>
      <c r="H155" s="16">
        <v>21.4</v>
      </c>
      <c r="I155" s="16">
        <v>5.5</v>
      </c>
      <c r="J155" s="16">
        <v>24.7</v>
      </c>
      <c r="K155" s="16">
        <v>4.9000000000000004</v>
      </c>
      <c r="L155" s="16"/>
      <c r="M155" s="16"/>
      <c r="N155" s="16">
        <v>25.1</v>
      </c>
      <c r="O155" s="16">
        <v>5.2</v>
      </c>
      <c r="P155" s="16">
        <v>22.6</v>
      </c>
      <c r="Q155" s="16">
        <v>5.6</v>
      </c>
      <c r="R155" s="16"/>
      <c r="S155" s="16"/>
      <c r="T155" s="16">
        <v>24.4</v>
      </c>
      <c r="U155" s="16">
        <v>6.7</v>
      </c>
      <c r="V155" s="16">
        <v>15.2</v>
      </c>
      <c r="W155" s="16">
        <v>5</v>
      </c>
      <c r="X155" s="16">
        <v>18.7</v>
      </c>
      <c r="Y155" s="16">
        <v>7.5</v>
      </c>
      <c r="Z155" s="16">
        <v>23.4</v>
      </c>
      <c r="AA155" s="16">
        <v>5.5</v>
      </c>
      <c r="AB155" s="16">
        <v>12.5</v>
      </c>
      <c r="AC155" s="16">
        <v>7.3</v>
      </c>
      <c r="AD155" s="16">
        <v>22.9</v>
      </c>
      <c r="AE155" s="16">
        <v>4.7</v>
      </c>
      <c r="AF155" s="16">
        <v>24.4</v>
      </c>
      <c r="AG155" s="16">
        <v>5.5</v>
      </c>
      <c r="AH155" s="16"/>
      <c r="AI155" s="16"/>
      <c r="AJ155" s="16">
        <v>15.6</v>
      </c>
      <c r="AK155" s="16">
        <v>9.5</v>
      </c>
      <c r="AL155" s="16">
        <v>18.7</v>
      </c>
      <c r="AM155" s="16">
        <v>7.5</v>
      </c>
    </row>
    <row r="156" spans="1:39" x14ac:dyDescent="0.25">
      <c r="A156" s="22">
        <v>2003</v>
      </c>
      <c r="B156" s="16">
        <v>22.9</v>
      </c>
      <c r="C156" s="16">
        <v>5.3</v>
      </c>
      <c r="D156" s="16">
        <v>17.600000000000001</v>
      </c>
      <c r="E156" s="16">
        <v>3.9</v>
      </c>
      <c r="F156" s="16">
        <v>32.5</v>
      </c>
      <c r="G156" s="16">
        <v>5.8</v>
      </c>
      <c r="H156" s="16">
        <v>20.9</v>
      </c>
      <c r="I156" s="16">
        <v>5.2</v>
      </c>
      <c r="J156" s="16">
        <v>24.2</v>
      </c>
      <c r="K156" s="16">
        <v>4.8</v>
      </c>
      <c r="L156" s="16"/>
      <c r="M156" s="16"/>
      <c r="N156" s="16">
        <v>24.4</v>
      </c>
      <c r="O156" s="16">
        <v>5.2</v>
      </c>
      <c r="P156" s="16">
        <v>22.3</v>
      </c>
      <c r="Q156" s="16">
        <v>5.7</v>
      </c>
      <c r="R156" s="16"/>
      <c r="S156" s="16"/>
      <c r="T156" s="16">
        <v>23.1</v>
      </c>
      <c r="U156" s="16">
        <v>6.8</v>
      </c>
      <c r="V156" s="16">
        <v>14.8</v>
      </c>
      <c r="W156" s="16">
        <v>5.2</v>
      </c>
      <c r="X156" s="16">
        <v>18.399999999999999</v>
      </c>
      <c r="Y156" s="16">
        <v>7.7</v>
      </c>
      <c r="Z156" s="16">
        <v>22.8</v>
      </c>
      <c r="AA156" s="16">
        <v>5.5</v>
      </c>
      <c r="AB156" s="16">
        <v>12.1</v>
      </c>
      <c r="AC156" s="16">
        <v>7.1</v>
      </c>
      <c r="AD156" s="16">
        <v>22.7</v>
      </c>
      <c r="AE156" s="16">
        <v>4.5999999999999996</v>
      </c>
      <c r="AF156" s="16">
        <v>23.7</v>
      </c>
      <c r="AG156" s="16">
        <v>5.6</v>
      </c>
      <c r="AH156" s="16"/>
      <c r="AI156" s="16"/>
      <c r="AJ156" s="16">
        <v>15.3</v>
      </c>
      <c r="AK156" s="16">
        <v>9.6</v>
      </c>
      <c r="AL156" s="16">
        <v>18.399999999999999</v>
      </c>
      <c r="AM156" s="16">
        <v>7.7</v>
      </c>
    </row>
    <row r="157" spans="1:39" x14ac:dyDescent="0.25">
      <c r="A157" s="22">
        <v>2004</v>
      </c>
      <c r="B157" s="16">
        <v>22.4</v>
      </c>
      <c r="C157" s="16">
        <v>5.0999999999999996</v>
      </c>
      <c r="D157" s="16">
        <v>17.100000000000001</v>
      </c>
      <c r="E157" s="16">
        <v>3.9</v>
      </c>
      <c r="F157" s="16">
        <v>31.7</v>
      </c>
      <c r="G157" s="16">
        <v>5.8</v>
      </c>
      <c r="H157" s="16">
        <v>20.3</v>
      </c>
      <c r="I157" s="16">
        <v>5.2</v>
      </c>
      <c r="J157" s="16">
        <v>23.7</v>
      </c>
      <c r="K157" s="16">
        <v>4.8</v>
      </c>
      <c r="L157" s="16"/>
      <c r="M157" s="16"/>
      <c r="N157" s="16">
        <v>24.1</v>
      </c>
      <c r="O157" s="16">
        <v>5.2</v>
      </c>
      <c r="P157" s="16">
        <v>22.4</v>
      </c>
      <c r="Q157" s="16">
        <v>5.9</v>
      </c>
      <c r="R157" s="16"/>
      <c r="S157" s="16"/>
      <c r="T157" s="16">
        <v>22.1</v>
      </c>
      <c r="U157" s="16">
        <v>6.9</v>
      </c>
      <c r="V157" s="16">
        <v>14.4</v>
      </c>
      <c r="W157" s="16">
        <v>5.0999999999999996</v>
      </c>
      <c r="X157" s="16">
        <v>18.3</v>
      </c>
      <c r="Y157" s="16">
        <v>7.5</v>
      </c>
      <c r="Z157" s="16">
        <v>22.4</v>
      </c>
      <c r="AA157" s="16">
        <v>5.5</v>
      </c>
      <c r="AB157" s="16">
        <v>11.3</v>
      </c>
      <c r="AC157" s="16">
        <v>7.3</v>
      </c>
      <c r="AD157" s="16">
        <v>22.5</v>
      </c>
      <c r="AE157" s="16">
        <v>4.5999999999999996</v>
      </c>
      <c r="AF157" s="16">
        <v>23.1</v>
      </c>
      <c r="AG157" s="16">
        <v>5.7</v>
      </c>
      <c r="AH157" s="16"/>
      <c r="AI157" s="16"/>
      <c r="AJ157" s="16">
        <v>15.1</v>
      </c>
      <c r="AK157" s="16">
        <v>9.6</v>
      </c>
      <c r="AL157" s="16">
        <v>18.3</v>
      </c>
      <c r="AM157" s="16">
        <v>7.5</v>
      </c>
    </row>
    <row r="158" spans="1:39" x14ac:dyDescent="0.25">
      <c r="A158" s="22">
        <v>2005</v>
      </c>
      <c r="B158" s="16">
        <v>22.4</v>
      </c>
      <c r="C158" s="16">
        <v>5.0999999999999996</v>
      </c>
      <c r="D158" s="16">
        <v>17.3</v>
      </c>
      <c r="E158" s="16">
        <v>3.8</v>
      </c>
      <c r="F158" s="16">
        <v>30.8</v>
      </c>
      <c r="G158" s="16">
        <v>5.9</v>
      </c>
      <c r="H158" s="16">
        <v>19.600000000000001</v>
      </c>
      <c r="I158" s="16">
        <v>5.0999999999999996</v>
      </c>
      <c r="J158" s="16">
        <v>23.3</v>
      </c>
      <c r="K158" s="16">
        <v>4.9000000000000004</v>
      </c>
      <c r="L158" s="16"/>
      <c r="M158" s="16"/>
      <c r="N158" s="16">
        <v>23.7</v>
      </c>
      <c r="O158" s="16">
        <v>5.2</v>
      </c>
      <c r="P158" s="16">
        <v>22.1</v>
      </c>
      <c r="Q158" s="16">
        <v>5.9</v>
      </c>
      <c r="R158" s="16"/>
      <c r="S158" s="16"/>
      <c r="T158" s="16">
        <v>21.4</v>
      </c>
      <c r="U158" s="16">
        <v>7.2</v>
      </c>
      <c r="V158" s="16">
        <v>14.2</v>
      </c>
      <c r="W158" s="16">
        <v>5.2</v>
      </c>
      <c r="X158" s="16">
        <v>18.3</v>
      </c>
      <c r="Y158" s="16">
        <v>7.4</v>
      </c>
      <c r="Z158" s="16">
        <v>21.9</v>
      </c>
      <c r="AA158" s="16">
        <v>5.5</v>
      </c>
      <c r="AB158" s="16">
        <v>10.6</v>
      </c>
      <c r="AC158" s="16">
        <v>7.4</v>
      </c>
      <c r="AD158" s="16">
        <v>22.1</v>
      </c>
      <c r="AE158" s="16">
        <v>4.5999999999999996</v>
      </c>
      <c r="AF158" s="16">
        <v>22.5</v>
      </c>
      <c r="AG158" s="16">
        <v>5.6</v>
      </c>
      <c r="AH158" s="16"/>
      <c r="AI158" s="16"/>
      <c r="AJ158" s="16">
        <v>15.1</v>
      </c>
      <c r="AK158" s="16">
        <v>9.3000000000000007</v>
      </c>
      <c r="AL158" s="16">
        <v>18.3</v>
      </c>
      <c r="AM158" s="16">
        <v>7.4</v>
      </c>
    </row>
    <row r="159" spans="1:39" x14ac:dyDescent="0.25">
      <c r="A159" s="22">
        <v>2006</v>
      </c>
      <c r="B159" s="16">
        <v>22.1</v>
      </c>
      <c r="C159" s="16">
        <v>5.2</v>
      </c>
      <c r="D159" s="16">
        <v>16.399999999999999</v>
      </c>
      <c r="E159" s="16">
        <v>3.9</v>
      </c>
      <c r="F159" s="16">
        <v>30</v>
      </c>
      <c r="G159" s="16">
        <v>5.7</v>
      </c>
      <c r="H159" s="16">
        <v>19</v>
      </c>
      <c r="I159" s="16">
        <v>5</v>
      </c>
      <c r="J159" s="16">
        <v>23</v>
      </c>
      <c r="K159" s="16">
        <v>4.9000000000000004</v>
      </c>
      <c r="L159" s="16"/>
      <c r="M159" s="16"/>
      <c r="N159" s="16">
        <v>23.3</v>
      </c>
      <c r="O159" s="16">
        <v>5.2</v>
      </c>
      <c r="P159" s="16">
        <v>21.8</v>
      </c>
      <c r="Q159" s="16">
        <v>6.1</v>
      </c>
      <c r="R159" s="16"/>
      <c r="S159" s="16"/>
      <c r="T159" s="16">
        <v>21</v>
      </c>
      <c r="U159" s="16">
        <v>7.5</v>
      </c>
      <c r="V159" s="16">
        <v>14</v>
      </c>
      <c r="W159" s="16">
        <v>5.4</v>
      </c>
      <c r="X159" s="16">
        <v>18.2</v>
      </c>
      <c r="Y159" s="16">
        <v>7.4</v>
      </c>
      <c r="Z159" s="16">
        <v>21.5</v>
      </c>
      <c r="AA159" s="16">
        <v>5.6</v>
      </c>
      <c r="AB159" s="16">
        <v>9.9</v>
      </c>
      <c r="AC159" s="16">
        <v>7.7</v>
      </c>
      <c r="AD159" s="16">
        <v>21.8</v>
      </c>
      <c r="AE159" s="16">
        <v>4.5999999999999996</v>
      </c>
      <c r="AF159" s="16">
        <v>21.9</v>
      </c>
      <c r="AG159" s="16">
        <v>5.7</v>
      </c>
      <c r="AH159" s="16"/>
      <c r="AI159" s="16"/>
      <c r="AJ159" s="16">
        <v>14.8</v>
      </c>
      <c r="AK159" s="16">
        <v>9.4</v>
      </c>
      <c r="AL159" s="16">
        <v>18.2</v>
      </c>
      <c r="AM159" s="16">
        <v>7.4</v>
      </c>
    </row>
    <row r="160" spans="1:39" x14ac:dyDescent="0.25">
      <c r="A160" s="22">
        <v>2007</v>
      </c>
      <c r="B160" s="16">
        <v>21.5</v>
      </c>
      <c r="C160" s="16">
        <v>5.0999999999999996</v>
      </c>
      <c r="D160" s="16">
        <v>16.600000000000001</v>
      </c>
      <c r="E160" s="16">
        <v>4</v>
      </c>
      <c r="F160" s="16">
        <v>29.4</v>
      </c>
      <c r="G160" s="16">
        <v>5.5</v>
      </c>
      <c r="H160" s="16">
        <v>18.600000000000001</v>
      </c>
      <c r="I160" s="16">
        <v>5.0999999999999996</v>
      </c>
      <c r="J160" s="16">
        <v>22.6</v>
      </c>
      <c r="K160" s="16">
        <v>4.9000000000000004</v>
      </c>
      <c r="L160" s="16"/>
      <c r="M160" s="16"/>
      <c r="N160" s="16">
        <v>23</v>
      </c>
      <c r="O160" s="16">
        <v>5.2</v>
      </c>
      <c r="P160" s="16">
        <v>21.4</v>
      </c>
      <c r="Q160" s="16">
        <v>6.2</v>
      </c>
      <c r="R160" s="16"/>
      <c r="S160" s="16"/>
      <c r="T160" s="16">
        <v>20.6</v>
      </c>
      <c r="U160" s="16">
        <v>7.8</v>
      </c>
      <c r="V160" s="16">
        <v>14.2</v>
      </c>
      <c r="W160" s="16">
        <v>5.5</v>
      </c>
      <c r="X160" s="16">
        <v>18</v>
      </c>
      <c r="Y160" s="16">
        <v>7.9</v>
      </c>
      <c r="Z160" s="16">
        <v>21.1</v>
      </c>
      <c r="AA160" s="16">
        <v>5.6</v>
      </c>
      <c r="AB160" s="16">
        <v>10</v>
      </c>
      <c r="AC160" s="16">
        <v>7.8</v>
      </c>
      <c r="AD160" s="16">
        <v>21.6</v>
      </c>
      <c r="AE160" s="16">
        <v>4.5999999999999996</v>
      </c>
      <c r="AF160" s="16">
        <v>21.8</v>
      </c>
      <c r="AG160" s="16">
        <v>5.7</v>
      </c>
      <c r="AH160" s="16"/>
      <c r="AI160" s="16"/>
      <c r="AJ160" s="16">
        <v>14.6</v>
      </c>
      <c r="AK160" s="16">
        <v>9.3000000000000007</v>
      </c>
      <c r="AL160" s="16">
        <v>18</v>
      </c>
      <c r="AM160" s="16">
        <v>7.9</v>
      </c>
    </row>
    <row r="161" spans="1:39" x14ac:dyDescent="0.25">
      <c r="A161" s="22">
        <v>2008</v>
      </c>
      <c r="B161" s="16">
        <v>21.1</v>
      </c>
      <c r="C161" s="16">
        <v>5.5</v>
      </c>
      <c r="D161" s="16">
        <v>16.8</v>
      </c>
      <c r="E161" s="16">
        <v>4.0999999999999996</v>
      </c>
      <c r="F161" s="16">
        <v>28.7</v>
      </c>
      <c r="G161" s="16">
        <v>5.5</v>
      </c>
      <c r="H161" s="16">
        <v>18.2</v>
      </c>
      <c r="I161" s="16">
        <v>5</v>
      </c>
      <c r="J161" s="16">
        <v>22.5</v>
      </c>
      <c r="K161" s="16">
        <v>4.8</v>
      </c>
      <c r="L161" s="16"/>
      <c r="M161" s="16"/>
      <c r="N161" s="16">
        <v>23</v>
      </c>
      <c r="O161" s="16">
        <v>5.2</v>
      </c>
      <c r="P161" s="16">
        <v>20.9</v>
      </c>
      <c r="Q161" s="16">
        <v>6.5</v>
      </c>
      <c r="R161" s="16"/>
      <c r="S161" s="16"/>
      <c r="T161" s="16">
        <v>20</v>
      </c>
      <c r="U161" s="16">
        <v>7.6</v>
      </c>
      <c r="V161" s="16">
        <v>14.4</v>
      </c>
      <c r="W161" s="16">
        <v>5.6</v>
      </c>
      <c r="X161" s="16">
        <v>18.5</v>
      </c>
      <c r="Y161" s="16">
        <v>7.5</v>
      </c>
      <c r="Z161" s="16">
        <v>20.8</v>
      </c>
      <c r="AA161" s="16">
        <v>5.7</v>
      </c>
      <c r="AB161" s="16">
        <v>10.9</v>
      </c>
      <c r="AC161" s="16">
        <v>8</v>
      </c>
      <c r="AD161" s="16">
        <v>21.4</v>
      </c>
      <c r="AE161" s="16">
        <v>4.5999999999999996</v>
      </c>
      <c r="AF161" s="16">
        <v>22.1</v>
      </c>
      <c r="AG161" s="16">
        <v>5.8</v>
      </c>
      <c r="AH161" s="16"/>
      <c r="AI161" s="16"/>
      <c r="AJ161" s="16">
        <v>14.4</v>
      </c>
      <c r="AK161" s="16">
        <v>9.4</v>
      </c>
      <c r="AL161" s="16">
        <v>18.5</v>
      </c>
      <c r="AM161" s="16">
        <v>7.5</v>
      </c>
    </row>
    <row r="162" spans="1:39" x14ac:dyDescent="0.25">
      <c r="A162" s="22">
        <v>2009</v>
      </c>
      <c r="B162" s="16">
        <v>20.6</v>
      </c>
      <c r="C162" s="16">
        <v>5.5</v>
      </c>
      <c r="D162" s="16">
        <v>16.5</v>
      </c>
      <c r="E162" s="16">
        <v>4.0999999999999996</v>
      </c>
      <c r="F162" s="16">
        <v>28.2</v>
      </c>
      <c r="G162" s="16">
        <v>5.5</v>
      </c>
      <c r="H162" s="16">
        <v>17.7</v>
      </c>
      <c r="I162" s="16">
        <v>5</v>
      </c>
      <c r="J162" s="16">
        <v>22.4</v>
      </c>
      <c r="K162" s="16">
        <v>4.8</v>
      </c>
      <c r="L162" s="16"/>
      <c r="M162" s="16"/>
      <c r="N162" s="16">
        <v>22.9</v>
      </c>
      <c r="O162" s="16">
        <v>5.2</v>
      </c>
      <c r="P162" s="16">
        <v>20.399999999999999</v>
      </c>
      <c r="Q162" s="16">
        <v>6.7</v>
      </c>
      <c r="R162" s="16"/>
      <c r="S162" s="16"/>
      <c r="T162" s="16">
        <v>19.8</v>
      </c>
      <c r="U162" s="16">
        <v>7.5</v>
      </c>
      <c r="V162" s="16">
        <v>14.4</v>
      </c>
      <c r="W162" s="16">
        <v>5.7</v>
      </c>
      <c r="X162" s="16">
        <v>18.2</v>
      </c>
      <c r="Y162" s="16">
        <v>7.5</v>
      </c>
      <c r="Z162" s="16">
        <v>20.6</v>
      </c>
      <c r="AA162" s="16">
        <v>5.7</v>
      </c>
      <c r="AB162" s="16">
        <v>11.5</v>
      </c>
      <c r="AC162" s="16">
        <v>8.1999999999999993</v>
      </c>
      <c r="AD162" s="16">
        <v>21.2</v>
      </c>
      <c r="AE162" s="16">
        <v>4.5999999999999996</v>
      </c>
      <c r="AF162" s="16">
        <v>22.3</v>
      </c>
      <c r="AG162" s="16">
        <v>5.7</v>
      </c>
      <c r="AH162" s="16"/>
      <c r="AI162" s="16"/>
      <c r="AJ162" s="16">
        <v>14.3</v>
      </c>
      <c r="AK162" s="16">
        <v>9.1999999999999993</v>
      </c>
      <c r="AL162" s="16">
        <v>18.2</v>
      </c>
      <c r="AM162" s="16">
        <v>7.5</v>
      </c>
    </row>
    <row r="163" spans="1:39" x14ac:dyDescent="0.25">
      <c r="A163" s="22">
        <v>2010</v>
      </c>
      <c r="B163" s="16">
        <v>20.3</v>
      </c>
      <c r="C163" s="16">
        <v>5.5</v>
      </c>
      <c r="D163" s="16">
        <v>15.4</v>
      </c>
      <c r="E163" s="16">
        <v>4.3</v>
      </c>
      <c r="F163" s="16">
        <v>27.8</v>
      </c>
      <c r="G163" s="16">
        <v>5.4</v>
      </c>
      <c r="H163" s="16">
        <v>16.899999999999999</v>
      </c>
      <c r="I163" s="16">
        <v>5</v>
      </c>
      <c r="J163" s="16">
        <v>21.9</v>
      </c>
      <c r="K163" s="16">
        <v>4.8</v>
      </c>
      <c r="L163" s="16"/>
      <c r="M163" s="16"/>
      <c r="N163" s="16">
        <v>22.5</v>
      </c>
      <c r="O163" s="16">
        <v>5.2</v>
      </c>
      <c r="P163" s="16">
        <v>19.899999999999999</v>
      </c>
      <c r="Q163" s="16">
        <v>6.7</v>
      </c>
      <c r="R163" s="16"/>
      <c r="S163" s="16"/>
      <c r="T163" s="16">
        <v>19.7</v>
      </c>
      <c r="U163" s="16">
        <v>7.2</v>
      </c>
      <c r="V163" s="16">
        <v>14.2</v>
      </c>
      <c r="W163" s="16">
        <v>5.8</v>
      </c>
      <c r="X163" s="16">
        <v>18.3</v>
      </c>
      <c r="Y163" s="16">
        <v>7.6</v>
      </c>
      <c r="Z163" s="16">
        <v>20.3</v>
      </c>
      <c r="AA163" s="16">
        <v>5.7</v>
      </c>
      <c r="AB163" s="16">
        <v>11.4</v>
      </c>
      <c r="AC163" s="16">
        <v>8.1999999999999993</v>
      </c>
      <c r="AD163" s="16">
        <v>21</v>
      </c>
      <c r="AE163" s="16">
        <v>4.5999999999999996</v>
      </c>
      <c r="AF163" s="16">
        <v>22.2</v>
      </c>
      <c r="AG163" s="16">
        <v>5.7</v>
      </c>
      <c r="AH163" s="16"/>
      <c r="AI163" s="16"/>
      <c r="AJ163" s="16">
        <v>14.2</v>
      </c>
      <c r="AK163" s="16">
        <v>9.4</v>
      </c>
      <c r="AL163" s="16">
        <v>18.3</v>
      </c>
      <c r="AM163" s="16">
        <v>7.6</v>
      </c>
    </row>
    <row r="164" spans="1:39" x14ac:dyDescent="0.25">
      <c r="A164" s="22">
        <v>2011</v>
      </c>
      <c r="B164" s="16">
        <v>20.2</v>
      </c>
      <c r="C164" s="16">
        <v>5.6</v>
      </c>
      <c r="D164" s="16">
        <v>15.8</v>
      </c>
      <c r="E164" s="16">
        <v>4.3</v>
      </c>
      <c r="F164" s="16">
        <v>27.5</v>
      </c>
      <c r="G164" s="16">
        <v>5.3</v>
      </c>
      <c r="H164" s="16">
        <v>16.3</v>
      </c>
      <c r="I164" s="16">
        <v>5</v>
      </c>
      <c r="J164" s="16">
        <v>21.8</v>
      </c>
      <c r="K164" s="16">
        <v>4.9000000000000004</v>
      </c>
      <c r="L164" s="16"/>
      <c r="M164" s="16"/>
      <c r="N164" s="16">
        <v>22.5</v>
      </c>
      <c r="O164" s="16">
        <v>5.2</v>
      </c>
      <c r="P164" s="16">
        <v>19.8</v>
      </c>
      <c r="Q164" s="16">
        <v>6.7</v>
      </c>
      <c r="R164" s="16"/>
      <c r="S164" s="16"/>
      <c r="T164" s="16">
        <v>19.600000000000001</v>
      </c>
      <c r="U164" s="16">
        <v>7.1</v>
      </c>
      <c r="V164" s="16">
        <v>14</v>
      </c>
      <c r="W164" s="16">
        <v>5.9</v>
      </c>
      <c r="X164" s="16">
        <v>18.2</v>
      </c>
      <c r="Y164" s="16">
        <v>7.4</v>
      </c>
      <c r="Z164" s="16">
        <v>20.100000000000001</v>
      </c>
      <c r="AA164" s="16">
        <v>5.7</v>
      </c>
      <c r="AB164" s="16">
        <v>11.8</v>
      </c>
      <c r="AC164" s="16">
        <v>8.1999999999999993</v>
      </c>
      <c r="AD164" s="16">
        <v>21</v>
      </c>
      <c r="AE164" s="16">
        <v>4.5999999999999996</v>
      </c>
      <c r="AF164" s="16">
        <v>21.9</v>
      </c>
      <c r="AG164" s="16">
        <v>5.6</v>
      </c>
      <c r="AH164" s="16"/>
      <c r="AI164" s="16"/>
      <c r="AJ164" s="16">
        <v>14.1</v>
      </c>
      <c r="AK164" s="16">
        <v>9.6</v>
      </c>
      <c r="AL164" s="16">
        <v>18.2</v>
      </c>
      <c r="AM164" s="16">
        <v>7.4</v>
      </c>
    </row>
    <row r="165" spans="1:39" x14ac:dyDescent="0.25">
      <c r="A165" s="22">
        <v>2012</v>
      </c>
      <c r="B165" s="16">
        <v>19.899999999999999</v>
      </c>
      <c r="C165" s="16">
        <v>5.7</v>
      </c>
      <c r="D165" s="16">
        <v>15.5</v>
      </c>
      <c r="E165" s="16">
        <v>4.3</v>
      </c>
      <c r="F165" s="16">
        <v>27.2</v>
      </c>
      <c r="G165" s="16">
        <v>5.2</v>
      </c>
      <c r="H165" s="16">
        <v>16</v>
      </c>
      <c r="I165" s="16">
        <v>5</v>
      </c>
      <c r="J165" s="16">
        <v>20.9</v>
      </c>
      <c r="K165" s="16">
        <v>4.9000000000000004</v>
      </c>
      <c r="L165" s="16"/>
      <c r="M165" s="16"/>
      <c r="N165" s="16">
        <v>22.6</v>
      </c>
      <c r="O165" s="16">
        <v>5.2</v>
      </c>
      <c r="P165" s="16">
        <v>19.2</v>
      </c>
      <c r="Q165" s="16">
        <v>6.5</v>
      </c>
      <c r="R165" s="16"/>
      <c r="S165" s="16"/>
      <c r="T165" s="16">
        <v>19.399999999999999</v>
      </c>
      <c r="U165" s="16">
        <v>7</v>
      </c>
      <c r="V165" s="16">
        <v>13.8</v>
      </c>
      <c r="W165" s="16">
        <v>6.1</v>
      </c>
      <c r="X165" s="16">
        <v>17.5</v>
      </c>
      <c r="Y165" s="16">
        <v>7.7</v>
      </c>
      <c r="Z165" s="16">
        <v>19.899999999999999</v>
      </c>
      <c r="AA165" s="16">
        <v>5.7</v>
      </c>
      <c r="AB165" s="16">
        <v>11.2</v>
      </c>
      <c r="AC165" s="16">
        <v>8.1999999999999993</v>
      </c>
      <c r="AD165" s="16">
        <v>20.7</v>
      </c>
      <c r="AE165" s="16">
        <v>4.5999999999999996</v>
      </c>
      <c r="AF165" s="16">
        <v>21.5</v>
      </c>
      <c r="AG165" s="16">
        <v>5.5</v>
      </c>
      <c r="AH165" s="16"/>
      <c r="AI165" s="16"/>
      <c r="AJ165" s="16">
        <v>14.2</v>
      </c>
      <c r="AK165" s="16">
        <v>9.6</v>
      </c>
      <c r="AL165" s="16">
        <v>17.5</v>
      </c>
      <c r="AM165" s="16">
        <v>7.7</v>
      </c>
    </row>
    <row r="166" spans="1:39" x14ac:dyDescent="0.25">
      <c r="A166" s="22">
        <v>2013</v>
      </c>
      <c r="B166" s="16">
        <v>19.5</v>
      </c>
      <c r="C166" s="16">
        <v>5.8</v>
      </c>
      <c r="D166" s="16">
        <v>14.8</v>
      </c>
      <c r="E166" s="16">
        <v>4.3</v>
      </c>
      <c r="F166" s="16">
        <v>26.7</v>
      </c>
      <c r="G166" s="16">
        <v>5.2</v>
      </c>
      <c r="H166" s="16">
        <v>15.6</v>
      </c>
      <c r="I166" s="16">
        <v>5</v>
      </c>
      <c r="J166" s="16">
        <v>19.7</v>
      </c>
      <c r="K166" s="16">
        <v>4.8</v>
      </c>
      <c r="L166" s="16"/>
      <c r="M166" s="16"/>
      <c r="N166" s="16">
        <v>22.5</v>
      </c>
      <c r="O166" s="16">
        <v>5.2</v>
      </c>
      <c r="P166" s="16">
        <v>18.8</v>
      </c>
      <c r="Q166" s="16">
        <v>6.3</v>
      </c>
      <c r="R166" s="16"/>
      <c r="S166" s="16"/>
      <c r="T166" s="16">
        <v>19.2</v>
      </c>
      <c r="U166" s="16">
        <v>7.2</v>
      </c>
      <c r="V166" s="16">
        <v>13.6</v>
      </c>
      <c r="W166" s="16">
        <v>6.1</v>
      </c>
      <c r="X166" s="16">
        <v>17.7</v>
      </c>
      <c r="Y166" s="16">
        <v>7.8</v>
      </c>
      <c r="Z166" s="16">
        <v>19.600000000000001</v>
      </c>
      <c r="AA166" s="16">
        <v>5.7</v>
      </c>
      <c r="AB166" s="16">
        <v>11.2</v>
      </c>
      <c r="AC166" s="16">
        <v>8.5</v>
      </c>
      <c r="AD166" s="16">
        <v>20.399999999999999</v>
      </c>
      <c r="AE166" s="16">
        <v>4.7</v>
      </c>
      <c r="AF166" s="16">
        <v>21.2</v>
      </c>
      <c r="AG166" s="16">
        <v>5.5</v>
      </c>
      <c r="AH166" s="16"/>
      <c r="AI166" s="16"/>
      <c r="AJ166" s="16">
        <v>14.3</v>
      </c>
      <c r="AK166" s="16">
        <v>9.5</v>
      </c>
      <c r="AL166" s="16">
        <v>17.7</v>
      </c>
      <c r="AM166" s="16">
        <v>7.8</v>
      </c>
    </row>
    <row r="167" spans="1:39" x14ac:dyDescent="0.25">
      <c r="A167" s="22">
        <v>2014</v>
      </c>
      <c r="B167" s="16">
        <v>19.100000000000001</v>
      </c>
      <c r="C167" s="16">
        <v>6</v>
      </c>
      <c r="D167" s="16">
        <v>14.8</v>
      </c>
      <c r="E167" s="16">
        <v>4.5</v>
      </c>
      <c r="F167" s="16">
        <v>26.5</v>
      </c>
      <c r="G167" s="16">
        <v>5.2</v>
      </c>
      <c r="H167" s="16">
        <v>15.3</v>
      </c>
      <c r="I167" s="16">
        <v>5.0999999999999996</v>
      </c>
      <c r="J167" s="16">
        <v>18.899999999999999</v>
      </c>
      <c r="K167" s="16">
        <v>4.8</v>
      </c>
      <c r="L167" s="16"/>
      <c r="M167" s="16"/>
      <c r="N167" s="16">
        <v>22.6</v>
      </c>
      <c r="O167" s="16">
        <v>5.2</v>
      </c>
      <c r="P167" s="16">
        <v>18.399999999999999</v>
      </c>
      <c r="Q167" s="16">
        <v>6.1</v>
      </c>
      <c r="R167" s="16"/>
      <c r="S167" s="16"/>
      <c r="T167" s="16">
        <v>19</v>
      </c>
      <c r="U167" s="16">
        <v>7.2</v>
      </c>
      <c r="V167" s="16">
        <v>13.5</v>
      </c>
      <c r="W167" s="16">
        <v>6.1</v>
      </c>
      <c r="X167" s="16">
        <v>18</v>
      </c>
      <c r="Y167" s="16">
        <v>7.5</v>
      </c>
      <c r="Z167" s="16">
        <v>19</v>
      </c>
      <c r="AA167" s="16">
        <v>5.7</v>
      </c>
      <c r="AB167" s="16">
        <v>10.9</v>
      </c>
      <c r="AC167" s="16">
        <v>8.9</v>
      </c>
      <c r="AD167" s="16">
        <v>20.100000000000001</v>
      </c>
      <c r="AE167" s="16">
        <v>4.7</v>
      </c>
      <c r="AF167" s="16">
        <v>20.8</v>
      </c>
      <c r="AG167" s="16">
        <v>5.6</v>
      </c>
      <c r="AH167" s="16"/>
      <c r="AI167" s="16"/>
      <c r="AJ167" s="16">
        <v>14.2</v>
      </c>
      <c r="AK167" s="16">
        <v>9.4</v>
      </c>
      <c r="AL167" s="16">
        <v>18</v>
      </c>
      <c r="AM167" s="16">
        <v>7.5</v>
      </c>
    </row>
    <row r="168" spans="1:39" x14ac:dyDescent="0.25">
      <c r="A168" s="22">
        <v>2015</v>
      </c>
      <c r="B168" s="16">
        <v>18.600000000000001</v>
      </c>
      <c r="C168" s="16">
        <v>6</v>
      </c>
      <c r="D168" s="16">
        <v>14.7</v>
      </c>
      <c r="E168" s="16">
        <v>4.5</v>
      </c>
      <c r="F168" s="16">
        <v>26.2</v>
      </c>
      <c r="G168" s="16">
        <v>5.2</v>
      </c>
      <c r="H168" s="16">
        <v>14.8</v>
      </c>
      <c r="I168" s="16">
        <v>5.3</v>
      </c>
      <c r="J168" s="16">
        <v>18.399999999999999</v>
      </c>
      <c r="K168" s="16">
        <v>4.9000000000000004</v>
      </c>
      <c r="L168" s="16"/>
      <c r="M168" s="16"/>
      <c r="N168" s="16">
        <v>22.7</v>
      </c>
      <c r="O168" s="16">
        <v>5.3</v>
      </c>
      <c r="P168" s="16">
        <v>17.899999999999999</v>
      </c>
      <c r="Q168" s="16">
        <v>6</v>
      </c>
      <c r="R168" s="16"/>
      <c r="S168" s="16"/>
      <c r="T168" s="16">
        <v>18.600000000000001</v>
      </c>
      <c r="U168" s="16">
        <v>7.4</v>
      </c>
      <c r="V168" s="16">
        <v>13.1</v>
      </c>
      <c r="W168" s="16">
        <v>6.1</v>
      </c>
      <c r="X168" s="16">
        <v>17.7</v>
      </c>
      <c r="Y168" s="16">
        <v>7.4</v>
      </c>
      <c r="Z168" s="16">
        <v>18.2</v>
      </c>
      <c r="AA168" s="16">
        <v>5.8</v>
      </c>
      <c r="AB168" s="16">
        <v>10.9</v>
      </c>
      <c r="AC168" s="16">
        <v>9.1</v>
      </c>
      <c r="AD168" s="16">
        <v>19.8</v>
      </c>
      <c r="AE168" s="16">
        <v>4.7</v>
      </c>
      <c r="AF168" s="16">
        <v>20.5</v>
      </c>
      <c r="AG168" s="16">
        <v>5.8</v>
      </c>
      <c r="AH168" s="16"/>
      <c r="AI168" s="16"/>
      <c r="AJ168" s="16">
        <v>14.3</v>
      </c>
      <c r="AK168" s="16">
        <v>9.5</v>
      </c>
      <c r="AL168" s="16">
        <v>17.7</v>
      </c>
      <c r="AM168" s="16">
        <v>7.4</v>
      </c>
    </row>
    <row r="169" spans="1:39" x14ac:dyDescent="0.25">
      <c r="A169" s="22">
        <v>2016</v>
      </c>
      <c r="B169" s="16">
        <v>18.3</v>
      </c>
      <c r="C169" s="16">
        <v>6.6</v>
      </c>
      <c r="D169" s="16">
        <v>14.2</v>
      </c>
      <c r="E169" s="16">
        <v>4.8</v>
      </c>
      <c r="F169" s="16">
        <v>26</v>
      </c>
      <c r="G169" s="16">
        <v>5.2</v>
      </c>
      <c r="H169" s="16">
        <v>14.3</v>
      </c>
      <c r="I169" s="16">
        <v>5.3</v>
      </c>
      <c r="J169" s="16">
        <v>17.600000000000001</v>
      </c>
      <c r="K169" s="16">
        <v>5</v>
      </c>
      <c r="L169" s="16"/>
      <c r="M169" s="16"/>
      <c r="N169" s="16">
        <v>22.5</v>
      </c>
      <c r="O169" s="16">
        <v>5.4</v>
      </c>
      <c r="P169" s="16">
        <v>17.600000000000001</v>
      </c>
      <c r="Q169" s="16">
        <v>6</v>
      </c>
      <c r="R169" s="16"/>
      <c r="S169" s="16"/>
      <c r="T169" s="16">
        <v>17.7</v>
      </c>
      <c r="U169" s="16">
        <v>7.4</v>
      </c>
      <c r="V169" s="16">
        <v>12.7</v>
      </c>
      <c r="W169" s="16">
        <v>6.1</v>
      </c>
      <c r="X169" s="16">
        <v>16.8</v>
      </c>
      <c r="Y169" s="16">
        <v>7.9</v>
      </c>
      <c r="Z169" s="16">
        <v>17.7</v>
      </c>
      <c r="AA169" s="16">
        <v>5.9</v>
      </c>
      <c r="AB169" s="16">
        <v>10.3</v>
      </c>
      <c r="AC169" s="16">
        <v>9.4</v>
      </c>
      <c r="AD169" s="16">
        <v>19.5</v>
      </c>
      <c r="AE169" s="16">
        <v>4.7</v>
      </c>
      <c r="AF169" s="16">
        <v>20.2</v>
      </c>
      <c r="AG169" s="16">
        <v>5.9</v>
      </c>
      <c r="AH169" s="16"/>
      <c r="AI169" s="16"/>
      <c r="AJ169" s="16">
        <v>13.7</v>
      </c>
      <c r="AK169" s="16">
        <v>9.6</v>
      </c>
      <c r="AL169" s="16">
        <v>16.8</v>
      </c>
      <c r="AM169" s="16">
        <v>7.9</v>
      </c>
    </row>
    <row r="170" spans="1:39" x14ac:dyDescent="0.25">
      <c r="A170" s="22">
        <v>2017</v>
      </c>
      <c r="B170" s="16">
        <v>17.899999999999999</v>
      </c>
      <c r="C170" s="16">
        <v>6.8</v>
      </c>
      <c r="D170" s="16">
        <v>13.8</v>
      </c>
      <c r="E170" s="16">
        <v>5</v>
      </c>
      <c r="F170" s="16">
        <v>25.2</v>
      </c>
      <c r="G170" s="16">
        <v>5.0999999999999996</v>
      </c>
      <c r="H170" s="16">
        <v>14.2</v>
      </c>
      <c r="I170" s="16">
        <v>5.3</v>
      </c>
      <c r="J170" s="16">
        <v>17.7</v>
      </c>
      <c r="K170" s="16">
        <v>5.0999999999999996</v>
      </c>
      <c r="L170" s="16"/>
      <c r="M170" s="16"/>
      <c r="N170" s="16">
        <v>22.2</v>
      </c>
      <c r="O170" s="16">
        <v>5.5</v>
      </c>
      <c r="P170" s="16">
        <v>17.3</v>
      </c>
      <c r="Q170" s="16">
        <v>6.1</v>
      </c>
      <c r="R170" s="16"/>
      <c r="S170" s="16"/>
      <c r="T170" s="16">
        <v>17.100000000000001</v>
      </c>
      <c r="U170" s="16">
        <v>7.5</v>
      </c>
      <c r="V170" s="16">
        <v>11.8</v>
      </c>
      <c r="W170" s="16">
        <v>6</v>
      </c>
      <c r="X170" s="16">
        <v>16.2</v>
      </c>
      <c r="Y170" s="16">
        <v>7.7</v>
      </c>
      <c r="Z170" s="16">
        <v>17.2</v>
      </c>
      <c r="AA170" s="16">
        <v>6</v>
      </c>
      <c r="AB170" s="16">
        <v>10.1</v>
      </c>
      <c r="AC170" s="16">
        <v>9.9</v>
      </c>
      <c r="AD170" s="16">
        <v>19.100000000000001</v>
      </c>
      <c r="AE170" s="16">
        <v>4.8</v>
      </c>
      <c r="AF170" s="16">
        <v>20</v>
      </c>
      <c r="AG170" s="16">
        <v>5.8</v>
      </c>
      <c r="AH170" s="16"/>
      <c r="AI170" s="16"/>
      <c r="AJ170" s="16">
        <v>12.7</v>
      </c>
      <c r="AK170" s="16">
        <v>9.5</v>
      </c>
      <c r="AL170" s="16">
        <v>16.2</v>
      </c>
      <c r="AM170" s="16">
        <v>7.7</v>
      </c>
    </row>
    <row r="171" spans="1:39" x14ac:dyDescent="0.25">
      <c r="A171" s="22">
        <v>2018</v>
      </c>
      <c r="B171" s="16">
        <v>17.3</v>
      </c>
      <c r="C171" s="16">
        <v>6.7</v>
      </c>
      <c r="D171" s="16">
        <v>13.6</v>
      </c>
      <c r="E171" s="16">
        <v>5.0999999999999996</v>
      </c>
      <c r="F171" s="16">
        <v>24.3</v>
      </c>
      <c r="G171" s="16">
        <v>5.0999999999999996</v>
      </c>
      <c r="H171" s="16">
        <v>14.2</v>
      </c>
      <c r="I171" s="16">
        <v>5.4</v>
      </c>
      <c r="J171" s="16">
        <v>17.5</v>
      </c>
      <c r="K171" s="16">
        <v>4.5999999999999996</v>
      </c>
      <c r="L171" s="16"/>
      <c r="M171" s="16"/>
      <c r="N171" s="16">
        <v>21.8</v>
      </c>
      <c r="O171" s="16">
        <v>5.5</v>
      </c>
      <c r="P171" s="16">
        <v>16.899999999999999</v>
      </c>
      <c r="Q171" s="16">
        <v>6.2</v>
      </c>
      <c r="R171" s="16"/>
      <c r="S171" s="16"/>
      <c r="T171" s="16">
        <v>16.7</v>
      </c>
      <c r="U171" s="16">
        <v>7.4</v>
      </c>
      <c r="V171" s="16">
        <v>11.7</v>
      </c>
      <c r="W171" s="16">
        <v>6.2</v>
      </c>
      <c r="X171" s="16">
        <v>15.3</v>
      </c>
      <c r="Y171" s="16">
        <v>7.6</v>
      </c>
      <c r="Z171" s="16">
        <v>17</v>
      </c>
      <c r="AA171" s="16">
        <v>6.1</v>
      </c>
      <c r="AB171" s="16">
        <v>10.199999999999999</v>
      </c>
      <c r="AC171" s="16">
        <v>9.9</v>
      </c>
      <c r="AD171" s="16">
        <v>18.5</v>
      </c>
      <c r="AE171" s="16">
        <v>4.7</v>
      </c>
      <c r="AF171" s="16">
        <v>19.8</v>
      </c>
      <c r="AG171" s="16">
        <v>5.9</v>
      </c>
      <c r="AH171" s="16"/>
      <c r="AI171" s="16"/>
      <c r="AJ171" s="16">
        <v>11.7</v>
      </c>
      <c r="AK171" s="16">
        <v>9.5</v>
      </c>
      <c r="AL171" s="16">
        <v>15.3</v>
      </c>
      <c r="AM171" s="16">
        <v>7.6</v>
      </c>
    </row>
    <row r="172" spans="1:39" x14ac:dyDescent="0.25">
      <c r="A172" s="22">
        <v>2019</v>
      </c>
      <c r="B172" s="16">
        <v>16.3</v>
      </c>
      <c r="C172" s="16">
        <v>6.8</v>
      </c>
      <c r="D172" s="16">
        <v>12.7</v>
      </c>
      <c r="E172" s="16">
        <v>5.0999999999999996</v>
      </c>
      <c r="F172" s="16">
        <v>23.1</v>
      </c>
      <c r="G172" s="16">
        <v>5.0999999999999996</v>
      </c>
      <c r="H172" s="16">
        <v>14.2</v>
      </c>
      <c r="I172" s="16">
        <v>5.4</v>
      </c>
      <c r="J172" s="16">
        <v>16.899999999999999</v>
      </c>
      <c r="K172" s="16">
        <v>4.8</v>
      </c>
      <c r="L172" s="16"/>
      <c r="M172" s="16"/>
      <c r="N172" s="16">
        <v>21.4</v>
      </c>
      <c r="O172" s="16">
        <v>5.6</v>
      </c>
      <c r="P172" s="16">
        <v>16.899999999999999</v>
      </c>
      <c r="Q172" s="16">
        <v>6.2</v>
      </c>
      <c r="R172" s="16"/>
      <c r="S172" s="16"/>
      <c r="T172" s="16">
        <v>16.600000000000001</v>
      </c>
      <c r="U172" s="16">
        <v>7.4</v>
      </c>
      <c r="V172" s="16">
        <v>10.9</v>
      </c>
      <c r="W172" s="16">
        <v>6.5</v>
      </c>
      <c r="X172" s="16">
        <v>13.9</v>
      </c>
      <c r="Y172" s="16">
        <v>7.7</v>
      </c>
      <c r="Z172" s="16">
        <v>16.899999999999999</v>
      </c>
      <c r="AA172" s="16">
        <v>6.1</v>
      </c>
      <c r="AB172" s="16">
        <v>9.6999999999999993</v>
      </c>
      <c r="AC172" s="16">
        <v>10</v>
      </c>
      <c r="AD172" s="16">
        <v>17.600000000000001</v>
      </c>
      <c r="AE172" s="16">
        <v>4.7</v>
      </c>
      <c r="AF172" s="16">
        <v>19.399999999999999</v>
      </c>
      <c r="AG172" s="16">
        <v>6.1</v>
      </c>
      <c r="AH172" s="16"/>
      <c r="AI172" s="16"/>
      <c r="AJ172" s="16">
        <v>10.9</v>
      </c>
      <c r="AK172" s="16">
        <v>9.8000000000000007</v>
      </c>
      <c r="AL172" s="16">
        <v>13.9</v>
      </c>
      <c r="AM172" s="16">
        <v>7.7</v>
      </c>
    </row>
    <row r="173" spans="1:39" x14ac:dyDescent="0.25">
      <c r="A173" s="22">
        <v>2020</v>
      </c>
      <c r="B173" s="16">
        <v>15.5</v>
      </c>
      <c r="C173" s="16">
        <v>7.2</v>
      </c>
      <c r="D173" s="16">
        <v>11.4</v>
      </c>
      <c r="E173" s="16">
        <v>5.6</v>
      </c>
      <c r="F173" s="16">
        <v>22</v>
      </c>
      <c r="G173" s="16">
        <v>5.8</v>
      </c>
      <c r="H173" s="16">
        <v>14.1</v>
      </c>
      <c r="I173" s="16">
        <v>6.6</v>
      </c>
      <c r="J173" s="16">
        <v>16.399999999999999</v>
      </c>
      <c r="K173" s="16">
        <v>7.5</v>
      </c>
      <c r="L173" s="16"/>
      <c r="M173" s="16"/>
      <c r="N173" s="16">
        <v>21</v>
      </c>
      <c r="O173" s="16">
        <v>6.1</v>
      </c>
      <c r="P173" s="16">
        <v>16.600000000000001</v>
      </c>
      <c r="Q173" s="16">
        <v>7.4</v>
      </c>
      <c r="R173" s="16"/>
      <c r="S173" s="16"/>
      <c r="T173" s="16">
        <v>16.3</v>
      </c>
      <c r="U173" s="16">
        <v>8.6</v>
      </c>
      <c r="V173" s="16">
        <v>10.1</v>
      </c>
      <c r="W173" s="16">
        <v>7.4</v>
      </c>
      <c r="X173" s="16">
        <v>11.8</v>
      </c>
      <c r="Y173" s="16">
        <v>8.5</v>
      </c>
      <c r="Z173" s="16">
        <v>16.600000000000001</v>
      </c>
      <c r="AA173" s="16">
        <v>8.4</v>
      </c>
      <c r="AB173" s="16">
        <v>9.3000000000000007</v>
      </c>
      <c r="AC173" s="16">
        <v>10.4</v>
      </c>
      <c r="AD173" s="16">
        <v>16.7</v>
      </c>
      <c r="AE173" s="16">
        <v>5.9</v>
      </c>
      <c r="AF173" s="16">
        <v>19</v>
      </c>
      <c r="AG173" s="16">
        <v>6.5</v>
      </c>
      <c r="AH173" s="16"/>
      <c r="AI173" s="16"/>
      <c r="AJ173" s="16">
        <v>10.4</v>
      </c>
      <c r="AK173" s="16">
        <v>9.1999999999999993</v>
      </c>
      <c r="AL173" s="16">
        <v>11.8</v>
      </c>
      <c r="AM173" s="16">
        <v>8.5</v>
      </c>
    </row>
    <row r="174" spans="1:39" x14ac:dyDescent="0.25">
      <c r="A174" s="22">
        <v>2021</v>
      </c>
      <c r="B174" s="16">
        <v>15.2</v>
      </c>
      <c r="C174" s="16">
        <v>7.9</v>
      </c>
      <c r="D174" s="16">
        <v>10.5</v>
      </c>
      <c r="E174" s="16">
        <v>6.6</v>
      </c>
      <c r="F174" s="16">
        <v>21.4</v>
      </c>
      <c r="G174" s="16">
        <v>6.9</v>
      </c>
      <c r="H174" s="16">
        <v>13.9</v>
      </c>
      <c r="I174" s="16">
        <v>7.9</v>
      </c>
      <c r="J174" s="16">
        <v>15.9</v>
      </c>
      <c r="K174" s="16">
        <v>7.1</v>
      </c>
      <c r="L174" s="16"/>
      <c r="M174" s="16"/>
      <c r="N174" s="16">
        <v>20.7</v>
      </c>
      <c r="O174" s="16">
        <v>8.9</v>
      </c>
      <c r="P174" s="16">
        <v>16.399999999999999</v>
      </c>
      <c r="Q174" s="16">
        <v>9.3000000000000007</v>
      </c>
      <c r="R174" s="16"/>
      <c r="S174" s="16"/>
      <c r="T174" s="16">
        <v>16.2</v>
      </c>
      <c r="U174" s="16">
        <v>8.6999999999999993</v>
      </c>
      <c r="V174" s="16">
        <v>9.1</v>
      </c>
      <c r="W174" s="16">
        <v>7.7</v>
      </c>
      <c r="X174" s="16">
        <v>11.7</v>
      </c>
      <c r="Y174" s="16">
        <v>9.6999999999999993</v>
      </c>
      <c r="Z174" s="16">
        <v>16.399999999999999</v>
      </c>
      <c r="AA174" s="16">
        <v>9</v>
      </c>
      <c r="AB174" s="16">
        <v>8.8000000000000007</v>
      </c>
      <c r="AC174" s="16">
        <v>15.3</v>
      </c>
      <c r="AD174" s="16">
        <v>16.399999999999999</v>
      </c>
      <c r="AE174" s="16">
        <v>5.6</v>
      </c>
      <c r="AF174" s="16">
        <v>18.600000000000001</v>
      </c>
      <c r="AG174" s="16">
        <v>7</v>
      </c>
      <c r="AH174" s="16"/>
      <c r="AI174" s="16"/>
      <c r="AJ174" s="16">
        <v>10.1</v>
      </c>
      <c r="AK174" s="16">
        <v>11.7</v>
      </c>
      <c r="AL174" s="16">
        <v>11.7</v>
      </c>
      <c r="AM174" s="16">
        <v>9.6999999999999993</v>
      </c>
    </row>
    <row r="175" spans="1:39" x14ac:dyDescent="0.25">
      <c r="A175" s="22">
        <v>2022</v>
      </c>
      <c r="B175" s="16">
        <v>15</v>
      </c>
      <c r="C175" s="16">
        <v>7.3</v>
      </c>
      <c r="D175" s="16">
        <v>10.3</v>
      </c>
      <c r="E175" s="16">
        <v>6.1</v>
      </c>
      <c r="F175" s="16">
        <v>21.1</v>
      </c>
      <c r="G175" s="16">
        <v>5.3</v>
      </c>
      <c r="H175" s="16">
        <v>13.7</v>
      </c>
      <c r="I175" s="16">
        <v>5.9</v>
      </c>
      <c r="J175" s="16">
        <v>15.4</v>
      </c>
      <c r="K175" s="16">
        <v>5.4</v>
      </c>
      <c r="L175" s="16"/>
      <c r="M175" s="16"/>
      <c r="N175" s="16">
        <v>20.399999999999999</v>
      </c>
      <c r="O175" s="16">
        <v>6.4</v>
      </c>
      <c r="P175" s="16">
        <v>16.2</v>
      </c>
      <c r="Q175" s="16">
        <v>6.4</v>
      </c>
      <c r="R175" s="16"/>
      <c r="S175" s="16"/>
      <c r="T175" s="16">
        <v>15.9</v>
      </c>
      <c r="U175" s="16">
        <v>7.5</v>
      </c>
      <c r="V175" s="16">
        <v>9.6999999999999993</v>
      </c>
      <c r="W175" s="16">
        <v>7.6</v>
      </c>
      <c r="X175" s="16">
        <v>10.9</v>
      </c>
      <c r="Y175" s="16">
        <v>8.8000000000000007</v>
      </c>
      <c r="Z175" s="16">
        <v>16</v>
      </c>
      <c r="AA175" s="16">
        <v>6.5</v>
      </c>
      <c r="AB175" s="16">
        <v>8.6999999999999993</v>
      </c>
      <c r="AC175" s="16">
        <v>10.3</v>
      </c>
      <c r="AD175" s="16">
        <v>16.2</v>
      </c>
      <c r="AE175" s="16">
        <v>4.8</v>
      </c>
      <c r="AF175" s="16">
        <v>18.3</v>
      </c>
      <c r="AG175" s="16">
        <v>5.9</v>
      </c>
      <c r="AH175" s="16"/>
      <c r="AI175" s="16"/>
      <c r="AJ175" s="16">
        <v>10</v>
      </c>
      <c r="AK175" s="16">
        <v>10.8</v>
      </c>
      <c r="AL175" s="16">
        <v>10.9</v>
      </c>
      <c r="AM175" s="16">
        <v>8.8000000000000007</v>
      </c>
    </row>
    <row r="176" spans="1:39" x14ac:dyDescent="0.25">
      <c r="A176" s="22">
        <v>2023</v>
      </c>
      <c r="B176" s="16">
        <v>15.1</v>
      </c>
      <c r="C176" s="16">
        <v>7.6</v>
      </c>
      <c r="D176" s="16">
        <v>10.199999999999999</v>
      </c>
      <c r="E176" s="16">
        <v>5.5</v>
      </c>
      <c r="F176" s="16">
        <v>20.8</v>
      </c>
      <c r="G176" s="16">
        <v>4.8</v>
      </c>
      <c r="H176" s="16">
        <v>13.5</v>
      </c>
      <c r="I176" s="16">
        <v>5.4</v>
      </c>
      <c r="J176" s="16">
        <v>15</v>
      </c>
      <c r="K176" s="16">
        <v>5.0999999999999996</v>
      </c>
      <c r="L176" s="16"/>
      <c r="M176" s="16"/>
      <c r="N176" s="16">
        <v>20</v>
      </c>
      <c r="O176" s="16">
        <v>5.7</v>
      </c>
      <c r="P176" s="16">
        <v>15.9</v>
      </c>
      <c r="Q176" s="16">
        <v>5.5</v>
      </c>
      <c r="R176" s="16"/>
      <c r="S176" s="16"/>
      <c r="T176" s="16">
        <v>15.8</v>
      </c>
      <c r="U176" s="16">
        <v>7.5</v>
      </c>
      <c r="V176" s="16">
        <v>9</v>
      </c>
      <c r="W176" s="16">
        <v>6.5</v>
      </c>
      <c r="X176" s="16">
        <v>11.1</v>
      </c>
      <c r="Y176" s="16">
        <v>7.7</v>
      </c>
      <c r="Z176" s="16">
        <v>15.7</v>
      </c>
      <c r="AA176" s="16">
        <v>6.2</v>
      </c>
      <c r="AB176" s="16">
        <v>8.6999999999999993</v>
      </c>
      <c r="AC176" s="16">
        <v>10.1</v>
      </c>
      <c r="AD176" s="16">
        <v>16</v>
      </c>
      <c r="AE176" s="16">
        <v>4.8</v>
      </c>
      <c r="AF176" s="16">
        <v>17.899999999999999</v>
      </c>
      <c r="AG176" s="16">
        <v>6.3</v>
      </c>
      <c r="AH176" s="16"/>
      <c r="AI176" s="16"/>
      <c r="AJ176" s="16">
        <v>9.9</v>
      </c>
      <c r="AK176" s="16">
        <v>9.8000000000000007</v>
      </c>
      <c r="AL176" s="16">
        <v>11.1</v>
      </c>
      <c r="AM176" s="16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1860</v>
      </c>
      <c r="B2" s="16">
        <v>46.8</v>
      </c>
      <c r="C2" s="16">
        <v>31.7</v>
      </c>
      <c r="D2" s="16">
        <f>B2-C2</f>
        <v>15.099999999999998</v>
      </c>
    </row>
    <row r="3" spans="1:4" x14ac:dyDescent="0.25">
      <c r="A3" s="22">
        <v>1861</v>
      </c>
      <c r="B3" s="16">
        <v>46.8</v>
      </c>
      <c r="C3" s="16">
        <v>31.7</v>
      </c>
      <c r="D3" s="16">
        <f t="shared" ref="D3:D66" si="0">B3-C3</f>
        <v>15.099999999999998</v>
      </c>
    </row>
    <row r="4" spans="1:4" x14ac:dyDescent="0.25">
      <c r="A4" s="22">
        <v>1862</v>
      </c>
      <c r="B4" s="16">
        <v>46.8</v>
      </c>
      <c r="C4" s="16">
        <v>31.7</v>
      </c>
      <c r="D4" s="16">
        <f t="shared" si="0"/>
        <v>15.099999999999998</v>
      </c>
    </row>
    <row r="5" spans="1:4" x14ac:dyDescent="0.25">
      <c r="A5" s="22">
        <v>1863</v>
      </c>
      <c r="B5" s="16">
        <v>46.8</v>
      </c>
      <c r="C5" s="16">
        <v>31.7</v>
      </c>
      <c r="D5" s="16">
        <f t="shared" si="0"/>
        <v>15.099999999999998</v>
      </c>
    </row>
    <row r="6" spans="1:4" x14ac:dyDescent="0.25">
      <c r="A6" s="22">
        <v>1864</v>
      </c>
      <c r="B6" s="16">
        <v>46.8</v>
      </c>
      <c r="C6" s="16">
        <v>31.6</v>
      </c>
      <c r="D6" s="16">
        <f t="shared" si="0"/>
        <v>15.199999999999996</v>
      </c>
    </row>
    <row r="7" spans="1:4" x14ac:dyDescent="0.25">
      <c r="A7" s="22">
        <v>1865</v>
      </c>
      <c r="B7" s="16">
        <v>46.8</v>
      </c>
      <c r="C7" s="16">
        <v>31.6</v>
      </c>
      <c r="D7" s="16">
        <f t="shared" si="0"/>
        <v>15.199999999999996</v>
      </c>
    </row>
    <row r="8" spans="1:4" x14ac:dyDescent="0.25">
      <c r="A8" s="22">
        <v>1866</v>
      </c>
      <c r="B8" s="16">
        <v>46.8</v>
      </c>
      <c r="C8" s="16">
        <v>31.5</v>
      </c>
      <c r="D8" s="16">
        <f t="shared" si="0"/>
        <v>15.299999999999997</v>
      </c>
    </row>
    <row r="9" spans="1:4" x14ac:dyDescent="0.25">
      <c r="A9" s="22">
        <v>1867</v>
      </c>
      <c r="B9" s="16">
        <v>46.7</v>
      </c>
      <c r="C9" s="16">
        <v>31.4</v>
      </c>
      <c r="D9" s="16">
        <f t="shared" si="0"/>
        <v>15.300000000000004</v>
      </c>
    </row>
    <row r="10" spans="1:4" x14ac:dyDescent="0.25">
      <c r="A10" s="22">
        <v>1868</v>
      </c>
      <c r="B10" s="16">
        <v>46.7</v>
      </c>
      <c r="C10" s="16">
        <v>31.3</v>
      </c>
      <c r="D10" s="16">
        <f t="shared" si="0"/>
        <v>15.400000000000002</v>
      </c>
    </row>
    <row r="11" spans="1:4" x14ac:dyDescent="0.25">
      <c r="A11" s="22">
        <v>1869</v>
      </c>
      <c r="B11" s="16">
        <v>46.6</v>
      </c>
      <c r="C11" s="16">
        <v>31.2</v>
      </c>
      <c r="D11" s="16">
        <f t="shared" si="0"/>
        <v>15.400000000000002</v>
      </c>
    </row>
    <row r="12" spans="1:4" x14ac:dyDescent="0.25">
      <c r="A12" s="22">
        <v>1870</v>
      </c>
      <c r="B12" s="16">
        <v>46.4</v>
      </c>
      <c r="C12" s="16">
        <v>31</v>
      </c>
      <c r="D12" s="16">
        <f t="shared" si="0"/>
        <v>15.399999999999999</v>
      </c>
    </row>
    <row r="13" spans="1:4" x14ac:dyDescent="0.25">
      <c r="A13" s="22">
        <v>1871</v>
      </c>
      <c r="B13" s="16">
        <v>46.3</v>
      </c>
      <c r="C13" s="16">
        <v>30.8</v>
      </c>
      <c r="D13" s="16">
        <f t="shared" si="0"/>
        <v>15.499999999999996</v>
      </c>
    </row>
    <row r="14" spans="1:4" x14ac:dyDescent="0.25">
      <c r="A14" s="22">
        <v>1872</v>
      </c>
      <c r="B14" s="16">
        <v>46.2</v>
      </c>
      <c r="C14" s="16">
        <v>30.7</v>
      </c>
      <c r="D14" s="16">
        <f t="shared" si="0"/>
        <v>15.500000000000004</v>
      </c>
    </row>
    <row r="15" spans="1:4" x14ac:dyDescent="0.25">
      <c r="A15" s="22">
        <v>1873</v>
      </c>
      <c r="B15" s="16">
        <v>46.1</v>
      </c>
      <c r="C15" s="16">
        <v>30.6</v>
      </c>
      <c r="D15" s="16">
        <f t="shared" si="0"/>
        <v>15.5</v>
      </c>
    </row>
    <row r="16" spans="1:4" x14ac:dyDescent="0.25">
      <c r="A16" s="22">
        <v>1874</v>
      </c>
      <c r="B16" s="16">
        <v>46</v>
      </c>
      <c r="C16" s="16">
        <v>30.4</v>
      </c>
      <c r="D16" s="16">
        <f t="shared" si="0"/>
        <v>15.600000000000001</v>
      </c>
    </row>
    <row r="17" spans="1:4" x14ac:dyDescent="0.25">
      <c r="A17" s="22">
        <v>1875</v>
      </c>
      <c r="B17" s="16">
        <v>45.9</v>
      </c>
      <c r="C17" s="16">
        <v>30.3</v>
      </c>
      <c r="D17" s="16">
        <f t="shared" si="0"/>
        <v>15.599999999999998</v>
      </c>
    </row>
    <row r="18" spans="1:4" x14ac:dyDescent="0.25">
      <c r="A18" s="22">
        <v>1876</v>
      </c>
      <c r="B18" s="16">
        <v>45.7</v>
      </c>
      <c r="C18" s="16">
        <v>30.2</v>
      </c>
      <c r="D18" s="16">
        <f t="shared" si="0"/>
        <v>15.500000000000004</v>
      </c>
    </row>
    <row r="19" spans="1:4" x14ac:dyDescent="0.25">
      <c r="A19" s="22">
        <v>1877</v>
      </c>
      <c r="B19" s="16">
        <v>45.6</v>
      </c>
      <c r="C19" s="16">
        <v>30</v>
      </c>
      <c r="D19" s="16">
        <f t="shared" si="0"/>
        <v>15.600000000000001</v>
      </c>
    </row>
    <row r="20" spans="1:4" x14ac:dyDescent="0.25">
      <c r="A20" s="22">
        <v>1878</v>
      </c>
      <c r="B20" s="16">
        <v>45.5</v>
      </c>
      <c r="C20" s="16">
        <v>29.9</v>
      </c>
      <c r="D20" s="16">
        <f t="shared" si="0"/>
        <v>15.600000000000001</v>
      </c>
    </row>
    <row r="21" spans="1:4" x14ac:dyDescent="0.25">
      <c r="A21" s="22">
        <v>1879</v>
      </c>
      <c r="B21" s="16">
        <v>45.3</v>
      </c>
      <c r="C21" s="16">
        <v>29.7</v>
      </c>
      <c r="D21" s="16">
        <f t="shared" si="0"/>
        <v>15.599999999999998</v>
      </c>
    </row>
    <row r="22" spans="1:4" x14ac:dyDescent="0.25">
      <c r="A22" s="22">
        <v>1880</v>
      </c>
      <c r="B22" s="16">
        <v>45.2</v>
      </c>
      <c r="C22" s="16">
        <v>29.5</v>
      </c>
      <c r="D22" s="16">
        <f t="shared" si="0"/>
        <v>15.700000000000003</v>
      </c>
    </row>
    <row r="23" spans="1:4" x14ac:dyDescent="0.25">
      <c r="A23" s="22">
        <v>1881</v>
      </c>
      <c r="B23" s="16">
        <v>45</v>
      </c>
      <c r="C23" s="16">
        <v>29.3</v>
      </c>
      <c r="D23" s="16">
        <f t="shared" si="0"/>
        <v>15.7</v>
      </c>
    </row>
    <row r="24" spans="1:4" x14ac:dyDescent="0.25">
      <c r="A24" s="22">
        <v>1882</v>
      </c>
      <c r="B24" s="16">
        <v>45</v>
      </c>
      <c r="C24" s="16">
        <v>29.1</v>
      </c>
      <c r="D24" s="16">
        <f t="shared" si="0"/>
        <v>15.899999999999999</v>
      </c>
    </row>
    <row r="25" spans="1:4" x14ac:dyDescent="0.25">
      <c r="A25" s="22">
        <v>1883</v>
      </c>
      <c r="B25" s="16">
        <v>44.9</v>
      </c>
      <c r="C25" s="16">
        <v>28.9</v>
      </c>
      <c r="D25" s="16">
        <f t="shared" si="0"/>
        <v>16</v>
      </c>
    </row>
    <row r="26" spans="1:4" x14ac:dyDescent="0.25">
      <c r="A26" s="22">
        <v>1884</v>
      </c>
      <c r="B26" s="16">
        <v>44.9</v>
      </c>
      <c r="C26" s="16">
        <v>28.7</v>
      </c>
      <c r="D26" s="16">
        <f t="shared" si="0"/>
        <v>16.2</v>
      </c>
    </row>
    <row r="27" spans="1:4" x14ac:dyDescent="0.25">
      <c r="A27" s="22">
        <v>1885</v>
      </c>
      <c r="B27" s="16">
        <v>45</v>
      </c>
      <c r="C27" s="16">
        <v>28.4</v>
      </c>
      <c r="D27" s="16">
        <f t="shared" si="0"/>
        <v>16.600000000000001</v>
      </c>
    </row>
    <row r="28" spans="1:4" x14ac:dyDescent="0.25">
      <c r="A28" s="22">
        <v>1886</v>
      </c>
      <c r="B28" s="16">
        <v>44.9</v>
      </c>
      <c r="C28" s="16">
        <v>28.1</v>
      </c>
      <c r="D28" s="16">
        <f t="shared" si="0"/>
        <v>16.799999999999997</v>
      </c>
    </row>
    <row r="29" spans="1:4" x14ac:dyDescent="0.25">
      <c r="A29" s="22">
        <v>1887</v>
      </c>
      <c r="B29" s="16">
        <v>44.7</v>
      </c>
      <c r="C29" s="16">
        <v>27.7</v>
      </c>
      <c r="D29" s="16">
        <f t="shared" si="0"/>
        <v>17.000000000000004</v>
      </c>
    </row>
    <row r="30" spans="1:4" x14ac:dyDescent="0.25">
      <c r="A30" s="22">
        <v>1888</v>
      </c>
      <c r="B30" s="16">
        <v>44.4</v>
      </c>
      <c r="C30" s="16">
        <v>27.2</v>
      </c>
      <c r="D30" s="16">
        <f t="shared" si="0"/>
        <v>17.2</v>
      </c>
    </row>
    <row r="31" spans="1:4" x14ac:dyDescent="0.25">
      <c r="A31" s="22">
        <v>1889</v>
      </c>
      <c r="B31" s="16">
        <v>44</v>
      </c>
      <c r="C31" s="16">
        <v>26.6</v>
      </c>
      <c r="D31" s="16">
        <f t="shared" si="0"/>
        <v>17.399999999999999</v>
      </c>
    </row>
    <row r="32" spans="1:4" x14ac:dyDescent="0.25">
      <c r="A32" s="22">
        <v>1890</v>
      </c>
      <c r="B32" s="16">
        <v>43.5</v>
      </c>
      <c r="C32" s="16">
        <v>26</v>
      </c>
      <c r="D32" s="16">
        <f t="shared" si="0"/>
        <v>17.5</v>
      </c>
    </row>
    <row r="33" spans="1:4" x14ac:dyDescent="0.25">
      <c r="A33" s="22">
        <v>1891</v>
      </c>
      <c r="B33" s="16">
        <v>43.1</v>
      </c>
      <c r="C33" s="16">
        <v>25.4</v>
      </c>
      <c r="D33" s="16">
        <f t="shared" si="0"/>
        <v>17.700000000000003</v>
      </c>
    </row>
    <row r="34" spans="1:4" x14ac:dyDescent="0.25">
      <c r="A34" s="22">
        <v>1892</v>
      </c>
      <c r="B34" s="16">
        <v>42.8</v>
      </c>
      <c r="C34" s="16">
        <v>25</v>
      </c>
      <c r="D34" s="16">
        <f t="shared" si="0"/>
        <v>17.799999999999997</v>
      </c>
    </row>
    <row r="35" spans="1:4" x14ac:dyDescent="0.25">
      <c r="A35" s="22">
        <v>1893</v>
      </c>
      <c r="B35" s="16">
        <v>42.6</v>
      </c>
      <c r="C35" s="16">
        <v>24.7</v>
      </c>
      <c r="D35" s="16">
        <f t="shared" si="0"/>
        <v>17.900000000000002</v>
      </c>
    </row>
    <row r="36" spans="1:4" x14ac:dyDescent="0.25">
      <c r="A36" s="22">
        <v>1894</v>
      </c>
      <c r="B36" s="16">
        <v>42.6</v>
      </c>
      <c r="C36" s="16">
        <v>24.5</v>
      </c>
      <c r="D36" s="16">
        <f t="shared" si="0"/>
        <v>18.100000000000001</v>
      </c>
    </row>
    <row r="37" spans="1:4" x14ac:dyDescent="0.25">
      <c r="A37" s="22">
        <v>1895</v>
      </c>
      <c r="B37" s="16">
        <v>42.6</v>
      </c>
      <c r="C37" s="16">
        <v>24.4</v>
      </c>
      <c r="D37" s="16">
        <f t="shared" si="0"/>
        <v>18.200000000000003</v>
      </c>
    </row>
    <row r="38" spans="1:4" x14ac:dyDescent="0.25">
      <c r="A38" s="22">
        <v>1896</v>
      </c>
      <c r="B38" s="16">
        <v>42.6</v>
      </c>
      <c r="C38" s="16">
        <v>24.2</v>
      </c>
      <c r="D38" s="16">
        <f t="shared" si="0"/>
        <v>18.400000000000002</v>
      </c>
    </row>
    <row r="39" spans="1:4" x14ac:dyDescent="0.25">
      <c r="A39" s="22">
        <v>1897</v>
      </c>
      <c r="B39" s="16">
        <v>42.5</v>
      </c>
      <c r="C39" s="16">
        <v>23.9</v>
      </c>
      <c r="D39" s="16">
        <f t="shared" si="0"/>
        <v>18.600000000000001</v>
      </c>
    </row>
    <row r="40" spans="1:4" x14ac:dyDescent="0.25">
      <c r="A40" s="22">
        <v>1898</v>
      </c>
      <c r="B40" s="16">
        <v>42.3</v>
      </c>
      <c r="C40" s="16">
        <v>23.5</v>
      </c>
      <c r="D40" s="16">
        <f t="shared" si="0"/>
        <v>18.799999999999997</v>
      </c>
    </row>
    <row r="41" spans="1:4" x14ac:dyDescent="0.25">
      <c r="A41" s="22">
        <v>1899</v>
      </c>
      <c r="B41" s="16">
        <v>42</v>
      </c>
      <c r="C41" s="16">
        <v>23</v>
      </c>
      <c r="D41" s="16">
        <f t="shared" si="0"/>
        <v>19</v>
      </c>
    </row>
    <row r="42" spans="1:4" x14ac:dyDescent="0.25">
      <c r="A42" s="22">
        <v>1900</v>
      </c>
      <c r="B42" s="16">
        <v>41.7</v>
      </c>
      <c r="C42" s="16">
        <v>22.4</v>
      </c>
      <c r="D42" s="16">
        <f t="shared" si="0"/>
        <v>19.300000000000004</v>
      </c>
    </row>
    <row r="43" spans="1:4" x14ac:dyDescent="0.25">
      <c r="A43" s="22">
        <v>1901</v>
      </c>
      <c r="B43" s="16">
        <v>41.4</v>
      </c>
      <c r="C43" s="16">
        <v>21.9</v>
      </c>
      <c r="D43" s="16">
        <f t="shared" si="0"/>
        <v>19.5</v>
      </c>
    </row>
    <row r="44" spans="1:4" x14ac:dyDescent="0.25">
      <c r="A44" s="22">
        <v>1902</v>
      </c>
      <c r="B44" s="16">
        <v>41</v>
      </c>
      <c r="C44" s="16">
        <v>21.5</v>
      </c>
      <c r="D44" s="16">
        <f t="shared" si="0"/>
        <v>19.5</v>
      </c>
    </row>
    <row r="45" spans="1:4" x14ac:dyDescent="0.25">
      <c r="A45" s="22">
        <v>1903</v>
      </c>
      <c r="B45" s="16">
        <v>40.700000000000003</v>
      </c>
      <c r="C45" s="16">
        <v>21.2</v>
      </c>
      <c r="D45" s="16">
        <f t="shared" si="0"/>
        <v>19.500000000000004</v>
      </c>
    </row>
    <row r="46" spans="1:4" x14ac:dyDescent="0.25">
      <c r="A46" s="22">
        <v>1904</v>
      </c>
      <c r="B46" s="16">
        <v>40.299999999999997</v>
      </c>
      <c r="C46" s="16">
        <v>21</v>
      </c>
      <c r="D46" s="16">
        <f t="shared" si="0"/>
        <v>19.299999999999997</v>
      </c>
    </row>
    <row r="47" spans="1:4" x14ac:dyDescent="0.25">
      <c r="A47" s="22">
        <v>1905</v>
      </c>
      <c r="B47" s="16">
        <v>40</v>
      </c>
      <c r="C47" s="16">
        <v>20.8</v>
      </c>
      <c r="D47" s="16">
        <f t="shared" si="0"/>
        <v>19.2</v>
      </c>
    </row>
    <row r="48" spans="1:4" x14ac:dyDescent="0.25">
      <c r="A48" s="22">
        <v>1906</v>
      </c>
      <c r="B48" s="16">
        <v>39.799999999999997</v>
      </c>
      <c r="C48" s="16">
        <v>20.6</v>
      </c>
      <c r="D48" s="16">
        <f t="shared" si="0"/>
        <v>19.199999999999996</v>
      </c>
    </row>
    <row r="49" spans="1:4" x14ac:dyDescent="0.25">
      <c r="A49" s="22">
        <v>1907</v>
      </c>
      <c r="B49" s="16">
        <v>39.799999999999997</v>
      </c>
      <c r="C49" s="16">
        <v>20.2</v>
      </c>
      <c r="D49" s="16">
        <f t="shared" si="0"/>
        <v>19.599999999999998</v>
      </c>
    </row>
    <row r="50" spans="1:4" x14ac:dyDescent="0.25">
      <c r="A50" s="22">
        <v>1908</v>
      </c>
      <c r="B50" s="16">
        <v>40</v>
      </c>
      <c r="C50" s="16">
        <v>19.8</v>
      </c>
      <c r="D50" s="16">
        <f t="shared" si="0"/>
        <v>20.2</v>
      </c>
    </row>
    <row r="51" spans="1:4" x14ac:dyDescent="0.25">
      <c r="A51" s="22">
        <v>1909</v>
      </c>
      <c r="B51" s="16">
        <v>40.299999999999997</v>
      </c>
      <c r="C51" s="16">
        <v>19.2</v>
      </c>
      <c r="D51" s="16">
        <f t="shared" si="0"/>
        <v>21.099999999999998</v>
      </c>
    </row>
    <row r="52" spans="1:4" x14ac:dyDescent="0.25">
      <c r="A52" s="22">
        <v>1910</v>
      </c>
      <c r="B52" s="16">
        <v>40.799999999999997</v>
      </c>
      <c r="C52" s="16">
        <v>18.5</v>
      </c>
      <c r="D52" s="16">
        <f t="shared" si="0"/>
        <v>22.299999999999997</v>
      </c>
    </row>
    <row r="53" spans="1:4" x14ac:dyDescent="0.25">
      <c r="A53" s="22">
        <v>1911</v>
      </c>
      <c r="B53" s="16">
        <v>40.9</v>
      </c>
      <c r="C53" s="16">
        <v>18</v>
      </c>
      <c r="D53" s="16">
        <f t="shared" si="0"/>
        <v>22.9</v>
      </c>
    </row>
    <row r="54" spans="1:4" x14ac:dyDescent="0.25">
      <c r="A54" s="22">
        <v>1912</v>
      </c>
      <c r="B54" s="16">
        <v>40.700000000000003</v>
      </c>
      <c r="C54" s="16">
        <v>17.600000000000001</v>
      </c>
      <c r="D54" s="16">
        <f t="shared" si="0"/>
        <v>23.1</v>
      </c>
    </row>
    <row r="55" spans="1:4" x14ac:dyDescent="0.25">
      <c r="A55" s="22">
        <v>1913</v>
      </c>
      <c r="B55" s="16">
        <v>40.1</v>
      </c>
      <c r="C55" s="16">
        <v>17.3</v>
      </c>
      <c r="D55" s="16">
        <f t="shared" si="0"/>
        <v>22.8</v>
      </c>
    </row>
    <row r="56" spans="1:4" x14ac:dyDescent="0.25">
      <c r="A56" s="22">
        <v>1914</v>
      </c>
      <c r="B56" s="16">
        <v>39.1</v>
      </c>
      <c r="C56" s="16">
        <v>17.2</v>
      </c>
      <c r="D56" s="16">
        <f t="shared" si="0"/>
        <v>21.900000000000002</v>
      </c>
    </row>
    <row r="57" spans="1:4" x14ac:dyDescent="0.25">
      <c r="A57" s="22">
        <v>1915</v>
      </c>
      <c r="B57" s="16">
        <v>37.799999999999997</v>
      </c>
      <c r="C57" s="16">
        <v>17.100000000000001</v>
      </c>
      <c r="D57" s="16">
        <f t="shared" si="0"/>
        <v>20.699999999999996</v>
      </c>
    </row>
    <row r="58" spans="1:4" x14ac:dyDescent="0.25">
      <c r="A58" s="22">
        <v>1916</v>
      </c>
      <c r="B58" s="16">
        <v>36.700000000000003</v>
      </c>
      <c r="C58" s="16">
        <v>17</v>
      </c>
      <c r="D58" s="16">
        <f t="shared" si="0"/>
        <v>19.700000000000003</v>
      </c>
    </row>
    <row r="59" spans="1:4" x14ac:dyDescent="0.25">
      <c r="A59" s="22">
        <v>1917</v>
      </c>
      <c r="B59" s="16">
        <v>35.9</v>
      </c>
      <c r="C59" s="16">
        <v>16.7</v>
      </c>
      <c r="D59" s="16">
        <f t="shared" si="0"/>
        <v>19.2</v>
      </c>
    </row>
    <row r="60" spans="1:4" x14ac:dyDescent="0.25">
      <c r="A60" s="22">
        <v>1918</v>
      </c>
      <c r="B60" s="16">
        <v>35.299999999999997</v>
      </c>
      <c r="C60" s="16">
        <v>16.2</v>
      </c>
      <c r="D60" s="16">
        <f t="shared" si="0"/>
        <v>19.099999999999998</v>
      </c>
    </row>
    <row r="61" spans="1:4" x14ac:dyDescent="0.25">
      <c r="A61" s="22">
        <v>1919</v>
      </c>
      <c r="B61" s="16">
        <v>34.9</v>
      </c>
      <c r="C61" s="16">
        <v>15.6</v>
      </c>
      <c r="D61" s="16">
        <f t="shared" si="0"/>
        <v>19.299999999999997</v>
      </c>
    </row>
    <row r="62" spans="1:4" x14ac:dyDescent="0.25">
      <c r="A62" s="22">
        <v>1920</v>
      </c>
      <c r="B62" s="16">
        <v>34.799999999999997</v>
      </c>
      <c r="C62" s="16">
        <v>14.9</v>
      </c>
      <c r="D62" s="16">
        <f t="shared" si="0"/>
        <v>19.899999999999999</v>
      </c>
    </row>
    <row r="63" spans="1:4" x14ac:dyDescent="0.25">
      <c r="A63" s="22">
        <v>1921</v>
      </c>
      <c r="B63" s="16">
        <v>34.6</v>
      </c>
      <c r="C63" s="16">
        <v>14.3</v>
      </c>
      <c r="D63" s="16">
        <f t="shared" si="0"/>
        <v>20.3</v>
      </c>
    </row>
    <row r="64" spans="1:4" x14ac:dyDescent="0.25">
      <c r="A64" s="22">
        <v>1922</v>
      </c>
      <c r="B64" s="16">
        <v>34.299999999999997</v>
      </c>
      <c r="C64" s="16">
        <v>13.9</v>
      </c>
      <c r="D64" s="16">
        <f t="shared" si="0"/>
        <v>20.399999999999999</v>
      </c>
    </row>
    <row r="65" spans="1:4" x14ac:dyDescent="0.25">
      <c r="A65" s="22">
        <v>1923</v>
      </c>
      <c r="B65" s="16">
        <v>34.1</v>
      </c>
      <c r="C65" s="16">
        <v>13.6</v>
      </c>
      <c r="D65" s="16">
        <f t="shared" si="0"/>
        <v>20.5</v>
      </c>
    </row>
    <row r="66" spans="1:4" x14ac:dyDescent="0.25">
      <c r="A66" s="22">
        <v>1924</v>
      </c>
      <c r="B66" s="16">
        <v>33.799999999999997</v>
      </c>
      <c r="C66" s="16">
        <v>13.5</v>
      </c>
      <c r="D66" s="16">
        <f t="shared" si="0"/>
        <v>20.299999999999997</v>
      </c>
    </row>
    <row r="67" spans="1:4" x14ac:dyDescent="0.25">
      <c r="A67" s="22">
        <v>1925</v>
      </c>
      <c r="B67" s="16">
        <v>33.4</v>
      </c>
      <c r="C67" s="16">
        <v>13.5</v>
      </c>
      <c r="D67" s="16">
        <f t="shared" ref="D67:D130" si="1">B67-C67</f>
        <v>19.899999999999999</v>
      </c>
    </row>
    <row r="68" spans="1:4" x14ac:dyDescent="0.25">
      <c r="A68" s="22">
        <v>1926</v>
      </c>
      <c r="B68" s="16">
        <v>33</v>
      </c>
      <c r="C68" s="16">
        <v>13.4</v>
      </c>
      <c r="D68" s="16">
        <f t="shared" si="1"/>
        <v>19.600000000000001</v>
      </c>
    </row>
    <row r="69" spans="1:4" x14ac:dyDescent="0.25">
      <c r="A69" s="22">
        <v>1927</v>
      </c>
      <c r="B69" s="16">
        <v>32.5</v>
      </c>
      <c r="C69" s="16">
        <v>13.2</v>
      </c>
      <c r="D69" s="16">
        <f t="shared" si="1"/>
        <v>19.3</v>
      </c>
    </row>
    <row r="70" spans="1:4" x14ac:dyDescent="0.25">
      <c r="A70" s="22">
        <v>1928</v>
      </c>
      <c r="B70" s="16">
        <v>31.9</v>
      </c>
      <c r="C70" s="16">
        <v>12.9</v>
      </c>
      <c r="D70" s="16">
        <f t="shared" si="1"/>
        <v>19</v>
      </c>
    </row>
    <row r="71" spans="1:4" x14ac:dyDescent="0.25">
      <c r="A71" s="22">
        <v>1929</v>
      </c>
      <c r="B71" s="16">
        <v>31.2</v>
      </c>
      <c r="C71" s="16">
        <v>12.5</v>
      </c>
      <c r="D71" s="16">
        <f t="shared" si="1"/>
        <v>18.7</v>
      </c>
    </row>
    <row r="72" spans="1:4" x14ac:dyDescent="0.25">
      <c r="A72" s="22">
        <v>1930</v>
      </c>
      <c r="B72" s="16">
        <v>30.5</v>
      </c>
      <c r="C72" s="16">
        <v>12</v>
      </c>
      <c r="D72" s="16">
        <f t="shared" si="1"/>
        <v>18.5</v>
      </c>
    </row>
    <row r="73" spans="1:4" x14ac:dyDescent="0.25">
      <c r="A73" s="22">
        <v>1931</v>
      </c>
      <c r="B73" s="16">
        <v>29.7</v>
      </c>
      <c r="C73" s="16">
        <v>11.7</v>
      </c>
      <c r="D73" s="16">
        <f t="shared" si="1"/>
        <v>18</v>
      </c>
    </row>
    <row r="74" spans="1:4" x14ac:dyDescent="0.25">
      <c r="A74" s="22">
        <v>1932</v>
      </c>
      <c r="B74" s="16">
        <v>28.9</v>
      </c>
      <c r="C74" s="16">
        <v>11.5</v>
      </c>
      <c r="D74" s="16">
        <f t="shared" si="1"/>
        <v>17.399999999999999</v>
      </c>
    </row>
    <row r="75" spans="1:4" x14ac:dyDescent="0.25">
      <c r="A75" s="22">
        <v>1933</v>
      </c>
      <c r="B75" s="16">
        <v>28.1</v>
      </c>
      <c r="C75" s="16">
        <v>11.4</v>
      </c>
      <c r="D75" s="16">
        <f t="shared" si="1"/>
        <v>16.700000000000003</v>
      </c>
    </row>
    <row r="76" spans="1:4" x14ac:dyDescent="0.25">
      <c r="A76" s="22">
        <v>1934</v>
      </c>
      <c r="B76" s="16">
        <v>27.3</v>
      </c>
      <c r="C76" s="16">
        <v>11.5</v>
      </c>
      <c r="D76" s="16">
        <f t="shared" si="1"/>
        <v>15.8</v>
      </c>
    </row>
    <row r="77" spans="1:4" x14ac:dyDescent="0.25">
      <c r="A77" s="22">
        <v>1935</v>
      </c>
      <c r="B77" s="16">
        <v>26.5</v>
      </c>
      <c r="C77" s="16">
        <v>11.7</v>
      </c>
      <c r="D77" s="16">
        <f t="shared" si="1"/>
        <v>14.8</v>
      </c>
    </row>
    <row r="78" spans="1:4" x14ac:dyDescent="0.25">
      <c r="A78" s="22">
        <v>1936</v>
      </c>
      <c r="B78" s="16">
        <v>25.9</v>
      </c>
      <c r="C78" s="16">
        <v>11.7</v>
      </c>
      <c r="D78" s="16">
        <f t="shared" si="1"/>
        <v>14.2</v>
      </c>
    </row>
    <row r="79" spans="1:4" x14ac:dyDescent="0.25">
      <c r="A79" s="22">
        <v>1937</v>
      </c>
      <c r="B79" s="16">
        <v>25.5</v>
      </c>
      <c r="C79" s="16">
        <v>11.7</v>
      </c>
      <c r="D79" s="16">
        <f t="shared" si="1"/>
        <v>13.8</v>
      </c>
    </row>
    <row r="80" spans="1:4" x14ac:dyDescent="0.25">
      <c r="A80" s="22">
        <v>1938</v>
      </c>
      <c r="B80" s="16">
        <v>25.3</v>
      </c>
      <c r="C80" s="16">
        <v>11.6</v>
      </c>
      <c r="D80" s="16">
        <f t="shared" si="1"/>
        <v>13.700000000000001</v>
      </c>
    </row>
    <row r="81" spans="1:4" x14ac:dyDescent="0.25">
      <c r="A81" s="22">
        <v>1939</v>
      </c>
      <c r="B81" s="16">
        <v>25.4</v>
      </c>
      <c r="C81" s="16">
        <v>11.3</v>
      </c>
      <c r="D81" s="16">
        <f t="shared" si="1"/>
        <v>14.099999999999998</v>
      </c>
    </row>
    <row r="82" spans="1:4" x14ac:dyDescent="0.25">
      <c r="A82" s="22">
        <v>1940</v>
      </c>
      <c r="B82" s="16">
        <v>25.6</v>
      </c>
      <c r="C82" s="16">
        <v>10.9</v>
      </c>
      <c r="D82" s="16">
        <f t="shared" si="1"/>
        <v>14.700000000000001</v>
      </c>
    </row>
    <row r="83" spans="1:4" x14ac:dyDescent="0.25">
      <c r="A83" s="22">
        <v>1941</v>
      </c>
      <c r="B83" s="16">
        <v>25.8</v>
      </c>
      <c r="C83" s="16">
        <v>10.6</v>
      </c>
      <c r="D83" s="16">
        <f t="shared" si="1"/>
        <v>15.200000000000001</v>
      </c>
    </row>
    <row r="84" spans="1:4" x14ac:dyDescent="0.25">
      <c r="A84" s="22">
        <v>1942</v>
      </c>
      <c r="B84" s="16">
        <v>25.8</v>
      </c>
      <c r="C84" s="16">
        <v>10.4</v>
      </c>
      <c r="D84" s="16">
        <f t="shared" si="1"/>
        <v>15.4</v>
      </c>
    </row>
    <row r="85" spans="1:4" x14ac:dyDescent="0.25">
      <c r="A85" s="22">
        <v>1943</v>
      </c>
      <c r="B85" s="16">
        <v>25.7</v>
      </c>
      <c r="C85" s="16">
        <v>10.1</v>
      </c>
      <c r="D85" s="16">
        <f t="shared" si="1"/>
        <v>15.6</v>
      </c>
    </row>
    <row r="86" spans="1:4" x14ac:dyDescent="0.25">
      <c r="A86" s="22">
        <v>1944</v>
      </c>
      <c r="B86" s="16">
        <v>25.6</v>
      </c>
      <c r="C86" s="16">
        <v>10</v>
      </c>
      <c r="D86" s="16">
        <f t="shared" si="1"/>
        <v>15.600000000000001</v>
      </c>
    </row>
    <row r="87" spans="1:4" x14ac:dyDescent="0.25">
      <c r="A87" s="22">
        <v>1945</v>
      </c>
      <c r="B87" s="16">
        <v>25.3</v>
      </c>
      <c r="C87" s="16">
        <v>9.9</v>
      </c>
      <c r="D87" s="16">
        <f t="shared" si="1"/>
        <v>15.4</v>
      </c>
    </row>
    <row r="88" spans="1:4" x14ac:dyDescent="0.25">
      <c r="A88" s="22">
        <v>1946</v>
      </c>
      <c r="B88" s="16">
        <v>25.2</v>
      </c>
      <c r="C88" s="16">
        <v>9.8000000000000007</v>
      </c>
      <c r="D88" s="16">
        <f t="shared" si="1"/>
        <v>15.399999999999999</v>
      </c>
    </row>
    <row r="89" spans="1:4" x14ac:dyDescent="0.25">
      <c r="A89" s="22">
        <v>1947</v>
      </c>
      <c r="B89" s="16">
        <v>25.1</v>
      </c>
      <c r="C89" s="16">
        <v>9.6</v>
      </c>
      <c r="D89" s="16">
        <f t="shared" si="1"/>
        <v>15.500000000000002</v>
      </c>
    </row>
    <row r="90" spans="1:4" x14ac:dyDescent="0.25">
      <c r="A90" s="22">
        <v>1948</v>
      </c>
      <c r="B90" s="16">
        <v>25.1</v>
      </c>
      <c r="C90" s="16">
        <v>9.5</v>
      </c>
      <c r="D90" s="16">
        <f t="shared" si="1"/>
        <v>15.600000000000001</v>
      </c>
    </row>
    <row r="91" spans="1:4" x14ac:dyDescent="0.25">
      <c r="A91" s="22">
        <v>1949</v>
      </c>
      <c r="B91" s="16">
        <v>25.3</v>
      </c>
      <c r="C91" s="16">
        <v>9.3000000000000007</v>
      </c>
      <c r="D91" s="16">
        <f t="shared" si="1"/>
        <v>16</v>
      </c>
    </row>
    <row r="92" spans="1:4" x14ac:dyDescent="0.25">
      <c r="A92" s="22">
        <v>1950</v>
      </c>
      <c r="B92" s="16">
        <v>25.5</v>
      </c>
      <c r="C92" s="16">
        <v>9.1</v>
      </c>
      <c r="D92" s="16">
        <f t="shared" si="1"/>
        <v>16.399999999999999</v>
      </c>
    </row>
    <row r="93" spans="1:4" x14ac:dyDescent="0.25">
      <c r="A93" s="22">
        <v>1951</v>
      </c>
      <c r="B93" s="16">
        <v>25.6</v>
      </c>
      <c r="C93" s="16">
        <v>9</v>
      </c>
      <c r="D93" s="16">
        <f t="shared" si="1"/>
        <v>16.600000000000001</v>
      </c>
    </row>
    <row r="94" spans="1:4" x14ac:dyDescent="0.25">
      <c r="A94" s="22">
        <v>1952</v>
      </c>
      <c r="B94" s="16">
        <v>25.6</v>
      </c>
      <c r="C94" s="16">
        <v>8.9</v>
      </c>
      <c r="D94" s="16">
        <f t="shared" si="1"/>
        <v>16.700000000000003</v>
      </c>
    </row>
    <row r="95" spans="1:4" x14ac:dyDescent="0.25">
      <c r="A95" s="22">
        <v>1953</v>
      </c>
      <c r="B95" s="16">
        <v>25.4</v>
      </c>
      <c r="C95" s="16">
        <v>8.8000000000000007</v>
      </c>
      <c r="D95" s="16">
        <f t="shared" si="1"/>
        <v>16.599999999999998</v>
      </c>
    </row>
    <row r="96" spans="1:4" x14ac:dyDescent="0.25">
      <c r="A96" s="22">
        <v>1954</v>
      </c>
      <c r="B96" s="16">
        <v>25.1</v>
      </c>
      <c r="C96" s="16">
        <v>8.6999999999999993</v>
      </c>
      <c r="D96" s="16">
        <f t="shared" si="1"/>
        <v>16.400000000000002</v>
      </c>
    </row>
    <row r="97" spans="1:4" x14ac:dyDescent="0.25">
      <c r="A97" s="22">
        <v>1955</v>
      </c>
      <c r="B97" s="16">
        <v>24.9</v>
      </c>
      <c r="C97" s="16">
        <v>8.9</v>
      </c>
      <c r="D97" s="16">
        <f t="shared" si="1"/>
        <v>15.999999999999998</v>
      </c>
    </row>
    <row r="98" spans="1:4" x14ac:dyDescent="0.25">
      <c r="A98" s="22">
        <v>1956</v>
      </c>
      <c r="B98" s="16">
        <v>24.8</v>
      </c>
      <c r="C98" s="16">
        <v>8.6999999999999993</v>
      </c>
      <c r="D98" s="16">
        <f t="shared" si="1"/>
        <v>16.100000000000001</v>
      </c>
    </row>
    <row r="99" spans="1:4" x14ac:dyDescent="0.25">
      <c r="A99" s="22">
        <v>1957</v>
      </c>
      <c r="B99" s="16">
        <v>24.6</v>
      </c>
      <c r="C99" s="16">
        <v>8.9</v>
      </c>
      <c r="D99" s="16">
        <f t="shared" si="1"/>
        <v>15.700000000000001</v>
      </c>
    </row>
    <row r="100" spans="1:4" x14ac:dyDescent="0.25">
      <c r="A100" s="22">
        <v>1958</v>
      </c>
      <c r="B100" s="16">
        <v>24.2</v>
      </c>
      <c r="C100" s="16">
        <v>8.4</v>
      </c>
      <c r="D100" s="16">
        <f t="shared" si="1"/>
        <v>15.799999999999999</v>
      </c>
    </row>
    <row r="101" spans="1:4" x14ac:dyDescent="0.25">
      <c r="A101" s="22">
        <v>1959</v>
      </c>
      <c r="B101" s="16">
        <v>24.4</v>
      </c>
      <c r="C101" s="16">
        <v>8.6</v>
      </c>
      <c r="D101" s="16">
        <f t="shared" si="1"/>
        <v>15.799999999999999</v>
      </c>
    </row>
    <row r="102" spans="1:4" x14ac:dyDescent="0.25">
      <c r="A102" s="22">
        <v>1960</v>
      </c>
      <c r="B102" s="16">
        <v>24.2</v>
      </c>
      <c r="C102" s="16">
        <v>8.6999999999999993</v>
      </c>
      <c r="D102" s="16">
        <f t="shared" si="1"/>
        <v>15.5</v>
      </c>
    </row>
    <row r="103" spans="1:4" x14ac:dyDescent="0.25">
      <c r="A103" s="22">
        <v>1961</v>
      </c>
      <c r="B103" s="16">
        <v>23.9</v>
      </c>
      <c r="C103" s="16">
        <v>8.5</v>
      </c>
      <c r="D103" s="16">
        <f t="shared" si="1"/>
        <v>15.399999999999999</v>
      </c>
    </row>
    <row r="104" spans="1:4" x14ac:dyDescent="0.25">
      <c r="A104" s="22">
        <v>1962</v>
      </c>
      <c r="B104" s="16">
        <v>23.8</v>
      </c>
      <c r="C104" s="16">
        <v>8.6999999999999993</v>
      </c>
      <c r="D104" s="16">
        <f t="shared" si="1"/>
        <v>15.100000000000001</v>
      </c>
    </row>
    <row r="105" spans="1:4" x14ac:dyDescent="0.25">
      <c r="A105" s="22">
        <v>1963</v>
      </c>
      <c r="B105" s="16">
        <v>23.5</v>
      </c>
      <c r="C105" s="16">
        <v>8.6999999999999993</v>
      </c>
      <c r="D105" s="16">
        <f t="shared" si="1"/>
        <v>14.8</v>
      </c>
    </row>
    <row r="106" spans="1:4" x14ac:dyDescent="0.25">
      <c r="A106" s="22">
        <v>1964</v>
      </c>
      <c r="B106" s="16">
        <v>23.2</v>
      </c>
      <c r="C106" s="16">
        <v>8.9</v>
      </c>
      <c r="D106" s="16">
        <f t="shared" si="1"/>
        <v>14.299999999999999</v>
      </c>
    </row>
    <row r="107" spans="1:4" x14ac:dyDescent="0.25">
      <c r="A107" s="22">
        <v>1965</v>
      </c>
      <c r="B107" s="16">
        <v>22.6</v>
      </c>
      <c r="C107" s="16">
        <v>8.8000000000000007</v>
      </c>
      <c r="D107" s="16">
        <f t="shared" si="1"/>
        <v>13.8</v>
      </c>
    </row>
    <row r="108" spans="1:4" x14ac:dyDescent="0.25">
      <c r="A108" s="22">
        <v>1966</v>
      </c>
      <c r="B108" s="16">
        <v>22.3</v>
      </c>
      <c r="C108" s="16">
        <v>8.8000000000000007</v>
      </c>
      <c r="D108" s="16">
        <f t="shared" si="1"/>
        <v>13.5</v>
      </c>
    </row>
    <row r="109" spans="1:4" x14ac:dyDescent="0.25">
      <c r="A109" s="22">
        <v>1967</v>
      </c>
      <c r="B109" s="16">
        <v>22.4</v>
      </c>
      <c r="C109" s="16">
        <v>8.9</v>
      </c>
      <c r="D109" s="16">
        <f t="shared" si="1"/>
        <v>13.499999999999998</v>
      </c>
    </row>
    <row r="110" spans="1:4" x14ac:dyDescent="0.25">
      <c r="A110" s="22">
        <v>1968</v>
      </c>
      <c r="B110" s="16">
        <v>22.7</v>
      </c>
      <c r="C110" s="16">
        <v>9.1999999999999993</v>
      </c>
      <c r="D110" s="16">
        <f t="shared" si="1"/>
        <v>13.5</v>
      </c>
    </row>
    <row r="111" spans="1:4" x14ac:dyDescent="0.25">
      <c r="A111" s="22">
        <v>1969</v>
      </c>
      <c r="B111" s="16">
        <v>23</v>
      </c>
      <c r="C111" s="16">
        <v>9.5</v>
      </c>
      <c r="D111" s="16">
        <f t="shared" si="1"/>
        <v>13.5</v>
      </c>
    </row>
    <row r="112" spans="1:4" x14ac:dyDescent="0.25">
      <c r="A112" s="22">
        <v>1970</v>
      </c>
      <c r="B112" s="16">
        <v>23.4</v>
      </c>
      <c r="C112" s="16">
        <v>9.1999999999999993</v>
      </c>
      <c r="D112" s="16">
        <f t="shared" si="1"/>
        <v>14.2</v>
      </c>
    </row>
    <row r="113" spans="1:4" x14ac:dyDescent="0.25">
      <c r="A113" s="22">
        <v>1971</v>
      </c>
      <c r="B113" s="16">
        <v>23.6</v>
      </c>
      <c r="C113" s="16">
        <v>9.4</v>
      </c>
      <c r="D113" s="16">
        <f t="shared" si="1"/>
        <v>14.200000000000001</v>
      </c>
    </row>
    <row r="114" spans="1:4" x14ac:dyDescent="0.25">
      <c r="A114" s="22">
        <v>1972</v>
      </c>
      <c r="B114" s="16">
        <v>23.8</v>
      </c>
      <c r="C114" s="16">
        <v>9.3000000000000007</v>
      </c>
      <c r="D114" s="16">
        <f t="shared" si="1"/>
        <v>14.5</v>
      </c>
    </row>
    <row r="115" spans="1:4" x14ac:dyDescent="0.25">
      <c r="A115" s="22">
        <v>1973</v>
      </c>
      <c r="B115" s="16">
        <v>24.1</v>
      </c>
      <c r="C115" s="16">
        <v>9.3000000000000007</v>
      </c>
      <c r="D115" s="16">
        <f t="shared" si="1"/>
        <v>14.8</v>
      </c>
    </row>
    <row r="116" spans="1:4" x14ac:dyDescent="0.25">
      <c r="A116" s="22">
        <v>1974</v>
      </c>
      <c r="B116" s="16">
        <v>24.5</v>
      </c>
      <c r="C116" s="16">
        <v>9.3000000000000007</v>
      </c>
      <c r="D116" s="16">
        <f t="shared" si="1"/>
        <v>15.2</v>
      </c>
    </row>
    <row r="117" spans="1:4" x14ac:dyDescent="0.25">
      <c r="A117" s="22">
        <v>1975</v>
      </c>
      <c r="B117" s="16">
        <v>24.9</v>
      </c>
      <c r="C117" s="16">
        <v>9.1</v>
      </c>
      <c r="D117" s="16">
        <f t="shared" si="1"/>
        <v>15.799999999999999</v>
      </c>
    </row>
    <row r="118" spans="1:4" x14ac:dyDescent="0.25">
      <c r="A118" s="22">
        <v>1976</v>
      </c>
      <c r="B118" s="16">
        <v>25.2</v>
      </c>
      <c r="C118" s="16">
        <v>9.1999999999999993</v>
      </c>
      <c r="D118" s="16">
        <f t="shared" si="1"/>
        <v>16</v>
      </c>
    </row>
    <row r="119" spans="1:4" x14ac:dyDescent="0.25">
      <c r="A119" s="22">
        <v>1977</v>
      </c>
      <c r="B119" s="16">
        <v>25.5</v>
      </c>
      <c r="C119" s="16">
        <v>8.9</v>
      </c>
      <c r="D119" s="16">
        <f t="shared" si="1"/>
        <v>16.600000000000001</v>
      </c>
    </row>
    <row r="120" spans="1:4" x14ac:dyDescent="0.25">
      <c r="A120" s="22">
        <v>1978</v>
      </c>
      <c r="B120" s="16">
        <v>25.4</v>
      </c>
      <c r="C120" s="16">
        <v>8.9</v>
      </c>
      <c r="D120" s="16">
        <f t="shared" si="1"/>
        <v>16.5</v>
      </c>
    </row>
    <row r="121" spans="1:4" x14ac:dyDescent="0.25">
      <c r="A121" s="22">
        <v>1979</v>
      </c>
      <c r="B121" s="16">
        <v>25.1</v>
      </c>
      <c r="C121" s="16">
        <v>8.8000000000000007</v>
      </c>
      <c r="D121" s="16">
        <f t="shared" si="1"/>
        <v>16.3</v>
      </c>
    </row>
    <row r="122" spans="1:4" x14ac:dyDescent="0.25">
      <c r="A122" s="22">
        <v>1980</v>
      </c>
      <c r="B122" s="16">
        <v>24.7</v>
      </c>
      <c r="C122" s="16">
        <v>8.9</v>
      </c>
      <c r="D122" s="16">
        <f t="shared" si="1"/>
        <v>15.799999999999999</v>
      </c>
    </row>
    <row r="123" spans="1:4" x14ac:dyDescent="0.25">
      <c r="A123" s="22">
        <v>1981</v>
      </c>
      <c r="B123" s="16">
        <v>24.3</v>
      </c>
      <c r="C123" s="16">
        <v>8.6999999999999993</v>
      </c>
      <c r="D123" s="16">
        <f t="shared" si="1"/>
        <v>15.600000000000001</v>
      </c>
    </row>
    <row r="124" spans="1:4" x14ac:dyDescent="0.25">
      <c r="A124" s="22">
        <v>1982</v>
      </c>
      <c r="B124" s="16">
        <v>23.8</v>
      </c>
      <c r="C124" s="16">
        <v>8.8000000000000007</v>
      </c>
      <c r="D124" s="16">
        <f t="shared" si="1"/>
        <v>15</v>
      </c>
    </row>
    <row r="125" spans="1:4" x14ac:dyDescent="0.25">
      <c r="A125" s="22">
        <v>1983</v>
      </c>
      <c r="B125" s="16">
        <v>23.3</v>
      </c>
      <c r="C125" s="16">
        <v>8.8000000000000007</v>
      </c>
      <c r="D125" s="16">
        <f t="shared" si="1"/>
        <v>14.5</v>
      </c>
    </row>
    <row r="126" spans="1:4" x14ac:dyDescent="0.25">
      <c r="A126" s="22">
        <v>1984</v>
      </c>
      <c r="B126" s="16">
        <v>23</v>
      </c>
      <c r="C126" s="16">
        <v>8.8000000000000007</v>
      </c>
      <c r="D126" s="16">
        <f t="shared" si="1"/>
        <v>14.2</v>
      </c>
    </row>
    <row r="127" spans="1:4" x14ac:dyDescent="0.25">
      <c r="A127" s="22">
        <v>1985</v>
      </c>
      <c r="B127" s="16">
        <v>22.5</v>
      </c>
      <c r="C127" s="16">
        <v>8.4</v>
      </c>
      <c r="D127" s="16">
        <f t="shared" si="1"/>
        <v>14.1</v>
      </c>
    </row>
    <row r="128" spans="1:4" x14ac:dyDescent="0.25">
      <c r="A128" s="22">
        <v>1986</v>
      </c>
      <c r="B128" s="16">
        <v>22.4</v>
      </c>
      <c r="C128" s="16">
        <v>8.1999999999999993</v>
      </c>
      <c r="D128" s="16">
        <f t="shared" si="1"/>
        <v>14.2</v>
      </c>
    </row>
    <row r="129" spans="1:4" x14ac:dyDescent="0.25">
      <c r="A129" s="22">
        <v>1987</v>
      </c>
      <c r="B129" s="16">
        <v>22.2</v>
      </c>
      <c r="C129" s="16">
        <v>8</v>
      </c>
      <c r="D129" s="16">
        <f t="shared" si="1"/>
        <v>14.2</v>
      </c>
    </row>
    <row r="130" spans="1:4" x14ac:dyDescent="0.25">
      <c r="A130" s="22">
        <v>1988</v>
      </c>
      <c r="B130" s="16">
        <v>22.2</v>
      </c>
      <c r="C130" s="16">
        <v>7.9</v>
      </c>
      <c r="D130" s="16">
        <f t="shared" si="1"/>
        <v>14.299999999999999</v>
      </c>
    </row>
    <row r="131" spans="1:4" x14ac:dyDescent="0.25">
      <c r="A131" s="22">
        <v>1989</v>
      </c>
      <c r="B131" s="16">
        <v>22</v>
      </c>
      <c r="C131" s="16">
        <v>7.7</v>
      </c>
      <c r="D131" s="16">
        <f t="shared" ref="D131:D165" si="2">B131-C131</f>
        <v>14.3</v>
      </c>
    </row>
    <row r="132" spans="1:4" x14ac:dyDescent="0.25">
      <c r="A132" s="22">
        <v>1990</v>
      </c>
      <c r="B132" s="16">
        <v>22.1</v>
      </c>
      <c r="C132" s="16">
        <v>7.8</v>
      </c>
      <c r="D132" s="16">
        <f t="shared" si="2"/>
        <v>14.3</v>
      </c>
    </row>
    <row r="133" spans="1:4" x14ac:dyDescent="0.25">
      <c r="A133" s="22">
        <v>1991</v>
      </c>
      <c r="B133" s="16">
        <v>21.9</v>
      </c>
      <c r="C133" s="16">
        <v>7.6</v>
      </c>
      <c r="D133" s="16">
        <f t="shared" si="2"/>
        <v>14.299999999999999</v>
      </c>
    </row>
    <row r="134" spans="1:4" x14ac:dyDescent="0.25">
      <c r="A134" s="22">
        <v>1992</v>
      </c>
      <c r="B134" s="16">
        <v>21.7</v>
      </c>
      <c r="C134" s="16">
        <v>7.7</v>
      </c>
      <c r="D134" s="16">
        <f t="shared" si="2"/>
        <v>14</v>
      </c>
    </row>
    <row r="135" spans="1:4" x14ac:dyDescent="0.25">
      <c r="A135" s="22">
        <v>1993</v>
      </c>
      <c r="B135" s="16">
        <v>21.6</v>
      </c>
      <c r="C135" s="16">
        <v>7.7</v>
      </c>
      <c r="D135" s="16">
        <f t="shared" si="2"/>
        <v>13.900000000000002</v>
      </c>
    </row>
    <row r="136" spans="1:4" x14ac:dyDescent="0.25">
      <c r="A136" s="22">
        <v>1994</v>
      </c>
      <c r="B136" s="16">
        <v>21.4</v>
      </c>
      <c r="C136" s="16">
        <v>7.5</v>
      </c>
      <c r="D136" s="16">
        <f t="shared" si="2"/>
        <v>13.899999999999999</v>
      </c>
    </row>
    <row r="137" spans="1:4" x14ac:dyDescent="0.25">
      <c r="A137" s="22">
        <v>1995</v>
      </c>
      <c r="B137" s="16">
        <v>21</v>
      </c>
      <c r="C137" s="16">
        <v>7.6</v>
      </c>
      <c r="D137" s="16">
        <f t="shared" si="2"/>
        <v>13.4</v>
      </c>
    </row>
    <row r="138" spans="1:4" x14ac:dyDescent="0.25">
      <c r="A138" s="22">
        <v>1996</v>
      </c>
      <c r="B138" s="16">
        <v>20.399999999999999</v>
      </c>
      <c r="C138" s="16">
        <v>7.5</v>
      </c>
      <c r="D138" s="16">
        <f t="shared" si="2"/>
        <v>12.899999999999999</v>
      </c>
    </row>
    <row r="139" spans="1:4" x14ac:dyDescent="0.25">
      <c r="A139" s="22">
        <v>1997</v>
      </c>
      <c r="B139" s="16">
        <v>20</v>
      </c>
      <c r="C139" s="16">
        <v>7.4</v>
      </c>
      <c r="D139" s="16">
        <f t="shared" si="2"/>
        <v>12.6</v>
      </c>
    </row>
    <row r="140" spans="1:4" x14ac:dyDescent="0.25">
      <c r="A140" s="22">
        <v>1998</v>
      </c>
      <c r="B140" s="16">
        <v>19.7</v>
      </c>
      <c r="C140" s="16">
        <v>7.6</v>
      </c>
      <c r="D140" s="16">
        <f t="shared" si="2"/>
        <v>12.1</v>
      </c>
    </row>
    <row r="141" spans="1:4" x14ac:dyDescent="0.25">
      <c r="A141" s="22">
        <v>1999</v>
      </c>
      <c r="B141" s="16">
        <v>19.600000000000001</v>
      </c>
      <c r="C141" s="16">
        <v>7.6</v>
      </c>
      <c r="D141" s="16">
        <f t="shared" si="2"/>
        <v>12.000000000000002</v>
      </c>
    </row>
    <row r="142" spans="1:4" x14ac:dyDescent="0.25">
      <c r="A142" s="22">
        <v>2000</v>
      </c>
      <c r="B142" s="16">
        <v>19.3</v>
      </c>
      <c r="C142" s="16">
        <v>7.6</v>
      </c>
      <c r="D142" s="16">
        <f t="shared" si="2"/>
        <v>11.700000000000001</v>
      </c>
    </row>
    <row r="143" spans="1:4" x14ac:dyDescent="0.25">
      <c r="A143" s="22">
        <v>2001</v>
      </c>
      <c r="B143" s="16">
        <v>18.899999999999999</v>
      </c>
      <c r="C143" s="16">
        <v>7.5</v>
      </c>
      <c r="D143" s="16">
        <f t="shared" si="2"/>
        <v>11.399999999999999</v>
      </c>
    </row>
    <row r="144" spans="1:4" x14ac:dyDescent="0.25">
      <c r="A144" s="22">
        <v>2002</v>
      </c>
      <c r="B144" s="16">
        <v>18.7</v>
      </c>
      <c r="C144" s="16">
        <v>7.5</v>
      </c>
      <c r="D144" s="16">
        <f t="shared" si="2"/>
        <v>11.2</v>
      </c>
    </row>
    <row r="145" spans="1:4" x14ac:dyDescent="0.25">
      <c r="A145" s="22">
        <v>2003</v>
      </c>
      <c r="B145" s="16">
        <v>18.399999999999999</v>
      </c>
      <c r="C145" s="16">
        <v>7.7</v>
      </c>
      <c r="D145" s="16">
        <f t="shared" si="2"/>
        <v>10.7</v>
      </c>
    </row>
    <row r="146" spans="1:4" x14ac:dyDescent="0.25">
      <c r="A146" s="22">
        <v>2004</v>
      </c>
      <c r="B146" s="16">
        <v>18.3</v>
      </c>
      <c r="C146" s="16">
        <v>7.5</v>
      </c>
      <c r="D146" s="16">
        <f t="shared" si="2"/>
        <v>10.8</v>
      </c>
    </row>
    <row r="147" spans="1:4" x14ac:dyDescent="0.25">
      <c r="A147" s="22">
        <v>2005</v>
      </c>
      <c r="B147" s="16">
        <v>18.3</v>
      </c>
      <c r="C147" s="16">
        <v>7.4</v>
      </c>
      <c r="D147" s="16">
        <f t="shared" si="2"/>
        <v>10.9</v>
      </c>
    </row>
    <row r="148" spans="1:4" x14ac:dyDescent="0.25">
      <c r="A148" s="22">
        <v>2006</v>
      </c>
      <c r="B148" s="16">
        <v>18.2</v>
      </c>
      <c r="C148" s="16">
        <v>7.4</v>
      </c>
      <c r="D148" s="16">
        <f t="shared" si="2"/>
        <v>10.799999999999999</v>
      </c>
    </row>
    <row r="149" spans="1:4" x14ac:dyDescent="0.25">
      <c r="A149" s="22">
        <v>2007</v>
      </c>
      <c r="B149" s="16">
        <v>18</v>
      </c>
      <c r="C149" s="16">
        <v>7.9</v>
      </c>
      <c r="D149" s="16">
        <f t="shared" si="2"/>
        <v>10.1</v>
      </c>
    </row>
    <row r="150" spans="1:4" x14ac:dyDescent="0.25">
      <c r="A150" s="22">
        <v>2008</v>
      </c>
      <c r="B150" s="16">
        <v>18.5</v>
      </c>
      <c r="C150" s="16">
        <v>7.5</v>
      </c>
      <c r="D150" s="16">
        <f t="shared" si="2"/>
        <v>11</v>
      </c>
    </row>
    <row r="151" spans="1:4" x14ac:dyDescent="0.25">
      <c r="A151" s="22">
        <v>2009</v>
      </c>
      <c r="B151" s="16">
        <v>18.2</v>
      </c>
      <c r="C151" s="16">
        <v>7.5</v>
      </c>
      <c r="D151" s="16">
        <f t="shared" si="2"/>
        <v>10.7</v>
      </c>
    </row>
    <row r="152" spans="1:4" x14ac:dyDescent="0.25">
      <c r="A152" s="22">
        <v>2010</v>
      </c>
      <c r="B152" s="16">
        <v>18.3</v>
      </c>
      <c r="C152" s="16">
        <v>7.6</v>
      </c>
      <c r="D152" s="16">
        <f t="shared" si="2"/>
        <v>10.700000000000001</v>
      </c>
    </row>
    <row r="153" spans="1:4" x14ac:dyDescent="0.25">
      <c r="A153" s="22">
        <v>2011</v>
      </c>
      <c r="B153" s="16">
        <v>18.2</v>
      </c>
      <c r="C153" s="16">
        <v>7.4</v>
      </c>
      <c r="D153" s="16">
        <f t="shared" si="2"/>
        <v>10.799999999999999</v>
      </c>
    </row>
    <row r="154" spans="1:4" x14ac:dyDescent="0.25">
      <c r="A154" s="22">
        <v>2012</v>
      </c>
      <c r="B154" s="16">
        <v>17.5</v>
      </c>
      <c r="C154" s="16">
        <v>7.7</v>
      </c>
      <c r="D154" s="16">
        <f t="shared" si="2"/>
        <v>9.8000000000000007</v>
      </c>
    </row>
    <row r="155" spans="1:4" x14ac:dyDescent="0.25">
      <c r="A155" s="22">
        <v>2013</v>
      </c>
      <c r="B155" s="16">
        <v>17.7</v>
      </c>
      <c r="C155" s="16">
        <v>7.8</v>
      </c>
      <c r="D155" s="16">
        <f t="shared" si="2"/>
        <v>9.8999999999999986</v>
      </c>
    </row>
    <row r="156" spans="1:4" x14ac:dyDescent="0.25">
      <c r="A156" s="22">
        <v>2014</v>
      </c>
      <c r="B156" s="16">
        <v>18</v>
      </c>
      <c r="C156" s="16">
        <v>7.5</v>
      </c>
      <c r="D156" s="16">
        <f t="shared" si="2"/>
        <v>10.5</v>
      </c>
    </row>
    <row r="157" spans="1:4" x14ac:dyDescent="0.25">
      <c r="A157" s="22">
        <v>2015</v>
      </c>
      <c r="B157" s="16">
        <v>17.7</v>
      </c>
      <c r="C157" s="16">
        <v>7.4</v>
      </c>
      <c r="D157" s="16">
        <f t="shared" si="2"/>
        <v>10.299999999999999</v>
      </c>
    </row>
    <row r="158" spans="1:4" x14ac:dyDescent="0.25">
      <c r="A158" s="22">
        <v>2016</v>
      </c>
      <c r="B158" s="16">
        <v>16.8</v>
      </c>
      <c r="C158" s="16">
        <v>7.9</v>
      </c>
      <c r="D158" s="16">
        <f t="shared" si="2"/>
        <v>8.9</v>
      </c>
    </row>
    <row r="159" spans="1:4" x14ac:dyDescent="0.25">
      <c r="A159" s="22">
        <v>2017</v>
      </c>
      <c r="B159" s="16">
        <v>16.2</v>
      </c>
      <c r="C159" s="16">
        <v>7.7</v>
      </c>
      <c r="D159" s="16">
        <f t="shared" si="2"/>
        <v>8.5</v>
      </c>
    </row>
    <row r="160" spans="1:4" x14ac:dyDescent="0.25">
      <c r="A160" s="22">
        <v>2018</v>
      </c>
      <c r="B160" s="16">
        <v>15.3</v>
      </c>
      <c r="C160" s="16">
        <v>7.6</v>
      </c>
      <c r="D160" s="16">
        <f t="shared" si="2"/>
        <v>7.7000000000000011</v>
      </c>
    </row>
    <row r="161" spans="1:4" x14ac:dyDescent="0.25">
      <c r="A161" s="22">
        <v>2019</v>
      </c>
      <c r="B161" s="16">
        <v>13.9</v>
      </c>
      <c r="C161" s="16">
        <v>7.7</v>
      </c>
      <c r="D161" s="16">
        <f t="shared" si="2"/>
        <v>6.2</v>
      </c>
    </row>
    <row r="162" spans="1:4" x14ac:dyDescent="0.25">
      <c r="A162" s="22">
        <v>2020</v>
      </c>
      <c r="B162" s="16">
        <v>11.8</v>
      </c>
      <c r="C162" s="16">
        <v>8.5</v>
      </c>
      <c r="D162" s="16">
        <f t="shared" si="2"/>
        <v>3.3000000000000007</v>
      </c>
    </row>
    <row r="163" spans="1:4" x14ac:dyDescent="0.25">
      <c r="A163" s="22">
        <v>2021</v>
      </c>
      <c r="B163" s="16">
        <v>11.7</v>
      </c>
      <c r="C163" s="16">
        <v>9.6999999999999993</v>
      </c>
      <c r="D163" s="16">
        <f t="shared" si="2"/>
        <v>2</v>
      </c>
    </row>
    <row r="164" spans="1:4" x14ac:dyDescent="0.25">
      <c r="A164" s="22">
        <v>2022</v>
      </c>
      <c r="B164" s="16">
        <v>10.9</v>
      </c>
      <c r="C164" s="16">
        <v>8.8000000000000007</v>
      </c>
      <c r="D164" s="16">
        <f t="shared" si="2"/>
        <v>2.0999999999999996</v>
      </c>
    </row>
    <row r="165" spans="1:4" x14ac:dyDescent="0.25">
      <c r="A165" s="22">
        <v>2023</v>
      </c>
      <c r="B165" s="16">
        <v>11.1</v>
      </c>
      <c r="C165" s="16">
        <v>7.7</v>
      </c>
      <c r="D165" s="16">
        <f t="shared" si="2"/>
        <v>3.3999999999999995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21" t="s">
        <v>73</v>
      </c>
      <c r="C1" s="21" t="s">
        <v>89</v>
      </c>
      <c r="D1" s="21" t="s">
        <v>90</v>
      </c>
      <c r="E1" s="21" t="s">
        <v>88</v>
      </c>
    </row>
    <row r="2" spans="2:5" x14ac:dyDescent="0.25">
      <c r="B2" s="22">
        <v>1880</v>
      </c>
      <c r="C2" s="16">
        <v>48.2</v>
      </c>
      <c r="D2" s="16">
        <v>25.2</v>
      </c>
      <c r="E2" s="16">
        <f>C2-D2</f>
        <v>23.000000000000004</v>
      </c>
    </row>
    <row r="3" spans="2:5" x14ac:dyDescent="0.25">
      <c r="B3" s="22">
        <v>1881</v>
      </c>
      <c r="C3" s="16">
        <v>48.2</v>
      </c>
      <c r="D3" s="16">
        <v>25.1</v>
      </c>
      <c r="E3" s="16">
        <f t="shared" ref="E3:E66" si="0">C3-D3</f>
        <v>23.1</v>
      </c>
    </row>
    <row r="4" spans="2:5" x14ac:dyDescent="0.25">
      <c r="B4" s="22">
        <v>1882</v>
      </c>
      <c r="C4" s="16">
        <v>48.1</v>
      </c>
      <c r="D4" s="16">
        <v>25</v>
      </c>
      <c r="E4" s="16">
        <f t="shared" si="0"/>
        <v>23.1</v>
      </c>
    </row>
    <row r="5" spans="2:5" x14ac:dyDescent="0.25">
      <c r="B5" s="22">
        <v>1883</v>
      </c>
      <c r="C5" s="16">
        <v>48.1</v>
      </c>
      <c r="D5" s="16">
        <v>24.9</v>
      </c>
      <c r="E5" s="16">
        <f t="shared" si="0"/>
        <v>23.200000000000003</v>
      </c>
    </row>
    <row r="6" spans="2:5" x14ac:dyDescent="0.25">
      <c r="B6" s="22">
        <v>1884</v>
      </c>
      <c r="C6" s="16">
        <v>48</v>
      </c>
      <c r="D6" s="16">
        <v>24.8</v>
      </c>
      <c r="E6" s="16">
        <f t="shared" si="0"/>
        <v>23.2</v>
      </c>
    </row>
    <row r="7" spans="2:5" x14ac:dyDescent="0.25">
      <c r="B7" s="22">
        <v>1885</v>
      </c>
      <c r="C7" s="16">
        <v>47.9</v>
      </c>
      <c r="D7" s="16">
        <v>24.6</v>
      </c>
      <c r="E7" s="16">
        <f t="shared" si="0"/>
        <v>23.299999999999997</v>
      </c>
    </row>
    <row r="8" spans="2:5" x14ac:dyDescent="0.25">
      <c r="B8" s="22">
        <v>1886</v>
      </c>
      <c r="C8" s="16">
        <v>47.8</v>
      </c>
      <c r="D8" s="16">
        <v>24.4</v>
      </c>
      <c r="E8" s="16">
        <f t="shared" si="0"/>
        <v>23.4</v>
      </c>
    </row>
    <row r="9" spans="2:5" x14ac:dyDescent="0.25">
      <c r="B9" s="22">
        <v>1887</v>
      </c>
      <c r="C9" s="16">
        <v>47.7</v>
      </c>
      <c r="D9" s="16">
        <v>24.2</v>
      </c>
      <c r="E9" s="16">
        <f t="shared" si="0"/>
        <v>23.500000000000004</v>
      </c>
    </row>
    <row r="10" spans="2:5" x14ac:dyDescent="0.25">
      <c r="B10" s="22">
        <v>1888</v>
      </c>
      <c r="C10" s="16">
        <v>47.6</v>
      </c>
      <c r="D10" s="16">
        <v>24</v>
      </c>
      <c r="E10" s="16">
        <f t="shared" si="0"/>
        <v>23.6</v>
      </c>
    </row>
    <row r="11" spans="2:5" x14ac:dyDescent="0.25">
      <c r="B11" s="22">
        <v>1889</v>
      </c>
      <c r="C11" s="16">
        <v>47.5</v>
      </c>
      <c r="D11" s="16">
        <v>23.9</v>
      </c>
      <c r="E11" s="16">
        <f t="shared" si="0"/>
        <v>23.6</v>
      </c>
    </row>
    <row r="12" spans="2:5" x14ac:dyDescent="0.25">
      <c r="B12" s="22">
        <v>1890</v>
      </c>
      <c r="C12" s="16">
        <v>47.5</v>
      </c>
      <c r="D12" s="16">
        <v>23.7</v>
      </c>
      <c r="E12" s="16">
        <f t="shared" si="0"/>
        <v>23.8</v>
      </c>
    </row>
    <row r="13" spans="2:5" x14ac:dyDescent="0.25">
      <c r="B13" s="22">
        <v>1891</v>
      </c>
      <c r="C13" s="16">
        <v>47.4</v>
      </c>
      <c r="D13" s="16">
        <v>23.6</v>
      </c>
      <c r="E13" s="16">
        <f t="shared" si="0"/>
        <v>23.799999999999997</v>
      </c>
    </row>
    <row r="14" spans="2:5" x14ac:dyDescent="0.25">
      <c r="B14" s="22">
        <v>1892</v>
      </c>
      <c r="C14" s="16">
        <v>47.2</v>
      </c>
      <c r="D14" s="16">
        <v>23.3</v>
      </c>
      <c r="E14" s="16">
        <f t="shared" si="0"/>
        <v>23.900000000000002</v>
      </c>
    </row>
    <row r="15" spans="2:5" x14ac:dyDescent="0.25">
      <c r="B15" s="22">
        <v>1893</v>
      </c>
      <c r="C15" s="16">
        <v>47.1</v>
      </c>
      <c r="D15" s="16">
        <v>23.1</v>
      </c>
      <c r="E15" s="16">
        <f t="shared" si="0"/>
        <v>24</v>
      </c>
    </row>
    <row r="16" spans="2:5" x14ac:dyDescent="0.25">
      <c r="B16" s="22">
        <v>1894</v>
      </c>
      <c r="C16" s="16">
        <v>46.9</v>
      </c>
      <c r="D16" s="16">
        <v>22.8</v>
      </c>
      <c r="E16" s="16">
        <f t="shared" si="0"/>
        <v>24.099999999999998</v>
      </c>
    </row>
    <row r="17" spans="2:5" x14ac:dyDescent="0.25">
      <c r="B17" s="22">
        <v>1895</v>
      </c>
      <c r="C17" s="16">
        <v>46.7</v>
      </c>
      <c r="D17" s="16">
        <v>22.5</v>
      </c>
      <c r="E17" s="16">
        <f t="shared" si="0"/>
        <v>24.200000000000003</v>
      </c>
    </row>
    <row r="18" spans="2:5" x14ac:dyDescent="0.25">
      <c r="B18" s="22">
        <v>1896</v>
      </c>
      <c r="C18" s="16">
        <v>46.4</v>
      </c>
      <c r="D18" s="16">
        <v>22.2</v>
      </c>
      <c r="E18" s="16">
        <f t="shared" si="0"/>
        <v>24.2</v>
      </c>
    </row>
    <row r="19" spans="2:5" x14ac:dyDescent="0.25">
      <c r="B19" s="22">
        <v>1897</v>
      </c>
      <c r="C19" s="16">
        <v>46.1</v>
      </c>
      <c r="D19" s="16">
        <v>21.8</v>
      </c>
      <c r="E19" s="16">
        <f t="shared" si="0"/>
        <v>24.3</v>
      </c>
    </row>
    <row r="20" spans="2:5" x14ac:dyDescent="0.25">
      <c r="B20" s="22">
        <v>1898</v>
      </c>
      <c r="C20" s="16">
        <v>45.8</v>
      </c>
      <c r="D20" s="16">
        <v>21.5</v>
      </c>
      <c r="E20" s="16">
        <f t="shared" si="0"/>
        <v>24.299999999999997</v>
      </c>
    </row>
    <row r="21" spans="2:5" x14ac:dyDescent="0.25">
      <c r="B21" s="22">
        <v>1899</v>
      </c>
      <c r="C21" s="16">
        <v>45.5</v>
      </c>
      <c r="D21" s="16">
        <v>21.1</v>
      </c>
      <c r="E21" s="16">
        <f t="shared" si="0"/>
        <v>24.4</v>
      </c>
    </row>
    <row r="22" spans="2:5" x14ac:dyDescent="0.25">
      <c r="B22" s="22">
        <v>1900</v>
      </c>
      <c r="C22" s="16">
        <v>45.1</v>
      </c>
      <c r="D22" s="16">
        <v>20.8</v>
      </c>
      <c r="E22" s="16">
        <f t="shared" si="0"/>
        <v>24.3</v>
      </c>
    </row>
    <row r="23" spans="2:5" x14ac:dyDescent="0.25">
      <c r="B23" s="22">
        <v>1901</v>
      </c>
      <c r="C23" s="16">
        <v>44.7</v>
      </c>
      <c r="D23" s="16">
        <v>20.399999999999999</v>
      </c>
      <c r="E23" s="16">
        <f t="shared" si="0"/>
        <v>24.300000000000004</v>
      </c>
    </row>
    <row r="24" spans="2:5" x14ac:dyDescent="0.25">
      <c r="B24" s="22">
        <v>1902</v>
      </c>
      <c r="C24" s="16">
        <v>44.3</v>
      </c>
      <c r="D24" s="16">
        <v>20</v>
      </c>
      <c r="E24" s="16">
        <f t="shared" si="0"/>
        <v>24.299999999999997</v>
      </c>
    </row>
    <row r="25" spans="2:5" x14ac:dyDescent="0.25">
      <c r="B25" s="22">
        <v>1903</v>
      </c>
      <c r="C25" s="16">
        <v>43.9</v>
      </c>
      <c r="D25" s="16">
        <v>19.600000000000001</v>
      </c>
      <c r="E25" s="16">
        <f t="shared" si="0"/>
        <v>24.299999999999997</v>
      </c>
    </row>
    <row r="26" spans="2:5" x14ac:dyDescent="0.25">
      <c r="B26" s="22">
        <v>1904</v>
      </c>
      <c r="C26" s="16">
        <v>43.5</v>
      </c>
      <c r="D26" s="16">
        <v>19.2</v>
      </c>
      <c r="E26" s="16">
        <f t="shared" si="0"/>
        <v>24.3</v>
      </c>
    </row>
    <row r="27" spans="2:5" x14ac:dyDescent="0.25">
      <c r="B27" s="22">
        <v>1905</v>
      </c>
      <c r="C27" s="16">
        <v>43.1</v>
      </c>
      <c r="D27" s="16">
        <v>18.8</v>
      </c>
      <c r="E27" s="16">
        <f t="shared" si="0"/>
        <v>24.3</v>
      </c>
    </row>
    <row r="28" spans="2:5" x14ac:dyDescent="0.25">
      <c r="B28" s="22">
        <v>1906</v>
      </c>
      <c r="C28" s="16">
        <v>42.7</v>
      </c>
      <c r="D28" s="16">
        <v>18.3</v>
      </c>
      <c r="E28" s="16">
        <f t="shared" si="0"/>
        <v>24.400000000000002</v>
      </c>
    </row>
    <row r="29" spans="2:5" x14ac:dyDescent="0.25">
      <c r="B29" s="22">
        <v>1907</v>
      </c>
      <c r="C29" s="16">
        <v>42.4</v>
      </c>
      <c r="D29" s="16">
        <v>17.8</v>
      </c>
      <c r="E29" s="16">
        <f t="shared" si="0"/>
        <v>24.599999999999998</v>
      </c>
    </row>
    <row r="30" spans="2:5" x14ac:dyDescent="0.25">
      <c r="B30" s="22">
        <v>1908</v>
      </c>
      <c r="C30" s="16">
        <v>42.1</v>
      </c>
      <c r="D30" s="16">
        <v>17.2</v>
      </c>
      <c r="E30" s="16">
        <f t="shared" si="0"/>
        <v>24.900000000000002</v>
      </c>
    </row>
    <row r="31" spans="2:5" x14ac:dyDescent="0.25">
      <c r="B31" s="22">
        <v>1909</v>
      </c>
      <c r="C31" s="16">
        <v>41.8</v>
      </c>
      <c r="D31" s="16">
        <v>16.600000000000001</v>
      </c>
      <c r="E31" s="16">
        <f t="shared" si="0"/>
        <v>25.199999999999996</v>
      </c>
    </row>
    <row r="32" spans="2:5" x14ac:dyDescent="0.25">
      <c r="B32" s="22">
        <v>1910</v>
      </c>
      <c r="C32" s="16">
        <v>41.5</v>
      </c>
      <c r="D32" s="16">
        <v>16</v>
      </c>
      <c r="E32" s="16">
        <f t="shared" si="0"/>
        <v>25.5</v>
      </c>
    </row>
    <row r="33" spans="2:5" x14ac:dyDescent="0.25">
      <c r="B33" s="22">
        <v>1911</v>
      </c>
      <c r="C33" s="16">
        <v>41.1</v>
      </c>
      <c r="D33" s="16">
        <v>15.6</v>
      </c>
      <c r="E33" s="16">
        <f t="shared" si="0"/>
        <v>25.5</v>
      </c>
    </row>
    <row r="34" spans="2:5" x14ac:dyDescent="0.25">
      <c r="B34" s="22">
        <v>1912</v>
      </c>
      <c r="C34" s="16">
        <v>40.5</v>
      </c>
      <c r="D34" s="16">
        <v>15.4</v>
      </c>
      <c r="E34" s="16">
        <f t="shared" si="0"/>
        <v>25.1</v>
      </c>
    </row>
    <row r="35" spans="2:5" x14ac:dyDescent="0.25">
      <c r="B35" s="22">
        <v>1913</v>
      </c>
      <c r="C35" s="16">
        <v>39.700000000000003</v>
      </c>
      <c r="D35" s="16">
        <v>15.4</v>
      </c>
      <c r="E35" s="16">
        <f t="shared" si="0"/>
        <v>24.300000000000004</v>
      </c>
    </row>
    <row r="36" spans="2:5" x14ac:dyDescent="0.25">
      <c r="B36" s="22">
        <v>1914</v>
      </c>
      <c r="C36" s="16">
        <v>38.799999999999997</v>
      </c>
      <c r="D36" s="16">
        <v>15.7</v>
      </c>
      <c r="E36" s="16">
        <f t="shared" si="0"/>
        <v>23.099999999999998</v>
      </c>
    </row>
    <row r="37" spans="2:5" x14ac:dyDescent="0.25">
      <c r="B37" s="22">
        <v>1915</v>
      </c>
      <c r="C37" s="16">
        <v>37.6</v>
      </c>
      <c r="D37" s="16">
        <v>16.100000000000001</v>
      </c>
      <c r="E37" s="16">
        <f t="shared" si="0"/>
        <v>21.5</v>
      </c>
    </row>
    <row r="38" spans="2:5" x14ac:dyDescent="0.25">
      <c r="B38" s="22">
        <v>1916</v>
      </c>
      <c r="C38" s="16">
        <v>36.700000000000003</v>
      </c>
      <c r="D38" s="16">
        <v>16.3</v>
      </c>
      <c r="E38" s="16">
        <f t="shared" si="0"/>
        <v>20.400000000000002</v>
      </c>
    </row>
    <row r="39" spans="2:5" x14ac:dyDescent="0.25">
      <c r="B39" s="22">
        <v>1917</v>
      </c>
      <c r="C39" s="16">
        <v>36</v>
      </c>
      <c r="D39" s="16">
        <v>16.3</v>
      </c>
      <c r="E39" s="16">
        <f t="shared" si="0"/>
        <v>19.7</v>
      </c>
    </row>
    <row r="40" spans="2:5" x14ac:dyDescent="0.25">
      <c r="B40" s="22">
        <v>1918</v>
      </c>
      <c r="C40" s="16">
        <v>35.5</v>
      </c>
      <c r="D40" s="16">
        <v>16</v>
      </c>
      <c r="E40" s="16">
        <f t="shared" si="0"/>
        <v>19.5</v>
      </c>
    </row>
    <row r="41" spans="2:5" x14ac:dyDescent="0.25">
      <c r="B41" s="22">
        <v>1919</v>
      </c>
      <c r="C41" s="16">
        <v>35.200000000000003</v>
      </c>
      <c r="D41" s="16">
        <v>15.4</v>
      </c>
      <c r="E41" s="16">
        <f t="shared" si="0"/>
        <v>19.800000000000004</v>
      </c>
    </row>
    <row r="42" spans="2:5" x14ac:dyDescent="0.25">
      <c r="B42" s="22">
        <v>1920</v>
      </c>
      <c r="C42" s="16">
        <v>35.1</v>
      </c>
      <c r="D42" s="16">
        <v>14.6</v>
      </c>
      <c r="E42" s="16">
        <f t="shared" si="0"/>
        <v>20.5</v>
      </c>
    </row>
    <row r="43" spans="2:5" x14ac:dyDescent="0.25">
      <c r="B43" s="22">
        <v>1921</v>
      </c>
      <c r="C43" s="16">
        <v>35.1</v>
      </c>
      <c r="D43" s="16">
        <v>14</v>
      </c>
      <c r="E43" s="16">
        <f t="shared" si="0"/>
        <v>21.1</v>
      </c>
    </row>
    <row r="44" spans="2:5" x14ac:dyDescent="0.25">
      <c r="B44" s="22">
        <v>1922</v>
      </c>
      <c r="C44" s="16">
        <v>35</v>
      </c>
      <c r="D44" s="16">
        <v>13.6</v>
      </c>
      <c r="E44" s="16">
        <f t="shared" si="0"/>
        <v>21.4</v>
      </c>
    </row>
    <row r="45" spans="2:5" x14ac:dyDescent="0.25">
      <c r="B45" s="22">
        <v>1923</v>
      </c>
      <c r="C45" s="16">
        <v>34.9</v>
      </c>
      <c r="D45" s="16">
        <v>13.4</v>
      </c>
      <c r="E45" s="16">
        <f t="shared" si="0"/>
        <v>21.5</v>
      </c>
    </row>
    <row r="46" spans="2:5" x14ac:dyDescent="0.25">
      <c r="B46" s="22">
        <v>1924</v>
      </c>
      <c r="C46" s="16">
        <v>34.9</v>
      </c>
      <c r="D46" s="16">
        <v>13.4</v>
      </c>
      <c r="E46" s="16">
        <f t="shared" si="0"/>
        <v>21.5</v>
      </c>
    </row>
    <row r="47" spans="2:5" x14ac:dyDescent="0.25">
      <c r="B47" s="22">
        <v>1925</v>
      </c>
      <c r="C47" s="16">
        <v>34.799999999999997</v>
      </c>
      <c r="D47" s="16">
        <v>13.6</v>
      </c>
      <c r="E47" s="16">
        <f t="shared" si="0"/>
        <v>21.199999999999996</v>
      </c>
    </row>
    <row r="48" spans="2:5" x14ac:dyDescent="0.25">
      <c r="B48" s="22">
        <v>1926</v>
      </c>
      <c r="C48" s="16">
        <v>34.700000000000003</v>
      </c>
      <c r="D48" s="16">
        <v>13.7</v>
      </c>
      <c r="E48" s="16">
        <f t="shared" si="0"/>
        <v>21.000000000000004</v>
      </c>
    </row>
    <row r="49" spans="2:5" x14ac:dyDescent="0.25">
      <c r="B49" s="22">
        <v>1927</v>
      </c>
      <c r="C49" s="16">
        <v>34.4</v>
      </c>
      <c r="D49" s="16">
        <v>13.6</v>
      </c>
      <c r="E49" s="16">
        <f t="shared" si="0"/>
        <v>20.799999999999997</v>
      </c>
    </row>
    <row r="50" spans="2:5" x14ac:dyDescent="0.25">
      <c r="B50" s="22">
        <v>1928</v>
      </c>
      <c r="C50" s="16">
        <v>33.9</v>
      </c>
      <c r="D50" s="16">
        <v>13.4</v>
      </c>
      <c r="E50" s="16">
        <f t="shared" si="0"/>
        <v>20.5</v>
      </c>
    </row>
    <row r="51" spans="2:5" x14ac:dyDescent="0.25">
      <c r="B51" s="22">
        <v>1929</v>
      </c>
      <c r="C51" s="16">
        <v>33.299999999999997</v>
      </c>
      <c r="D51" s="16">
        <v>13.1</v>
      </c>
      <c r="E51" s="16">
        <f t="shared" si="0"/>
        <v>20.199999999999996</v>
      </c>
    </row>
    <row r="52" spans="2:5" x14ac:dyDescent="0.25">
      <c r="B52" s="22">
        <v>1930</v>
      </c>
      <c r="C52" s="16">
        <v>32.6</v>
      </c>
      <c r="D52" s="16">
        <v>12.6</v>
      </c>
      <c r="E52" s="16">
        <f t="shared" si="0"/>
        <v>20</v>
      </c>
    </row>
    <row r="53" spans="2:5" x14ac:dyDescent="0.25">
      <c r="B53" s="22">
        <v>1931</v>
      </c>
      <c r="C53" s="16">
        <v>31.8</v>
      </c>
      <c r="D53" s="16">
        <v>12.3</v>
      </c>
      <c r="E53" s="16">
        <f t="shared" si="0"/>
        <v>19.5</v>
      </c>
    </row>
    <row r="54" spans="2:5" x14ac:dyDescent="0.25">
      <c r="B54" s="22">
        <v>1932</v>
      </c>
      <c r="C54" s="16">
        <v>31</v>
      </c>
      <c r="D54" s="16">
        <v>12.1</v>
      </c>
      <c r="E54" s="16">
        <f t="shared" si="0"/>
        <v>18.899999999999999</v>
      </c>
    </row>
    <row r="55" spans="2:5" x14ac:dyDescent="0.25">
      <c r="B55" s="22">
        <v>1933</v>
      </c>
      <c r="C55" s="16">
        <v>30.1</v>
      </c>
      <c r="D55" s="16">
        <v>12</v>
      </c>
      <c r="E55" s="16">
        <f t="shared" si="0"/>
        <v>18.100000000000001</v>
      </c>
    </row>
    <row r="56" spans="2:5" x14ac:dyDescent="0.25">
      <c r="B56" s="22">
        <v>1934</v>
      </c>
      <c r="C56" s="16">
        <v>29.1</v>
      </c>
      <c r="D56" s="16">
        <v>12</v>
      </c>
      <c r="E56" s="16">
        <f t="shared" si="0"/>
        <v>17.100000000000001</v>
      </c>
    </row>
    <row r="57" spans="2:5" x14ac:dyDescent="0.25">
      <c r="B57" s="22">
        <v>1935</v>
      </c>
      <c r="C57" s="16">
        <v>28.1</v>
      </c>
      <c r="D57" s="16">
        <v>12.2</v>
      </c>
      <c r="E57" s="16">
        <f t="shared" si="0"/>
        <v>15.900000000000002</v>
      </c>
    </row>
    <row r="58" spans="2:5" x14ac:dyDescent="0.25">
      <c r="B58" s="22">
        <v>1936</v>
      </c>
      <c r="C58" s="16">
        <v>27.3</v>
      </c>
      <c r="D58" s="16">
        <v>12.2</v>
      </c>
      <c r="E58" s="16">
        <f t="shared" si="0"/>
        <v>15.100000000000001</v>
      </c>
    </row>
    <row r="59" spans="2:5" x14ac:dyDescent="0.25">
      <c r="B59" s="22">
        <v>1937</v>
      </c>
      <c r="C59" s="16">
        <v>26.7</v>
      </c>
      <c r="D59" s="16">
        <v>12.1</v>
      </c>
      <c r="E59" s="16">
        <f t="shared" si="0"/>
        <v>14.6</v>
      </c>
    </row>
    <row r="60" spans="2:5" x14ac:dyDescent="0.25">
      <c r="B60" s="22">
        <v>1938</v>
      </c>
      <c r="C60" s="16">
        <v>26.3</v>
      </c>
      <c r="D60" s="16">
        <v>11.9</v>
      </c>
      <c r="E60" s="16">
        <f t="shared" si="0"/>
        <v>14.4</v>
      </c>
    </row>
    <row r="61" spans="2:5" x14ac:dyDescent="0.25">
      <c r="B61" s="22">
        <v>1939</v>
      </c>
      <c r="C61" s="16">
        <v>26.1</v>
      </c>
      <c r="D61" s="16">
        <v>11.6</v>
      </c>
      <c r="E61" s="16">
        <f t="shared" si="0"/>
        <v>14.500000000000002</v>
      </c>
    </row>
    <row r="62" spans="2:5" x14ac:dyDescent="0.25">
      <c r="B62" s="22">
        <v>1940</v>
      </c>
      <c r="C62" s="16">
        <v>26.1</v>
      </c>
      <c r="D62" s="16">
        <v>11.1</v>
      </c>
      <c r="E62" s="16">
        <f t="shared" si="0"/>
        <v>15.000000000000002</v>
      </c>
    </row>
    <row r="63" spans="2:5" x14ac:dyDescent="0.25">
      <c r="B63" s="22">
        <v>1941</v>
      </c>
      <c r="C63" s="16">
        <v>26.1</v>
      </c>
      <c r="D63" s="16">
        <v>10.8</v>
      </c>
      <c r="E63" s="16">
        <f t="shared" si="0"/>
        <v>15.3</v>
      </c>
    </row>
    <row r="64" spans="2:5" x14ac:dyDescent="0.25">
      <c r="B64" s="22">
        <v>1942</v>
      </c>
      <c r="C64" s="16">
        <v>26.1</v>
      </c>
      <c r="D64" s="16">
        <v>10.4</v>
      </c>
      <c r="E64" s="16">
        <f t="shared" si="0"/>
        <v>15.700000000000001</v>
      </c>
    </row>
    <row r="65" spans="2:5" x14ac:dyDescent="0.25">
      <c r="B65" s="22">
        <v>1943</v>
      </c>
      <c r="C65" s="16">
        <v>26.1</v>
      </c>
      <c r="D65" s="16">
        <v>10.199999999999999</v>
      </c>
      <c r="E65" s="16">
        <f t="shared" si="0"/>
        <v>15.900000000000002</v>
      </c>
    </row>
    <row r="66" spans="2:5" x14ac:dyDescent="0.25">
      <c r="B66" s="22">
        <v>1944</v>
      </c>
      <c r="C66" s="16">
        <v>26.2</v>
      </c>
      <c r="D66" s="16">
        <v>10</v>
      </c>
      <c r="E66" s="16">
        <f t="shared" si="0"/>
        <v>16.2</v>
      </c>
    </row>
    <row r="67" spans="2:5" x14ac:dyDescent="0.25">
      <c r="B67" s="22">
        <v>1945</v>
      </c>
      <c r="C67" s="16">
        <v>26.3</v>
      </c>
      <c r="D67" s="16">
        <v>9.9</v>
      </c>
      <c r="E67" s="16">
        <f t="shared" ref="E67:E130" si="1">C67-D67</f>
        <v>16.399999999999999</v>
      </c>
    </row>
    <row r="68" spans="2:5" x14ac:dyDescent="0.25">
      <c r="B68" s="22">
        <v>1946</v>
      </c>
      <c r="C68" s="16">
        <v>26.4</v>
      </c>
      <c r="D68" s="16">
        <v>9.8000000000000007</v>
      </c>
      <c r="E68" s="16">
        <f t="shared" si="1"/>
        <v>16.599999999999998</v>
      </c>
    </row>
    <row r="69" spans="2:5" x14ac:dyDescent="0.25">
      <c r="B69" s="22">
        <v>1947</v>
      </c>
      <c r="C69" s="16">
        <v>26.4</v>
      </c>
      <c r="D69" s="16">
        <v>9.6</v>
      </c>
      <c r="E69" s="16">
        <f t="shared" si="1"/>
        <v>16.799999999999997</v>
      </c>
    </row>
    <row r="70" spans="2:5" x14ac:dyDescent="0.25">
      <c r="B70" s="22">
        <v>1948</v>
      </c>
      <c r="C70" s="16">
        <v>26.5</v>
      </c>
      <c r="D70" s="16">
        <v>9.5</v>
      </c>
      <c r="E70" s="16">
        <f t="shared" si="1"/>
        <v>17</v>
      </c>
    </row>
    <row r="71" spans="2:5" x14ac:dyDescent="0.25">
      <c r="B71" s="22">
        <v>1949</v>
      </c>
      <c r="C71" s="16">
        <v>26.5</v>
      </c>
      <c r="D71" s="16">
        <v>9.3000000000000007</v>
      </c>
      <c r="E71" s="16">
        <f t="shared" si="1"/>
        <v>17.2</v>
      </c>
    </row>
    <row r="72" spans="2:5" x14ac:dyDescent="0.25">
      <c r="B72" s="22">
        <v>1950</v>
      </c>
      <c r="C72" s="16">
        <v>26.4</v>
      </c>
      <c r="D72" s="16">
        <v>9.1</v>
      </c>
      <c r="E72" s="16">
        <f t="shared" si="1"/>
        <v>17.299999999999997</v>
      </c>
    </row>
    <row r="73" spans="2:5" x14ac:dyDescent="0.25">
      <c r="B73" s="22">
        <v>1951</v>
      </c>
      <c r="C73" s="16">
        <v>26.3</v>
      </c>
      <c r="D73" s="16">
        <v>8.9</v>
      </c>
      <c r="E73" s="16">
        <f t="shared" si="1"/>
        <v>17.399999999999999</v>
      </c>
    </row>
    <row r="74" spans="2:5" x14ac:dyDescent="0.25">
      <c r="B74" s="22">
        <v>1952</v>
      </c>
      <c r="C74" s="16">
        <v>26.2</v>
      </c>
      <c r="D74" s="16">
        <v>8.8000000000000007</v>
      </c>
      <c r="E74" s="16">
        <f t="shared" si="1"/>
        <v>17.399999999999999</v>
      </c>
    </row>
    <row r="75" spans="2:5" x14ac:dyDescent="0.25">
      <c r="B75" s="22">
        <v>1953</v>
      </c>
      <c r="C75" s="16">
        <v>25.9</v>
      </c>
      <c r="D75" s="16">
        <v>8.6999999999999993</v>
      </c>
      <c r="E75" s="16">
        <f t="shared" si="1"/>
        <v>17.2</v>
      </c>
    </row>
    <row r="76" spans="2:5" x14ac:dyDescent="0.25">
      <c r="B76" s="22">
        <v>1954</v>
      </c>
      <c r="C76" s="16">
        <v>25.6</v>
      </c>
      <c r="D76" s="16">
        <v>8.6999999999999993</v>
      </c>
      <c r="E76" s="16">
        <f t="shared" si="1"/>
        <v>16.900000000000002</v>
      </c>
    </row>
    <row r="77" spans="2:5" x14ac:dyDescent="0.25">
      <c r="B77" s="22">
        <v>1955</v>
      </c>
      <c r="C77" s="16">
        <v>25.2</v>
      </c>
      <c r="D77" s="16">
        <v>8.6999999999999993</v>
      </c>
      <c r="E77" s="16">
        <f t="shared" si="1"/>
        <v>16.5</v>
      </c>
    </row>
    <row r="78" spans="2:5" x14ac:dyDescent="0.25">
      <c r="B78" s="22">
        <v>1956</v>
      </c>
      <c r="C78" s="16">
        <v>24.9</v>
      </c>
      <c r="D78" s="16">
        <v>8.6</v>
      </c>
      <c r="E78" s="16">
        <f t="shared" si="1"/>
        <v>16.299999999999997</v>
      </c>
    </row>
    <row r="79" spans="2:5" x14ac:dyDescent="0.25">
      <c r="B79" s="22">
        <v>1957</v>
      </c>
      <c r="C79" s="16">
        <v>24.6</v>
      </c>
      <c r="D79" s="16">
        <v>8.8000000000000007</v>
      </c>
      <c r="E79" s="16">
        <f t="shared" si="1"/>
        <v>15.8</v>
      </c>
    </row>
    <row r="80" spans="2:5" x14ac:dyDescent="0.25">
      <c r="B80" s="22">
        <v>1958</v>
      </c>
      <c r="C80" s="16">
        <v>24.2</v>
      </c>
      <c r="D80" s="16">
        <v>8.5</v>
      </c>
      <c r="E80" s="16">
        <f t="shared" si="1"/>
        <v>15.7</v>
      </c>
    </row>
    <row r="81" spans="2:5" x14ac:dyDescent="0.25">
      <c r="B81" s="22">
        <v>1959</v>
      </c>
      <c r="C81" s="16">
        <v>24.2</v>
      </c>
      <c r="D81" s="16">
        <v>8.6</v>
      </c>
      <c r="E81" s="16">
        <f t="shared" si="1"/>
        <v>15.6</v>
      </c>
    </row>
    <row r="82" spans="2:5" x14ac:dyDescent="0.25">
      <c r="B82" s="22">
        <v>1960</v>
      </c>
      <c r="C82" s="16">
        <v>24.1</v>
      </c>
      <c r="D82" s="16">
        <v>8.6999999999999993</v>
      </c>
      <c r="E82" s="16">
        <f t="shared" si="1"/>
        <v>15.400000000000002</v>
      </c>
    </row>
    <row r="83" spans="2:5" x14ac:dyDescent="0.25">
      <c r="B83" s="22">
        <v>1961</v>
      </c>
      <c r="C83" s="16">
        <v>23.8</v>
      </c>
      <c r="D83" s="16">
        <v>8.5</v>
      </c>
      <c r="E83" s="16">
        <f t="shared" si="1"/>
        <v>15.3</v>
      </c>
    </row>
    <row r="84" spans="2:5" x14ac:dyDescent="0.25">
      <c r="B84" s="22">
        <v>1962</v>
      </c>
      <c r="C84" s="16">
        <v>23.8</v>
      </c>
      <c r="D84" s="16">
        <v>8.6999999999999993</v>
      </c>
      <c r="E84" s="16">
        <f t="shared" si="1"/>
        <v>15.100000000000001</v>
      </c>
    </row>
    <row r="85" spans="2:5" x14ac:dyDescent="0.25">
      <c r="B85" s="22">
        <v>1963</v>
      </c>
      <c r="C85" s="16">
        <v>23.5</v>
      </c>
      <c r="D85" s="16">
        <v>8.6999999999999993</v>
      </c>
      <c r="E85" s="16">
        <f t="shared" si="1"/>
        <v>14.8</v>
      </c>
    </row>
    <row r="86" spans="2:5" x14ac:dyDescent="0.25">
      <c r="B86" s="22">
        <v>1964</v>
      </c>
      <c r="C86" s="16">
        <v>23.2</v>
      </c>
      <c r="D86" s="16">
        <v>8.9</v>
      </c>
      <c r="E86" s="16">
        <f t="shared" si="1"/>
        <v>14.299999999999999</v>
      </c>
    </row>
    <row r="87" spans="2:5" x14ac:dyDescent="0.25">
      <c r="B87" s="22">
        <v>1965</v>
      </c>
      <c r="C87" s="16">
        <v>22.6</v>
      </c>
      <c r="D87" s="16">
        <v>8.8000000000000007</v>
      </c>
      <c r="E87" s="16">
        <f t="shared" si="1"/>
        <v>13.8</v>
      </c>
    </row>
    <row r="88" spans="2:5" x14ac:dyDescent="0.25">
      <c r="B88" s="22">
        <v>1966</v>
      </c>
      <c r="C88" s="16">
        <v>22.3</v>
      </c>
      <c r="D88" s="16">
        <v>8.8000000000000007</v>
      </c>
      <c r="E88" s="16">
        <f t="shared" si="1"/>
        <v>13.5</v>
      </c>
    </row>
    <row r="89" spans="2:5" x14ac:dyDescent="0.25">
      <c r="B89" s="22">
        <v>1967</v>
      </c>
      <c r="C89" s="16">
        <v>22.4</v>
      </c>
      <c r="D89" s="16">
        <v>8.9</v>
      </c>
      <c r="E89" s="16">
        <f t="shared" si="1"/>
        <v>13.499999999999998</v>
      </c>
    </row>
    <row r="90" spans="2:5" x14ac:dyDescent="0.25">
      <c r="B90" s="22">
        <v>1968</v>
      </c>
      <c r="C90" s="16">
        <v>22.7</v>
      </c>
      <c r="D90" s="16">
        <v>9.1999999999999993</v>
      </c>
      <c r="E90" s="16">
        <f t="shared" si="1"/>
        <v>13.5</v>
      </c>
    </row>
    <row r="91" spans="2:5" x14ac:dyDescent="0.25">
      <c r="B91" s="22">
        <v>1969</v>
      </c>
      <c r="C91" s="16">
        <v>23</v>
      </c>
      <c r="D91" s="16">
        <v>9.5</v>
      </c>
      <c r="E91" s="16">
        <f t="shared" si="1"/>
        <v>13.5</v>
      </c>
    </row>
    <row r="92" spans="2:5" x14ac:dyDescent="0.25">
      <c r="B92" s="22">
        <v>1970</v>
      </c>
      <c r="C92" s="16">
        <v>23.4</v>
      </c>
      <c r="D92" s="16">
        <v>9.1999999999999993</v>
      </c>
      <c r="E92" s="16">
        <f t="shared" si="1"/>
        <v>14.2</v>
      </c>
    </row>
    <row r="93" spans="2:5" x14ac:dyDescent="0.25">
      <c r="B93" s="22">
        <v>1971</v>
      </c>
      <c r="C93" s="16">
        <v>23.6</v>
      </c>
      <c r="D93" s="16">
        <v>9.4</v>
      </c>
      <c r="E93" s="16">
        <f t="shared" si="1"/>
        <v>14.200000000000001</v>
      </c>
    </row>
    <row r="94" spans="2:5" x14ac:dyDescent="0.25">
      <c r="B94" s="22">
        <v>1972</v>
      </c>
      <c r="C94" s="16">
        <v>23.8</v>
      </c>
      <c r="D94" s="16">
        <v>9.3000000000000007</v>
      </c>
      <c r="E94" s="16">
        <f t="shared" si="1"/>
        <v>14.5</v>
      </c>
    </row>
    <row r="95" spans="2:5" x14ac:dyDescent="0.25">
      <c r="B95" s="22">
        <v>1973</v>
      </c>
      <c r="C95" s="16">
        <v>24.1</v>
      </c>
      <c r="D95" s="16">
        <v>9.3000000000000007</v>
      </c>
      <c r="E95" s="16">
        <f t="shared" si="1"/>
        <v>14.8</v>
      </c>
    </row>
    <row r="96" spans="2:5" x14ac:dyDescent="0.25">
      <c r="B96" s="22">
        <v>1974</v>
      </c>
      <c r="C96" s="16">
        <v>24.5</v>
      </c>
      <c r="D96" s="16">
        <v>9.3000000000000007</v>
      </c>
      <c r="E96" s="16">
        <f t="shared" si="1"/>
        <v>15.2</v>
      </c>
    </row>
    <row r="97" spans="2:5" x14ac:dyDescent="0.25">
      <c r="B97" s="22">
        <v>1975</v>
      </c>
      <c r="C97" s="16">
        <v>24.9</v>
      </c>
      <c r="D97" s="16">
        <v>9.1</v>
      </c>
      <c r="E97" s="16">
        <f t="shared" si="1"/>
        <v>15.799999999999999</v>
      </c>
    </row>
    <row r="98" spans="2:5" x14ac:dyDescent="0.25">
      <c r="B98" s="22">
        <v>1976</v>
      </c>
      <c r="C98" s="16">
        <v>25.2</v>
      </c>
      <c r="D98" s="16">
        <v>9.1999999999999993</v>
      </c>
      <c r="E98" s="16">
        <f t="shared" si="1"/>
        <v>16</v>
      </c>
    </row>
    <row r="99" spans="2:5" x14ac:dyDescent="0.25">
      <c r="B99" s="22">
        <v>1977</v>
      </c>
      <c r="C99" s="16">
        <v>25.5</v>
      </c>
      <c r="D99" s="16">
        <v>8.9</v>
      </c>
      <c r="E99" s="16">
        <f t="shared" si="1"/>
        <v>16.600000000000001</v>
      </c>
    </row>
    <row r="100" spans="2:5" x14ac:dyDescent="0.25">
      <c r="B100" s="22">
        <v>1978</v>
      </c>
      <c r="C100" s="16">
        <v>25.4</v>
      </c>
      <c r="D100" s="16">
        <v>8.9</v>
      </c>
      <c r="E100" s="16">
        <f t="shared" si="1"/>
        <v>16.5</v>
      </c>
    </row>
    <row r="101" spans="2:5" x14ac:dyDescent="0.25">
      <c r="B101" s="22">
        <v>1979</v>
      </c>
      <c r="C101" s="16">
        <v>25.1</v>
      </c>
      <c r="D101" s="16">
        <v>8.8000000000000007</v>
      </c>
      <c r="E101" s="16">
        <f t="shared" si="1"/>
        <v>16.3</v>
      </c>
    </row>
    <row r="102" spans="2:5" x14ac:dyDescent="0.25">
      <c r="B102" s="22">
        <v>1980</v>
      </c>
      <c r="C102" s="16">
        <v>24.7</v>
      </c>
      <c r="D102" s="16">
        <v>8.9</v>
      </c>
      <c r="E102" s="16">
        <f t="shared" si="1"/>
        <v>15.799999999999999</v>
      </c>
    </row>
    <row r="103" spans="2:5" x14ac:dyDescent="0.25">
      <c r="B103" s="22">
        <v>1981</v>
      </c>
      <c r="C103" s="16">
        <v>24.3</v>
      </c>
      <c r="D103" s="16">
        <v>8.6999999999999993</v>
      </c>
      <c r="E103" s="16">
        <f t="shared" si="1"/>
        <v>15.600000000000001</v>
      </c>
    </row>
    <row r="104" spans="2:5" x14ac:dyDescent="0.25">
      <c r="B104" s="22">
        <v>1982</v>
      </c>
      <c r="C104" s="16">
        <v>23.8</v>
      </c>
      <c r="D104" s="16">
        <v>8.8000000000000007</v>
      </c>
      <c r="E104" s="16">
        <f t="shared" si="1"/>
        <v>15</v>
      </c>
    </row>
    <row r="105" spans="2:5" x14ac:dyDescent="0.25">
      <c r="B105" s="22">
        <v>1983</v>
      </c>
      <c r="C105" s="16">
        <v>23.3</v>
      </c>
      <c r="D105" s="16">
        <v>8.8000000000000007</v>
      </c>
      <c r="E105" s="16">
        <f t="shared" si="1"/>
        <v>14.5</v>
      </c>
    </row>
    <row r="106" spans="2:5" x14ac:dyDescent="0.25">
      <c r="B106" s="22">
        <v>1984</v>
      </c>
      <c r="C106" s="16">
        <v>23</v>
      </c>
      <c r="D106" s="16">
        <v>8.8000000000000007</v>
      </c>
      <c r="E106" s="16">
        <f t="shared" si="1"/>
        <v>14.2</v>
      </c>
    </row>
    <row r="107" spans="2:5" x14ac:dyDescent="0.25">
      <c r="B107" s="22">
        <v>1985</v>
      </c>
      <c r="C107" s="16">
        <v>22.5</v>
      </c>
      <c r="D107" s="16">
        <v>8.4</v>
      </c>
      <c r="E107" s="16">
        <f t="shared" si="1"/>
        <v>14.1</v>
      </c>
    </row>
    <row r="108" spans="2:5" x14ac:dyDescent="0.25">
      <c r="B108" s="22">
        <v>1986</v>
      </c>
      <c r="C108" s="16">
        <v>22.4</v>
      </c>
      <c r="D108" s="16">
        <v>8.1999999999999993</v>
      </c>
      <c r="E108" s="16">
        <f t="shared" si="1"/>
        <v>14.2</v>
      </c>
    </row>
    <row r="109" spans="2:5" x14ac:dyDescent="0.25">
      <c r="B109" s="22">
        <v>1987</v>
      </c>
      <c r="C109" s="16">
        <v>22.2</v>
      </c>
      <c r="D109" s="16">
        <v>8</v>
      </c>
      <c r="E109" s="16">
        <f t="shared" si="1"/>
        <v>14.2</v>
      </c>
    </row>
    <row r="110" spans="2:5" x14ac:dyDescent="0.25">
      <c r="B110" s="22">
        <v>1988</v>
      </c>
      <c r="C110" s="16">
        <v>22.2</v>
      </c>
      <c r="D110" s="16">
        <v>7.9</v>
      </c>
      <c r="E110" s="16">
        <f t="shared" si="1"/>
        <v>14.299999999999999</v>
      </c>
    </row>
    <row r="111" spans="2:5" x14ac:dyDescent="0.25">
      <c r="B111" s="22">
        <v>1989</v>
      </c>
      <c r="C111" s="16">
        <v>22</v>
      </c>
      <c r="D111" s="16">
        <v>7.7</v>
      </c>
      <c r="E111" s="16">
        <f t="shared" si="1"/>
        <v>14.3</v>
      </c>
    </row>
    <row r="112" spans="2:5" x14ac:dyDescent="0.25">
      <c r="B112" s="22">
        <v>1990</v>
      </c>
      <c r="C112" s="16">
        <v>22.1</v>
      </c>
      <c r="D112" s="16">
        <v>7.8</v>
      </c>
      <c r="E112" s="16">
        <f t="shared" si="1"/>
        <v>14.3</v>
      </c>
    </row>
    <row r="113" spans="2:5" x14ac:dyDescent="0.25">
      <c r="B113" s="22">
        <v>1991</v>
      </c>
      <c r="C113" s="16">
        <v>21.9</v>
      </c>
      <c r="D113" s="16">
        <v>7.6</v>
      </c>
      <c r="E113" s="16">
        <f t="shared" si="1"/>
        <v>14.299999999999999</v>
      </c>
    </row>
    <row r="114" spans="2:5" x14ac:dyDescent="0.25">
      <c r="B114" s="22">
        <v>1992</v>
      </c>
      <c r="C114" s="16">
        <v>21.7</v>
      </c>
      <c r="D114" s="16">
        <v>7.7</v>
      </c>
      <c r="E114" s="16">
        <f t="shared" si="1"/>
        <v>14</v>
      </c>
    </row>
    <row r="115" spans="2:5" x14ac:dyDescent="0.25">
      <c r="B115" s="22">
        <v>1993</v>
      </c>
      <c r="C115" s="16">
        <v>21.6</v>
      </c>
      <c r="D115" s="16">
        <v>7.7</v>
      </c>
      <c r="E115" s="16">
        <f t="shared" si="1"/>
        <v>13.900000000000002</v>
      </c>
    </row>
    <row r="116" spans="2:5" x14ac:dyDescent="0.25">
      <c r="B116" s="22">
        <v>1994</v>
      </c>
      <c r="C116" s="16">
        <v>21.4</v>
      </c>
      <c r="D116" s="16">
        <v>7.5</v>
      </c>
      <c r="E116" s="16">
        <f t="shared" si="1"/>
        <v>13.899999999999999</v>
      </c>
    </row>
    <row r="117" spans="2:5" x14ac:dyDescent="0.25">
      <c r="B117" s="22">
        <v>1995</v>
      </c>
      <c r="C117" s="16">
        <v>21</v>
      </c>
      <c r="D117" s="16">
        <v>7.6</v>
      </c>
      <c r="E117" s="16">
        <f t="shared" si="1"/>
        <v>13.4</v>
      </c>
    </row>
    <row r="118" spans="2:5" x14ac:dyDescent="0.25">
      <c r="B118" s="22">
        <v>1996</v>
      </c>
      <c r="C118" s="16">
        <v>20.399999999999999</v>
      </c>
      <c r="D118" s="16">
        <v>7.5</v>
      </c>
      <c r="E118" s="16">
        <f t="shared" si="1"/>
        <v>12.899999999999999</v>
      </c>
    </row>
    <row r="119" spans="2:5" x14ac:dyDescent="0.25">
      <c r="B119" s="22">
        <v>1997</v>
      </c>
      <c r="C119" s="16">
        <v>20</v>
      </c>
      <c r="D119" s="16">
        <v>7.4</v>
      </c>
      <c r="E119" s="16">
        <f t="shared" si="1"/>
        <v>12.6</v>
      </c>
    </row>
    <row r="120" spans="2:5" x14ac:dyDescent="0.25">
      <c r="B120" s="22">
        <v>1998</v>
      </c>
      <c r="C120" s="16">
        <v>19.7</v>
      </c>
      <c r="D120" s="16">
        <v>7.6</v>
      </c>
      <c r="E120" s="16">
        <f t="shared" si="1"/>
        <v>12.1</v>
      </c>
    </row>
    <row r="121" spans="2:5" x14ac:dyDescent="0.25">
      <c r="B121" s="22">
        <v>1999</v>
      </c>
      <c r="C121" s="16">
        <v>19.600000000000001</v>
      </c>
      <c r="D121" s="16">
        <v>7.6</v>
      </c>
      <c r="E121" s="16">
        <f t="shared" si="1"/>
        <v>12.000000000000002</v>
      </c>
    </row>
    <row r="122" spans="2:5" x14ac:dyDescent="0.25">
      <c r="B122" s="22">
        <v>2000</v>
      </c>
      <c r="C122" s="16">
        <v>19.3</v>
      </c>
      <c r="D122" s="16">
        <v>7.6</v>
      </c>
      <c r="E122" s="16">
        <f t="shared" si="1"/>
        <v>11.700000000000001</v>
      </c>
    </row>
    <row r="123" spans="2:5" x14ac:dyDescent="0.25">
      <c r="B123" s="22">
        <v>2001</v>
      </c>
      <c r="C123" s="16">
        <v>18.899999999999999</v>
      </c>
      <c r="D123" s="16">
        <v>7.5</v>
      </c>
      <c r="E123" s="16">
        <f t="shared" si="1"/>
        <v>11.399999999999999</v>
      </c>
    </row>
    <row r="124" spans="2:5" x14ac:dyDescent="0.25">
      <c r="B124" s="22">
        <v>2002</v>
      </c>
      <c r="C124" s="16">
        <v>18.7</v>
      </c>
      <c r="D124" s="16">
        <v>7.5</v>
      </c>
      <c r="E124" s="16">
        <f t="shared" si="1"/>
        <v>11.2</v>
      </c>
    </row>
    <row r="125" spans="2:5" x14ac:dyDescent="0.25">
      <c r="B125" s="22">
        <v>2003</v>
      </c>
      <c r="C125" s="16">
        <v>18.399999999999999</v>
      </c>
      <c r="D125" s="16">
        <v>7.7</v>
      </c>
      <c r="E125" s="16">
        <f t="shared" si="1"/>
        <v>10.7</v>
      </c>
    </row>
    <row r="126" spans="2:5" x14ac:dyDescent="0.25">
      <c r="B126" s="22">
        <v>2004</v>
      </c>
      <c r="C126" s="16">
        <v>18.3</v>
      </c>
      <c r="D126" s="16">
        <v>7.5</v>
      </c>
      <c r="E126" s="16">
        <f t="shared" si="1"/>
        <v>10.8</v>
      </c>
    </row>
    <row r="127" spans="2:5" x14ac:dyDescent="0.25">
      <c r="B127" s="22">
        <v>2005</v>
      </c>
      <c r="C127" s="16">
        <v>18.3</v>
      </c>
      <c r="D127" s="16">
        <v>7.4</v>
      </c>
      <c r="E127" s="16">
        <f t="shared" si="1"/>
        <v>10.9</v>
      </c>
    </row>
    <row r="128" spans="2:5" x14ac:dyDescent="0.25">
      <c r="B128" s="22">
        <v>2006</v>
      </c>
      <c r="C128" s="16">
        <v>18.2</v>
      </c>
      <c r="D128" s="16">
        <v>7.4</v>
      </c>
      <c r="E128" s="16">
        <f t="shared" si="1"/>
        <v>10.799999999999999</v>
      </c>
    </row>
    <row r="129" spans="2:5" x14ac:dyDescent="0.25">
      <c r="B129" s="22">
        <v>2007</v>
      </c>
      <c r="C129" s="16">
        <v>18</v>
      </c>
      <c r="D129" s="16">
        <v>7.9</v>
      </c>
      <c r="E129" s="16">
        <f t="shared" si="1"/>
        <v>10.1</v>
      </c>
    </row>
    <row r="130" spans="2:5" x14ac:dyDescent="0.25">
      <c r="B130" s="22">
        <v>2008</v>
      </c>
      <c r="C130" s="16">
        <v>18.5</v>
      </c>
      <c r="D130" s="16">
        <v>7.5</v>
      </c>
      <c r="E130" s="16">
        <f t="shared" si="1"/>
        <v>11</v>
      </c>
    </row>
    <row r="131" spans="2:5" x14ac:dyDescent="0.25">
      <c r="B131" s="22">
        <v>2009</v>
      </c>
      <c r="C131" s="16">
        <v>18.2</v>
      </c>
      <c r="D131" s="16">
        <v>7.5</v>
      </c>
      <c r="E131" s="16">
        <f t="shared" ref="E131:E145" si="2">C131-D131</f>
        <v>10.7</v>
      </c>
    </row>
    <row r="132" spans="2:5" x14ac:dyDescent="0.25">
      <c r="B132" s="22">
        <v>2010</v>
      </c>
      <c r="C132" s="16">
        <v>18.3</v>
      </c>
      <c r="D132" s="16">
        <v>7.6</v>
      </c>
      <c r="E132" s="16">
        <f t="shared" si="2"/>
        <v>10.700000000000001</v>
      </c>
    </row>
    <row r="133" spans="2:5" x14ac:dyDescent="0.25">
      <c r="B133" s="22">
        <v>2011</v>
      </c>
      <c r="C133" s="16">
        <v>18.2</v>
      </c>
      <c r="D133" s="16">
        <v>7.4</v>
      </c>
      <c r="E133" s="16">
        <f t="shared" si="2"/>
        <v>10.799999999999999</v>
      </c>
    </row>
    <row r="134" spans="2:5" x14ac:dyDescent="0.25">
      <c r="B134" s="22">
        <v>2012</v>
      </c>
      <c r="C134" s="16">
        <v>17.5</v>
      </c>
      <c r="D134" s="16">
        <v>7.7</v>
      </c>
      <c r="E134" s="16">
        <f t="shared" si="2"/>
        <v>9.8000000000000007</v>
      </c>
    </row>
    <row r="135" spans="2:5" x14ac:dyDescent="0.25">
      <c r="B135" s="22">
        <v>2013</v>
      </c>
      <c r="C135" s="16">
        <v>17.7</v>
      </c>
      <c r="D135" s="16">
        <v>7.8</v>
      </c>
      <c r="E135" s="16">
        <f t="shared" si="2"/>
        <v>9.8999999999999986</v>
      </c>
    </row>
    <row r="136" spans="2:5" x14ac:dyDescent="0.25">
      <c r="B136" s="22">
        <v>2014</v>
      </c>
      <c r="C136" s="16">
        <v>18</v>
      </c>
      <c r="D136" s="16">
        <v>7.5</v>
      </c>
      <c r="E136" s="16">
        <f t="shared" si="2"/>
        <v>10.5</v>
      </c>
    </row>
    <row r="137" spans="2:5" x14ac:dyDescent="0.25">
      <c r="B137" s="22">
        <v>2015</v>
      </c>
      <c r="C137" s="16">
        <v>17.7</v>
      </c>
      <c r="D137" s="16">
        <v>7.4</v>
      </c>
      <c r="E137" s="16">
        <f t="shared" si="2"/>
        <v>10.299999999999999</v>
      </c>
    </row>
    <row r="138" spans="2:5" x14ac:dyDescent="0.25">
      <c r="B138" s="22">
        <v>2016</v>
      </c>
      <c r="C138" s="16">
        <v>16.8</v>
      </c>
      <c r="D138" s="16">
        <v>7.9</v>
      </c>
      <c r="E138" s="16">
        <f t="shared" si="2"/>
        <v>8.9</v>
      </c>
    </row>
    <row r="139" spans="2:5" x14ac:dyDescent="0.25">
      <c r="B139" s="22">
        <v>2017</v>
      </c>
      <c r="C139" s="16">
        <v>16.2</v>
      </c>
      <c r="D139" s="16">
        <v>7.7</v>
      </c>
      <c r="E139" s="16">
        <f t="shared" si="2"/>
        <v>8.5</v>
      </c>
    </row>
    <row r="140" spans="2:5" x14ac:dyDescent="0.25">
      <c r="B140" s="22">
        <v>2018</v>
      </c>
      <c r="C140" s="16">
        <v>15.3</v>
      </c>
      <c r="D140" s="16">
        <v>7.6</v>
      </c>
      <c r="E140" s="16">
        <f t="shared" si="2"/>
        <v>7.7000000000000011</v>
      </c>
    </row>
    <row r="141" spans="2:5" x14ac:dyDescent="0.25">
      <c r="B141" s="22">
        <v>2019</v>
      </c>
      <c r="C141" s="16">
        <v>13.9</v>
      </c>
      <c r="D141" s="16">
        <v>7.7</v>
      </c>
      <c r="E141" s="16">
        <f t="shared" si="2"/>
        <v>6.2</v>
      </c>
    </row>
    <row r="142" spans="2:5" x14ac:dyDescent="0.25">
      <c r="B142" s="22">
        <v>2020</v>
      </c>
      <c r="C142" s="16">
        <v>11.8</v>
      </c>
      <c r="D142" s="16">
        <v>8.5</v>
      </c>
      <c r="E142" s="16">
        <f t="shared" si="2"/>
        <v>3.3000000000000007</v>
      </c>
    </row>
    <row r="143" spans="2:5" x14ac:dyDescent="0.25">
      <c r="B143" s="22">
        <v>2021</v>
      </c>
      <c r="C143" s="16">
        <v>11.7</v>
      </c>
      <c r="D143" s="16">
        <v>9.6999999999999993</v>
      </c>
      <c r="E143" s="16">
        <f t="shared" si="2"/>
        <v>2</v>
      </c>
    </row>
    <row r="144" spans="2:5" x14ac:dyDescent="0.25">
      <c r="B144" s="22">
        <v>2022</v>
      </c>
      <c r="C144" s="16">
        <v>10.9</v>
      </c>
      <c r="D144" s="16">
        <v>8.8000000000000007</v>
      </c>
      <c r="E144" s="16">
        <f t="shared" si="2"/>
        <v>2.0999999999999996</v>
      </c>
    </row>
    <row r="145" spans="2:5" x14ac:dyDescent="0.25">
      <c r="B145" s="22">
        <v>2023</v>
      </c>
      <c r="C145" s="16">
        <v>11.1</v>
      </c>
      <c r="D145" s="16">
        <v>7.7</v>
      </c>
      <c r="E145" s="16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Y64" sqref="Y64"/>
    </sheetView>
  </sheetViews>
  <sheetFormatPr defaultRowHeight="15" x14ac:dyDescent="0.25"/>
  <cols>
    <col min="1" max="1" width="9.140625" style="1"/>
  </cols>
  <sheetData>
    <row r="1" spans="1:13" x14ac:dyDescent="0.25">
      <c r="B1" s="30" t="s">
        <v>74</v>
      </c>
      <c r="C1" s="30"/>
      <c r="D1" s="30" t="s">
        <v>75</v>
      </c>
      <c r="E1" s="30"/>
      <c r="G1" s="30" t="s">
        <v>86</v>
      </c>
      <c r="H1" s="30"/>
      <c r="J1" s="30" t="s">
        <v>87</v>
      </c>
      <c r="K1" s="30"/>
      <c r="L1" s="30"/>
      <c r="M1" s="30"/>
    </row>
    <row r="2" spans="1:13" x14ac:dyDescent="0.25">
      <c r="A2" s="17" t="s">
        <v>73</v>
      </c>
      <c r="B2" s="17" t="s">
        <v>71</v>
      </c>
      <c r="C2" s="17" t="s">
        <v>72</v>
      </c>
      <c r="D2" s="17" t="s">
        <v>76</v>
      </c>
      <c r="E2" s="17" t="s">
        <v>77</v>
      </c>
      <c r="F2" s="4" t="s">
        <v>83</v>
      </c>
      <c r="G2" s="17" t="s">
        <v>84</v>
      </c>
      <c r="H2" s="17" t="s">
        <v>85</v>
      </c>
      <c r="J2" s="17" t="s">
        <v>73</v>
      </c>
      <c r="K2" s="17" t="s">
        <v>89</v>
      </c>
      <c r="L2" s="17" t="s">
        <v>90</v>
      </c>
      <c r="M2" s="17" t="s">
        <v>88</v>
      </c>
    </row>
    <row r="3" spans="1:13" x14ac:dyDescent="0.25">
      <c r="A3" s="1">
        <v>1881</v>
      </c>
      <c r="B3" s="16">
        <v>47</v>
      </c>
      <c r="C3" s="16">
        <v>32.5</v>
      </c>
      <c r="F3" s="20">
        <f>IF(A3&lt;1950,0,IF(A3&gt;1985,1,POWER((A3-1950)/35,3)*(10-15*((A3-1950)/35)+6*POWER((A3-1950)/35,2))))</f>
        <v>0</v>
      </c>
      <c r="G3" s="16">
        <f>IF(A3&lt;1950,B3,IF(A3&gt;1985,D3,(1-$F3)*B3+$F3*D3))</f>
        <v>47</v>
      </c>
      <c r="H3" s="16">
        <f>IF(A3&lt;1950,C3,IF(A3&gt;1985,E3,(1-$F3)*C3+$F3*E3))</f>
        <v>32.5</v>
      </c>
      <c r="J3">
        <f>A3</f>
        <v>1881</v>
      </c>
      <c r="K3" s="16">
        <f>G3</f>
        <v>47</v>
      </c>
      <c r="L3" s="16">
        <f>H3</f>
        <v>32.5</v>
      </c>
      <c r="M3" s="16">
        <f>K3-L3</f>
        <v>14.5</v>
      </c>
    </row>
    <row r="4" spans="1:13" x14ac:dyDescent="0.25">
      <c r="A4" s="1">
        <v>1882</v>
      </c>
      <c r="B4" s="16">
        <v>46.942999999999998</v>
      </c>
      <c r="C4" s="16">
        <v>32.240499999999997</v>
      </c>
      <c r="F4" s="20">
        <f t="shared" ref="F4:F67" si="0">IF(A4&lt;1950,0,IF(A4&gt;1985,1,POWER((A4-1950)/35,3)*(10-15*((A4-1950)/35)+6*POWER((A4-1950)/35,2))))</f>
        <v>0</v>
      </c>
      <c r="G4" s="16">
        <f t="shared" ref="G4:G67" si="1">IF(A4&lt;1950,B4,IF(A4&gt;1985,D4,(1-$F4)*B4+$F4*D4))</f>
        <v>46.942999999999998</v>
      </c>
      <c r="H4" s="16">
        <f t="shared" ref="H4:H67" si="2">IF(A4&lt;1950,C4,IF(A4&gt;1985,E4,(1-$F4)*C4+$F4*E4))</f>
        <v>32.240499999999997</v>
      </c>
      <c r="J4">
        <f t="shared" ref="J4:J67" si="3">A4</f>
        <v>1882</v>
      </c>
      <c r="K4" s="16">
        <f t="shared" ref="K4:K67" si="4">G4</f>
        <v>46.942999999999998</v>
      </c>
      <c r="L4" s="16">
        <f t="shared" ref="L4:L67" si="5">H4</f>
        <v>32.240499999999997</v>
      </c>
      <c r="M4" s="16">
        <f t="shared" ref="M4:M67" si="6">K4-L4</f>
        <v>14.702500000000001</v>
      </c>
    </row>
    <row r="5" spans="1:13" x14ac:dyDescent="0.25">
      <c r="A5" s="1">
        <v>1883</v>
      </c>
      <c r="B5" s="16">
        <v>46.886099999999999</v>
      </c>
      <c r="C5" s="16">
        <v>31.981300000000001</v>
      </c>
      <c r="F5" s="20">
        <f t="shared" si="0"/>
        <v>0</v>
      </c>
      <c r="G5" s="16">
        <f t="shared" si="1"/>
        <v>46.886099999999999</v>
      </c>
      <c r="H5" s="16">
        <f t="shared" si="2"/>
        <v>31.981300000000001</v>
      </c>
      <c r="J5">
        <f t="shared" si="3"/>
        <v>1883</v>
      </c>
      <c r="K5" s="16">
        <f t="shared" si="4"/>
        <v>46.886099999999999</v>
      </c>
      <c r="L5" s="16">
        <f t="shared" si="5"/>
        <v>31.981300000000001</v>
      </c>
      <c r="M5" s="16">
        <f t="shared" si="6"/>
        <v>14.904799999999998</v>
      </c>
    </row>
    <row r="6" spans="1:13" x14ac:dyDescent="0.25">
      <c r="A6" s="1">
        <v>1884</v>
      </c>
      <c r="B6" s="16">
        <v>46.8294</v>
      </c>
      <c r="C6" s="16">
        <v>31.7226</v>
      </c>
      <c r="F6" s="20">
        <f t="shared" si="0"/>
        <v>0</v>
      </c>
      <c r="G6" s="16">
        <f t="shared" si="1"/>
        <v>46.8294</v>
      </c>
      <c r="H6" s="16">
        <f t="shared" si="2"/>
        <v>31.7226</v>
      </c>
      <c r="J6">
        <f t="shared" si="3"/>
        <v>1884</v>
      </c>
      <c r="K6" s="16">
        <f t="shared" si="4"/>
        <v>46.8294</v>
      </c>
      <c r="L6" s="16">
        <f t="shared" si="5"/>
        <v>31.7226</v>
      </c>
      <c r="M6" s="16">
        <f t="shared" si="6"/>
        <v>15.1068</v>
      </c>
    </row>
    <row r="7" spans="1:13" x14ac:dyDescent="0.25">
      <c r="A7" s="1">
        <v>1885</v>
      </c>
      <c r="B7" s="16">
        <v>46.773099999999999</v>
      </c>
      <c r="C7" s="16">
        <v>31.4649</v>
      </c>
      <c r="F7" s="20">
        <f t="shared" si="0"/>
        <v>0</v>
      </c>
      <c r="G7" s="16">
        <f t="shared" si="1"/>
        <v>46.773099999999999</v>
      </c>
      <c r="H7" s="16">
        <f t="shared" si="2"/>
        <v>31.4649</v>
      </c>
      <c r="J7">
        <f t="shared" si="3"/>
        <v>1885</v>
      </c>
      <c r="K7" s="16">
        <f t="shared" si="4"/>
        <v>46.773099999999999</v>
      </c>
      <c r="L7" s="16">
        <f t="shared" si="5"/>
        <v>31.4649</v>
      </c>
      <c r="M7" s="16">
        <f t="shared" si="6"/>
        <v>15.308199999999999</v>
      </c>
    </row>
    <row r="8" spans="1:13" x14ac:dyDescent="0.25">
      <c r="A8" s="1">
        <v>1886</v>
      </c>
      <c r="B8" s="16">
        <v>46.717199999999998</v>
      </c>
      <c r="C8" s="16">
        <v>31.208400000000001</v>
      </c>
      <c r="F8" s="20">
        <f t="shared" si="0"/>
        <v>0</v>
      </c>
      <c r="G8" s="16">
        <f t="shared" si="1"/>
        <v>46.717199999999998</v>
      </c>
      <c r="H8" s="16">
        <f t="shared" si="2"/>
        <v>31.208400000000001</v>
      </c>
      <c r="J8">
        <f t="shared" si="3"/>
        <v>1886</v>
      </c>
      <c r="K8" s="16">
        <f t="shared" si="4"/>
        <v>46.717199999999998</v>
      </c>
      <c r="L8" s="16">
        <f t="shared" si="5"/>
        <v>31.208400000000001</v>
      </c>
      <c r="M8" s="16">
        <f t="shared" si="6"/>
        <v>15.508799999999997</v>
      </c>
    </row>
    <row r="9" spans="1:13" x14ac:dyDescent="0.25">
      <c r="A9" s="1">
        <v>1887</v>
      </c>
      <c r="B9" s="16">
        <v>46.661799999999999</v>
      </c>
      <c r="C9" s="16">
        <v>30.953299999999999</v>
      </c>
      <c r="F9" s="20">
        <f t="shared" si="0"/>
        <v>0</v>
      </c>
      <c r="G9" s="16">
        <f t="shared" si="1"/>
        <v>46.661799999999999</v>
      </c>
      <c r="H9" s="16">
        <f t="shared" si="2"/>
        <v>30.953299999999999</v>
      </c>
      <c r="J9">
        <f t="shared" si="3"/>
        <v>1887</v>
      </c>
      <c r="K9" s="16">
        <f t="shared" si="4"/>
        <v>46.661799999999999</v>
      </c>
      <c r="L9" s="16">
        <f t="shared" si="5"/>
        <v>30.953299999999999</v>
      </c>
      <c r="M9" s="16">
        <f t="shared" si="6"/>
        <v>15.708500000000001</v>
      </c>
    </row>
    <row r="10" spans="1:13" x14ac:dyDescent="0.25">
      <c r="A10" s="1">
        <v>1888</v>
      </c>
      <c r="B10" s="16">
        <v>46.607100000000003</v>
      </c>
      <c r="C10" s="16">
        <v>30.7</v>
      </c>
      <c r="F10" s="20">
        <f t="shared" si="0"/>
        <v>0</v>
      </c>
      <c r="G10" s="16">
        <f t="shared" si="1"/>
        <v>46.607100000000003</v>
      </c>
      <c r="H10" s="16">
        <f t="shared" si="2"/>
        <v>30.7</v>
      </c>
      <c r="J10">
        <f t="shared" si="3"/>
        <v>1888</v>
      </c>
      <c r="K10" s="16">
        <f t="shared" si="4"/>
        <v>46.607100000000003</v>
      </c>
      <c r="L10" s="16">
        <f t="shared" si="5"/>
        <v>30.7</v>
      </c>
      <c r="M10" s="16">
        <f t="shared" si="6"/>
        <v>15.907100000000003</v>
      </c>
    </row>
    <row r="11" spans="1:13" x14ac:dyDescent="0.25">
      <c r="A11" s="1">
        <v>1889</v>
      </c>
      <c r="B11" s="16">
        <v>46.553100000000001</v>
      </c>
      <c r="C11" s="16">
        <v>30.448799999999999</v>
      </c>
      <c r="F11" s="20">
        <f t="shared" si="0"/>
        <v>0</v>
      </c>
      <c r="G11" s="16">
        <f t="shared" si="1"/>
        <v>46.553100000000001</v>
      </c>
      <c r="H11" s="16">
        <f t="shared" si="2"/>
        <v>30.448799999999999</v>
      </c>
      <c r="J11">
        <f t="shared" si="3"/>
        <v>1889</v>
      </c>
      <c r="K11" s="16">
        <f t="shared" si="4"/>
        <v>46.553100000000001</v>
      </c>
      <c r="L11" s="16">
        <f t="shared" si="5"/>
        <v>30.448799999999999</v>
      </c>
      <c r="M11" s="16">
        <f t="shared" si="6"/>
        <v>16.104300000000002</v>
      </c>
    </row>
    <row r="12" spans="1:13" x14ac:dyDescent="0.25">
      <c r="A12" s="1">
        <v>1890</v>
      </c>
      <c r="B12" s="16">
        <v>46.5</v>
      </c>
      <c r="C12" s="16">
        <v>30.2</v>
      </c>
      <c r="F12" s="20">
        <f t="shared" si="0"/>
        <v>0</v>
      </c>
      <c r="G12" s="16">
        <f t="shared" si="1"/>
        <v>46.5</v>
      </c>
      <c r="H12" s="16">
        <f t="shared" si="2"/>
        <v>30.2</v>
      </c>
      <c r="J12">
        <f t="shared" si="3"/>
        <v>1890</v>
      </c>
      <c r="K12" s="16">
        <f t="shared" si="4"/>
        <v>46.5</v>
      </c>
      <c r="L12" s="16">
        <f t="shared" si="5"/>
        <v>30.2</v>
      </c>
      <c r="M12" s="16">
        <f t="shared" si="6"/>
        <v>16.3</v>
      </c>
    </row>
    <row r="13" spans="1:13" x14ac:dyDescent="0.25">
      <c r="A13" s="1">
        <v>1891</v>
      </c>
      <c r="B13" s="16">
        <v>46.447899999999997</v>
      </c>
      <c r="C13" s="16">
        <v>29.943100000000001</v>
      </c>
      <c r="F13" s="20">
        <f t="shared" si="0"/>
        <v>0</v>
      </c>
      <c r="G13" s="16">
        <f t="shared" si="1"/>
        <v>46.447899999999997</v>
      </c>
      <c r="H13" s="16">
        <f t="shared" si="2"/>
        <v>29.943100000000001</v>
      </c>
      <c r="J13">
        <f t="shared" si="3"/>
        <v>1891</v>
      </c>
      <c r="K13" s="16">
        <f t="shared" si="4"/>
        <v>46.447899999999997</v>
      </c>
      <c r="L13" s="16">
        <f t="shared" si="5"/>
        <v>29.943100000000001</v>
      </c>
      <c r="M13" s="16">
        <f t="shared" si="6"/>
        <v>16.504799999999996</v>
      </c>
    </row>
    <row r="14" spans="1:13" x14ac:dyDescent="0.25">
      <c r="A14" s="1">
        <v>1892</v>
      </c>
      <c r="B14" s="16">
        <v>46.396599999999999</v>
      </c>
      <c r="C14" s="16">
        <v>29.672000000000001</v>
      </c>
      <c r="F14" s="20">
        <f t="shared" si="0"/>
        <v>0</v>
      </c>
      <c r="G14" s="16">
        <f t="shared" si="1"/>
        <v>46.396599999999999</v>
      </c>
      <c r="H14" s="16">
        <f t="shared" si="2"/>
        <v>29.672000000000001</v>
      </c>
      <c r="J14">
        <f t="shared" si="3"/>
        <v>1892</v>
      </c>
      <c r="K14" s="16">
        <f t="shared" si="4"/>
        <v>46.396599999999999</v>
      </c>
      <c r="L14" s="16">
        <f t="shared" si="5"/>
        <v>29.672000000000001</v>
      </c>
      <c r="M14" s="16">
        <f t="shared" si="6"/>
        <v>16.724599999999999</v>
      </c>
    </row>
    <row r="15" spans="1:13" x14ac:dyDescent="0.25">
      <c r="A15" s="1">
        <v>1893</v>
      </c>
      <c r="B15" s="16">
        <v>46.3461</v>
      </c>
      <c r="C15" s="16">
        <v>29.3933</v>
      </c>
      <c r="F15" s="20">
        <f t="shared" si="0"/>
        <v>0</v>
      </c>
      <c r="G15" s="16">
        <f t="shared" si="1"/>
        <v>46.3461</v>
      </c>
      <c r="H15" s="16">
        <f t="shared" si="2"/>
        <v>29.3933</v>
      </c>
      <c r="J15">
        <f t="shared" si="3"/>
        <v>1893</v>
      </c>
      <c r="K15" s="16">
        <f t="shared" si="4"/>
        <v>46.3461</v>
      </c>
      <c r="L15" s="16">
        <f t="shared" si="5"/>
        <v>29.3933</v>
      </c>
      <c r="M15" s="16">
        <f t="shared" si="6"/>
        <v>16.9528</v>
      </c>
    </row>
    <row r="16" spans="1:13" x14ac:dyDescent="0.25">
      <c r="A16" s="1">
        <v>1894</v>
      </c>
      <c r="B16" s="16">
        <v>46.296199999999999</v>
      </c>
      <c r="C16" s="16">
        <v>29.114000000000001</v>
      </c>
      <c r="F16" s="20">
        <f t="shared" si="0"/>
        <v>0</v>
      </c>
      <c r="G16" s="16">
        <f t="shared" si="1"/>
        <v>46.296199999999999</v>
      </c>
      <c r="H16" s="16">
        <f t="shared" si="2"/>
        <v>29.114000000000001</v>
      </c>
      <c r="J16">
        <f t="shared" si="3"/>
        <v>1894</v>
      </c>
      <c r="K16" s="16">
        <f t="shared" si="4"/>
        <v>46.296199999999999</v>
      </c>
      <c r="L16" s="16">
        <f t="shared" si="5"/>
        <v>29.114000000000001</v>
      </c>
      <c r="M16" s="16">
        <f t="shared" si="6"/>
        <v>17.182199999999998</v>
      </c>
    </row>
    <row r="17" spans="1:13" x14ac:dyDescent="0.25">
      <c r="A17" s="1">
        <v>1895</v>
      </c>
      <c r="B17" s="16">
        <v>46.246699999999997</v>
      </c>
      <c r="C17" s="16">
        <v>28.840599999999998</v>
      </c>
      <c r="F17" s="20">
        <f t="shared" si="0"/>
        <v>0</v>
      </c>
      <c r="G17" s="16">
        <f t="shared" si="1"/>
        <v>46.246699999999997</v>
      </c>
      <c r="H17" s="16">
        <f t="shared" si="2"/>
        <v>28.840599999999998</v>
      </c>
      <c r="J17">
        <f t="shared" si="3"/>
        <v>1895</v>
      </c>
      <c r="K17" s="16">
        <f t="shared" si="4"/>
        <v>46.246699999999997</v>
      </c>
      <c r="L17" s="16">
        <f t="shared" si="5"/>
        <v>28.840599999999998</v>
      </c>
      <c r="M17" s="16">
        <f t="shared" si="6"/>
        <v>17.406099999999999</v>
      </c>
    </row>
    <row r="18" spans="1:13" x14ac:dyDescent="0.25">
      <c r="A18" s="1">
        <v>1896</v>
      </c>
      <c r="B18" s="16">
        <v>46.197499999999998</v>
      </c>
      <c r="C18" s="16">
        <v>28.58</v>
      </c>
      <c r="F18" s="20">
        <f t="shared" si="0"/>
        <v>0</v>
      </c>
      <c r="G18" s="16">
        <f t="shared" si="1"/>
        <v>46.197499999999998</v>
      </c>
      <c r="H18" s="16">
        <f t="shared" si="2"/>
        <v>28.58</v>
      </c>
      <c r="J18">
        <f t="shared" si="3"/>
        <v>1896</v>
      </c>
      <c r="K18" s="16">
        <f t="shared" si="4"/>
        <v>46.197499999999998</v>
      </c>
      <c r="L18" s="16">
        <f t="shared" si="5"/>
        <v>28.58</v>
      </c>
      <c r="M18" s="16">
        <f t="shared" si="6"/>
        <v>17.6175</v>
      </c>
    </row>
    <row r="19" spans="1:13" x14ac:dyDescent="0.25">
      <c r="A19" s="1">
        <v>1897</v>
      </c>
      <c r="B19" s="16">
        <v>46.148299999999999</v>
      </c>
      <c r="C19" s="16">
        <v>28.338899999999999</v>
      </c>
      <c r="F19" s="20">
        <f t="shared" si="0"/>
        <v>0</v>
      </c>
      <c r="G19" s="16">
        <f t="shared" si="1"/>
        <v>46.148299999999999</v>
      </c>
      <c r="H19" s="16">
        <f t="shared" si="2"/>
        <v>28.338899999999999</v>
      </c>
      <c r="J19">
        <f t="shared" si="3"/>
        <v>1897</v>
      </c>
      <c r="K19" s="16">
        <f t="shared" si="4"/>
        <v>46.148299999999999</v>
      </c>
      <c r="L19" s="16">
        <f t="shared" si="5"/>
        <v>28.338899999999999</v>
      </c>
      <c r="M19" s="16">
        <f t="shared" si="6"/>
        <v>17.8094</v>
      </c>
    </row>
    <row r="20" spans="1:13" x14ac:dyDescent="0.25">
      <c r="A20" s="1">
        <v>1898</v>
      </c>
      <c r="B20" s="16">
        <v>46.099200000000003</v>
      </c>
      <c r="C20" s="16">
        <v>28.123999999999999</v>
      </c>
      <c r="F20" s="20">
        <f t="shared" si="0"/>
        <v>0</v>
      </c>
      <c r="G20" s="16">
        <f t="shared" si="1"/>
        <v>46.099200000000003</v>
      </c>
      <c r="H20" s="16">
        <f t="shared" si="2"/>
        <v>28.123999999999999</v>
      </c>
      <c r="J20">
        <f t="shared" si="3"/>
        <v>1898</v>
      </c>
      <c r="K20" s="16">
        <f t="shared" si="4"/>
        <v>46.099200000000003</v>
      </c>
      <c r="L20" s="16">
        <f t="shared" si="5"/>
        <v>28.123999999999999</v>
      </c>
      <c r="M20" s="16">
        <f t="shared" si="6"/>
        <v>17.975200000000005</v>
      </c>
    </row>
    <row r="21" spans="1:13" x14ac:dyDescent="0.25">
      <c r="A21" s="1">
        <v>1899</v>
      </c>
      <c r="B21" s="16">
        <v>46.049799999999998</v>
      </c>
      <c r="C21" s="16">
        <v>27.9421</v>
      </c>
      <c r="F21" s="20">
        <f t="shared" si="0"/>
        <v>0</v>
      </c>
      <c r="G21" s="16">
        <f t="shared" si="1"/>
        <v>46.049799999999998</v>
      </c>
      <c r="H21" s="16">
        <f t="shared" si="2"/>
        <v>27.9421</v>
      </c>
      <c r="J21">
        <f t="shared" si="3"/>
        <v>1899</v>
      </c>
      <c r="K21" s="16">
        <f t="shared" si="4"/>
        <v>46.049799999999998</v>
      </c>
      <c r="L21" s="16">
        <f t="shared" si="5"/>
        <v>27.9421</v>
      </c>
      <c r="M21" s="16">
        <f t="shared" si="6"/>
        <v>18.107699999999998</v>
      </c>
    </row>
    <row r="22" spans="1:13" x14ac:dyDescent="0.25">
      <c r="A22" s="1">
        <v>1900</v>
      </c>
      <c r="B22" s="16">
        <v>46</v>
      </c>
      <c r="C22" s="16">
        <v>27.8</v>
      </c>
      <c r="F22" s="20">
        <f t="shared" si="0"/>
        <v>0</v>
      </c>
      <c r="G22" s="16">
        <f t="shared" si="1"/>
        <v>46</v>
      </c>
      <c r="H22" s="16">
        <f t="shared" si="2"/>
        <v>27.8</v>
      </c>
      <c r="J22">
        <f t="shared" si="3"/>
        <v>1900</v>
      </c>
      <c r="K22" s="16">
        <f t="shared" si="4"/>
        <v>46</v>
      </c>
      <c r="L22" s="16">
        <f t="shared" si="5"/>
        <v>27.8</v>
      </c>
      <c r="M22" s="16">
        <f t="shared" si="6"/>
        <v>18.2</v>
      </c>
    </row>
    <row r="23" spans="1:13" x14ac:dyDescent="0.25">
      <c r="A23" s="1">
        <v>1901</v>
      </c>
      <c r="B23" s="16">
        <v>45.95</v>
      </c>
      <c r="C23" s="16">
        <v>27.686599999999999</v>
      </c>
      <c r="F23" s="20">
        <f t="shared" si="0"/>
        <v>0</v>
      </c>
      <c r="G23" s="16">
        <f t="shared" si="1"/>
        <v>45.95</v>
      </c>
      <c r="H23" s="16">
        <f t="shared" si="2"/>
        <v>27.686599999999999</v>
      </c>
      <c r="J23">
        <f t="shared" si="3"/>
        <v>1901</v>
      </c>
      <c r="K23" s="16">
        <f t="shared" si="4"/>
        <v>45.95</v>
      </c>
      <c r="L23" s="16">
        <f t="shared" si="5"/>
        <v>27.686599999999999</v>
      </c>
      <c r="M23" s="16">
        <f t="shared" si="6"/>
        <v>18.263400000000004</v>
      </c>
    </row>
    <row r="24" spans="1:13" x14ac:dyDescent="0.25">
      <c r="A24" s="1">
        <v>1902</v>
      </c>
      <c r="B24" s="16">
        <v>45.9</v>
      </c>
      <c r="C24" s="16">
        <v>27.585100000000001</v>
      </c>
      <c r="F24" s="20">
        <f t="shared" si="0"/>
        <v>0</v>
      </c>
      <c r="G24" s="16">
        <f t="shared" si="1"/>
        <v>45.9</v>
      </c>
      <c r="H24" s="16">
        <f t="shared" si="2"/>
        <v>27.585100000000001</v>
      </c>
      <c r="J24">
        <f t="shared" si="3"/>
        <v>1902</v>
      </c>
      <c r="K24" s="16">
        <f t="shared" si="4"/>
        <v>45.9</v>
      </c>
      <c r="L24" s="16">
        <f t="shared" si="5"/>
        <v>27.585100000000001</v>
      </c>
      <c r="M24" s="16">
        <f t="shared" si="6"/>
        <v>18.314899999999998</v>
      </c>
    </row>
    <row r="25" spans="1:13" x14ac:dyDescent="0.25">
      <c r="A25" s="1">
        <v>1903</v>
      </c>
      <c r="B25" s="16">
        <v>45.85</v>
      </c>
      <c r="C25" s="16">
        <v>27.494</v>
      </c>
      <c r="F25" s="20">
        <f t="shared" si="0"/>
        <v>0</v>
      </c>
      <c r="G25" s="16">
        <f t="shared" si="1"/>
        <v>45.85</v>
      </c>
      <c r="H25" s="16">
        <f t="shared" si="2"/>
        <v>27.494</v>
      </c>
      <c r="J25">
        <f t="shared" si="3"/>
        <v>1903</v>
      </c>
      <c r="K25" s="16">
        <f t="shared" si="4"/>
        <v>45.85</v>
      </c>
      <c r="L25" s="16">
        <f t="shared" si="5"/>
        <v>27.494</v>
      </c>
      <c r="M25" s="16">
        <f t="shared" si="6"/>
        <v>18.356000000000002</v>
      </c>
    </row>
    <row r="26" spans="1:13" x14ac:dyDescent="0.25">
      <c r="A26" s="1">
        <v>1904</v>
      </c>
      <c r="B26" s="16">
        <v>45.8</v>
      </c>
      <c r="C26" s="16">
        <v>27.4114</v>
      </c>
      <c r="F26" s="20">
        <f t="shared" si="0"/>
        <v>0</v>
      </c>
      <c r="G26" s="16">
        <f t="shared" si="1"/>
        <v>45.8</v>
      </c>
      <c r="H26" s="16">
        <f t="shared" si="2"/>
        <v>27.4114</v>
      </c>
      <c r="J26">
        <f t="shared" si="3"/>
        <v>1904</v>
      </c>
      <c r="K26" s="16">
        <f t="shared" si="4"/>
        <v>45.8</v>
      </c>
      <c r="L26" s="16">
        <f t="shared" si="5"/>
        <v>27.4114</v>
      </c>
      <c r="M26" s="16">
        <f t="shared" si="6"/>
        <v>18.388599999999997</v>
      </c>
    </row>
    <row r="27" spans="1:13" x14ac:dyDescent="0.25">
      <c r="A27" s="1">
        <v>1905</v>
      </c>
      <c r="B27" s="16">
        <v>45.75</v>
      </c>
      <c r="C27" s="16">
        <v>27.335699999999999</v>
      </c>
      <c r="F27" s="20">
        <f t="shared" si="0"/>
        <v>0</v>
      </c>
      <c r="G27" s="16">
        <f t="shared" si="1"/>
        <v>45.75</v>
      </c>
      <c r="H27" s="16">
        <f t="shared" si="2"/>
        <v>27.335699999999999</v>
      </c>
      <c r="J27">
        <f t="shared" si="3"/>
        <v>1905</v>
      </c>
      <c r="K27" s="16">
        <f t="shared" si="4"/>
        <v>45.75</v>
      </c>
      <c r="L27" s="16">
        <f t="shared" si="5"/>
        <v>27.335699999999999</v>
      </c>
      <c r="M27" s="16">
        <f t="shared" si="6"/>
        <v>18.414300000000001</v>
      </c>
    </row>
    <row r="28" spans="1:13" x14ac:dyDescent="0.25">
      <c r="A28" s="1">
        <v>1906</v>
      </c>
      <c r="B28" s="16">
        <v>45.7</v>
      </c>
      <c r="C28" s="16">
        <v>27.2651</v>
      </c>
      <c r="F28" s="20">
        <f t="shared" si="0"/>
        <v>0</v>
      </c>
      <c r="G28" s="16">
        <f t="shared" si="1"/>
        <v>45.7</v>
      </c>
      <c r="H28" s="16">
        <f t="shared" si="2"/>
        <v>27.2651</v>
      </c>
      <c r="J28">
        <f t="shared" si="3"/>
        <v>1906</v>
      </c>
      <c r="K28" s="16">
        <f t="shared" si="4"/>
        <v>45.7</v>
      </c>
      <c r="L28" s="16">
        <f t="shared" si="5"/>
        <v>27.2651</v>
      </c>
      <c r="M28" s="16">
        <f t="shared" si="6"/>
        <v>18.434900000000003</v>
      </c>
    </row>
    <row r="29" spans="1:13" x14ac:dyDescent="0.25">
      <c r="A29" s="1">
        <v>1907</v>
      </c>
      <c r="B29" s="16">
        <v>45.65</v>
      </c>
      <c r="C29" s="16">
        <v>27.198</v>
      </c>
      <c r="F29" s="20">
        <f t="shared" si="0"/>
        <v>0</v>
      </c>
      <c r="G29" s="16">
        <f t="shared" si="1"/>
        <v>45.65</v>
      </c>
      <c r="H29" s="16">
        <f t="shared" si="2"/>
        <v>27.198</v>
      </c>
      <c r="J29">
        <f t="shared" si="3"/>
        <v>1907</v>
      </c>
      <c r="K29" s="16">
        <f t="shared" si="4"/>
        <v>45.65</v>
      </c>
      <c r="L29" s="16">
        <f t="shared" si="5"/>
        <v>27.198</v>
      </c>
      <c r="M29" s="16">
        <f t="shared" si="6"/>
        <v>18.451999999999998</v>
      </c>
    </row>
    <row r="30" spans="1:13" x14ac:dyDescent="0.25">
      <c r="A30" s="1">
        <v>1908</v>
      </c>
      <c r="B30" s="16">
        <v>45.6</v>
      </c>
      <c r="C30" s="16">
        <v>27.1326</v>
      </c>
      <c r="F30" s="20">
        <f t="shared" si="0"/>
        <v>0</v>
      </c>
      <c r="G30" s="16">
        <f t="shared" si="1"/>
        <v>45.6</v>
      </c>
      <c r="H30" s="16">
        <f t="shared" si="2"/>
        <v>27.1326</v>
      </c>
      <c r="J30">
        <f t="shared" si="3"/>
        <v>1908</v>
      </c>
      <c r="K30" s="16">
        <f t="shared" si="4"/>
        <v>45.6</v>
      </c>
      <c r="L30" s="16">
        <f t="shared" si="5"/>
        <v>27.1326</v>
      </c>
      <c r="M30" s="16">
        <f t="shared" si="6"/>
        <v>18.467400000000001</v>
      </c>
    </row>
    <row r="31" spans="1:13" x14ac:dyDescent="0.25">
      <c r="A31" s="1">
        <v>1909</v>
      </c>
      <c r="B31" s="16">
        <v>45.55</v>
      </c>
      <c r="C31" s="16">
        <v>27.0671</v>
      </c>
      <c r="F31" s="20">
        <f t="shared" si="0"/>
        <v>0</v>
      </c>
      <c r="G31" s="16">
        <f t="shared" si="1"/>
        <v>45.55</v>
      </c>
      <c r="H31" s="16">
        <f t="shared" si="2"/>
        <v>27.0671</v>
      </c>
      <c r="J31">
        <f t="shared" si="3"/>
        <v>1909</v>
      </c>
      <c r="K31" s="16">
        <f t="shared" si="4"/>
        <v>45.55</v>
      </c>
      <c r="L31" s="16">
        <f t="shared" si="5"/>
        <v>27.0671</v>
      </c>
      <c r="M31" s="16">
        <f t="shared" si="6"/>
        <v>18.482899999999997</v>
      </c>
    </row>
    <row r="32" spans="1:13" x14ac:dyDescent="0.25">
      <c r="A32" s="1">
        <v>1910</v>
      </c>
      <c r="B32" s="16">
        <v>45.5</v>
      </c>
      <c r="C32" s="16">
        <v>27</v>
      </c>
      <c r="F32" s="20">
        <f t="shared" si="0"/>
        <v>0</v>
      </c>
      <c r="G32" s="16">
        <f t="shared" si="1"/>
        <v>45.5</v>
      </c>
      <c r="H32" s="16">
        <f t="shared" si="2"/>
        <v>27</v>
      </c>
      <c r="J32">
        <f t="shared" si="3"/>
        <v>1910</v>
      </c>
      <c r="K32" s="16">
        <f t="shared" si="4"/>
        <v>45.5</v>
      </c>
      <c r="L32" s="16">
        <f t="shared" si="5"/>
        <v>27</v>
      </c>
      <c r="M32" s="16">
        <f t="shared" si="6"/>
        <v>18.5</v>
      </c>
    </row>
    <row r="33" spans="1:13" x14ac:dyDescent="0.25">
      <c r="A33" s="1">
        <v>1911</v>
      </c>
      <c r="B33" s="16">
        <v>45.448099999999997</v>
      </c>
      <c r="C33" s="16">
        <v>26.931999999999999</v>
      </c>
      <c r="F33" s="20">
        <f t="shared" si="0"/>
        <v>0</v>
      </c>
      <c r="G33" s="16">
        <f t="shared" si="1"/>
        <v>45.448099999999997</v>
      </c>
      <c r="H33" s="16">
        <f t="shared" si="2"/>
        <v>26.931999999999999</v>
      </c>
      <c r="J33">
        <f t="shared" si="3"/>
        <v>1911</v>
      </c>
      <c r="K33" s="16">
        <f t="shared" si="4"/>
        <v>45.448099999999997</v>
      </c>
      <c r="L33" s="16">
        <f t="shared" si="5"/>
        <v>26.931999999999999</v>
      </c>
      <c r="M33" s="16">
        <f t="shared" si="6"/>
        <v>18.516099999999998</v>
      </c>
    </row>
    <row r="34" spans="1:13" x14ac:dyDescent="0.25">
      <c r="A34" s="1">
        <v>1912</v>
      </c>
      <c r="B34" s="16">
        <v>45.393099999999997</v>
      </c>
      <c r="C34" s="16">
        <v>26.865200000000002</v>
      </c>
      <c r="F34" s="20">
        <f t="shared" si="0"/>
        <v>0</v>
      </c>
      <c r="G34" s="16">
        <f t="shared" si="1"/>
        <v>45.393099999999997</v>
      </c>
      <c r="H34" s="16">
        <f t="shared" si="2"/>
        <v>26.865200000000002</v>
      </c>
      <c r="J34">
        <f t="shared" si="3"/>
        <v>1912</v>
      </c>
      <c r="K34" s="16">
        <f t="shared" si="4"/>
        <v>45.393099999999997</v>
      </c>
      <c r="L34" s="16">
        <f t="shared" si="5"/>
        <v>26.865200000000002</v>
      </c>
      <c r="M34" s="16">
        <f t="shared" si="6"/>
        <v>18.527899999999995</v>
      </c>
    </row>
    <row r="35" spans="1:13" x14ac:dyDescent="0.25">
      <c r="A35" s="1">
        <v>1913</v>
      </c>
      <c r="B35" s="16">
        <v>45.336500000000001</v>
      </c>
      <c r="C35" s="16">
        <v>26.799800000000001</v>
      </c>
      <c r="F35" s="20">
        <f t="shared" si="0"/>
        <v>0</v>
      </c>
      <c r="G35" s="16">
        <f t="shared" si="1"/>
        <v>45.336500000000001</v>
      </c>
      <c r="H35" s="16">
        <f t="shared" si="2"/>
        <v>26.799800000000001</v>
      </c>
      <c r="J35">
        <f t="shared" si="3"/>
        <v>1913</v>
      </c>
      <c r="K35" s="16">
        <f t="shared" si="4"/>
        <v>45.336500000000001</v>
      </c>
      <c r="L35" s="16">
        <f t="shared" si="5"/>
        <v>26.799800000000001</v>
      </c>
      <c r="M35" s="16">
        <f t="shared" si="6"/>
        <v>18.5367</v>
      </c>
    </row>
    <row r="36" spans="1:13" x14ac:dyDescent="0.25">
      <c r="A36" s="1">
        <v>1914</v>
      </c>
      <c r="B36" s="16">
        <v>45.279400000000003</v>
      </c>
      <c r="C36" s="16">
        <v>26.7361</v>
      </c>
      <c r="F36" s="20">
        <f t="shared" si="0"/>
        <v>0</v>
      </c>
      <c r="G36" s="16">
        <f t="shared" si="1"/>
        <v>45.279400000000003</v>
      </c>
      <c r="H36" s="16">
        <f t="shared" si="2"/>
        <v>26.7361</v>
      </c>
      <c r="J36">
        <f t="shared" si="3"/>
        <v>1914</v>
      </c>
      <c r="K36" s="16">
        <f t="shared" si="4"/>
        <v>45.279400000000003</v>
      </c>
      <c r="L36" s="16">
        <f t="shared" si="5"/>
        <v>26.7361</v>
      </c>
      <c r="M36" s="16">
        <f t="shared" si="6"/>
        <v>18.543300000000002</v>
      </c>
    </row>
    <row r="37" spans="1:13" x14ac:dyDescent="0.25">
      <c r="A37" s="1">
        <v>1915</v>
      </c>
      <c r="B37" s="16">
        <v>45.223199999999999</v>
      </c>
      <c r="C37" s="16">
        <v>26.674299999999999</v>
      </c>
      <c r="F37" s="20">
        <f t="shared" si="0"/>
        <v>0</v>
      </c>
      <c r="G37" s="16">
        <f t="shared" si="1"/>
        <v>45.223199999999999</v>
      </c>
      <c r="H37" s="16">
        <f t="shared" si="2"/>
        <v>26.674299999999999</v>
      </c>
      <c r="J37">
        <f t="shared" si="3"/>
        <v>1915</v>
      </c>
      <c r="K37" s="16">
        <f t="shared" si="4"/>
        <v>45.223199999999999</v>
      </c>
      <c r="L37" s="16">
        <f t="shared" si="5"/>
        <v>26.674299999999999</v>
      </c>
      <c r="M37" s="16">
        <f t="shared" si="6"/>
        <v>18.5489</v>
      </c>
    </row>
    <row r="38" spans="1:13" x14ac:dyDescent="0.25">
      <c r="A38" s="1">
        <v>1916</v>
      </c>
      <c r="B38" s="16">
        <v>45.1691</v>
      </c>
      <c r="C38" s="16">
        <v>26.6145</v>
      </c>
      <c r="F38" s="20">
        <f t="shared" si="0"/>
        <v>0</v>
      </c>
      <c r="G38" s="16">
        <f t="shared" si="1"/>
        <v>45.1691</v>
      </c>
      <c r="H38" s="16">
        <f t="shared" si="2"/>
        <v>26.6145</v>
      </c>
      <c r="J38">
        <f t="shared" si="3"/>
        <v>1916</v>
      </c>
      <c r="K38" s="16">
        <f t="shared" si="4"/>
        <v>45.1691</v>
      </c>
      <c r="L38" s="16">
        <f t="shared" si="5"/>
        <v>26.6145</v>
      </c>
      <c r="M38" s="16">
        <f t="shared" si="6"/>
        <v>18.554600000000001</v>
      </c>
    </row>
    <row r="39" spans="1:13" x14ac:dyDescent="0.25">
      <c r="A39" s="1">
        <v>1917</v>
      </c>
      <c r="B39" s="16">
        <v>45.118499999999997</v>
      </c>
      <c r="C39" s="16">
        <v>26.556999999999999</v>
      </c>
      <c r="F39" s="20">
        <f t="shared" si="0"/>
        <v>0</v>
      </c>
      <c r="G39" s="16">
        <f t="shared" si="1"/>
        <v>45.118499999999997</v>
      </c>
      <c r="H39" s="16">
        <f t="shared" si="2"/>
        <v>26.556999999999999</v>
      </c>
      <c r="J39">
        <f t="shared" si="3"/>
        <v>1917</v>
      </c>
      <c r="K39" s="16">
        <f t="shared" si="4"/>
        <v>45.118499999999997</v>
      </c>
      <c r="L39" s="16">
        <f t="shared" si="5"/>
        <v>26.556999999999999</v>
      </c>
      <c r="M39" s="16">
        <f t="shared" si="6"/>
        <v>18.561499999999999</v>
      </c>
    </row>
    <row r="40" spans="1:13" x14ac:dyDescent="0.25">
      <c r="A40" s="1">
        <v>1918</v>
      </c>
      <c r="B40" s="16">
        <v>45.072600000000001</v>
      </c>
      <c r="C40" s="16">
        <v>26.501899999999999</v>
      </c>
      <c r="F40" s="20">
        <f t="shared" si="0"/>
        <v>0</v>
      </c>
      <c r="G40" s="16">
        <f t="shared" si="1"/>
        <v>45.072600000000001</v>
      </c>
      <c r="H40" s="16">
        <f t="shared" si="2"/>
        <v>26.501899999999999</v>
      </c>
      <c r="J40">
        <f t="shared" si="3"/>
        <v>1918</v>
      </c>
      <c r="K40" s="16">
        <f t="shared" si="4"/>
        <v>45.072600000000001</v>
      </c>
      <c r="L40" s="16">
        <f t="shared" si="5"/>
        <v>26.501899999999999</v>
      </c>
      <c r="M40" s="16">
        <f t="shared" si="6"/>
        <v>18.570700000000002</v>
      </c>
    </row>
    <row r="41" spans="1:13" x14ac:dyDescent="0.25">
      <c r="A41" s="1">
        <v>1919</v>
      </c>
      <c r="B41" s="16">
        <v>45.032600000000002</v>
      </c>
      <c r="C41" s="16">
        <v>26.4495</v>
      </c>
      <c r="F41" s="20">
        <f t="shared" si="0"/>
        <v>0</v>
      </c>
      <c r="G41" s="16">
        <f t="shared" si="1"/>
        <v>45.032600000000002</v>
      </c>
      <c r="H41" s="16">
        <f t="shared" si="2"/>
        <v>26.4495</v>
      </c>
      <c r="J41">
        <f t="shared" si="3"/>
        <v>1919</v>
      </c>
      <c r="K41" s="16">
        <f t="shared" si="4"/>
        <v>45.032600000000002</v>
      </c>
      <c r="L41" s="16">
        <f t="shared" si="5"/>
        <v>26.4495</v>
      </c>
      <c r="M41" s="16">
        <f t="shared" si="6"/>
        <v>18.583100000000002</v>
      </c>
    </row>
    <row r="42" spans="1:13" x14ac:dyDescent="0.25">
      <c r="A42" s="1">
        <v>1920</v>
      </c>
      <c r="B42" s="16">
        <v>45</v>
      </c>
      <c r="C42" s="16">
        <v>26.4</v>
      </c>
      <c r="F42" s="20">
        <f t="shared" si="0"/>
        <v>0</v>
      </c>
      <c r="G42" s="16">
        <f t="shared" si="1"/>
        <v>45</v>
      </c>
      <c r="H42" s="16">
        <f t="shared" si="2"/>
        <v>26.4</v>
      </c>
      <c r="J42">
        <f t="shared" si="3"/>
        <v>1920</v>
      </c>
      <c r="K42" s="16">
        <f t="shared" si="4"/>
        <v>45</v>
      </c>
      <c r="L42" s="16">
        <f t="shared" si="5"/>
        <v>26.4</v>
      </c>
      <c r="M42" s="16">
        <f t="shared" si="6"/>
        <v>18.600000000000001</v>
      </c>
    </row>
    <row r="43" spans="1:13" x14ac:dyDescent="0.25">
      <c r="A43" s="1">
        <v>1921</v>
      </c>
      <c r="B43" s="16">
        <v>44.973300000000002</v>
      </c>
      <c r="C43" s="16">
        <v>26.356400000000001</v>
      </c>
      <c r="F43" s="20">
        <f t="shared" si="0"/>
        <v>0</v>
      </c>
      <c r="G43" s="16">
        <f t="shared" si="1"/>
        <v>44.973300000000002</v>
      </c>
      <c r="H43" s="16">
        <f t="shared" si="2"/>
        <v>26.356400000000001</v>
      </c>
      <c r="J43">
        <f t="shared" si="3"/>
        <v>1921</v>
      </c>
      <c r="K43" s="16">
        <f t="shared" si="4"/>
        <v>44.973300000000002</v>
      </c>
      <c r="L43" s="16">
        <f t="shared" si="5"/>
        <v>26.356400000000001</v>
      </c>
      <c r="M43" s="16">
        <f t="shared" si="6"/>
        <v>18.616900000000001</v>
      </c>
    </row>
    <row r="44" spans="1:13" x14ac:dyDescent="0.25">
      <c r="A44" s="1">
        <v>1922</v>
      </c>
      <c r="B44" s="16">
        <v>44.9499</v>
      </c>
      <c r="C44" s="16">
        <v>26.319900000000001</v>
      </c>
      <c r="F44" s="20">
        <f t="shared" si="0"/>
        <v>0</v>
      </c>
      <c r="G44" s="16">
        <f t="shared" si="1"/>
        <v>44.9499</v>
      </c>
      <c r="H44" s="16">
        <f t="shared" si="2"/>
        <v>26.319900000000001</v>
      </c>
      <c r="J44">
        <f t="shared" si="3"/>
        <v>1922</v>
      </c>
      <c r="K44" s="16">
        <f t="shared" si="4"/>
        <v>44.9499</v>
      </c>
      <c r="L44" s="16">
        <f t="shared" si="5"/>
        <v>26.319900000000001</v>
      </c>
      <c r="M44" s="16">
        <f t="shared" si="6"/>
        <v>18.63</v>
      </c>
    </row>
    <row r="45" spans="1:13" x14ac:dyDescent="0.25">
      <c r="A45" s="1">
        <v>1923</v>
      </c>
      <c r="B45" s="16">
        <v>44.929200000000002</v>
      </c>
      <c r="C45" s="16">
        <v>26.2881</v>
      </c>
      <c r="F45" s="20">
        <f t="shared" si="0"/>
        <v>0</v>
      </c>
      <c r="G45" s="16">
        <f t="shared" si="1"/>
        <v>44.929200000000002</v>
      </c>
      <c r="H45" s="16">
        <f t="shared" si="2"/>
        <v>26.2881</v>
      </c>
      <c r="J45">
        <f t="shared" si="3"/>
        <v>1923</v>
      </c>
      <c r="K45" s="16">
        <f t="shared" si="4"/>
        <v>44.929200000000002</v>
      </c>
      <c r="L45" s="16">
        <f t="shared" si="5"/>
        <v>26.2881</v>
      </c>
      <c r="M45" s="16">
        <f t="shared" si="6"/>
        <v>18.641100000000002</v>
      </c>
    </row>
    <row r="46" spans="1:13" x14ac:dyDescent="0.25">
      <c r="A46" s="1">
        <v>1924</v>
      </c>
      <c r="B46" s="16">
        <v>44.910400000000003</v>
      </c>
      <c r="C46" s="16">
        <v>26.258800000000001</v>
      </c>
      <c r="F46" s="20">
        <f t="shared" si="0"/>
        <v>0</v>
      </c>
      <c r="G46" s="16">
        <f t="shared" si="1"/>
        <v>44.910400000000003</v>
      </c>
      <c r="H46" s="16">
        <f t="shared" si="2"/>
        <v>26.258800000000001</v>
      </c>
      <c r="J46">
        <f t="shared" si="3"/>
        <v>1924</v>
      </c>
      <c r="K46" s="16">
        <f t="shared" si="4"/>
        <v>44.910400000000003</v>
      </c>
      <c r="L46" s="16">
        <f t="shared" si="5"/>
        <v>26.258800000000001</v>
      </c>
      <c r="M46" s="16">
        <f t="shared" si="6"/>
        <v>18.651600000000002</v>
      </c>
    </row>
    <row r="47" spans="1:13" x14ac:dyDescent="0.25">
      <c r="A47" s="1">
        <v>1925</v>
      </c>
      <c r="B47" s="16">
        <v>44.892899999999997</v>
      </c>
      <c r="C47" s="16">
        <v>26.229500000000002</v>
      </c>
      <c r="F47" s="20">
        <f t="shared" si="0"/>
        <v>0</v>
      </c>
      <c r="G47" s="16">
        <f t="shared" si="1"/>
        <v>44.892899999999997</v>
      </c>
      <c r="H47" s="16">
        <f t="shared" si="2"/>
        <v>26.229500000000002</v>
      </c>
      <c r="J47">
        <f t="shared" si="3"/>
        <v>1925</v>
      </c>
      <c r="K47" s="16">
        <f t="shared" si="4"/>
        <v>44.892899999999997</v>
      </c>
      <c r="L47" s="16">
        <f t="shared" si="5"/>
        <v>26.229500000000002</v>
      </c>
      <c r="M47" s="16">
        <f t="shared" si="6"/>
        <v>18.663399999999996</v>
      </c>
    </row>
    <row r="48" spans="1:13" x14ac:dyDescent="0.25">
      <c r="A48" s="1">
        <v>1926</v>
      </c>
      <c r="B48" s="16">
        <v>44.875900000000001</v>
      </c>
      <c r="C48" s="16">
        <v>26.197800000000001</v>
      </c>
      <c r="F48" s="20">
        <f t="shared" si="0"/>
        <v>0</v>
      </c>
      <c r="G48" s="16">
        <f t="shared" si="1"/>
        <v>44.875900000000001</v>
      </c>
      <c r="H48" s="16">
        <f t="shared" si="2"/>
        <v>26.197800000000001</v>
      </c>
      <c r="J48">
        <f t="shared" si="3"/>
        <v>1926</v>
      </c>
      <c r="K48" s="16">
        <f t="shared" si="4"/>
        <v>44.875900000000001</v>
      </c>
      <c r="L48" s="16">
        <f t="shared" si="5"/>
        <v>26.197800000000001</v>
      </c>
      <c r="M48" s="16">
        <f t="shared" si="6"/>
        <v>18.678100000000001</v>
      </c>
    </row>
    <row r="49" spans="1:13" x14ac:dyDescent="0.25">
      <c r="A49" s="1">
        <v>1927</v>
      </c>
      <c r="B49" s="16">
        <v>44.858800000000002</v>
      </c>
      <c r="C49" s="16">
        <v>26.1614</v>
      </c>
      <c r="F49" s="20">
        <f t="shared" si="0"/>
        <v>0</v>
      </c>
      <c r="G49" s="16">
        <f t="shared" si="1"/>
        <v>44.858800000000002</v>
      </c>
      <c r="H49" s="16">
        <f t="shared" si="2"/>
        <v>26.1614</v>
      </c>
      <c r="J49">
        <f t="shared" si="3"/>
        <v>1927</v>
      </c>
      <c r="K49" s="16">
        <f t="shared" si="4"/>
        <v>44.858800000000002</v>
      </c>
      <c r="L49" s="16">
        <f t="shared" si="5"/>
        <v>26.1614</v>
      </c>
      <c r="M49" s="16">
        <f t="shared" si="6"/>
        <v>18.697400000000002</v>
      </c>
    </row>
    <row r="50" spans="1:13" x14ac:dyDescent="0.25">
      <c r="A50" s="1">
        <v>1928</v>
      </c>
      <c r="B50" s="16">
        <v>44.840899999999998</v>
      </c>
      <c r="C50" s="16">
        <v>26.117899999999999</v>
      </c>
      <c r="F50" s="20">
        <f t="shared" si="0"/>
        <v>0</v>
      </c>
      <c r="G50" s="16">
        <f t="shared" si="1"/>
        <v>44.840899999999998</v>
      </c>
      <c r="H50" s="16">
        <f t="shared" si="2"/>
        <v>26.117899999999999</v>
      </c>
      <c r="J50">
        <f t="shared" si="3"/>
        <v>1928</v>
      </c>
      <c r="K50" s="16">
        <f t="shared" si="4"/>
        <v>44.840899999999998</v>
      </c>
      <c r="L50" s="16">
        <f t="shared" si="5"/>
        <v>26.117899999999999</v>
      </c>
      <c r="M50" s="16">
        <f t="shared" si="6"/>
        <v>18.722999999999999</v>
      </c>
    </row>
    <row r="51" spans="1:13" x14ac:dyDescent="0.25">
      <c r="A51" s="1">
        <v>1929</v>
      </c>
      <c r="B51" s="16">
        <v>44.8215</v>
      </c>
      <c r="C51" s="16">
        <v>26.064900000000002</v>
      </c>
      <c r="F51" s="20">
        <f t="shared" si="0"/>
        <v>0</v>
      </c>
      <c r="G51" s="16">
        <f t="shared" si="1"/>
        <v>44.8215</v>
      </c>
      <c r="H51" s="16">
        <f t="shared" si="2"/>
        <v>26.064900000000002</v>
      </c>
      <c r="J51">
        <f t="shared" si="3"/>
        <v>1929</v>
      </c>
      <c r="K51" s="16">
        <f t="shared" si="4"/>
        <v>44.8215</v>
      </c>
      <c r="L51" s="16">
        <f t="shared" si="5"/>
        <v>26.064900000000002</v>
      </c>
      <c r="M51" s="16">
        <f t="shared" si="6"/>
        <v>18.756599999999999</v>
      </c>
    </row>
    <row r="52" spans="1:13" x14ac:dyDescent="0.25">
      <c r="A52" s="1">
        <v>1930</v>
      </c>
      <c r="B52" s="16">
        <v>44.8</v>
      </c>
      <c r="C52" s="16">
        <v>26</v>
      </c>
      <c r="F52" s="20">
        <f t="shared" si="0"/>
        <v>0</v>
      </c>
      <c r="G52" s="16">
        <f t="shared" si="1"/>
        <v>44.8</v>
      </c>
      <c r="H52" s="16">
        <f t="shared" si="2"/>
        <v>26</v>
      </c>
      <c r="J52">
        <f t="shared" si="3"/>
        <v>1930</v>
      </c>
      <c r="K52" s="16">
        <f t="shared" si="4"/>
        <v>44.8</v>
      </c>
      <c r="L52" s="16">
        <f t="shared" si="5"/>
        <v>26</v>
      </c>
      <c r="M52" s="16">
        <f t="shared" si="6"/>
        <v>18.799999999999997</v>
      </c>
    </row>
    <row r="53" spans="1:13" x14ac:dyDescent="0.25">
      <c r="A53" s="1">
        <v>1931</v>
      </c>
      <c r="B53" s="16">
        <v>44.777700000000003</v>
      </c>
      <c r="C53" s="16">
        <v>25.900700000000001</v>
      </c>
      <c r="F53" s="20">
        <f t="shared" si="0"/>
        <v>0</v>
      </c>
      <c r="G53" s="16">
        <f t="shared" si="1"/>
        <v>44.777700000000003</v>
      </c>
      <c r="H53" s="16">
        <f t="shared" si="2"/>
        <v>25.900700000000001</v>
      </c>
      <c r="J53">
        <f t="shared" si="3"/>
        <v>1931</v>
      </c>
      <c r="K53" s="16">
        <f t="shared" si="4"/>
        <v>44.777700000000003</v>
      </c>
      <c r="L53" s="16">
        <f t="shared" si="5"/>
        <v>25.900700000000001</v>
      </c>
      <c r="M53" s="16">
        <f t="shared" si="6"/>
        <v>18.877000000000002</v>
      </c>
    </row>
    <row r="54" spans="1:13" x14ac:dyDescent="0.25">
      <c r="A54" s="1">
        <v>1932</v>
      </c>
      <c r="B54" s="16">
        <v>44.756300000000003</v>
      </c>
      <c r="C54" s="16">
        <v>25.748899999999999</v>
      </c>
      <c r="F54" s="20">
        <f t="shared" si="0"/>
        <v>0</v>
      </c>
      <c r="G54" s="16">
        <f t="shared" si="1"/>
        <v>44.756300000000003</v>
      </c>
      <c r="H54" s="16">
        <f t="shared" si="2"/>
        <v>25.748899999999999</v>
      </c>
      <c r="J54">
        <f t="shared" si="3"/>
        <v>1932</v>
      </c>
      <c r="K54" s="16">
        <f t="shared" si="4"/>
        <v>44.756300000000003</v>
      </c>
      <c r="L54" s="16">
        <f t="shared" si="5"/>
        <v>25.748899999999999</v>
      </c>
      <c r="M54" s="16">
        <f t="shared" si="6"/>
        <v>19.007400000000004</v>
      </c>
    </row>
    <row r="55" spans="1:13" x14ac:dyDescent="0.25">
      <c r="A55" s="1">
        <v>1933</v>
      </c>
      <c r="B55" s="16">
        <v>44.735500000000002</v>
      </c>
      <c r="C55" s="16">
        <v>25.5487</v>
      </c>
      <c r="F55" s="20">
        <f t="shared" si="0"/>
        <v>0</v>
      </c>
      <c r="G55" s="16">
        <f t="shared" si="1"/>
        <v>44.735500000000002</v>
      </c>
      <c r="H55" s="16">
        <f t="shared" si="2"/>
        <v>25.5487</v>
      </c>
      <c r="J55">
        <f t="shared" si="3"/>
        <v>1933</v>
      </c>
      <c r="K55" s="16">
        <f t="shared" si="4"/>
        <v>44.735500000000002</v>
      </c>
      <c r="L55" s="16">
        <f t="shared" si="5"/>
        <v>25.5487</v>
      </c>
      <c r="M55" s="16">
        <f t="shared" si="6"/>
        <v>19.186800000000002</v>
      </c>
    </row>
    <row r="56" spans="1:13" x14ac:dyDescent="0.25">
      <c r="A56" s="1">
        <v>1934</v>
      </c>
      <c r="B56" s="16">
        <v>44.714799999999997</v>
      </c>
      <c r="C56" s="16">
        <v>25.304300000000001</v>
      </c>
      <c r="F56" s="20">
        <f t="shared" si="0"/>
        <v>0</v>
      </c>
      <c r="G56" s="16">
        <f t="shared" si="1"/>
        <v>44.714799999999997</v>
      </c>
      <c r="H56" s="16">
        <f t="shared" si="2"/>
        <v>25.304300000000001</v>
      </c>
      <c r="J56">
        <f t="shared" si="3"/>
        <v>1934</v>
      </c>
      <c r="K56" s="16">
        <f t="shared" si="4"/>
        <v>44.714799999999997</v>
      </c>
      <c r="L56" s="16">
        <f t="shared" si="5"/>
        <v>25.304300000000001</v>
      </c>
      <c r="M56" s="16">
        <f t="shared" si="6"/>
        <v>19.410499999999995</v>
      </c>
    </row>
    <row r="57" spans="1:13" x14ac:dyDescent="0.25">
      <c r="A57" s="1">
        <v>1935</v>
      </c>
      <c r="B57" s="16">
        <v>44.694000000000003</v>
      </c>
      <c r="C57" s="16">
        <v>25.0199</v>
      </c>
      <c r="F57" s="20">
        <f t="shared" si="0"/>
        <v>0</v>
      </c>
      <c r="G57" s="16">
        <f t="shared" si="1"/>
        <v>44.694000000000003</v>
      </c>
      <c r="H57" s="16">
        <f t="shared" si="2"/>
        <v>25.0199</v>
      </c>
      <c r="J57">
        <f t="shared" si="3"/>
        <v>1935</v>
      </c>
      <c r="K57" s="16">
        <f t="shared" si="4"/>
        <v>44.694000000000003</v>
      </c>
      <c r="L57" s="16">
        <f t="shared" si="5"/>
        <v>25.0199</v>
      </c>
      <c r="M57" s="16">
        <f t="shared" si="6"/>
        <v>19.674100000000003</v>
      </c>
    </row>
    <row r="58" spans="1:13" x14ac:dyDescent="0.25">
      <c r="A58" s="1">
        <v>1936</v>
      </c>
      <c r="B58" s="16">
        <v>44.672699999999999</v>
      </c>
      <c r="C58" s="16">
        <v>24.6998</v>
      </c>
      <c r="F58" s="20">
        <f t="shared" si="0"/>
        <v>0</v>
      </c>
      <c r="G58" s="16">
        <f t="shared" si="1"/>
        <v>44.672699999999999</v>
      </c>
      <c r="H58" s="16">
        <f t="shared" si="2"/>
        <v>24.6998</v>
      </c>
      <c r="J58">
        <f t="shared" si="3"/>
        <v>1936</v>
      </c>
      <c r="K58" s="16">
        <f t="shared" si="4"/>
        <v>44.672699999999999</v>
      </c>
      <c r="L58" s="16">
        <f t="shared" si="5"/>
        <v>24.6998</v>
      </c>
      <c r="M58" s="16">
        <f t="shared" si="6"/>
        <v>19.972899999999999</v>
      </c>
    </row>
    <row r="59" spans="1:13" x14ac:dyDescent="0.25">
      <c r="A59" s="1">
        <v>1937</v>
      </c>
      <c r="B59" s="16">
        <v>44.650500000000001</v>
      </c>
      <c r="C59" s="16">
        <v>24.347999999999999</v>
      </c>
      <c r="F59" s="20">
        <f t="shared" si="0"/>
        <v>0</v>
      </c>
      <c r="G59" s="16">
        <f t="shared" si="1"/>
        <v>44.650500000000001</v>
      </c>
      <c r="H59" s="16">
        <f t="shared" si="2"/>
        <v>24.347999999999999</v>
      </c>
      <c r="J59">
        <f t="shared" si="3"/>
        <v>1937</v>
      </c>
      <c r="K59" s="16">
        <f t="shared" si="4"/>
        <v>44.650500000000001</v>
      </c>
      <c r="L59" s="16">
        <f t="shared" si="5"/>
        <v>24.347999999999999</v>
      </c>
      <c r="M59" s="16">
        <f t="shared" si="6"/>
        <v>20.302500000000002</v>
      </c>
    </row>
    <row r="60" spans="1:13" x14ac:dyDescent="0.25">
      <c r="A60" s="1">
        <v>1938</v>
      </c>
      <c r="B60" s="16">
        <v>44.627099999999999</v>
      </c>
      <c r="C60" s="16">
        <v>23.968800000000002</v>
      </c>
      <c r="F60" s="20">
        <f t="shared" si="0"/>
        <v>0</v>
      </c>
      <c r="G60" s="16">
        <f t="shared" si="1"/>
        <v>44.627099999999999</v>
      </c>
      <c r="H60" s="16">
        <f t="shared" si="2"/>
        <v>23.968800000000002</v>
      </c>
      <c r="J60">
        <f t="shared" si="3"/>
        <v>1938</v>
      </c>
      <c r="K60" s="16">
        <f t="shared" si="4"/>
        <v>44.627099999999999</v>
      </c>
      <c r="L60" s="16">
        <f t="shared" si="5"/>
        <v>23.968800000000002</v>
      </c>
      <c r="M60" s="16">
        <f t="shared" si="6"/>
        <v>20.658299999999997</v>
      </c>
    </row>
    <row r="61" spans="1:13" x14ac:dyDescent="0.25">
      <c r="A61" s="1">
        <v>1939</v>
      </c>
      <c r="B61" s="16">
        <v>44.6021</v>
      </c>
      <c r="C61" s="16">
        <v>23.566500000000001</v>
      </c>
      <c r="F61" s="20">
        <f t="shared" si="0"/>
        <v>0</v>
      </c>
      <c r="G61" s="16">
        <f t="shared" si="1"/>
        <v>44.6021</v>
      </c>
      <c r="H61" s="16">
        <f t="shared" si="2"/>
        <v>23.566500000000001</v>
      </c>
      <c r="J61">
        <f t="shared" si="3"/>
        <v>1939</v>
      </c>
      <c r="K61" s="16">
        <f t="shared" si="4"/>
        <v>44.6021</v>
      </c>
      <c r="L61" s="16">
        <f t="shared" si="5"/>
        <v>23.566500000000001</v>
      </c>
      <c r="M61" s="16">
        <f t="shared" si="6"/>
        <v>21.035599999999999</v>
      </c>
    </row>
    <row r="62" spans="1:13" x14ac:dyDescent="0.25">
      <c r="A62" s="1">
        <v>1940</v>
      </c>
      <c r="B62" s="16">
        <v>44.575299999999999</v>
      </c>
      <c r="C62" s="16">
        <v>23.145099999999999</v>
      </c>
      <c r="F62" s="20">
        <f t="shared" si="0"/>
        <v>0</v>
      </c>
      <c r="G62" s="16">
        <f t="shared" si="1"/>
        <v>44.575299999999999</v>
      </c>
      <c r="H62" s="16">
        <f t="shared" si="2"/>
        <v>23.145099999999999</v>
      </c>
      <c r="J62">
        <f t="shared" si="3"/>
        <v>1940</v>
      </c>
      <c r="K62" s="16">
        <f t="shared" si="4"/>
        <v>44.575299999999999</v>
      </c>
      <c r="L62" s="16">
        <f t="shared" si="5"/>
        <v>23.145099999999999</v>
      </c>
      <c r="M62" s="16">
        <f t="shared" si="6"/>
        <v>21.430199999999999</v>
      </c>
    </row>
    <row r="63" spans="1:13" x14ac:dyDescent="0.25">
      <c r="A63" s="1">
        <v>1941</v>
      </c>
      <c r="B63" s="16">
        <v>44.546199999999999</v>
      </c>
      <c r="C63" s="16">
        <v>22.7089</v>
      </c>
      <c r="F63" s="20">
        <f t="shared" si="0"/>
        <v>0</v>
      </c>
      <c r="G63" s="16">
        <f t="shared" si="1"/>
        <v>44.546199999999999</v>
      </c>
      <c r="H63" s="16">
        <f t="shared" si="2"/>
        <v>22.7089</v>
      </c>
      <c r="J63">
        <f t="shared" si="3"/>
        <v>1941</v>
      </c>
      <c r="K63" s="16">
        <f t="shared" si="4"/>
        <v>44.546199999999999</v>
      </c>
      <c r="L63" s="16">
        <f t="shared" si="5"/>
        <v>22.7089</v>
      </c>
      <c r="M63" s="16">
        <f t="shared" si="6"/>
        <v>21.837299999999999</v>
      </c>
    </row>
    <row r="64" spans="1:13" x14ac:dyDescent="0.25">
      <c r="A64" s="1">
        <v>1942</v>
      </c>
      <c r="B64" s="16">
        <v>44.514400000000002</v>
      </c>
      <c r="C64" s="16">
        <v>22.2621</v>
      </c>
      <c r="F64" s="20">
        <f t="shared" si="0"/>
        <v>0</v>
      </c>
      <c r="G64" s="16">
        <f t="shared" si="1"/>
        <v>44.514400000000002</v>
      </c>
      <c r="H64" s="16">
        <f t="shared" si="2"/>
        <v>22.2621</v>
      </c>
      <c r="J64">
        <f t="shared" si="3"/>
        <v>1942</v>
      </c>
      <c r="K64" s="16">
        <f t="shared" si="4"/>
        <v>44.514400000000002</v>
      </c>
      <c r="L64" s="16">
        <f t="shared" si="5"/>
        <v>22.2621</v>
      </c>
      <c r="M64" s="16">
        <f t="shared" si="6"/>
        <v>22.252300000000002</v>
      </c>
    </row>
    <row r="65" spans="1:13" x14ac:dyDescent="0.25">
      <c r="A65" s="1">
        <v>1943</v>
      </c>
      <c r="B65" s="16">
        <v>44.479700000000001</v>
      </c>
      <c r="C65" s="16">
        <v>21.808900000000001</v>
      </c>
      <c r="F65" s="20">
        <f t="shared" si="0"/>
        <v>0</v>
      </c>
      <c r="G65" s="16">
        <f t="shared" si="1"/>
        <v>44.479700000000001</v>
      </c>
      <c r="H65" s="16">
        <f t="shared" si="2"/>
        <v>21.808900000000001</v>
      </c>
      <c r="J65">
        <f t="shared" si="3"/>
        <v>1943</v>
      </c>
      <c r="K65" s="16">
        <f t="shared" si="4"/>
        <v>44.479700000000001</v>
      </c>
      <c r="L65" s="16">
        <f t="shared" si="5"/>
        <v>21.808900000000001</v>
      </c>
      <c r="M65" s="16">
        <f t="shared" si="6"/>
        <v>22.6708</v>
      </c>
    </row>
    <row r="66" spans="1:13" x14ac:dyDescent="0.25">
      <c r="A66" s="1">
        <v>1944</v>
      </c>
      <c r="B66" s="16">
        <v>44.441699999999997</v>
      </c>
      <c r="C66" s="16">
        <v>21.3535</v>
      </c>
      <c r="F66" s="20">
        <f t="shared" si="0"/>
        <v>0</v>
      </c>
      <c r="G66" s="16">
        <f t="shared" si="1"/>
        <v>44.441699999999997</v>
      </c>
      <c r="H66" s="16">
        <f t="shared" si="2"/>
        <v>21.3535</v>
      </c>
      <c r="J66">
        <f t="shared" si="3"/>
        <v>1944</v>
      </c>
      <c r="K66" s="16">
        <f t="shared" si="4"/>
        <v>44.441699999999997</v>
      </c>
      <c r="L66" s="16">
        <f t="shared" si="5"/>
        <v>21.3535</v>
      </c>
      <c r="M66" s="16">
        <f t="shared" si="6"/>
        <v>23.088199999999997</v>
      </c>
    </row>
    <row r="67" spans="1:13" x14ac:dyDescent="0.25">
      <c r="A67" s="1">
        <v>1945</v>
      </c>
      <c r="B67" s="16">
        <v>44.4</v>
      </c>
      <c r="C67" s="16">
        <v>20.9</v>
      </c>
      <c r="F67" s="20">
        <f t="shared" si="0"/>
        <v>0</v>
      </c>
      <c r="G67" s="16">
        <f t="shared" si="1"/>
        <v>44.4</v>
      </c>
      <c r="H67" s="16">
        <f t="shared" si="2"/>
        <v>20.9</v>
      </c>
      <c r="J67">
        <f t="shared" si="3"/>
        <v>1945</v>
      </c>
      <c r="K67" s="16">
        <f t="shared" si="4"/>
        <v>44.4</v>
      </c>
      <c r="L67" s="16">
        <f t="shared" si="5"/>
        <v>20.9</v>
      </c>
      <c r="M67" s="16">
        <f t="shared" si="6"/>
        <v>23.5</v>
      </c>
    </row>
    <row r="68" spans="1:13" x14ac:dyDescent="0.25">
      <c r="A68" s="1">
        <v>1946</v>
      </c>
      <c r="B68" s="16">
        <v>44.348100000000002</v>
      </c>
      <c r="C68" s="16">
        <v>20.3948</v>
      </c>
      <c r="F68" s="20">
        <f t="shared" ref="F68:F131" si="7">IF(A68&lt;1950,0,IF(A68&gt;1985,1,POWER((A68-1950)/35,3)*(10-15*((A68-1950)/35)+6*POWER((A68-1950)/35,2))))</f>
        <v>0</v>
      </c>
      <c r="G68" s="16">
        <f t="shared" ref="G68:G131" si="8">IF(A68&lt;1950,B68,IF(A68&gt;1985,D68,(1-$F68)*B68+$F68*D68))</f>
        <v>44.348100000000002</v>
      </c>
      <c r="H68" s="16">
        <f t="shared" ref="H68:H131" si="9">IF(A68&lt;1950,C68,IF(A68&gt;1985,E68,(1-$F68)*C68+$F68*E68))</f>
        <v>20.3948</v>
      </c>
      <c r="J68">
        <f t="shared" ref="J68:J131" si="10">A68</f>
        <v>1946</v>
      </c>
      <c r="K68" s="16">
        <f t="shared" ref="K68:K131" si="11">G68</f>
        <v>44.348100000000002</v>
      </c>
      <c r="L68" s="16">
        <f t="shared" ref="L68:L131" si="12">H68</f>
        <v>20.3948</v>
      </c>
      <c r="M68" s="16">
        <f t="shared" ref="M68:M131" si="13">K68-L68</f>
        <v>23.953300000000002</v>
      </c>
    </row>
    <row r="69" spans="1:13" x14ac:dyDescent="0.25">
      <c r="A69" s="1">
        <v>1947</v>
      </c>
      <c r="B69" s="16">
        <v>44.28</v>
      </c>
      <c r="C69" s="16">
        <v>19.7958</v>
      </c>
      <c r="F69" s="20">
        <f t="shared" si="7"/>
        <v>0</v>
      </c>
      <c r="G69" s="16">
        <f t="shared" si="8"/>
        <v>44.28</v>
      </c>
      <c r="H69" s="16">
        <f t="shared" si="9"/>
        <v>19.7958</v>
      </c>
      <c r="J69">
        <f t="shared" si="10"/>
        <v>1947</v>
      </c>
      <c r="K69" s="16">
        <f t="shared" si="11"/>
        <v>44.28</v>
      </c>
      <c r="L69" s="16">
        <f t="shared" si="12"/>
        <v>19.7958</v>
      </c>
      <c r="M69" s="16">
        <f t="shared" si="13"/>
        <v>24.484200000000001</v>
      </c>
    </row>
    <row r="70" spans="1:13" x14ac:dyDescent="0.25">
      <c r="A70" s="1">
        <v>1948</v>
      </c>
      <c r="B70" s="16">
        <v>44.195999999999998</v>
      </c>
      <c r="C70" s="16">
        <v>19.124300000000002</v>
      </c>
      <c r="F70" s="20">
        <f t="shared" si="7"/>
        <v>0</v>
      </c>
      <c r="G70" s="16">
        <f t="shared" si="8"/>
        <v>44.195999999999998</v>
      </c>
      <c r="H70" s="16">
        <f t="shared" si="9"/>
        <v>19.124300000000002</v>
      </c>
      <c r="J70">
        <f t="shared" si="10"/>
        <v>1948</v>
      </c>
      <c r="K70" s="16">
        <f t="shared" si="11"/>
        <v>44.195999999999998</v>
      </c>
      <c r="L70" s="16">
        <f t="shared" si="12"/>
        <v>19.124300000000002</v>
      </c>
      <c r="M70" s="16">
        <f t="shared" si="13"/>
        <v>25.071699999999996</v>
      </c>
    </row>
    <row r="71" spans="1:13" x14ac:dyDescent="0.25">
      <c r="A71" s="1">
        <v>1949</v>
      </c>
      <c r="B71" s="16">
        <v>44.096699999999998</v>
      </c>
      <c r="C71" s="16">
        <v>18.402000000000001</v>
      </c>
      <c r="F71" s="20">
        <f t="shared" si="7"/>
        <v>0</v>
      </c>
      <c r="G71" s="16">
        <f t="shared" si="8"/>
        <v>44.096699999999998</v>
      </c>
      <c r="H71" s="16">
        <f t="shared" si="9"/>
        <v>18.402000000000001</v>
      </c>
      <c r="J71">
        <f t="shared" si="10"/>
        <v>1949</v>
      </c>
      <c r="K71" s="16">
        <f t="shared" si="11"/>
        <v>44.096699999999998</v>
      </c>
      <c r="L71" s="16">
        <f t="shared" si="12"/>
        <v>18.402000000000001</v>
      </c>
      <c r="M71" s="16">
        <f t="shared" si="13"/>
        <v>25.694699999999997</v>
      </c>
    </row>
    <row r="72" spans="1:13" x14ac:dyDescent="0.25">
      <c r="A72" s="1">
        <v>1950</v>
      </c>
      <c r="B72" s="16">
        <v>43.982300000000002</v>
      </c>
      <c r="C72" s="16">
        <v>17.650099999999998</v>
      </c>
      <c r="D72" s="16">
        <v>46.4</v>
      </c>
      <c r="E72" s="16">
        <v>17</v>
      </c>
      <c r="F72" s="20">
        <f t="shared" si="7"/>
        <v>0</v>
      </c>
      <c r="G72" s="16">
        <f t="shared" si="8"/>
        <v>43.982300000000002</v>
      </c>
      <c r="H72" s="16">
        <f t="shared" si="9"/>
        <v>17.650099999999998</v>
      </c>
      <c r="J72">
        <f t="shared" si="10"/>
        <v>1950</v>
      </c>
      <c r="K72" s="16">
        <f t="shared" si="11"/>
        <v>43.982300000000002</v>
      </c>
      <c r="L72" s="16">
        <f t="shared" si="12"/>
        <v>17.650099999999998</v>
      </c>
      <c r="M72" s="16">
        <f t="shared" si="13"/>
        <v>26.332200000000004</v>
      </c>
    </row>
    <row r="73" spans="1:13" x14ac:dyDescent="0.25">
      <c r="A73" s="1">
        <v>1951</v>
      </c>
      <c r="B73" s="16">
        <v>43.853400000000001</v>
      </c>
      <c r="C73" s="16">
        <v>16.8902</v>
      </c>
      <c r="D73" s="16">
        <v>46.4</v>
      </c>
      <c r="E73" s="16">
        <v>16.7</v>
      </c>
      <c r="F73" s="20">
        <f t="shared" si="7"/>
        <v>2.2335455464984823E-4</v>
      </c>
      <c r="G73" s="16">
        <f t="shared" si="8"/>
        <v>43.853968794708869</v>
      </c>
      <c r="H73" s="16">
        <f t="shared" si="9"/>
        <v>16.890157517963704</v>
      </c>
      <c r="J73">
        <f t="shared" si="10"/>
        <v>1951</v>
      </c>
      <c r="K73" s="16">
        <f t="shared" si="11"/>
        <v>43.853968794708869</v>
      </c>
      <c r="L73" s="16">
        <f t="shared" si="12"/>
        <v>16.890157517963704</v>
      </c>
      <c r="M73" s="16">
        <f t="shared" si="13"/>
        <v>26.963811276745165</v>
      </c>
    </row>
    <row r="74" spans="1:13" x14ac:dyDescent="0.25">
      <c r="A74" s="1">
        <v>1952</v>
      </c>
      <c r="B74" s="16">
        <v>43.7102</v>
      </c>
      <c r="C74" s="16">
        <v>16.143799999999999</v>
      </c>
      <c r="D74" s="16">
        <v>46.3</v>
      </c>
      <c r="E74" s="16">
        <v>16.3</v>
      </c>
      <c r="F74" s="20">
        <f t="shared" si="7"/>
        <v>1.7096114714107214E-3</v>
      </c>
      <c r="G74" s="16">
        <f t="shared" si="8"/>
        <v>43.714627551788659</v>
      </c>
      <c r="H74" s="16">
        <f t="shared" si="9"/>
        <v>16.144067041311835</v>
      </c>
      <c r="J74">
        <f t="shared" si="10"/>
        <v>1952</v>
      </c>
      <c r="K74" s="16">
        <f t="shared" si="11"/>
        <v>43.714627551788659</v>
      </c>
      <c r="L74" s="16">
        <f t="shared" si="12"/>
        <v>16.144067041311835</v>
      </c>
      <c r="M74" s="16">
        <f t="shared" si="13"/>
        <v>27.570560510476824</v>
      </c>
    </row>
    <row r="75" spans="1:13" x14ac:dyDescent="0.25">
      <c r="A75" s="1">
        <v>1953</v>
      </c>
      <c r="B75" s="16">
        <v>43.553400000000003</v>
      </c>
      <c r="C75" s="16">
        <v>15.432399999999999</v>
      </c>
      <c r="D75" s="16">
        <v>46.1</v>
      </c>
      <c r="E75" s="16">
        <v>16</v>
      </c>
      <c r="F75" s="20">
        <f t="shared" si="7"/>
        <v>5.5154733146903067E-3</v>
      </c>
      <c r="G75" s="16">
        <f t="shared" si="8"/>
        <v>43.567445704343193</v>
      </c>
      <c r="H75" s="16">
        <f t="shared" si="9"/>
        <v>15.435530582653417</v>
      </c>
      <c r="J75">
        <f t="shared" si="10"/>
        <v>1953</v>
      </c>
      <c r="K75" s="16">
        <f t="shared" si="11"/>
        <v>43.567445704343193</v>
      </c>
      <c r="L75" s="16">
        <f t="shared" si="12"/>
        <v>15.435530582653417</v>
      </c>
      <c r="M75" s="16">
        <f t="shared" si="13"/>
        <v>28.131915121689776</v>
      </c>
    </row>
    <row r="76" spans="1:13" x14ac:dyDescent="0.25">
      <c r="A76" s="1">
        <v>1954</v>
      </c>
      <c r="B76" s="16">
        <v>43.383099999999999</v>
      </c>
      <c r="C76" s="16">
        <v>14.7773</v>
      </c>
      <c r="D76" s="16">
        <v>45.9</v>
      </c>
      <c r="E76" s="16">
        <v>15.6</v>
      </c>
      <c r="F76" s="20">
        <f t="shared" si="7"/>
        <v>1.2485159754864044E-2</v>
      </c>
      <c r="G76" s="16">
        <f t="shared" si="8"/>
        <v>43.414523898587021</v>
      </c>
      <c r="H76" s="16">
        <f t="shared" si="9"/>
        <v>14.787571540930326</v>
      </c>
      <c r="J76">
        <f t="shared" si="10"/>
        <v>1954</v>
      </c>
      <c r="K76" s="16">
        <f t="shared" si="11"/>
        <v>43.414523898587021</v>
      </c>
      <c r="L76" s="16">
        <f t="shared" si="12"/>
        <v>14.787571540930326</v>
      </c>
      <c r="M76" s="16">
        <f t="shared" si="13"/>
        <v>28.626952357656695</v>
      </c>
    </row>
    <row r="77" spans="1:13" x14ac:dyDescent="0.25">
      <c r="A77" s="1">
        <v>1955</v>
      </c>
      <c r="B77" s="16">
        <v>43.2</v>
      </c>
      <c r="C77" s="16">
        <v>14.2</v>
      </c>
      <c r="D77" s="16">
        <v>45.7</v>
      </c>
      <c r="E77" s="16">
        <v>15.3</v>
      </c>
      <c r="F77" s="20">
        <f t="shared" si="7"/>
        <v>2.3264116142083652E-2</v>
      </c>
      <c r="G77" s="16">
        <f t="shared" si="8"/>
        <v>43.258160290355214</v>
      </c>
      <c r="H77" s="16">
        <f t="shared" si="9"/>
        <v>14.225590527756291</v>
      </c>
      <c r="J77">
        <f t="shared" si="10"/>
        <v>1955</v>
      </c>
      <c r="K77" s="16">
        <f t="shared" si="11"/>
        <v>43.258160290355214</v>
      </c>
      <c r="L77" s="16">
        <f t="shared" si="12"/>
        <v>14.225590527756291</v>
      </c>
      <c r="M77" s="16">
        <f t="shared" si="13"/>
        <v>29.032569762598925</v>
      </c>
    </row>
    <row r="78" spans="1:13" x14ac:dyDescent="0.25">
      <c r="A78" s="1">
        <v>1956</v>
      </c>
      <c r="B78" s="16">
        <v>42.960999999999999</v>
      </c>
      <c r="C78" s="16">
        <v>13.6546</v>
      </c>
      <c r="D78" s="16">
        <v>45.4</v>
      </c>
      <c r="E78" s="16">
        <v>14.9</v>
      </c>
      <c r="F78" s="20">
        <f t="shared" si="7"/>
        <v>3.8312722080085682E-2</v>
      </c>
      <c r="G78" s="16">
        <f t="shared" si="8"/>
        <v>43.054444729153332</v>
      </c>
      <c r="H78" s="16">
        <f t="shared" si="9"/>
        <v>13.702314664078541</v>
      </c>
      <c r="J78">
        <f t="shared" si="10"/>
        <v>1956</v>
      </c>
      <c r="K78" s="16">
        <f t="shared" si="11"/>
        <v>43.054444729153332</v>
      </c>
      <c r="L78" s="16">
        <f t="shared" si="12"/>
        <v>13.702314664078541</v>
      </c>
      <c r="M78" s="16">
        <f t="shared" si="13"/>
        <v>29.352130065074789</v>
      </c>
    </row>
    <row r="79" spans="1:13" x14ac:dyDescent="0.25">
      <c r="A79" s="1">
        <v>1957</v>
      </c>
      <c r="B79" s="16">
        <v>42.633499999999998</v>
      </c>
      <c r="C79" s="16">
        <v>13.091200000000001</v>
      </c>
      <c r="D79" s="16">
        <v>45.1</v>
      </c>
      <c r="E79" s="16">
        <v>14.6</v>
      </c>
      <c r="F79" s="20">
        <f t="shared" si="7"/>
        <v>5.7920000000000013E-2</v>
      </c>
      <c r="G79" s="16">
        <f t="shared" si="8"/>
        <v>42.776359679999999</v>
      </c>
      <c r="H79" s="16">
        <f t="shared" si="9"/>
        <v>13.178589696000001</v>
      </c>
      <c r="J79">
        <f t="shared" si="10"/>
        <v>1957</v>
      </c>
      <c r="K79" s="16">
        <f t="shared" si="11"/>
        <v>42.776359679999999</v>
      </c>
      <c r="L79" s="16">
        <f t="shared" si="12"/>
        <v>13.178589696000001</v>
      </c>
      <c r="M79" s="16">
        <f t="shared" si="13"/>
        <v>29.597769983999996</v>
      </c>
    </row>
    <row r="80" spans="1:13" x14ac:dyDescent="0.25">
      <c r="A80" s="1">
        <v>1958</v>
      </c>
      <c r="B80" s="16">
        <v>42.232999999999997</v>
      </c>
      <c r="C80" s="16">
        <v>12.5253</v>
      </c>
      <c r="D80" s="16">
        <v>44.8</v>
      </c>
      <c r="E80" s="16">
        <v>14.3</v>
      </c>
      <c r="F80" s="20">
        <f t="shared" si="7"/>
        <v>8.2217323734158382E-2</v>
      </c>
      <c r="G80" s="16">
        <f t="shared" si="8"/>
        <v>42.444051870025582</v>
      </c>
      <c r="H80" s="16">
        <f t="shared" si="9"/>
        <v>12.671211084431011</v>
      </c>
      <c r="J80">
        <f t="shared" si="10"/>
        <v>1958</v>
      </c>
      <c r="K80" s="16">
        <f t="shared" si="11"/>
        <v>42.444051870025582</v>
      </c>
      <c r="L80" s="16">
        <f t="shared" si="12"/>
        <v>12.671211084431011</v>
      </c>
      <c r="M80" s="16">
        <f t="shared" si="13"/>
        <v>29.772840785594571</v>
      </c>
    </row>
    <row r="81" spans="1:13" x14ac:dyDescent="0.25">
      <c r="A81" s="1">
        <v>1959</v>
      </c>
      <c r="B81" s="16">
        <v>41.775199999999998</v>
      </c>
      <c r="C81" s="16">
        <v>11.9725</v>
      </c>
      <c r="D81" s="16">
        <v>44.4</v>
      </c>
      <c r="E81" s="16">
        <v>13.9</v>
      </c>
      <c r="F81" s="20">
        <f t="shared" si="7"/>
        <v>0.111192127089903</v>
      </c>
      <c r="G81" s="16">
        <f t="shared" si="8"/>
        <v>42.067057095185575</v>
      </c>
      <c r="H81" s="16">
        <f t="shared" si="9"/>
        <v>12.186822824965788</v>
      </c>
      <c r="J81">
        <f t="shared" si="10"/>
        <v>1959</v>
      </c>
      <c r="K81" s="16">
        <f t="shared" si="11"/>
        <v>42.067057095185575</v>
      </c>
      <c r="L81" s="16">
        <f t="shared" si="12"/>
        <v>12.186822824965788</v>
      </c>
      <c r="M81" s="16">
        <f t="shared" si="13"/>
        <v>29.880234270219788</v>
      </c>
    </row>
    <row r="82" spans="1:13" x14ac:dyDescent="0.25">
      <c r="A82" s="1">
        <v>1960</v>
      </c>
      <c r="B82" s="16">
        <v>41.275700000000001</v>
      </c>
      <c r="C82" s="16">
        <v>11.4483</v>
      </c>
      <c r="D82" s="16">
        <v>43.9</v>
      </c>
      <c r="E82" s="16">
        <v>13.6</v>
      </c>
      <c r="F82" s="20">
        <f t="shared" si="7"/>
        <v>0.14470161242339499</v>
      </c>
      <c r="G82" s="16">
        <f t="shared" si="8"/>
        <v>41.655440441482718</v>
      </c>
      <c r="H82" s="16">
        <f t="shared" si="9"/>
        <v>11.75965445945142</v>
      </c>
      <c r="J82">
        <f t="shared" si="10"/>
        <v>1960</v>
      </c>
      <c r="K82" s="16">
        <f t="shared" si="11"/>
        <v>41.655440441482718</v>
      </c>
      <c r="L82" s="16">
        <f t="shared" si="12"/>
        <v>11.75965445945142</v>
      </c>
      <c r="M82" s="16">
        <f t="shared" si="13"/>
        <v>29.895785982031299</v>
      </c>
    </row>
    <row r="83" spans="1:13" x14ac:dyDescent="0.25">
      <c r="A83" s="1">
        <v>1961</v>
      </c>
      <c r="B83" s="16">
        <v>40.750100000000003</v>
      </c>
      <c r="C83" s="16">
        <v>10.9682</v>
      </c>
      <c r="D83" s="16">
        <v>43.3</v>
      </c>
      <c r="E83" s="16">
        <v>13.3</v>
      </c>
      <c r="F83" s="20">
        <f t="shared" si="7"/>
        <v>0.18248645921342296</v>
      </c>
      <c r="G83" s="16">
        <f t="shared" si="8"/>
        <v>41.215422222348309</v>
      </c>
      <c r="H83" s="16">
        <f t="shared" si="9"/>
        <v>11.393721925593859</v>
      </c>
      <c r="J83">
        <f t="shared" si="10"/>
        <v>1961</v>
      </c>
      <c r="K83" s="16">
        <f t="shared" si="11"/>
        <v>41.215422222348309</v>
      </c>
      <c r="L83" s="16">
        <f t="shared" si="12"/>
        <v>11.393721925593859</v>
      </c>
      <c r="M83" s="16">
        <f t="shared" si="13"/>
        <v>29.82170029675445</v>
      </c>
    </row>
    <row r="84" spans="1:13" x14ac:dyDescent="0.25">
      <c r="A84" s="1">
        <v>1962</v>
      </c>
      <c r="B84" s="16">
        <v>40.214100000000002</v>
      </c>
      <c r="C84" s="16">
        <v>10.547800000000001</v>
      </c>
      <c r="D84" s="16">
        <v>42.7</v>
      </c>
      <c r="E84" s="16">
        <v>12.9</v>
      </c>
      <c r="F84" s="20">
        <f t="shared" si="7"/>
        <v>0.22418453263521151</v>
      </c>
      <c r="G84" s="16">
        <f t="shared" si="8"/>
        <v>40.771400329677874</v>
      </c>
      <c r="H84" s="16">
        <f t="shared" si="9"/>
        <v>11.075126857664545</v>
      </c>
      <c r="J84">
        <f t="shared" si="10"/>
        <v>1962</v>
      </c>
      <c r="K84" s="16">
        <f t="shared" si="11"/>
        <v>40.771400329677874</v>
      </c>
      <c r="L84" s="16">
        <f t="shared" si="12"/>
        <v>11.075126857664545</v>
      </c>
      <c r="M84" s="16">
        <f t="shared" si="13"/>
        <v>29.696273472013331</v>
      </c>
    </row>
    <row r="85" spans="1:13" x14ac:dyDescent="0.25">
      <c r="A85" s="1">
        <v>1963</v>
      </c>
      <c r="B85" s="16">
        <v>39.683399999999999</v>
      </c>
      <c r="C85" s="16">
        <v>10.2026</v>
      </c>
      <c r="D85" s="16">
        <v>42</v>
      </c>
      <c r="E85" s="16">
        <v>12.6</v>
      </c>
      <c r="F85" s="20">
        <f t="shared" si="7"/>
        <v>0.26934459213422984</v>
      </c>
      <c r="G85" s="16">
        <f t="shared" si="8"/>
        <v>40.307363682138153</v>
      </c>
      <c r="H85" s="16">
        <f t="shared" si="9"/>
        <v>10.848326725182602</v>
      </c>
      <c r="J85">
        <f t="shared" si="10"/>
        <v>1963</v>
      </c>
      <c r="K85" s="16">
        <f t="shared" si="11"/>
        <v>40.307363682138153</v>
      </c>
      <c r="L85" s="16">
        <f t="shared" si="12"/>
        <v>10.848326725182602</v>
      </c>
      <c r="M85" s="16">
        <f t="shared" si="13"/>
        <v>29.459036956955551</v>
      </c>
    </row>
    <row r="86" spans="1:13" x14ac:dyDescent="0.25">
      <c r="A86" s="1">
        <v>1964</v>
      </c>
      <c r="B86" s="16">
        <v>39.173400000000001</v>
      </c>
      <c r="C86" s="16">
        <v>9.9481000000000002</v>
      </c>
      <c r="D86" s="16">
        <v>41</v>
      </c>
      <c r="E86" s="16">
        <v>12.3</v>
      </c>
      <c r="F86" s="20">
        <f t="shared" si="7"/>
        <v>0.31744000000000006</v>
      </c>
      <c r="G86" s="16">
        <f t="shared" si="8"/>
        <v>39.753235904</v>
      </c>
      <c r="H86" s="16">
        <f t="shared" si="9"/>
        <v>10.694687136000001</v>
      </c>
      <c r="J86">
        <f t="shared" si="10"/>
        <v>1964</v>
      </c>
      <c r="K86" s="16">
        <f t="shared" si="11"/>
        <v>39.753235904</v>
      </c>
      <c r="L86" s="16">
        <f t="shared" si="12"/>
        <v>10.694687136000001</v>
      </c>
      <c r="M86" s="16">
        <f t="shared" si="13"/>
        <v>29.058548768000001</v>
      </c>
    </row>
    <row r="87" spans="1:13" x14ac:dyDescent="0.25">
      <c r="A87" s="1">
        <v>1965</v>
      </c>
      <c r="B87" s="16">
        <v>38.700000000000003</v>
      </c>
      <c r="C87" s="16">
        <v>9.8000000000000007</v>
      </c>
      <c r="D87" s="16">
        <v>39.799999999999997</v>
      </c>
      <c r="E87" s="16">
        <v>12</v>
      </c>
      <c r="F87" s="20">
        <f t="shared" si="7"/>
        <v>0.367882429939906</v>
      </c>
      <c r="G87" s="16">
        <f t="shared" si="8"/>
        <v>39.104670672933899</v>
      </c>
      <c r="H87" s="16">
        <f t="shared" si="9"/>
        <v>10.609341345867794</v>
      </c>
      <c r="J87">
        <f t="shared" si="10"/>
        <v>1965</v>
      </c>
      <c r="K87" s="16">
        <f t="shared" si="11"/>
        <v>39.104670672933899</v>
      </c>
      <c r="L87" s="16">
        <f t="shared" si="12"/>
        <v>10.609341345867794</v>
      </c>
      <c r="M87" s="16">
        <f t="shared" si="13"/>
        <v>28.495329327066106</v>
      </c>
    </row>
    <row r="88" spans="1:13" x14ac:dyDescent="0.25">
      <c r="A88" s="1">
        <v>1966</v>
      </c>
      <c r="B88" s="16">
        <v>38.253</v>
      </c>
      <c r="C88" s="16">
        <v>9.7201000000000004</v>
      </c>
      <c r="D88" s="16">
        <v>38.6</v>
      </c>
      <c r="E88" s="16">
        <v>11.6</v>
      </c>
      <c r="F88" s="20">
        <f t="shared" si="7"/>
        <v>0.4200355756530017</v>
      </c>
      <c r="G88" s="16">
        <f t="shared" si="8"/>
        <v>38.3987523447516</v>
      </c>
      <c r="H88" s="16">
        <f t="shared" si="9"/>
        <v>10.509724878670079</v>
      </c>
      <c r="J88">
        <f t="shared" si="10"/>
        <v>1966</v>
      </c>
      <c r="K88" s="16">
        <f t="shared" si="11"/>
        <v>38.3987523447516</v>
      </c>
      <c r="L88" s="16">
        <f t="shared" si="12"/>
        <v>10.509724878670079</v>
      </c>
      <c r="M88" s="16">
        <f t="shared" si="13"/>
        <v>27.889027466081522</v>
      </c>
    </row>
    <row r="89" spans="1:13" x14ac:dyDescent="0.25">
      <c r="A89" s="1">
        <v>1967</v>
      </c>
      <c r="B89" s="16">
        <v>37.810499999999998</v>
      </c>
      <c r="C89" s="16">
        <v>9.6575000000000006</v>
      </c>
      <c r="D89" s="16">
        <v>37.4</v>
      </c>
      <c r="E89" s="16">
        <v>11.3</v>
      </c>
      <c r="F89" s="20">
        <f t="shared" si="7"/>
        <v>0.47322885940381987</v>
      </c>
      <c r="G89" s="16">
        <f t="shared" si="8"/>
        <v>37.616239553214733</v>
      </c>
      <c r="H89" s="16">
        <f t="shared" si="9"/>
        <v>10.434778401570775</v>
      </c>
      <c r="J89">
        <f t="shared" si="10"/>
        <v>1967</v>
      </c>
      <c r="K89" s="16">
        <f t="shared" si="11"/>
        <v>37.616239553214733</v>
      </c>
      <c r="L89" s="16">
        <f t="shared" si="12"/>
        <v>10.434778401570775</v>
      </c>
      <c r="M89" s="16">
        <f t="shared" si="13"/>
        <v>27.181461151643958</v>
      </c>
    </row>
    <row r="90" spans="1:13" x14ac:dyDescent="0.25">
      <c r="A90" s="1">
        <v>1968</v>
      </c>
      <c r="B90" s="16">
        <v>37.370699999999999</v>
      </c>
      <c r="C90" s="16">
        <v>9.6081000000000003</v>
      </c>
      <c r="D90" s="16">
        <v>36.299999999999997</v>
      </c>
      <c r="E90" s="16">
        <v>11</v>
      </c>
      <c r="F90" s="20">
        <f t="shared" si="7"/>
        <v>0.52677114059618002</v>
      </c>
      <c r="G90" s="16">
        <f t="shared" si="8"/>
        <v>36.80668613976367</v>
      </c>
      <c r="H90" s="16">
        <f t="shared" si="9"/>
        <v>10.341312750595822</v>
      </c>
      <c r="J90">
        <f t="shared" si="10"/>
        <v>1968</v>
      </c>
      <c r="K90" s="16">
        <f t="shared" si="11"/>
        <v>36.80668613976367</v>
      </c>
      <c r="L90" s="16">
        <f t="shared" si="12"/>
        <v>10.341312750595822</v>
      </c>
      <c r="M90" s="16">
        <f t="shared" si="13"/>
        <v>26.465373389167848</v>
      </c>
    </row>
    <row r="91" spans="1:13" x14ac:dyDescent="0.25">
      <c r="A91" s="1">
        <v>1969</v>
      </c>
      <c r="B91" s="16">
        <v>36.931600000000003</v>
      </c>
      <c r="C91" s="16">
        <v>9.5680999999999994</v>
      </c>
      <c r="D91" s="16">
        <v>35.700000000000003</v>
      </c>
      <c r="E91" s="16">
        <v>10.7</v>
      </c>
      <c r="F91" s="20">
        <f t="shared" si="7"/>
        <v>0.57996442434699824</v>
      </c>
      <c r="G91" s="16">
        <f t="shared" si="8"/>
        <v>36.217315814974242</v>
      </c>
      <c r="H91" s="16">
        <f t="shared" si="9"/>
        <v>10.224561731918367</v>
      </c>
      <c r="J91">
        <f t="shared" si="10"/>
        <v>1969</v>
      </c>
      <c r="K91" s="16">
        <f t="shared" si="11"/>
        <v>36.217315814974242</v>
      </c>
      <c r="L91" s="16">
        <f t="shared" si="12"/>
        <v>10.224561731918367</v>
      </c>
      <c r="M91" s="16">
        <f t="shared" si="13"/>
        <v>25.992754083055875</v>
      </c>
    </row>
    <row r="92" spans="1:13" x14ac:dyDescent="0.25">
      <c r="A92" s="1">
        <v>1970</v>
      </c>
      <c r="B92" s="16">
        <v>36.491100000000003</v>
      </c>
      <c r="C92" s="16">
        <v>9.5333000000000006</v>
      </c>
      <c r="D92" s="16">
        <v>35.200000000000003</v>
      </c>
      <c r="E92" s="16">
        <v>10.5</v>
      </c>
      <c r="F92" s="20">
        <f t="shared" si="7"/>
        <v>0.63211757006009395</v>
      </c>
      <c r="G92" s="16">
        <f t="shared" si="8"/>
        <v>35.674973005295413</v>
      </c>
      <c r="H92" s="16">
        <f t="shared" si="9"/>
        <v>10.144368054977093</v>
      </c>
      <c r="J92">
        <f t="shared" si="10"/>
        <v>1970</v>
      </c>
      <c r="K92" s="16">
        <f t="shared" si="11"/>
        <v>35.674973005295413</v>
      </c>
      <c r="L92" s="16">
        <f t="shared" si="12"/>
        <v>10.144368054977093</v>
      </c>
      <c r="M92" s="16">
        <f t="shared" si="13"/>
        <v>25.53060495031832</v>
      </c>
    </row>
    <row r="93" spans="1:13" x14ac:dyDescent="0.25">
      <c r="A93" s="1">
        <v>1971</v>
      </c>
      <c r="B93" s="16">
        <v>36.047400000000003</v>
      </c>
      <c r="C93" s="16">
        <v>9.4998000000000005</v>
      </c>
      <c r="D93" s="16">
        <v>34.9</v>
      </c>
      <c r="E93" s="16">
        <v>10.199999999999999</v>
      </c>
      <c r="F93" s="20">
        <f t="shared" si="7"/>
        <v>0.68256000000000006</v>
      </c>
      <c r="G93" s="16">
        <f t="shared" si="8"/>
        <v>35.264230655999995</v>
      </c>
      <c r="H93" s="16">
        <f t="shared" si="9"/>
        <v>9.9777285120000005</v>
      </c>
      <c r="J93">
        <f t="shared" si="10"/>
        <v>1971</v>
      </c>
      <c r="K93" s="16">
        <f t="shared" si="11"/>
        <v>35.264230655999995</v>
      </c>
      <c r="L93" s="16">
        <f t="shared" si="12"/>
        <v>9.9777285120000005</v>
      </c>
      <c r="M93" s="16">
        <f t="shared" si="13"/>
        <v>25.286502143999996</v>
      </c>
    </row>
    <row r="94" spans="1:13" x14ac:dyDescent="0.25">
      <c r="A94" s="1">
        <v>1972</v>
      </c>
      <c r="B94" s="16">
        <v>35.598399999999998</v>
      </c>
      <c r="C94" s="16">
        <v>9.4638000000000009</v>
      </c>
      <c r="D94" s="16">
        <v>34.5</v>
      </c>
      <c r="E94" s="16">
        <v>10</v>
      </c>
      <c r="F94" s="20">
        <f t="shared" si="7"/>
        <v>0.7306554078657701</v>
      </c>
      <c r="G94" s="16">
        <f t="shared" si="8"/>
        <v>34.795848100000235</v>
      </c>
      <c r="H94" s="16">
        <f t="shared" si="9"/>
        <v>9.8555774296976253</v>
      </c>
      <c r="J94">
        <f t="shared" si="10"/>
        <v>1972</v>
      </c>
      <c r="K94" s="16">
        <f t="shared" si="11"/>
        <v>34.795848100000235</v>
      </c>
      <c r="L94" s="16">
        <f t="shared" si="12"/>
        <v>9.8555774296976253</v>
      </c>
      <c r="M94" s="16">
        <f t="shared" si="13"/>
        <v>24.94027067030261</v>
      </c>
    </row>
    <row r="95" spans="1:13" x14ac:dyDescent="0.25">
      <c r="A95" s="1">
        <v>1973</v>
      </c>
      <c r="B95" s="16">
        <v>35.142099999999999</v>
      </c>
      <c r="C95" s="16">
        <v>9.4210999999999991</v>
      </c>
      <c r="D95" s="16">
        <v>34.200000000000003</v>
      </c>
      <c r="E95" s="16">
        <v>9.8000000000000007</v>
      </c>
      <c r="F95" s="20">
        <f t="shared" si="7"/>
        <v>0.77581546736478835</v>
      </c>
      <c r="G95" s="16">
        <f t="shared" si="8"/>
        <v>34.411204248195638</v>
      </c>
      <c r="H95" s="16">
        <f t="shared" si="9"/>
        <v>9.7150564805845185</v>
      </c>
      <c r="J95">
        <f t="shared" si="10"/>
        <v>1973</v>
      </c>
      <c r="K95" s="16">
        <f t="shared" si="11"/>
        <v>34.411204248195638</v>
      </c>
      <c r="L95" s="16">
        <f t="shared" si="12"/>
        <v>9.7150564805845185</v>
      </c>
      <c r="M95" s="16">
        <f t="shared" si="13"/>
        <v>24.696147767611119</v>
      </c>
    </row>
    <row r="96" spans="1:13" x14ac:dyDescent="0.25">
      <c r="A96" s="1">
        <v>1974</v>
      </c>
      <c r="B96" s="16">
        <v>34.676699999999997</v>
      </c>
      <c r="C96" s="16">
        <v>9.3678000000000008</v>
      </c>
      <c r="D96" s="16">
        <v>33.700000000000003</v>
      </c>
      <c r="E96" s="16">
        <v>9.6999999999999993</v>
      </c>
      <c r="F96" s="20">
        <f t="shared" si="7"/>
        <v>0.81751354078657679</v>
      </c>
      <c r="G96" s="16">
        <f t="shared" si="8"/>
        <v>33.878234524713754</v>
      </c>
      <c r="H96" s="16">
        <f t="shared" si="9"/>
        <v>9.6393779982492998</v>
      </c>
      <c r="J96">
        <f t="shared" si="10"/>
        <v>1974</v>
      </c>
      <c r="K96" s="16">
        <f t="shared" si="11"/>
        <v>33.878234524713754</v>
      </c>
      <c r="L96" s="16">
        <f t="shared" si="12"/>
        <v>9.6393779982492998</v>
      </c>
      <c r="M96" s="16">
        <f t="shared" si="13"/>
        <v>24.238856526464453</v>
      </c>
    </row>
    <row r="97" spans="1:13" x14ac:dyDescent="0.25">
      <c r="A97" s="1">
        <v>1975</v>
      </c>
      <c r="B97" s="16">
        <v>34.200000000000003</v>
      </c>
      <c r="C97" s="16">
        <v>9.3000000000000007</v>
      </c>
      <c r="D97" s="16">
        <v>33.5</v>
      </c>
      <c r="E97" s="16">
        <v>9.5</v>
      </c>
      <c r="F97" s="20">
        <f t="shared" si="7"/>
        <v>0.85529838757660481</v>
      </c>
      <c r="G97" s="16">
        <f t="shared" si="8"/>
        <v>33.601291128696374</v>
      </c>
      <c r="H97" s="16">
        <f t="shared" si="9"/>
        <v>9.4710596775153206</v>
      </c>
      <c r="J97">
        <f t="shared" si="10"/>
        <v>1975</v>
      </c>
      <c r="K97" s="16">
        <f t="shared" si="11"/>
        <v>33.601291128696374</v>
      </c>
      <c r="L97" s="16">
        <f t="shared" si="12"/>
        <v>9.4710596775153206</v>
      </c>
      <c r="M97" s="16">
        <f t="shared" si="13"/>
        <v>24.130231451181054</v>
      </c>
    </row>
    <row r="98" spans="1:13" x14ac:dyDescent="0.25">
      <c r="A98" s="1">
        <v>1976</v>
      </c>
      <c r="B98" s="16">
        <v>33.716900000000003</v>
      </c>
      <c r="C98" s="16">
        <v>9.2047000000000008</v>
      </c>
      <c r="D98" s="16">
        <v>33.299999999999997</v>
      </c>
      <c r="E98" s="16">
        <v>9.3000000000000007</v>
      </c>
      <c r="F98" s="20">
        <f t="shared" si="7"/>
        <v>0.88880787291009766</v>
      </c>
      <c r="G98" s="16">
        <f t="shared" si="8"/>
        <v>33.346355997783775</v>
      </c>
      <c r="H98" s="16">
        <f t="shared" si="9"/>
        <v>9.2894033902883333</v>
      </c>
      <c r="J98">
        <f t="shared" si="10"/>
        <v>1976</v>
      </c>
      <c r="K98" s="16">
        <f t="shared" si="11"/>
        <v>33.346355997783775</v>
      </c>
      <c r="L98" s="16">
        <f t="shared" si="12"/>
        <v>9.2894033902883333</v>
      </c>
      <c r="M98" s="16">
        <f t="shared" si="13"/>
        <v>24.05695260749544</v>
      </c>
    </row>
    <row r="99" spans="1:13" x14ac:dyDescent="0.25">
      <c r="A99" s="1">
        <v>1977</v>
      </c>
      <c r="B99" s="16">
        <v>33.231900000000003</v>
      </c>
      <c r="C99" s="16">
        <v>9.0762999999999998</v>
      </c>
      <c r="D99" s="16">
        <v>33.200000000000003</v>
      </c>
      <c r="E99" s="16">
        <v>9.1</v>
      </c>
      <c r="F99" s="20">
        <f t="shared" si="7"/>
        <v>0.91778267626584187</v>
      </c>
      <c r="G99" s="16">
        <f t="shared" si="8"/>
        <v>33.20262273262712</v>
      </c>
      <c r="H99" s="16">
        <f t="shared" si="9"/>
        <v>9.0980514494275013</v>
      </c>
      <c r="J99">
        <f t="shared" si="10"/>
        <v>1977</v>
      </c>
      <c r="K99" s="16">
        <f t="shared" si="11"/>
        <v>33.20262273262712</v>
      </c>
      <c r="L99" s="16">
        <f t="shared" si="12"/>
        <v>9.0980514494275013</v>
      </c>
      <c r="M99" s="16">
        <f t="shared" si="13"/>
        <v>24.104571283199618</v>
      </c>
    </row>
    <row r="100" spans="1:13" x14ac:dyDescent="0.25">
      <c r="A100" s="1">
        <v>1978</v>
      </c>
      <c r="B100" s="16">
        <v>32.7425</v>
      </c>
      <c r="C100" s="16">
        <v>8.9215999999999998</v>
      </c>
      <c r="D100" s="16">
        <v>33</v>
      </c>
      <c r="E100" s="16">
        <v>8.9</v>
      </c>
      <c r="F100" s="20">
        <f t="shared" si="7"/>
        <v>0.94208000000000058</v>
      </c>
      <c r="G100" s="16">
        <f t="shared" si="8"/>
        <v>32.985085599999998</v>
      </c>
      <c r="H100" s="16">
        <f t="shared" si="9"/>
        <v>8.9012510720000009</v>
      </c>
      <c r="J100">
        <f t="shared" si="10"/>
        <v>1978</v>
      </c>
      <c r="K100" s="16">
        <f t="shared" si="11"/>
        <v>32.985085599999998</v>
      </c>
      <c r="L100" s="16">
        <f t="shared" si="12"/>
        <v>8.9012510720000009</v>
      </c>
      <c r="M100" s="16">
        <f t="shared" si="13"/>
        <v>24.083834527999997</v>
      </c>
    </row>
    <row r="101" spans="1:13" x14ac:dyDescent="0.25">
      <c r="A101" s="1">
        <v>1979</v>
      </c>
      <c r="B101" s="16">
        <v>32.246299999999998</v>
      </c>
      <c r="C101" s="16">
        <v>8.7475000000000005</v>
      </c>
      <c r="D101" s="16">
        <v>32.700000000000003</v>
      </c>
      <c r="E101" s="16">
        <v>8.8000000000000007</v>
      </c>
      <c r="F101" s="20">
        <f t="shared" si="7"/>
        <v>0.96168727791991471</v>
      </c>
      <c r="G101" s="16">
        <f t="shared" si="8"/>
        <v>32.68261751799227</v>
      </c>
      <c r="H101" s="16">
        <f t="shared" si="9"/>
        <v>8.7979885820907953</v>
      </c>
      <c r="J101">
        <f t="shared" si="10"/>
        <v>1979</v>
      </c>
      <c r="K101" s="16">
        <f t="shared" si="11"/>
        <v>32.68261751799227</v>
      </c>
      <c r="L101" s="16">
        <f t="shared" si="12"/>
        <v>8.7979885820907953</v>
      </c>
      <c r="M101" s="16">
        <f t="shared" si="13"/>
        <v>23.884628935901475</v>
      </c>
    </row>
    <row r="102" spans="1:13" x14ac:dyDescent="0.25">
      <c r="A102" s="1">
        <v>1980</v>
      </c>
      <c r="B102" s="16">
        <v>31.7408</v>
      </c>
      <c r="C102" s="16">
        <v>8.5609000000000002</v>
      </c>
      <c r="D102" s="16">
        <v>32.4</v>
      </c>
      <c r="E102" s="16">
        <v>8.6</v>
      </c>
      <c r="F102" s="20">
        <f t="shared" si="7"/>
        <v>0.97673588385791676</v>
      </c>
      <c r="G102" s="16">
        <f t="shared" si="8"/>
        <v>32.384664294639137</v>
      </c>
      <c r="H102" s="16">
        <f t="shared" si="9"/>
        <v>8.5990903730588446</v>
      </c>
      <c r="J102">
        <f t="shared" si="10"/>
        <v>1980</v>
      </c>
      <c r="K102" s="16">
        <f t="shared" si="11"/>
        <v>32.384664294639137</v>
      </c>
      <c r="L102" s="16">
        <f t="shared" si="12"/>
        <v>8.5990903730588446</v>
      </c>
      <c r="M102" s="16">
        <f t="shared" si="13"/>
        <v>23.785573921580294</v>
      </c>
    </row>
    <row r="103" spans="1:13" x14ac:dyDescent="0.25">
      <c r="A103" s="1">
        <v>1981</v>
      </c>
      <c r="B103" s="16">
        <v>31.223700000000001</v>
      </c>
      <c r="C103" s="16">
        <v>8.3686000000000007</v>
      </c>
      <c r="D103" s="16">
        <v>32</v>
      </c>
      <c r="E103" s="16">
        <v>8.4</v>
      </c>
      <c r="F103" s="20">
        <f t="shared" si="7"/>
        <v>0.98751484024513625</v>
      </c>
      <c r="G103" s="16">
        <f t="shared" si="8"/>
        <v>31.9903077704823</v>
      </c>
      <c r="H103" s="16">
        <f t="shared" si="9"/>
        <v>8.399607965983698</v>
      </c>
      <c r="J103">
        <f t="shared" si="10"/>
        <v>1981</v>
      </c>
      <c r="K103" s="16">
        <f t="shared" si="11"/>
        <v>31.9903077704823</v>
      </c>
      <c r="L103" s="16">
        <f t="shared" si="12"/>
        <v>8.399607965983698</v>
      </c>
      <c r="M103" s="16">
        <f t="shared" si="13"/>
        <v>23.590699804498602</v>
      </c>
    </row>
    <row r="104" spans="1:13" x14ac:dyDescent="0.25">
      <c r="A104" s="1">
        <v>1982</v>
      </c>
      <c r="B104" s="16">
        <v>30.692499999999999</v>
      </c>
      <c r="C104" s="16">
        <v>8.1775000000000002</v>
      </c>
      <c r="D104" s="16">
        <v>31.5</v>
      </c>
      <c r="E104" s="16">
        <v>8.1999999999999993</v>
      </c>
      <c r="F104" s="20">
        <f t="shared" si="7"/>
        <v>0.99448452668530996</v>
      </c>
      <c r="G104" s="16">
        <f t="shared" si="8"/>
        <v>31.495546255298386</v>
      </c>
      <c r="H104" s="16">
        <f t="shared" si="9"/>
        <v>8.1998759018504188</v>
      </c>
      <c r="J104">
        <f t="shared" si="10"/>
        <v>1982</v>
      </c>
      <c r="K104" s="16">
        <f t="shared" si="11"/>
        <v>31.495546255298386</v>
      </c>
      <c r="L104" s="16">
        <f t="shared" si="12"/>
        <v>8.1998759018504188</v>
      </c>
      <c r="M104" s="16">
        <f t="shared" si="13"/>
        <v>23.295670353447967</v>
      </c>
    </row>
    <row r="105" spans="1:13" x14ac:dyDescent="0.25">
      <c r="A105" s="1">
        <v>1983</v>
      </c>
      <c r="B105" s="16">
        <v>30.1447</v>
      </c>
      <c r="C105" s="16">
        <v>7.9943999999999997</v>
      </c>
      <c r="D105" s="16">
        <v>30.8</v>
      </c>
      <c r="E105" s="16">
        <v>8.1</v>
      </c>
      <c r="F105" s="20">
        <f t="shared" si="7"/>
        <v>0.99829038852858965</v>
      </c>
      <c r="G105" s="16">
        <f t="shared" si="8"/>
        <v>30.798879691602785</v>
      </c>
      <c r="H105" s="16">
        <f t="shared" si="9"/>
        <v>8.0998194650286184</v>
      </c>
      <c r="J105">
        <f t="shared" si="10"/>
        <v>1983</v>
      </c>
      <c r="K105" s="16">
        <f t="shared" si="11"/>
        <v>30.798879691602785</v>
      </c>
      <c r="L105" s="16">
        <f t="shared" si="12"/>
        <v>8.0998194650286184</v>
      </c>
      <c r="M105" s="16">
        <f t="shared" si="13"/>
        <v>22.699060226574169</v>
      </c>
    </row>
    <row r="106" spans="1:13" x14ac:dyDescent="0.25">
      <c r="A106" s="1">
        <v>1984</v>
      </c>
      <c r="B106" s="16">
        <v>29.578099999999999</v>
      </c>
      <c r="C106" s="16">
        <v>7.8262999999999998</v>
      </c>
      <c r="D106" s="16">
        <v>30</v>
      </c>
      <c r="E106" s="16">
        <v>7.9</v>
      </c>
      <c r="F106" s="20">
        <f t="shared" si="7"/>
        <v>0.99977664544535072</v>
      </c>
      <c r="G106" s="16">
        <f t="shared" si="8"/>
        <v>29.999905766713393</v>
      </c>
      <c r="H106" s="16">
        <f t="shared" si="9"/>
        <v>7.8999835387693222</v>
      </c>
      <c r="J106">
        <f t="shared" si="10"/>
        <v>1984</v>
      </c>
      <c r="K106" s="16">
        <f t="shared" si="11"/>
        <v>29.999905766713393</v>
      </c>
      <c r="L106" s="16">
        <f t="shared" si="12"/>
        <v>7.8999835387693222</v>
      </c>
      <c r="M106" s="16">
        <f t="shared" si="13"/>
        <v>22.09992222794407</v>
      </c>
    </row>
    <row r="107" spans="1:13" x14ac:dyDescent="0.25">
      <c r="A107" s="1">
        <v>1985</v>
      </c>
      <c r="B107" s="16">
        <v>28.99</v>
      </c>
      <c r="C107" s="16">
        <v>7.68</v>
      </c>
      <c r="D107" s="16">
        <v>29.2</v>
      </c>
      <c r="E107" s="16">
        <v>7.7</v>
      </c>
      <c r="F107" s="20">
        <f t="shared" si="7"/>
        <v>1</v>
      </c>
      <c r="G107" s="16">
        <f t="shared" si="8"/>
        <v>29.2</v>
      </c>
      <c r="H107" s="16">
        <f t="shared" si="9"/>
        <v>7.7</v>
      </c>
      <c r="J107">
        <f t="shared" si="10"/>
        <v>1985</v>
      </c>
      <c r="K107" s="16">
        <f t="shared" si="11"/>
        <v>29.2</v>
      </c>
      <c r="L107" s="16">
        <f t="shared" si="12"/>
        <v>7.7</v>
      </c>
      <c r="M107" s="16">
        <f t="shared" si="13"/>
        <v>21.5</v>
      </c>
    </row>
    <row r="108" spans="1:13" x14ac:dyDescent="0.25">
      <c r="A108" s="1">
        <v>1986</v>
      </c>
      <c r="B108" s="16">
        <v>28.330200000000001</v>
      </c>
      <c r="C108" s="16">
        <v>7.5460000000000003</v>
      </c>
      <c r="D108" s="16">
        <v>28.3</v>
      </c>
      <c r="E108" s="16">
        <v>7.5</v>
      </c>
      <c r="F108" s="20">
        <f t="shared" si="7"/>
        <v>1</v>
      </c>
      <c r="G108" s="16">
        <f t="shared" si="8"/>
        <v>28.3</v>
      </c>
      <c r="H108" s="16">
        <f t="shared" si="9"/>
        <v>7.5</v>
      </c>
      <c r="J108">
        <f t="shared" si="10"/>
        <v>1986</v>
      </c>
      <c r="K108" s="16">
        <f t="shared" si="11"/>
        <v>28.3</v>
      </c>
      <c r="L108" s="16">
        <f t="shared" si="12"/>
        <v>7.5</v>
      </c>
      <c r="M108" s="16">
        <f t="shared" si="13"/>
        <v>20.8</v>
      </c>
    </row>
    <row r="109" spans="1:13" x14ac:dyDescent="0.25">
      <c r="A109" s="1">
        <v>1987</v>
      </c>
      <c r="B109" s="16">
        <v>27.5718</v>
      </c>
      <c r="C109" s="16">
        <v>7.4116999999999997</v>
      </c>
      <c r="D109" s="16">
        <v>27.4</v>
      </c>
      <c r="E109" s="16">
        <v>7.4</v>
      </c>
      <c r="F109" s="20">
        <f t="shared" si="7"/>
        <v>1</v>
      </c>
      <c r="G109" s="16">
        <f t="shared" si="8"/>
        <v>27.4</v>
      </c>
      <c r="H109" s="16">
        <f t="shared" si="9"/>
        <v>7.4</v>
      </c>
      <c r="J109">
        <f t="shared" si="10"/>
        <v>1987</v>
      </c>
      <c r="K109" s="16">
        <f t="shared" si="11"/>
        <v>27.4</v>
      </c>
      <c r="L109" s="16">
        <f t="shared" si="12"/>
        <v>7.4</v>
      </c>
      <c r="M109" s="16">
        <f t="shared" si="13"/>
        <v>20</v>
      </c>
    </row>
    <row r="110" spans="1:13" x14ac:dyDescent="0.25">
      <c r="A110" s="1">
        <v>1988</v>
      </c>
      <c r="B110" s="16">
        <v>26.748000000000001</v>
      </c>
      <c r="C110" s="16">
        <v>7.2788000000000004</v>
      </c>
      <c r="D110" s="16">
        <v>26.5</v>
      </c>
      <c r="E110" s="16">
        <v>7.2</v>
      </c>
      <c r="F110" s="20">
        <f t="shared" si="7"/>
        <v>1</v>
      </c>
      <c r="G110" s="16">
        <f t="shared" si="8"/>
        <v>26.5</v>
      </c>
      <c r="H110" s="16">
        <f t="shared" si="9"/>
        <v>7.2</v>
      </c>
      <c r="J110">
        <f t="shared" si="10"/>
        <v>1988</v>
      </c>
      <c r="K110" s="16">
        <f t="shared" si="11"/>
        <v>26.5</v>
      </c>
      <c r="L110" s="16">
        <f t="shared" si="12"/>
        <v>7.2</v>
      </c>
      <c r="M110" s="16">
        <f t="shared" si="13"/>
        <v>19.3</v>
      </c>
    </row>
    <row r="111" spans="1:13" x14ac:dyDescent="0.25">
      <c r="A111" s="1">
        <v>1989</v>
      </c>
      <c r="B111" s="16">
        <v>25.891999999999999</v>
      </c>
      <c r="C111" s="16">
        <v>7.1493000000000002</v>
      </c>
      <c r="D111" s="16">
        <v>25.6</v>
      </c>
      <c r="E111" s="16">
        <v>7.1</v>
      </c>
      <c r="F111" s="20">
        <f t="shared" si="7"/>
        <v>1</v>
      </c>
      <c r="G111" s="16">
        <f t="shared" si="8"/>
        <v>25.6</v>
      </c>
      <c r="H111" s="16">
        <f t="shared" si="9"/>
        <v>7.1</v>
      </c>
      <c r="J111">
        <f t="shared" si="10"/>
        <v>1989</v>
      </c>
      <c r="K111" s="16">
        <f t="shared" si="11"/>
        <v>25.6</v>
      </c>
      <c r="L111" s="16">
        <f t="shared" si="12"/>
        <v>7.1</v>
      </c>
      <c r="M111" s="16">
        <f t="shared" si="13"/>
        <v>18.5</v>
      </c>
    </row>
    <row r="112" spans="1:13" x14ac:dyDescent="0.25">
      <c r="A112" s="1">
        <v>1990</v>
      </c>
      <c r="B112" s="16">
        <v>25.0367</v>
      </c>
      <c r="C112" s="16">
        <v>7.0251000000000001</v>
      </c>
      <c r="D112" s="16">
        <v>24.8</v>
      </c>
      <c r="E112" s="16">
        <v>7</v>
      </c>
      <c r="F112" s="20">
        <f t="shared" si="7"/>
        <v>1</v>
      </c>
      <c r="G112" s="16">
        <f t="shared" si="8"/>
        <v>24.8</v>
      </c>
      <c r="H112" s="16">
        <f t="shared" si="9"/>
        <v>7</v>
      </c>
      <c r="J112">
        <f t="shared" si="10"/>
        <v>1990</v>
      </c>
      <c r="K112" s="16">
        <f t="shared" si="11"/>
        <v>24.8</v>
      </c>
      <c r="L112" s="16">
        <f t="shared" si="12"/>
        <v>7</v>
      </c>
      <c r="M112" s="16">
        <f t="shared" si="13"/>
        <v>17.8</v>
      </c>
    </row>
    <row r="113" spans="1:13" x14ac:dyDescent="0.25">
      <c r="A113" s="1">
        <v>1991</v>
      </c>
      <c r="B113" s="16">
        <v>24.215199999999999</v>
      </c>
      <c r="C113" s="16">
        <v>6.9081000000000001</v>
      </c>
      <c r="D113" s="16">
        <v>24.1</v>
      </c>
      <c r="E113" s="16">
        <v>6.9</v>
      </c>
      <c r="F113" s="20">
        <f t="shared" si="7"/>
        <v>1</v>
      </c>
      <c r="G113" s="16">
        <f t="shared" si="8"/>
        <v>24.1</v>
      </c>
      <c r="H113" s="16">
        <f t="shared" si="9"/>
        <v>6.9</v>
      </c>
      <c r="J113">
        <f t="shared" si="10"/>
        <v>1991</v>
      </c>
      <c r="K113" s="16">
        <f t="shared" si="11"/>
        <v>24.1</v>
      </c>
      <c r="L113" s="16">
        <f t="shared" si="12"/>
        <v>6.9</v>
      </c>
      <c r="M113" s="16">
        <f t="shared" si="13"/>
        <v>17.200000000000003</v>
      </c>
    </row>
    <row r="114" spans="1:13" x14ac:dyDescent="0.25">
      <c r="A114" s="1">
        <v>1992</v>
      </c>
      <c r="B114" s="16">
        <v>23.460699999999999</v>
      </c>
      <c r="C114" s="16">
        <v>6.8002000000000002</v>
      </c>
      <c r="D114" s="16">
        <v>23.3</v>
      </c>
      <c r="E114" s="16">
        <v>6.8</v>
      </c>
      <c r="F114" s="20">
        <f t="shared" si="7"/>
        <v>1</v>
      </c>
      <c r="G114" s="16">
        <f t="shared" si="8"/>
        <v>23.3</v>
      </c>
      <c r="H114" s="16">
        <f t="shared" si="9"/>
        <v>6.8</v>
      </c>
      <c r="J114">
        <f t="shared" si="10"/>
        <v>1992</v>
      </c>
      <c r="K114" s="16">
        <f t="shared" si="11"/>
        <v>23.3</v>
      </c>
      <c r="L114" s="16">
        <f t="shared" si="12"/>
        <v>6.8</v>
      </c>
      <c r="M114" s="16">
        <f t="shared" si="13"/>
        <v>16.5</v>
      </c>
    </row>
    <row r="115" spans="1:13" x14ac:dyDescent="0.25">
      <c r="A115" s="1">
        <v>1993</v>
      </c>
      <c r="B115" s="16">
        <v>22.8063</v>
      </c>
      <c r="C115" s="16">
        <v>6.7032999999999996</v>
      </c>
      <c r="D115" s="16">
        <v>23</v>
      </c>
      <c r="E115" s="16">
        <v>6.7</v>
      </c>
      <c r="F115" s="20">
        <f t="shared" si="7"/>
        <v>1</v>
      </c>
      <c r="G115" s="16">
        <f t="shared" si="8"/>
        <v>23</v>
      </c>
      <c r="H115" s="16">
        <f t="shared" si="9"/>
        <v>6.7</v>
      </c>
      <c r="J115">
        <f t="shared" si="10"/>
        <v>1993</v>
      </c>
      <c r="K115" s="16">
        <f t="shared" si="11"/>
        <v>23</v>
      </c>
      <c r="L115" s="16">
        <f t="shared" si="12"/>
        <v>6.7</v>
      </c>
      <c r="M115" s="16">
        <f t="shared" si="13"/>
        <v>16.3</v>
      </c>
    </row>
    <row r="116" spans="1:13" x14ac:dyDescent="0.25">
      <c r="A116" s="1">
        <v>1994</v>
      </c>
      <c r="B116" s="16">
        <v>22.285</v>
      </c>
      <c r="C116" s="16">
        <v>6.6193</v>
      </c>
      <c r="D116" s="16">
        <v>22.5</v>
      </c>
      <c r="E116" s="16">
        <v>6.6</v>
      </c>
      <c r="F116" s="20">
        <f t="shared" si="7"/>
        <v>1</v>
      </c>
      <c r="G116" s="16">
        <f t="shared" si="8"/>
        <v>22.5</v>
      </c>
      <c r="H116" s="16">
        <f t="shared" si="9"/>
        <v>6.6</v>
      </c>
      <c r="J116">
        <f t="shared" si="10"/>
        <v>1994</v>
      </c>
      <c r="K116" s="16">
        <f t="shared" si="11"/>
        <v>22.5</v>
      </c>
      <c r="L116" s="16">
        <f t="shared" si="12"/>
        <v>6.6</v>
      </c>
      <c r="M116" s="16">
        <f t="shared" si="13"/>
        <v>15.9</v>
      </c>
    </row>
    <row r="117" spans="1:13" x14ac:dyDescent="0.25">
      <c r="A117" s="1">
        <v>1995</v>
      </c>
      <c r="B117" s="16">
        <v>21.93</v>
      </c>
      <c r="C117" s="16">
        <v>6.55</v>
      </c>
      <c r="D117" s="16">
        <v>22.3</v>
      </c>
      <c r="E117" s="16">
        <v>6.5</v>
      </c>
      <c r="F117" s="20">
        <f t="shared" si="7"/>
        <v>1</v>
      </c>
      <c r="G117" s="16">
        <f t="shared" si="8"/>
        <v>22.3</v>
      </c>
      <c r="H117" s="16">
        <f t="shared" si="9"/>
        <v>6.5</v>
      </c>
      <c r="J117">
        <f t="shared" si="10"/>
        <v>1995</v>
      </c>
      <c r="K117" s="16">
        <f t="shared" si="11"/>
        <v>22.3</v>
      </c>
      <c r="L117" s="16">
        <f t="shared" si="12"/>
        <v>6.5</v>
      </c>
      <c r="M117" s="16">
        <f t="shared" si="13"/>
        <v>15.8</v>
      </c>
    </row>
    <row r="118" spans="1:13" x14ac:dyDescent="0.25">
      <c r="A118" s="1">
        <v>1996</v>
      </c>
      <c r="B118" s="16">
        <v>21.72</v>
      </c>
      <c r="C118" s="16">
        <v>6.4916</v>
      </c>
      <c r="D118" s="16">
        <v>21.9</v>
      </c>
      <c r="E118" s="16">
        <v>6.5</v>
      </c>
      <c r="F118" s="20">
        <f t="shared" si="7"/>
        <v>1</v>
      </c>
      <c r="G118" s="16">
        <f t="shared" si="8"/>
        <v>21.9</v>
      </c>
      <c r="H118" s="16">
        <f t="shared" si="9"/>
        <v>6.5</v>
      </c>
      <c r="J118">
        <f t="shared" si="10"/>
        <v>1996</v>
      </c>
      <c r="K118" s="16">
        <f t="shared" si="11"/>
        <v>21.9</v>
      </c>
      <c r="L118" s="16">
        <f t="shared" si="12"/>
        <v>6.5</v>
      </c>
      <c r="M118" s="16">
        <f t="shared" si="13"/>
        <v>15.399999999999999</v>
      </c>
    </row>
    <row r="119" spans="1:13" x14ac:dyDescent="0.25">
      <c r="A119" s="1">
        <v>1997</v>
      </c>
      <c r="B119" s="16">
        <v>21.581</v>
      </c>
      <c r="C119" s="16">
        <v>6.4397000000000002</v>
      </c>
      <c r="D119" s="16">
        <v>21.6</v>
      </c>
      <c r="E119" s="16">
        <v>6.4</v>
      </c>
      <c r="F119" s="20">
        <f t="shared" si="7"/>
        <v>1</v>
      </c>
      <c r="G119" s="16">
        <f t="shared" si="8"/>
        <v>21.6</v>
      </c>
      <c r="H119" s="16">
        <f t="shared" si="9"/>
        <v>6.4</v>
      </c>
      <c r="J119">
        <f t="shared" si="10"/>
        <v>1997</v>
      </c>
      <c r="K119" s="16">
        <f t="shared" si="11"/>
        <v>21.6</v>
      </c>
      <c r="L119" s="16">
        <f t="shared" si="12"/>
        <v>6.4</v>
      </c>
      <c r="M119" s="16">
        <f t="shared" si="13"/>
        <v>15.200000000000001</v>
      </c>
    </row>
    <row r="120" spans="1:13" x14ac:dyDescent="0.25">
      <c r="A120" s="1">
        <v>1998</v>
      </c>
      <c r="B120" s="16">
        <v>21.467099999999999</v>
      </c>
      <c r="C120" s="16">
        <v>6.3962000000000003</v>
      </c>
      <c r="D120" s="16">
        <v>21.2</v>
      </c>
      <c r="E120" s="16">
        <v>6.4</v>
      </c>
      <c r="F120" s="20">
        <f t="shared" si="7"/>
        <v>1</v>
      </c>
      <c r="G120" s="16">
        <f t="shared" si="8"/>
        <v>21.2</v>
      </c>
      <c r="H120" s="16">
        <f t="shared" si="9"/>
        <v>6.4</v>
      </c>
      <c r="J120">
        <f t="shared" si="10"/>
        <v>1998</v>
      </c>
      <c r="K120" s="16">
        <f t="shared" si="11"/>
        <v>21.2</v>
      </c>
      <c r="L120" s="16">
        <f t="shared" si="12"/>
        <v>6.4</v>
      </c>
      <c r="M120" s="16">
        <f t="shared" si="13"/>
        <v>14.799999999999999</v>
      </c>
    </row>
    <row r="121" spans="1:13" x14ac:dyDescent="0.25">
      <c r="A121" s="1">
        <v>1999</v>
      </c>
      <c r="B121" s="16">
        <v>21.332100000000001</v>
      </c>
      <c r="C121" s="16">
        <v>6.3624000000000001</v>
      </c>
      <c r="D121" s="16">
        <v>20.6</v>
      </c>
      <c r="E121" s="16">
        <v>6.3</v>
      </c>
      <c r="F121" s="20">
        <f t="shared" si="7"/>
        <v>1</v>
      </c>
      <c r="G121" s="16">
        <f t="shared" si="8"/>
        <v>20.6</v>
      </c>
      <c r="H121" s="16">
        <f t="shared" si="9"/>
        <v>6.3</v>
      </c>
      <c r="J121">
        <f t="shared" si="10"/>
        <v>1999</v>
      </c>
      <c r="K121" s="16">
        <f t="shared" si="11"/>
        <v>20.6</v>
      </c>
      <c r="L121" s="16">
        <f t="shared" si="12"/>
        <v>6.3</v>
      </c>
      <c r="M121" s="16">
        <f t="shared" si="13"/>
        <v>14.3</v>
      </c>
    </row>
    <row r="122" spans="1:13" x14ac:dyDescent="0.25">
      <c r="A122" s="1">
        <v>2000</v>
      </c>
      <c r="B122" s="16">
        <v>21.13</v>
      </c>
      <c r="C122" s="16">
        <v>6.34</v>
      </c>
      <c r="D122" s="16">
        <v>19.899999999999999</v>
      </c>
      <c r="E122" s="16">
        <v>6.2</v>
      </c>
      <c r="F122" s="20">
        <f t="shared" si="7"/>
        <v>1</v>
      </c>
      <c r="G122" s="16">
        <f t="shared" si="8"/>
        <v>19.899999999999999</v>
      </c>
      <c r="H122" s="16">
        <f t="shared" si="9"/>
        <v>6.2</v>
      </c>
      <c r="J122">
        <f t="shared" si="10"/>
        <v>2000</v>
      </c>
      <c r="K122" s="16">
        <f t="shared" si="11"/>
        <v>19.899999999999999</v>
      </c>
      <c r="L122" s="16">
        <f t="shared" si="12"/>
        <v>6.2</v>
      </c>
      <c r="M122" s="16">
        <f t="shared" si="13"/>
        <v>13.7</v>
      </c>
    </row>
    <row r="123" spans="1:13" x14ac:dyDescent="0.25">
      <c r="A123" s="1">
        <v>2001</v>
      </c>
      <c r="B123" s="16">
        <v>20.811599999999999</v>
      </c>
      <c r="C123" s="16">
        <v>6.3250999999999999</v>
      </c>
      <c r="D123" s="16">
        <v>19.2</v>
      </c>
      <c r="E123" s="16">
        <v>6.2</v>
      </c>
      <c r="F123" s="20">
        <f t="shared" si="7"/>
        <v>1</v>
      </c>
      <c r="G123" s="16">
        <f t="shared" si="8"/>
        <v>19.2</v>
      </c>
      <c r="H123" s="16">
        <f t="shared" si="9"/>
        <v>6.2</v>
      </c>
      <c r="J123">
        <f t="shared" si="10"/>
        <v>2001</v>
      </c>
      <c r="K123" s="16">
        <f t="shared" si="11"/>
        <v>19.2</v>
      </c>
      <c r="L123" s="16">
        <f t="shared" si="12"/>
        <v>6.2</v>
      </c>
      <c r="M123" s="16">
        <f t="shared" si="13"/>
        <v>13</v>
      </c>
    </row>
    <row r="124" spans="1:13" x14ac:dyDescent="0.25">
      <c r="A124" s="1">
        <v>2002</v>
      </c>
      <c r="B124" s="16">
        <v>20.3718</v>
      </c>
      <c r="C124" s="16">
        <v>6.3125</v>
      </c>
      <c r="D124" s="16">
        <v>18.5</v>
      </c>
      <c r="E124" s="16">
        <v>6.1</v>
      </c>
      <c r="F124" s="20">
        <f t="shared" si="7"/>
        <v>1</v>
      </c>
      <c r="G124" s="16">
        <f t="shared" si="8"/>
        <v>18.5</v>
      </c>
      <c r="H124" s="16">
        <f t="shared" si="9"/>
        <v>6.1</v>
      </c>
      <c r="J124">
        <f t="shared" si="10"/>
        <v>2002</v>
      </c>
      <c r="K124" s="16">
        <f t="shared" si="11"/>
        <v>18.5</v>
      </c>
      <c r="L124" s="16">
        <f t="shared" si="12"/>
        <v>6.1</v>
      </c>
      <c r="M124" s="16">
        <f t="shared" si="13"/>
        <v>12.4</v>
      </c>
    </row>
    <row r="125" spans="1:13" x14ac:dyDescent="0.25">
      <c r="A125" s="1">
        <v>2003</v>
      </c>
      <c r="B125" s="16">
        <v>19.8309</v>
      </c>
      <c r="C125" s="16">
        <v>6.3017000000000003</v>
      </c>
      <c r="D125" s="16">
        <v>17.8</v>
      </c>
      <c r="E125" s="16">
        <v>6</v>
      </c>
      <c r="F125" s="20">
        <f t="shared" si="7"/>
        <v>1</v>
      </c>
      <c r="G125" s="16">
        <f t="shared" si="8"/>
        <v>17.8</v>
      </c>
      <c r="H125" s="16">
        <f t="shared" si="9"/>
        <v>6</v>
      </c>
      <c r="J125">
        <f t="shared" si="10"/>
        <v>2003</v>
      </c>
      <c r="K125" s="16">
        <f t="shared" si="11"/>
        <v>17.8</v>
      </c>
      <c r="L125" s="16">
        <f t="shared" si="12"/>
        <v>6</v>
      </c>
      <c r="M125" s="16">
        <f t="shared" si="13"/>
        <v>11.8</v>
      </c>
    </row>
    <row r="126" spans="1:13" x14ac:dyDescent="0.25">
      <c r="A126" s="1">
        <v>2004</v>
      </c>
      <c r="B126" s="16">
        <v>19.209</v>
      </c>
      <c r="C126" s="16">
        <v>6.2925000000000004</v>
      </c>
      <c r="D126" s="16">
        <v>17.5</v>
      </c>
      <c r="E126" s="16">
        <v>6</v>
      </c>
      <c r="F126" s="20">
        <f t="shared" si="7"/>
        <v>1</v>
      </c>
      <c r="G126" s="16">
        <f t="shared" si="8"/>
        <v>17.5</v>
      </c>
      <c r="H126" s="16">
        <f t="shared" si="9"/>
        <v>6</v>
      </c>
      <c r="J126">
        <f t="shared" si="10"/>
        <v>2004</v>
      </c>
      <c r="K126" s="16">
        <f t="shared" si="11"/>
        <v>17.5</v>
      </c>
      <c r="L126" s="16">
        <f t="shared" si="12"/>
        <v>6</v>
      </c>
      <c r="M126" s="16">
        <f t="shared" si="13"/>
        <v>11.5</v>
      </c>
    </row>
    <row r="127" spans="1:13" x14ac:dyDescent="0.25">
      <c r="A127" s="1">
        <v>2005</v>
      </c>
      <c r="B127" s="16">
        <v>18.526399999999999</v>
      </c>
      <c r="C127" s="16">
        <v>6.2843</v>
      </c>
      <c r="D127" s="16">
        <v>17.2</v>
      </c>
      <c r="E127" s="16">
        <v>5.9</v>
      </c>
      <c r="F127" s="20">
        <f t="shared" si="7"/>
        <v>1</v>
      </c>
      <c r="G127" s="16">
        <f t="shared" si="8"/>
        <v>17.2</v>
      </c>
      <c r="H127" s="16">
        <f t="shared" si="9"/>
        <v>5.9</v>
      </c>
      <c r="J127">
        <f t="shared" si="10"/>
        <v>2005</v>
      </c>
      <c r="K127" s="16">
        <f t="shared" si="11"/>
        <v>17.2</v>
      </c>
      <c r="L127" s="16">
        <f t="shared" si="12"/>
        <v>5.9</v>
      </c>
      <c r="M127" s="16">
        <f t="shared" si="13"/>
        <v>11.299999999999999</v>
      </c>
    </row>
    <row r="128" spans="1:13" x14ac:dyDescent="0.25">
      <c r="A128" s="1">
        <v>2006</v>
      </c>
      <c r="B128" s="16">
        <v>17.8033</v>
      </c>
      <c r="C128" s="16">
        <v>6.2770000000000001</v>
      </c>
      <c r="D128" s="16">
        <v>16.7</v>
      </c>
      <c r="E128" s="16">
        <v>5.8</v>
      </c>
      <c r="F128" s="20">
        <f t="shared" si="7"/>
        <v>1</v>
      </c>
      <c r="G128" s="16">
        <f t="shared" si="8"/>
        <v>16.7</v>
      </c>
      <c r="H128" s="16">
        <f t="shared" si="9"/>
        <v>5.8</v>
      </c>
      <c r="J128">
        <f t="shared" si="10"/>
        <v>2006</v>
      </c>
      <c r="K128" s="16">
        <f t="shared" si="11"/>
        <v>16.7</v>
      </c>
      <c r="L128" s="16">
        <f t="shared" si="12"/>
        <v>5.8</v>
      </c>
      <c r="M128" s="16">
        <f t="shared" si="13"/>
        <v>10.899999999999999</v>
      </c>
    </row>
    <row r="129" spans="1:13" x14ac:dyDescent="0.25">
      <c r="A129" s="1">
        <v>2007</v>
      </c>
      <c r="B129" s="16">
        <v>17.059999999999999</v>
      </c>
      <c r="C129" s="16">
        <v>6.27</v>
      </c>
      <c r="D129" s="16">
        <v>16.2</v>
      </c>
      <c r="E129" s="16">
        <v>5.8</v>
      </c>
      <c r="F129" s="20">
        <f t="shared" si="7"/>
        <v>1</v>
      </c>
      <c r="G129" s="16">
        <f t="shared" si="8"/>
        <v>16.2</v>
      </c>
      <c r="H129" s="16">
        <f t="shared" si="9"/>
        <v>5.8</v>
      </c>
      <c r="J129">
        <f t="shared" si="10"/>
        <v>2007</v>
      </c>
      <c r="K129" s="16">
        <f t="shared" si="11"/>
        <v>16.2</v>
      </c>
      <c r="L129" s="16">
        <f t="shared" si="12"/>
        <v>5.8</v>
      </c>
      <c r="M129" s="16">
        <f t="shared" si="13"/>
        <v>10.399999999999999</v>
      </c>
    </row>
    <row r="130" spans="1:13" x14ac:dyDescent="0.25">
      <c r="A130" s="1">
        <f>A129+1</f>
        <v>2008</v>
      </c>
      <c r="D130" s="16">
        <v>15.8</v>
      </c>
      <c r="E130" s="16">
        <v>5.8</v>
      </c>
      <c r="F130" s="20">
        <f t="shared" si="7"/>
        <v>1</v>
      </c>
      <c r="G130" s="16">
        <f t="shared" si="8"/>
        <v>15.8</v>
      </c>
      <c r="H130" s="16">
        <f t="shared" si="9"/>
        <v>5.8</v>
      </c>
      <c r="J130">
        <f t="shared" si="10"/>
        <v>2008</v>
      </c>
      <c r="K130" s="16">
        <f t="shared" si="11"/>
        <v>15.8</v>
      </c>
      <c r="L130" s="16">
        <f t="shared" si="12"/>
        <v>5.8</v>
      </c>
      <c r="M130" s="16">
        <f t="shared" si="13"/>
        <v>10</v>
      </c>
    </row>
    <row r="131" spans="1:13" x14ac:dyDescent="0.25">
      <c r="A131" s="1">
        <f t="shared" ref="A131:A145" si="14">A130+1</f>
        <v>2009</v>
      </c>
      <c r="D131" s="16">
        <v>15.6</v>
      </c>
      <c r="E131" s="16">
        <v>5.8</v>
      </c>
      <c r="F131" s="20">
        <f t="shared" si="7"/>
        <v>1</v>
      </c>
      <c r="G131" s="16">
        <f t="shared" si="8"/>
        <v>15.6</v>
      </c>
      <c r="H131" s="16">
        <f t="shared" si="9"/>
        <v>5.8</v>
      </c>
      <c r="J131">
        <f t="shared" si="10"/>
        <v>2009</v>
      </c>
      <c r="K131" s="16">
        <f t="shared" si="11"/>
        <v>15.6</v>
      </c>
      <c r="L131" s="16">
        <f t="shared" si="12"/>
        <v>5.8</v>
      </c>
      <c r="M131" s="16">
        <f t="shared" si="13"/>
        <v>9.8000000000000007</v>
      </c>
    </row>
    <row r="132" spans="1:13" x14ac:dyDescent="0.25">
      <c r="A132" s="1">
        <f t="shared" si="14"/>
        <v>2010</v>
      </c>
      <c r="D132" s="16">
        <v>15.3</v>
      </c>
      <c r="E132" s="16">
        <v>5.8</v>
      </c>
      <c r="F132" s="20">
        <f t="shared" ref="F132:F145" si="15">IF(A132&lt;1950,0,IF(A132&gt;1985,1,POWER((A132-1950)/35,3)*(10-15*((A132-1950)/35)+6*POWER((A132-1950)/35,2))))</f>
        <v>1</v>
      </c>
      <c r="G132" s="16">
        <f t="shared" ref="G132:G145" si="16">IF(A132&lt;1950,B132,IF(A132&gt;1985,D132,(1-$F132)*B132+$F132*D132))</f>
        <v>15.3</v>
      </c>
      <c r="H132" s="16">
        <f t="shared" ref="H132:H145" si="17">IF(A132&lt;1950,C132,IF(A132&gt;1985,E132,(1-$F132)*C132+$F132*E132))</f>
        <v>5.8</v>
      </c>
      <c r="J132">
        <f t="shared" ref="J132:J145" si="18">A132</f>
        <v>2010</v>
      </c>
      <c r="K132" s="16">
        <f t="shared" ref="K132:K145" si="19">G132</f>
        <v>15.3</v>
      </c>
      <c r="L132" s="16">
        <f t="shared" ref="L132:L145" si="20">H132</f>
        <v>5.8</v>
      </c>
      <c r="M132" s="16">
        <f t="shared" ref="M132:M145" si="21">K132-L132</f>
        <v>9.5</v>
      </c>
    </row>
    <row r="133" spans="1:13" x14ac:dyDescent="0.25">
      <c r="A133" s="1">
        <f t="shared" si="14"/>
        <v>2011</v>
      </c>
      <c r="D133" s="16">
        <v>15.1</v>
      </c>
      <c r="E133" s="16">
        <v>5.8</v>
      </c>
      <c r="F133" s="20">
        <f t="shared" si="15"/>
        <v>1</v>
      </c>
      <c r="G133" s="16">
        <f t="shared" si="16"/>
        <v>15.1</v>
      </c>
      <c r="H133" s="16">
        <f t="shared" si="17"/>
        <v>5.8</v>
      </c>
      <c r="J133">
        <f t="shared" si="18"/>
        <v>2011</v>
      </c>
      <c r="K133" s="16">
        <f t="shared" si="19"/>
        <v>15.1</v>
      </c>
      <c r="L133" s="16">
        <f t="shared" si="20"/>
        <v>5.8</v>
      </c>
      <c r="M133" s="16">
        <f t="shared" si="21"/>
        <v>9.3000000000000007</v>
      </c>
    </row>
    <row r="134" spans="1:13" x14ac:dyDescent="0.25">
      <c r="A134" s="1">
        <f t="shared" si="14"/>
        <v>2012</v>
      </c>
      <c r="D134" s="16">
        <v>14.9</v>
      </c>
      <c r="E134" s="16">
        <v>5.9</v>
      </c>
      <c r="F134" s="20">
        <f t="shared" si="15"/>
        <v>1</v>
      </c>
      <c r="G134" s="16">
        <f t="shared" si="16"/>
        <v>14.9</v>
      </c>
      <c r="H134" s="16">
        <f t="shared" si="17"/>
        <v>5.9</v>
      </c>
      <c r="J134">
        <f t="shared" si="18"/>
        <v>2012</v>
      </c>
      <c r="K134" s="16">
        <f t="shared" si="19"/>
        <v>14.9</v>
      </c>
      <c r="L134" s="16">
        <f t="shared" si="20"/>
        <v>5.9</v>
      </c>
      <c r="M134" s="16">
        <f t="shared" si="21"/>
        <v>9</v>
      </c>
    </row>
    <row r="135" spans="1:13" x14ac:dyDescent="0.25">
      <c r="A135" s="1">
        <f t="shared" si="14"/>
        <v>2013</v>
      </c>
      <c r="D135" s="16">
        <v>14.8</v>
      </c>
      <c r="E135" s="16">
        <v>5.9</v>
      </c>
      <c r="F135" s="20">
        <f t="shared" si="15"/>
        <v>1</v>
      </c>
      <c r="G135" s="16">
        <f t="shared" si="16"/>
        <v>14.8</v>
      </c>
      <c r="H135" s="16">
        <f t="shared" si="17"/>
        <v>5.9</v>
      </c>
      <c r="J135">
        <f t="shared" si="18"/>
        <v>2013</v>
      </c>
      <c r="K135" s="16">
        <f t="shared" si="19"/>
        <v>14.8</v>
      </c>
      <c r="L135" s="16">
        <f t="shared" si="20"/>
        <v>5.9</v>
      </c>
      <c r="M135" s="16">
        <f t="shared" si="21"/>
        <v>8.9</v>
      </c>
    </row>
    <row r="136" spans="1:13" x14ac:dyDescent="0.25">
      <c r="A136" s="1">
        <f t="shared" si="14"/>
        <v>2014</v>
      </c>
      <c r="D136" s="16">
        <v>14.8</v>
      </c>
      <c r="E136" s="16">
        <v>6</v>
      </c>
      <c r="F136" s="20">
        <f t="shared" si="15"/>
        <v>1</v>
      </c>
      <c r="G136" s="16">
        <f t="shared" si="16"/>
        <v>14.8</v>
      </c>
      <c r="H136" s="16">
        <f t="shared" si="17"/>
        <v>6</v>
      </c>
      <c r="J136">
        <f t="shared" si="18"/>
        <v>2014</v>
      </c>
      <c r="K136" s="16">
        <f t="shared" si="19"/>
        <v>14.8</v>
      </c>
      <c r="L136" s="16">
        <f t="shared" si="20"/>
        <v>6</v>
      </c>
      <c r="M136" s="16">
        <f t="shared" si="21"/>
        <v>8.8000000000000007</v>
      </c>
    </row>
    <row r="137" spans="1:13" x14ac:dyDescent="0.25">
      <c r="A137" s="1">
        <f t="shared" si="14"/>
        <v>2015</v>
      </c>
      <c r="D137" s="16">
        <v>14.7</v>
      </c>
      <c r="E137" s="16">
        <v>6</v>
      </c>
      <c r="F137" s="20">
        <f t="shared" si="15"/>
        <v>1</v>
      </c>
      <c r="G137" s="16">
        <f t="shared" si="16"/>
        <v>14.7</v>
      </c>
      <c r="H137" s="16">
        <f t="shared" si="17"/>
        <v>6</v>
      </c>
      <c r="J137">
        <f t="shared" si="18"/>
        <v>2015</v>
      </c>
      <c r="K137" s="16">
        <f t="shared" si="19"/>
        <v>14.7</v>
      </c>
      <c r="L137" s="16">
        <f t="shared" si="20"/>
        <v>6</v>
      </c>
      <c r="M137" s="16">
        <f t="shared" si="21"/>
        <v>8.6999999999999993</v>
      </c>
    </row>
    <row r="138" spans="1:13" x14ac:dyDescent="0.25">
      <c r="A138" s="1">
        <f t="shared" si="14"/>
        <v>2016</v>
      </c>
      <c r="D138" s="16">
        <v>14.1</v>
      </c>
      <c r="E138" s="16">
        <v>6.2</v>
      </c>
      <c r="F138" s="20">
        <f t="shared" si="15"/>
        <v>1</v>
      </c>
      <c r="G138" s="16">
        <f t="shared" si="16"/>
        <v>14.1</v>
      </c>
      <c r="H138" s="16">
        <f t="shared" si="17"/>
        <v>6.2</v>
      </c>
      <c r="J138">
        <f t="shared" si="18"/>
        <v>2016</v>
      </c>
      <c r="K138" s="16">
        <f t="shared" si="19"/>
        <v>14.1</v>
      </c>
      <c r="L138" s="16">
        <f t="shared" si="20"/>
        <v>6.2</v>
      </c>
      <c r="M138" s="16">
        <f t="shared" si="21"/>
        <v>7.8999999999999995</v>
      </c>
    </row>
    <row r="139" spans="1:13" x14ac:dyDescent="0.25">
      <c r="A139" s="1">
        <f t="shared" si="14"/>
        <v>2017</v>
      </c>
      <c r="D139" s="16">
        <v>14.1</v>
      </c>
      <c r="E139" s="16">
        <v>6.3</v>
      </c>
      <c r="F139" s="20">
        <f t="shared" si="15"/>
        <v>1</v>
      </c>
      <c r="G139" s="16">
        <f t="shared" si="16"/>
        <v>14.1</v>
      </c>
      <c r="H139" s="16">
        <f t="shared" si="17"/>
        <v>6.3</v>
      </c>
      <c r="J139">
        <f t="shared" si="18"/>
        <v>2017</v>
      </c>
      <c r="K139" s="16">
        <f t="shared" si="19"/>
        <v>14.1</v>
      </c>
      <c r="L139" s="16">
        <f t="shared" si="20"/>
        <v>6.3</v>
      </c>
      <c r="M139" s="16">
        <f t="shared" si="21"/>
        <v>7.8</v>
      </c>
    </row>
    <row r="140" spans="1:13" x14ac:dyDescent="0.25">
      <c r="A140" s="1">
        <f t="shared" si="14"/>
        <v>2018</v>
      </c>
      <c r="D140" s="16">
        <v>14</v>
      </c>
      <c r="E140" s="16">
        <v>6.3</v>
      </c>
      <c r="F140" s="20">
        <f t="shared" si="15"/>
        <v>1</v>
      </c>
      <c r="G140" s="16">
        <f t="shared" si="16"/>
        <v>14</v>
      </c>
      <c r="H140" s="16">
        <f t="shared" si="17"/>
        <v>6.3</v>
      </c>
      <c r="J140">
        <f t="shared" si="18"/>
        <v>2018</v>
      </c>
      <c r="K140" s="16">
        <f t="shared" si="19"/>
        <v>14</v>
      </c>
      <c r="L140" s="16">
        <f t="shared" si="20"/>
        <v>6.3</v>
      </c>
      <c r="M140" s="16">
        <f t="shared" si="21"/>
        <v>7.7</v>
      </c>
    </row>
    <row r="141" spans="1:13" x14ac:dyDescent="0.25">
      <c r="A141" s="1">
        <f t="shared" si="14"/>
        <v>2019</v>
      </c>
      <c r="D141" s="16">
        <v>13.5</v>
      </c>
      <c r="E141" s="16">
        <v>6.5</v>
      </c>
      <c r="F141" s="20">
        <f t="shared" si="15"/>
        <v>1</v>
      </c>
      <c r="G141" s="16">
        <f t="shared" si="16"/>
        <v>13.5</v>
      </c>
      <c r="H141" s="16">
        <f t="shared" si="17"/>
        <v>6.5</v>
      </c>
      <c r="J141">
        <f t="shared" si="18"/>
        <v>2019</v>
      </c>
      <c r="K141" s="16">
        <f t="shared" si="19"/>
        <v>13.5</v>
      </c>
      <c r="L141" s="16">
        <f t="shared" si="20"/>
        <v>6.5</v>
      </c>
      <c r="M141" s="16">
        <f t="shared" si="21"/>
        <v>7</v>
      </c>
    </row>
    <row r="142" spans="1:13" x14ac:dyDescent="0.25">
      <c r="A142" s="1">
        <f t="shared" si="14"/>
        <v>2020</v>
      </c>
      <c r="D142" s="16">
        <v>13</v>
      </c>
      <c r="E142" s="16">
        <v>7.5</v>
      </c>
      <c r="F142" s="20">
        <f t="shared" si="15"/>
        <v>1</v>
      </c>
      <c r="G142" s="16">
        <f t="shared" si="16"/>
        <v>13</v>
      </c>
      <c r="H142" s="16">
        <f t="shared" si="17"/>
        <v>7.5</v>
      </c>
      <c r="J142">
        <f t="shared" si="18"/>
        <v>2020</v>
      </c>
      <c r="K142" s="16">
        <f t="shared" si="19"/>
        <v>13</v>
      </c>
      <c r="L142" s="16">
        <f t="shared" si="20"/>
        <v>7.5</v>
      </c>
      <c r="M142" s="16">
        <f t="shared" si="21"/>
        <v>5.5</v>
      </c>
    </row>
    <row r="143" spans="1:13" x14ac:dyDescent="0.25">
      <c r="A143" s="1">
        <f t="shared" si="14"/>
        <v>2021</v>
      </c>
      <c r="D143" s="16">
        <v>12.8</v>
      </c>
      <c r="E143" s="16">
        <v>8.4</v>
      </c>
      <c r="F143" s="20">
        <f t="shared" si="15"/>
        <v>1</v>
      </c>
      <c r="G143" s="16">
        <f t="shared" si="16"/>
        <v>12.8</v>
      </c>
      <c r="H143" s="16">
        <f t="shared" si="17"/>
        <v>8.4</v>
      </c>
      <c r="J143">
        <f t="shared" si="18"/>
        <v>2021</v>
      </c>
      <c r="K143" s="16">
        <f t="shared" si="19"/>
        <v>12.8</v>
      </c>
      <c r="L143" s="16">
        <f t="shared" si="20"/>
        <v>8.4</v>
      </c>
      <c r="M143" s="16">
        <f t="shared" si="21"/>
        <v>4.4000000000000004</v>
      </c>
    </row>
    <row r="144" spans="1:13" x14ac:dyDescent="0.25">
      <c r="A144" s="1">
        <f t="shared" si="14"/>
        <v>2022</v>
      </c>
      <c r="D144" s="16">
        <v>12.6</v>
      </c>
      <c r="E144" s="16">
        <v>7.5</v>
      </c>
      <c r="F144" s="20">
        <f t="shared" si="15"/>
        <v>1</v>
      </c>
      <c r="G144" s="16">
        <f t="shared" si="16"/>
        <v>12.6</v>
      </c>
      <c r="H144" s="16">
        <f t="shared" si="17"/>
        <v>7.5</v>
      </c>
      <c r="J144">
        <f t="shared" si="18"/>
        <v>2022</v>
      </c>
      <c r="K144" s="16">
        <f t="shared" si="19"/>
        <v>12.6</v>
      </c>
      <c r="L144" s="16">
        <f t="shared" si="20"/>
        <v>7.5</v>
      </c>
      <c r="M144" s="16">
        <f t="shared" si="21"/>
        <v>5.0999999999999996</v>
      </c>
    </row>
    <row r="145" spans="1:13" x14ac:dyDescent="0.25">
      <c r="A145" s="1">
        <f t="shared" si="14"/>
        <v>2023</v>
      </c>
      <c r="D145" s="16">
        <v>12.3</v>
      </c>
      <c r="E145" s="16">
        <v>7.1</v>
      </c>
      <c r="F145" s="20">
        <f t="shared" si="15"/>
        <v>1</v>
      </c>
      <c r="G145" s="16">
        <f t="shared" si="16"/>
        <v>12.3</v>
      </c>
      <c r="H145" s="16">
        <f t="shared" si="17"/>
        <v>7.1</v>
      </c>
      <c r="J145">
        <f t="shared" si="18"/>
        <v>2023</v>
      </c>
      <c r="K145" s="16">
        <f t="shared" si="19"/>
        <v>12.3</v>
      </c>
      <c r="L145" s="16">
        <f t="shared" si="20"/>
        <v>7.1</v>
      </c>
      <c r="M145" s="16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AE33" sqref="AE33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1885</v>
      </c>
      <c r="B2" s="16">
        <v>44</v>
      </c>
      <c r="C2" s="16">
        <v>33.5</v>
      </c>
      <c r="D2" s="16">
        <f>B2-C2</f>
        <v>10.5</v>
      </c>
    </row>
    <row r="3" spans="1:4" x14ac:dyDescent="0.25">
      <c r="A3" s="22">
        <v>1886</v>
      </c>
      <c r="B3" s="16">
        <v>44.1</v>
      </c>
      <c r="C3" s="16">
        <v>33.200000000000003</v>
      </c>
      <c r="D3" s="16">
        <f t="shared" ref="D3:D66" si="0">B3-C3</f>
        <v>10.899999999999999</v>
      </c>
    </row>
    <row r="4" spans="1:4" x14ac:dyDescent="0.25">
      <c r="A4" s="22">
        <v>1887</v>
      </c>
      <c r="B4" s="16">
        <v>44.3</v>
      </c>
      <c r="C4" s="16">
        <v>32.6</v>
      </c>
      <c r="D4" s="16">
        <f t="shared" si="0"/>
        <v>11.699999999999996</v>
      </c>
    </row>
    <row r="5" spans="1:4" x14ac:dyDescent="0.25">
      <c r="A5" s="22">
        <v>1888</v>
      </c>
      <c r="B5" s="16">
        <v>44.6</v>
      </c>
      <c r="C5" s="16">
        <v>31.7</v>
      </c>
      <c r="D5" s="16">
        <f t="shared" si="0"/>
        <v>12.900000000000002</v>
      </c>
    </row>
    <row r="6" spans="1:4" x14ac:dyDescent="0.25">
      <c r="A6" s="22">
        <v>1889</v>
      </c>
      <c r="B6" s="16">
        <v>45</v>
      </c>
      <c r="C6" s="16">
        <v>30.6</v>
      </c>
      <c r="D6" s="16">
        <f t="shared" si="0"/>
        <v>14.399999999999999</v>
      </c>
    </row>
    <row r="7" spans="1:4" x14ac:dyDescent="0.25">
      <c r="A7" s="22">
        <v>1890</v>
      </c>
      <c r="B7" s="16">
        <v>45.5</v>
      </c>
      <c r="C7" s="16">
        <v>29.2</v>
      </c>
      <c r="D7" s="16">
        <f t="shared" si="0"/>
        <v>16.3</v>
      </c>
    </row>
    <row r="8" spans="1:4" x14ac:dyDescent="0.25">
      <c r="A8" s="22">
        <v>1891</v>
      </c>
      <c r="B8" s="16">
        <v>45.8</v>
      </c>
      <c r="C8" s="16">
        <v>28.3</v>
      </c>
      <c r="D8" s="16">
        <f t="shared" si="0"/>
        <v>17.499999999999996</v>
      </c>
    </row>
    <row r="9" spans="1:4" x14ac:dyDescent="0.25">
      <c r="A9" s="22">
        <v>1892</v>
      </c>
      <c r="B9" s="16">
        <v>45.8</v>
      </c>
      <c r="C9" s="16">
        <v>27.8</v>
      </c>
      <c r="D9" s="16">
        <f t="shared" si="0"/>
        <v>17.999999999999996</v>
      </c>
    </row>
    <row r="10" spans="1:4" x14ac:dyDescent="0.25">
      <c r="A10" s="22">
        <v>1893</v>
      </c>
      <c r="B10" s="16">
        <v>45.5</v>
      </c>
      <c r="C10" s="16">
        <v>27.7</v>
      </c>
      <c r="D10" s="16">
        <f t="shared" si="0"/>
        <v>17.8</v>
      </c>
    </row>
    <row r="11" spans="1:4" x14ac:dyDescent="0.25">
      <c r="A11" s="22">
        <v>1894</v>
      </c>
      <c r="B11" s="16">
        <v>45</v>
      </c>
      <c r="C11" s="16">
        <v>28</v>
      </c>
      <c r="D11" s="16">
        <f t="shared" si="0"/>
        <v>17</v>
      </c>
    </row>
    <row r="12" spans="1:4" x14ac:dyDescent="0.25">
      <c r="A12" s="22">
        <v>1895</v>
      </c>
      <c r="B12" s="16">
        <v>44.3</v>
      </c>
      <c r="C12" s="16">
        <v>28.8</v>
      </c>
      <c r="D12" s="16">
        <f t="shared" si="0"/>
        <v>15.499999999999996</v>
      </c>
    </row>
    <row r="13" spans="1:4" x14ac:dyDescent="0.25">
      <c r="A13" s="22">
        <v>1896</v>
      </c>
      <c r="B13" s="16">
        <v>43.6</v>
      </c>
      <c r="C13" s="16">
        <v>29.3</v>
      </c>
      <c r="D13" s="16">
        <f t="shared" si="0"/>
        <v>14.3</v>
      </c>
    </row>
    <row r="14" spans="1:4" x14ac:dyDescent="0.25">
      <c r="A14" s="22">
        <v>1897</v>
      </c>
      <c r="B14" s="16">
        <v>43</v>
      </c>
      <c r="C14" s="16">
        <v>29.6</v>
      </c>
      <c r="D14" s="16">
        <f t="shared" si="0"/>
        <v>13.399999999999999</v>
      </c>
    </row>
    <row r="15" spans="1:4" x14ac:dyDescent="0.25">
      <c r="A15" s="22">
        <v>1898</v>
      </c>
      <c r="B15" s="16">
        <v>42.5</v>
      </c>
      <c r="C15" s="16">
        <v>29.7</v>
      </c>
      <c r="D15" s="16">
        <f t="shared" si="0"/>
        <v>12.8</v>
      </c>
    </row>
    <row r="16" spans="1:4" x14ac:dyDescent="0.25">
      <c r="A16" s="22">
        <v>1899</v>
      </c>
      <c r="B16" s="16">
        <v>42.1</v>
      </c>
      <c r="C16" s="16">
        <v>29.6</v>
      </c>
      <c r="D16" s="16">
        <f t="shared" si="0"/>
        <v>12.5</v>
      </c>
    </row>
    <row r="17" spans="1:4" x14ac:dyDescent="0.25">
      <c r="A17" s="22">
        <v>1900</v>
      </c>
      <c r="B17" s="16">
        <v>41.8</v>
      </c>
      <c r="C17" s="16">
        <v>29.2</v>
      </c>
      <c r="D17" s="16">
        <f t="shared" si="0"/>
        <v>12.599999999999998</v>
      </c>
    </row>
    <row r="18" spans="1:4" x14ac:dyDescent="0.25">
      <c r="A18" s="22">
        <v>1901</v>
      </c>
      <c r="B18" s="16">
        <v>41.6</v>
      </c>
      <c r="C18" s="16">
        <v>29</v>
      </c>
      <c r="D18" s="16">
        <f t="shared" si="0"/>
        <v>12.600000000000001</v>
      </c>
    </row>
    <row r="19" spans="1:4" x14ac:dyDescent="0.25">
      <c r="A19" s="22">
        <v>1902</v>
      </c>
      <c r="B19" s="16">
        <v>41.6</v>
      </c>
      <c r="C19" s="16">
        <v>28.9</v>
      </c>
      <c r="D19" s="16">
        <f t="shared" si="0"/>
        <v>12.700000000000003</v>
      </c>
    </row>
    <row r="20" spans="1:4" x14ac:dyDescent="0.25">
      <c r="A20" s="22">
        <v>1903</v>
      </c>
      <c r="B20" s="16">
        <v>41.8</v>
      </c>
      <c r="C20" s="16">
        <v>29.1</v>
      </c>
      <c r="D20" s="16">
        <f t="shared" si="0"/>
        <v>12.699999999999996</v>
      </c>
    </row>
    <row r="21" spans="1:4" x14ac:dyDescent="0.25">
      <c r="A21" s="22">
        <v>1904</v>
      </c>
      <c r="B21" s="16">
        <v>42.1</v>
      </c>
      <c r="C21" s="16">
        <v>29.4</v>
      </c>
      <c r="D21" s="16">
        <f t="shared" si="0"/>
        <v>12.700000000000003</v>
      </c>
    </row>
    <row r="22" spans="1:4" x14ac:dyDescent="0.25">
      <c r="A22" s="22">
        <v>1905</v>
      </c>
      <c r="B22" s="16">
        <v>42.7</v>
      </c>
      <c r="C22" s="16">
        <v>29.8</v>
      </c>
      <c r="D22" s="16">
        <f t="shared" si="0"/>
        <v>12.900000000000002</v>
      </c>
    </row>
    <row r="23" spans="1:4" x14ac:dyDescent="0.25">
      <c r="A23" s="22">
        <v>1906</v>
      </c>
      <c r="B23" s="16">
        <v>43.1</v>
      </c>
      <c r="C23" s="16">
        <v>30.1</v>
      </c>
      <c r="D23" s="16">
        <f t="shared" si="0"/>
        <v>13</v>
      </c>
    </row>
    <row r="24" spans="1:4" x14ac:dyDescent="0.25">
      <c r="A24" s="22">
        <v>1907</v>
      </c>
      <c r="B24" s="16">
        <v>43.6</v>
      </c>
      <c r="C24" s="16">
        <v>30.1</v>
      </c>
      <c r="D24" s="16">
        <f t="shared" si="0"/>
        <v>13.5</v>
      </c>
    </row>
    <row r="25" spans="1:4" x14ac:dyDescent="0.25">
      <c r="A25" s="22">
        <v>1908</v>
      </c>
      <c r="B25" s="16">
        <v>44.1</v>
      </c>
      <c r="C25" s="16">
        <v>29.8</v>
      </c>
      <c r="D25" s="16">
        <f t="shared" si="0"/>
        <v>14.3</v>
      </c>
    </row>
    <row r="26" spans="1:4" x14ac:dyDescent="0.25">
      <c r="A26" s="22">
        <v>1909</v>
      </c>
      <c r="B26" s="16">
        <v>44.5</v>
      </c>
      <c r="C26" s="16">
        <v>29.3</v>
      </c>
      <c r="D26" s="16">
        <f t="shared" si="0"/>
        <v>15.2</v>
      </c>
    </row>
    <row r="27" spans="1:4" x14ac:dyDescent="0.25">
      <c r="A27" s="22">
        <v>1910</v>
      </c>
      <c r="B27" s="16">
        <v>44.9</v>
      </c>
      <c r="C27" s="16">
        <v>28.5</v>
      </c>
      <c r="D27" s="16">
        <f t="shared" si="0"/>
        <v>16.399999999999999</v>
      </c>
    </row>
    <row r="28" spans="1:4" x14ac:dyDescent="0.25">
      <c r="A28" s="22">
        <v>1911</v>
      </c>
      <c r="B28" s="16">
        <v>45</v>
      </c>
      <c r="C28" s="16">
        <v>28.1</v>
      </c>
      <c r="D28" s="16">
        <f t="shared" si="0"/>
        <v>16.899999999999999</v>
      </c>
    </row>
    <row r="29" spans="1:4" x14ac:dyDescent="0.25">
      <c r="A29" s="22">
        <v>1912</v>
      </c>
      <c r="B29" s="16">
        <v>44.8</v>
      </c>
      <c r="C29" s="16">
        <v>28</v>
      </c>
      <c r="D29" s="16">
        <f t="shared" si="0"/>
        <v>16.799999999999997</v>
      </c>
    </row>
    <row r="30" spans="1:4" x14ac:dyDescent="0.25">
      <c r="A30" s="22">
        <v>1913</v>
      </c>
      <c r="B30" s="16">
        <v>44.3</v>
      </c>
      <c r="C30" s="16">
        <v>28.2</v>
      </c>
      <c r="D30" s="16">
        <f t="shared" si="0"/>
        <v>16.099999999999998</v>
      </c>
    </row>
    <row r="31" spans="1:4" x14ac:dyDescent="0.25">
      <c r="A31" s="22">
        <v>1914</v>
      </c>
      <c r="B31" s="16">
        <v>43.6</v>
      </c>
      <c r="C31" s="16">
        <v>28.8</v>
      </c>
      <c r="D31" s="16">
        <f t="shared" si="0"/>
        <v>14.8</v>
      </c>
    </row>
    <row r="32" spans="1:4" x14ac:dyDescent="0.25">
      <c r="A32" s="22">
        <v>1915</v>
      </c>
      <c r="B32" s="16">
        <v>42.6</v>
      </c>
      <c r="C32" s="16">
        <v>29.7</v>
      </c>
      <c r="D32" s="16">
        <f t="shared" si="0"/>
        <v>12.900000000000002</v>
      </c>
    </row>
    <row r="33" spans="1:4" x14ac:dyDescent="0.25">
      <c r="A33" s="22">
        <v>1916</v>
      </c>
      <c r="B33" s="16">
        <v>41.8</v>
      </c>
      <c r="C33" s="16">
        <v>30.1</v>
      </c>
      <c r="D33" s="16">
        <f t="shared" si="0"/>
        <v>11.699999999999996</v>
      </c>
    </row>
    <row r="34" spans="1:4" x14ac:dyDescent="0.25">
      <c r="A34" s="22">
        <v>1917</v>
      </c>
      <c r="B34" s="16">
        <v>41.2</v>
      </c>
      <c r="C34" s="16">
        <v>30.2</v>
      </c>
      <c r="D34" s="16">
        <f t="shared" si="0"/>
        <v>11.000000000000004</v>
      </c>
    </row>
    <row r="35" spans="1:4" x14ac:dyDescent="0.25">
      <c r="A35" s="22">
        <v>1918</v>
      </c>
      <c r="B35" s="16">
        <v>40.799999999999997</v>
      </c>
      <c r="C35" s="16">
        <v>29.7</v>
      </c>
      <c r="D35" s="16">
        <f t="shared" si="0"/>
        <v>11.099999999999998</v>
      </c>
    </row>
    <row r="36" spans="1:4" x14ac:dyDescent="0.25">
      <c r="A36" s="22">
        <v>1919</v>
      </c>
      <c r="B36" s="16">
        <v>40.6</v>
      </c>
      <c r="C36" s="16">
        <v>28.8</v>
      </c>
      <c r="D36" s="16">
        <f t="shared" si="0"/>
        <v>11.8</v>
      </c>
    </row>
    <row r="37" spans="1:4" x14ac:dyDescent="0.25">
      <c r="A37" s="22">
        <v>1920</v>
      </c>
      <c r="B37" s="16">
        <v>40.5</v>
      </c>
      <c r="C37" s="16">
        <v>27.5</v>
      </c>
      <c r="D37" s="16">
        <f t="shared" si="0"/>
        <v>13</v>
      </c>
    </row>
    <row r="38" spans="1:4" x14ac:dyDescent="0.25">
      <c r="A38" s="22">
        <v>1921</v>
      </c>
      <c r="B38" s="16">
        <v>40.700000000000003</v>
      </c>
      <c r="C38" s="16">
        <v>26.5</v>
      </c>
      <c r="D38" s="16">
        <f t="shared" si="0"/>
        <v>14.200000000000003</v>
      </c>
    </row>
    <row r="39" spans="1:4" x14ac:dyDescent="0.25">
      <c r="A39" s="22">
        <v>1922</v>
      </c>
      <c r="B39" s="16">
        <v>41</v>
      </c>
      <c r="C39" s="16">
        <v>25.7</v>
      </c>
      <c r="D39" s="16">
        <f t="shared" si="0"/>
        <v>15.3</v>
      </c>
    </row>
    <row r="40" spans="1:4" x14ac:dyDescent="0.25">
      <c r="A40" s="22">
        <v>1923</v>
      </c>
      <c r="B40" s="16">
        <v>41.5</v>
      </c>
      <c r="C40" s="16">
        <v>25.3</v>
      </c>
      <c r="D40" s="16">
        <f t="shared" si="0"/>
        <v>16.2</v>
      </c>
    </row>
    <row r="41" spans="1:4" x14ac:dyDescent="0.25">
      <c r="A41" s="22">
        <v>1924</v>
      </c>
      <c r="B41" s="16">
        <v>42.2</v>
      </c>
      <c r="C41" s="16">
        <v>25.1</v>
      </c>
      <c r="D41" s="16">
        <f t="shared" si="0"/>
        <v>17.100000000000001</v>
      </c>
    </row>
    <row r="42" spans="1:4" x14ac:dyDescent="0.25">
      <c r="A42" s="22">
        <v>1925</v>
      </c>
      <c r="B42" s="16">
        <v>43.1</v>
      </c>
      <c r="C42" s="16">
        <v>25.2</v>
      </c>
      <c r="D42" s="16">
        <f t="shared" si="0"/>
        <v>17.900000000000002</v>
      </c>
    </row>
    <row r="43" spans="1:4" x14ac:dyDescent="0.25">
      <c r="A43" s="22">
        <v>1926</v>
      </c>
      <c r="B43" s="16">
        <v>43.5</v>
      </c>
      <c r="C43" s="16">
        <v>25.1</v>
      </c>
      <c r="D43" s="16">
        <f t="shared" si="0"/>
        <v>18.399999999999999</v>
      </c>
    </row>
    <row r="44" spans="1:4" x14ac:dyDescent="0.25">
      <c r="A44" s="22">
        <v>1927</v>
      </c>
      <c r="B44" s="16">
        <v>43.5</v>
      </c>
      <c r="C44" s="16">
        <v>24.8</v>
      </c>
      <c r="D44" s="16">
        <f t="shared" si="0"/>
        <v>18.7</v>
      </c>
    </row>
    <row r="45" spans="1:4" x14ac:dyDescent="0.25">
      <c r="A45" s="22">
        <v>1928</v>
      </c>
      <c r="B45" s="16">
        <v>43.1</v>
      </c>
      <c r="C45" s="16">
        <v>24.3</v>
      </c>
      <c r="D45" s="16">
        <f t="shared" si="0"/>
        <v>18.8</v>
      </c>
    </row>
    <row r="46" spans="1:4" x14ac:dyDescent="0.25">
      <c r="A46" s="22">
        <v>1929</v>
      </c>
      <c r="B46" s="16">
        <v>42.3</v>
      </c>
      <c r="C46" s="16">
        <v>23.7</v>
      </c>
      <c r="D46" s="16">
        <f t="shared" si="0"/>
        <v>18.599999999999998</v>
      </c>
    </row>
    <row r="47" spans="1:4" x14ac:dyDescent="0.25">
      <c r="A47" s="22">
        <v>1930</v>
      </c>
      <c r="B47" s="16">
        <v>41.1</v>
      </c>
      <c r="C47" s="16">
        <v>22.9</v>
      </c>
      <c r="D47" s="16">
        <f t="shared" si="0"/>
        <v>18.200000000000003</v>
      </c>
    </row>
    <row r="48" spans="1:4" x14ac:dyDescent="0.25">
      <c r="A48" s="22">
        <v>1931</v>
      </c>
      <c r="B48" s="16">
        <v>40.200000000000003</v>
      </c>
      <c r="C48" s="16">
        <v>22.2</v>
      </c>
      <c r="D48" s="16">
        <f t="shared" si="0"/>
        <v>18.000000000000004</v>
      </c>
    </row>
    <row r="49" spans="1:4" x14ac:dyDescent="0.25">
      <c r="A49" s="22">
        <v>1932</v>
      </c>
      <c r="B49" s="16">
        <v>39.6</v>
      </c>
      <c r="C49" s="16">
        <v>21.8</v>
      </c>
      <c r="D49" s="16">
        <f t="shared" si="0"/>
        <v>17.8</v>
      </c>
    </row>
    <row r="50" spans="1:4" x14ac:dyDescent="0.25">
      <c r="A50" s="22">
        <v>1933</v>
      </c>
      <c r="B50" s="16">
        <v>39.299999999999997</v>
      </c>
      <c r="C50" s="16">
        <v>21.4</v>
      </c>
      <c r="D50" s="16">
        <f t="shared" si="0"/>
        <v>17.899999999999999</v>
      </c>
    </row>
    <row r="51" spans="1:4" x14ac:dyDescent="0.25">
      <c r="A51" s="22">
        <v>1934</v>
      </c>
      <c r="B51" s="16">
        <v>39.299999999999997</v>
      </c>
      <c r="C51" s="16">
        <v>21.3</v>
      </c>
      <c r="D51" s="16">
        <f t="shared" si="0"/>
        <v>17.999999999999996</v>
      </c>
    </row>
    <row r="52" spans="1:4" x14ac:dyDescent="0.25">
      <c r="A52" s="22">
        <v>1935</v>
      </c>
      <c r="B52" s="16">
        <v>39.700000000000003</v>
      </c>
      <c r="C52" s="16">
        <v>21.3</v>
      </c>
      <c r="D52" s="16">
        <f t="shared" si="0"/>
        <v>18.400000000000002</v>
      </c>
    </row>
    <row r="53" spans="1:4" x14ac:dyDescent="0.25">
      <c r="A53" s="22">
        <v>1936</v>
      </c>
      <c r="B53" s="16">
        <v>40</v>
      </c>
      <c r="C53" s="16">
        <v>21.2</v>
      </c>
      <c r="D53" s="16">
        <f t="shared" si="0"/>
        <v>18.8</v>
      </c>
    </row>
    <row r="54" spans="1:4" x14ac:dyDescent="0.25">
      <c r="A54" s="22">
        <v>1937</v>
      </c>
      <c r="B54" s="16">
        <v>40.200000000000003</v>
      </c>
      <c r="C54" s="16">
        <v>21.1</v>
      </c>
      <c r="D54" s="16">
        <f t="shared" si="0"/>
        <v>19.100000000000001</v>
      </c>
    </row>
    <row r="55" spans="1:4" x14ac:dyDescent="0.25">
      <c r="A55" s="22">
        <v>1938</v>
      </c>
      <c r="B55" s="16">
        <v>40.5</v>
      </c>
      <c r="C55" s="16">
        <v>21</v>
      </c>
      <c r="D55" s="16">
        <f t="shared" si="0"/>
        <v>19.5</v>
      </c>
    </row>
    <row r="56" spans="1:4" x14ac:dyDescent="0.25">
      <c r="A56" s="22">
        <v>1939</v>
      </c>
      <c r="B56" s="16">
        <v>40.700000000000003</v>
      </c>
      <c r="C56" s="16">
        <v>20.9</v>
      </c>
      <c r="D56" s="16">
        <f t="shared" si="0"/>
        <v>19.800000000000004</v>
      </c>
    </row>
    <row r="57" spans="1:4" x14ac:dyDescent="0.25">
      <c r="A57" s="22">
        <v>1940</v>
      </c>
      <c r="B57" s="16">
        <v>40.799999999999997</v>
      </c>
      <c r="C57" s="16">
        <v>20.7</v>
      </c>
      <c r="D57" s="16">
        <f t="shared" si="0"/>
        <v>20.099999999999998</v>
      </c>
    </row>
    <row r="58" spans="1:4" x14ac:dyDescent="0.25">
      <c r="A58" s="22">
        <v>1941</v>
      </c>
      <c r="B58" s="16">
        <v>41.1</v>
      </c>
      <c r="C58" s="16">
        <v>20.399999999999999</v>
      </c>
      <c r="D58" s="16">
        <f t="shared" si="0"/>
        <v>20.700000000000003</v>
      </c>
    </row>
    <row r="59" spans="1:4" x14ac:dyDescent="0.25">
      <c r="A59" s="22">
        <v>1942</v>
      </c>
      <c r="B59" s="16">
        <v>41.4</v>
      </c>
      <c r="C59" s="16">
        <v>20</v>
      </c>
      <c r="D59" s="16">
        <f t="shared" si="0"/>
        <v>21.4</v>
      </c>
    </row>
    <row r="60" spans="1:4" x14ac:dyDescent="0.25">
      <c r="A60" s="22">
        <v>1943</v>
      </c>
      <c r="B60" s="16">
        <v>41.8</v>
      </c>
      <c r="C60" s="16">
        <v>19.399999999999999</v>
      </c>
      <c r="D60" s="16">
        <f t="shared" si="0"/>
        <v>22.4</v>
      </c>
    </row>
    <row r="61" spans="1:4" x14ac:dyDescent="0.25">
      <c r="A61" s="22">
        <v>1944</v>
      </c>
      <c r="B61" s="16">
        <v>42.3</v>
      </c>
      <c r="C61" s="16">
        <v>18.7</v>
      </c>
      <c r="D61" s="16">
        <f t="shared" si="0"/>
        <v>23.599999999999998</v>
      </c>
    </row>
    <row r="62" spans="1:4" x14ac:dyDescent="0.25">
      <c r="A62" s="22">
        <v>1945</v>
      </c>
      <c r="B62" s="16">
        <v>42.9</v>
      </c>
      <c r="C62" s="16">
        <v>17.8</v>
      </c>
      <c r="D62" s="16">
        <f t="shared" si="0"/>
        <v>25.099999999999998</v>
      </c>
    </row>
    <row r="63" spans="1:4" x14ac:dyDescent="0.25">
      <c r="A63" s="22">
        <v>1946</v>
      </c>
      <c r="B63" s="16">
        <v>43.3</v>
      </c>
      <c r="C63" s="16">
        <v>17</v>
      </c>
      <c r="D63" s="16">
        <f t="shared" si="0"/>
        <v>26.299999999999997</v>
      </c>
    </row>
    <row r="64" spans="1:4" x14ac:dyDescent="0.25">
      <c r="A64" s="22">
        <v>1947</v>
      </c>
      <c r="B64" s="16">
        <v>43.7</v>
      </c>
      <c r="C64" s="16">
        <v>16.2</v>
      </c>
      <c r="D64" s="16">
        <f t="shared" si="0"/>
        <v>27.500000000000004</v>
      </c>
    </row>
    <row r="65" spans="1:4" x14ac:dyDescent="0.25">
      <c r="A65" s="22">
        <v>1948</v>
      </c>
      <c r="B65" s="16">
        <v>43.9</v>
      </c>
      <c r="C65" s="16">
        <v>15.3</v>
      </c>
      <c r="D65" s="16">
        <f t="shared" si="0"/>
        <v>28.599999999999998</v>
      </c>
    </row>
    <row r="66" spans="1:4" x14ac:dyDescent="0.25">
      <c r="A66" s="22">
        <v>1949</v>
      </c>
      <c r="B66" s="16">
        <v>44.1</v>
      </c>
      <c r="C66" s="16">
        <v>14.4</v>
      </c>
      <c r="D66" s="16">
        <f t="shared" si="0"/>
        <v>29.700000000000003</v>
      </c>
    </row>
    <row r="67" spans="1:4" x14ac:dyDescent="0.25">
      <c r="A67" s="22">
        <v>1950</v>
      </c>
      <c r="B67" s="16">
        <v>44.1</v>
      </c>
      <c r="C67" s="16">
        <v>13.6</v>
      </c>
      <c r="D67" s="16">
        <f t="shared" ref="D67:D130" si="1">B67-C67</f>
        <v>30.5</v>
      </c>
    </row>
    <row r="68" spans="1:4" x14ac:dyDescent="0.25">
      <c r="A68" s="22">
        <v>1951</v>
      </c>
      <c r="B68" s="16">
        <v>44.2</v>
      </c>
      <c r="C68" s="16">
        <v>12.8</v>
      </c>
      <c r="D68" s="16">
        <f t="shared" si="1"/>
        <v>31.400000000000002</v>
      </c>
    </row>
    <row r="69" spans="1:4" x14ac:dyDescent="0.25">
      <c r="A69" s="22">
        <v>1952</v>
      </c>
      <c r="B69" s="16">
        <v>44.4</v>
      </c>
      <c r="C69" s="16">
        <v>12.3</v>
      </c>
      <c r="D69" s="16">
        <f t="shared" si="1"/>
        <v>32.099999999999994</v>
      </c>
    </row>
    <row r="70" spans="1:4" x14ac:dyDescent="0.25">
      <c r="A70" s="22">
        <v>1953</v>
      </c>
      <c r="B70" s="16">
        <v>44.8</v>
      </c>
      <c r="C70" s="16">
        <v>11.9</v>
      </c>
      <c r="D70" s="16">
        <f t="shared" si="1"/>
        <v>32.9</v>
      </c>
    </row>
    <row r="71" spans="1:4" x14ac:dyDescent="0.25">
      <c r="A71" s="22">
        <v>1954</v>
      </c>
      <c r="B71" s="16">
        <v>45.3</v>
      </c>
      <c r="C71" s="16">
        <v>11.8</v>
      </c>
      <c r="D71" s="16">
        <f t="shared" si="1"/>
        <v>33.5</v>
      </c>
    </row>
    <row r="72" spans="1:4" x14ac:dyDescent="0.25">
      <c r="A72" s="22">
        <v>1955</v>
      </c>
      <c r="B72" s="16">
        <v>45.8</v>
      </c>
      <c r="C72" s="16">
        <v>11.7</v>
      </c>
      <c r="D72" s="16">
        <f t="shared" si="1"/>
        <v>34.099999999999994</v>
      </c>
    </row>
    <row r="73" spans="1:4" x14ac:dyDescent="0.25">
      <c r="A73" s="22">
        <v>1956</v>
      </c>
      <c r="B73" s="16">
        <v>46.3</v>
      </c>
      <c r="C73" s="16">
        <v>11.5</v>
      </c>
      <c r="D73" s="16">
        <f t="shared" si="1"/>
        <v>34.799999999999997</v>
      </c>
    </row>
    <row r="74" spans="1:4" x14ac:dyDescent="0.25">
      <c r="A74" s="22">
        <v>1957</v>
      </c>
      <c r="B74" s="16">
        <v>46.6</v>
      </c>
      <c r="C74" s="16">
        <v>11.3</v>
      </c>
      <c r="D74" s="16">
        <f t="shared" si="1"/>
        <v>35.299999999999997</v>
      </c>
    </row>
    <row r="75" spans="1:4" x14ac:dyDescent="0.25">
      <c r="A75" s="22">
        <v>1958</v>
      </c>
      <c r="B75" s="16">
        <v>46.7</v>
      </c>
      <c r="C75" s="16">
        <v>10.9</v>
      </c>
      <c r="D75" s="16">
        <f t="shared" si="1"/>
        <v>35.800000000000004</v>
      </c>
    </row>
    <row r="76" spans="1:4" x14ac:dyDescent="0.25">
      <c r="A76" s="22">
        <v>1959</v>
      </c>
      <c r="B76" s="16">
        <v>45.7</v>
      </c>
      <c r="C76" s="16">
        <v>10.5</v>
      </c>
      <c r="D76" s="16">
        <f t="shared" si="1"/>
        <v>35.200000000000003</v>
      </c>
    </row>
    <row r="77" spans="1:4" x14ac:dyDescent="0.25">
      <c r="A77" s="22">
        <v>1960</v>
      </c>
      <c r="B77" s="16">
        <v>45</v>
      </c>
      <c r="C77" s="16">
        <v>10</v>
      </c>
      <c r="D77" s="16">
        <f t="shared" si="1"/>
        <v>35</v>
      </c>
    </row>
    <row r="78" spans="1:4" x14ac:dyDescent="0.25">
      <c r="A78" s="22">
        <v>1961</v>
      </c>
      <c r="B78" s="16">
        <v>44.1</v>
      </c>
      <c r="C78" s="16">
        <v>9.6</v>
      </c>
      <c r="D78" s="16">
        <f t="shared" si="1"/>
        <v>34.5</v>
      </c>
    </row>
    <row r="79" spans="1:4" x14ac:dyDescent="0.25">
      <c r="A79" s="22">
        <v>1962</v>
      </c>
      <c r="B79" s="16">
        <v>43.4</v>
      </c>
      <c r="C79" s="16">
        <v>9.3000000000000007</v>
      </c>
      <c r="D79" s="16">
        <f t="shared" si="1"/>
        <v>34.099999999999994</v>
      </c>
    </row>
    <row r="80" spans="1:4" x14ac:dyDescent="0.25">
      <c r="A80" s="22">
        <v>1963</v>
      </c>
      <c r="B80" s="16">
        <v>42.7</v>
      </c>
      <c r="C80" s="16">
        <v>8.8000000000000007</v>
      </c>
      <c r="D80" s="16">
        <f t="shared" si="1"/>
        <v>33.900000000000006</v>
      </c>
    </row>
    <row r="81" spans="1:4" x14ac:dyDescent="0.25">
      <c r="A81" s="22">
        <v>1964</v>
      </c>
      <c r="B81" s="16">
        <v>42</v>
      </c>
      <c r="C81" s="16">
        <v>8.5</v>
      </c>
      <c r="D81" s="16">
        <f t="shared" si="1"/>
        <v>33.5</v>
      </c>
    </row>
    <row r="82" spans="1:4" x14ac:dyDescent="0.25">
      <c r="A82" s="22">
        <v>1965</v>
      </c>
      <c r="B82" s="16">
        <v>41.3</v>
      </c>
      <c r="C82" s="16">
        <v>8.1</v>
      </c>
      <c r="D82" s="16">
        <f t="shared" si="1"/>
        <v>33.199999999999996</v>
      </c>
    </row>
    <row r="83" spans="1:4" x14ac:dyDescent="0.25">
      <c r="A83" s="22">
        <v>1966</v>
      </c>
      <c r="B83" s="16">
        <v>40.5</v>
      </c>
      <c r="C83" s="16">
        <v>7.6</v>
      </c>
      <c r="D83" s="16">
        <f t="shared" si="1"/>
        <v>32.9</v>
      </c>
    </row>
    <row r="84" spans="1:4" x14ac:dyDescent="0.25">
      <c r="A84" s="22">
        <v>1967</v>
      </c>
      <c r="B84" s="16">
        <v>39.700000000000003</v>
      </c>
      <c r="C84" s="16">
        <v>7.3</v>
      </c>
      <c r="D84" s="16">
        <f t="shared" si="1"/>
        <v>32.400000000000006</v>
      </c>
    </row>
    <row r="85" spans="1:4" x14ac:dyDescent="0.25">
      <c r="A85" s="22">
        <v>1968</v>
      </c>
      <c r="B85" s="16">
        <v>39</v>
      </c>
      <c r="C85" s="16">
        <v>7.1</v>
      </c>
      <c r="D85" s="16">
        <f t="shared" si="1"/>
        <v>31.9</v>
      </c>
    </row>
    <row r="86" spans="1:4" x14ac:dyDescent="0.25">
      <c r="A86" s="22">
        <v>1969</v>
      </c>
      <c r="B86" s="16">
        <v>38.200000000000003</v>
      </c>
      <c r="C86" s="16">
        <v>7.1</v>
      </c>
      <c r="D86" s="16">
        <f t="shared" si="1"/>
        <v>31.1</v>
      </c>
    </row>
    <row r="87" spans="1:4" x14ac:dyDescent="0.25">
      <c r="A87" s="22">
        <v>1970</v>
      </c>
      <c r="B87" s="16">
        <v>37.5</v>
      </c>
      <c r="C87" s="16">
        <v>6.7</v>
      </c>
      <c r="D87" s="16">
        <f t="shared" si="1"/>
        <v>30.8</v>
      </c>
    </row>
    <row r="88" spans="1:4" x14ac:dyDescent="0.25">
      <c r="A88" s="22">
        <v>1971</v>
      </c>
      <c r="B88" s="16">
        <v>36.700000000000003</v>
      </c>
      <c r="C88" s="16">
        <v>6.5</v>
      </c>
      <c r="D88" s="16">
        <f t="shared" si="1"/>
        <v>30.200000000000003</v>
      </c>
    </row>
    <row r="89" spans="1:4" x14ac:dyDescent="0.25">
      <c r="A89" s="22">
        <v>1972</v>
      </c>
      <c r="B89" s="16">
        <v>36.1</v>
      </c>
      <c r="C89" s="16">
        <v>6.3</v>
      </c>
      <c r="D89" s="16">
        <f t="shared" si="1"/>
        <v>29.8</v>
      </c>
    </row>
    <row r="90" spans="1:4" x14ac:dyDescent="0.25">
      <c r="A90" s="22">
        <v>1973</v>
      </c>
      <c r="B90" s="16">
        <v>35.700000000000003</v>
      </c>
      <c r="C90" s="16">
        <v>6.2</v>
      </c>
      <c r="D90" s="16">
        <f t="shared" si="1"/>
        <v>29.500000000000004</v>
      </c>
    </row>
    <row r="91" spans="1:4" x14ac:dyDescent="0.25">
      <c r="A91" s="22">
        <v>1974</v>
      </c>
      <c r="B91" s="16">
        <v>35.299999999999997</v>
      </c>
      <c r="C91" s="16">
        <v>6</v>
      </c>
      <c r="D91" s="16">
        <f t="shared" si="1"/>
        <v>29.299999999999997</v>
      </c>
    </row>
    <row r="92" spans="1:4" x14ac:dyDescent="0.25">
      <c r="A92" s="22">
        <v>1975</v>
      </c>
      <c r="B92" s="16">
        <v>35</v>
      </c>
      <c r="C92" s="16">
        <v>5.9</v>
      </c>
      <c r="D92" s="16">
        <f t="shared" si="1"/>
        <v>29.1</v>
      </c>
    </row>
    <row r="93" spans="1:4" x14ac:dyDescent="0.25">
      <c r="A93" s="22">
        <v>1976</v>
      </c>
      <c r="B93" s="16">
        <v>34.700000000000003</v>
      </c>
      <c r="C93" s="16">
        <v>5.7</v>
      </c>
      <c r="D93" s="16">
        <f t="shared" si="1"/>
        <v>29.000000000000004</v>
      </c>
    </row>
    <row r="94" spans="1:4" x14ac:dyDescent="0.25">
      <c r="A94" s="22">
        <v>1977</v>
      </c>
      <c r="B94" s="16">
        <v>34.5</v>
      </c>
      <c r="C94" s="16">
        <v>5.5</v>
      </c>
      <c r="D94" s="16">
        <f t="shared" si="1"/>
        <v>29</v>
      </c>
    </row>
    <row r="95" spans="1:4" x14ac:dyDescent="0.25">
      <c r="A95" s="22">
        <v>1978</v>
      </c>
      <c r="B95" s="16">
        <v>34.1</v>
      </c>
      <c r="C95" s="16">
        <v>5.4</v>
      </c>
      <c r="D95" s="16">
        <f t="shared" si="1"/>
        <v>28.700000000000003</v>
      </c>
    </row>
    <row r="96" spans="1:4" x14ac:dyDescent="0.25">
      <c r="A96" s="22">
        <v>1979</v>
      </c>
      <c r="B96" s="16">
        <v>33.799999999999997</v>
      </c>
      <c r="C96" s="16">
        <v>5.4</v>
      </c>
      <c r="D96" s="16">
        <f t="shared" si="1"/>
        <v>28.4</v>
      </c>
    </row>
    <row r="97" spans="1:4" x14ac:dyDescent="0.25">
      <c r="A97" s="22">
        <v>1980</v>
      </c>
      <c r="B97" s="16">
        <v>33.299999999999997</v>
      </c>
      <c r="C97" s="16">
        <v>5.4</v>
      </c>
      <c r="D97" s="16">
        <f t="shared" si="1"/>
        <v>27.9</v>
      </c>
    </row>
    <row r="98" spans="1:4" x14ac:dyDescent="0.25">
      <c r="A98" s="22">
        <v>1981</v>
      </c>
      <c r="B98" s="16">
        <v>32.799999999999997</v>
      </c>
      <c r="C98" s="16">
        <v>5.3</v>
      </c>
      <c r="D98" s="16">
        <f t="shared" si="1"/>
        <v>27.499999999999996</v>
      </c>
    </row>
    <row r="99" spans="1:4" x14ac:dyDescent="0.25">
      <c r="A99" s="22">
        <v>1982</v>
      </c>
      <c r="B99" s="16">
        <v>32.299999999999997</v>
      </c>
      <c r="C99" s="16">
        <v>5.2</v>
      </c>
      <c r="D99" s="16">
        <f t="shared" si="1"/>
        <v>27.099999999999998</v>
      </c>
    </row>
    <row r="100" spans="1:4" x14ac:dyDescent="0.25">
      <c r="A100" s="22">
        <v>1983</v>
      </c>
      <c r="B100" s="16">
        <v>31.8</v>
      </c>
      <c r="C100" s="16">
        <v>5</v>
      </c>
      <c r="D100" s="16">
        <f t="shared" si="1"/>
        <v>26.8</v>
      </c>
    </row>
    <row r="101" spans="1:4" x14ac:dyDescent="0.25">
      <c r="A101" s="22">
        <v>1984</v>
      </c>
      <c r="B101" s="16">
        <v>31.4</v>
      </c>
      <c r="C101" s="16">
        <v>5</v>
      </c>
      <c r="D101" s="16">
        <f t="shared" si="1"/>
        <v>26.4</v>
      </c>
    </row>
    <row r="102" spans="1:4" x14ac:dyDescent="0.25">
      <c r="A102" s="22">
        <v>1985</v>
      </c>
      <c r="B102" s="16">
        <v>31</v>
      </c>
      <c r="C102" s="16">
        <v>5</v>
      </c>
      <c r="D102" s="16">
        <f t="shared" si="1"/>
        <v>26</v>
      </c>
    </row>
    <row r="103" spans="1:4" x14ac:dyDescent="0.25">
      <c r="A103" s="22">
        <v>1986</v>
      </c>
      <c r="B103" s="16">
        <v>30.9</v>
      </c>
      <c r="C103" s="16">
        <v>4.8</v>
      </c>
      <c r="D103" s="16">
        <f t="shared" si="1"/>
        <v>26.099999999999998</v>
      </c>
    </row>
    <row r="104" spans="1:4" x14ac:dyDescent="0.25">
      <c r="A104" s="22">
        <v>1987</v>
      </c>
      <c r="B104" s="16">
        <v>30.6</v>
      </c>
      <c r="C104" s="16">
        <v>4.8</v>
      </c>
      <c r="D104" s="16">
        <f t="shared" si="1"/>
        <v>25.8</v>
      </c>
    </row>
    <row r="105" spans="1:4" x14ac:dyDescent="0.25">
      <c r="A105" s="22">
        <v>1988</v>
      </c>
      <c r="B105" s="16">
        <v>30.1</v>
      </c>
      <c r="C105" s="16">
        <v>4.8</v>
      </c>
      <c r="D105" s="16">
        <f t="shared" si="1"/>
        <v>25.3</v>
      </c>
    </row>
    <row r="106" spans="1:4" x14ac:dyDescent="0.25">
      <c r="A106" s="22">
        <v>1989</v>
      </c>
      <c r="B106" s="16">
        <v>29.5</v>
      </c>
      <c r="C106" s="16">
        <v>4.8</v>
      </c>
      <c r="D106" s="16">
        <f t="shared" si="1"/>
        <v>24.7</v>
      </c>
    </row>
    <row r="107" spans="1:4" x14ac:dyDescent="0.25">
      <c r="A107" s="22">
        <v>1990</v>
      </c>
      <c r="B107" s="16">
        <v>28.9</v>
      </c>
      <c r="C107" s="16">
        <v>4.8</v>
      </c>
      <c r="D107" s="16">
        <f t="shared" si="1"/>
        <v>24.099999999999998</v>
      </c>
    </row>
    <row r="108" spans="1:4" x14ac:dyDescent="0.25">
      <c r="A108" s="22">
        <v>1991</v>
      </c>
      <c r="B108" s="16">
        <v>28.3</v>
      </c>
      <c r="C108" s="16">
        <v>4.8</v>
      </c>
      <c r="D108" s="16">
        <f t="shared" si="1"/>
        <v>23.5</v>
      </c>
    </row>
    <row r="109" spans="1:4" x14ac:dyDescent="0.25">
      <c r="A109" s="22">
        <v>1992</v>
      </c>
      <c r="B109" s="16">
        <v>27.7</v>
      </c>
      <c r="C109" s="16">
        <v>4.8</v>
      </c>
      <c r="D109" s="16">
        <f t="shared" si="1"/>
        <v>22.9</v>
      </c>
    </row>
    <row r="110" spans="1:4" x14ac:dyDescent="0.25">
      <c r="A110" s="22">
        <v>1993</v>
      </c>
      <c r="B110" s="16">
        <v>27.1</v>
      </c>
      <c r="C110" s="16">
        <v>4.8</v>
      </c>
      <c r="D110" s="16">
        <f t="shared" si="1"/>
        <v>22.3</v>
      </c>
    </row>
    <row r="111" spans="1:4" x14ac:dyDescent="0.25">
      <c r="A111" s="22">
        <v>1994</v>
      </c>
      <c r="B111" s="16">
        <v>26.5</v>
      </c>
      <c r="C111" s="16">
        <v>4.9000000000000004</v>
      </c>
      <c r="D111" s="16">
        <f t="shared" si="1"/>
        <v>21.6</v>
      </c>
    </row>
    <row r="112" spans="1:4" x14ac:dyDescent="0.25">
      <c r="A112" s="22">
        <v>1995</v>
      </c>
      <c r="B112" s="16">
        <v>26</v>
      </c>
      <c r="C112" s="16">
        <v>4.8</v>
      </c>
      <c r="D112" s="16">
        <f t="shared" si="1"/>
        <v>21.2</v>
      </c>
    </row>
    <row r="113" spans="1:4" x14ac:dyDescent="0.25">
      <c r="A113" s="22">
        <v>1996</v>
      </c>
      <c r="B113" s="16">
        <v>25.5</v>
      </c>
      <c r="C113" s="16">
        <v>4.8</v>
      </c>
      <c r="D113" s="16">
        <f t="shared" si="1"/>
        <v>20.7</v>
      </c>
    </row>
    <row r="114" spans="1:4" x14ac:dyDescent="0.25">
      <c r="A114" s="22">
        <v>1997</v>
      </c>
      <c r="B114" s="16">
        <v>25.1</v>
      </c>
      <c r="C114" s="16">
        <v>4.7</v>
      </c>
      <c r="D114" s="16">
        <f t="shared" si="1"/>
        <v>20.400000000000002</v>
      </c>
    </row>
    <row r="115" spans="1:4" x14ac:dyDescent="0.25">
      <c r="A115" s="22">
        <v>1998</v>
      </c>
      <c r="B115" s="16">
        <v>24.6</v>
      </c>
      <c r="C115" s="16">
        <v>4.8</v>
      </c>
      <c r="D115" s="16">
        <f t="shared" si="1"/>
        <v>19.8</v>
      </c>
    </row>
    <row r="116" spans="1:4" x14ac:dyDescent="0.25">
      <c r="A116" s="22">
        <v>1999</v>
      </c>
      <c r="B116" s="16">
        <v>24.2</v>
      </c>
      <c r="C116" s="16">
        <v>5</v>
      </c>
      <c r="D116" s="16">
        <f t="shared" si="1"/>
        <v>19.2</v>
      </c>
    </row>
    <row r="117" spans="1:4" x14ac:dyDescent="0.25">
      <c r="A117" s="22">
        <v>2000</v>
      </c>
      <c r="B117" s="16">
        <v>23.7</v>
      </c>
      <c r="C117" s="16">
        <v>4.9000000000000004</v>
      </c>
      <c r="D117" s="16">
        <f t="shared" si="1"/>
        <v>18.799999999999997</v>
      </c>
    </row>
    <row r="118" spans="1:4" x14ac:dyDescent="0.25">
      <c r="A118" s="22">
        <v>2001</v>
      </c>
      <c r="B118" s="16">
        <v>23.6</v>
      </c>
      <c r="C118" s="16">
        <v>5.5</v>
      </c>
      <c r="D118" s="16">
        <f t="shared" si="1"/>
        <v>18.100000000000001</v>
      </c>
    </row>
    <row r="119" spans="1:4" x14ac:dyDescent="0.25">
      <c r="A119" s="22">
        <v>2002</v>
      </c>
      <c r="B119" s="16">
        <v>23.3</v>
      </c>
      <c r="C119" s="16">
        <v>4.9000000000000004</v>
      </c>
      <c r="D119" s="16">
        <f t="shared" si="1"/>
        <v>18.399999999999999</v>
      </c>
    </row>
    <row r="120" spans="1:4" x14ac:dyDescent="0.25">
      <c r="A120" s="22">
        <v>2003</v>
      </c>
      <c r="B120" s="16">
        <v>22.9</v>
      </c>
      <c r="C120" s="16">
        <v>5.3</v>
      </c>
      <c r="D120" s="16">
        <f t="shared" si="1"/>
        <v>17.599999999999998</v>
      </c>
    </row>
    <row r="121" spans="1:4" x14ac:dyDescent="0.25">
      <c r="A121" s="22">
        <v>2004</v>
      </c>
      <c r="B121" s="16">
        <v>22.4</v>
      </c>
      <c r="C121" s="16">
        <v>5.0999999999999996</v>
      </c>
      <c r="D121" s="16">
        <f t="shared" si="1"/>
        <v>17.299999999999997</v>
      </c>
    </row>
    <row r="122" spans="1:4" x14ac:dyDescent="0.25">
      <c r="A122" s="22">
        <v>2005</v>
      </c>
      <c r="B122" s="16">
        <v>22.4</v>
      </c>
      <c r="C122" s="16">
        <v>5.0999999999999996</v>
      </c>
      <c r="D122" s="16">
        <f t="shared" si="1"/>
        <v>17.299999999999997</v>
      </c>
    </row>
    <row r="123" spans="1:4" x14ac:dyDescent="0.25">
      <c r="A123" s="22">
        <v>2006</v>
      </c>
      <c r="B123" s="16">
        <v>22.1</v>
      </c>
      <c r="C123" s="16">
        <v>5.2</v>
      </c>
      <c r="D123" s="16">
        <f t="shared" si="1"/>
        <v>16.900000000000002</v>
      </c>
    </row>
    <row r="124" spans="1:4" x14ac:dyDescent="0.25">
      <c r="A124" s="22">
        <v>2007</v>
      </c>
      <c r="B124" s="16">
        <v>21.5</v>
      </c>
      <c r="C124" s="16">
        <v>5.0999999999999996</v>
      </c>
      <c r="D124" s="16">
        <f t="shared" si="1"/>
        <v>16.399999999999999</v>
      </c>
    </row>
    <row r="125" spans="1:4" x14ac:dyDescent="0.25">
      <c r="A125" s="22">
        <v>2008</v>
      </c>
      <c r="B125" s="16">
        <v>21.1</v>
      </c>
      <c r="C125" s="16">
        <v>5.5</v>
      </c>
      <c r="D125" s="16">
        <f t="shared" si="1"/>
        <v>15.600000000000001</v>
      </c>
    </row>
    <row r="126" spans="1:4" x14ac:dyDescent="0.25">
      <c r="A126" s="22">
        <v>2009</v>
      </c>
      <c r="B126" s="16">
        <v>20.6</v>
      </c>
      <c r="C126" s="16">
        <v>5.5</v>
      </c>
      <c r="D126" s="16">
        <f t="shared" si="1"/>
        <v>15.100000000000001</v>
      </c>
    </row>
    <row r="127" spans="1:4" x14ac:dyDescent="0.25">
      <c r="A127" s="22">
        <v>2010</v>
      </c>
      <c r="B127" s="16">
        <v>20.3</v>
      </c>
      <c r="C127" s="16">
        <v>5.5</v>
      </c>
      <c r="D127" s="16">
        <f t="shared" si="1"/>
        <v>14.8</v>
      </c>
    </row>
    <row r="128" spans="1:4" x14ac:dyDescent="0.25">
      <c r="A128" s="22">
        <v>2011</v>
      </c>
      <c r="B128" s="16">
        <v>20.2</v>
      </c>
      <c r="C128" s="16">
        <v>5.6</v>
      </c>
      <c r="D128" s="16">
        <f t="shared" si="1"/>
        <v>14.6</v>
      </c>
    </row>
    <row r="129" spans="1:4" x14ac:dyDescent="0.25">
      <c r="A129" s="22">
        <v>2012</v>
      </c>
      <c r="B129" s="16">
        <v>19.899999999999999</v>
      </c>
      <c r="C129" s="16">
        <v>5.7</v>
      </c>
      <c r="D129" s="16">
        <f t="shared" si="1"/>
        <v>14.2</v>
      </c>
    </row>
    <row r="130" spans="1:4" x14ac:dyDescent="0.25">
      <c r="A130" s="22">
        <v>2013</v>
      </c>
      <c r="B130" s="16">
        <v>19.5</v>
      </c>
      <c r="C130" s="16">
        <v>5.8</v>
      </c>
      <c r="D130" s="16">
        <f t="shared" si="1"/>
        <v>13.7</v>
      </c>
    </row>
    <row r="131" spans="1:4" x14ac:dyDescent="0.25">
      <c r="A131" s="22">
        <v>2014</v>
      </c>
      <c r="B131" s="16">
        <v>19.100000000000001</v>
      </c>
      <c r="C131" s="16">
        <v>6</v>
      </c>
      <c r="D131" s="16">
        <f t="shared" ref="D131:D140" si="2">B131-C131</f>
        <v>13.100000000000001</v>
      </c>
    </row>
    <row r="132" spans="1:4" x14ac:dyDescent="0.25">
      <c r="A132" s="22">
        <v>2015</v>
      </c>
      <c r="B132" s="16">
        <v>18.600000000000001</v>
      </c>
      <c r="C132" s="16">
        <v>6</v>
      </c>
      <c r="D132" s="16">
        <f t="shared" si="2"/>
        <v>12.600000000000001</v>
      </c>
    </row>
    <row r="133" spans="1:4" x14ac:dyDescent="0.25">
      <c r="A133" s="22">
        <v>2016</v>
      </c>
      <c r="B133" s="16">
        <v>18.3</v>
      </c>
      <c r="C133" s="16">
        <v>6.6</v>
      </c>
      <c r="D133" s="16">
        <f t="shared" si="2"/>
        <v>11.700000000000001</v>
      </c>
    </row>
    <row r="134" spans="1:4" x14ac:dyDescent="0.25">
      <c r="A134" s="22">
        <v>2017</v>
      </c>
      <c r="B134" s="16">
        <v>17.899999999999999</v>
      </c>
      <c r="C134" s="16">
        <v>6.8</v>
      </c>
      <c r="D134" s="16">
        <f t="shared" si="2"/>
        <v>11.099999999999998</v>
      </c>
    </row>
    <row r="135" spans="1:4" x14ac:dyDescent="0.25">
      <c r="A135" s="22">
        <v>2018</v>
      </c>
      <c r="B135" s="16">
        <v>17.3</v>
      </c>
      <c r="C135" s="16">
        <v>6.7</v>
      </c>
      <c r="D135" s="16">
        <f t="shared" si="2"/>
        <v>10.600000000000001</v>
      </c>
    </row>
    <row r="136" spans="1:4" x14ac:dyDescent="0.25">
      <c r="A136" s="22">
        <v>2019</v>
      </c>
      <c r="B136" s="16">
        <v>16.3</v>
      </c>
      <c r="C136" s="16">
        <v>6.8</v>
      </c>
      <c r="D136" s="16">
        <f t="shared" si="2"/>
        <v>9.5</v>
      </c>
    </row>
    <row r="137" spans="1:4" x14ac:dyDescent="0.25">
      <c r="A137" s="22">
        <v>2020</v>
      </c>
      <c r="B137" s="16">
        <v>15.5</v>
      </c>
      <c r="C137" s="16">
        <v>7.2</v>
      </c>
      <c r="D137" s="16">
        <f t="shared" si="2"/>
        <v>8.3000000000000007</v>
      </c>
    </row>
    <row r="138" spans="1:4" x14ac:dyDescent="0.25">
      <c r="A138" s="22">
        <v>2021</v>
      </c>
      <c r="B138" s="16">
        <v>15.2</v>
      </c>
      <c r="C138" s="16">
        <v>7.9</v>
      </c>
      <c r="D138" s="16">
        <f t="shared" si="2"/>
        <v>7.2999999999999989</v>
      </c>
    </row>
    <row r="139" spans="1:4" x14ac:dyDescent="0.25">
      <c r="A139" s="22">
        <v>2022</v>
      </c>
      <c r="B139" s="16">
        <v>15</v>
      </c>
      <c r="C139" s="16">
        <v>7.3</v>
      </c>
      <c r="D139" s="16">
        <f t="shared" si="2"/>
        <v>7.7</v>
      </c>
    </row>
    <row r="140" spans="1:4" x14ac:dyDescent="0.25">
      <c r="A140" s="22">
        <v>2023</v>
      </c>
      <c r="B140" s="16">
        <v>15.1</v>
      </c>
      <c r="C140" s="16">
        <v>7.6</v>
      </c>
      <c r="D140" s="16">
        <f t="shared" si="2"/>
        <v>7.5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1900</v>
      </c>
      <c r="B2" s="16">
        <v>46.6</v>
      </c>
      <c r="C2" s="16">
        <v>35.5</v>
      </c>
      <c r="D2" s="16">
        <f>B2-C2</f>
        <v>11.100000000000001</v>
      </c>
    </row>
    <row r="3" spans="1:4" x14ac:dyDescent="0.25">
      <c r="A3" s="22">
        <v>1901</v>
      </c>
      <c r="B3" s="16">
        <v>46.4</v>
      </c>
      <c r="C3" s="16">
        <v>35.5</v>
      </c>
      <c r="D3" s="16">
        <f t="shared" ref="D3:D66" si="0">B3-C3</f>
        <v>10.899999999999999</v>
      </c>
    </row>
    <row r="4" spans="1:4" x14ac:dyDescent="0.25">
      <c r="A4" s="22">
        <v>1902</v>
      </c>
      <c r="B4" s="16">
        <v>46</v>
      </c>
      <c r="C4" s="16">
        <v>35.4</v>
      </c>
      <c r="D4" s="16">
        <f t="shared" si="0"/>
        <v>10.600000000000001</v>
      </c>
    </row>
    <row r="5" spans="1:4" x14ac:dyDescent="0.25">
      <c r="A5" s="22">
        <v>1903</v>
      </c>
      <c r="B5" s="16">
        <v>45.4</v>
      </c>
      <c r="C5" s="16">
        <v>35.299999999999997</v>
      </c>
      <c r="D5" s="16">
        <f t="shared" si="0"/>
        <v>10.100000000000001</v>
      </c>
    </row>
    <row r="6" spans="1:4" x14ac:dyDescent="0.25">
      <c r="A6" s="22">
        <v>1904</v>
      </c>
      <c r="B6" s="16">
        <v>44.6</v>
      </c>
      <c r="C6" s="16">
        <v>35.200000000000003</v>
      </c>
      <c r="D6" s="16">
        <f t="shared" si="0"/>
        <v>9.3999999999999986</v>
      </c>
    </row>
    <row r="7" spans="1:4" x14ac:dyDescent="0.25">
      <c r="A7" s="22">
        <v>1905</v>
      </c>
      <c r="B7" s="16">
        <v>43.6</v>
      </c>
      <c r="C7" s="16">
        <v>35</v>
      </c>
      <c r="D7" s="16">
        <f t="shared" si="0"/>
        <v>8.6000000000000014</v>
      </c>
    </row>
    <row r="8" spans="1:4" x14ac:dyDescent="0.25">
      <c r="A8" s="22">
        <v>1906</v>
      </c>
      <c r="B8" s="16">
        <v>43.1</v>
      </c>
      <c r="C8" s="16">
        <v>34.700000000000003</v>
      </c>
      <c r="D8" s="16">
        <f t="shared" si="0"/>
        <v>8.3999999999999986</v>
      </c>
    </row>
    <row r="9" spans="1:4" x14ac:dyDescent="0.25">
      <c r="A9" s="22">
        <v>1907</v>
      </c>
      <c r="B9" s="16">
        <v>43.1</v>
      </c>
      <c r="C9" s="16">
        <v>34.200000000000003</v>
      </c>
      <c r="D9" s="16">
        <f t="shared" si="0"/>
        <v>8.8999999999999986</v>
      </c>
    </row>
    <row r="10" spans="1:4" x14ac:dyDescent="0.25">
      <c r="A10" s="22">
        <v>1908</v>
      </c>
      <c r="B10" s="16">
        <v>43.6</v>
      </c>
      <c r="C10" s="16">
        <v>33.5</v>
      </c>
      <c r="D10" s="16">
        <f t="shared" si="0"/>
        <v>10.100000000000001</v>
      </c>
    </row>
    <row r="11" spans="1:4" x14ac:dyDescent="0.25">
      <c r="A11" s="22">
        <v>1909</v>
      </c>
      <c r="B11" s="16">
        <v>44.6</v>
      </c>
      <c r="C11" s="16">
        <v>32.700000000000003</v>
      </c>
      <c r="D11" s="16">
        <f t="shared" si="0"/>
        <v>11.899999999999999</v>
      </c>
    </row>
    <row r="12" spans="1:4" x14ac:dyDescent="0.25">
      <c r="A12" s="22">
        <v>1910</v>
      </c>
      <c r="B12" s="16">
        <v>46.2</v>
      </c>
      <c r="C12" s="16">
        <v>31.7</v>
      </c>
      <c r="D12" s="16">
        <f t="shared" si="0"/>
        <v>14.500000000000004</v>
      </c>
    </row>
    <row r="13" spans="1:4" x14ac:dyDescent="0.25">
      <c r="A13" s="22">
        <v>1911</v>
      </c>
      <c r="B13" s="16">
        <v>47.1</v>
      </c>
      <c r="C13" s="16">
        <v>31.5</v>
      </c>
      <c r="D13" s="16">
        <f t="shared" si="0"/>
        <v>15.600000000000001</v>
      </c>
    </row>
    <row r="14" spans="1:4" x14ac:dyDescent="0.25">
      <c r="A14" s="22">
        <v>1912</v>
      </c>
      <c r="B14" s="16">
        <v>47.3</v>
      </c>
      <c r="C14" s="16">
        <v>32.1</v>
      </c>
      <c r="D14" s="16">
        <f t="shared" si="0"/>
        <v>15.199999999999996</v>
      </c>
    </row>
    <row r="15" spans="1:4" x14ac:dyDescent="0.25">
      <c r="A15" s="22">
        <v>1913</v>
      </c>
      <c r="B15" s="16">
        <v>46.8</v>
      </c>
      <c r="C15" s="16">
        <v>33.6</v>
      </c>
      <c r="D15" s="16">
        <f t="shared" si="0"/>
        <v>13.199999999999996</v>
      </c>
    </row>
    <row r="16" spans="1:4" x14ac:dyDescent="0.25">
      <c r="A16" s="22">
        <v>1914</v>
      </c>
      <c r="B16" s="16">
        <v>45.7</v>
      </c>
      <c r="C16" s="16">
        <v>35.9</v>
      </c>
      <c r="D16" s="16">
        <f t="shared" si="0"/>
        <v>9.8000000000000043</v>
      </c>
    </row>
    <row r="17" spans="1:4" x14ac:dyDescent="0.25">
      <c r="A17" s="22">
        <v>1915</v>
      </c>
      <c r="B17" s="16">
        <v>43.8</v>
      </c>
      <c r="C17" s="16">
        <v>39.200000000000003</v>
      </c>
      <c r="D17" s="16">
        <f t="shared" si="0"/>
        <v>4.5999999999999943</v>
      </c>
    </row>
    <row r="18" spans="1:4" x14ac:dyDescent="0.25">
      <c r="A18" s="22">
        <v>1916</v>
      </c>
      <c r="B18" s="16">
        <v>42.8</v>
      </c>
      <c r="C18" s="16">
        <v>41.3</v>
      </c>
      <c r="D18" s="16">
        <f t="shared" si="0"/>
        <v>1.5</v>
      </c>
    </row>
    <row r="19" spans="1:4" x14ac:dyDescent="0.25">
      <c r="A19" s="22">
        <v>1917</v>
      </c>
      <c r="B19" s="16">
        <v>42.5</v>
      </c>
      <c r="C19" s="16">
        <v>42.1</v>
      </c>
      <c r="D19" s="16">
        <f t="shared" si="0"/>
        <v>0.39999999999999858</v>
      </c>
    </row>
    <row r="20" spans="1:4" x14ac:dyDescent="0.25">
      <c r="A20" s="22">
        <v>1918</v>
      </c>
      <c r="B20" s="16">
        <v>42.9</v>
      </c>
      <c r="C20" s="16">
        <v>41.6</v>
      </c>
      <c r="D20" s="16">
        <f t="shared" si="0"/>
        <v>1.2999999999999972</v>
      </c>
    </row>
    <row r="21" spans="1:4" x14ac:dyDescent="0.25">
      <c r="A21" s="22">
        <v>1919</v>
      </c>
      <c r="B21" s="16">
        <v>44</v>
      </c>
      <c r="C21" s="16">
        <v>39.799999999999997</v>
      </c>
      <c r="D21" s="16">
        <f t="shared" si="0"/>
        <v>4.2000000000000028</v>
      </c>
    </row>
    <row r="22" spans="1:4" x14ac:dyDescent="0.25">
      <c r="A22" s="22">
        <v>1920</v>
      </c>
      <c r="B22" s="16">
        <v>45.9</v>
      </c>
      <c r="C22" s="16">
        <v>36.9</v>
      </c>
      <c r="D22" s="16">
        <f t="shared" si="0"/>
        <v>9</v>
      </c>
    </row>
    <row r="23" spans="1:4" x14ac:dyDescent="0.25">
      <c r="A23" s="22">
        <v>1921</v>
      </c>
      <c r="B23" s="16">
        <v>47.5</v>
      </c>
      <c r="C23" s="16">
        <v>34.6</v>
      </c>
      <c r="D23" s="16">
        <f t="shared" si="0"/>
        <v>12.899999999999999</v>
      </c>
    </row>
    <row r="24" spans="1:4" x14ac:dyDescent="0.25">
      <c r="A24" s="22">
        <v>1922</v>
      </c>
      <c r="B24" s="16">
        <v>48.7</v>
      </c>
      <c r="C24" s="16">
        <v>33.1</v>
      </c>
      <c r="D24" s="16">
        <f t="shared" si="0"/>
        <v>15.600000000000001</v>
      </c>
    </row>
    <row r="25" spans="1:4" x14ac:dyDescent="0.25">
      <c r="A25" s="22">
        <v>1923</v>
      </c>
      <c r="B25" s="16">
        <v>49.4</v>
      </c>
      <c r="C25" s="16">
        <v>32.200000000000003</v>
      </c>
      <c r="D25" s="16">
        <f t="shared" si="0"/>
        <v>17.199999999999996</v>
      </c>
    </row>
    <row r="26" spans="1:4" x14ac:dyDescent="0.25">
      <c r="A26" s="22">
        <v>1924</v>
      </c>
      <c r="B26" s="16">
        <v>49.8</v>
      </c>
      <c r="C26" s="16">
        <v>32</v>
      </c>
      <c r="D26" s="16">
        <f t="shared" si="0"/>
        <v>17.799999999999997</v>
      </c>
    </row>
    <row r="27" spans="1:4" x14ac:dyDescent="0.25">
      <c r="A27" s="22">
        <v>1925</v>
      </c>
      <c r="B27" s="16">
        <v>49.8</v>
      </c>
      <c r="C27" s="16">
        <v>32.4</v>
      </c>
      <c r="D27" s="16">
        <f t="shared" si="0"/>
        <v>17.399999999999999</v>
      </c>
    </row>
    <row r="28" spans="1:4" x14ac:dyDescent="0.25">
      <c r="A28" s="22">
        <v>1926</v>
      </c>
      <c r="B28" s="16">
        <v>49.7</v>
      </c>
      <c r="C28" s="16">
        <v>32.6</v>
      </c>
      <c r="D28" s="16">
        <f t="shared" si="0"/>
        <v>17.100000000000001</v>
      </c>
    </row>
    <row r="29" spans="1:4" x14ac:dyDescent="0.25">
      <c r="A29" s="22">
        <v>1927</v>
      </c>
      <c r="B29" s="16">
        <v>49.4</v>
      </c>
      <c r="C29" s="16">
        <v>32.799999999999997</v>
      </c>
      <c r="D29" s="16">
        <f t="shared" si="0"/>
        <v>16.600000000000001</v>
      </c>
    </row>
    <row r="30" spans="1:4" x14ac:dyDescent="0.25">
      <c r="A30" s="22">
        <v>1928</v>
      </c>
      <c r="B30" s="16">
        <v>48.9</v>
      </c>
      <c r="C30" s="16">
        <v>32.700000000000003</v>
      </c>
      <c r="D30" s="16">
        <f t="shared" si="0"/>
        <v>16.199999999999996</v>
      </c>
    </row>
    <row r="31" spans="1:4" x14ac:dyDescent="0.25">
      <c r="A31" s="22">
        <v>1929</v>
      </c>
      <c r="B31" s="16">
        <v>48.3</v>
      </c>
      <c r="C31" s="16">
        <v>32.5</v>
      </c>
      <c r="D31" s="16">
        <f t="shared" si="0"/>
        <v>15.799999999999997</v>
      </c>
    </row>
    <row r="32" spans="1:4" x14ac:dyDescent="0.25">
      <c r="A32" s="22">
        <v>1930</v>
      </c>
      <c r="B32" s="16">
        <v>47.5</v>
      </c>
      <c r="C32" s="16">
        <v>32.200000000000003</v>
      </c>
      <c r="D32" s="16">
        <f t="shared" si="0"/>
        <v>15.299999999999997</v>
      </c>
    </row>
    <row r="33" spans="1:4" x14ac:dyDescent="0.25">
      <c r="A33" s="22">
        <v>1931</v>
      </c>
      <c r="B33" s="16">
        <v>46.8</v>
      </c>
      <c r="C33" s="16">
        <v>31.9</v>
      </c>
      <c r="D33" s="16">
        <f t="shared" si="0"/>
        <v>14.899999999999999</v>
      </c>
    </row>
    <row r="34" spans="1:4" x14ac:dyDescent="0.25">
      <c r="A34" s="22">
        <v>1932</v>
      </c>
      <c r="B34" s="16">
        <v>46.2</v>
      </c>
      <c r="C34" s="16">
        <v>31.7</v>
      </c>
      <c r="D34" s="16">
        <f t="shared" si="0"/>
        <v>14.500000000000004</v>
      </c>
    </row>
    <row r="35" spans="1:4" x14ac:dyDescent="0.25">
      <c r="A35" s="22">
        <v>1933</v>
      </c>
      <c r="B35" s="16">
        <v>45.6</v>
      </c>
      <c r="C35" s="16">
        <v>31.5</v>
      </c>
      <c r="D35" s="16">
        <f t="shared" si="0"/>
        <v>14.100000000000001</v>
      </c>
    </row>
    <row r="36" spans="1:4" x14ac:dyDescent="0.25">
      <c r="A36" s="22">
        <v>1934</v>
      </c>
      <c r="B36" s="16">
        <v>45.1</v>
      </c>
      <c r="C36" s="16">
        <v>31.3</v>
      </c>
      <c r="D36" s="16">
        <f t="shared" si="0"/>
        <v>13.8</v>
      </c>
    </row>
    <row r="37" spans="1:4" x14ac:dyDescent="0.25">
      <c r="A37" s="22">
        <v>1935</v>
      </c>
      <c r="B37" s="16">
        <v>44.6</v>
      </c>
      <c r="C37" s="16">
        <v>31.3</v>
      </c>
      <c r="D37" s="16">
        <f t="shared" si="0"/>
        <v>13.3</v>
      </c>
    </row>
    <row r="38" spans="1:4" x14ac:dyDescent="0.25">
      <c r="A38" s="22">
        <v>1936</v>
      </c>
      <c r="B38" s="16">
        <v>44.3</v>
      </c>
      <c r="C38" s="16">
        <v>31.1</v>
      </c>
      <c r="D38" s="16">
        <f t="shared" si="0"/>
        <v>13.199999999999996</v>
      </c>
    </row>
    <row r="39" spans="1:4" x14ac:dyDescent="0.25">
      <c r="A39" s="22">
        <v>1937</v>
      </c>
      <c r="B39" s="16">
        <v>44.1</v>
      </c>
      <c r="C39" s="16">
        <v>30.8</v>
      </c>
      <c r="D39" s="16">
        <f t="shared" si="0"/>
        <v>13.3</v>
      </c>
    </row>
    <row r="40" spans="1:4" x14ac:dyDescent="0.25">
      <c r="A40" s="22">
        <v>1938</v>
      </c>
      <c r="B40" s="16">
        <v>44</v>
      </c>
      <c r="C40" s="16">
        <v>30.4</v>
      </c>
      <c r="D40" s="16">
        <f t="shared" si="0"/>
        <v>13.600000000000001</v>
      </c>
    </row>
    <row r="41" spans="1:4" x14ac:dyDescent="0.25">
      <c r="A41" s="22">
        <v>1939</v>
      </c>
      <c r="B41" s="16">
        <v>44</v>
      </c>
      <c r="C41" s="16">
        <v>30</v>
      </c>
      <c r="D41" s="16">
        <f t="shared" si="0"/>
        <v>14</v>
      </c>
    </row>
    <row r="42" spans="1:4" x14ac:dyDescent="0.25">
      <c r="A42" s="22">
        <v>1940</v>
      </c>
      <c r="B42" s="16">
        <v>44.2</v>
      </c>
      <c r="C42" s="16">
        <v>29.4</v>
      </c>
      <c r="D42" s="16">
        <f t="shared" si="0"/>
        <v>14.800000000000004</v>
      </c>
    </row>
    <row r="43" spans="1:4" x14ac:dyDescent="0.25">
      <c r="A43" s="22">
        <v>1941</v>
      </c>
      <c r="B43" s="16">
        <v>44.5</v>
      </c>
      <c r="C43" s="16">
        <v>28.9</v>
      </c>
      <c r="D43" s="16">
        <f t="shared" si="0"/>
        <v>15.600000000000001</v>
      </c>
    </row>
    <row r="44" spans="1:4" x14ac:dyDescent="0.25">
      <c r="A44" s="22">
        <v>1942</v>
      </c>
      <c r="B44" s="16">
        <v>45</v>
      </c>
      <c r="C44" s="16">
        <v>28.5</v>
      </c>
      <c r="D44" s="16">
        <f t="shared" si="0"/>
        <v>16.5</v>
      </c>
    </row>
    <row r="45" spans="1:4" x14ac:dyDescent="0.25">
      <c r="A45" s="22">
        <v>1943</v>
      </c>
      <c r="B45" s="16">
        <v>45.7</v>
      </c>
      <c r="C45" s="16">
        <v>28.1</v>
      </c>
      <c r="D45" s="16">
        <f t="shared" si="0"/>
        <v>17.600000000000001</v>
      </c>
    </row>
    <row r="46" spans="1:4" x14ac:dyDescent="0.25">
      <c r="A46" s="22">
        <v>1944</v>
      </c>
      <c r="B46" s="16">
        <v>46.5</v>
      </c>
      <c r="C46" s="16">
        <v>27.7</v>
      </c>
      <c r="D46" s="16">
        <f t="shared" si="0"/>
        <v>18.8</v>
      </c>
    </row>
    <row r="47" spans="1:4" x14ac:dyDescent="0.25">
      <c r="A47" s="22">
        <v>1945</v>
      </c>
      <c r="B47" s="16">
        <v>47.5</v>
      </c>
      <c r="C47" s="16">
        <v>27.4</v>
      </c>
      <c r="D47" s="16">
        <f t="shared" si="0"/>
        <v>20.100000000000001</v>
      </c>
    </row>
    <row r="48" spans="1:4" x14ac:dyDescent="0.25">
      <c r="A48" s="22">
        <v>1946</v>
      </c>
      <c r="B48" s="16">
        <v>48.4</v>
      </c>
      <c r="C48" s="16">
        <v>27</v>
      </c>
      <c r="D48" s="16">
        <f t="shared" si="0"/>
        <v>21.4</v>
      </c>
    </row>
    <row r="49" spans="1:4" x14ac:dyDescent="0.25">
      <c r="A49" s="22">
        <v>1947</v>
      </c>
      <c r="B49" s="16">
        <v>49.2</v>
      </c>
      <c r="C49" s="16">
        <v>26.6</v>
      </c>
      <c r="D49" s="16">
        <f t="shared" si="0"/>
        <v>22.6</v>
      </c>
    </row>
    <row r="50" spans="1:4" x14ac:dyDescent="0.25">
      <c r="A50" s="22">
        <v>1948</v>
      </c>
      <c r="B50" s="16">
        <v>49.9</v>
      </c>
      <c r="C50" s="16">
        <v>26.1</v>
      </c>
      <c r="D50" s="16">
        <f t="shared" si="0"/>
        <v>23.799999999999997</v>
      </c>
    </row>
    <row r="51" spans="1:4" x14ac:dyDescent="0.25">
      <c r="A51" s="22">
        <v>1949</v>
      </c>
      <c r="B51" s="16">
        <v>50.4</v>
      </c>
      <c r="C51" s="16">
        <v>25.5</v>
      </c>
      <c r="D51" s="16">
        <f t="shared" si="0"/>
        <v>24.9</v>
      </c>
    </row>
    <row r="52" spans="1:4" x14ac:dyDescent="0.25">
      <c r="A52" s="22">
        <v>1950</v>
      </c>
      <c r="B52" s="16">
        <v>50.9</v>
      </c>
      <c r="C52" s="16">
        <v>24.9</v>
      </c>
      <c r="D52" s="16">
        <f t="shared" si="0"/>
        <v>26</v>
      </c>
    </row>
    <row r="53" spans="1:4" x14ac:dyDescent="0.25">
      <c r="A53" s="22">
        <v>1951</v>
      </c>
      <c r="B53" s="16">
        <v>51.1</v>
      </c>
      <c r="C53" s="16">
        <v>24.2</v>
      </c>
      <c r="D53" s="16">
        <f t="shared" si="0"/>
        <v>26.900000000000002</v>
      </c>
    </row>
    <row r="54" spans="1:4" x14ac:dyDescent="0.25">
      <c r="A54" s="22">
        <v>1952</v>
      </c>
      <c r="B54" s="16">
        <v>51.1</v>
      </c>
      <c r="C54" s="16">
        <v>23.6</v>
      </c>
      <c r="D54" s="16">
        <f t="shared" si="0"/>
        <v>27.5</v>
      </c>
    </row>
    <row r="55" spans="1:4" x14ac:dyDescent="0.25">
      <c r="A55" s="22">
        <v>1953</v>
      </c>
      <c r="B55" s="16">
        <v>51</v>
      </c>
      <c r="C55" s="16">
        <v>23</v>
      </c>
      <c r="D55" s="16">
        <f t="shared" si="0"/>
        <v>28</v>
      </c>
    </row>
    <row r="56" spans="1:4" x14ac:dyDescent="0.25">
      <c r="A56" s="22">
        <v>1954</v>
      </c>
      <c r="B56" s="16">
        <v>50.7</v>
      </c>
      <c r="C56" s="16">
        <v>22.5</v>
      </c>
      <c r="D56" s="16">
        <f t="shared" si="0"/>
        <v>28.200000000000003</v>
      </c>
    </row>
    <row r="57" spans="1:4" x14ac:dyDescent="0.25">
      <c r="A57" s="22">
        <v>1955</v>
      </c>
      <c r="B57" s="16">
        <v>50.4</v>
      </c>
      <c r="C57" s="16">
        <v>22.1</v>
      </c>
      <c r="D57" s="16">
        <f t="shared" si="0"/>
        <v>28.299999999999997</v>
      </c>
    </row>
    <row r="58" spans="1:4" x14ac:dyDescent="0.25">
      <c r="A58" s="22">
        <v>1956</v>
      </c>
      <c r="B58" s="16">
        <v>50.2</v>
      </c>
      <c r="C58" s="16">
        <v>21.9</v>
      </c>
      <c r="D58" s="16">
        <f t="shared" si="0"/>
        <v>28.300000000000004</v>
      </c>
    </row>
    <row r="59" spans="1:4" x14ac:dyDescent="0.25">
      <c r="A59" s="22">
        <v>1957</v>
      </c>
      <c r="B59" s="16">
        <v>50.1</v>
      </c>
      <c r="C59" s="16">
        <v>21.6</v>
      </c>
      <c r="D59" s="16">
        <f t="shared" si="0"/>
        <v>28.5</v>
      </c>
    </row>
    <row r="60" spans="1:4" x14ac:dyDescent="0.25">
      <c r="A60" s="22">
        <v>1958</v>
      </c>
      <c r="B60" s="16">
        <v>49.6</v>
      </c>
      <c r="C60" s="16">
        <v>20.8</v>
      </c>
      <c r="D60" s="16">
        <f t="shared" si="0"/>
        <v>28.8</v>
      </c>
    </row>
    <row r="61" spans="1:4" x14ac:dyDescent="0.25">
      <c r="A61" s="22">
        <v>1959</v>
      </c>
      <c r="B61" s="16">
        <v>49.1</v>
      </c>
      <c r="C61" s="16">
        <v>19.899999999999999</v>
      </c>
      <c r="D61" s="16">
        <f t="shared" si="0"/>
        <v>29.200000000000003</v>
      </c>
    </row>
    <row r="62" spans="1:4" x14ac:dyDescent="0.25">
      <c r="A62" s="22">
        <v>1960</v>
      </c>
      <c r="B62" s="16">
        <v>48.5</v>
      </c>
      <c r="C62" s="16">
        <v>18.8</v>
      </c>
      <c r="D62" s="16">
        <f t="shared" si="0"/>
        <v>29.7</v>
      </c>
    </row>
    <row r="63" spans="1:4" x14ac:dyDescent="0.25">
      <c r="A63" s="22">
        <v>1961</v>
      </c>
      <c r="B63" s="16">
        <v>48</v>
      </c>
      <c r="C63" s="16">
        <v>18.5</v>
      </c>
      <c r="D63" s="16">
        <f t="shared" si="0"/>
        <v>29.5</v>
      </c>
    </row>
    <row r="64" spans="1:4" x14ac:dyDescent="0.25">
      <c r="A64" s="22">
        <v>1962</v>
      </c>
      <c r="B64" s="16">
        <v>47.4</v>
      </c>
      <c r="C64" s="16">
        <v>18.100000000000001</v>
      </c>
      <c r="D64" s="16">
        <f t="shared" si="0"/>
        <v>29.299999999999997</v>
      </c>
    </row>
    <row r="65" spans="1:4" x14ac:dyDescent="0.25">
      <c r="A65" s="22">
        <v>1963</v>
      </c>
      <c r="B65" s="16">
        <v>46.9</v>
      </c>
      <c r="C65" s="16">
        <v>17.8</v>
      </c>
      <c r="D65" s="16">
        <f t="shared" si="0"/>
        <v>29.099999999999998</v>
      </c>
    </row>
    <row r="66" spans="1:4" x14ac:dyDescent="0.25">
      <c r="A66" s="22">
        <v>1964</v>
      </c>
      <c r="B66" s="16">
        <v>46.5</v>
      </c>
      <c r="C66" s="16">
        <v>17.5</v>
      </c>
      <c r="D66" s="16">
        <f t="shared" si="0"/>
        <v>29</v>
      </c>
    </row>
    <row r="67" spans="1:4" x14ac:dyDescent="0.25">
      <c r="A67" s="22">
        <v>1965</v>
      </c>
      <c r="B67" s="16">
        <v>46.2</v>
      </c>
      <c r="C67" s="16">
        <v>17.3</v>
      </c>
      <c r="D67" s="16">
        <f t="shared" ref="D67:D125" si="1">B67-C67</f>
        <v>28.900000000000002</v>
      </c>
    </row>
    <row r="68" spans="1:4" x14ac:dyDescent="0.25">
      <c r="A68" s="22">
        <v>1966</v>
      </c>
      <c r="B68" s="16">
        <v>46</v>
      </c>
      <c r="C68" s="16">
        <v>17</v>
      </c>
      <c r="D68" s="16">
        <f t="shared" si="1"/>
        <v>29</v>
      </c>
    </row>
    <row r="69" spans="1:4" x14ac:dyDescent="0.25">
      <c r="A69" s="22">
        <v>1967</v>
      </c>
      <c r="B69" s="16">
        <v>45.6</v>
      </c>
      <c r="C69" s="16">
        <v>16.7</v>
      </c>
      <c r="D69" s="16">
        <f t="shared" si="1"/>
        <v>28.900000000000002</v>
      </c>
    </row>
    <row r="70" spans="1:4" x14ac:dyDescent="0.25">
      <c r="A70" s="22">
        <v>1968</v>
      </c>
      <c r="B70" s="16">
        <v>45.3</v>
      </c>
      <c r="C70" s="16">
        <v>16.600000000000001</v>
      </c>
      <c r="D70" s="16">
        <f t="shared" si="1"/>
        <v>28.699999999999996</v>
      </c>
    </row>
    <row r="71" spans="1:4" x14ac:dyDescent="0.25">
      <c r="A71" s="22">
        <v>1969</v>
      </c>
      <c r="B71" s="16">
        <v>45.1</v>
      </c>
      <c r="C71" s="16">
        <v>16.7</v>
      </c>
      <c r="D71" s="16">
        <f t="shared" si="1"/>
        <v>28.400000000000002</v>
      </c>
    </row>
    <row r="72" spans="1:4" x14ac:dyDescent="0.25">
      <c r="A72" s="22">
        <v>1970</v>
      </c>
      <c r="B72" s="16">
        <v>44.9</v>
      </c>
      <c r="C72" s="16">
        <v>16</v>
      </c>
      <c r="D72" s="16">
        <f t="shared" si="1"/>
        <v>28.9</v>
      </c>
    </row>
    <row r="73" spans="1:4" x14ac:dyDescent="0.25">
      <c r="A73" s="22">
        <v>1971</v>
      </c>
      <c r="B73" s="16">
        <v>44.7</v>
      </c>
      <c r="C73" s="16">
        <v>14.9</v>
      </c>
      <c r="D73" s="16">
        <f t="shared" si="1"/>
        <v>29.800000000000004</v>
      </c>
    </row>
    <row r="74" spans="1:4" x14ac:dyDescent="0.25">
      <c r="A74" s="22">
        <v>1972</v>
      </c>
      <c r="B74" s="16">
        <v>44.4</v>
      </c>
      <c r="C74" s="16">
        <v>14</v>
      </c>
      <c r="D74" s="16">
        <f t="shared" si="1"/>
        <v>30.4</v>
      </c>
    </row>
    <row r="75" spans="1:4" x14ac:dyDescent="0.25">
      <c r="A75" s="22">
        <v>1973</v>
      </c>
      <c r="B75" s="16">
        <v>44.2</v>
      </c>
      <c r="C75" s="16">
        <v>13.4</v>
      </c>
      <c r="D75" s="16">
        <f t="shared" si="1"/>
        <v>30.800000000000004</v>
      </c>
    </row>
    <row r="76" spans="1:4" x14ac:dyDescent="0.25">
      <c r="A76" s="22">
        <v>1974</v>
      </c>
      <c r="B76" s="16">
        <v>44.1</v>
      </c>
      <c r="C76" s="16">
        <v>13.2</v>
      </c>
      <c r="D76" s="16">
        <f t="shared" si="1"/>
        <v>30.900000000000002</v>
      </c>
    </row>
    <row r="77" spans="1:4" x14ac:dyDescent="0.25">
      <c r="A77" s="22">
        <v>1975</v>
      </c>
      <c r="B77" s="16">
        <v>44.1</v>
      </c>
      <c r="C77" s="16">
        <v>13.3</v>
      </c>
      <c r="D77" s="16">
        <f t="shared" si="1"/>
        <v>30.8</v>
      </c>
    </row>
    <row r="78" spans="1:4" x14ac:dyDescent="0.25">
      <c r="A78" s="22">
        <v>1976</v>
      </c>
      <c r="B78" s="16">
        <v>44</v>
      </c>
      <c r="C78" s="16">
        <v>16.600000000000001</v>
      </c>
      <c r="D78" s="16">
        <f t="shared" si="1"/>
        <v>27.4</v>
      </c>
    </row>
    <row r="79" spans="1:4" x14ac:dyDescent="0.25">
      <c r="A79" s="22">
        <v>1977</v>
      </c>
      <c r="B79" s="16">
        <v>43.9</v>
      </c>
      <c r="C79" s="16">
        <v>12.1</v>
      </c>
      <c r="D79" s="16">
        <f t="shared" si="1"/>
        <v>31.799999999999997</v>
      </c>
    </row>
    <row r="80" spans="1:4" x14ac:dyDescent="0.25">
      <c r="A80" s="22">
        <v>1978</v>
      </c>
      <c r="B80" s="16">
        <v>43.7</v>
      </c>
      <c r="C80" s="16">
        <v>11.5</v>
      </c>
      <c r="D80" s="16">
        <f t="shared" si="1"/>
        <v>32.200000000000003</v>
      </c>
    </row>
    <row r="81" spans="1:4" x14ac:dyDescent="0.25">
      <c r="A81" s="22">
        <v>1979</v>
      </c>
      <c r="B81" s="16">
        <v>43.6</v>
      </c>
      <c r="C81" s="16">
        <v>11.4</v>
      </c>
      <c r="D81" s="16">
        <f t="shared" si="1"/>
        <v>32.200000000000003</v>
      </c>
    </row>
    <row r="82" spans="1:4" x14ac:dyDescent="0.25">
      <c r="A82" s="22">
        <v>1980</v>
      </c>
      <c r="B82" s="16">
        <v>43.6</v>
      </c>
      <c r="C82" s="16">
        <v>12</v>
      </c>
      <c r="D82" s="16">
        <f t="shared" si="1"/>
        <v>31.6</v>
      </c>
    </row>
    <row r="83" spans="1:4" x14ac:dyDescent="0.25">
      <c r="A83" s="22">
        <v>1981</v>
      </c>
      <c r="B83" s="16">
        <v>43.4</v>
      </c>
      <c r="C83" s="16">
        <v>12.2</v>
      </c>
      <c r="D83" s="16">
        <f t="shared" si="1"/>
        <v>31.2</v>
      </c>
    </row>
    <row r="84" spans="1:4" x14ac:dyDescent="0.25">
      <c r="A84" s="22">
        <v>1982</v>
      </c>
      <c r="B84" s="16">
        <v>43.2</v>
      </c>
      <c r="C84" s="16">
        <v>15.6</v>
      </c>
      <c r="D84" s="16">
        <f t="shared" si="1"/>
        <v>27.6</v>
      </c>
    </row>
    <row r="85" spans="1:4" x14ac:dyDescent="0.25">
      <c r="A85" s="22">
        <v>1983</v>
      </c>
      <c r="B85" s="16">
        <v>42.8</v>
      </c>
      <c r="C85" s="16">
        <v>10.7</v>
      </c>
      <c r="D85" s="16">
        <f t="shared" si="1"/>
        <v>32.099999999999994</v>
      </c>
    </row>
    <row r="86" spans="1:4" x14ac:dyDescent="0.25">
      <c r="A86" s="22">
        <v>1984</v>
      </c>
      <c r="B86" s="16">
        <v>41.9</v>
      </c>
      <c r="C86" s="16">
        <v>10.199999999999999</v>
      </c>
      <c r="D86" s="16">
        <f t="shared" si="1"/>
        <v>31.7</v>
      </c>
    </row>
    <row r="87" spans="1:4" x14ac:dyDescent="0.25">
      <c r="A87" s="22">
        <v>1985</v>
      </c>
      <c r="B87" s="16">
        <v>41.1</v>
      </c>
      <c r="C87" s="16">
        <v>9.8000000000000007</v>
      </c>
      <c r="D87" s="16">
        <f t="shared" si="1"/>
        <v>31.3</v>
      </c>
    </row>
    <row r="88" spans="1:4" x14ac:dyDescent="0.25">
      <c r="A88" s="22">
        <v>1986</v>
      </c>
      <c r="B88" s="16">
        <v>40.799999999999997</v>
      </c>
      <c r="C88" s="16">
        <v>9.5</v>
      </c>
      <c r="D88" s="16">
        <f t="shared" si="1"/>
        <v>31.299999999999997</v>
      </c>
    </row>
    <row r="89" spans="1:4" x14ac:dyDescent="0.25">
      <c r="A89" s="22">
        <v>1987</v>
      </c>
      <c r="B89" s="16">
        <v>40.700000000000003</v>
      </c>
      <c r="C89" s="16">
        <v>9.1999999999999993</v>
      </c>
      <c r="D89" s="16">
        <f t="shared" si="1"/>
        <v>31.500000000000004</v>
      </c>
    </row>
    <row r="90" spans="1:4" x14ac:dyDescent="0.25">
      <c r="A90" s="22">
        <v>1988</v>
      </c>
      <c r="B90" s="16">
        <v>40.700000000000003</v>
      </c>
      <c r="C90" s="16">
        <v>8.9</v>
      </c>
      <c r="D90" s="16">
        <f t="shared" si="1"/>
        <v>31.800000000000004</v>
      </c>
    </row>
    <row r="91" spans="1:4" x14ac:dyDescent="0.25">
      <c r="A91" s="22">
        <v>1989</v>
      </c>
      <c r="B91" s="16">
        <v>40.299999999999997</v>
      </c>
      <c r="C91" s="16">
        <v>8.8000000000000007</v>
      </c>
      <c r="D91" s="16">
        <f t="shared" si="1"/>
        <v>31.499999999999996</v>
      </c>
    </row>
    <row r="92" spans="1:4" x14ac:dyDescent="0.25">
      <c r="A92" s="22">
        <v>1990</v>
      </c>
      <c r="B92" s="16">
        <v>39.799999999999997</v>
      </c>
      <c r="C92" s="16">
        <v>8.8000000000000007</v>
      </c>
      <c r="D92" s="16">
        <f t="shared" si="1"/>
        <v>30.999999999999996</v>
      </c>
    </row>
    <row r="93" spans="1:4" x14ac:dyDescent="0.25">
      <c r="A93" s="22">
        <v>1991</v>
      </c>
      <c r="B93" s="16">
        <v>39.299999999999997</v>
      </c>
      <c r="C93" s="16">
        <v>8.6</v>
      </c>
      <c r="D93" s="16">
        <f t="shared" si="1"/>
        <v>30.699999999999996</v>
      </c>
    </row>
    <row r="94" spans="1:4" x14ac:dyDescent="0.25">
      <c r="A94" s="22">
        <v>1992</v>
      </c>
      <c r="B94" s="16">
        <v>38.9</v>
      </c>
      <c r="C94" s="16">
        <v>8.6</v>
      </c>
      <c r="D94" s="16">
        <f t="shared" si="1"/>
        <v>30.299999999999997</v>
      </c>
    </row>
    <row r="95" spans="1:4" x14ac:dyDescent="0.25">
      <c r="A95" s="22">
        <v>1993</v>
      </c>
      <c r="B95" s="16">
        <v>38.6</v>
      </c>
      <c r="C95" s="16">
        <v>8.4</v>
      </c>
      <c r="D95" s="16">
        <f t="shared" si="1"/>
        <v>30.200000000000003</v>
      </c>
    </row>
    <row r="96" spans="1:4" x14ac:dyDescent="0.25">
      <c r="A96" s="22">
        <v>1994</v>
      </c>
      <c r="B96" s="16">
        <v>38.200000000000003</v>
      </c>
      <c r="C96" s="16">
        <v>8.1</v>
      </c>
      <c r="D96" s="16">
        <f t="shared" si="1"/>
        <v>30.1</v>
      </c>
    </row>
    <row r="97" spans="1:4" x14ac:dyDescent="0.25">
      <c r="A97" s="22">
        <v>1995</v>
      </c>
      <c r="B97" s="16">
        <v>37.799999999999997</v>
      </c>
      <c r="C97" s="16">
        <v>7.8</v>
      </c>
      <c r="D97" s="16">
        <f t="shared" si="1"/>
        <v>29.999999999999996</v>
      </c>
    </row>
    <row r="98" spans="1:4" x14ac:dyDescent="0.25">
      <c r="A98" s="22">
        <v>1996</v>
      </c>
      <c r="B98" s="16">
        <v>37.1</v>
      </c>
      <c r="C98" s="16">
        <v>7.4</v>
      </c>
      <c r="D98" s="16">
        <f t="shared" si="1"/>
        <v>29.700000000000003</v>
      </c>
    </row>
    <row r="99" spans="1:4" x14ac:dyDescent="0.25">
      <c r="A99" s="22">
        <v>1997</v>
      </c>
      <c r="B99" s="16">
        <v>36.5</v>
      </c>
      <c r="C99" s="16">
        <v>7</v>
      </c>
      <c r="D99" s="16">
        <f t="shared" si="1"/>
        <v>29.5</v>
      </c>
    </row>
    <row r="100" spans="1:4" x14ac:dyDescent="0.25">
      <c r="A100" s="22">
        <v>1998</v>
      </c>
      <c r="B100" s="16">
        <v>35.9</v>
      </c>
      <c r="C100" s="16">
        <v>6.7</v>
      </c>
      <c r="D100" s="16">
        <f t="shared" si="1"/>
        <v>29.2</v>
      </c>
    </row>
    <row r="101" spans="1:4" x14ac:dyDescent="0.25">
      <c r="A101" s="22">
        <v>1999</v>
      </c>
      <c r="B101" s="16">
        <v>35.200000000000003</v>
      </c>
      <c r="C101" s="16">
        <v>6.4</v>
      </c>
      <c r="D101" s="16">
        <f t="shared" si="1"/>
        <v>28.800000000000004</v>
      </c>
    </row>
    <row r="102" spans="1:4" x14ac:dyDescent="0.25">
      <c r="A102" s="22">
        <v>2000</v>
      </c>
      <c r="B102" s="16">
        <v>34.700000000000003</v>
      </c>
      <c r="C102" s="16">
        <v>6.3</v>
      </c>
      <c r="D102" s="16">
        <f t="shared" si="1"/>
        <v>28.400000000000002</v>
      </c>
    </row>
    <row r="103" spans="1:4" x14ac:dyDescent="0.25">
      <c r="A103" s="22">
        <v>2001</v>
      </c>
      <c r="B103" s="16">
        <v>34.200000000000003</v>
      </c>
      <c r="C103" s="16">
        <v>6.1</v>
      </c>
      <c r="D103" s="16">
        <f t="shared" si="1"/>
        <v>28.1</v>
      </c>
    </row>
    <row r="104" spans="1:4" x14ac:dyDescent="0.25">
      <c r="A104" s="22">
        <v>2002</v>
      </c>
      <c r="B104" s="16">
        <v>33.299999999999997</v>
      </c>
      <c r="C104" s="16">
        <v>6</v>
      </c>
      <c r="D104" s="16">
        <f t="shared" si="1"/>
        <v>27.299999999999997</v>
      </c>
    </row>
    <row r="105" spans="1:4" x14ac:dyDescent="0.25">
      <c r="A105" s="22">
        <v>2003</v>
      </c>
      <c r="B105" s="16">
        <v>32.5</v>
      </c>
      <c r="C105" s="16">
        <v>5.8</v>
      </c>
      <c r="D105" s="16">
        <f t="shared" si="1"/>
        <v>26.7</v>
      </c>
    </row>
    <row r="106" spans="1:4" x14ac:dyDescent="0.25">
      <c r="A106" s="22">
        <v>2004</v>
      </c>
      <c r="B106" s="16">
        <v>31.7</v>
      </c>
      <c r="C106" s="16">
        <v>5.8</v>
      </c>
      <c r="D106" s="16">
        <f t="shared" si="1"/>
        <v>25.9</v>
      </c>
    </row>
    <row r="107" spans="1:4" x14ac:dyDescent="0.25">
      <c r="A107" s="22">
        <v>2005</v>
      </c>
      <c r="B107" s="16">
        <v>30.8</v>
      </c>
      <c r="C107" s="16">
        <v>5.9</v>
      </c>
      <c r="D107" s="16">
        <f t="shared" si="1"/>
        <v>24.9</v>
      </c>
    </row>
    <row r="108" spans="1:4" x14ac:dyDescent="0.25">
      <c r="A108" s="22">
        <v>2006</v>
      </c>
      <c r="B108" s="16">
        <v>30</v>
      </c>
      <c r="C108" s="16">
        <v>5.7</v>
      </c>
      <c r="D108" s="16">
        <f t="shared" si="1"/>
        <v>24.3</v>
      </c>
    </row>
    <row r="109" spans="1:4" x14ac:dyDescent="0.25">
      <c r="A109" s="22">
        <v>2007</v>
      </c>
      <c r="B109" s="16">
        <v>29.4</v>
      </c>
      <c r="C109" s="16">
        <v>5.5</v>
      </c>
      <c r="D109" s="16">
        <f t="shared" si="1"/>
        <v>23.9</v>
      </c>
    </row>
    <row r="110" spans="1:4" x14ac:dyDescent="0.25">
      <c r="A110" s="22">
        <v>2008</v>
      </c>
      <c r="B110" s="16">
        <v>28.7</v>
      </c>
      <c r="C110" s="16">
        <v>5.5</v>
      </c>
      <c r="D110" s="16">
        <f t="shared" si="1"/>
        <v>23.2</v>
      </c>
    </row>
    <row r="111" spans="1:4" x14ac:dyDescent="0.25">
      <c r="A111" s="22">
        <v>2009</v>
      </c>
      <c r="B111" s="16">
        <v>28.2</v>
      </c>
      <c r="C111" s="16">
        <v>5.5</v>
      </c>
      <c r="D111" s="16">
        <f t="shared" si="1"/>
        <v>22.7</v>
      </c>
    </row>
    <row r="112" spans="1:4" x14ac:dyDescent="0.25">
      <c r="A112" s="22">
        <v>2010</v>
      </c>
      <c r="B112" s="16">
        <v>27.8</v>
      </c>
      <c r="C112" s="16">
        <v>5.4</v>
      </c>
      <c r="D112" s="16">
        <f t="shared" si="1"/>
        <v>22.4</v>
      </c>
    </row>
    <row r="113" spans="1:4" x14ac:dyDescent="0.25">
      <c r="A113" s="22">
        <v>2011</v>
      </c>
      <c r="B113" s="16">
        <v>27.5</v>
      </c>
      <c r="C113" s="16">
        <v>5.3</v>
      </c>
      <c r="D113" s="16">
        <f t="shared" si="1"/>
        <v>22.2</v>
      </c>
    </row>
    <row r="114" spans="1:4" x14ac:dyDescent="0.25">
      <c r="A114" s="22">
        <v>2012</v>
      </c>
      <c r="B114" s="16">
        <v>27.2</v>
      </c>
      <c r="C114" s="16">
        <v>5.2</v>
      </c>
      <c r="D114" s="16">
        <f t="shared" si="1"/>
        <v>22</v>
      </c>
    </row>
    <row r="115" spans="1:4" x14ac:dyDescent="0.25">
      <c r="A115" s="22">
        <v>2013</v>
      </c>
      <c r="B115" s="16">
        <v>26.7</v>
      </c>
      <c r="C115" s="16">
        <v>5.2</v>
      </c>
      <c r="D115" s="16">
        <f t="shared" si="1"/>
        <v>21.5</v>
      </c>
    </row>
    <row r="116" spans="1:4" x14ac:dyDescent="0.25">
      <c r="A116" s="22">
        <v>2014</v>
      </c>
      <c r="B116" s="16">
        <v>26.5</v>
      </c>
      <c r="C116" s="16">
        <v>5.2</v>
      </c>
      <c r="D116" s="16">
        <f t="shared" si="1"/>
        <v>21.3</v>
      </c>
    </row>
    <row r="117" spans="1:4" x14ac:dyDescent="0.25">
      <c r="A117" s="22">
        <v>2015</v>
      </c>
      <c r="B117" s="16">
        <v>26.2</v>
      </c>
      <c r="C117" s="16">
        <v>5.2</v>
      </c>
      <c r="D117" s="16">
        <f t="shared" si="1"/>
        <v>21</v>
      </c>
    </row>
    <row r="118" spans="1:4" x14ac:dyDescent="0.25">
      <c r="A118" s="22">
        <v>2016</v>
      </c>
      <c r="B118" s="16">
        <v>26</v>
      </c>
      <c r="C118" s="16">
        <v>5.2</v>
      </c>
      <c r="D118" s="16">
        <f t="shared" si="1"/>
        <v>20.8</v>
      </c>
    </row>
    <row r="119" spans="1:4" x14ac:dyDescent="0.25">
      <c r="A119" s="22">
        <v>2017</v>
      </c>
      <c r="B119" s="16">
        <v>25.2</v>
      </c>
      <c r="C119" s="16">
        <v>5.0999999999999996</v>
      </c>
      <c r="D119" s="16">
        <f t="shared" si="1"/>
        <v>20.100000000000001</v>
      </c>
    </row>
    <row r="120" spans="1:4" x14ac:dyDescent="0.25">
      <c r="A120" s="22">
        <v>2018</v>
      </c>
      <c r="B120" s="16">
        <v>24.3</v>
      </c>
      <c r="C120" s="16">
        <v>5.0999999999999996</v>
      </c>
      <c r="D120" s="16">
        <f t="shared" si="1"/>
        <v>19.200000000000003</v>
      </c>
    </row>
    <row r="121" spans="1:4" x14ac:dyDescent="0.25">
      <c r="A121" s="22">
        <v>2019</v>
      </c>
      <c r="B121" s="16">
        <v>23.1</v>
      </c>
      <c r="C121" s="16">
        <v>5.0999999999999996</v>
      </c>
      <c r="D121" s="16">
        <f t="shared" si="1"/>
        <v>18</v>
      </c>
    </row>
    <row r="122" spans="1:4" x14ac:dyDescent="0.25">
      <c r="A122" s="22">
        <v>2020</v>
      </c>
      <c r="B122" s="16">
        <v>22</v>
      </c>
      <c r="C122" s="16">
        <v>5.8</v>
      </c>
      <c r="D122" s="16">
        <f t="shared" si="1"/>
        <v>16.2</v>
      </c>
    </row>
    <row r="123" spans="1:4" x14ac:dyDescent="0.25">
      <c r="A123" s="22">
        <v>2021</v>
      </c>
      <c r="B123" s="16">
        <v>21.4</v>
      </c>
      <c r="C123" s="16">
        <v>6.9</v>
      </c>
      <c r="D123" s="16">
        <f t="shared" si="1"/>
        <v>14.499999999999998</v>
      </c>
    </row>
    <row r="124" spans="1:4" x14ac:dyDescent="0.25">
      <c r="A124" s="22">
        <v>2022</v>
      </c>
      <c r="B124" s="16">
        <v>21.1</v>
      </c>
      <c r="C124" s="16">
        <v>5.3</v>
      </c>
      <c r="D124" s="16">
        <f t="shared" si="1"/>
        <v>15.8</v>
      </c>
    </row>
    <row r="125" spans="1:4" x14ac:dyDescent="0.25">
      <c r="A125" s="22">
        <v>2023</v>
      </c>
      <c r="B125" s="16">
        <v>20.8</v>
      </c>
      <c r="C125" s="16">
        <v>4.8</v>
      </c>
      <c r="D125" s="16">
        <f t="shared" si="1"/>
        <v>16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1900</v>
      </c>
      <c r="B2" s="16">
        <v>42.8</v>
      </c>
      <c r="C2" s="16">
        <v>26.5</v>
      </c>
      <c r="D2" s="16">
        <f>B2-C2</f>
        <v>16.299999999999997</v>
      </c>
    </row>
    <row r="3" spans="1:4" x14ac:dyDescent="0.25">
      <c r="A3" s="22">
        <v>1901</v>
      </c>
      <c r="B3" s="16">
        <v>42.8</v>
      </c>
      <c r="C3" s="16">
        <v>26.5</v>
      </c>
      <c r="D3" s="16">
        <f t="shared" ref="D3:D66" si="0">B3-C3</f>
        <v>16.299999999999997</v>
      </c>
    </row>
    <row r="4" spans="1:4" x14ac:dyDescent="0.25">
      <c r="A4" s="22">
        <v>1902</v>
      </c>
      <c r="B4" s="16">
        <v>42.9</v>
      </c>
      <c r="C4" s="16">
        <v>26.6</v>
      </c>
      <c r="D4" s="16">
        <f t="shared" si="0"/>
        <v>16.299999999999997</v>
      </c>
    </row>
    <row r="5" spans="1:4" x14ac:dyDescent="0.25">
      <c r="A5" s="22">
        <v>1903</v>
      </c>
      <c r="B5" s="16">
        <v>43.1</v>
      </c>
      <c r="C5" s="16">
        <v>26.6</v>
      </c>
      <c r="D5" s="16">
        <f t="shared" si="0"/>
        <v>16.5</v>
      </c>
    </row>
    <row r="6" spans="1:4" x14ac:dyDescent="0.25">
      <c r="A6" s="22">
        <v>1904</v>
      </c>
      <c r="B6" s="16">
        <v>43.4</v>
      </c>
      <c r="C6" s="16">
        <v>26.7</v>
      </c>
      <c r="D6" s="16">
        <f t="shared" si="0"/>
        <v>16.7</v>
      </c>
    </row>
    <row r="7" spans="1:4" x14ac:dyDescent="0.25">
      <c r="A7" s="22">
        <v>1905</v>
      </c>
      <c r="B7" s="16">
        <v>43.7</v>
      </c>
      <c r="C7" s="16">
        <v>26.8</v>
      </c>
      <c r="D7" s="16">
        <f t="shared" si="0"/>
        <v>16.900000000000002</v>
      </c>
    </row>
    <row r="8" spans="1:4" x14ac:dyDescent="0.25">
      <c r="A8" s="22">
        <v>1906</v>
      </c>
      <c r="B8" s="16">
        <v>43.9</v>
      </c>
      <c r="C8" s="16">
        <v>26.9</v>
      </c>
      <c r="D8" s="16">
        <f t="shared" si="0"/>
        <v>17</v>
      </c>
    </row>
    <row r="9" spans="1:4" x14ac:dyDescent="0.25">
      <c r="A9" s="22">
        <v>1907</v>
      </c>
      <c r="B9" s="16">
        <v>44.1</v>
      </c>
      <c r="C9" s="16">
        <v>26.9</v>
      </c>
      <c r="D9" s="16">
        <f t="shared" si="0"/>
        <v>17.200000000000003</v>
      </c>
    </row>
    <row r="10" spans="1:4" x14ac:dyDescent="0.25">
      <c r="A10" s="22">
        <v>1908</v>
      </c>
      <c r="B10" s="16">
        <v>44.2</v>
      </c>
      <c r="C10" s="16">
        <v>26.8</v>
      </c>
      <c r="D10" s="16">
        <f t="shared" si="0"/>
        <v>17.400000000000002</v>
      </c>
    </row>
    <row r="11" spans="1:4" x14ac:dyDescent="0.25">
      <c r="A11" s="22">
        <v>1909</v>
      </c>
      <c r="B11" s="16">
        <v>44.2</v>
      </c>
      <c r="C11" s="16">
        <v>26.6</v>
      </c>
      <c r="D11" s="16">
        <f t="shared" si="0"/>
        <v>17.600000000000001</v>
      </c>
    </row>
    <row r="12" spans="1:4" x14ac:dyDescent="0.25">
      <c r="A12" s="22">
        <v>1910</v>
      </c>
      <c r="B12" s="16">
        <v>44.2</v>
      </c>
      <c r="C12" s="16">
        <v>26.4</v>
      </c>
      <c r="D12" s="16">
        <f t="shared" si="0"/>
        <v>17.800000000000004</v>
      </c>
    </row>
    <row r="13" spans="1:4" x14ac:dyDescent="0.25">
      <c r="A13" s="22">
        <v>1911</v>
      </c>
      <c r="B13" s="16">
        <v>44.1</v>
      </c>
      <c r="C13" s="16">
        <v>26.2</v>
      </c>
      <c r="D13" s="16">
        <f t="shared" si="0"/>
        <v>17.900000000000002</v>
      </c>
    </row>
    <row r="14" spans="1:4" x14ac:dyDescent="0.25">
      <c r="A14" s="22">
        <v>1912</v>
      </c>
      <c r="B14" s="16">
        <v>44.1</v>
      </c>
      <c r="C14" s="16">
        <v>26</v>
      </c>
      <c r="D14" s="16">
        <f t="shared" si="0"/>
        <v>18.100000000000001</v>
      </c>
    </row>
    <row r="15" spans="1:4" x14ac:dyDescent="0.25">
      <c r="A15" s="22">
        <v>1913</v>
      </c>
      <c r="B15" s="16">
        <v>44.1</v>
      </c>
      <c r="C15" s="16">
        <v>25.8</v>
      </c>
      <c r="D15" s="16">
        <f t="shared" si="0"/>
        <v>18.3</v>
      </c>
    </row>
    <row r="16" spans="1:4" x14ac:dyDescent="0.25">
      <c r="A16" s="22">
        <v>1914</v>
      </c>
      <c r="B16" s="16">
        <v>44.1</v>
      </c>
      <c r="C16" s="16">
        <v>25.7</v>
      </c>
      <c r="D16" s="16">
        <f t="shared" si="0"/>
        <v>18.400000000000002</v>
      </c>
    </row>
    <row r="17" spans="1:4" x14ac:dyDescent="0.25">
      <c r="A17" s="22">
        <v>1915</v>
      </c>
      <c r="B17" s="16">
        <v>44</v>
      </c>
      <c r="C17" s="16">
        <v>25.5</v>
      </c>
      <c r="D17" s="16">
        <f t="shared" si="0"/>
        <v>18.5</v>
      </c>
    </row>
    <row r="18" spans="1:4" x14ac:dyDescent="0.25">
      <c r="A18" s="22">
        <v>1916</v>
      </c>
      <c r="B18" s="16">
        <v>44</v>
      </c>
      <c r="C18" s="16">
        <v>25.3</v>
      </c>
      <c r="D18" s="16">
        <f t="shared" si="0"/>
        <v>18.7</v>
      </c>
    </row>
    <row r="19" spans="1:4" x14ac:dyDescent="0.25">
      <c r="A19" s="22">
        <v>1917</v>
      </c>
      <c r="B19" s="16">
        <v>44.1</v>
      </c>
      <c r="C19" s="16">
        <v>25.1</v>
      </c>
      <c r="D19" s="16">
        <f t="shared" si="0"/>
        <v>19</v>
      </c>
    </row>
    <row r="20" spans="1:4" x14ac:dyDescent="0.25">
      <c r="A20" s="22">
        <v>1918</v>
      </c>
      <c r="B20" s="16">
        <v>44.1</v>
      </c>
      <c r="C20" s="16">
        <v>24.9</v>
      </c>
      <c r="D20" s="16">
        <f t="shared" si="0"/>
        <v>19.200000000000003</v>
      </c>
    </row>
    <row r="21" spans="1:4" x14ac:dyDescent="0.25">
      <c r="A21" s="22">
        <v>1919</v>
      </c>
      <c r="B21" s="16">
        <v>44.2</v>
      </c>
      <c r="C21" s="16">
        <v>24.6</v>
      </c>
      <c r="D21" s="16">
        <f t="shared" si="0"/>
        <v>19.600000000000001</v>
      </c>
    </row>
    <row r="22" spans="1:4" x14ac:dyDescent="0.25">
      <c r="A22" s="22">
        <v>1920</v>
      </c>
      <c r="B22" s="16">
        <v>44.3</v>
      </c>
      <c r="C22" s="16">
        <v>24.3</v>
      </c>
      <c r="D22" s="16">
        <f t="shared" si="0"/>
        <v>19.999999999999996</v>
      </c>
    </row>
    <row r="23" spans="1:4" x14ac:dyDescent="0.25">
      <c r="A23" s="22">
        <v>1921</v>
      </c>
      <c r="B23" s="16">
        <v>44.4</v>
      </c>
      <c r="C23" s="16">
        <v>24</v>
      </c>
      <c r="D23" s="16">
        <f t="shared" si="0"/>
        <v>20.399999999999999</v>
      </c>
    </row>
    <row r="24" spans="1:4" x14ac:dyDescent="0.25">
      <c r="A24" s="22">
        <v>1922</v>
      </c>
      <c r="B24" s="16">
        <v>44.6</v>
      </c>
      <c r="C24" s="16">
        <v>23.7</v>
      </c>
      <c r="D24" s="16">
        <f t="shared" si="0"/>
        <v>20.900000000000002</v>
      </c>
    </row>
    <row r="25" spans="1:4" x14ac:dyDescent="0.25">
      <c r="A25" s="22">
        <v>1923</v>
      </c>
      <c r="B25" s="16">
        <v>44.7</v>
      </c>
      <c r="C25" s="16">
        <v>23.4</v>
      </c>
      <c r="D25" s="16">
        <f t="shared" si="0"/>
        <v>21.300000000000004</v>
      </c>
    </row>
    <row r="26" spans="1:4" x14ac:dyDescent="0.25">
      <c r="A26" s="22">
        <v>1924</v>
      </c>
      <c r="B26" s="16">
        <v>44.9</v>
      </c>
      <c r="C26" s="16">
        <v>23.1</v>
      </c>
      <c r="D26" s="16">
        <f t="shared" si="0"/>
        <v>21.799999999999997</v>
      </c>
    </row>
    <row r="27" spans="1:4" x14ac:dyDescent="0.25">
      <c r="A27" s="22">
        <v>1925</v>
      </c>
      <c r="B27" s="16">
        <v>45.1</v>
      </c>
      <c r="C27" s="16">
        <v>22.7</v>
      </c>
      <c r="D27" s="16">
        <f t="shared" si="0"/>
        <v>22.400000000000002</v>
      </c>
    </row>
    <row r="28" spans="1:4" x14ac:dyDescent="0.25">
      <c r="A28" s="22">
        <v>1926</v>
      </c>
      <c r="B28" s="16">
        <v>45.1</v>
      </c>
      <c r="C28" s="16">
        <v>22.5</v>
      </c>
      <c r="D28" s="16">
        <f t="shared" si="0"/>
        <v>22.6</v>
      </c>
    </row>
    <row r="29" spans="1:4" x14ac:dyDescent="0.25">
      <c r="A29" s="22">
        <v>1927</v>
      </c>
      <c r="B29" s="16">
        <v>45</v>
      </c>
      <c r="C29" s="16">
        <v>22.3</v>
      </c>
      <c r="D29" s="16">
        <f t="shared" si="0"/>
        <v>22.7</v>
      </c>
    </row>
    <row r="30" spans="1:4" x14ac:dyDescent="0.25">
      <c r="A30" s="22">
        <v>1928</v>
      </c>
      <c r="B30" s="16">
        <v>44.8</v>
      </c>
      <c r="C30" s="16">
        <v>22.3</v>
      </c>
      <c r="D30" s="16">
        <f t="shared" si="0"/>
        <v>22.499999999999996</v>
      </c>
    </row>
    <row r="31" spans="1:4" x14ac:dyDescent="0.25">
      <c r="A31" s="22">
        <v>1929</v>
      </c>
      <c r="B31" s="16">
        <v>44.5</v>
      </c>
      <c r="C31" s="16">
        <v>22.3</v>
      </c>
      <c r="D31" s="16">
        <f t="shared" si="0"/>
        <v>22.2</v>
      </c>
    </row>
    <row r="32" spans="1:4" x14ac:dyDescent="0.25">
      <c r="A32" s="22">
        <v>1930</v>
      </c>
      <c r="B32" s="16">
        <v>44</v>
      </c>
      <c r="C32" s="16">
        <v>22.5</v>
      </c>
      <c r="D32" s="16">
        <f t="shared" si="0"/>
        <v>21.5</v>
      </c>
    </row>
    <row r="33" spans="1:4" x14ac:dyDescent="0.25">
      <c r="A33" s="22">
        <v>1931</v>
      </c>
      <c r="B33" s="16">
        <v>43.5</v>
      </c>
      <c r="C33" s="16">
        <v>22.6</v>
      </c>
      <c r="D33" s="16">
        <f t="shared" si="0"/>
        <v>20.9</v>
      </c>
    </row>
    <row r="34" spans="1:4" x14ac:dyDescent="0.25">
      <c r="A34" s="22">
        <v>1932</v>
      </c>
      <c r="B34" s="16">
        <v>43.2</v>
      </c>
      <c r="C34" s="16">
        <v>22.6</v>
      </c>
      <c r="D34" s="16">
        <f t="shared" si="0"/>
        <v>20.6</v>
      </c>
    </row>
    <row r="35" spans="1:4" x14ac:dyDescent="0.25">
      <c r="A35" s="22">
        <v>1933</v>
      </c>
      <c r="B35" s="16">
        <v>43</v>
      </c>
      <c r="C35" s="16">
        <v>22.5</v>
      </c>
      <c r="D35" s="16">
        <f t="shared" si="0"/>
        <v>20.5</v>
      </c>
    </row>
    <row r="36" spans="1:4" x14ac:dyDescent="0.25">
      <c r="A36" s="22">
        <v>1934</v>
      </c>
      <c r="B36" s="16">
        <v>42.8</v>
      </c>
      <c r="C36" s="16">
        <v>22.4</v>
      </c>
      <c r="D36" s="16">
        <f t="shared" si="0"/>
        <v>20.399999999999999</v>
      </c>
    </row>
    <row r="37" spans="1:4" x14ac:dyDescent="0.25">
      <c r="A37" s="22">
        <v>1935</v>
      </c>
      <c r="B37" s="16">
        <v>42.8</v>
      </c>
      <c r="C37" s="16">
        <v>22.2</v>
      </c>
      <c r="D37" s="16">
        <f t="shared" si="0"/>
        <v>20.599999999999998</v>
      </c>
    </row>
    <row r="38" spans="1:4" x14ac:dyDescent="0.25">
      <c r="A38" s="22">
        <v>1936</v>
      </c>
      <c r="B38" s="16">
        <v>42.7</v>
      </c>
      <c r="C38" s="16">
        <v>22</v>
      </c>
      <c r="D38" s="16">
        <f t="shared" si="0"/>
        <v>20.700000000000003</v>
      </c>
    </row>
    <row r="39" spans="1:4" x14ac:dyDescent="0.25">
      <c r="A39" s="22">
        <v>1937</v>
      </c>
      <c r="B39" s="16">
        <v>42.6</v>
      </c>
      <c r="C39" s="16">
        <v>21.7</v>
      </c>
      <c r="D39" s="16">
        <f t="shared" si="0"/>
        <v>20.900000000000002</v>
      </c>
    </row>
    <row r="40" spans="1:4" x14ac:dyDescent="0.25">
      <c r="A40" s="22">
        <v>1938</v>
      </c>
      <c r="B40" s="16">
        <v>42.5</v>
      </c>
      <c r="C40" s="16">
        <v>21.3</v>
      </c>
      <c r="D40" s="16">
        <f t="shared" si="0"/>
        <v>21.2</v>
      </c>
    </row>
    <row r="41" spans="1:4" x14ac:dyDescent="0.25">
      <c r="A41" s="22">
        <v>1939</v>
      </c>
      <c r="B41" s="16">
        <v>42.4</v>
      </c>
      <c r="C41" s="16">
        <v>20.9</v>
      </c>
      <c r="D41" s="16">
        <f t="shared" si="0"/>
        <v>21.5</v>
      </c>
    </row>
    <row r="42" spans="1:4" x14ac:dyDescent="0.25">
      <c r="A42" s="22">
        <v>1940</v>
      </c>
      <c r="B42" s="16">
        <v>42.3</v>
      </c>
      <c r="C42" s="16">
        <v>20.5</v>
      </c>
      <c r="D42" s="16">
        <f t="shared" si="0"/>
        <v>21.799999999999997</v>
      </c>
    </row>
    <row r="43" spans="1:4" x14ac:dyDescent="0.25">
      <c r="A43" s="22">
        <v>1941</v>
      </c>
      <c r="B43" s="16">
        <v>42.3</v>
      </c>
      <c r="C43" s="16">
        <v>20.2</v>
      </c>
      <c r="D43" s="16">
        <f t="shared" si="0"/>
        <v>22.099999999999998</v>
      </c>
    </row>
    <row r="44" spans="1:4" x14ac:dyDescent="0.25">
      <c r="A44" s="22">
        <v>1942</v>
      </c>
      <c r="B44" s="16">
        <v>42.3</v>
      </c>
      <c r="C44" s="16">
        <v>20.100000000000001</v>
      </c>
      <c r="D44" s="16">
        <f t="shared" si="0"/>
        <v>22.199999999999996</v>
      </c>
    </row>
    <row r="45" spans="1:4" x14ac:dyDescent="0.25">
      <c r="A45" s="22">
        <v>1943</v>
      </c>
      <c r="B45" s="16">
        <v>42.4</v>
      </c>
      <c r="C45" s="16">
        <v>20.2</v>
      </c>
      <c r="D45" s="16">
        <f t="shared" si="0"/>
        <v>22.2</v>
      </c>
    </row>
    <row r="46" spans="1:4" x14ac:dyDescent="0.25">
      <c r="A46" s="22">
        <v>1944</v>
      </c>
      <c r="B46" s="16">
        <v>42.7</v>
      </c>
      <c r="C46" s="16">
        <v>20.399999999999999</v>
      </c>
      <c r="D46" s="16">
        <f t="shared" si="0"/>
        <v>22.300000000000004</v>
      </c>
    </row>
    <row r="47" spans="1:4" x14ac:dyDescent="0.25">
      <c r="A47" s="22">
        <v>1945</v>
      </c>
      <c r="B47" s="16">
        <v>43</v>
      </c>
      <c r="C47" s="16">
        <v>20.9</v>
      </c>
      <c r="D47" s="16">
        <f t="shared" si="0"/>
        <v>22.1</v>
      </c>
    </row>
    <row r="48" spans="1:4" x14ac:dyDescent="0.25">
      <c r="A48" s="22">
        <v>1946</v>
      </c>
      <c r="B48" s="16">
        <v>43.2</v>
      </c>
      <c r="C48" s="16">
        <v>21</v>
      </c>
      <c r="D48" s="16">
        <f t="shared" si="0"/>
        <v>22.200000000000003</v>
      </c>
    </row>
    <row r="49" spans="1:4" x14ac:dyDescent="0.25">
      <c r="A49" s="22">
        <v>1947</v>
      </c>
      <c r="B49" s="16">
        <v>43.4</v>
      </c>
      <c r="C49" s="16">
        <v>21</v>
      </c>
      <c r="D49" s="16">
        <f t="shared" si="0"/>
        <v>22.4</v>
      </c>
    </row>
    <row r="50" spans="1:4" x14ac:dyDescent="0.25">
      <c r="A50" s="22">
        <v>1948</v>
      </c>
      <c r="B50" s="16">
        <v>43.6</v>
      </c>
      <c r="C50" s="16">
        <v>20.8</v>
      </c>
      <c r="D50" s="16">
        <f t="shared" si="0"/>
        <v>22.8</v>
      </c>
    </row>
    <row r="51" spans="1:4" x14ac:dyDescent="0.25">
      <c r="A51" s="22">
        <v>1949</v>
      </c>
      <c r="B51" s="16">
        <v>43.7</v>
      </c>
      <c r="C51" s="16">
        <v>20.3</v>
      </c>
      <c r="D51" s="16">
        <f t="shared" si="0"/>
        <v>23.400000000000002</v>
      </c>
    </row>
    <row r="52" spans="1:4" x14ac:dyDescent="0.25">
      <c r="A52" s="22">
        <v>1950</v>
      </c>
      <c r="B52" s="16">
        <v>43.7</v>
      </c>
      <c r="C52" s="16">
        <v>19.7</v>
      </c>
      <c r="D52" s="16">
        <f t="shared" si="0"/>
        <v>24.000000000000004</v>
      </c>
    </row>
    <row r="53" spans="1:4" x14ac:dyDescent="0.25">
      <c r="A53" s="22">
        <v>1951</v>
      </c>
      <c r="B53" s="16">
        <v>43.8</v>
      </c>
      <c r="C53" s="16">
        <v>19</v>
      </c>
      <c r="D53" s="16">
        <f t="shared" si="0"/>
        <v>24.799999999999997</v>
      </c>
    </row>
    <row r="54" spans="1:4" x14ac:dyDescent="0.25">
      <c r="A54" s="22">
        <v>1952</v>
      </c>
      <c r="B54" s="16">
        <v>44.1</v>
      </c>
      <c r="C54" s="16">
        <v>18.3</v>
      </c>
      <c r="D54" s="16">
        <f t="shared" si="0"/>
        <v>25.8</v>
      </c>
    </row>
    <row r="55" spans="1:4" x14ac:dyDescent="0.25">
      <c r="A55" s="22">
        <v>1953</v>
      </c>
      <c r="B55" s="16">
        <v>44.6</v>
      </c>
      <c r="C55" s="16">
        <v>17.5</v>
      </c>
      <c r="D55" s="16">
        <f t="shared" si="0"/>
        <v>27.1</v>
      </c>
    </row>
    <row r="56" spans="1:4" x14ac:dyDescent="0.25">
      <c r="A56" s="22">
        <v>1954</v>
      </c>
      <c r="B56" s="16">
        <v>45.2</v>
      </c>
      <c r="C56" s="16">
        <v>16.7</v>
      </c>
      <c r="D56" s="16">
        <f t="shared" si="0"/>
        <v>28.500000000000004</v>
      </c>
    </row>
    <row r="57" spans="1:4" x14ac:dyDescent="0.25">
      <c r="A57" s="22">
        <v>1955</v>
      </c>
      <c r="B57" s="16">
        <v>45.8</v>
      </c>
      <c r="C57" s="16">
        <v>15.8</v>
      </c>
      <c r="D57" s="16">
        <f t="shared" si="0"/>
        <v>29.999999999999996</v>
      </c>
    </row>
    <row r="58" spans="1:4" x14ac:dyDescent="0.25">
      <c r="A58" s="22">
        <v>1956</v>
      </c>
      <c r="B58" s="16">
        <v>46.2</v>
      </c>
      <c r="C58" s="16">
        <v>15.1</v>
      </c>
      <c r="D58" s="16">
        <f t="shared" si="0"/>
        <v>31.1</v>
      </c>
    </row>
    <row r="59" spans="1:4" x14ac:dyDescent="0.25">
      <c r="A59" s="22">
        <v>1957</v>
      </c>
      <c r="B59" s="16">
        <v>46.4</v>
      </c>
      <c r="C59" s="16">
        <v>14</v>
      </c>
      <c r="D59" s="16">
        <f t="shared" si="0"/>
        <v>32.4</v>
      </c>
    </row>
    <row r="60" spans="1:4" x14ac:dyDescent="0.25">
      <c r="A60" s="22">
        <v>1958</v>
      </c>
      <c r="B60" s="16">
        <v>46.4</v>
      </c>
      <c r="C60" s="16">
        <v>13.3</v>
      </c>
      <c r="D60" s="16">
        <f t="shared" si="0"/>
        <v>33.099999999999994</v>
      </c>
    </row>
    <row r="61" spans="1:4" x14ac:dyDescent="0.25">
      <c r="A61" s="22">
        <v>1959</v>
      </c>
      <c r="B61" s="16">
        <v>46.2</v>
      </c>
      <c r="C61" s="16">
        <v>12.5</v>
      </c>
      <c r="D61" s="16">
        <f t="shared" si="0"/>
        <v>33.700000000000003</v>
      </c>
    </row>
    <row r="62" spans="1:4" x14ac:dyDescent="0.25">
      <c r="A62" s="22">
        <v>1960</v>
      </c>
      <c r="B62" s="16">
        <v>45.9</v>
      </c>
      <c r="C62" s="16">
        <v>12</v>
      </c>
      <c r="D62" s="16">
        <f t="shared" si="0"/>
        <v>33.9</v>
      </c>
    </row>
    <row r="63" spans="1:4" x14ac:dyDescent="0.25">
      <c r="A63" s="22">
        <v>1961</v>
      </c>
      <c r="B63" s="16">
        <v>45.5</v>
      </c>
      <c r="C63" s="16">
        <v>11.6</v>
      </c>
      <c r="D63" s="16">
        <f t="shared" si="0"/>
        <v>33.9</v>
      </c>
    </row>
    <row r="64" spans="1:4" x14ac:dyDescent="0.25">
      <c r="A64" s="22">
        <v>1962</v>
      </c>
      <c r="B64" s="16">
        <v>44.9</v>
      </c>
      <c r="C64" s="16">
        <v>11.2</v>
      </c>
      <c r="D64" s="16">
        <f t="shared" si="0"/>
        <v>33.700000000000003</v>
      </c>
    </row>
    <row r="65" spans="1:4" x14ac:dyDescent="0.25">
      <c r="A65" s="22">
        <v>1963</v>
      </c>
      <c r="B65" s="16">
        <v>44.2</v>
      </c>
      <c r="C65" s="16">
        <v>10.8</v>
      </c>
      <c r="D65" s="16">
        <f t="shared" si="0"/>
        <v>33.400000000000006</v>
      </c>
    </row>
    <row r="66" spans="1:4" x14ac:dyDescent="0.25">
      <c r="A66" s="22">
        <v>1964</v>
      </c>
      <c r="B66" s="16">
        <v>43.4</v>
      </c>
      <c r="C66" s="16">
        <v>10.4</v>
      </c>
      <c r="D66" s="16">
        <f t="shared" si="0"/>
        <v>33</v>
      </c>
    </row>
    <row r="67" spans="1:4" x14ac:dyDescent="0.25">
      <c r="A67" s="22">
        <v>1965</v>
      </c>
      <c r="B67" s="16">
        <v>42.4</v>
      </c>
      <c r="C67" s="16">
        <v>10.1</v>
      </c>
      <c r="D67" s="16">
        <f t="shared" ref="D67:D125" si="1">B67-C67</f>
        <v>32.299999999999997</v>
      </c>
    </row>
    <row r="68" spans="1:4" x14ac:dyDescent="0.25">
      <c r="A68" s="22">
        <v>1966</v>
      </c>
      <c r="B68" s="16">
        <v>41.3</v>
      </c>
      <c r="C68" s="16">
        <v>9.6999999999999993</v>
      </c>
      <c r="D68" s="16">
        <f t="shared" si="1"/>
        <v>31.599999999999998</v>
      </c>
    </row>
    <row r="69" spans="1:4" x14ac:dyDescent="0.25">
      <c r="A69" s="22">
        <v>1967</v>
      </c>
      <c r="B69" s="16">
        <v>40.200000000000003</v>
      </c>
      <c r="C69" s="16">
        <v>9.4</v>
      </c>
      <c r="D69" s="16">
        <f t="shared" si="1"/>
        <v>30.800000000000004</v>
      </c>
    </row>
    <row r="70" spans="1:4" x14ac:dyDescent="0.25">
      <c r="A70" s="22">
        <v>1968</v>
      </c>
      <c r="B70" s="16">
        <v>38.9</v>
      </c>
      <c r="C70" s="16">
        <v>9.1</v>
      </c>
      <c r="D70" s="16">
        <f t="shared" si="1"/>
        <v>29.799999999999997</v>
      </c>
    </row>
    <row r="71" spans="1:4" x14ac:dyDescent="0.25">
      <c r="A71" s="22">
        <v>1969</v>
      </c>
      <c r="B71" s="16">
        <v>37.6</v>
      </c>
      <c r="C71" s="16">
        <v>8.6999999999999993</v>
      </c>
      <c r="D71" s="16">
        <f t="shared" si="1"/>
        <v>28.900000000000002</v>
      </c>
    </row>
    <row r="72" spans="1:4" x14ac:dyDescent="0.25">
      <c r="A72" s="22">
        <v>1970</v>
      </c>
      <c r="B72" s="16">
        <v>36.5</v>
      </c>
      <c r="C72" s="16">
        <v>8.4</v>
      </c>
      <c r="D72" s="16">
        <f t="shared" si="1"/>
        <v>28.1</v>
      </c>
    </row>
    <row r="73" spans="1:4" x14ac:dyDescent="0.25">
      <c r="A73" s="22">
        <v>1971</v>
      </c>
      <c r="B73" s="16">
        <v>35.4</v>
      </c>
      <c r="C73" s="16">
        <v>8.1</v>
      </c>
      <c r="D73" s="16">
        <f t="shared" si="1"/>
        <v>27.299999999999997</v>
      </c>
    </row>
    <row r="74" spans="1:4" x14ac:dyDescent="0.25">
      <c r="A74" s="22">
        <v>1972</v>
      </c>
      <c r="B74" s="16">
        <v>34.4</v>
      </c>
      <c r="C74" s="16">
        <v>7.8</v>
      </c>
      <c r="D74" s="16">
        <f t="shared" si="1"/>
        <v>26.599999999999998</v>
      </c>
    </row>
    <row r="75" spans="1:4" x14ac:dyDescent="0.25">
      <c r="A75" s="22">
        <v>1973</v>
      </c>
      <c r="B75" s="16">
        <v>33.700000000000003</v>
      </c>
      <c r="C75" s="16">
        <v>7.6</v>
      </c>
      <c r="D75" s="16">
        <f t="shared" si="1"/>
        <v>26.1</v>
      </c>
    </row>
    <row r="76" spans="1:4" x14ac:dyDescent="0.25">
      <c r="A76" s="22">
        <v>1974</v>
      </c>
      <c r="B76" s="16">
        <v>33.1</v>
      </c>
      <c r="C76" s="16">
        <v>7.3</v>
      </c>
      <c r="D76" s="16">
        <f t="shared" si="1"/>
        <v>25.8</v>
      </c>
    </row>
    <row r="77" spans="1:4" x14ac:dyDescent="0.25">
      <c r="A77" s="22">
        <v>1975</v>
      </c>
      <c r="B77" s="16">
        <v>32.700000000000003</v>
      </c>
      <c r="C77" s="16">
        <v>7.1</v>
      </c>
      <c r="D77" s="16">
        <f t="shared" si="1"/>
        <v>25.6</v>
      </c>
    </row>
    <row r="78" spans="1:4" x14ac:dyDescent="0.25">
      <c r="A78" s="22">
        <v>1976</v>
      </c>
      <c r="B78" s="16">
        <v>32.5</v>
      </c>
      <c r="C78" s="16">
        <v>6.9</v>
      </c>
      <c r="D78" s="16">
        <f t="shared" si="1"/>
        <v>25.6</v>
      </c>
    </row>
    <row r="79" spans="1:4" x14ac:dyDescent="0.25">
      <c r="A79" s="22">
        <v>1977</v>
      </c>
      <c r="B79" s="16">
        <v>32.200000000000003</v>
      </c>
      <c r="C79" s="16">
        <v>6.6</v>
      </c>
      <c r="D79" s="16">
        <f t="shared" si="1"/>
        <v>25.6</v>
      </c>
    </row>
    <row r="80" spans="1:4" x14ac:dyDescent="0.25">
      <c r="A80" s="22">
        <v>1978</v>
      </c>
      <c r="B80" s="16">
        <v>31.5</v>
      </c>
      <c r="C80" s="16">
        <v>6.4</v>
      </c>
      <c r="D80" s="16">
        <f t="shared" si="1"/>
        <v>25.1</v>
      </c>
    </row>
    <row r="81" spans="1:4" x14ac:dyDescent="0.25">
      <c r="A81" s="22">
        <v>1979</v>
      </c>
      <c r="B81" s="16">
        <v>31.2</v>
      </c>
      <c r="C81" s="16">
        <v>6.3</v>
      </c>
      <c r="D81" s="16">
        <f t="shared" si="1"/>
        <v>24.9</v>
      </c>
    </row>
    <row r="82" spans="1:4" x14ac:dyDescent="0.25">
      <c r="A82" s="22">
        <v>1980</v>
      </c>
      <c r="B82" s="16">
        <v>31.1</v>
      </c>
      <c r="C82" s="16">
        <v>6.2</v>
      </c>
      <c r="D82" s="16">
        <f t="shared" si="1"/>
        <v>24.900000000000002</v>
      </c>
    </row>
    <row r="83" spans="1:4" x14ac:dyDescent="0.25">
      <c r="A83" s="22">
        <v>1981</v>
      </c>
      <c r="B83" s="16">
        <v>30.8</v>
      </c>
      <c r="C83" s="16">
        <v>6</v>
      </c>
      <c r="D83" s="16">
        <f t="shared" si="1"/>
        <v>24.8</v>
      </c>
    </row>
    <row r="84" spans="1:4" x14ac:dyDescent="0.25">
      <c r="A84" s="22">
        <v>1982</v>
      </c>
      <c r="B84" s="16">
        <v>30.5</v>
      </c>
      <c r="C84" s="16">
        <v>5.8</v>
      </c>
      <c r="D84" s="16">
        <f t="shared" si="1"/>
        <v>24.7</v>
      </c>
    </row>
    <row r="85" spans="1:4" x14ac:dyDescent="0.25">
      <c r="A85" s="22">
        <v>1983</v>
      </c>
      <c r="B85" s="16">
        <v>29.9</v>
      </c>
      <c r="C85" s="16">
        <v>5.8</v>
      </c>
      <c r="D85" s="16">
        <f t="shared" si="1"/>
        <v>24.099999999999998</v>
      </c>
    </row>
    <row r="86" spans="1:4" x14ac:dyDescent="0.25">
      <c r="A86" s="22">
        <v>1984</v>
      </c>
      <c r="B86" s="16">
        <v>29</v>
      </c>
      <c r="C86" s="16">
        <v>5.7</v>
      </c>
      <c r="D86" s="16">
        <f t="shared" si="1"/>
        <v>23.3</v>
      </c>
    </row>
    <row r="87" spans="1:4" x14ac:dyDescent="0.25">
      <c r="A87" s="22">
        <v>1985</v>
      </c>
      <c r="B87" s="16">
        <v>28.3</v>
      </c>
      <c r="C87" s="16">
        <v>6.9</v>
      </c>
      <c r="D87" s="16">
        <f t="shared" si="1"/>
        <v>21.4</v>
      </c>
    </row>
    <row r="88" spans="1:4" x14ac:dyDescent="0.25">
      <c r="A88" s="22">
        <v>1986</v>
      </c>
      <c r="B88" s="16">
        <v>27.9</v>
      </c>
      <c r="C88" s="16">
        <v>5.8</v>
      </c>
      <c r="D88" s="16">
        <f t="shared" si="1"/>
        <v>22.099999999999998</v>
      </c>
    </row>
    <row r="89" spans="1:4" x14ac:dyDescent="0.25">
      <c r="A89" s="22">
        <v>1987</v>
      </c>
      <c r="B89" s="16">
        <v>27.5</v>
      </c>
      <c r="C89" s="16">
        <v>5.9</v>
      </c>
      <c r="D89" s="16">
        <f t="shared" si="1"/>
        <v>21.6</v>
      </c>
    </row>
    <row r="90" spans="1:4" x14ac:dyDescent="0.25">
      <c r="A90" s="22">
        <v>1988</v>
      </c>
      <c r="B90" s="16">
        <v>27.2</v>
      </c>
      <c r="C90" s="16">
        <v>5.9</v>
      </c>
      <c r="D90" s="16">
        <f t="shared" si="1"/>
        <v>21.299999999999997</v>
      </c>
    </row>
    <row r="91" spans="1:4" x14ac:dyDescent="0.25">
      <c r="A91" s="22">
        <v>1989</v>
      </c>
      <c r="B91" s="16">
        <v>27</v>
      </c>
      <c r="C91" s="16">
        <v>5.8</v>
      </c>
      <c r="D91" s="16">
        <f t="shared" si="1"/>
        <v>21.2</v>
      </c>
    </row>
    <row r="92" spans="1:4" x14ac:dyDescent="0.25">
      <c r="A92" s="22">
        <v>1990</v>
      </c>
      <c r="B92" s="16">
        <v>26.9</v>
      </c>
      <c r="C92" s="16">
        <v>5.9</v>
      </c>
      <c r="D92" s="16">
        <f t="shared" si="1"/>
        <v>21</v>
      </c>
    </row>
    <row r="93" spans="1:4" x14ac:dyDescent="0.25">
      <c r="A93" s="22">
        <v>1991</v>
      </c>
      <c r="B93" s="16">
        <v>26.8</v>
      </c>
      <c r="C93" s="16">
        <v>5.9</v>
      </c>
      <c r="D93" s="16">
        <f t="shared" si="1"/>
        <v>20.9</v>
      </c>
    </row>
    <row r="94" spans="1:4" x14ac:dyDescent="0.25">
      <c r="A94" s="22">
        <v>1992</v>
      </c>
      <c r="B94" s="16">
        <v>26.6</v>
      </c>
      <c r="C94" s="16">
        <v>6</v>
      </c>
      <c r="D94" s="16">
        <f t="shared" si="1"/>
        <v>20.6</v>
      </c>
    </row>
    <row r="95" spans="1:4" x14ac:dyDescent="0.25">
      <c r="A95" s="22">
        <v>1993</v>
      </c>
      <c r="B95" s="16">
        <v>26.5</v>
      </c>
      <c r="C95" s="16">
        <v>5.9</v>
      </c>
      <c r="D95" s="16">
        <f t="shared" si="1"/>
        <v>20.6</v>
      </c>
    </row>
    <row r="96" spans="1:4" x14ac:dyDescent="0.25">
      <c r="A96" s="22">
        <v>1994</v>
      </c>
      <c r="B96" s="16">
        <v>26</v>
      </c>
      <c r="C96" s="16">
        <v>5.8</v>
      </c>
      <c r="D96" s="16">
        <f t="shared" si="1"/>
        <v>20.2</v>
      </c>
    </row>
    <row r="97" spans="1:4" x14ac:dyDescent="0.25">
      <c r="A97" s="22">
        <v>1995</v>
      </c>
      <c r="B97" s="16">
        <v>25.1</v>
      </c>
      <c r="C97" s="16">
        <v>5.7</v>
      </c>
      <c r="D97" s="16">
        <f t="shared" si="1"/>
        <v>19.400000000000002</v>
      </c>
    </row>
    <row r="98" spans="1:4" x14ac:dyDescent="0.25">
      <c r="A98" s="22">
        <v>1996</v>
      </c>
      <c r="B98" s="16">
        <v>24.3</v>
      </c>
      <c r="C98" s="16">
        <v>5.6</v>
      </c>
      <c r="D98" s="16">
        <f t="shared" si="1"/>
        <v>18.700000000000003</v>
      </c>
    </row>
    <row r="99" spans="1:4" x14ac:dyDescent="0.25">
      <c r="A99" s="22">
        <v>1997</v>
      </c>
      <c r="B99" s="16">
        <v>24</v>
      </c>
      <c r="C99" s="16">
        <v>5.5</v>
      </c>
      <c r="D99" s="16">
        <f t="shared" si="1"/>
        <v>18.5</v>
      </c>
    </row>
    <row r="100" spans="1:4" x14ac:dyDescent="0.25">
      <c r="A100" s="22">
        <v>1998</v>
      </c>
      <c r="B100" s="16">
        <v>23.6</v>
      </c>
      <c r="C100" s="16">
        <v>5.4</v>
      </c>
      <c r="D100" s="16">
        <f t="shared" si="1"/>
        <v>18.200000000000003</v>
      </c>
    </row>
    <row r="101" spans="1:4" x14ac:dyDescent="0.25">
      <c r="A101" s="22">
        <v>1999</v>
      </c>
      <c r="B101" s="16">
        <v>22.9</v>
      </c>
      <c r="C101" s="16">
        <v>5.5</v>
      </c>
      <c r="D101" s="16">
        <f t="shared" si="1"/>
        <v>17.399999999999999</v>
      </c>
    </row>
    <row r="102" spans="1:4" x14ac:dyDescent="0.25">
      <c r="A102" s="22">
        <v>2000</v>
      </c>
      <c r="B102" s="16">
        <v>22.3</v>
      </c>
      <c r="C102" s="16">
        <v>5.6</v>
      </c>
      <c r="D102" s="16">
        <f t="shared" si="1"/>
        <v>16.700000000000003</v>
      </c>
    </row>
    <row r="103" spans="1:4" x14ac:dyDescent="0.25">
      <c r="A103" s="22">
        <v>2001</v>
      </c>
      <c r="B103" s="16">
        <v>21.7</v>
      </c>
      <c r="C103" s="16">
        <v>5.5</v>
      </c>
      <c r="D103" s="16">
        <f t="shared" si="1"/>
        <v>16.2</v>
      </c>
    </row>
    <row r="104" spans="1:4" x14ac:dyDescent="0.25">
      <c r="A104" s="22">
        <v>2002</v>
      </c>
      <c r="B104" s="16">
        <v>21.4</v>
      </c>
      <c r="C104" s="16">
        <v>5.5</v>
      </c>
      <c r="D104" s="16">
        <f t="shared" si="1"/>
        <v>15.899999999999999</v>
      </c>
    </row>
    <row r="105" spans="1:4" x14ac:dyDescent="0.25">
      <c r="A105" s="22">
        <v>2003</v>
      </c>
      <c r="B105" s="16">
        <v>20.9</v>
      </c>
      <c r="C105" s="16">
        <v>5.2</v>
      </c>
      <c r="D105" s="16">
        <f t="shared" si="1"/>
        <v>15.7</v>
      </c>
    </row>
    <row r="106" spans="1:4" x14ac:dyDescent="0.25">
      <c r="A106" s="22">
        <v>2004</v>
      </c>
      <c r="B106" s="16">
        <v>20.3</v>
      </c>
      <c r="C106" s="16">
        <v>5.2</v>
      </c>
      <c r="D106" s="16">
        <f t="shared" si="1"/>
        <v>15.100000000000001</v>
      </c>
    </row>
    <row r="107" spans="1:4" x14ac:dyDescent="0.25">
      <c r="A107" s="22">
        <v>2005</v>
      </c>
      <c r="B107" s="16">
        <v>19.600000000000001</v>
      </c>
      <c r="C107" s="16">
        <v>5.0999999999999996</v>
      </c>
      <c r="D107" s="16">
        <f t="shared" si="1"/>
        <v>14.500000000000002</v>
      </c>
    </row>
    <row r="108" spans="1:4" x14ac:dyDescent="0.25">
      <c r="A108" s="22">
        <v>2006</v>
      </c>
      <c r="B108" s="16">
        <v>19</v>
      </c>
      <c r="C108" s="16">
        <v>5</v>
      </c>
      <c r="D108" s="16">
        <f t="shared" si="1"/>
        <v>14</v>
      </c>
    </row>
    <row r="109" spans="1:4" x14ac:dyDescent="0.25">
      <c r="A109" s="22">
        <v>2007</v>
      </c>
      <c r="B109" s="16">
        <v>18.600000000000001</v>
      </c>
      <c r="C109" s="16">
        <v>5.0999999999999996</v>
      </c>
      <c r="D109" s="16">
        <f t="shared" si="1"/>
        <v>13.500000000000002</v>
      </c>
    </row>
    <row r="110" spans="1:4" x14ac:dyDescent="0.25">
      <c r="A110" s="22">
        <v>2008</v>
      </c>
      <c r="B110" s="16">
        <v>18.2</v>
      </c>
      <c r="C110" s="16">
        <v>5</v>
      </c>
      <c r="D110" s="16">
        <f t="shared" si="1"/>
        <v>13.2</v>
      </c>
    </row>
    <row r="111" spans="1:4" x14ac:dyDescent="0.25">
      <c r="A111" s="22">
        <v>2009</v>
      </c>
      <c r="B111" s="16">
        <v>17.7</v>
      </c>
      <c r="C111" s="16">
        <v>5</v>
      </c>
      <c r="D111" s="16">
        <f t="shared" si="1"/>
        <v>12.7</v>
      </c>
    </row>
    <row r="112" spans="1:4" x14ac:dyDescent="0.25">
      <c r="A112" s="22">
        <v>2010</v>
      </c>
      <c r="B112" s="16">
        <v>16.899999999999999</v>
      </c>
      <c r="C112" s="16">
        <v>5</v>
      </c>
      <c r="D112" s="16">
        <f t="shared" si="1"/>
        <v>11.899999999999999</v>
      </c>
    </row>
    <row r="113" spans="1:4" x14ac:dyDescent="0.25">
      <c r="A113" s="22">
        <v>2011</v>
      </c>
      <c r="B113" s="16">
        <v>16.3</v>
      </c>
      <c r="C113" s="16">
        <v>5</v>
      </c>
      <c r="D113" s="16">
        <f t="shared" si="1"/>
        <v>11.3</v>
      </c>
    </row>
    <row r="114" spans="1:4" x14ac:dyDescent="0.25">
      <c r="A114" s="22">
        <v>2012</v>
      </c>
      <c r="B114" s="16">
        <v>16</v>
      </c>
      <c r="C114" s="16">
        <v>5</v>
      </c>
      <c r="D114" s="16">
        <f t="shared" si="1"/>
        <v>11</v>
      </c>
    </row>
    <row r="115" spans="1:4" x14ac:dyDescent="0.25">
      <c r="A115" s="22">
        <v>2013</v>
      </c>
      <c r="B115" s="16">
        <v>15.6</v>
      </c>
      <c r="C115" s="16">
        <v>5</v>
      </c>
      <c r="D115" s="16">
        <f t="shared" si="1"/>
        <v>10.6</v>
      </c>
    </row>
    <row r="116" spans="1:4" x14ac:dyDescent="0.25">
      <c r="A116" s="22">
        <v>2014</v>
      </c>
      <c r="B116" s="16">
        <v>15.3</v>
      </c>
      <c r="C116" s="16">
        <v>5.0999999999999996</v>
      </c>
      <c r="D116" s="16">
        <f t="shared" si="1"/>
        <v>10.200000000000001</v>
      </c>
    </row>
    <row r="117" spans="1:4" x14ac:dyDescent="0.25">
      <c r="A117" s="22">
        <v>2015</v>
      </c>
      <c r="B117" s="16">
        <v>14.8</v>
      </c>
      <c r="C117" s="16">
        <v>5.3</v>
      </c>
      <c r="D117" s="16">
        <f t="shared" si="1"/>
        <v>9.5</v>
      </c>
    </row>
    <row r="118" spans="1:4" x14ac:dyDescent="0.25">
      <c r="A118" s="22">
        <v>2016</v>
      </c>
      <c r="B118" s="16">
        <v>14.3</v>
      </c>
      <c r="C118" s="16">
        <v>5.3</v>
      </c>
      <c r="D118" s="16">
        <f t="shared" si="1"/>
        <v>9</v>
      </c>
    </row>
    <row r="119" spans="1:4" x14ac:dyDescent="0.25">
      <c r="A119" s="22">
        <v>2017</v>
      </c>
      <c r="B119" s="16">
        <v>14.2</v>
      </c>
      <c r="C119" s="16">
        <v>5.3</v>
      </c>
      <c r="D119" s="16">
        <f t="shared" si="1"/>
        <v>8.8999999999999986</v>
      </c>
    </row>
    <row r="120" spans="1:4" x14ac:dyDescent="0.25">
      <c r="A120" s="22">
        <v>2018</v>
      </c>
      <c r="B120" s="16">
        <v>14.2</v>
      </c>
      <c r="C120" s="16">
        <v>5.4</v>
      </c>
      <c r="D120" s="16">
        <f t="shared" si="1"/>
        <v>8.7999999999999989</v>
      </c>
    </row>
    <row r="121" spans="1:4" x14ac:dyDescent="0.25">
      <c r="A121" s="22">
        <v>2019</v>
      </c>
      <c r="B121" s="16">
        <v>14.2</v>
      </c>
      <c r="C121" s="16">
        <v>5.4</v>
      </c>
      <c r="D121" s="16">
        <f t="shared" si="1"/>
        <v>8.7999999999999989</v>
      </c>
    </row>
    <row r="122" spans="1:4" x14ac:dyDescent="0.25">
      <c r="A122" s="22">
        <v>2020</v>
      </c>
      <c r="B122" s="16">
        <v>14.1</v>
      </c>
      <c r="C122" s="16">
        <v>6.6</v>
      </c>
      <c r="D122" s="16">
        <f t="shared" si="1"/>
        <v>7.5</v>
      </c>
    </row>
    <row r="123" spans="1:4" x14ac:dyDescent="0.25">
      <c r="A123" s="22">
        <v>2021</v>
      </c>
      <c r="B123" s="16">
        <v>13.9</v>
      </c>
      <c r="C123" s="16">
        <v>7.9</v>
      </c>
      <c r="D123" s="16">
        <f t="shared" si="1"/>
        <v>6</v>
      </c>
    </row>
    <row r="124" spans="1:4" x14ac:dyDescent="0.25">
      <c r="A124" s="22">
        <v>2022</v>
      </c>
      <c r="B124" s="16">
        <v>13.7</v>
      </c>
      <c r="C124" s="16">
        <v>5.9</v>
      </c>
      <c r="D124" s="16">
        <f t="shared" si="1"/>
        <v>7.7999999999999989</v>
      </c>
    </row>
    <row r="125" spans="1:4" x14ac:dyDescent="0.25">
      <c r="A125" s="22">
        <v>2023</v>
      </c>
      <c r="B125" s="16">
        <v>13.5</v>
      </c>
      <c r="C125" s="16">
        <v>5.4</v>
      </c>
      <c r="D125" s="16">
        <f t="shared" si="1"/>
        <v>8.1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1890</v>
      </c>
      <c r="B2" s="16">
        <v>45.8</v>
      </c>
      <c r="C2" s="16">
        <v>28.8</v>
      </c>
      <c r="D2" s="16">
        <f>B2-C2</f>
        <v>16.999999999999996</v>
      </c>
    </row>
    <row r="3" spans="1:4" x14ac:dyDescent="0.25">
      <c r="A3" s="22">
        <v>1891</v>
      </c>
      <c r="B3" s="16">
        <v>45.9</v>
      </c>
      <c r="C3" s="16">
        <v>28.8</v>
      </c>
      <c r="D3" s="16">
        <f t="shared" ref="D3:D66" si="0">B3-C3</f>
        <v>17.099999999999998</v>
      </c>
    </row>
    <row r="4" spans="1:4" x14ac:dyDescent="0.25">
      <c r="A4" s="22">
        <v>1892</v>
      </c>
      <c r="B4" s="16">
        <v>46</v>
      </c>
      <c r="C4" s="16">
        <v>28.9</v>
      </c>
      <c r="D4" s="16">
        <f t="shared" si="0"/>
        <v>17.100000000000001</v>
      </c>
    </row>
    <row r="5" spans="1:4" x14ac:dyDescent="0.25">
      <c r="A5" s="22">
        <v>1893</v>
      </c>
      <c r="B5" s="16">
        <v>46.1</v>
      </c>
      <c r="C5" s="16">
        <v>29</v>
      </c>
      <c r="D5" s="16">
        <f t="shared" si="0"/>
        <v>17.100000000000001</v>
      </c>
    </row>
    <row r="6" spans="1:4" x14ac:dyDescent="0.25">
      <c r="A6" s="22">
        <v>1894</v>
      </c>
      <c r="B6" s="16">
        <v>46.3</v>
      </c>
      <c r="C6" s="16">
        <v>29.1</v>
      </c>
      <c r="D6" s="16">
        <f t="shared" si="0"/>
        <v>17.199999999999996</v>
      </c>
    </row>
    <row r="7" spans="1:4" x14ac:dyDescent="0.25">
      <c r="A7" s="22">
        <v>1895</v>
      </c>
      <c r="B7" s="16">
        <v>46.5</v>
      </c>
      <c r="C7" s="16">
        <v>29.3</v>
      </c>
      <c r="D7" s="16">
        <f t="shared" si="0"/>
        <v>17.2</v>
      </c>
    </row>
    <row r="8" spans="1:4" x14ac:dyDescent="0.25">
      <c r="A8" s="22">
        <v>1896</v>
      </c>
      <c r="B8" s="16">
        <v>46.6</v>
      </c>
      <c r="C8" s="16">
        <v>29.4</v>
      </c>
      <c r="D8" s="16">
        <f t="shared" si="0"/>
        <v>17.200000000000003</v>
      </c>
    </row>
    <row r="9" spans="1:4" x14ac:dyDescent="0.25">
      <c r="A9" s="22">
        <v>1897</v>
      </c>
      <c r="B9" s="16">
        <v>46.8</v>
      </c>
      <c r="C9" s="16">
        <v>29.4</v>
      </c>
      <c r="D9" s="16">
        <f t="shared" si="0"/>
        <v>17.399999999999999</v>
      </c>
    </row>
    <row r="10" spans="1:4" x14ac:dyDescent="0.25">
      <c r="A10" s="22">
        <v>1898</v>
      </c>
      <c r="B10" s="16">
        <v>46.8</v>
      </c>
      <c r="C10" s="16">
        <v>29.3</v>
      </c>
      <c r="D10" s="16">
        <f t="shared" si="0"/>
        <v>17.499999999999996</v>
      </c>
    </row>
    <row r="11" spans="1:4" x14ac:dyDescent="0.25">
      <c r="A11" s="22">
        <v>1899</v>
      </c>
      <c r="B11" s="16">
        <v>46.8</v>
      </c>
      <c r="C11" s="16">
        <v>29.2</v>
      </c>
      <c r="D11" s="16">
        <f t="shared" si="0"/>
        <v>17.599999999999998</v>
      </c>
    </row>
    <row r="12" spans="1:4" x14ac:dyDescent="0.25">
      <c r="A12" s="22">
        <v>1900</v>
      </c>
      <c r="B12" s="16">
        <v>46.7</v>
      </c>
      <c r="C12" s="16">
        <v>28.9</v>
      </c>
      <c r="D12" s="16">
        <f t="shared" si="0"/>
        <v>17.800000000000004</v>
      </c>
    </row>
    <row r="13" spans="1:4" x14ac:dyDescent="0.25">
      <c r="A13" s="22">
        <v>1901</v>
      </c>
      <c r="B13" s="16">
        <v>46.8</v>
      </c>
      <c r="C13" s="16">
        <v>28.8</v>
      </c>
      <c r="D13" s="16">
        <f t="shared" si="0"/>
        <v>17.999999999999996</v>
      </c>
    </row>
    <row r="14" spans="1:4" x14ac:dyDescent="0.25">
      <c r="A14" s="22">
        <v>1902</v>
      </c>
      <c r="B14" s="16">
        <v>46.8</v>
      </c>
      <c r="C14" s="16">
        <v>28.7</v>
      </c>
      <c r="D14" s="16">
        <f t="shared" si="0"/>
        <v>18.099999999999998</v>
      </c>
    </row>
    <row r="15" spans="1:4" x14ac:dyDescent="0.25">
      <c r="A15" s="22">
        <v>1903</v>
      </c>
      <c r="B15" s="16">
        <v>47</v>
      </c>
      <c r="C15" s="16">
        <v>28.7</v>
      </c>
      <c r="D15" s="16">
        <f t="shared" si="0"/>
        <v>18.3</v>
      </c>
    </row>
    <row r="16" spans="1:4" x14ac:dyDescent="0.25">
      <c r="A16" s="22">
        <v>1904</v>
      </c>
      <c r="B16" s="16">
        <v>47.2</v>
      </c>
      <c r="C16" s="16">
        <v>28.8</v>
      </c>
      <c r="D16" s="16">
        <f t="shared" si="0"/>
        <v>18.400000000000002</v>
      </c>
    </row>
    <row r="17" spans="1:4" x14ac:dyDescent="0.25">
      <c r="A17" s="22">
        <v>1905</v>
      </c>
      <c r="B17" s="16">
        <v>47.5</v>
      </c>
      <c r="C17" s="16">
        <v>29</v>
      </c>
      <c r="D17" s="16">
        <f t="shared" si="0"/>
        <v>18.5</v>
      </c>
    </row>
    <row r="18" spans="1:4" x14ac:dyDescent="0.25">
      <c r="A18" s="22">
        <v>1906</v>
      </c>
      <c r="B18" s="16">
        <v>47.8</v>
      </c>
      <c r="C18" s="16">
        <v>29</v>
      </c>
      <c r="D18" s="16">
        <f t="shared" si="0"/>
        <v>18.799999999999997</v>
      </c>
    </row>
    <row r="19" spans="1:4" x14ac:dyDescent="0.25">
      <c r="A19" s="22">
        <v>1907</v>
      </c>
      <c r="B19" s="16">
        <v>48.1</v>
      </c>
      <c r="C19" s="16">
        <v>28.8</v>
      </c>
      <c r="D19" s="16">
        <f t="shared" si="0"/>
        <v>19.3</v>
      </c>
    </row>
    <row r="20" spans="1:4" x14ac:dyDescent="0.25">
      <c r="A20" s="22">
        <v>1908</v>
      </c>
      <c r="B20" s="16">
        <v>48.5</v>
      </c>
      <c r="C20" s="16">
        <v>28.4</v>
      </c>
      <c r="D20" s="16">
        <f t="shared" si="0"/>
        <v>20.100000000000001</v>
      </c>
    </row>
    <row r="21" spans="1:4" x14ac:dyDescent="0.25">
      <c r="A21" s="22">
        <v>1909</v>
      </c>
      <c r="B21" s="16">
        <v>49</v>
      </c>
      <c r="C21" s="16">
        <v>27.9</v>
      </c>
      <c r="D21" s="16">
        <f t="shared" si="0"/>
        <v>21.1</v>
      </c>
    </row>
    <row r="22" spans="1:4" x14ac:dyDescent="0.25">
      <c r="A22" s="22">
        <v>1910</v>
      </c>
      <c r="B22" s="16">
        <v>49.5</v>
      </c>
      <c r="C22" s="16">
        <v>27.2</v>
      </c>
      <c r="D22" s="16">
        <f t="shared" si="0"/>
        <v>22.3</v>
      </c>
    </row>
    <row r="23" spans="1:4" x14ac:dyDescent="0.25">
      <c r="A23" s="22">
        <v>1911</v>
      </c>
      <c r="B23" s="16">
        <v>49.6</v>
      </c>
      <c r="C23" s="16">
        <v>26.9</v>
      </c>
      <c r="D23" s="16">
        <f t="shared" si="0"/>
        <v>22.700000000000003</v>
      </c>
    </row>
    <row r="24" spans="1:4" x14ac:dyDescent="0.25">
      <c r="A24" s="22">
        <v>1912</v>
      </c>
      <c r="B24" s="16">
        <v>49.3</v>
      </c>
      <c r="C24" s="16">
        <v>26.9</v>
      </c>
      <c r="D24" s="16">
        <f t="shared" si="0"/>
        <v>22.4</v>
      </c>
    </row>
    <row r="25" spans="1:4" x14ac:dyDescent="0.25">
      <c r="A25" s="22">
        <v>1913</v>
      </c>
      <c r="B25" s="16">
        <v>48.6</v>
      </c>
      <c r="C25" s="16">
        <v>27.2</v>
      </c>
      <c r="D25" s="16">
        <f t="shared" si="0"/>
        <v>21.400000000000002</v>
      </c>
    </row>
    <row r="26" spans="1:4" x14ac:dyDescent="0.25">
      <c r="A26" s="22">
        <v>1914</v>
      </c>
      <c r="B26" s="16">
        <v>47.6</v>
      </c>
      <c r="C26" s="16">
        <v>27.8</v>
      </c>
      <c r="D26" s="16">
        <f t="shared" si="0"/>
        <v>19.8</v>
      </c>
    </row>
    <row r="27" spans="1:4" x14ac:dyDescent="0.25">
      <c r="A27" s="22">
        <v>1915</v>
      </c>
      <c r="B27" s="16">
        <v>46.2</v>
      </c>
      <c r="C27" s="16">
        <v>28.9</v>
      </c>
      <c r="D27" s="16">
        <f t="shared" si="0"/>
        <v>17.300000000000004</v>
      </c>
    </row>
    <row r="28" spans="1:4" x14ac:dyDescent="0.25">
      <c r="A28" s="22">
        <v>1916</v>
      </c>
      <c r="B28" s="16">
        <v>45.1</v>
      </c>
      <c r="C28" s="16">
        <v>29.4</v>
      </c>
      <c r="D28" s="16">
        <f t="shared" si="0"/>
        <v>15.700000000000003</v>
      </c>
    </row>
    <row r="29" spans="1:4" x14ac:dyDescent="0.25">
      <c r="A29" s="22">
        <v>1917</v>
      </c>
      <c r="B29" s="16">
        <v>44.4</v>
      </c>
      <c r="C29" s="16">
        <v>29.5</v>
      </c>
      <c r="D29" s="16">
        <f t="shared" si="0"/>
        <v>14.899999999999999</v>
      </c>
    </row>
    <row r="30" spans="1:4" x14ac:dyDescent="0.25">
      <c r="A30" s="22">
        <v>1918</v>
      </c>
      <c r="B30" s="16">
        <v>44</v>
      </c>
      <c r="C30" s="16">
        <v>29.1</v>
      </c>
      <c r="D30" s="16">
        <f t="shared" si="0"/>
        <v>14.899999999999999</v>
      </c>
    </row>
    <row r="31" spans="1:4" x14ac:dyDescent="0.25">
      <c r="A31" s="22">
        <v>1919</v>
      </c>
      <c r="B31" s="16">
        <v>43.9</v>
      </c>
      <c r="C31" s="16">
        <v>28.2</v>
      </c>
      <c r="D31" s="16">
        <f t="shared" si="0"/>
        <v>15.7</v>
      </c>
    </row>
    <row r="32" spans="1:4" x14ac:dyDescent="0.25">
      <c r="A32" s="22">
        <v>1920</v>
      </c>
      <c r="B32" s="16">
        <v>44.2</v>
      </c>
      <c r="C32" s="16">
        <v>26.8</v>
      </c>
      <c r="D32" s="16">
        <f t="shared" si="0"/>
        <v>17.400000000000002</v>
      </c>
    </row>
    <row r="33" spans="1:4" x14ac:dyDescent="0.25">
      <c r="A33" s="22">
        <v>1921</v>
      </c>
      <c r="B33" s="16">
        <v>44.5</v>
      </c>
      <c r="C33" s="16">
        <v>25.8</v>
      </c>
      <c r="D33" s="16">
        <f t="shared" si="0"/>
        <v>18.7</v>
      </c>
    </row>
    <row r="34" spans="1:4" x14ac:dyDescent="0.25">
      <c r="A34" s="22">
        <v>1922</v>
      </c>
      <c r="B34" s="16">
        <v>44.9</v>
      </c>
      <c r="C34" s="16">
        <v>25</v>
      </c>
      <c r="D34" s="16">
        <f t="shared" si="0"/>
        <v>19.899999999999999</v>
      </c>
    </row>
    <row r="35" spans="1:4" x14ac:dyDescent="0.25">
      <c r="A35" s="22">
        <v>1923</v>
      </c>
      <c r="B35" s="16">
        <v>45.2</v>
      </c>
      <c r="C35" s="16">
        <v>24.4</v>
      </c>
      <c r="D35" s="16">
        <f t="shared" si="0"/>
        <v>20.800000000000004</v>
      </c>
    </row>
    <row r="36" spans="1:4" x14ac:dyDescent="0.25">
      <c r="A36" s="22">
        <v>1924</v>
      </c>
      <c r="B36" s="16">
        <v>45.6</v>
      </c>
      <c r="C36" s="16">
        <v>24.1</v>
      </c>
      <c r="D36" s="16">
        <f t="shared" si="0"/>
        <v>21.5</v>
      </c>
    </row>
    <row r="37" spans="1:4" x14ac:dyDescent="0.25">
      <c r="A37" s="22">
        <v>1925</v>
      </c>
      <c r="B37" s="16">
        <v>46.1</v>
      </c>
      <c r="C37" s="16">
        <v>24.1</v>
      </c>
      <c r="D37" s="16">
        <f t="shared" si="0"/>
        <v>22</v>
      </c>
    </row>
    <row r="38" spans="1:4" x14ac:dyDescent="0.25">
      <c r="A38" s="22">
        <v>1926</v>
      </c>
      <c r="B38" s="16">
        <v>46.3</v>
      </c>
      <c r="C38" s="16">
        <v>23.9</v>
      </c>
      <c r="D38" s="16">
        <f t="shared" si="0"/>
        <v>22.4</v>
      </c>
    </row>
    <row r="39" spans="1:4" x14ac:dyDescent="0.25">
      <c r="A39" s="22">
        <v>1927</v>
      </c>
      <c r="B39" s="16">
        <v>46.4</v>
      </c>
      <c r="C39" s="16">
        <v>23.7</v>
      </c>
      <c r="D39" s="16">
        <f t="shared" si="0"/>
        <v>22.7</v>
      </c>
    </row>
    <row r="40" spans="1:4" x14ac:dyDescent="0.25">
      <c r="A40" s="22">
        <v>1928</v>
      </c>
      <c r="B40" s="16">
        <v>46.3</v>
      </c>
      <c r="C40" s="16">
        <v>23.4</v>
      </c>
      <c r="D40" s="16">
        <f t="shared" si="0"/>
        <v>22.9</v>
      </c>
    </row>
    <row r="41" spans="1:4" x14ac:dyDescent="0.25">
      <c r="A41" s="22">
        <v>1929</v>
      </c>
      <c r="B41" s="16">
        <v>45.9</v>
      </c>
      <c r="C41" s="16">
        <v>23</v>
      </c>
      <c r="D41" s="16">
        <f t="shared" si="0"/>
        <v>22.9</v>
      </c>
    </row>
    <row r="42" spans="1:4" x14ac:dyDescent="0.25">
      <c r="A42" s="22">
        <v>1930</v>
      </c>
      <c r="B42" s="16">
        <v>45.4</v>
      </c>
      <c r="C42" s="16">
        <v>22.5</v>
      </c>
      <c r="D42" s="16">
        <f t="shared" si="0"/>
        <v>22.9</v>
      </c>
    </row>
    <row r="43" spans="1:4" x14ac:dyDescent="0.25">
      <c r="A43" s="22">
        <v>1931</v>
      </c>
      <c r="B43" s="16">
        <v>45</v>
      </c>
      <c r="C43" s="16">
        <v>22</v>
      </c>
      <c r="D43" s="16">
        <f t="shared" si="0"/>
        <v>23</v>
      </c>
    </row>
    <row r="44" spans="1:4" x14ac:dyDescent="0.25">
      <c r="A44" s="22">
        <v>1932</v>
      </c>
      <c r="B44" s="16">
        <v>44.6</v>
      </c>
      <c r="C44" s="16">
        <v>21.5</v>
      </c>
      <c r="D44" s="16">
        <f t="shared" si="0"/>
        <v>23.1</v>
      </c>
    </row>
    <row r="45" spans="1:4" x14ac:dyDescent="0.25">
      <c r="A45" s="22">
        <v>1933</v>
      </c>
      <c r="B45" s="16">
        <v>44.2</v>
      </c>
      <c r="C45" s="16">
        <v>21</v>
      </c>
      <c r="D45" s="16">
        <f t="shared" si="0"/>
        <v>23.200000000000003</v>
      </c>
    </row>
    <row r="46" spans="1:4" x14ac:dyDescent="0.25">
      <c r="A46" s="22">
        <v>1934</v>
      </c>
      <c r="B46" s="16">
        <v>43.9</v>
      </c>
      <c r="C46" s="16">
        <v>20.5</v>
      </c>
      <c r="D46" s="16">
        <f t="shared" si="0"/>
        <v>23.4</v>
      </c>
    </row>
    <row r="47" spans="1:4" x14ac:dyDescent="0.25">
      <c r="A47" s="22">
        <v>1935</v>
      </c>
      <c r="B47" s="16">
        <v>43.6</v>
      </c>
      <c r="C47" s="16">
        <v>20</v>
      </c>
      <c r="D47" s="16">
        <f t="shared" si="0"/>
        <v>23.6</v>
      </c>
    </row>
    <row r="48" spans="1:4" x14ac:dyDescent="0.25">
      <c r="A48" s="22">
        <v>1936</v>
      </c>
      <c r="B48" s="16">
        <v>43.4</v>
      </c>
      <c r="C48" s="16">
        <v>19.5</v>
      </c>
      <c r="D48" s="16">
        <f t="shared" si="0"/>
        <v>23.9</v>
      </c>
    </row>
    <row r="49" spans="1:4" x14ac:dyDescent="0.25">
      <c r="A49" s="22">
        <v>1937</v>
      </c>
      <c r="B49" s="16">
        <v>43.3</v>
      </c>
      <c r="C49" s="16">
        <v>19.100000000000001</v>
      </c>
      <c r="D49" s="16">
        <f t="shared" si="0"/>
        <v>24.199999999999996</v>
      </c>
    </row>
    <row r="50" spans="1:4" x14ac:dyDescent="0.25">
      <c r="A50" s="22">
        <v>1938</v>
      </c>
      <c r="B50" s="16">
        <v>43.1</v>
      </c>
      <c r="C50" s="16">
        <v>18.8</v>
      </c>
      <c r="D50" s="16">
        <f t="shared" si="0"/>
        <v>24.3</v>
      </c>
    </row>
    <row r="51" spans="1:4" x14ac:dyDescent="0.25">
      <c r="A51" s="22">
        <v>1939</v>
      </c>
      <c r="B51" s="16">
        <v>43.1</v>
      </c>
      <c r="C51" s="16">
        <v>18.600000000000001</v>
      </c>
      <c r="D51" s="16">
        <f t="shared" si="0"/>
        <v>24.5</v>
      </c>
    </row>
    <row r="52" spans="1:4" x14ac:dyDescent="0.25">
      <c r="A52" s="22">
        <v>1940</v>
      </c>
      <c r="B52" s="16">
        <v>43</v>
      </c>
      <c r="C52" s="16">
        <v>18.5</v>
      </c>
      <c r="D52" s="16">
        <f t="shared" si="0"/>
        <v>24.5</v>
      </c>
    </row>
    <row r="53" spans="1:4" x14ac:dyDescent="0.25">
      <c r="A53" s="22">
        <v>1941</v>
      </c>
      <c r="B53" s="16">
        <v>42.9</v>
      </c>
      <c r="C53" s="16">
        <v>18.2</v>
      </c>
      <c r="D53" s="16">
        <f t="shared" si="0"/>
        <v>24.7</v>
      </c>
    </row>
    <row r="54" spans="1:4" x14ac:dyDescent="0.25">
      <c r="A54" s="22">
        <v>1942</v>
      </c>
      <c r="B54" s="16">
        <v>42.8</v>
      </c>
      <c r="C54" s="16">
        <v>17.600000000000001</v>
      </c>
      <c r="D54" s="16">
        <f t="shared" si="0"/>
        <v>25.199999999999996</v>
      </c>
    </row>
    <row r="55" spans="1:4" x14ac:dyDescent="0.25">
      <c r="A55" s="22">
        <v>1943</v>
      </c>
      <c r="B55" s="16">
        <v>42.7</v>
      </c>
      <c r="C55" s="16">
        <v>16.899999999999999</v>
      </c>
      <c r="D55" s="16">
        <f t="shared" si="0"/>
        <v>25.800000000000004</v>
      </c>
    </row>
    <row r="56" spans="1:4" x14ac:dyDescent="0.25">
      <c r="A56" s="22">
        <v>1944</v>
      </c>
      <c r="B56" s="16">
        <v>42.5</v>
      </c>
      <c r="C56" s="16">
        <v>16</v>
      </c>
      <c r="D56" s="16">
        <f t="shared" si="0"/>
        <v>26.5</v>
      </c>
    </row>
    <row r="57" spans="1:4" x14ac:dyDescent="0.25">
      <c r="A57" s="22">
        <v>1945</v>
      </c>
      <c r="B57" s="16">
        <v>42.3</v>
      </c>
      <c r="C57" s="16">
        <v>14.9</v>
      </c>
      <c r="D57" s="16">
        <f t="shared" si="0"/>
        <v>27.4</v>
      </c>
    </row>
    <row r="58" spans="1:4" x14ac:dyDescent="0.25">
      <c r="A58" s="22">
        <v>1946</v>
      </c>
      <c r="B58" s="16">
        <v>42.3</v>
      </c>
      <c r="C58" s="16">
        <v>13.9</v>
      </c>
      <c r="D58" s="16">
        <f t="shared" si="0"/>
        <v>28.4</v>
      </c>
    </row>
    <row r="59" spans="1:4" x14ac:dyDescent="0.25">
      <c r="A59" s="22">
        <v>1947</v>
      </c>
      <c r="B59" s="16">
        <v>42.5</v>
      </c>
      <c r="C59" s="16">
        <v>13.1</v>
      </c>
      <c r="D59" s="16">
        <f t="shared" si="0"/>
        <v>29.4</v>
      </c>
    </row>
    <row r="60" spans="1:4" x14ac:dyDescent="0.25">
      <c r="A60" s="22">
        <v>1948</v>
      </c>
      <c r="B60" s="16">
        <v>42.9</v>
      </c>
      <c r="C60" s="16">
        <v>12.4</v>
      </c>
      <c r="D60" s="16">
        <f t="shared" si="0"/>
        <v>30.5</v>
      </c>
    </row>
    <row r="61" spans="1:4" x14ac:dyDescent="0.25">
      <c r="A61" s="22">
        <v>1949</v>
      </c>
      <c r="B61" s="16">
        <v>43.4</v>
      </c>
      <c r="C61" s="16">
        <v>11.9</v>
      </c>
      <c r="D61" s="16">
        <f t="shared" si="0"/>
        <v>31.5</v>
      </c>
    </row>
    <row r="62" spans="1:4" x14ac:dyDescent="0.25">
      <c r="A62" s="22">
        <v>1950</v>
      </c>
      <c r="B62" s="16">
        <v>44.1</v>
      </c>
      <c r="C62" s="16">
        <v>11.5</v>
      </c>
      <c r="D62" s="16">
        <f t="shared" si="0"/>
        <v>32.6</v>
      </c>
    </row>
    <row r="63" spans="1:4" x14ac:dyDescent="0.25">
      <c r="A63" s="22">
        <v>1951</v>
      </c>
      <c r="B63" s="16">
        <v>44.7</v>
      </c>
      <c r="C63" s="16">
        <v>11.1</v>
      </c>
      <c r="D63" s="16">
        <f t="shared" si="0"/>
        <v>33.6</v>
      </c>
    </row>
    <row r="64" spans="1:4" x14ac:dyDescent="0.25">
      <c r="A64" s="22">
        <v>1952</v>
      </c>
      <c r="B64" s="16">
        <v>45.2</v>
      </c>
      <c r="C64" s="16">
        <v>10.8</v>
      </c>
      <c r="D64" s="16">
        <f t="shared" si="0"/>
        <v>34.400000000000006</v>
      </c>
    </row>
    <row r="65" spans="1:4" x14ac:dyDescent="0.25">
      <c r="A65" s="22">
        <v>1953</v>
      </c>
      <c r="B65" s="16">
        <v>45.5</v>
      </c>
      <c r="C65" s="16">
        <v>10.5</v>
      </c>
      <c r="D65" s="16">
        <f t="shared" si="0"/>
        <v>35</v>
      </c>
    </row>
    <row r="66" spans="1:4" x14ac:dyDescent="0.25">
      <c r="A66" s="22">
        <v>1954</v>
      </c>
      <c r="B66" s="16">
        <v>45.6</v>
      </c>
      <c r="C66" s="16">
        <v>10.199999999999999</v>
      </c>
      <c r="D66" s="16">
        <f t="shared" si="0"/>
        <v>35.400000000000006</v>
      </c>
    </row>
    <row r="67" spans="1:4" x14ac:dyDescent="0.25">
      <c r="A67" s="22">
        <v>1955</v>
      </c>
      <c r="B67" s="16">
        <v>45.6</v>
      </c>
      <c r="C67" s="16">
        <v>9.9</v>
      </c>
      <c r="D67" s="16">
        <f t="shared" ref="D67:D130" si="1">B67-C67</f>
        <v>35.700000000000003</v>
      </c>
    </row>
    <row r="68" spans="1:4" x14ac:dyDescent="0.25">
      <c r="A68" s="22">
        <v>1956</v>
      </c>
      <c r="B68" s="16">
        <v>45.7</v>
      </c>
      <c r="C68" s="16">
        <v>9.6999999999999993</v>
      </c>
      <c r="D68" s="16">
        <f t="shared" si="1"/>
        <v>36</v>
      </c>
    </row>
    <row r="69" spans="1:4" x14ac:dyDescent="0.25">
      <c r="A69" s="22">
        <v>1957</v>
      </c>
      <c r="B69" s="16">
        <v>45.8</v>
      </c>
      <c r="C69" s="16">
        <v>9.6</v>
      </c>
      <c r="D69" s="16">
        <f t="shared" si="1"/>
        <v>36.199999999999996</v>
      </c>
    </row>
    <row r="70" spans="1:4" x14ac:dyDescent="0.25">
      <c r="A70" s="22">
        <v>1958</v>
      </c>
      <c r="B70" s="16">
        <v>46</v>
      </c>
      <c r="C70" s="16">
        <v>9.3000000000000007</v>
      </c>
      <c r="D70" s="16">
        <f t="shared" si="1"/>
        <v>36.700000000000003</v>
      </c>
    </row>
    <row r="71" spans="1:4" x14ac:dyDescent="0.25">
      <c r="A71" s="22">
        <v>1959</v>
      </c>
      <c r="B71" s="16">
        <v>45.9</v>
      </c>
      <c r="C71" s="16">
        <v>9</v>
      </c>
      <c r="D71" s="16">
        <f t="shared" si="1"/>
        <v>36.9</v>
      </c>
    </row>
    <row r="72" spans="1:4" x14ac:dyDescent="0.25">
      <c r="A72" s="22">
        <v>1960</v>
      </c>
      <c r="B72" s="16">
        <v>45.5</v>
      </c>
      <c r="C72" s="16">
        <v>8.6999999999999993</v>
      </c>
      <c r="D72" s="16">
        <f t="shared" si="1"/>
        <v>36.799999999999997</v>
      </c>
    </row>
    <row r="73" spans="1:4" x14ac:dyDescent="0.25">
      <c r="A73" s="22">
        <v>1961</v>
      </c>
      <c r="B73" s="16">
        <v>44.8</v>
      </c>
      <c r="C73" s="16">
        <v>8.4</v>
      </c>
      <c r="D73" s="16">
        <f t="shared" si="1"/>
        <v>36.4</v>
      </c>
    </row>
    <row r="74" spans="1:4" x14ac:dyDescent="0.25">
      <c r="A74" s="22">
        <v>1962</v>
      </c>
      <c r="B74" s="16">
        <v>43.9</v>
      </c>
      <c r="C74" s="16">
        <v>8.1999999999999993</v>
      </c>
      <c r="D74" s="16">
        <f t="shared" si="1"/>
        <v>35.700000000000003</v>
      </c>
    </row>
    <row r="75" spans="1:4" x14ac:dyDescent="0.25">
      <c r="A75" s="22">
        <v>1963</v>
      </c>
      <c r="B75" s="16">
        <v>42.7</v>
      </c>
      <c r="C75" s="16">
        <v>8</v>
      </c>
      <c r="D75" s="16">
        <f t="shared" si="1"/>
        <v>34.700000000000003</v>
      </c>
    </row>
    <row r="76" spans="1:4" x14ac:dyDescent="0.25">
      <c r="A76" s="22">
        <v>1964</v>
      </c>
      <c r="B76" s="16">
        <v>41.4</v>
      </c>
      <c r="C76" s="16">
        <v>7.8</v>
      </c>
      <c r="D76" s="16">
        <f t="shared" si="1"/>
        <v>33.6</v>
      </c>
    </row>
    <row r="77" spans="1:4" x14ac:dyDescent="0.25">
      <c r="A77" s="22">
        <v>1965</v>
      </c>
      <c r="B77" s="16">
        <v>39.9</v>
      </c>
      <c r="C77" s="16">
        <v>7.6</v>
      </c>
      <c r="D77" s="16">
        <f t="shared" si="1"/>
        <v>32.299999999999997</v>
      </c>
    </row>
    <row r="78" spans="1:4" x14ac:dyDescent="0.25">
      <c r="A78" s="22">
        <v>1966</v>
      </c>
      <c r="B78" s="16">
        <v>38.299999999999997</v>
      </c>
      <c r="C78" s="16">
        <v>7.3</v>
      </c>
      <c r="D78" s="16">
        <f t="shared" si="1"/>
        <v>30.999999999999996</v>
      </c>
    </row>
    <row r="79" spans="1:4" x14ac:dyDescent="0.25">
      <c r="A79" s="22">
        <v>1967</v>
      </c>
      <c r="B79" s="16">
        <v>36.799999999999997</v>
      </c>
      <c r="C79" s="16">
        <v>7</v>
      </c>
      <c r="D79" s="16">
        <f t="shared" si="1"/>
        <v>29.799999999999997</v>
      </c>
    </row>
    <row r="80" spans="1:4" x14ac:dyDescent="0.25">
      <c r="A80" s="22">
        <v>1968</v>
      </c>
      <c r="B80" s="16">
        <v>34.6</v>
      </c>
      <c r="C80" s="16">
        <v>6.8</v>
      </c>
      <c r="D80" s="16">
        <f t="shared" si="1"/>
        <v>27.8</v>
      </c>
    </row>
    <row r="81" spans="1:4" x14ac:dyDescent="0.25">
      <c r="A81" s="22">
        <v>1969</v>
      </c>
      <c r="B81" s="16">
        <v>33.799999999999997</v>
      </c>
      <c r="C81" s="16">
        <v>6.5</v>
      </c>
      <c r="D81" s="16">
        <f t="shared" si="1"/>
        <v>27.299999999999997</v>
      </c>
    </row>
    <row r="82" spans="1:4" x14ac:dyDescent="0.25">
      <c r="A82" s="22">
        <v>1970</v>
      </c>
      <c r="B82" s="16">
        <v>32.6</v>
      </c>
      <c r="C82" s="16">
        <v>6.3</v>
      </c>
      <c r="D82" s="16">
        <f t="shared" si="1"/>
        <v>26.3</v>
      </c>
    </row>
    <row r="83" spans="1:4" x14ac:dyDescent="0.25">
      <c r="A83" s="22">
        <v>1971</v>
      </c>
      <c r="B83" s="16">
        <v>31.6</v>
      </c>
      <c r="C83" s="16">
        <v>6</v>
      </c>
      <c r="D83" s="16">
        <f t="shared" si="1"/>
        <v>25.6</v>
      </c>
    </row>
    <row r="84" spans="1:4" x14ac:dyDescent="0.25">
      <c r="A84" s="22">
        <v>1972</v>
      </c>
      <c r="B84" s="16">
        <v>30.7</v>
      </c>
      <c r="C84" s="16">
        <v>5.7</v>
      </c>
      <c r="D84" s="16">
        <f t="shared" si="1"/>
        <v>25</v>
      </c>
    </row>
    <row r="85" spans="1:4" x14ac:dyDescent="0.25">
      <c r="A85" s="22">
        <v>1973</v>
      </c>
      <c r="B85" s="16">
        <v>30.1</v>
      </c>
      <c r="C85" s="16">
        <v>5.5</v>
      </c>
      <c r="D85" s="16">
        <f t="shared" si="1"/>
        <v>24.6</v>
      </c>
    </row>
    <row r="86" spans="1:4" x14ac:dyDescent="0.25">
      <c r="A86" s="22">
        <v>1974</v>
      </c>
      <c r="B86" s="16">
        <v>29.9</v>
      </c>
      <c r="C86" s="16">
        <v>5.2</v>
      </c>
      <c r="D86" s="16">
        <f t="shared" si="1"/>
        <v>24.7</v>
      </c>
    </row>
    <row r="87" spans="1:4" x14ac:dyDescent="0.25">
      <c r="A87" s="22">
        <v>1975</v>
      </c>
      <c r="B87" s="16">
        <v>29.8</v>
      </c>
      <c r="C87" s="16">
        <v>4.9000000000000004</v>
      </c>
      <c r="D87" s="16">
        <f t="shared" si="1"/>
        <v>24.9</v>
      </c>
    </row>
    <row r="88" spans="1:4" x14ac:dyDescent="0.25">
      <c r="A88" s="22">
        <v>1976</v>
      </c>
      <c r="B88" s="16">
        <v>29.9</v>
      </c>
      <c r="C88" s="16">
        <v>4.7</v>
      </c>
      <c r="D88" s="16">
        <f t="shared" si="1"/>
        <v>25.2</v>
      </c>
    </row>
    <row r="89" spans="1:4" x14ac:dyDescent="0.25">
      <c r="A89" s="22">
        <v>1977</v>
      </c>
      <c r="B89" s="16">
        <v>30</v>
      </c>
      <c r="C89" s="16">
        <v>4.5999999999999996</v>
      </c>
      <c r="D89" s="16">
        <f t="shared" si="1"/>
        <v>25.4</v>
      </c>
    </row>
    <row r="90" spans="1:4" x14ac:dyDescent="0.25">
      <c r="A90" s="22">
        <v>1978</v>
      </c>
      <c r="B90" s="16">
        <v>30.2</v>
      </c>
      <c r="C90" s="16">
        <v>4.5</v>
      </c>
      <c r="D90" s="16">
        <f t="shared" si="1"/>
        <v>25.7</v>
      </c>
    </row>
    <row r="91" spans="1:4" x14ac:dyDescent="0.25">
      <c r="A91" s="22">
        <v>1979</v>
      </c>
      <c r="B91" s="16">
        <v>30.5</v>
      </c>
      <c r="C91" s="16">
        <v>4.3</v>
      </c>
      <c r="D91" s="16">
        <f t="shared" si="1"/>
        <v>26.2</v>
      </c>
    </row>
    <row r="92" spans="1:4" x14ac:dyDescent="0.25">
      <c r="A92" s="22">
        <v>1980</v>
      </c>
      <c r="B92" s="16">
        <v>30.4</v>
      </c>
      <c r="C92" s="16">
        <v>4.2</v>
      </c>
      <c r="D92" s="16">
        <f t="shared" si="1"/>
        <v>26.2</v>
      </c>
    </row>
    <row r="93" spans="1:4" x14ac:dyDescent="0.25">
      <c r="A93" s="22">
        <v>1981</v>
      </c>
      <c r="B93" s="16">
        <v>30.4</v>
      </c>
      <c r="C93" s="16">
        <v>4.0999999999999996</v>
      </c>
      <c r="D93" s="16">
        <f t="shared" si="1"/>
        <v>26.299999999999997</v>
      </c>
    </row>
    <row r="94" spans="1:4" x14ac:dyDescent="0.25">
      <c r="A94" s="22">
        <v>1982</v>
      </c>
      <c r="B94" s="16">
        <v>30.5</v>
      </c>
      <c r="C94" s="16">
        <v>4</v>
      </c>
      <c r="D94" s="16">
        <f t="shared" si="1"/>
        <v>26.5</v>
      </c>
    </row>
    <row r="95" spans="1:4" x14ac:dyDescent="0.25">
      <c r="A95" s="22">
        <v>1983</v>
      </c>
      <c r="B95" s="16">
        <v>30.5</v>
      </c>
      <c r="C95" s="16">
        <v>3.9</v>
      </c>
      <c r="D95" s="16">
        <f t="shared" si="1"/>
        <v>26.6</v>
      </c>
    </row>
    <row r="96" spans="1:4" x14ac:dyDescent="0.25">
      <c r="A96" s="22">
        <v>1984</v>
      </c>
      <c r="B96" s="16">
        <v>30.5</v>
      </c>
      <c r="C96" s="16">
        <v>3.9</v>
      </c>
      <c r="D96" s="16">
        <f t="shared" si="1"/>
        <v>26.6</v>
      </c>
    </row>
    <row r="97" spans="1:4" x14ac:dyDescent="0.25">
      <c r="A97" s="22">
        <v>1985</v>
      </c>
      <c r="B97" s="16">
        <v>30.4</v>
      </c>
      <c r="C97" s="16">
        <v>3.9</v>
      </c>
      <c r="D97" s="16">
        <f t="shared" si="1"/>
        <v>26.5</v>
      </c>
    </row>
    <row r="98" spans="1:4" x14ac:dyDescent="0.25">
      <c r="A98" s="22">
        <v>1986</v>
      </c>
      <c r="B98" s="16">
        <v>29.8</v>
      </c>
      <c r="C98" s="16">
        <v>3.9</v>
      </c>
      <c r="D98" s="16">
        <f t="shared" si="1"/>
        <v>25.900000000000002</v>
      </c>
    </row>
    <row r="99" spans="1:4" x14ac:dyDescent="0.25">
      <c r="A99" s="22">
        <v>1987</v>
      </c>
      <c r="B99" s="16">
        <v>29.1</v>
      </c>
      <c r="C99" s="16">
        <v>3.8</v>
      </c>
      <c r="D99" s="16">
        <f t="shared" si="1"/>
        <v>25.3</v>
      </c>
    </row>
    <row r="100" spans="1:4" x14ac:dyDescent="0.25">
      <c r="A100" s="22">
        <v>1988</v>
      </c>
      <c r="B100" s="16">
        <v>28.3</v>
      </c>
      <c r="C100" s="16">
        <v>3.8</v>
      </c>
      <c r="D100" s="16">
        <f t="shared" si="1"/>
        <v>24.5</v>
      </c>
    </row>
    <row r="101" spans="1:4" x14ac:dyDescent="0.25">
      <c r="A101" s="22">
        <v>1989</v>
      </c>
      <c r="B101" s="16">
        <v>27.5</v>
      </c>
      <c r="C101" s="16">
        <v>3.7</v>
      </c>
      <c r="D101" s="16">
        <f t="shared" si="1"/>
        <v>23.8</v>
      </c>
    </row>
    <row r="102" spans="1:4" x14ac:dyDescent="0.25">
      <c r="A102" s="22">
        <v>1990</v>
      </c>
      <c r="B102" s="16">
        <v>26.7</v>
      </c>
      <c r="C102" s="16">
        <v>3.7</v>
      </c>
      <c r="D102" s="16">
        <f t="shared" si="1"/>
        <v>23</v>
      </c>
    </row>
    <row r="103" spans="1:4" x14ac:dyDescent="0.25">
      <c r="A103" s="22">
        <v>1991</v>
      </c>
      <c r="B103" s="16">
        <v>25.7</v>
      </c>
      <c r="C103" s="16">
        <v>3.7</v>
      </c>
      <c r="D103" s="16">
        <f t="shared" si="1"/>
        <v>22</v>
      </c>
    </row>
    <row r="104" spans="1:4" x14ac:dyDescent="0.25">
      <c r="A104" s="22">
        <v>1992</v>
      </c>
      <c r="B104" s="16">
        <v>25</v>
      </c>
      <c r="C104" s="16">
        <v>3.7</v>
      </c>
      <c r="D104" s="16">
        <f t="shared" si="1"/>
        <v>21.3</v>
      </c>
    </row>
    <row r="105" spans="1:4" x14ac:dyDescent="0.25">
      <c r="A105" s="22">
        <v>1993</v>
      </c>
      <c r="B105" s="16">
        <v>24.3</v>
      </c>
      <c r="C105" s="16">
        <v>3.8</v>
      </c>
      <c r="D105" s="16">
        <f t="shared" si="1"/>
        <v>20.5</v>
      </c>
    </row>
    <row r="106" spans="1:4" x14ac:dyDescent="0.25">
      <c r="A106" s="22">
        <v>1994</v>
      </c>
      <c r="B106" s="16">
        <v>23.6</v>
      </c>
      <c r="C106" s="16">
        <v>3.8</v>
      </c>
      <c r="D106" s="16">
        <f t="shared" si="1"/>
        <v>19.8</v>
      </c>
    </row>
    <row r="107" spans="1:4" x14ac:dyDescent="0.25">
      <c r="A107" s="22">
        <v>1995</v>
      </c>
      <c r="B107" s="16">
        <v>23</v>
      </c>
      <c r="C107" s="16">
        <v>3.9</v>
      </c>
      <c r="D107" s="16">
        <f t="shared" si="1"/>
        <v>19.100000000000001</v>
      </c>
    </row>
    <row r="108" spans="1:4" x14ac:dyDescent="0.25">
      <c r="A108" s="22">
        <v>1996</v>
      </c>
      <c r="B108" s="16">
        <v>22.2</v>
      </c>
      <c r="C108" s="16">
        <v>3.9</v>
      </c>
      <c r="D108" s="16">
        <f t="shared" si="1"/>
        <v>18.3</v>
      </c>
    </row>
    <row r="109" spans="1:4" x14ac:dyDescent="0.25">
      <c r="A109" s="22">
        <v>1997</v>
      </c>
      <c r="B109" s="16">
        <v>21.5</v>
      </c>
      <c r="C109" s="16">
        <v>3.9</v>
      </c>
      <c r="D109" s="16">
        <f t="shared" si="1"/>
        <v>17.600000000000001</v>
      </c>
    </row>
    <row r="110" spans="1:4" x14ac:dyDescent="0.25">
      <c r="A110" s="22">
        <v>1998</v>
      </c>
      <c r="B110" s="16">
        <v>21</v>
      </c>
      <c r="C110" s="16">
        <v>3.9</v>
      </c>
      <c r="D110" s="16">
        <f t="shared" si="1"/>
        <v>17.100000000000001</v>
      </c>
    </row>
    <row r="111" spans="1:4" x14ac:dyDescent="0.25">
      <c r="A111" s="22">
        <v>1999</v>
      </c>
      <c r="B111" s="16">
        <v>20.7</v>
      </c>
      <c r="C111" s="16">
        <v>3.9</v>
      </c>
      <c r="D111" s="16">
        <f t="shared" si="1"/>
        <v>16.8</v>
      </c>
    </row>
    <row r="112" spans="1:4" x14ac:dyDescent="0.25">
      <c r="A112" s="22">
        <v>2000</v>
      </c>
      <c r="B112" s="16">
        <v>20.2</v>
      </c>
      <c r="C112" s="16">
        <v>3.9</v>
      </c>
      <c r="D112" s="16">
        <f t="shared" si="1"/>
        <v>16.3</v>
      </c>
    </row>
    <row r="113" spans="1:4" x14ac:dyDescent="0.25">
      <c r="A113" s="22">
        <v>2001</v>
      </c>
      <c r="B113" s="16">
        <v>19.399999999999999</v>
      </c>
      <c r="C113" s="16">
        <v>3.9</v>
      </c>
      <c r="D113" s="16">
        <f t="shared" si="1"/>
        <v>15.499999999999998</v>
      </c>
    </row>
    <row r="114" spans="1:4" x14ac:dyDescent="0.25">
      <c r="A114" s="22">
        <v>2002</v>
      </c>
      <c r="B114" s="16">
        <v>18.2</v>
      </c>
      <c r="C114" s="16">
        <v>3.9</v>
      </c>
      <c r="D114" s="16">
        <f t="shared" si="1"/>
        <v>14.299999999999999</v>
      </c>
    </row>
    <row r="115" spans="1:4" x14ac:dyDescent="0.25">
      <c r="A115" s="22">
        <v>2003</v>
      </c>
      <c r="B115" s="16">
        <v>17.600000000000001</v>
      </c>
      <c r="C115" s="16">
        <v>3.9</v>
      </c>
      <c r="D115" s="16">
        <f t="shared" si="1"/>
        <v>13.700000000000001</v>
      </c>
    </row>
    <row r="116" spans="1:4" x14ac:dyDescent="0.25">
      <c r="A116" s="22">
        <v>2004</v>
      </c>
      <c r="B116" s="16">
        <v>17.100000000000001</v>
      </c>
      <c r="C116" s="16">
        <v>3.9</v>
      </c>
      <c r="D116" s="16">
        <f t="shared" si="1"/>
        <v>13.200000000000001</v>
      </c>
    </row>
    <row r="117" spans="1:4" x14ac:dyDescent="0.25">
      <c r="A117" s="22">
        <v>2005</v>
      </c>
      <c r="B117" s="16">
        <v>17.3</v>
      </c>
      <c r="C117" s="16">
        <v>3.8</v>
      </c>
      <c r="D117" s="16">
        <f t="shared" si="1"/>
        <v>13.5</v>
      </c>
    </row>
    <row r="118" spans="1:4" x14ac:dyDescent="0.25">
      <c r="A118" s="22">
        <v>2006</v>
      </c>
      <c r="B118" s="16">
        <v>16.399999999999999</v>
      </c>
      <c r="C118" s="16">
        <v>3.9</v>
      </c>
      <c r="D118" s="16">
        <f t="shared" si="1"/>
        <v>12.499999999999998</v>
      </c>
    </row>
    <row r="119" spans="1:4" x14ac:dyDescent="0.25">
      <c r="A119" s="22">
        <v>2007</v>
      </c>
      <c r="B119" s="16">
        <v>16.600000000000001</v>
      </c>
      <c r="C119" s="16">
        <v>4</v>
      </c>
      <c r="D119" s="16">
        <f t="shared" si="1"/>
        <v>12.600000000000001</v>
      </c>
    </row>
    <row r="120" spans="1:4" x14ac:dyDescent="0.25">
      <c r="A120" s="22">
        <v>2008</v>
      </c>
      <c r="B120" s="16">
        <v>16.8</v>
      </c>
      <c r="C120" s="16">
        <v>4.0999999999999996</v>
      </c>
      <c r="D120" s="16">
        <f t="shared" si="1"/>
        <v>12.700000000000001</v>
      </c>
    </row>
    <row r="121" spans="1:4" x14ac:dyDescent="0.25">
      <c r="A121" s="22">
        <v>2009</v>
      </c>
      <c r="B121" s="16">
        <v>16.5</v>
      </c>
      <c r="C121" s="16">
        <v>4.0999999999999996</v>
      </c>
      <c r="D121" s="16">
        <f t="shared" si="1"/>
        <v>12.4</v>
      </c>
    </row>
    <row r="122" spans="1:4" x14ac:dyDescent="0.25">
      <c r="A122" s="22">
        <v>2010</v>
      </c>
      <c r="B122" s="16">
        <v>15.4</v>
      </c>
      <c r="C122" s="16">
        <v>4.3</v>
      </c>
      <c r="D122" s="16">
        <f t="shared" si="1"/>
        <v>11.100000000000001</v>
      </c>
    </row>
    <row r="123" spans="1:4" x14ac:dyDescent="0.25">
      <c r="A123" s="22">
        <v>2011</v>
      </c>
      <c r="B123" s="16">
        <v>15.8</v>
      </c>
      <c r="C123" s="16">
        <v>4.3</v>
      </c>
      <c r="D123" s="16">
        <f t="shared" si="1"/>
        <v>11.5</v>
      </c>
    </row>
    <row r="124" spans="1:4" x14ac:dyDescent="0.25">
      <c r="A124" s="22">
        <v>2012</v>
      </c>
      <c r="B124" s="16">
        <v>15.5</v>
      </c>
      <c r="C124" s="16">
        <v>4.3</v>
      </c>
      <c r="D124" s="16">
        <f t="shared" si="1"/>
        <v>11.2</v>
      </c>
    </row>
    <row r="125" spans="1:4" x14ac:dyDescent="0.25">
      <c r="A125" s="22">
        <v>2013</v>
      </c>
      <c r="B125" s="16">
        <v>14.8</v>
      </c>
      <c r="C125" s="16">
        <v>4.3</v>
      </c>
      <c r="D125" s="16">
        <f t="shared" si="1"/>
        <v>10.5</v>
      </c>
    </row>
    <row r="126" spans="1:4" x14ac:dyDescent="0.25">
      <c r="A126" s="22">
        <v>2014</v>
      </c>
      <c r="B126" s="16">
        <v>14.8</v>
      </c>
      <c r="C126" s="16">
        <v>4.5</v>
      </c>
      <c r="D126" s="16">
        <f t="shared" si="1"/>
        <v>10.3</v>
      </c>
    </row>
    <row r="127" spans="1:4" x14ac:dyDescent="0.25">
      <c r="A127" s="22">
        <v>2015</v>
      </c>
      <c r="B127" s="16">
        <v>14.7</v>
      </c>
      <c r="C127" s="16">
        <v>4.5</v>
      </c>
      <c r="D127" s="16">
        <f t="shared" si="1"/>
        <v>10.199999999999999</v>
      </c>
    </row>
    <row r="128" spans="1:4" x14ac:dyDescent="0.25">
      <c r="A128" s="22">
        <v>2016</v>
      </c>
      <c r="B128" s="16">
        <v>14.2</v>
      </c>
      <c r="C128" s="16">
        <v>4.8</v>
      </c>
      <c r="D128" s="16">
        <f t="shared" si="1"/>
        <v>9.3999999999999986</v>
      </c>
    </row>
    <row r="129" spans="1:4" x14ac:dyDescent="0.25">
      <c r="A129" s="22">
        <v>2017</v>
      </c>
      <c r="B129" s="16">
        <v>13.8</v>
      </c>
      <c r="C129" s="16">
        <v>5</v>
      </c>
      <c r="D129" s="16">
        <f t="shared" si="1"/>
        <v>8.8000000000000007</v>
      </c>
    </row>
    <row r="130" spans="1:4" x14ac:dyDescent="0.25">
      <c r="A130" s="22">
        <v>2018</v>
      </c>
      <c r="B130" s="16">
        <v>13.6</v>
      </c>
      <c r="C130" s="16">
        <v>5.0999999999999996</v>
      </c>
      <c r="D130" s="16">
        <f t="shared" si="1"/>
        <v>8.5</v>
      </c>
    </row>
    <row r="131" spans="1:4" x14ac:dyDescent="0.25">
      <c r="A131" s="22">
        <v>2019</v>
      </c>
      <c r="B131" s="16">
        <v>12.7</v>
      </c>
      <c r="C131" s="16">
        <v>5.0999999999999996</v>
      </c>
      <c r="D131" s="16">
        <f t="shared" ref="D131:D135" si="2">B131-C131</f>
        <v>7.6</v>
      </c>
    </row>
    <row r="132" spans="1:4" x14ac:dyDescent="0.25">
      <c r="A132" s="22">
        <v>2020</v>
      </c>
      <c r="B132" s="16">
        <v>11.4</v>
      </c>
      <c r="C132" s="16">
        <v>5.6</v>
      </c>
      <c r="D132" s="16">
        <f t="shared" si="2"/>
        <v>5.8000000000000007</v>
      </c>
    </row>
    <row r="133" spans="1:4" x14ac:dyDescent="0.25">
      <c r="A133" s="22">
        <v>2021</v>
      </c>
      <c r="B133" s="16">
        <v>10.5</v>
      </c>
      <c r="C133" s="16">
        <v>6.6</v>
      </c>
      <c r="D133" s="16">
        <f t="shared" si="2"/>
        <v>3.9000000000000004</v>
      </c>
    </row>
    <row r="134" spans="1:4" x14ac:dyDescent="0.25">
      <c r="A134" s="22">
        <v>2022</v>
      </c>
      <c r="B134" s="16">
        <v>10.3</v>
      </c>
      <c r="C134" s="16">
        <v>6.1</v>
      </c>
      <c r="D134" s="16">
        <f t="shared" si="2"/>
        <v>4.2000000000000011</v>
      </c>
    </row>
    <row r="135" spans="1:4" x14ac:dyDescent="0.25">
      <c r="A135" s="22">
        <v>2023</v>
      </c>
      <c r="B135" s="16">
        <v>10.199999999999999</v>
      </c>
      <c r="C135" s="16">
        <v>5.5</v>
      </c>
      <c r="D135" s="16">
        <f t="shared" si="2"/>
        <v>4.6999999999999993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F43" sqref="AF4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1900</v>
      </c>
      <c r="B2" s="16">
        <v>43.8</v>
      </c>
      <c r="C2" s="16">
        <v>23.7</v>
      </c>
      <c r="D2" s="16">
        <f>B2-C2</f>
        <v>20.099999999999998</v>
      </c>
    </row>
    <row r="3" spans="1:4" x14ac:dyDescent="0.25">
      <c r="A3" s="22">
        <v>1901</v>
      </c>
      <c r="B3" s="16">
        <v>44</v>
      </c>
      <c r="C3" s="16">
        <v>23.7</v>
      </c>
      <c r="D3" s="16">
        <f t="shared" ref="D3:D66" si="0">B3-C3</f>
        <v>20.3</v>
      </c>
    </row>
    <row r="4" spans="1:4" x14ac:dyDescent="0.25">
      <c r="A4" s="22">
        <v>1902</v>
      </c>
      <c r="B4" s="16">
        <v>44.4</v>
      </c>
      <c r="C4" s="16">
        <v>23.7</v>
      </c>
      <c r="D4" s="16">
        <f t="shared" si="0"/>
        <v>20.7</v>
      </c>
    </row>
    <row r="5" spans="1:4" x14ac:dyDescent="0.25">
      <c r="A5" s="22">
        <v>1903</v>
      </c>
      <c r="B5" s="16">
        <v>45</v>
      </c>
      <c r="C5" s="16">
        <v>23.7</v>
      </c>
      <c r="D5" s="16">
        <f t="shared" si="0"/>
        <v>21.3</v>
      </c>
    </row>
    <row r="6" spans="1:4" x14ac:dyDescent="0.25">
      <c r="A6" s="22">
        <v>1904</v>
      </c>
      <c r="B6" s="16">
        <v>45.8</v>
      </c>
      <c r="C6" s="16">
        <v>23.8</v>
      </c>
      <c r="D6" s="16">
        <f t="shared" si="0"/>
        <v>21.999999999999996</v>
      </c>
    </row>
    <row r="7" spans="1:4" x14ac:dyDescent="0.25">
      <c r="A7" s="22">
        <v>1905</v>
      </c>
      <c r="B7" s="16">
        <v>46.8</v>
      </c>
      <c r="C7" s="16">
        <v>23.8</v>
      </c>
      <c r="D7" s="16">
        <f t="shared" si="0"/>
        <v>22.999999999999996</v>
      </c>
    </row>
    <row r="8" spans="1:4" x14ac:dyDescent="0.25">
      <c r="A8" s="22">
        <v>1906</v>
      </c>
      <c r="B8" s="16">
        <v>47.5</v>
      </c>
      <c r="C8" s="16">
        <v>23.7</v>
      </c>
      <c r="D8" s="16">
        <f t="shared" si="0"/>
        <v>23.8</v>
      </c>
    </row>
    <row r="9" spans="1:4" x14ac:dyDescent="0.25">
      <c r="A9" s="22">
        <v>1907</v>
      </c>
      <c r="B9" s="16">
        <v>47.8</v>
      </c>
      <c r="C9" s="16">
        <v>23.5</v>
      </c>
      <c r="D9" s="16">
        <f t="shared" si="0"/>
        <v>24.299999999999997</v>
      </c>
    </row>
    <row r="10" spans="1:4" x14ac:dyDescent="0.25">
      <c r="A10" s="22">
        <v>1908</v>
      </c>
      <c r="B10" s="16">
        <v>47.7</v>
      </c>
      <c r="C10" s="16">
        <v>23.1</v>
      </c>
      <c r="D10" s="16">
        <f t="shared" si="0"/>
        <v>24.6</v>
      </c>
    </row>
    <row r="11" spans="1:4" x14ac:dyDescent="0.25">
      <c r="A11" s="22">
        <v>1909</v>
      </c>
      <c r="B11" s="16">
        <v>47.2</v>
      </c>
      <c r="C11" s="16">
        <v>22.5</v>
      </c>
      <c r="D11" s="16">
        <f t="shared" si="0"/>
        <v>24.700000000000003</v>
      </c>
    </row>
    <row r="12" spans="1:4" x14ac:dyDescent="0.25">
      <c r="A12" s="22">
        <v>1910</v>
      </c>
      <c r="B12" s="16">
        <v>46.4</v>
      </c>
      <c r="C12" s="16">
        <v>21.8</v>
      </c>
      <c r="D12" s="16">
        <f t="shared" si="0"/>
        <v>24.599999999999998</v>
      </c>
    </row>
    <row r="13" spans="1:4" x14ac:dyDescent="0.25">
      <c r="A13" s="22">
        <v>1911</v>
      </c>
      <c r="B13" s="16">
        <v>45.6</v>
      </c>
      <c r="C13" s="16">
        <v>21.3</v>
      </c>
      <c r="D13" s="16">
        <f t="shared" si="0"/>
        <v>24.3</v>
      </c>
    </row>
    <row r="14" spans="1:4" x14ac:dyDescent="0.25">
      <c r="A14" s="22">
        <v>1912</v>
      </c>
      <c r="B14" s="16">
        <v>44.7</v>
      </c>
      <c r="C14" s="16">
        <v>21.1</v>
      </c>
      <c r="D14" s="16">
        <f t="shared" si="0"/>
        <v>23.6</v>
      </c>
    </row>
    <row r="15" spans="1:4" x14ac:dyDescent="0.25">
      <c r="A15" s="22">
        <v>1913</v>
      </c>
      <c r="B15" s="16">
        <v>43.9</v>
      </c>
      <c r="C15" s="16">
        <v>21.2</v>
      </c>
      <c r="D15" s="16">
        <f t="shared" si="0"/>
        <v>22.7</v>
      </c>
    </row>
    <row r="16" spans="1:4" x14ac:dyDescent="0.25">
      <c r="A16" s="22">
        <v>1914</v>
      </c>
      <c r="B16" s="16">
        <v>43.1</v>
      </c>
      <c r="C16" s="16">
        <v>21.5</v>
      </c>
      <c r="D16" s="16">
        <f t="shared" si="0"/>
        <v>21.6</v>
      </c>
    </row>
    <row r="17" spans="1:4" x14ac:dyDescent="0.25">
      <c r="A17" s="22">
        <v>1915</v>
      </c>
      <c r="B17" s="16">
        <v>42.3</v>
      </c>
      <c r="C17" s="16">
        <v>22.1</v>
      </c>
      <c r="D17" s="16">
        <f t="shared" si="0"/>
        <v>20.199999999999996</v>
      </c>
    </row>
    <row r="18" spans="1:4" x14ac:dyDescent="0.25">
      <c r="A18" s="22">
        <v>1916</v>
      </c>
      <c r="B18" s="16">
        <v>41.5</v>
      </c>
      <c r="C18" s="16">
        <v>22.4</v>
      </c>
      <c r="D18" s="16">
        <f t="shared" si="0"/>
        <v>19.100000000000001</v>
      </c>
    </row>
    <row r="19" spans="1:4" x14ac:dyDescent="0.25">
      <c r="A19" s="22">
        <v>1917</v>
      </c>
      <c r="B19" s="16">
        <v>40.700000000000003</v>
      </c>
      <c r="C19" s="16">
        <v>22.5</v>
      </c>
      <c r="D19" s="16">
        <f t="shared" si="0"/>
        <v>18.200000000000003</v>
      </c>
    </row>
    <row r="20" spans="1:4" x14ac:dyDescent="0.25">
      <c r="A20" s="22">
        <v>1918</v>
      </c>
      <c r="B20" s="16">
        <v>39.9</v>
      </c>
      <c r="C20" s="16">
        <v>22.2</v>
      </c>
      <c r="D20" s="16">
        <f t="shared" si="0"/>
        <v>17.7</v>
      </c>
    </row>
    <row r="21" spans="1:4" x14ac:dyDescent="0.25">
      <c r="A21" s="22">
        <v>1919</v>
      </c>
      <c r="B21" s="16">
        <v>39.200000000000003</v>
      </c>
      <c r="C21" s="16">
        <v>21.8</v>
      </c>
      <c r="D21" s="16">
        <f t="shared" si="0"/>
        <v>17.400000000000002</v>
      </c>
    </row>
    <row r="22" spans="1:4" x14ac:dyDescent="0.25">
      <c r="A22" s="22">
        <v>1920</v>
      </c>
      <c r="B22" s="16">
        <v>38.4</v>
      </c>
      <c r="C22" s="16">
        <v>21</v>
      </c>
      <c r="D22" s="16">
        <f t="shared" si="0"/>
        <v>17.399999999999999</v>
      </c>
    </row>
    <row r="23" spans="1:4" x14ac:dyDescent="0.25">
      <c r="A23" s="22">
        <v>1921</v>
      </c>
      <c r="B23" s="16">
        <v>37.6</v>
      </c>
      <c r="C23" s="16">
        <v>20.2</v>
      </c>
      <c r="D23" s="16">
        <f t="shared" si="0"/>
        <v>17.400000000000002</v>
      </c>
    </row>
    <row r="24" spans="1:4" x14ac:dyDescent="0.25">
      <c r="A24" s="22">
        <v>1922</v>
      </c>
      <c r="B24" s="16">
        <v>36.799999999999997</v>
      </c>
      <c r="C24" s="16">
        <v>19.399999999999999</v>
      </c>
      <c r="D24" s="16">
        <f t="shared" si="0"/>
        <v>17.399999999999999</v>
      </c>
    </row>
    <row r="25" spans="1:4" x14ac:dyDescent="0.25">
      <c r="A25" s="22">
        <v>1923</v>
      </c>
      <c r="B25" s="16">
        <v>35.9</v>
      </c>
      <c r="C25" s="16">
        <v>18.5</v>
      </c>
      <c r="D25" s="16">
        <f t="shared" si="0"/>
        <v>17.399999999999999</v>
      </c>
    </row>
    <row r="26" spans="1:4" x14ac:dyDescent="0.25">
      <c r="A26" s="22">
        <v>1924</v>
      </c>
      <c r="B26" s="16">
        <v>35</v>
      </c>
      <c r="C26" s="16">
        <v>17.600000000000001</v>
      </c>
      <c r="D26" s="16">
        <f t="shared" si="0"/>
        <v>17.399999999999999</v>
      </c>
    </row>
    <row r="27" spans="1:4" x14ac:dyDescent="0.25">
      <c r="A27" s="22">
        <v>1925</v>
      </c>
      <c r="B27" s="16">
        <v>34.200000000000003</v>
      </c>
      <c r="C27" s="16">
        <v>16.600000000000001</v>
      </c>
      <c r="D27" s="16">
        <f t="shared" si="0"/>
        <v>17.600000000000001</v>
      </c>
    </row>
    <row r="28" spans="1:4" x14ac:dyDescent="0.25">
      <c r="A28" s="22">
        <v>1926</v>
      </c>
      <c r="B28" s="16">
        <v>33.4</v>
      </c>
      <c r="C28" s="16">
        <v>15.8</v>
      </c>
      <c r="D28" s="16">
        <f t="shared" si="0"/>
        <v>17.599999999999998</v>
      </c>
    </row>
    <row r="29" spans="1:4" x14ac:dyDescent="0.25">
      <c r="A29" s="22">
        <v>1927</v>
      </c>
      <c r="B29" s="16">
        <v>32.799999999999997</v>
      </c>
      <c r="C29" s="16">
        <v>15.1</v>
      </c>
      <c r="D29" s="16">
        <f t="shared" si="0"/>
        <v>17.699999999999996</v>
      </c>
    </row>
    <row r="30" spans="1:4" x14ac:dyDescent="0.25">
      <c r="A30" s="22">
        <v>1928</v>
      </c>
      <c r="B30" s="16">
        <v>32.299999999999997</v>
      </c>
      <c r="C30" s="16">
        <v>14.5</v>
      </c>
      <c r="D30" s="16">
        <f t="shared" si="0"/>
        <v>17.799999999999997</v>
      </c>
    </row>
    <row r="31" spans="1:4" x14ac:dyDescent="0.25">
      <c r="A31" s="22">
        <v>1929</v>
      </c>
      <c r="B31" s="16">
        <v>32</v>
      </c>
      <c r="C31" s="16">
        <v>14.1</v>
      </c>
      <c r="D31" s="16">
        <f t="shared" si="0"/>
        <v>17.899999999999999</v>
      </c>
    </row>
    <row r="32" spans="1:4" x14ac:dyDescent="0.25">
      <c r="A32" s="22">
        <v>1930</v>
      </c>
      <c r="B32" s="16">
        <v>31.7</v>
      </c>
      <c r="C32" s="16">
        <v>13.7</v>
      </c>
      <c r="D32" s="16">
        <f t="shared" si="0"/>
        <v>18</v>
      </c>
    </row>
    <row r="33" spans="1:4" x14ac:dyDescent="0.25">
      <c r="A33" s="22">
        <v>1931</v>
      </c>
      <c r="B33" s="16">
        <v>31.5</v>
      </c>
      <c r="C33" s="16">
        <v>13.4</v>
      </c>
      <c r="D33" s="16">
        <f t="shared" si="0"/>
        <v>18.100000000000001</v>
      </c>
    </row>
    <row r="34" spans="1:4" x14ac:dyDescent="0.25">
      <c r="A34" s="22">
        <v>1932</v>
      </c>
      <c r="B34" s="16">
        <v>31.3</v>
      </c>
      <c r="C34" s="16">
        <v>13.2</v>
      </c>
      <c r="D34" s="16">
        <f t="shared" si="0"/>
        <v>18.100000000000001</v>
      </c>
    </row>
    <row r="35" spans="1:4" x14ac:dyDescent="0.25">
      <c r="A35" s="22">
        <v>1933</v>
      </c>
      <c r="B35" s="16">
        <v>31.1</v>
      </c>
      <c r="C35" s="16">
        <v>13.1</v>
      </c>
      <c r="D35" s="16">
        <f t="shared" si="0"/>
        <v>18</v>
      </c>
    </row>
    <row r="36" spans="1:4" x14ac:dyDescent="0.25">
      <c r="A36" s="22">
        <v>1934</v>
      </c>
      <c r="B36" s="16">
        <v>30.9</v>
      </c>
      <c r="C36" s="16">
        <v>13</v>
      </c>
      <c r="D36" s="16">
        <f t="shared" si="0"/>
        <v>17.899999999999999</v>
      </c>
    </row>
    <row r="37" spans="1:4" x14ac:dyDescent="0.25">
      <c r="A37" s="22">
        <v>1935</v>
      </c>
      <c r="B37" s="16">
        <v>30.7</v>
      </c>
      <c r="C37" s="16">
        <v>13</v>
      </c>
      <c r="D37" s="16">
        <f t="shared" si="0"/>
        <v>17.7</v>
      </c>
    </row>
    <row r="38" spans="1:4" x14ac:dyDescent="0.25">
      <c r="A38" s="22">
        <v>1936</v>
      </c>
      <c r="B38" s="16">
        <v>30.7</v>
      </c>
      <c r="C38" s="16">
        <v>12.9</v>
      </c>
      <c r="D38" s="16">
        <f t="shared" si="0"/>
        <v>17.799999999999997</v>
      </c>
    </row>
    <row r="39" spans="1:4" x14ac:dyDescent="0.25">
      <c r="A39" s="22">
        <v>1937</v>
      </c>
      <c r="B39" s="16">
        <v>30.8</v>
      </c>
      <c r="C39" s="16">
        <v>12.8</v>
      </c>
      <c r="D39" s="16">
        <f t="shared" si="0"/>
        <v>18</v>
      </c>
    </row>
    <row r="40" spans="1:4" x14ac:dyDescent="0.25">
      <c r="A40" s="22">
        <v>1938</v>
      </c>
      <c r="B40" s="16">
        <v>31</v>
      </c>
      <c r="C40" s="16">
        <v>12.5</v>
      </c>
      <c r="D40" s="16">
        <f t="shared" si="0"/>
        <v>18.5</v>
      </c>
    </row>
    <row r="41" spans="1:4" x14ac:dyDescent="0.25">
      <c r="A41" s="22">
        <v>1939</v>
      </c>
      <c r="B41" s="16">
        <v>31.3</v>
      </c>
      <c r="C41" s="16">
        <v>12.2</v>
      </c>
      <c r="D41" s="16">
        <f t="shared" si="0"/>
        <v>19.100000000000001</v>
      </c>
    </row>
    <row r="42" spans="1:4" x14ac:dyDescent="0.25">
      <c r="A42" s="22">
        <v>1940</v>
      </c>
      <c r="B42" s="16">
        <v>31.8</v>
      </c>
      <c r="C42" s="16">
        <v>11.8</v>
      </c>
      <c r="D42" s="16">
        <f t="shared" si="0"/>
        <v>20</v>
      </c>
    </row>
    <row r="43" spans="1:4" x14ac:dyDescent="0.25">
      <c r="A43" s="22">
        <v>1941</v>
      </c>
      <c r="B43" s="16">
        <v>32.1</v>
      </c>
      <c r="C43" s="16">
        <v>11.4</v>
      </c>
      <c r="D43" s="16">
        <f t="shared" si="0"/>
        <v>20.700000000000003</v>
      </c>
    </row>
    <row r="44" spans="1:4" x14ac:dyDescent="0.25">
      <c r="A44" s="22">
        <v>1942</v>
      </c>
      <c r="B44" s="16">
        <v>32.1</v>
      </c>
      <c r="C44" s="16">
        <v>11</v>
      </c>
      <c r="D44" s="16">
        <f t="shared" si="0"/>
        <v>21.1</v>
      </c>
    </row>
    <row r="45" spans="1:4" x14ac:dyDescent="0.25">
      <c r="A45" s="22">
        <v>1943</v>
      </c>
      <c r="B45" s="16">
        <v>31.9</v>
      </c>
      <c r="C45" s="16">
        <v>10.5</v>
      </c>
      <c r="D45" s="16">
        <f t="shared" si="0"/>
        <v>21.4</v>
      </c>
    </row>
    <row r="46" spans="1:4" x14ac:dyDescent="0.25">
      <c r="A46" s="22">
        <v>1944</v>
      </c>
      <c r="B46" s="16">
        <v>31.5</v>
      </c>
      <c r="C46" s="16">
        <v>9.9</v>
      </c>
      <c r="D46" s="16">
        <f t="shared" si="0"/>
        <v>21.6</v>
      </c>
    </row>
    <row r="47" spans="1:4" x14ac:dyDescent="0.25">
      <c r="A47" s="22">
        <v>1945</v>
      </c>
      <c r="B47" s="16">
        <v>30.8</v>
      </c>
      <c r="C47" s="16">
        <v>9.4</v>
      </c>
      <c r="D47" s="16">
        <f t="shared" si="0"/>
        <v>21.4</v>
      </c>
    </row>
    <row r="48" spans="1:4" x14ac:dyDescent="0.25">
      <c r="A48" s="22">
        <v>1946</v>
      </c>
      <c r="B48" s="16">
        <v>30.3</v>
      </c>
      <c r="C48" s="16">
        <v>8.9</v>
      </c>
      <c r="D48" s="16">
        <f t="shared" si="0"/>
        <v>21.4</v>
      </c>
    </row>
    <row r="49" spans="1:4" x14ac:dyDescent="0.25">
      <c r="A49" s="22">
        <v>1947</v>
      </c>
      <c r="B49" s="16">
        <v>29.9</v>
      </c>
      <c r="C49" s="16">
        <v>8.6</v>
      </c>
      <c r="D49" s="16">
        <f t="shared" si="0"/>
        <v>21.299999999999997</v>
      </c>
    </row>
    <row r="50" spans="1:4" x14ac:dyDescent="0.25">
      <c r="A50" s="22">
        <v>1948</v>
      </c>
      <c r="B50" s="16">
        <v>29.6</v>
      </c>
      <c r="C50" s="16">
        <v>8.4</v>
      </c>
      <c r="D50" s="16">
        <f t="shared" si="0"/>
        <v>21.200000000000003</v>
      </c>
    </row>
    <row r="51" spans="1:4" x14ac:dyDescent="0.25">
      <c r="A51" s="22">
        <v>1949</v>
      </c>
      <c r="B51" s="16">
        <v>29.5</v>
      </c>
      <c r="C51" s="16">
        <v>8.3000000000000007</v>
      </c>
      <c r="D51" s="16">
        <f t="shared" si="0"/>
        <v>21.2</v>
      </c>
    </row>
    <row r="52" spans="1:4" x14ac:dyDescent="0.25">
      <c r="A52" s="22">
        <v>1950</v>
      </c>
      <c r="B52" s="16">
        <v>32.1</v>
      </c>
      <c r="C52" s="16">
        <v>11.2</v>
      </c>
      <c r="D52" s="16">
        <f t="shared" si="0"/>
        <v>20.900000000000002</v>
      </c>
    </row>
    <row r="53" spans="1:4" x14ac:dyDescent="0.25">
      <c r="A53" s="22">
        <v>1951</v>
      </c>
      <c r="B53" s="16">
        <v>31.4</v>
      </c>
      <c r="C53" s="16">
        <v>10.9</v>
      </c>
      <c r="D53" s="16">
        <f t="shared" si="0"/>
        <v>20.5</v>
      </c>
    </row>
    <row r="54" spans="1:4" x14ac:dyDescent="0.25">
      <c r="A54" s="22">
        <v>1952</v>
      </c>
      <c r="B54" s="16">
        <v>31.3</v>
      </c>
      <c r="C54" s="16">
        <v>10.5</v>
      </c>
      <c r="D54" s="16">
        <f t="shared" si="0"/>
        <v>20.8</v>
      </c>
    </row>
    <row r="55" spans="1:4" x14ac:dyDescent="0.25">
      <c r="A55" s="22">
        <v>1953</v>
      </c>
      <c r="B55" s="16">
        <v>31.2</v>
      </c>
      <c r="C55" s="16">
        <v>10.3</v>
      </c>
      <c r="D55" s="16">
        <f t="shared" si="0"/>
        <v>20.9</v>
      </c>
    </row>
    <row r="56" spans="1:4" x14ac:dyDescent="0.25">
      <c r="A56" s="22">
        <v>1954</v>
      </c>
      <c r="B56" s="16">
        <v>31.2</v>
      </c>
      <c r="C56" s="16">
        <v>10</v>
      </c>
      <c r="D56" s="16">
        <f t="shared" si="0"/>
        <v>21.2</v>
      </c>
    </row>
    <row r="57" spans="1:4" x14ac:dyDescent="0.25">
      <c r="A57" s="22">
        <v>1955</v>
      </c>
      <c r="B57" s="16">
        <v>31.1</v>
      </c>
      <c r="C57" s="16">
        <v>9.8000000000000007</v>
      </c>
      <c r="D57" s="16">
        <f t="shared" si="0"/>
        <v>21.3</v>
      </c>
    </row>
    <row r="58" spans="1:4" x14ac:dyDescent="0.25">
      <c r="A58" s="22">
        <v>1956</v>
      </c>
      <c r="B58" s="16">
        <v>31.1</v>
      </c>
      <c r="C58" s="16">
        <v>9.6</v>
      </c>
      <c r="D58" s="16">
        <f t="shared" si="0"/>
        <v>21.5</v>
      </c>
    </row>
    <row r="59" spans="1:4" x14ac:dyDescent="0.25">
      <c r="A59" s="22">
        <v>1957</v>
      </c>
      <c r="B59" s="16">
        <v>31.1</v>
      </c>
      <c r="C59" s="16">
        <v>9.4</v>
      </c>
      <c r="D59" s="16">
        <f t="shared" si="0"/>
        <v>21.700000000000003</v>
      </c>
    </row>
    <row r="60" spans="1:4" x14ac:dyDescent="0.25">
      <c r="A60" s="22">
        <v>1958</v>
      </c>
      <c r="B60" s="16">
        <v>31.2</v>
      </c>
      <c r="C60" s="16">
        <v>9.1999999999999993</v>
      </c>
      <c r="D60" s="16">
        <f t="shared" si="0"/>
        <v>22</v>
      </c>
    </row>
    <row r="61" spans="1:4" x14ac:dyDescent="0.25">
      <c r="A61" s="22">
        <v>1959</v>
      </c>
      <c r="B61" s="16">
        <v>31.9</v>
      </c>
      <c r="C61" s="16">
        <v>9.1</v>
      </c>
      <c r="D61" s="16">
        <f t="shared" si="0"/>
        <v>22.799999999999997</v>
      </c>
    </row>
    <row r="62" spans="1:4" x14ac:dyDescent="0.25">
      <c r="A62" s="22">
        <v>1960</v>
      </c>
      <c r="B62" s="16">
        <v>32.799999999999997</v>
      </c>
      <c r="C62" s="16">
        <v>8.9</v>
      </c>
      <c r="D62" s="16">
        <f t="shared" si="0"/>
        <v>23.9</v>
      </c>
    </row>
    <row r="63" spans="1:4" x14ac:dyDescent="0.25">
      <c r="A63" s="22">
        <v>1961</v>
      </c>
      <c r="B63" s="16">
        <v>33.700000000000003</v>
      </c>
      <c r="C63" s="16">
        <v>8.8000000000000007</v>
      </c>
      <c r="D63" s="16">
        <f t="shared" si="0"/>
        <v>24.900000000000002</v>
      </c>
    </row>
    <row r="64" spans="1:4" x14ac:dyDescent="0.25">
      <c r="A64" s="22">
        <v>1962</v>
      </c>
      <c r="B64" s="16">
        <v>34.6</v>
      </c>
      <c r="C64" s="16">
        <v>8.6</v>
      </c>
      <c r="D64" s="16">
        <f t="shared" si="0"/>
        <v>26</v>
      </c>
    </row>
    <row r="65" spans="1:4" x14ac:dyDescent="0.25">
      <c r="A65" s="22">
        <v>1963</v>
      </c>
      <c r="B65" s="16">
        <v>35.4</v>
      </c>
      <c r="C65" s="16">
        <v>8.6</v>
      </c>
      <c r="D65" s="16">
        <f t="shared" si="0"/>
        <v>26.799999999999997</v>
      </c>
    </row>
    <row r="66" spans="1:4" x14ac:dyDescent="0.25">
      <c r="A66" s="22">
        <v>1964</v>
      </c>
      <c r="B66" s="16">
        <v>34.9</v>
      </c>
      <c r="C66" s="16">
        <v>8.3000000000000007</v>
      </c>
      <c r="D66" s="16">
        <f t="shared" si="0"/>
        <v>26.599999999999998</v>
      </c>
    </row>
    <row r="67" spans="1:4" x14ac:dyDescent="0.25">
      <c r="A67" s="22">
        <v>1965</v>
      </c>
      <c r="B67" s="16">
        <v>34.4</v>
      </c>
      <c r="C67" s="16">
        <v>8.1</v>
      </c>
      <c r="D67" s="16">
        <f t="shared" ref="D67:D125" si="1">B67-C67</f>
        <v>26.299999999999997</v>
      </c>
    </row>
    <row r="68" spans="1:4" x14ac:dyDescent="0.25">
      <c r="A68" s="22">
        <v>1966</v>
      </c>
      <c r="B68" s="16">
        <v>33.4</v>
      </c>
      <c r="C68" s="16">
        <v>7.9</v>
      </c>
      <c r="D68" s="16">
        <f t="shared" si="1"/>
        <v>25.5</v>
      </c>
    </row>
    <row r="69" spans="1:4" x14ac:dyDescent="0.25">
      <c r="A69" s="22">
        <v>1967</v>
      </c>
      <c r="B69" s="16">
        <v>32.5</v>
      </c>
      <c r="C69" s="16">
        <v>7.7</v>
      </c>
      <c r="D69" s="16">
        <f t="shared" si="1"/>
        <v>24.8</v>
      </c>
    </row>
    <row r="70" spans="1:4" x14ac:dyDescent="0.25">
      <c r="A70" s="22">
        <v>1968</v>
      </c>
      <c r="B70" s="16">
        <v>31.6</v>
      </c>
      <c r="C70" s="16">
        <v>7.5</v>
      </c>
      <c r="D70" s="16">
        <f t="shared" si="1"/>
        <v>24.1</v>
      </c>
    </row>
    <row r="71" spans="1:4" x14ac:dyDescent="0.25">
      <c r="A71" s="22">
        <v>1969</v>
      </c>
      <c r="B71" s="16">
        <v>31</v>
      </c>
      <c r="C71" s="16">
        <v>7.3</v>
      </c>
      <c r="D71" s="16">
        <f t="shared" si="1"/>
        <v>23.7</v>
      </c>
    </row>
    <row r="72" spans="1:4" x14ac:dyDescent="0.25">
      <c r="A72" s="22">
        <v>1970</v>
      </c>
      <c r="B72" s="16">
        <v>29.9</v>
      </c>
      <c r="C72" s="16">
        <v>7</v>
      </c>
      <c r="D72" s="16">
        <f t="shared" si="1"/>
        <v>22.9</v>
      </c>
    </row>
    <row r="73" spans="1:4" x14ac:dyDescent="0.25">
      <c r="A73" s="22">
        <v>1971</v>
      </c>
      <c r="B73" s="16">
        <v>28.5</v>
      </c>
      <c r="C73" s="16">
        <v>6.8</v>
      </c>
      <c r="D73" s="16">
        <f t="shared" si="1"/>
        <v>21.7</v>
      </c>
    </row>
    <row r="74" spans="1:4" x14ac:dyDescent="0.25">
      <c r="A74" s="22">
        <v>1972</v>
      </c>
      <c r="B74" s="16">
        <v>27.2</v>
      </c>
      <c r="C74" s="16">
        <v>6.7</v>
      </c>
      <c r="D74" s="16">
        <f t="shared" si="1"/>
        <v>20.5</v>
      </c>
    </row>
    <row r="75" spans="1:4" x14ac:dyDescent="0.25">
      <c r="A75" s="22">
        <v>1973</v>
      </c>
      <c r="B75" s="16">
        <v>25.8</v>
      </c>
      <c r="C75" s="16">
        <v>6.6</v>
      </c>
      <c r="D75" s="16">
        <f t="shared" si="1"/>
        <v>19.200000000000003</v>
      </c>
    </row>
    <row r="76" spans="1:4" x14ac:dyDescent="0.25">
      <c r="A76" s="22">
        <v>1974</v>
      </c>
      <c r="B76" s="16">
        <v>24.1</v>
      </c>
      <c r="C76" s="16">
        <v>6.5</v>
      </c>
      <c r="D76" s="16">
        <f t="shared" si="1"/>
        <v>17.600000000000001</v>
      </c>
    </row>
    <row r="77" spans="1:4" x14ac:dyDescent="0.25">
      <c r="A77" s="22">
        <v>1975</v>
      </c>
      <c r="B77" s="16">
        <v>21.6</v>
      </c>
      <c r="C77" s="16">
        <v>6.4</v>
      </c>
      <c r="D77" s="16">
        <f t="shared" si="1"/>
        <v>15.200000000000001</v>
      </c>
    </row>
    <row r="78" spans="1:4" x14ac:dyDescent="0.25">
      <c r="A78" s="22">
        <v>1976</v>
      </c>
      <c r="B78" s="16">
        <v>19.399999999999999</v>
      </c>
      <c r="C78" s="16">
        <v>6.3</v>
      </c>
      <c r="D78" s="16">
        <f t="shared" si="1"/>
        <v>13.099999999999998</v>
      </c>
    </row>
    <row r="79" spans="1:4" x14ac:dyDescent="0.25">
      <c r="A79" s="22">
        <v>1977</v>
      </c>
      <c r="B79" s="16">
        <v>17.3</v>
      </c>
      <c r="C79" s="16">
        <v>6.2</v>
      </c>
      <c r="D79" s="16">
        <f t="shared" si="1"/>
        <v>11.100000000000001</v>
      </c>
    </row>
    <row r="80" spans="1:4" x14ac:dyDescent="0.25">
      <c r="A80" s="22">
        <v>1978</v>
      </c>
      <c r="B80" s="16">
        <v>15.1</v>
      </c>
      <c r="C80" s="16">
        <v>6.2</v>
      </c>
      <c r="D80" s="16">
        <f t="shared" si="1"/>
        <v>8.8999999999999986</v>
      </c>
    </row>
    <row r="81" spans="1:4" x14ac:dyDescent="0.25">
      <c r="A81" s="22">
        <v>1979</v>
      </c>
      <c r="B81" s="16">
        <v>14.6</v>
      </c>
      <c r="C81" s="16">
        <v>6.3</v>
      </c>
      <c r="D81" s="16">
        <f t="shared" si="1"/>
        <v>8.3000000000000007</v>
      </c>
    </row>
    <row r="82" spans="1:4" x14ac:dyDescent="0.25">
      <c r="A82" s="22">
        <v>1980</v>
      </c>
      <c r="B82" s="16">
        <v>13.9</v>
      </c>
      <c r="C82" s="16">
        <v>6.3</v>
      </c>
      <c r="D82" s="16">
        <f t="shared" si="1"/>
        <v>7.6000000000000005</v>
      </c>
    </row>
    <row r="83" spans="1:4" x14ac:dyDescent="0.25">
      <c r="A83" s="22">
        <v>1981</v>
      </c>
      <c r="B83" s="16">
        <v>13.9</v>
      </c>
      <c r="C83" s="16">
        <v>6.4</v>
      </c>
      <c r="D83" s="16">
        <f t="shared" si="1"/>
        <v>7.5</v>
      </c>
    </row>
    <row r="84" spans="1:4" x14ac:dyDescent="0.25">
      <c r="A84" s="22">
        <v>1982</v>
      </c>
      <c r="B84" s="16">
        <v>15.9</v>
      </c>
      <c r="C84" s="16">
        <v>6.3</v>
      </c>
      <c r="D84" s="16">
        <f t="shared" si="1"/>
        <v>9.6000000000000014</v>
      </c>
    </row>
    <row r="85" spans="1:4" x14ac:dyDescent="0.25">
      <c r="A85" s="22">
        <v>1983</v>
      </c>
      <c r="B85" s="16">
        <v>16.5</v>
      </c>
      <c r="C85" s="16">
        <v>6.3</v>
      </c>
      <c r="D85" s="16">
        <f t="shared" si="1"/>
        <v>10.199999999999999</v>
      </c>
    </row>
    <row r="86" spans="1:4" x14ac:dyDescent="0.25">
      <c r="A86" s="22">
        <v>1984</v>
      </c>
      <c r="B86" s="16">
        <v>16.5</v>
      </c>
      <c r="C86" s="16">
        <v>6.4</v>
      </c>
      <c r="D86" s="16">
        <f t="shared" si="1"/>
        <v>10.1</v>
      </c>
    </row>
    <row r="87" spans="1:4" x14ac:dyDescent="0.25">
      <c r="A87" s="22">
        <v>1985</v>
      </c>
      <c r="B87" s="16">
        <v>16.7</v>
      </c>
      <c r="C87" s="16">
        <v>6.6</v>
      </c>
      <c r="D87" s="16">
        <f t="shared" si="1"/>
        <v>10.1</v>
      </c>
    </row>
    <row r="88" spans="1:4" x14ac:dyDescent="0.25">
      <c r="A88" s="22">
        <v>1986</v>
      </c>
      <c r="B88" s="16">
        <v>17</v>
      </c>
      <c r="C88" s="16">
        <v>6.6</v>
      </c>
      <c r="D88" s="16">
        <f t="shared" si="1"/>
        <v>10.4</v>
      </c>
    </row>
    <row r="89" spans="1:4" x14ac:dyDescent="0.25">
      <c r="A89" s="22">
        <v>1987</v>
      </c>
      <c r="B89" s="16">
        <v>17.3</v>
      </c>
      <c r="C89" s="16">
        <v>6.7</v>
      </c>
      <c r="D89" s="16">
        <f t="shared" si="1"/>
        <v>10.600000000000001</v>
      </c>
    </row>
    <row r="90" spans="1:4" x14ac:dyDescent="0.25">
      <c r="A90" s="22">
        <v>1988</v>
      </c>
      <c r="B90" s="16">
        <v>18</v>
      </c>
      <c r="C90" s="16">
        <v>6.8</v>
      </c>
      <c r="D90" s="16">
        <f t="shared" si="1"/>
        <v>11.2</v>
      </c>
    </row>
    <row r="91" spans="1:4" x14ac:dyDescent="0.25">
      <c r="A91" s="22">
        <v>1989</v>
      </c>
      <c r="B91" s="16">
        <v>17.8</v>
      </c>
      <c r="C91" s="16">
        <v>6.9</v>
      </c>
      <c r="D91" s="16">
        <f t="shared" si="1"/>
        <v>10.9</v>
      </c>
    </row>
    <row r="92" spans="1:4" x14ac:dyDescent="0.25">
      <c r="A92" s="22">
        <v>1990</v>
      </c>
      <c r="B92" s="16">
        <v>17.600000000000001</v>
      </c>
      <c r="C92" s="16">
        <v>7</v>
      </c>
      <c r="D92" s="16">
        <f t="shared" si="1"/>
        <v>10.600000000000001</v>
      </c>
    </row>
    <row r="93" spans="1:4" x14ac:dyDescent="0.25">
      <c r="A93" s="22">
        <v>1991</v>
      </c>
      <c r="B93" s="16">
        <v>16.100000000000001</v>
      </c>
      <c r="C93" s="16">
        <v>7.2</v>
      </c>
      <c r="D93" s="16">
        <f t="shared" si="1"/>
        <v>8.9000000000000021</v>
      </c>
    </row>
    <row r="94" spans="1:4" x14ac:dyDescent="0.25">
      <c r="A94" s="22">
        <v>1992</v>
      </c>
      <c r="B94" s="16">
        <v>15</v>
      </c>
      <c r="C94" s="16">
        <v>7.3</v>
      </c>
      <c r="D94" s="16">
        <f t="shared" si="1"/>
        <v>7.7</v>
      </c>
    </row>
    <row r="95" spans="1:4" x14ac:dyDescent="0.25">
      <c r="A95" s="22">
        <v>1993</v>
      </c>
      <c r="B95" s="16">
        <v>14.1</v>
      </c>
      <c r="C95" s="16">
        <v>7.4</v>
      </c>
      <c r="D95" s="16">
        <f t="shared" si="1"/>
        <v>6.6999999999999993</v>
      </c>
    </row>
    <row r="96" spans="1:4" x14ac:dyDescent="0.25">
      <c r="A96" s="22">
        <v>1994</v>
      </c>
      <c r="B96" s="16">
        <v>13.7</v>
      </c>
      <c r="C96" s="16">
        <v>7.4</v>
      </c>
      <c r="D96" s="16">
        <f t="shared" si="1"/>
        <v>6.2999999999999989</v>
      </c>
    </row>
    <row r="97" spans="1:4" x14ac:dyDescent="0.25">
      <c r="A97" s="22">
        <v>1995</v>
      </c>
      <c r="B97" s="16">
        <v>13.5</v>
      </c>
      <c r="C97" s="16">
        <v>7.4</v>
      </c>
      <c r="D97" s="16">
        <f t="shared" si="1"/>
        <v>6.1</v>
      </c>
    </row>
    <row r="98" spans="1:4" x14ac:dyDescent="0.25">
      <c r="A98" s="22">
        <v>1996</v>
      </c>
      <c r="B98" s="16">
        <v>13</v>
      </c>
      <c r="C98" s="16">
        <v>7.3</v>
      </c>
      <c r="D98" s="16">
        <f t="shared" si="1"/>
        <v>5.7</v>
      </c>
    </row>
    <row r="99" spans="1:4" x14ac:dyDescent="0.25">
      <c r="A99" s="22">
        <v>1997</v>
      </c>
      <c r="B99" s="16">
        <v>13.8</v>
      </c>
      <c r="C99" s="16">
        <v>7.3</v>
      </c>
      <c r="D99" s="16">
        <f t="shared" si="1"/>
        <v>6.5000000000000009</v>
      </c>
    </row>
    <row r="100" spans="1:4" x14ac:dyDescent="0.25">
      <c r="A100" s="22">
        <v>1998</v>
      </c>
      <c r="B100" s="16">
        <v>13.7</v>
      </c>
      <c r="C100" s="16">
        <v>7.2</v>
      </c>
      <c r="D100" s="16">
        <f t="shared" si="1"/>
        <v>6.4999999999999991</v>
      </c>
    </row>
    <row r="101" spans="1:4" x14ac:dyDescent="0.25">
      <c r="A101" s="22">
        <v>1999</v>
      </c>
      <c r="B101" s="16">
        <v>13.5</v>
      </c>
      <c r="C101" s="16">
        <v>7.2</v>
      </c>
      <c r="D101" s="16">
        <f t="shared" si="1"/>
        <v>6.3</v>
      </c>
    </row>
    <row r="102" spans="1:4" x14ac:dyDescent="0.25">
      <c r="A102" s="22">
        <v>2000</v>
      </c>
      <c r="B102" s="16">
        <v>12.9</v>
      </c>
      <c r="C102" s="16">
        <v>7.4</v>
      </c>
      <c r="D102" s="16">
        <f t="shared" si="1"/>
        <v>5.5</v>
      </c>
    </row>
    <row r="103" spans="1:4" x14ac:dyDescent="0.25">
      <c r="A103" s="22">
        <v>2001</v>
      </c>
      <c r="B103" s="16">
        <v>12.4</v>
      </c>
      <c r="C103" s="16">
        <v>7.3</v>
      </c>
      <c r="D103" s="16">
        <f t="shared" si="1"/>
        <v>5.1000000000000005</v>
      </c>
    </row>
    <row r="104" spans="1:4" x14ac:dyDescent="0.25">
      <c r="A104" s="22">
        <v>2002</v>
      </c>
      <c r="B104" s="16">
        <v>12.5</v>
      </c>
      <c r="C104" s="16">
        <v>7.3</v>
      </c>
      <c r="D104" s="16">
        <f t="shared" si="1"/>
        <v>5.2</v>
      </c>
    </row>
    <row r="105" spans="1:4" x14ac:dyDescent="0.25">
      <c r="A105" s="22">
        <v>2003</v>
      </c>
      <c r="B105" s="16">
        <v>12.1</v>
      </c>
      <c r="C105" s="16">
        <v>7.1</v>
      </c>
      <c r="D105" s="16">
        <f t="shared" si="1"/>
        <v>5</v>
      </c>
    </row>
    <row r="106" spans="1:4" x14ac:dyDescent="0.25">
      <c r="A106" s="22">
        <v>2004</v>
      </c>
      <c r="B106" s="16">
        <v>11.3</v>
      </c>
      <c r="C106" s="16">
        <v>7.3</v>
      </c>
      <c r="D106" s="16">
        <f t="shared" si="1"/>
        <v>4.0000000000000009</v>
      </c>
    </row>
    <row r="107" spans="1:4" x14ac:dyDescent="0.25">
      <c r="A107" s="22">
        <v>2005</v>
      </c>
      <c r="B107" s="16">
        <v>10.6</v>
      </c>
      <c r="C107" s="16">
        <v>7.4</v>
      </c>
      <c r="D107" s="16">
        <f t="shared" si="1"/>
        <v>3.1999999999999993</v>
      </c>
    </row>
    <row r="108" spans="1:4" x14ac:dyDescent="0.25">
      <c r="A108" s="22">
        <v>2006</v>
      </c>
      <c r="B108" s="16">
        <v>9.9</v>
      </c>
      <c r="C108" s="16">
        <v>7.7</v>
      </c>
      <c r="D108" s="16">
        <f t="shared" si="1"/>
        <v>2.2000000000000002</v>
      </c>
    </row>
    <row r="109" spans="1:4" x14ac:dyDescent="0.25">
      <c r="A109" s="22">
        <v>2007</v>
      </c>
      <c r="B109" s="16">
        <v>10</v>
      </c>
      <c r="C109" s="16">
        <v>7.8</v>
      </c>
      <c r="D109" s="16">
        <f t="shared" si="1"/>
        <v>2.2000000000000002</v>
      </c>
    </row>
    <row r="110" spans="1:4" x14ac:dyDescent="0.25">
      <c r="A110" s="22">
        <v>2008</v>
      </c>
      <c r="B110" s="16">
        <v>10.9</v>
      </c>
      <c r="C110" s="16">
        <v>8</v>
      </c>
      <c r="D110" s="16">
        <f t="shared" si="1"/>
        <v>2.9000000000000004</v>
      </c>
    </row>
    <row r="111" spans="1:4" x14ac:dyDescent="0.25">
      <c r="A111" s="22">
        <v>2009</v>
      </c>
      <c r="B111" s="16">
        <v>11.5</v>
      </c>
      <c r="C111" s="16">
        <v>8.1999999999999993</v>
      </c>
      <c r="D111" s="16">
        <f t="shared" si="1"/>
        <v>3.3000000000000007</v>
      </c>
    </row>
    <row r="112" spans="1:4" x14ac:dyDescent="0.25">
      <c r="A112" s="22">
        <v>2010</v>
      </c>
      <c r="B112" s="16">
        <v>11.4</v>
      </c>
      <c r="C112" s="16">
        <v>8.1999999999999993</v>
      </c>
      <c r="D112" s="16">
        <f t="shared" si="1"/>
        <v>3.2000000000000011</v>
      </c>
    </row>
    <row r="113" spans="1:4" x14ac:dyDescent="0.25">
      <c r="A113" s="22">
        <v>2011</v>
      </c>
      <c r="B113" s="16">
        <v>11.8</v>
      </c>
      <c r="C113" s="16">
        <v>8.1999999999999993</v>
      </c>
      <c r="D113" s="16">
        <f t="shared" si="1"/>
        <v>3.6000000000000014</v>
      </c>
    </row>
    <row r="114" spans="1:4" x14ac:dyDescent="0.25">
      <c r="A114" s="22">
        <v>2012</v>
      </c>
      <c r="B114" s="16">
        <v>11.2</v>
      </c>
      <c r="C114" s="16">
        <v>8.1999999999999993</v>
      </c>
      <c r="D114" s="16">
        <f t="shared" si="1"/>
        <v>3</v>
      </c>
    </row>
    <row r="115" spans="1:4" x14ac:dyDescent="0.25">
      <c r="A115" s="22">
        <v>2013</v>
      </c>
      <c r="B115" s="16">
        <v>11.2</v>
      </c>
      <c r="C115" s="16">
        <v>8.5</v>
      </c>
      <c r="D115" s="16">
        <f t="shared" si="1"/>
        <v>2.6999999999999993</v>
      </c>
    </row>
    <row r="116" spans="1:4" x14ac:dyDescent="0.25">
      <c r="A116" s="22">
        <v>2014</v>
      </c>
      <c r="B116" s="16">
        <v>10.9</v>
      </c>
      <c r="C116" s="16">
        <v>8.9</v>
      </c>
      <c r="D116" s="16">
        <f t="shared" si="1"/>
        <v>2</v>
      </c>
    </row>
    <row r="117" spans="1:4" x14ac:dyDescent="0.25">
      <c r="A117" s="22">
        <v>2015</v>
      </c>
      <c r="B117" s="16">
        <v>10.9</v>
      </c>
      <c r="C117" s="16">
        <v>9.1</v>
      </c>
      <c r="D117" s="16">
        <f t="shared" si="1"/>
        <v>1.8000000000000007</v>
      </c>
    </row>
    <row r="118" spans="1:4" x14ac:dyDescent="0.25">
      <c r="A118" s="22">
        <v>2016</v>
      </c>
      <c r="B118" s="16">
        <v>10.3</v>
      </c>
      <c r="C118" s="16">
        <v>9.4</v>
      </c>
      <c r="D118" s="16">
        <f t="shared" si="1"/>
        <v>0.90000000000000036</v>
      </c>
    </row>
    <row r="119" spans="1:4" x14ac:dyDescent="0.25">
      <c r="A119" s="22">
        <v>2017</v>
      </c>
      <c r="B119" s="16">
        <v>10.1</v>
      </c>
      <c r="C119" s="16">
        <v>9.9</v>
      </c>
      <c r="D119" s="16">
        <f t="shared" si="1"/>
        <v>0.19999999999999929</v>
      </c>
    </row>
    <row r="120" spans="1:4" x14ac:dyDescent="0.25">
      <c r="A120" s="22">
        <v>2018</v>
      </c>
      <c r="B120" s="16">
        <v>10.199999999999999</v>
      </c>
      <c r="C120" s="16">
        <v>9.9</v>
      </c>
      <c r="D120" s="16">
        <f t="shared" si="1"/>
        <v>0.29999999999999893</v>
      </c>
    </row>
    <row r="121" spans="1:4" x14ac:dyDescent="0.25">
      <c r="A121" s="22">
        <v>2019</v>
      </c>
      <c r="B121" s="16">
        <v>9.6999999999999993</v>
      </c>
      <c r="C121" s="16">
        <v>10</v>
      </c>
      <c r="D121" s="16">
        <f t="shared" si="1"/>
        <v>-0.30000000000000071</v>
      </c>
    </row>
    <row r="122" spans="1:4" x14ac:dyDescent="0.25">
      <c r="A122" s="22">
        <v>2020</v>
      </c>
      <c r="B122" s="16">
        <v>9.3000000000000007</v>
      </c>
      <c r="C122" s="16">
        <v>10.4</v>
      </c>
      <c r="D122" s="16">
        <f t="shared" si="1"/>
        <v>-1.0999999999999996</v>
      </c>
    </row>
    <row r="123" spans="1:4" x14ac:dyDescent="0.25">
      <c r="A123" s="22">
        <v>2021</v>
      </c>
      <c r="B123" s="16">
        <v>8.8000000000000007</v>
      </c>
      <c r="C123" s="16">
        <v>15.3</v>
      </c>
      <c r="D123" s="16">
        <f t="shared" si="1"/>
        <v>-6.5</v>
      </c>
    </row>
    <row r="124" spans="1:4" x14ac:dyDescent="0.25">
      <c r="A124" s="22">
        <v>2022</v>
      </c>
      <c r="B124" s="16">
        <v>8.6999999999999993</v>
      </c>
      <c r="C124" s="16">
        <v>10.3</v>
      </c>
      <c r="D124" s="16">
        <f t="shared" si="1"/>
        <v>-1.6000000000000014</v>
      </c>
    </row>
    <row r="125" spans="1:4" x14ac:dyDescent="0.25">
      <c r="A125" s="22">
        <v>2023</v>
      </c>
      <c r="B125" s="16">
        <v>8.6999999999999993</v>
      </c>
      <c r="C125" s="16">
        <v>10.1</v>
      </c>
      <c r="D125" s="16">
        <f t="shared" si="1"/>
        <v>-1.4000000000000004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topLeftCell="E1" workbookViewId="0">
      <selection activeCell="S61" sqref="S6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0" t="s">
        <v>100</v>
      </c>
      <c r="C1" s="30"/>
      <c r="D1" s="30" t="s">
        <v>75</v>
      </c>
      <c r="E1" s="30"/>
    </row>
    <row r="2" spans="1:13" x14ac:dyDescent="0.25">
      <c r="A2" s="23" t="s">
        <v>73</v>
      </c>
      <c r="B2" s="23" t="s">
        <v>96</v>
      </c>
      <c r="C2" s="23" t="s">
        <v>97</v>
      </c>
      <c r="D2" s="23" t="s">
        <v>98</v>
      </c>
      <c r="E2" s="23" t="s">
        <v>99</v>
      </c>
      <c r="F2" s="23" t="s">
        <v>83</v>
      </c>
      <c r="G2" s="23" t="s">
        <v>84</v>
      </c>
      <c r="H2" s="23" t="s">
        <v>85</v>
      </c>
      <c r="J2" s="23" t="s">
        <v>73</v>
      </c>
      <c r="K2" s="23" t="s">
        <v>89</v>
      </c>
      <c r="L2" s="23" t="s">
        <v>90</v>
      </c>
      <c r="M2" s="23" t="s">
        <v>88</v>
      </c>
    </row>
    <row r="3" spans="1:13" x14ac:dyDescent="0.25">
      <c r="A3" s="2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16">
        <f>IF($A3&lt;1960,$B3,IF($A3&gt;=1970,$D3,$D3-(INDEX($D:$D,MATCH(1960,$A:$A,0))-(2*INDEX($B:$B,MATCH(1959,$A:$A,0))-INDEX($B:$B,MATCH(1958,$A:$A,0))))*(1-$F3)))</f>
        <v>47.476999999999997</v>
      </c>
      <c r="H3" s="16">
        <f>IF($A3&lt;1960,$C3,IF($A3&gt;=1970,$E3,$E3-(INDEX($E:$E,MATCH(1960,$A:$A,0))-(2*INDEX($C:$C,MATCH(1959,$A:$A,0))-INDEX($C:$C,MATCH(1958,$A:$A,0))))*(1-$F3)))</f>
        <v>34.473999999999997</v>
      </c>
      <c r="J3" s="22">
        <f>A3</f>
        <v>1895</v>
      </c>
      <c r="K3" s="16">
        <f>G3</f>
        <v>47.476999999999997</v>
      </c>
      <c r="L3" s="16">
        <f>H3</f>
        <v>34.473999999999997</v>
      </c>
      <c r="M3" s="16">
        <f>K3-L3</f>
        <v>13.003</v>
      </c>
    </row>
    <row r="4" spans="1:13" x14ac:dyDescent="0.25">
      <c r="A4" s="2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16">
        <f t="shared" ref="G4:G67" si="1">IF($A4&lt;1960,$B4,IF($A4&gt;=1970,$D4,$D4-(INDEX($D:$D,MATCH(1960,$A:$A,0))-(2*INDEX($B:$B,MATCH(1959,$A:$A,0))-INDEX($B:$B,MATCH(1958,$A:$A,0))))*(1-$F4)))</f>
        <v>47.433</v>
      </c>
      <c r="H4" s="16">
        <f t="shared" ref="H4:H67" si="2">IF($A4&lt;1960,$C4,IF($A4&gt;=1970,$E4,$E4-(INDEX($E:$E,MATCH(1960,$A:$A,0))-(2*INDEX($C:$C,MATCH(1959,$A:$A,0))-INDEX($C:$C,MATCH(1958,$A:$A,0))))*(1-$F4)))</f>
        <v>34.456000000000003</v>
      </c>
      <c r="J4" s="22">
        <f t="shared" ref="J4:J67" si="3">A4</f>
        <v>1896</v>
      </c>
      <c r="K4" s="16">
        <f t="shared" ref="K4:K67" si="4">G4</f>
        <v>47.433</v>
      </c>
      <c r="L4" s="16">
        <f t="shared" ref="L4:L67" si="5">H4</f>
        <v>34.456000000000003</v>
      </c>
      <c r="M4" s="16">
        <f t="shared" ref="M4:M67" si="6">K4-L4</f>
        <v>12.976999999999997</v>
      </c>
    </row>
    <row r="5" spans="1:13" x14ac:dyDescent="0.25">
      <c r="A5" s="23">
        <v>1897</v>
      </c>
      <c r="B5">
        <v>47.35</v>
      </c>
      <c r="C5">
        <v>34.421999999999997</v>
      </c>
      <c r="F5">
        <f t="shared" si="0"/>
        <v>0</v>
      </c>
      <c r="G5" s="16">
        <f t="shared" si="1"/>
        <v>47.35</v>
      </c>
      <c r="H5" s="16">
        <f t="shared" si="2"/>
        <v>34.421999999999997</v>
      </c>
      <c r="J5" s="22">
        <f t="shared" si="3"/>
        <v>1897</v>
      </c>
      <c r="K5" s="16">
        <f t="shared" si="4"/>
        <v>47.35</v>
      </c>
      <c r="L5" s="16">
        <f t="shared" si="5"/>
        <v>34.421999999999997</v>
      </c>
      <c r="M5" s="16">
        <f t="shared" si="6"/>
        <v>12.928000000000004</v>
      </c>
    </row>
    <row r="6" spans="1:13" x14ac:dyDescent="0.25">
      <c r="A6" s="23">
        <v>1898</v>
      </c>
      <c r="B6">
        <v>47.216999999999999</v>
      </c>
      <c r="C6">
        <v>34.369</v>
      </c>
      <c r="F6">
        <f t="shared" si="0"/>
        <v>0</v>
      </c>
      <c r="G6" s="16">
        <f t="shared" si="1"/>
        <v>47.216999999999999</v>
      </c>
      <c r="H6" s="16">
        <f t="shared" si="2"/>
        <v>34.369</v>
      </c>
      <c r="J6" s="22">
        <f t="shared" si="3"/>
        <v>1898</v>
      </c>
      <c r="K6" s="16">
        <f t="shared" si="4"/>
        <v>47.216999999999999</v>
      </c>
      <c r="L6" s="16">
        <f t="shared" si="5"/>
        <v>34.369</v>
      </c>
      <c r="M6" s="16">
        <f t="shared" si="6"/>
        <v>12.847999999999999</v>
      </c>
    </row>
    <row r="7" spans="1:13" x14ac:dyDescent="0.25">
      <c r="A7" s="23">
        <v>1899</v>
      </c>
      <c r="B7">
        <v>47.037999999999997</v>
      </c>
      <c r="C7">
        <v>34.284999999999997</v>
      </c>
      <c r="F7">
        <f t="shared" si="0"/>
        <v>0</v>
      </c>
      <c r="G7" s="16">
        <f t="shared" si="1"/>
        <v>47.037999999999997</v>
      </c>
      <c r="H7" s="16">
        <f t="shared" si="2"/>
        <v>34.284999999999997</v>
      </c>
      <c r="J7" s="22">
        <f t="shared" si="3"/>
        <v>1899</v>
      </c>
      <c r="K7" s="16">
        <f t="shared" si="4"/>
        <v>47.037999999999997</v>
      </c>
      <c r="L7" s="16">
        <f t="shared" si="5"/>
        <v>34.284999999999997</v>
      </c>
      <c r="M7" s="16">
        <f t="shared" si="6"/>
        <v>12.753</v>
      </c>
    </row>
    <row r="8" spans="1:13" x14ac:dyDescent="0.25">
      <c r="A8" s="23">
        <v>1900</v>
      </c>
      <c r="B8">
        <v>46.755000000000003</v>
      </c>
      <c r="C8">
        <v>34.247</v>
      </c>
      <c r="F8">
        <f t="shared" si="0"/>
        <v>0</v>
      </c>
      <c r="G8" s="16">
        <f t="shared" si="1"/>
        <v>46.755000000000003</v>
      </c>
      <c r="H8" s="16">
        <f t="shared" si="2"/>
        <v>34.247</v>
      </c>
      <c r="J8" s="22">
        <f t="shared" si="3"/>
        <v>1900</v>
      </c>
      <c r="K8" s="16">
        <f t="shared" si="4"/>
        <v>46.755000000000003</v>
      </c>
      <c r="L8" s="16">
        <f t="shared" si="5"/>
        <v>34.247</v>
      </c>
      <c r="M8" s="16">
        <f t="shared" si="6"/>
        <v>12.508000000000003</v>
      </c>
    </row>
    <row r="9" spans="1:13" x14ac:dyDescent="0.25">
      <c r="A9" s="23">
        <v>1901</v>
      </c>
      <c r="B9">
        <v>46.579000000000001</v>
      </c>
      <c r="C9">
        <v>33.978999999999999</v>
      </c>
      <c r="F9">
        <f t="shared" si="0"/>
        <v>0</v>
      </c>
      <c r="G9" s="16">
        <f t="shared" si="1"/>
        <v>46.579000000000001</v>
      </c>
      <c r="H9" s="16">
        <f t="shared" si="2"/>
        <v>33.978999999999999</v>
      </c>
      <c r="J9" s="22">
        <f t="shared" si="3"/>
        <v>1901</v>
      </c>
      <c r="K9" s="16">
        <f t="shared" si="4"/>
        <v>46.579000000000001</v>
      </c>
      <c r="L9" s="16">
        <f t="shared" si="5"/>
        <v>33.978999999999999</v>
      </c>
      <c r="M9" s="16">
        <f t="shared" si="6"/>
        <v>12.600000000000001</v>
      </c>
    </row>
    <row r="10" spans="1:13" x14ac:dyDescent="0.25">
      <c r="A10" s="23">
        <v>1902</v>
      </c>
      <c r="B10">
        <v>46.451000000000001</v>
      </c>
      <c r="C10">
        <v>33.558</v>
      </c>
      <c r="F10">
        <f t="shared" si="0"/>
        <v>0</v>
      </c>
      <c r="G10" s="16">
        <f t="shared" si="1"/>
        <v>46.451000000000001</v>
      </c>
      <c r="H10" s="16">
        <f t="shared" si="2"/>
        <v>33.558</v>
      </c>
      <c r="J10" s="22">
        <f t="shared" si="3"/>
        <v>1902</v>
      </c>
      <c r="K10" s="16">
        <f t="shared" si="4"/>
        <v>46.451000000000001</v>
      </c>
      <c r="L10" s="16">
        <f t="shared" si="5"/>
        <v>33.558</v>
      </c>
      <c r="M10" s="16">
        <f t="shared" si="6"/>
        <v>12.893000000000001</v>
      </c>
    </row>
    <row r="11" spans="1:13" x14ac:dyDescent="0.25">
      <c r="A11" s="23">
        <v>1903</v>
      </c>
      <c r="B11">
        <v>46.378</v>
      </c>
      <c r="C11">
        <v>32.978000000000002</v>
      </c>
      <c r="F11">
        <f t="shared" si="0"/>
        <v>0</v>
      </c>
      <c r="G11" s="16">
        <f t="shared" si="1"/>
        <v>46.378</v>
      </c>
      <c r="H11" s="16">
        <f t="shared" si="2"/>
        <v>32.978000000000002</v>
      </c>
      <c r="J11" s="22">
        <f t="shared" si="3"/>
        <v>1903</v>
      </c>
      <c r="K11" s="16">
        <f t="shared" si="4"/>
        <v>46.378</v>
      </c>
      <c r="L11" s="16">
        <f t="shared" si="5"/>
        <v>32.978000000000002</v>
      </c>
      <c r="M11" s="16">
        <f t="shared" si="6"/>
        <v>13.399999999999999</v>
      </c>
    </row>
    <row r="12" spans="1:13" x14ac:dyDescent="0.25">
      <c r="A12" s="23">
        <v>1904</v>
      </c>
      <c r="B12">
        <v>46.348999999999997</v>
      </c>
      <c r="C12">
        <v>32.302999999999997</v>
      </c>
      <c r="F12">
        <f t="shared" si="0"/>
        <v>0</v>
      </c>
      <c r="G12" s="16">
        <f t="shared" si="1"/>
        <v>46.348999999999997</v>
      </c>
      <c r="H12" s="16">
        <f t="shared" si="2"/>
        <v>32.302999999999997</v>
      </c>
      <c r="J12" s="22">
        <f t="shared" si="3"/>
        <v>1904</v>
      </c>
      <c r="K12" s="16">
        <f t="shared" si="4"/>
        <v>46.348999999999997</v>
      </c>
      <c r="L12" s="16">
        <f t="shared" si="5"/>
        <v>32.302999999999997</v>
      </c>
      <c r="M12" s="16">
        <f t="shared" si="6"/>
        <v>14.045999999999999</v>
      </c>
    </row>
    <row r="13" spans="1:13" x14ac:dyDescent="0.25">
      <c r="A13" s="23">
        <v>1905</v>
      </c>
      <c r="B13">
        <v>46.462000000000003</v>
      </c>
      <c r="C13">
        <v>30.978999999999999</v>
      </c>
      <c r="F13">
        <f t="shared" si="0"/>
        <v>0</v>
      </c>
      <c r="G13" s="16">
        <f t="shared" si="1"/>
        <v>46.462000000000003</v>
      </c>
      <c r="H13" s="16">
        <f t="shared" si="2"/>
        <v>30.978999999999999</v>
      </c>
      <c r="J13" s="22">
        <f t="shared" si="3"/>
        <v>1905</v>
      </c>
      <c r="K13" s="16">
        <f t="shared" si="4"/>
        <v>46.462000000000003</v>
      </c>
      <c r="L13" s="16">
        <f t="shared" si="5"/>
        <v>30.978999999999999</v>
      </c>
      <c r="M13" s="16">
        <f t="shared" si="6"/>
        <v>15.483000000000004</v>
      </c>
    </row>
    <row r="14" spans="1:13" x14ac:dyDescent="0.25">
      <c r="A14" s="23">
        <v>1906</v>
      </c>
      <c r="B14">
        <v>46.356999999999999</v>
      </c>
      <c r="C14">
        <v>31.055</v>
      </c>
      <c r="F14">
        <f t="shared" si="0"/>
        <v>0</v>
      </c>
      <c r="G14" s="16">
        <f t="shared" si="1"/>
        <v>46.356999999999999</v>
      </c>
      <c r="H14" s="16">
        <f t="shared" si="2"/>
        <v>31.055</v>
      </c>
      <c r="J14" s="22">
        <f t="shared" si="3"/>
        <v>1906</v>
      </c>
      <c r="K14" s="16">
        <f t="shared" si="4"/>
        <v>46.356999999999999</v>
      </c>
      <c r="L14" s="16">
        <f t="shared" si="5"/>
        <v>31.055</v>
      </c>
      <c r="M14" s="16">
        <f t="shared" si="6"/>
        <v>15.302</v>
      </c>
    </row>
    <row r="15" spans="1:13" x14ac:dyDescent="0.25">
      <c r="A15" s="23">
        <v>1907</v>
      </c>
      <c r="B15">
        <v>46.134</v>
      </c>
      <c r="C15">
        <v>31.966000000000001</v>
      </c>
      <c r="F15">
        <f t="shared" si="0"/>
        <v>0</v>
      </c>
      <c r="G15" s="16">
        <f t="shared" si="1"/>
        <v>46.134</v>
      </c>
      <c r="H15" s="16">
        <f t="shared" si="2"/>
        <v>31.966000000000001</v>
      </c>
      <c r="J15" s="22">
        <f t="shared" si="3"/>
        <v>1907</v>
      </c>
      <c r="K15" s="16">
        <f t="shared" si="4"/>
        <v>46.134</v>
      </c>
      <c r="L15" s="16">
        <f t="shared" si="5"/>
        <v>31.966000000000001</v>
      </c>
      <c r="M15" s="16">
        <f t="shared" si="6"/>
        <v>14.167999999999999</v>
      </c>
    </row>
    <row r="16" spans="1:13" x14ac:dyDescent="0.25">
      <c r="A16" s="23">
        <v>1908</v>
      </c>
      <c r="B16">
        <v>45.781999999999996</v>
      </c>
      <c r="C16">
        <v>33.802</v>
      </c>
      <c r="F16">
        <f t="shared" si="0"/>
        <v>0</v>
      </c>
      <c r="G16" s="16">
        <f t="shared" si="1"/>
        <v>45.781999999999996</v>
      </c>
      <c r="H16" s="16">
        <f t="shared" si="2"/>
        <v>33.802</v>
      </c>
      <c r="J16" s="22">
        <f t="shared" si="3"/>
        <v>1908</v>
      </c>
      <c r="K16" s="16">
        <f t="shared" si="4"/>
        <v>45.781999999999996</v>
      </c>
      <c r="L16" s="16">
        <f t="shared" si="5"/>
        <v>33.802</v>
      </c>
      <c r="M16" s="16">
        <f t="shared" si="6"/>
        <v>11.979999999999997</v>
      </c>
    </row>
    <row r="17" spans="1:13" x14ac:dyDescent="0.25">
      <c r="A17" s="23">
        <v>1909</v>
      </c>
      <c r="B17">
        <v>45.304000000000002</v>
      </c>
      <c r="C17">
        <v>36.517000000000003</v>
      </c>
      <c r="F17">
        <f t="shared" si="0"/>
        <v>0</v>
      </c>
      <c r="G17" s="16">
        <f t="shared" si="1"/>
        <v>45.304000000000002</v>
      </c>
      <c r="H17" s="16">
        <f t="shared" si="2"/>
        <v>36.517000000000003</v>
      </c>
      <c r="J17" s="22">
        <f t="shared" si="3"/>
        <v>1909</v>
      </c>
      <c r="K17" s="16">
        <f t="shared" si="4"/>
        <v>45.304000000000002</v>
      </c>
      <c r="L17" s="16">
        <f t="shared" si="5"/>
        <v>36.517000000000003</v>
      </c>
      <c r="M17" s="16">
        <f t="shared" si="6"/>
        <v>8.786999999999999</v>
      </c>
    </row>
    <row r="18" spans="1:13" x14ac:dyDescent="0.25">
      <c r="A18" s="23">
        <v>1910</v>
      </c>
      <c r="B18">
        <v>44.673999999999999</v>
      </c>
      <c r="C18">
        <v>41.073</v>
      </c>
      <c r="F18">
        <f t="shared" si="0"/>
        <v>0</v>
      </c>
      <c r="G18" s="16">
        <f t="shared" si="1"/>
        <v>44.673999999999999</v>
      </c>
      <c r="H18" s="16">
        <f t="shared" si="2"/>
        <v>41.073</v>
      </c>
      <c r="J18" s="22">
        <f t="shared" si="3"/>
        <v>1910</v>
      </c>
      <c r="K18" s="16">
        <f t="shared" si="4"/>
        <v>44.673999999999999</v>
      </c>
      <c r="L18" s="16">
        <f t="shared" si="5"/>
        <v>41.073</v>
      </c>
      <c r="M18" s="16">
        <f t="shared" si="6"/>
        <v>3.6009999999999991</v>
      </c>
    </row>
    <row r="19" spans="1:13" x14ac:dyDescent="0.25">
      <c r="A19" s="23">
        <v>1911</v>
      </c>
      <c r="B19">
        <v>44.000999999999998</v>
      </c>
      <c r="C19">
        <v>44.375999999999998</v>
      </c>
      <c r="F19">
        <f t="shared" si="0"/>
        <v>0</v>
      </c>
      <c r="G19" s="16">
        <f t="shared" si="1"/>
        <v>44.000999999999998</v>
      </c>
      <c r="H19" s="16">
        <f t="shared" si="2"/>
        <v>44.375999999999998</v>
      </c>
      <c r="J19" s="22">
        <f t="shared" si="3"/>
        <v>1911</v>
      </c>
      <c r="K19" s="16">
        <f t="shared" si="4"/>
        <v>44.000999999999998</v>
      </c>
      <c r="L19" s="16">
        <f t="shared" si="5"/>
        <v>44.375999999999998</v>
      </c>
      <c r="M19" s="16">
        <f t="shared" si="6"/>
        <v>-0.375</v>
      </c>
    </row>
    <row r="20" spans="1:13" x14ac:dyDescent="0.25">
      <c r="A20" s="23">
        <v>1912</v>
      </c>
      <c r="B20">
        <v>43.256</v>
      </c>
      <c r="C20">
        <v>47.207000000000001</v>
      </c>
      <c r="F20">
        <f t="shared" si="0"/>
        <v>0</v>
      </c>
      <c r="G20" s="16">
        <f t="shared" si="1"/>
        <v>43.256</v>
      </c>
      <c r="H20" s="16">
        <f t="shared" si="2"/>
        <v>47.207000000000001</v>
      </c>
      <c r="J20" s="22">
        <f t="shared" si="3"/>
        <v>1912</v>
      </c>
      <c r="K20" s="16">
        <f t="shared" si="4"/>
        <v>43.256</v>
      </c>
      <c r="L20" s="16">
        <f t="shared" si="5"/>
        <v>47.207000000000001</v>
      </c>
      <c r="M20" s="16">
        <f t="shared" si="6"/>
        <v>-3.9510000000000005</v>
      </c>
    </row>
    <row r="21" spans="1:13" x14ac:dyDescent="0.25">
      <c r="A21" s="23">
        <v>1913</v>
      </c>
      <c r="B21">
        <v>42.442999999999998</v>
      </c>
      <c r="C21">
        <v>49.438000000000002</v>
      </c>
      <c r="F21">
        <f t="shared" si="0"/>
        <v>0</v>
      </c>
      <c r="G21" s="16">
        <f t="shared" si="1"/>
        <v>42.442999999999998</v>
      </c>
      <c r="H21" s="16">
        <f t="shared" si="2"/>
        <v>49.438000000000002</v>
      </c>
      <c r="J21" s="22">
        <f t="shared" si="3"/>
        <v>1913</v>
      </c>
      <c r="K21" s="16">
        <f t="shared" si="4"/>
        <v>42.442999999999998</v>
      </c>
      <c r="L21" s="16">
        <f t="shared" si="5"/>
        <v>49.438000000000002</v>
      </c>
      <c r="M21" s="16">
        <f t="shared" si="6"/>
        <v>-6.9950000000000045</v>
      </c>
    </row>
    <row r="22" spans="1:13" x14ac:dyDescent="0.25">
      <c r="A22" s="23">
        <v>1914</v>
      </c>
      <c r="B22">
        <v>41.597999999999999</v>
      </c>
      <c r="C22">
        <v>50.99</v>
      </c>
      <c r="F22">
        <f t="shared" si="0"/>
        <v>0</v>
      </c>
      <c r="G22" s="16">
        <f t="shared" si="1"/>
        <v>41.597999999999999</v>
      </c>
      <c r="H22" s="16">
        <f t="shared" si="2"/>
        <v>50.99</v>
      </c>
      <c r="J22" s="22">
        <f t="shared" si="3"/>
        <v>1914</v>
      </c>
      <c r="K22" s="16">
        <f t="shared" si="4"/>
        <v>41.597999999999999</v>
      </c>
      <c r="L22" s="16">
        <f t="shared" si="5"/>
        <v>50.99</v>
      </c>
      <c r="M22" s="16">
        <f t="shared" si="6"/>
        <v>-9.392000000000003</v>
      </c>
    </row>
    <row r="23" spans="1:13" x14ac:dyDescent="0.25">
      <c r="A23" s="23">
        <v>1915</v>
      </c>
      <c r="B23">
        <v>40.414999999999999</v>
      </c>
      <c r="C23">
        <v>52.290999999999997</v>
      </c>
      <c r="F23">
        <f t="shared" si="0"/>
        <v>0</v>
      </c>
      <c r="G23" s="16">
        <f t="shared" si="1"/>
        <v>40.414999999999999</v>
      </c>
      <c r="H23" s="16">
        <f t="shared" si="2"/>
        <v>52.290999999999997</v>
      </c>
      <c r="J23" s="22">
        <f t="shared" si="3"/>
        <v>1915</v>
      </c>
      <c r="K23" s="16">
        <f t="shared" si="4"/>
        <v>40.414999999999999</v>
      </c>
      <c r="L23" s="16">
        <f t="shared" si="5"/>
        <v>52.290999999999997</v>
      </c>
      <c r="M23" s="16">
        <f t="shared" si="6"/>
        <v>-11.875999999999998</v>
      </c>
    </row>
    <row r="24" spans="1:13" x14ac:dyDescent="0.25">
      <c r="A24" s="23">
        <v>1916</v>
      </c>
      <c r="B24">
        <v>40.024999999999999</v>
      </c>
      <c r="C24">
        <v>51.691000000000003</v>
      </c>
      <c r="F24">
        <f t="shared" si="0"/>
        <v>0</v>
      </c>
      <c r="G24" s="16">
        <f t="shared" si="1"/>
        <v>40.024999999999999</v>
      </c>
      <c r="H24" s="16">
        <f t="shared" si="2"/>
        <v>51.691000000000003</v>
      </c>
      <c r="J24" s="22">
        <f t="shared" si="3"/>
        <v>1916</v>
      </c>
      <c r="K24" s="16">
        <f t="shared" si="4"/>
        <v>40.024999999999999</v>
      </c>
      <c r="L24" s="16">
        <f t="shared" si="5"/>
        <v>51.691000000000003</v>
      </c>
      <c r="M24" s="16">
        <f t="shared" si="6"/>
        <v>-11.666000000000004</v>
      </c>
    </row>
    <row r="25" spans="1:13" x14ac:dyDescent="0.25">
      <c r="A25" s="23">
        <v>1917</v>
      </c>
      <c r="B25">
        <v>40.110999999999997</v>
      </c>
      <c r="C25">
        <v>49.643999999999998</v>
      </c>
      <c r="F25">
        <f t="shared" si="0"/>
        <v>0</v>
      </c>
      <c r="G25" s="16">
        <f t="shared" si="1"/>
        <v>40.110999999999997</v>
      </c>
      <c r="H25" s="16">
        <f t="shared" si="2"/>
        <v>49.643999999999998</v>
      </c>
      <c r="J25" s="22">
        <f t="shared" si="3"/>
        <v>1917</v>
      </c>
      <c r="K25" s="16">
        <f t="shared" si="4"/>
        <v>40.110999999999997</v>
      </c>
      <c r="L25" s="16">
        <f t="shared" si="5"/>
        <v>49.643999999999998</v>
      </c>
      <c r="M25" s="16">
        <f t="shared" si="6"/>
        <v>-9.5330000000000013</v>
      </c>
    </row>
    <row r="26" spans="1:13" x14ac:dyDescent="0.25">
      <c r="A26" s="23">
        <v>1918</v>
      </c>
      <c r="B26">
        <v>40.707000000000001</v>
      </c>
      <c r="C26">
        <v>46.161999999999999</v>
      </c>
      <c r="F26">
        <f t="shared" si="0"/>
        <v>0</v>
      </c>
      <c r="G26" s="16">
        <f t="shared" si="1"/>
        <v>40.707000000000001</v>
      </c>
      <c r="H26" s="16">
        <f t="shared" si="2"/>
        <v>46.161999999999999</v>
      </c>
      <c r="J26" s="22">
        <f t="shared" si="3"/>
        <v>1918</v>
      </c>
      <c r="K26" s="16">
        <f t="shared" si="4"/>
        <v>40.707000000000001</v>
      </c>
      <c r="L26" s="16">
        <f t="shared" si="5"/>
        <v>46.161999999999999</v>
      </c>
      <c r="M26" s="16">
        <f t="shared" si="6"/>
        <v>-5.4549999999999983</v>
      </c>
    </row>
    <row r="27" spans="1:13" x14ac:dyDescent="0.25">
      <c r="A27" s="23">
        <v>1919</v>
      </c>
      <c r="B27">
        <v>41.765000000000001</v>
      </c>
      <c r="C27">
        <v>41.500999999999998</v>
      </c>
      <c r="F27">
        <f t="shared" si="0"/>
        <v>0</v>
      </c>
      <c r="G27" s="16">
        <f t="shared" si="1"/>
        <v>41.765000000000001</v>
      </c>
      <c r="H27" s="16">
        <f t="shared" si="2"/>
        <v>41.500999999999998</v>
      </c>
      <c r="J27" s="22">
        <f t="shared" si="3"/>
        <v>1919</v>
      </c>
      <c r="K27" s="16">
        <f t="shared" si="4"/>
        <v>41.765000000000001</v>
      </c>
      <c r="L27" s="16">
        <f t="shared" si="5"/>
        <v>41.500999999999998</v>
      </c>
      <c r="M27" s="16">
        <f t="shared" si="6"/>
        <v>0.2640000000000029</v>
      </c>
    </row>
    <row r="28" spans="1:13" x14ac:dyDescent="0.25">
      <c r="A28" s="23">
        <v>1920</v>
      </c>
      <c r="B28">
        <v>43.822000000000003</v>
      </c>
      <c r="C28">
        <v>34.396000000000001</v>
      </c>
      <c r="F28">
        <f t="shared" si="0"/>
        <v>0</v>
      </c>
      <c r="G28" s="16">
        <f t="shared" si="1"/>
        <v>43.822000000000003</v>
      </c>
      <c r="H28" s="16">
        <f t="shared" si="2"/>
        <v>34.396000000000001</v>
      </c>
      <c r="J28" s="22">
        <f t="shared" si="3"/>
        <v>1920</v>
      </c>
      <c r="K28" s="16">
        <f t="shared" si="4"/>
        <v>43.822000000000003</v>
      </c>
      <c r="L28" s="16">
        <f t="shared" si="5"/>
        <v>34.396000000000001</v>
      </c>
      <c r="M28" s="16">
        <f t="shared" si="6"/>
        <v>9.4260000000000019</v>
      </c>
    </row>
    <row r="29" spans="1:13" x14ac:dyDescent="0.25">
      <c r="A29" s="23">
        <v>1921</v>
      </c>
      <c r="B29">
        <v>44.978000000000002</v>
      </c>
      <c r="C29">
        <v>30.242000000000001</v>
      </c>
      <c r="F29">
        <f t="shared" si="0"/>
        <v>0</v>
      </c>
      <c r="G29" s="16">
        <f t="shared" si="1"/>
        <v>44.978000000000002</v>
      </c>
      <c r="H29" s="16">
        <f t="shared" si="2"/>
        <v>30.242000000000001</v>
      </c>
      <c r="J29" s="22">
        <f t="shared" si="3"/>
        <v>1921</v>
      </c>
      <c r="K29" s="16">
        <f t="shared" si="4"/>
        <v>44.978000000000002</v>
      </c>
      <c r="L29" s="16">
        <f t="shared" si="5"/>
        <v>30.242000000000001</v>
      </c>
      <c r="M29" s="16">
        <f t="shared" si="6"/>
        <v>14.736000000000001</v>
      </c>
    </row>
    <row r="30" spans="1:13" x14ac:dyDescent="0.25">
      <c r="A30" s="23">
        <v>1922</v>
      </c>
      <c r="B30">
        <v>45.73</v>
      </c>
      <c r="C30">
        <v>27.283000000000001</v>
      </c>
      <c r="F30">
        <f t="shared" si="0"/>
        <v>0</v>
      </c>
      <c r="G30" s="16">
        <f t="shared" si="1"/>
        <v>45.73</v>
      </c>
      <c r="H30" s="16">
        <f t="shared" si="2"/>
        <v>27.283000000000001</v>
      </c>
      <c r="J30" s="22">
        <f t="shared" si="3"/>
        <v>1922</v>
      </c>
      <c r="K30" s="16">
        <f t="shared" si="4"/>
        <v>45.73</v>
      </c>
      <c r="L30" s="16">
        <f t="shared" si="5"/>
        <v>27.283000000000001</v>
      </c>
      <c r="M30" s="16">
        <f t="shared" si="6"/>
        <v>18.446999999999996</v>
      </c>
    </row>
    <row r="31" spans="1:13" x14ac:dyDescent="0.25">
      <c r="A31" s="23">
        <v>1923</v>
      </c>
      <c r="B31">
        <v>46.015999999999998</v>
      </c>
      <c r="C31">
        <v>25.558</v>
      </c>
      <c r="F31">
        <f t="shared" si="0"/>
        <v>0</v>
      </c>
      <c r="G31" s="16">
        <f t="shared" si="1"/>
        <v>46.015999999999998</v>
      </c>
      <c r="H31" s="16">
        <f t="shared" si="2"/>
        <v>25.558</v>
      </c>
      <c r="J31" s="22">
        <f t="shared" si="3"/>
        <v>1923</v>
      </c>
      <c r="K31" s="16">
        <f t="shared" si="4"/>
        <v>46.015999999999998</v>
      </c>
      <c r="L31" s="16">
        <f t="shared" si="5"/>
        <v>25.558</v>
      </c>
      <c r="M31" s="16">
        <f t="shared" si="6"/>
        <v>20.457999999999998</v>
      </c>
    </row>
    <row r="32" spans="1:13" x14ac:dyDescent="0.25">
      <c r="A32" s="23">
        <v>1924</v>
      </c>
      <c r="B32">
        <v>45.869</v>
      </c>
      <c r="C32">
        <v>24.919</v>
      </c>
      <c r="F32">
        <f t="shared" si="0"/>
        <v>0</v>
      </c>
      <c r="G32" s="16">
        <f t="shared" si="1"/>
        <v>45.869</v>
      </c>
      <c r="H32" s="16">
        <f t="shared" si="2"/>
        <v>24.919</v>
      </c>
      <c r="J32" s="22">
        <f t="shared" si="3"/>
        <v>1924</v>
      </c>
      <c r="K32" s="16">
        <f t="shared" si="4"/>
        <v>45.869</v>
      </c>
      <c r="L32" s="16">
        <f t="shared" si="5"/>
        <v>24.919</v>
      </c>
      <c r="M32" s="16">
        <f t="shared" si="6"/>
        <v>20.95</v>
      </c>
    </row>
    <row r="33" spans="1:13" x14ac:dyDescent="0.25">
      <c r="A33" s="23">
        <v>1925</v>
      </c>
      <c r="B33">
        <v>44.963000000000001</v>
      </c>
      <c r="C33">
        <v>25.994</v>
      </c>
      <c r="F33">
        <f t="shared" si="0"/>
        <v>0</v>
      </c>
      <c r="G33" s="16">
        <f t="shared" si="1"/>
        <v>44.963000000000001</v>
      </c>
      <c r="H33" s="16">
        <f t="shared" si="2"/>
        <v>25.994</v>
      </c>
      <c r="J33" s="22">
        <f t="shared" si="3"/>
        <v>1925</v>
      </c>
      <c r="K33" s="16">
        <f t="shared" si="4"/>
        <v>44.963000000000001</v>
      </c>
      <c r="L33" s="16">
        <f t="shared" si="5"/>
        <v>25.994</v>
      </c>
      <c r="M33" s="16">
        <f t="shared" si="6"/>
        <v>18.969000000000001</v>
      </c>
    </row>
    <row r="34" spans="1:13" x14ac:dyDescent="0.25">
      <c r="A34" s="23">
        <v>1926</v>
      </c>
      <c r="B34">
        <v>44.506</v>
      </c>
      <c r="C34">
        <v>26.395</v>
      </c>
      <c r="F34">
        <f t="shared" si="0"/>
        <v>0</v>
      </c>
      <c r="G34" s="16">
        <f t="shared" si="1"/>
        <v>44.506</v>
      </c>
      <c r="H34" s="16">
        <f t="shared" si="2"/>
        <v>26.395</v>
      </c>
      <c r="J34" s="22">
        <f t="shared" si="3"/>
        <v>1926</v>
      </c>
      <c r="K34" s="16">
        <f t="shared" si="4"/>
        <v>44.506</v>
      </c>
      <c r="L34" s="16">
        <f t="shared" si="5"/>
        <v>26.395</v>
      </c>
      <c r="M34" s="16">
        <f t="shared" si="6"/>
        <v>18.111000000000001</v>
      </c>
    </row>
    <row r="35" spans="1:13" x14ac:dyDescent="0.25">
      <c r="A35" s="23">
        <v>1927</v>
      </c>
      <c r="B35">
        <v>44.165999999999997</v>
      </c>
      <c r="C35">
        <v>26.773</v>
      </c>
      <c r="F35">
        <f t="shared" si="0"/>
        <v>0</v>
      </c>
      <c r="G35" s="16">
        <f t="shared" si="1"/>
        <v>44.165999999999997</v>
      </c>
      <c r="H35" s="16">
        <f t="shared" si="2"/>
        <v>26.773</v>
      </c>
      <c r="J35" s="22">
        <f t="shared" si="3"/>
        <v>1927</v>
      </c>
      <c r="K35" s="16">
        <f t="shared" si="4"/>
        <v>44.165999999999997</v>
      </c>
      <c r="L35" s="16">
        <f t="shared" si="5"/>
        <v>26.773</v>
      </c>
      <c r="M35" s="16">
        <f t="shared" si="6"/>
        <v>17.392999999999997</v>
      </c>
    </row>
    <row r="36" spans="1:13" x14ac:dyDescent="0.25">
      <c r="A36" s="23">
        <v>1928</v>
      </c>
      <c r="B36">
        <v>43.978999999999999</v>
      </c>
      <c r="C36">
        <v>27.053999999999998</v>
      </c>
      <c r="F36">
        <f t="shared" si="0"/>
        <v>0</v>
      </c>
      <c r="G36" s="16">
        <f t="shared" si="1"/>
        <v>43.978999999999999</v>
      </c>
      <c r="H36" s="16">
        <f t="shared" si="2"/>
        <v>27.053999999999998</v>
      </c>
      <c r="J36" s="22">
        <f t="shared" si="3"/>
        <v>1928</v>
      </c>
      <c r="K36" s="16">
        <f t="shared" si="4"/>
        <v>43.978999999999999</v>
      </c>
      <c r="L36" s="16">
        <f t="shared" si="5"/>
        <v>27.053999999999998</v>
      </c>
      <c r="M36" s="16">
        <f t="shared" si="6"/>
        <v>16.925000000000001</v>
      </c>
    </row>
    <row r="37" spans="1:13" x14ac:dyDescent="0.25">
      <c r="A37" s="23">
        <v>1929</v>
      </c>
      <c r="B37">
        <v>43.932000000000002</v>
      </c>
      <c r="C37">
        <v>27.23</v>
      </c>
      <c r="F37">
        <f t="shared" si="0"/>
        <v>0</v>
      </c>
      <c r="G37" s="16">
        <f t="shared" si="1"/>
        <v>43.932000000000002</v>
      </c>
      <c r="H37" s="16">
        <f t="shared" si="2"/>
        <v>27.23</v>
      </c>
      <c r="J37" s="22">
        <f t="shared" si="3"/>
        <v>1929</v>
      </c>
      <c r="K37" s="16">
        <f t="shared" si="4"/>
        <v>43.932000000000002</v>
      </c>
      <c r="L37" s="16">
        <f t="shared" si="5"/>
        <v>27.23</v>
      </c>
      <c r="M37" s="16">
        <f t="shared" si="6"/>
        <v>16.702000000000002</v>
      </c>
    </row>
    <row r="38" spans="1:13" x14ac:dyDescent="0.25">
      <c r="A38" s="23">
        <v>1930</v>
      </c>
      <c r="B38">
        <v>44.14</v>
      </c>
      <c r="C38">
        <v>27.356999999999999</v>
      </c>
      <c r="F38">
        <f t="shared" si="0"/>
        <v>0</v>
      </c>
      <c r="G38" s="16">
        <f t="shared" si="1"/>
        <v>44.14</v>
      </c>
      <c r="H38" s="16">
        <f t="shared" si="2"/>
        <v>27.356999999999999</v>
      </c>
      <c r="J38" s="22">
        <f t="shared" si="3"/>
        <v>1930</v>
      </c>
      <c r="K38" s="16">
        <f t="shared" si="4"/>
        <v>44.14</v>
      </c>
      <c r="L38" s="16">
        <f t="shared" si="5"/>
        <v>27.356999999999999</v>
      </c>
      <c r="M38" s="16">
        <f t="shared" si="6"/>
        <v>16.783000000000001</v>
      </c>
    </row>
    <row r="39" spans="1:13" x14ac:dyDescent="0.25">
      <c r="A39" s="23">
        <v>1931</v>
      </c>
      <c r="B39">
        <v>44.179000000000002</v>
      </c>
      <c r="C39">
        <v>27.231000000000002</v>
      </c>
      <c r="F39">
        <f t="shared" si="0"/>
        <v>0</v>
      </c>
      <c r="G39" s="16">
        <f t="shared" si="1"/>
        <v>44.179000000000002</v>
      </c>
      <c r="H39" s="16">
        <f t="shared" si="2"/>
        <v>27.231000000000002</v>
      </c>
      <c r="J39" s="22">
        <f t="shared" si="3"/>
        <v>1931</v>
      </c>
      <c r="K39" s="16">
        <f t="shared" si="4"/>
        <v>44.179000000000002</v>
      </c>
      <c r="L39" s="16">
        <f t="shared" si="5"/>
        <v>27.231000000000002</v>
      </c>
      <c r="M39" s="16">
        <f t="shared" si="6"/>
        <v>16.948</v>
      </c>
    </row>
    <row r="40" spans="1:13" x14ac:dyDescent="0.25">
      <c r="A40" s="23">
        <v>1932</v>
      </c>
      <c r="B40">
        <v>44.164000000000001</v>
      </c>
      <c r="C40">
        <v>26.908999999999999</v>
      </c>
      <c r="F40">
        <f t="shared" si="0"/>
        <v>0</v>
      </c>
      <c r="G40" s="16">
        <f t="shared" si="1"/>
        <v>44.164000000000001</v>
      </c>
      <c r="H40" s="16">
        <f t="shared" si="2"/>
        <v>26.908999999999999</v>
      </c>
      <c r="J40" s="22">
        <f t="shared" si="3"/>
        <v>1932</v>
      </c>
      <c r="K40" s="16">
        <f t="shared" si="4"/>
        <v>44.164000000000001</v>
      </c>
      <c r="L40" s="16">
        <f t="shared" si="5"/>
        <v>26.908999999999999</v>
      </c>
      <c r="M40" s="16">
        <f t="shared" si="6"/>
        <v>17.255000000000003</v>
      </c>
    </row>
    <row r="41" spans="1:13" x14ac:dyDescent="0.25">
      <c r="A41" s="23">
        <v>1933</v>
      </c>
      <c r="B41">
        <v>44.082999999999998</v>
      </c>
      <c r="C41">
        <v>26.387</v>
      </c>
      <c r="F41">
        <f t="shared" si="0"/>
        <v>0</v>
      </c>
      <c r="G41" s="16">
        <f t="shared" si="1"/>
        <v>44.082999999999998</v>
      </c>
      <c r="H41" s="16">
        <f t="shared" si="2"/>
        <v>26.387</v>
      </c>
      <c r="J41" s="22">
        <f t="shared" si="3"/>
        <v>1933</v>
      </c>
      <c r="K41" s="16">
        <f t="shared" si="4"/>
        <v>44.082999999999998</v>
      </c>
      <c r="L41" s="16">
        <f t="shared" si="5"/>
        <v>26.387</v>
      </c>
      <c r="M41" s="16">
        <f t="shared" si="6"/>
        <v>17.695999999999998</v>
      </c>
    </row>
    <row r="42" spans="1:13" x14ac:dyDescent="0.25">
      <c r="A42" s="23">
        <v>1934</v>
      </c>
      <c r="B42">
        <v>43.942999999999998</v>
      </c>
      <c r="C42">
        <v>25.69</v>
      </c>
      <c r="F42">
        <f t="shared" si="0"/>
        <v>0</v>
      </c>
      <c r="G42" s="16">
        <f t="shared" si="1"/>
        <v>43.942999999999998</v>
      </c>
      <c r="H42" s="16">
        <f t="shared" si="2"/>
        <v>25.69</v>
      </c>
      <c r="J42" s="22">
        <f t="shared" si="3"/>
        <v>1934</v>
      </c>
      <c r="K42" s="16">
        <f t="shared" si="4"/>
        <v>43.942999999999998</v>
      </c>
      <c r="L42" s="16">
        <f t="shared" si="5"/>
        <v>25.69</v>
      </c>
      <c r="M42" s="16">
        <f t="shared" si="6"/>
        <v>18.252999999999997</v>
      </c>
    </row>
    <row r="43" spans="1:13" x14ac:dyDescent="0.25">
      <c r="A43" s="23">
        <v>1935</v>
      </c>
      <c r="B43">
        <v>43.677999999999997</v>
      </c>
      <c r="C43">
        <v>24.632000000000001</v>
      </c>
      <c r="F43">
        <f t="shared" si="0"/>
        <v>0</v>
      </c>
      <c r="G43" s="16">
        <f t="shared" si="1"/>
        <v>43.677999999999997</v>
      </c>
      <c r="H43" s="16">
        <f t="shared" si="2"/>
        <v>24.632000000000001</v>
      </c>
      <c r="J43" s="22">
        <f t="shared" si="3"/>
        <v>1935</v>
      </c>
      <c r="K43" s="16">
        <f t="shared" si="4"/>
        <v>43.677999999999997</v>
      </c>
      <c r="L43" s="16">
        <f t="shared" si="5"/>
        <v>24.632000000000001</v>
      </c>
      <c r="M43" s="16">
        <f t="shared" si="6"/>
        <v>19.045999999999996</v>
      </c>
    </row>
    <row r="44" spans="1:13" x14ac:dyDescent="0.25">
      <c r="A44" s="23">
        <v>1936</v>
      </c>
      <c r="B44">
        <v>43.533999999999999</v>
      </c>
      <c r="C44">
        <v>23.922999999999998</v>
      </c>
      <c r="F44">
        <f t="shared" si="0"/>
        <v>0</v>
      </c>
      <c r="G44" s="16">
        <f t="shared" si="1"/>
        <v>43.533999999999999</v>
      </c>
      <c r="H44" s="16">
        <f t="shared" si="2"/>
        <v>23.922999999999998</v>
      </c>
      <c r="J44" s="22">
        <f t="shared" si="3"/>
        <v>1936</v>
      </c>
      <c r="K44" s="16">
        <f t="shared" si="4"/>
        <v>43.533999999999999</v>
      </c>
      <c r="L44" s="16">
        <f t="shared" si="5"/>
        <v>23.922999999999998</v>
      </c>
      <c r="M44" s="16">
        <f t="shared" si="6"/>
        <v>19.611000000000001</v>
      </c>
    </row>
    <row r="45" spans="1:13" x14ac:dyDescent="0.25">
      <c r="A45" s="23">
        <v>1937</v>
      </c>
      <c r="B45">
        <v>43.442999999999998</v>
      </c>
      <c r="C45">
        <v>23.361999999999998</v>
      </c>
      <c r="F45">
        <f t="shared" si="0"/>
        <v>0</v>
      </c>
      <c r="G45" s="16">
        <f t="shared" si="1"/>
        <v>43.442999999999998</v>
      </c>
      <c r="H45" s="16">
        <f t="shared" si="2"/>
        <v>23.361999999999998</v>
      </c>
      <c r="J45" s="22">
        <f t="shared" si="3"/>
        <v>1937</v>
      </c>
      <c r="K45" s="16">
        <f t="shared" si="4"/>
        <v>43.442999999999998</v>
      </c>
      <c r="L45" s="16">
        <f t="shared" si="5"/>
        <v>23.361999999999998</v>
      </c>
      <c r="M45" s="16">
        <f t="shared" si="6"/>
        <v>20.081</v>
      </c>
    </row>
    <row r="46" spans="1:13" x14ac:dyDescent="0.25">
      <c r="A46" s="23">
        <v>1938</v>
      </c>
      <c r="B46">
        <v>43.414000000000001</v>
      </c>
      <c r="C46">
        <v>22.966999999999999</v>
      </c>
      <c r="F46">
        <f t="shared" si="0"/>
        <v>0</v>
      </c>
      <c r="G46" s="16">
        <f t="shared" si="1"/>
        <v>43.414000000000001</v>
      </c>
      <c r="H46" s="16">
        <f t="shared" si="2"/>
        <v>22.966999999999999</v>
      </c>
      <c r="J46" s="22">
        <f t="shared" si="3"/>
        <v>1938</v>
      </c>
      <c r="K46" s="16">
        <f t="shared" si="4"/>
        <v>43.414000000000001</v>
      </c>
      <c r="L46" s="16">
        <f t="shared" si="5"/>
        <v>22.966999999999999</v>
      </c>
      <c r="M46" s="16">
        <f t="shared" si="6"/>
        <v>20.447000000000003</v>
      </c>
    </row>
    <row r="47" spans="1:13" x14ac:dyDescent="0.25">
      <c r="A47" s="23">
        <v>1939</v>
      </c>
      <c r="B47">
        <v>43.442</v>
      </c>
      <c r="C47">
        <v>22.713000000000001</v>
      </c>
      <c r="F47">
        <f t="shared" si="0"/>
        <v>0</v>
      </c>
      <c r="G47" s="16">
        <f t="shared" si="1"/>
        <v>43.442</v>
      </c>
      <c r="H47" s="16">
        <f t="shared" si="2"/>
        <v>22.713000000000001</v>
      </c>
      <c r="J47" s="22">
        <f t="shared" si="3"/>
        <v>1939</v>
      </c>
      <c r="K47" s="16">
        <f t="shared" si="4"/>
        <v>43.442</v>
      </c>
      <c r="L47" s="16">
        <f t="shared" si="5"/>
        <v>22.713000000000001</v>
      </c>
      <c r="M47" s="16">
        <f t="shared" si="6"/>
        <v>20.728999999999999</v>
      </c>
    </row>
    <row r="48" spans="1:13" x14ac:dyDescent="0.25">
      <c r="A48" s="23">
        <v>1940</v>
      </c>
      <c r="B48">
        <v>43.554000000000002</v>
      </c>
      <c r="C48">
        <v>22.792000000000002</v>
      </c>
      <c r="F48">
        <f t="shared" si="0"/>
        <v>0</v>
      </c>
      <c r="G48" s="16">
        <f t="shared" si="1"/>
        <v>43.554000000000002</v>
      </c>
      <c r="H48" s="16">
        <f t="shared" si="2"/>
        <v>22.792000000000002</v>
      </c>
      <c r="J48" s="22">
        <f t="shared" si="3"/>
        <v>1940</v>
      </c>
      <c r="K48" s="16">
        <f t="shared" si="4"/>
        <v>43.554000000000002</v>
      </c>
      <c r="L48" s="16">
        <f t="shared" si="5"/>
        <v>22.792000000000002</v>
      </c>
      <c r="M48" s="16">
        <f t="shared" si="6"/>
        <v>20.762</v>
      </c>
    </row>
    <row r="49" spans="1:13" x14ac:dyDescent="0.25">
      <c r="A49" s="23">
        <v>1941</v>
      </c>
      <c r="B49">
        <v>43.658000000000001</v>
      </c>
      <c r="C49">
        <v>22.494</v>
      </c>
      <c r="F49">
        <f t="shared" si="0"/>
        <v>0</v>
      </c>
      <c r="G49" s="16">
        <f t="shared" si="1"/>
        <v>43.658000000000001</v>
      </c>
      <c r="H49" s="16">
        <f t="shared" si="2"/>
        <v>22.494</v>
      </c>
      <c r="J49" s="22">
        <f t="shared" si="3"/>
        <v>1941</v>
      </c>
      <c r="K49" s="16">
        <f t="shared" si="4"/>
        <v>43.658000000000001</v>
      </c>
      <c r="L49" s="16">
        <f t="shared" si="5"/>
        <v>22.494</v>
      </c>
      <c r="M49" s="16">
        <f t="shared" si="6"/>
        <v>21.164000000000001</v>
      </c>
    </row>
    <row r="50" spans="1:13" x14ac:dyDescent="0.25">
      <c r="A50" s="23">
        <v>1942</v>
      </c>
      <c r="B50">
        <v>43.779000000000003</v>
      </c>
      <c r="C50">
        <v>22.015000000000001</v>
      </c>
      <c r="F50">
        <f t="shared" si="0"/>
        <v>0</v>
      </c>
      <c r="G50" s="16">
        <f t="shared" si="1"/>
        <v>43.779000000000003</v>
      </c>
      <c r="H50" s="16">
        <f t="shared" si="2"/>
        <v>22.015000000000001</v>
      </c>
      <c r="J50" s="22">
        <f t="shared" si="3"/>
        <v>1942</v>
      </c>
      <c r="K50" s="16">
        <f t="shared" si="4"/>
        <v>43.779000000000003</v>
      </c>
      <c r="L50" s="16">
        <f t="shared" si="5"/>
        <v>22.015000000000001</v>
      </c>
      <c r="M50" s="16">
        <f t="shared" si="6"/>
        <v>21.764000000000003</v>
      </c>
    </row>
    <row r="51" spans="1:13" x14ac:dyDescent="0.25">
      <c r="A51" s="23">
        <v>1943</v>
      </c>
      <c r="B51">
        <v>43.915999999999997</v>
      </c>
      <c r="C51">
        <v>21.338000000000001</v>
      </c>
      <c r="F51">
        <f t="shared" si="0"/>
        <v>0</v>
      </c>
      <c r="G51" s="16">
        <f t="shared" si="1"/>
        <v>43.915999999999997</v>
      </c>
      <c r="H51" s="16">
        <f t="shared" si="2"/>
        <v>21.338000000000001</v>
      </c>
      <c r="J51" s="22">
        <f t="shared" si="3"/>
        <v>1943</v>
      </c>
      <c r="K51" s="16">
        <f t="shared" si="4"/>
        <v>43.915999999999997</v>
      </c>
      <c r="L51" s="16">
        <f t="shared" si="5"/>
        <v>21.338000000000001</v>
      </c>
      <c r="M51" s="16">
        <f t="shared" si="6"/>
        <v>22.577999999999996</v>
      </c>
    </row>
    <row r="52" spans="1:13" x14ac:dyDescent="0.25">
      <c r="A52" s="23">
        <v>1944</v>
      </c>
      <c r="B52">
        <v>44.064999999999998</v>
      </c>
      <c r="C52">
        <v>20.488</v>
      </c>
      <c r="F52">
        <f t="shared" si="0"/>
        <v>0</v>
      </c>
      <c r="G52" s="16">
        <f t="shared" si="1"/>
        <v>44.064999999999998</v>
      </c>
      <c r="H52" s="16">
        <f t="shared" si="2"/>
        <v>20.488</v>
      </c>
      <c r="J52" s="22">
        <f t="shared" si="3"/>
        <v>1944</v>
      </c>
      <c r="K52" s="16">
        <f t="shared" si="4"/>
        <v>44.064999999999998</v>
      </c>
      <c r="L52" s="16">
        <f t="shared" si="5"/>
        <v>20.488</v>
      </c>
      <c r="M52" s="16">
        <f t="shared" si="6"/>
        <v>23.576999999999998</v>
      </c>
    </row>
    <row r="53" spans="1:13" x14ac:dyDescent="0.25">
      <c r="A53" s="23">
        <v>1945</v>
      </c>
      <c r="B53">
        <v>44.246000000000002</v>
      </c>
      <c r="C53">
        <v>19.295000000000002</v>
      </c>
      <c r="F53">
        <f t="shared" si="0"/>
        <v>0</v>
      </c>
      <c r="G53" s="16">
        <f t="shared" si="1"/>
        <v>44.246000000000002</v>
      </c>
      <c r="H53" s="16">
        <f t="shared" si="2"/>
        <v>19.295000000000002</v>
      </c>
      <c r="J53" s="22">
        <f t="shared" si="3"/>
        <v>1945</v>
      </c>
      <c r="K53" s="16">
        <f t="shared" si="4"/>
        <v>44.246000000000002</v>
      </c>
      <c r="L53" s="16">
        <f t="shared" si="5"/>
        <v>19.295000000000002</v>
      </c>
      <c r="M53" s="16">
        <f t="shared" si="6"/>
        <v>24.951000000000001</v>
      </c>
    </row>
    <row r="54" spans="1:13" x14ac:dyDescent="0.25">
      <c r="A54" s="23">
        <v>1946</v>
      </c>
      <c r="B54">
        <v>44.389000000000003</v>
      </c>
      <c r="C54">
        <v>18.428000000000001</v>
      </c>
      <c r="F54">
        <f t="shared" si="0"/>
        <v>0</v>
      </c>
      <c r="G54" s="16">
        <f t="shared" si="1"/>
        <v>44.389000000000003</v>
      </c>
      <c r="H54" s="16">
        <f t="shared" si="2"/>
        <v>18.428000000000001</v>
      </c>
      <c r="J54" s="22">
        <f t="shared" si="3"/>
        <v>1946</v>
      </c>
      <c r="K54" s="16">
        <f t="shared" si="4"/>
        <v>44.389000000000003</v>
      </c>
      <c r="L54" s="16">
        <f t="shared" si="5"/>
        <v>18.428000000000001</v>
      </c>
      <c r="M54" s="16">
        <f t="shared" si="6"/>
        <v>25.961000000000002</v>
      </c>
    </row>
    <row r="55" spans="1:13" x14ac:dyDescent="0.25">
      <c r="A55" s="23">
        <v>1947</v>
      </c>
      <c r="B55">
        <v>44.514000000000003</v>
      </c>
      <c r="C55">
        <v>17.693999999999999</v>
      </c>
      <c r="F55">
        <f t="shared" si="0"/>
        <v>0</v>
      </c>
      <c r="G55" s="16">
        <f t="shared" si="1"/>
        <v>44.514000000000003</v>
      </c>
      <c r="H55" s="16">
        <f t="shared" si="2"/>
        <v>17.693999999999999</v>
      </c>
      <c r="J55" s="22">
        <f t="shared" si="3"/>
        <v>1947</v>
      </c>
      <c r="K55" s="16">
        <f t="shared" si="4"/>
        <v>44.514000000000003</v>
      </c>
      <c r="L55" s="16">
        <f t="shared" si="5"/>
        <v>17.693999999999999</v>
      </c>
      <c r="M55" s="16">
        <f t="shared" si="6"/>
        <v>26.820000000000004</v>
      </c>
    </row>
    <row r="56" spans="1:13" x14ac:dyDescent="0.25">
      <c r="A56" s="23">
        <v>1948</v>
      </c>
      <c r="B56">
        <v>44.616999999999997</v>
      </c>
      <c r="C56">
        <v>17.108000000000001</v>
      </c>
      <c r="F56">
        <f t="shared" si="0"/>
        <v>0</v>
      </c>
      <c r="G56" s="16">
        <f t="shared" si="1"/>
        <v>44.616999999999997</v>
      </c>
      <c r="H56" s="16">
        <f t="shared" si="2"/>
        <v>17.108000000000001</v>
      </c>
      <c r="J56" s="22">
        <f t="shared" si="3"/>
        <v>1948</v>
      </c>
      <c r="K56" s="16">
        <f t="shared" si="4"/>
        <v>44.616999999999997</v>
      </c>
      <c r="L56" s="16">
        <f t="shared" si="5"/>
        <v>17.108000000000001</v>
      </c>
      <c r="M56" s="16">
        <f t="shared" si="6"/>
        <v>27.508999999999997</v>
      </c>
    </row>
    <row r="57" spans="1:13" x14ac:dyDescent="0.25">
      <c r="A57" s="23">
        <v>1949</v>
      </c>
      <c r="B57">
        <v>44.703000000000003</v>
      </c>
      <c r="C57">
        <v>16.651</v>
      </c>
      <c r="F57">
        <f t="shared" si="0"/>
        <v>0</v>
      </c>
      <c r="G57" s="16">
        <f t="shared" si="1"/>
        <v>44.703000000000003</v>
      </c>
      <c r="H57" s="16">
        <f t="shared" si="2"/>
        <v>16.651</v>
      </c>
      <c r="J57" s="22">
        <f t="shared" si="3"/>
        <v>1949</v>
      </c>
      <c r="K57" s="16">
        <f t="shared" si="4"/>
        <v>44.703000000000003</v>
      </c>
      <c r="L57" s="16">
        <f t="shared" si="5"/>
        <v>16.651</v>
      </c>
      <c r="M57" s="16">
        <f t="shared" si="6"/>
        <v>28.052000000000003</v>
      </c>
    </row>
    <row r="58" spans="1:13" x14ac:dyDescent="0.25">
      <c r="A58" s="23">
        <v>1950</v>
      </c>
      <c r="B58">
        <v>44.743000000000002</v>
      </c>
      <c r="C58">
        <v>16.445</v>
      </c>
      <c r="D58" s="16">
        <v>49.2</v>
      </c>
      <c r="E58" s="16">
        <v>21.6</v>
      </c>
      <c r="F58">
        <f t="shared" si="0"/>
        <v>0</v>
      </c>
      <c r="G58" s="16">
        <f t="shared" si="1"/>
        <v>44.743000000000002</v>
      </c>
      <c r="H58" s="16">
        <f t="shared" si="2"/>
        <v>16.445</v>
      </c>
      <c r="J58" s="22">
        <f t="shared" si="3"/>
        <v>1950</v>
      </c>
      <c r="K58" s="16">
        <f t="shared" si="4"/>
        <v>44.743000000000002</v>
      </c>
      <c r="L58" s="16">
        <f t="shared" si="5"/>
        <v>16.445</v>
      </c>
      <c r="M58" s="16">
        <f t="shared" si="6"/>
        <v>28.298000000000002</v>
      </c>
    </row>
    <row r="59" spans="1:13" x14ac:dyDescent="0.25">
      <c r="A59" s="18">
        <f>A58+1</f>
        <v>1951</v>
      </c>
      <c r="B59">
        <v>44.838000000000001</v>
      </c>
      <c r="C59">
        <v>16.024999999999999</v>
      </c>
      <c r="D59" s="16">
        <v>49.2</v>
      </c>
      <c r="E59" s="16">
        <v>20.8</v>
      </c>
      <c r="F59">
        <f t="shared" si="0"/>
        <v>0</v>
      </c>
      <c r="G59" s="16">
        <f t="shared" si="1"/>
        <v>44.838000000000001</v>
      </c>
      <c r="H59" s="16">
        <f t="shared" si="2"/>
        <v>16.024999999999999</v>
      </c>
      <c r="J59" s="22">
        <f t="shared" si="3"/>
        <v>1951</v>
      </c>
      <c r="K59" s="16">
        <f t="shared" si="4"/>
        <v>44.838000000000001</v>
      </c>
      <c r="L59" s="16">
        <f t="shared" si="5"/>
        <v>16.024999999999999</v>
      </c>
      <c r="M59" s="16">
        <f t="shared" si="6"/>
        <v>28.813000000000002</v>
      </c>
    </row>
    <row r="60" spans="1:13" x14ac:dyDescent="0.25">
      <c r="A60" s="18">
        <f>A59+1</f>
        <v>1952</v>
      </c>
      <c r="B60">
        <v>44.962000000000003</v>
      </c>
      <c r="C60">
        <v>15.521000000000001</v>
      </c>
      <c r="D60" s="16">
        <v>48.9</v>
      </c>
      <c r="E60" s="16">
        <v>20</v>
      </c>
      <c r="F60">
        <f t="shared" si="0"/>
        <v>0</v>
      </c>
      <c r="G60" s="16">
        <f t="shared" si="1"/>
        <v>44.962000000000003</v>
      </c>
      <c r="H60" s="16">
        <f t="shared" si="2"/>
        <v>15.521000000000001</v>
      </c>
      <c r="J60" s="22">
        <f t="shared" si="3"/>
        <v>1952</v>
      </c>
      <c r="K60" s="16">
        <f t="shared" si="4"/>
        <v>44.962000000000003</v>
      </c>
      <c r="L60" s="16">
        <f t="shared" si="5"/>
        <v>15.521000000000001</v>
      </c>
      <c r="M60" s="16">
        <f t="shared" si="6"/>
        <v>29.441000000000003</v>
      </c>
    </row>
    <row r="61" spans="1:13" x14ac:dyDescent="0.25">
      <c r="A61" s="18">
        <f t="shared" ref="A61:A124" si="7">A60+1</f>
        <v>1953</v>
      </c>
      <c r="B61">
        <v>45.116999999999997</v>
      </c>
      <c r="C61">
        <v>14.923</v>
      </c>
      <c r="D61" s="16">
        <v>48.7</v>
      </c>
      <c r="E61" s="16">
        <v>18.899999999999999</v>
      </c>
      <c r="F61">
        <f t="shared" si="0"/>
        <v>0</v>
      </c>
      <c r="G61" s="16">
        <f t="shared" si="1"/>
        <v>45.116999999999997</v>
      </c>
      <c r="H61" s="16">
        <f t="shared" si="2"/>
        <v>14.923</v>
      </c>
      <c r="J61" s="22">
        <f t="shared" si="3"/>
        <v>1953</v>
      </c>
      <c r="K61" s="16">
        <f t="shared" si="4"/>
        <v>45.116999999999997</v>
      </c>
      <c r="L61" s="16">
        <f t="shared" si="5"/>
        <v>14.923</v>
      </c>
      <c r="M61" s="16">
        <f t="shared" si="6"/>
        <v>30.193999999999996</v>
      </c>
    </row>
    <row r="62" spans="1:13" x14ac:dyDescent="0.25">
      <c r="A62" s="18">
        <f t="shared" si="7"/>
        <v>1954</v>
      </c>
      <c r="B62">
        <v>45.298999999999999</v>
      </c>
      <c r="C62">
        <v>14.249000000000001</v>
      </c>
      <c r="D62" s="16">
        <v>48.4</v>
      </c>
      <c r="E62" s="16">
        <v>18</v>
      </c>
      <c r="F62">
        <f t="shared" si="0"/>
        <v>0</v>
      </c>
      <c r="G62" s="16">
        <f t="shared" si="1"/>
        <v>45.298999999999999</v>
      </c>
      <c r="H62" s="16">
        <f t="shared" si="2"/>
        <v>14.249000000000001</v>
      </c>
      <c r="J62" s="22">
        <f t="shared" si="3"/>
        <v>1954</v>
      </c>
      <c r="K62" s="16">
        <f t="shared" si="4"/>
        <v>45.298999999999999</v>
      </c>
      <c r="L62" s="16">
        <f t="shared" si="5"/>
        <v>14.249000000000001</v>
      </c>
      <c r="M62" s="16">
        <f t="shared" si="6"/>
        <v>31.049999999999997</v>
      </c>
    </row>
    <row r="63" spans="1:13" x14ac:dyDescent="0.25">
      <c r="A63" s="18">
        <f t="shared" si="7"/>
        <v>1955</v>
      </c>
      <c r="B63">
        <v>45.548999999999999</v>
      </c>
      <c r="C63">
        <v>13.363</v>
      </c>
      <c r="D63" s="16">
        <v>48</v>
      </c>
      <c r="E63" s="16">
        <v>17</v>
      </c>
      <c r="F63">
        <f t="shared" si="0"/>
        <v>0</v>
      </c>
      <c r="G63" s="16">
        <f t="shared" si="1"/>
        <v>45.548999999999999</v>
      </c>
      <c r="H63" s="16">
        <f t="shared" si="2"/>
        <v>13.363</v>
      </c>
      <c r="J63" s="22">
        <f t="shared" si="3"/>
        <v>1955</v>
      </c>
      <c r="K63" s="16">
        <f t="shared" si="4"/>
        <v>45.548999999999999</v>
      </c>
      <c r="L63" s="16">
        <f t="shared" si="5"/>
        <v>13.363</v>
      </c>
      <c r="M63" s="16">
        <f t="shared" si="6"/>
        <v>32.186</v>
      </c>
    </row>
    <row r="64" spans="1:13" x14ac:dyDescent="0.25">
      <c r="A64" s="18">
        <f t="shared" si="7"/>
        <v>1956</v>
      </c>
      <c r="B64">
        <v>45.715000000000003</v>
      </c>
      <c r="C64">
        <v>12.788</v>
      </c>
      <c r="D64" s="16">
        <v>47.7</v>
      </c>
      <c r="E64" s="16">
        <v>16.3</v>
      </c>
      <c r="F64">
        <f t="shared" si="0"/>
        <v>0</v>
      </c>
      <c r="G64" s="16">
        <f t="shared" si="1"/>
        <v>45.715000000000003</v>
      </c>
      <c r="H64" s="16">
        <f t="shared" si="2"/>
        <v>12.788</v>
      </c>
      <c r="J64" s="22">
        <f t="shared" si="3"/>
        <v>1956</v>
      </c>
      <c r="K64" s="16">
        <f t="shared" si="4"/>
        <v>45.715000000000003</v>
      </c>
      <c r="L64" s="16">
        <f t="shared" si="5"/>
        <v>12.788</v>
      </c>
      <c r="M64" s="16">
        <f t="shared" si="6"/>
        <v>32.927000000000007</v>
      </c>
    </row>
    <row r="65" spans="1:13" x14ac:dyDescent="0.25">
      <c r="A65" s="18">
        <f t="shared" si="7"/>
        <v>1957</v>
      </c>
      <c r="B65">
        <v>45.837000000000003</v>
      </c>
      <c r="C65">
        <v>12.371</v>
      </c>
      <c r="D65" s="16">
        <v>47.5</v>
      </c>
      <c r="E65" s="16">
        <v>15.7</v>
      </c>
      <c r="F65">
        <f t="shared" si="0"/>
        <v>0</v>
      </c>
      <c r="G65" s="16">
        <f t="shared" si="1"/>
        <v>45.837000000000003</v>
      </c>
      <c r="H65" s="16">
        <f t="shared" si="2"/>
        <v>12.371</v>
      </c>
      <c r="J65" s="22">
        <f t="shared" si="3"/>
        <v>1957</v>
      </c>
      <c r="K65" s="16">
        <f t="shared" si="4"/>
        <v>45.837000000000003</v>
      </c>
      <c r="L65" s="16">
        <f t="shared" si="5"/>
        <v>12.371</v>
      </c>
      <c r="M65" s="16">
        <f t="shared" si="6"/>
        <v>33.466000000000001</v>
      </c>
    </row>
    <row r="66" spans="1:13" x14ac:dyDescent="0.25">
      <c r="A66" s="18">
        <f t="shared" si="7"/>
        <v>1958</v>
      </c>
      <c r="B66">
        <v>45.912999999999997</v>
      </c>
      <c r="C66">
        <v>12.114000000000001</v>
      </c>
      <c r="D66" s="16">
        <v>47.2</v>
      </c>
      <c r="E66" s="16">
        <v>15.2</v>
      </c>
      <c r="F66">
        <f t="shared" si="0"/>
        <v>0</v>
      </c>
      <c r="G66" s="16">
        <f t="shared" si="1"/>
        <v>45.912999999999997</v>
      </c>
      <c r="H66" s="16">
        <f t="shared" si="2"/>
        <v>12.114000000000001</v>
      </c>
      <c r="J66" s="22">
        <f t="shared" si="3"/>
        <v>1958</v>
      </c>
      <c r="K66" s="16">
        <f t="shared" si="4"/>
        <v>45.912999999999997</v>
      </c>
      <c r="L66" s="16">
        <f t="shared" si="5"/>
        <v>12.114000000000001</v>
      </c>
      <c r="M66" s="16">
        <f t="shared" si="6"/>
        <v>33.798999999999992</v>
      </c>
    </row>
    <row r="67" spans="1:13" x14ac:dyDescent="0.25">
      <c r="A67" s="18">
        <f t="shared" si="7"/>
        <v>1959</v>
      </c>
      <c r="B67">
        <v>45.953000000000003</v>
      </c>
      <c r="C67">
        <v>11.978</v>
      </c>
      <c r="D67" s="16">
        <v>47</v>
      </c>
      <c r="E67" s="16">
        <v>14.6</v>
      </c>
      <c r="F67">
        <f t="shared" si="0"/>
        <v>0</v>
      </c>
      <c r="G67" s="16">
        <f t="shared" si="1"/>
        <v>45.953000000000003</v>
      </c>
      <c r="H67" s="16">
        <f t="shared" si="2"/>
        <v>11.978</v>
      </c>
      <c r="J67" s="22">
        <f t="shared" si="3"/>
        <v>1959</v>
      </c>
      <c r="K67" s="16">
        <f t="shared" si="4"/>
        <v>45.953000000000003</v>
      </c>
      <c r="L67" s="16">
        <f t="shared" si="5"/>
        <v>11.978</v>
      </c>
      <c r="M67" s="16">
        <f t="shared" si="6"/>
        <v>33.975000000000001</v>
      </c>
    </row>
    <row r="68" spans="1:13" x14ac:dyDescent="0.25">
      <c r="A68" s="18">
        <f t="shared" si="7"/>
        <v>1960</v>
      </c>
      <c r="D68" s="16">
        <v>46.9</v>
      </c>
      <c r="E68" s="16">
        <v>14</v>
      </c>
      <c r="F68">
        <f t="shared" ref="F68:F131" si="8">IF($A68&lt;1960,0,IF($A68&gt;=1970,1,POWER(($A68-1960)/10,3)*(10-15*(($A68-1960)/10)+6*POWER(($A68-1960)/10,2))))</f>
        <v>0</v>
      </c>
      <c r="G68" s="16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16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22">
        <f t="shared" ref="J68:J131" si="11">A68</f>
        <v>1960</v>
      </c>
      <c r="K68" s="16">
        <f t="shared" ref="K68:K131" si="12">G68</f>
        <v>45.993000000000009</v>
      </c>
      <c r="L68" s="16">
        <f t="shared" ref="L68:L131" si="13">H68</f>
        <v>11.841999999999999</v>
      </c>
      <c r="M68" s="16">
        <f t="shared" ref="M68:M131" si="14">K68-L68</f>
        <v>34.15100000000001</v>
      </c>
    </row>
    <row r="69" spans="1:13" x14ac:dyDescent="0.25">
      <c r="A69" s="18">
        <f t="shared" si="7"/>
        <v>1961</v>
      </c>
      <c r="D69" s="16">
        <v>46.8</v>
      </c>
      <c r="E69" s="16">
        <v>13.3</v>
      </c>
      <c r="F69">
        <f t="shared" si="8"/>
        <v>8.5600000000000034E-3</v>
      </c>
      <c r="G69" s="16">
        <f t="shared" si="9"/>
        <v>45.90076392000001</v>
      </c>
      <c r="H69" s="16">
        <f t="shared" si="10"/>
        <v>11.160472479999999</v>
      </c>
      <c r="J69" s="22">
        <f t="shared" si="11"/>
        <v>1961</v>
      </c>
      <c r="K69" s="16">
        <f t="shared" si="12"/>
        <v>45.90076392000001</v>
      </c>
      <c r="L69" s="16">
        <f t="shared" si="13"/>
        <v>11.160472479999999</v>
      </c>
      <c r="M69" s="16">
        <f t="shared" si="14"/>
        <v>34.740291440000007</v>
      </c>
    </row>
    <row r="70" spans="1:13" x14ac:dyDescent="0.25">
      <c r="A70" s="18">
        <f t="shared" si="7"/>
        <v>1962</v>
      </c>
      <c r="D70" s="16">
        <v>46.8</v>
      </c>
      <c r="E70" s="16">
        <v>12.8</v>
      </c>
      <c r="F70">
        <f t="shared" si="8"/>
        <v>5.7920000000000013E-2</v>
      </c>
      <c r="G70" s="16">
        <f t="shared" si="9"/>
        <v>45.945533440000005</v>
      </c>
      <c r="H70" s="16">
        <f t="shared" si="10"/>
        <v>10.766991359999999</v>
      </c>
      <c r="J70" s="22">
        <f t="shared" si="11"/>
        <v>1962</v>
      </c>
      <c r="K70" s="16">
        <f t="shared" si="12"/>
        <v>45.945533440000005</v>
      </c>
      <c r="L70" s="16">
        <f t="shared" si="13"/>
        <v>10.766991359999999</v>
      </c>
      <c r="M70" s="16">
        <f t="shared" si="14"/>
        <v>35.178542080000007</v>
      </c>
    </row>
    <row r="71" spans="1:13" x14ac:dyDescent="0.25">
      <c r="A71" s="18">
        <f t="shared" si="7"/>
        <v>1963</v>
      </c>
      <c r="D71" s="16">
        <v>46.8</v>
      </c>
      <c r="E71" s="16">
        <v>12.5</v>
      </c>
      <c r="F71">
        <f t="shared" si="8"/>
        <v>0.16308</v>
      </c>
      <c r="G71" s="16">
        <f t="shared" si="9"/>
        <v>46.040913560000007</v>
      </c>
      <c r="H71" s="16">
        <f t="shared" si="10"/>
        <v>10.693926639999999</v>
      </c>
      <c r="J71" s="22">
        <f t="shared" si="11"/>
        <v>1963</v>
      </c>
      <c r="K71" s="16">
        <f t="shared" si="12"/>
        <v>46.040913560000007</v>
      </c>
      <c r="L71" s="16">
        <f t="shared" si="13"/>
        <v>10.693926639999999</v>
      </c>
      <c r="M71" s="16">
        <f t="shared" si="14"/>
        <v>35.346986920000006</v>
      </c>
    </row>
    <row r="72" spans="1:13" x14ac:dyDescent="0.25">
      <c r="A72" s="18">
        <f t="shared" si="7"/>
        <v>1964</v>
      </c>
      <c r="D72" s="16">
        <v>46.8</v>
      </c>
      <c r="E72" s="16">
        <v>12.1</v>
      </c>
      <c r="F72">
        <f t="shared" si="8"/>
        <v>0.31744000000000006</v>
      </c>
      <c r="G72" s="16">
        <f t="shared" si="9"/>
        <v>46.180918080000005</v>
      </c>
      <c r="H72" s="16">
        <f t="shared" si="10"/>
        <v>10.62703552</v>
      </c>
      <c r="J72" s="22">
        <f t="shared" si="11"/>
        <v>1964</v>
      </c>
      <c r="K72" s="16">
        <f t="shared" si="12"/>
        <v>46.180918080000005</v>
      </c>
      <c r="L72" s="16">
        <f t="shared" si="13"/>
        <v>10.62703552</v>
      </c>
      <c r="M72" s="16">
        <f t="shared" si="14"/>
        <v>35.553882560000005</v>
      </c>
    </row>
    <row r="73" spans="1:13" x14ac:dyDescent="0.25">
      <c r="A73" s="18">
        <f t="shared" si="7"/>
        <v>1965</v>
      </c>
      <c r="D73" s="16">
        <v>46.5</v>
      </c>
      <c r="E73" s="16">
        <v>11.6</v>
      </c>
      <c r="F73">
        <f t="shared" si="8"/>
        <v>0.5</v>
      </c>
      <c r="G73" s="16">
        <f t="shared" si="9"/>
        <v>46.046500000000009</v>
      </c>
      <c r="H73" s="16">
        <f t="shared" si="10"/>
        <v>10.520999999999999</v>
      </c>
      <c r="J73" s="22">
        <f t="shared" si="11"/>
        <v>1965</v>
      </c>
      <c r="K73" s="16">
        <f t="shared" si="12"/>
        <v>46.046500000000009</v>
      </c>
      <c r="L73" s="16">
        <f t="shared" si="13"/>
        <v>10.520999999999999</v>
      </c>
      <c r="M73" s="16">
        <f t="shared" si="14"/>
        <v>35.525500000000008</v>
      </c>
    </row>
    <row r="74" spans="1:13" x14ac:dyDescent="0.25">
      <c r="A74" s="18">
        <f t="shared" si="7"/>
        <v>1966</v>
      </c>
      <c r="D74" s="16">
        <v>46.3</v>
      </c>
      <c r="E74" s="16">
        <v>11.2</v>
      </c>
      <c r="F74">
        <f t="shared" si="8"/>
        <v>0.68256000000000006</v>
      </c>
      <c r="G74" s="16">
        <f t="shared" si="9"/>
        <v>46.01208192</v>
      </c>
      <c r="H74" s="16">
        <f t="shared" si="10"/>
        <v>10.51496448</v>
      </c>
      <c r="J74" s="22">
        <f t="shared" si="11"/>
        <v>1966</v>
      </c>
      <c r="K74" s="16">
        <f t="shared" si="12"/>
        <v>46.01208192</v>
      </c>
      <c r="L74" s="16">
        <f t="shared" si="13"/>
        <v>10.51496448</v>
      </c>
      <c r="M74" s="16">
        <f t="shared" si="14"/>
        <v>35.497117439999997</v>
      </c>
    </row>
    <row r="75" spans="1:13" x14ac:dyDescent="0.25">
      <c r="A75" s="18">
        <f t="shared" si="7"/>
        <v>1967</v>
      </c>
      <c r="D75" s="16">
        <v>45.9</v>
      </c>
      <c r="E75" s="16">
        <v>10.8</v>
      </c>
      <c r="F75">
        <f t="shared" si="8"/>
        <v>0.83691999999999966</v>
      </c>
      <c r="G75" s="16">
        <f t="shared" si="9"/>
        <v>45.752086439999999</v>
      </c>
      <c r="H75" s="16">
        <f t="shared" si="10"/>
        <v>10.44807336</v>
      </c>
      <c r="J75" s="22">
        <f t="shared" si="11"/>
        <v>1967</v>
      </c>
      <c r="K75" s="16">
        <f t="shared" si="12"/>
        <v>45.752086439999999</v>
      </c>
      <c r="L75" s="16">
        <f t="shared" si="13"/>
        <v>10.44807336</v>
      </c>
      <c r="M75" s="16">
        <f t="shared" si="14"/>
        <v>35.304013079999997</v>
      </c>
    </row>
    <row r="76" spans="1:13" x14ac:dyDescent="0.25">
      <c r="A76" s="18">
        <f t="shared" si="7"/>
        <v>1968</v>
      </c>
      <c r="D76" s="16">
        <v>45.6</v>
      </c>
      <c r="E76" s="16">
        <v>10.5</v>
      </c>
      <c r="F76">
        <f t="shared" si="8"/>
        <v>0.94208000000000058</v>
      </c>
      <c r="G76" s="16">
        <f t="shared" si="9"/>
        <v>45.547466560000004</v>
      </c>
      <c r="H76" s="16">
        <f t="shared" si="10"/>
        <v>10.375008640000001</v>
      </c>
      <c r="J76" s="22">
        <f t="shared" si="11"/>
        <v>1968</v>
      </c>
      <c r="K76" s="16">
        <f t="shared" si="12"/>
        <v>45.547466560000004</v>
      </c>
      <c r="L76" s="16">
        <f t="shared" si="13"/>
        <v>10.375008640000001</v>
      </c>
      <c r="M76" s="16">
        <f t="shared" si="14"/>
        <v>35.172457919999999</v>
      </c>
    </row>
    <row r="77" spans="1:13" x14ac:dyDescent="0.25">
      <c r="A77" s="18">
        <f t="shared" si="7"/>
        <v>1969</v>
      </c>
      <c r="D77" s="16">
        <v>45.1</v>
      </c>
      <c r="E77" s="16">
        <v>10.3</v>
      </c>
      <c r="F77">
        <f t="shared" si="8"/>
        <v>0.99144000000000032</v>
      </c>
      <c r="G77" s="16">
        <f t="shared" si="9"/>
        <v>45.092236079999999</v>
      </c>
      <c r="H77" s="16">
        <f t="shared" si="10"/>
        <v>10.281527520000001</v>
      </c>
      <c r="J77" s="22">
        <f t="shared" si="11"/>
        <v>1969</v>
      </c>
      <c r="K77" s="16">
        <f t="shared" si="12"/>
        <v>45.092236079999999</v>
      </c>
      <c r="L77" s="16">
        <f t="shared" si="13"/>
        <v>10.281527520000001</v>
      </c>
      <c r="M77" s="16">
        <f t="shared" si="14"/>
        <v>34.810708559999995</v>
      </c>
    </row>
    <row r="78" spans="1:13" x14ac:dyDescent="0.25">
      <c r="A78" s="18">
        <f t="shared" si="7"/>
        <v>1970</v>
      </c>
      <c r="D78" s="16">
        <v>44.5</v>
      </c>
      <c r="E78" s="16">
        <v>10</v>
      </c>
      <c r="F78">
        <f t="shared" si="8"/>
        <v>1</v>
      </c>
      <c r="G78" s="16">
        <f t="shared" si="9"/>
        <v>44.5</v>
      </c>
      <c r="H78" s="16">
        <f t="shared" si="10"/>
        <v>10</v>
      </c>
      <c r="J78" s="22">
        <f t="shared" si="11"/>
        <v>1970</v>
      </c>
      <c r="K78" s="16">
        <f t="shared" si="12"/>
        <v>44.5</v>
      </c>
      <c r="L78" s="16">
        <f t="shared" si="13"/>
        <v>10</v>
      </c>
      <c r="M78" s="16">
        <f t="shared" si="14"/>
        <v>34.5</v>
      </c>
    </row>
    <row r="79" spans="1:13" x14ac:dyDescent="0.25">
      <c r="A79" s="18">
        <f t="shared" si="7"/>
        <v>1971</v>
      </c>
      <c r="D79" s="16">
        <v>43.9</v>
      </c>
      <c r="E79" s="16">
        <v>9.6999999999999993</v>
      </c>
      <c r="F79">
        <f t="shared" si="8"/>
        <v>1</v>
      </c>
      <c r="G79" s="16">
        <f t="shared" si="9"/>
        <v>43.9</v>
      </c>
      <c r="H79" s="16">
        <f t="shared" si="10"/>
        <v>9.6999999999999993</v>
      </c>
      <c r="J79" s="22">
        <f t="shared" si="11"/>
        <v>1971</v>
      </c>
      <c r="K79" s="16">
        <f t="shared" si="12"/>
        <v>43.9</v>
      </c>
      <c r="L79" s="16">
        <f t="shared" si="13"/>
        <v>9.6999999999999993</v>
      </c>
      <c r="M79" s="16">
        <f t="shared" si="14"/>
        <v>34.200000000000003</v>
      </c>
    </row>
    <row r="80" spans="1:13" x14ac:dyDescent="0.25">
      <c r="A80" s="18">
        <f t="shared" si="7"/>
        <v>1972</v>
      </c>
      <c r="D80" s="16">
        <v>43</v>
      </c>
      <c r="E80" s="16">
        <v>9.3000000000000007</v>
      </c>
      <c r="F80">
        <f t="shared" si="8"/>
        <v>1</v>
      </c>
      <c r="G80" s="16">
        <f t="shared" si="9"/>
        <v>43</v>
      </c>
      <c r="H80" s="16">
        <f t="shared" si="10"/>
        <v>9.3000000000000007</v>
      </c>
      <c r="J80" s="22">
        <f t="shared" si="11"/>
        <v>1972</v>
      </c>
      <c r="K80" s="16">
        <f t="shared" si="12"/>
        <v>43</v>
      </c>
      <c r="L80" s="16">
        <f t="shared" si="13"/>
        <v>9.3000000000000007</v>
      </c>
      <c r="M80" s="16">
        <f t="shared" si="14"/>
        <v>33.700000000000003</v>
      </c>
    </row>
    <row r="81" spans="1:13" x14ac:dyDescent="0.25">
      <c r="A81" s="18">
        <f t="shared" si="7"/>
        <v>1973</v>
      </c>
      <c r="D81" s="16">
        <v>42.1</v>
      </c>
      <c r="E81" s="16">
        <v>9</v>
      </c>
      <c r="F81">
        <f t="shared" si="8"/>
        <v>1</v>
      </c>
      <c r="G81" s="16">
        <f t="shared" si="9"/>
        <v>42.1</v>
      </c>
      <c r="H81" s="16">
        <f t="shared" si="10"/>
        <v>9</v>
      </c>
      <c r="J81" s="22">
        <f t="shared" si="11"/>
        <v>1973</v>
      </c>
      <c r="K81" s="16">
        <f t="shared" si="12"/>
        <v>42.1</v>
      </c>
      <c r="L81" s="16">
        <f t="shared" si="13"/>
        <v>9</v>
      </c>
      <c r="M81" s="16">
        <f t="shared" si="14"/>
        <v>33.1</v>
      </c>
    </row>
    <row r="82" spans="1:13" x14ac:dyDescent="0.25">
      <c r="A82" s="18">
        <f t="shared" si="7"/>
        <v>1974</v>
      </c>
      <c r="D82" s="16">
        <v>41.2</v>
      </c>
      <c r="E82" s="16">
        <v>8.6</v>
      </c>
      <c r="F82">
        <f t="shared" si="8"/>
        <v>1</v>
      </c>
      <c r="G82" s="16">
        <f t="shared" si="9"/>
        <v>41.2</v>
      </c>
      <c r="H82" s="16">
        <f t="shared" si="10"/>
        <v>8.6</v>
      </c>
      <c r="J82" s="22">
        <f t="shared" si="11"/>
        <v>1974</v>
      </c>
      <c r="K82" s="16">
        <f t="shared" si="12"/>
        <v>41.2</v>
      </c>
      <c r="L82" s="16">
        <f t="shared" si="13"/>
        <v>8.6</v>
      </c>
      <c r="M82" s="16">
        <f t="shared" si="14"/>
        <v>32.6</v>
      </c>
    </row>
    <row r="83" spans="1:13" x14ac:dyDescent="0.25">
      <c r="A83" s="18">
        <f t="shared" si="7"/>
        <v>1975</v>
      </c>
      <c r="D83" s="16">
        <v>40.1</v>
      </c>
      <c r="E83" s="16">
        <v>8.1999999999999993</v>
      </c>
      <c r="F83">
        <f t="shared" si="8"/>
        <v>1</v>
      </c>
      <c r="G83" s="16">
        <f t="shared" si="9"/>
        <v>40.1</v>
      </c>
      <c r="H83" s="16">
        <f t="shared" si="10"/>
        <v>8.1999999999999993</v>
      </c>
      <c r="J83" s="22">
        <f t="shared" si="11"/>
        <v>1975</v>
      </c>
      <c r="K83" s="16">
        <f t="shared" si="12"/>
        <v>40.1</v>
      </c>
      <c r="L83" s="16">
        <f t="shared" si="13"/>
        <v>8.1999999999999993</v>
      </c>
      <c r="M83" s="16">
        <f t="shared" si="14"/>
        <v>31.900000000000002</v>
      </c>
    </row>
    <row r="84" spans="1:13" x14ac:dyDescent="0.25">
      <c r="A84" s="18">
        <f t="shared" si="7"/>
        <v>1976</v>
      </c>
      <c r="D84" s="16">
        <v>39.1</v>
      </c>
      <c r="E84" s="16">
        <v>7.9</v>
      </c>
      <c r="F84">
        <f t="shared" si="8"/>
        <v>1</v>
      </c>
      <c r="G84" s="16">
        <f t="shared" si="9"/>
        <v>39.1</v>
      </c>
      <c r="H84" s="16">
        <f t="shared" si="10"/>
        <v>7.9</v>
      </c>
      <c r="J84" s="22">
        <f t="shared" si="11"/>
        <v>1976</v>
      </c>
      <c r="K84" s="16">
        <f t="shared" si="12"/>
        <v>39.1</v>
      </c>
      <c r="L84" s="16">
        <f t="shared" si="13"/>
        <v>7.9</v>
      </c>
      <c r="M84" s="16">
        <f t="shared" si="14"/>
        <v>31.200000000000003</v>
      </c>
    </row>
    <row r="85" spans="1:13" x14ac:dyDescent="0.25">
      <c r="A85" s="18">
        <f t="shared" si="7"/>
        <v>1977</v>
      </c>
      <c r="D85" s="16">
        <v>38.1</v>
      </c>
      <c r="E85" s="16">
        <v>7.6</v>
      </c>
      <c r="F85">
        <f t="shared" si="8"/>
        <v>1</v>
      </c>
      <c r="G85" s="16">
        <f t="shared" si="9"/>
        <v>38.1</v>
      </c>
      <c r="H85" s="16">
        <f t="shared" si="10"/>
        <v>7.6</v>
      </c>
      <c r="J85" s="22">
        <f t="shared" si="11"/>
        <v>1977</v>
      </c>
      <c r="K85" s="16">
        <f t="shared" si="12"/>
        <v>38.1</v>
      </c>
      <c r="L85" s="16">
        <f t="shared" si="13"/>
        <v>7.6</v>
      </c>
      <c r="M85" s="16">
        <f t="shared" si="14"/>
        <v>30.5</v>
      </c>
    </row>
    <row r="86" spans="1:13" x14ac:dyDescent="0.25">
      <c r="A86" s="18">
        <f t="shared" si="7"/>
        <v>1978</v>
      </c>
      <c r="D86" s="16">
        <v>37.4</v>
      </c>
      <c r="E86" s="16">
        <v>7.4</v>
      </c>
      <c r="F86">
        <f t="shared" si="8"/>
        <v>1</v>
      </c>
      <c r="G86" s="16">
        <f t="shared" si="9"/>
        <v>37.4</v>
      </c>
      <c r="H86" s="16">
        <f t="shared" si="10"/>
        <v>7.4</v>
      </c>
      <c r="J86" s="22">
        <f t="shared" si="11"/>
        <v>1978</v>
      </c>
      <c r="K86" s="16">
        <f t="shared" si="12"/>
        <v>37.4</v>
      </c>
      <c r="L86" s="16">
        <f t="shared" si="13"/>
        <v>7.4</v>
      </c>
      <c r="M86" s="16">
        <f t="shared" si="14"/>
        <v>30</v>
      </c>
    </row>
    <row r="87" spans="1:13" x14ac:dyDescent="0.25">
      <c r="A87" s="18">
        <f t="shared" si="7"/>
        <v>1979</v>
      </c>
      <c r="D87" s="16">
        <v>36.200000000000003</v>
      </c>
      <c r="E87" s="16">
        <v>7.1</v>
      </c>
      <c r="F87">
        <f t="shared" si="8"/>
        <v>1</v>
      </c>
      <c r="G87" s="16">
        <f t="shared" si="9"/>
        <v>36.200000000000003</v>
      </c>
      <c r="H87" s="16">
        <f t="shared" si="10"/>
        <v>7.1</v>
      </c>
      <c r="J87" s="22">
        <f t="shared" si="11"/>
        <v>1979</v>
      </c>
      <c r="K87" s="16">
        <f t="shared" si="12"/>
        <v>36.200000000000003</v>
      </c>
      <c r="L87" s="16">
        <f t="shared" si="13"/>
        <v>7.1</v>
      </c>
      <c r="M87" s="16">
        <f t="shared" si="14"/>
        <v>29.1</v>
      </c>
    </row>
    <row r="88" spans="1:13" x14ac:dyDescent="0.25">
      <c r="A88" s="18">
        <f t="shared" si="7"/>
        <v>1980</v>
      </c>
      <c r="D88" s="16">
        <v>35</v>
      </c>
      <c r="E88" s="16">
        <v>6.9</v>
      </c>
      <c r="F88">
        <f t="shared" si="8"/>
        <v>1</v>
      </c>
      <c r="G88" s="16">
        <f t="shared" si="9"/>
        <v>35</v>
      </c>
      <c r="H88" s="16">
        <f t="shared" si="10"/>
        <v>6.9</v>
      </c>
      <c r="J88" s="22">
        <f t="shared" si="11"/>
        <v>1980</v>
      </c>
      <c r="K88" s="16">
        <f t="shared" si="12"/>
        <v>35</v>
      </c>
      <c r="L88" s="16">
        <f t="shared" si="13"/>
        <v>6.9</v>
      </c>
      <c r="M88" s="16">
        <f t="shared" si="14"/>
        <v>28.1</v>
      </c>
    </row>
    <row r="89" spans="1:13" x14ac:dyDescent="0.25">
      <c r="A89" s="18">
        <f t="shared" si="7"/>
        <v>1981</v>
      </c>
      <c r="D89" s="16">
        <v>34.299999999999997</v>
      </c>
      <c r="E89" s="16">
        <v>6.7</v>
      </c>
      <c r="F89">
        <f t="shared" si="8"/>
        <v>1</v>
      </c>
      <c r="G89" s="16">
        <f t="shared" si="9"/>
        <v>34.299999999999997</v>
      </c>
      <c r="H89" s="16">
        <f t="shared" si="10"/>
        <v>6.7</v>
      </c>
      <c r="J89" s="22">
        <f t="shared" si="11"/>
        <v>1981</v>
      </c>
      <c r="K89" s="16">
        <f t="shared" si="12"/>
        <v>34.299999999999997</v>
      </c>
      <c r="L89" s="16">
        <f t="shared" si="13"/>
        <v>6.7</v>
      </c>
      <c r="M89" s="16">
        <f t="shared" si="14"/>
        <v>27.599999999999998</v>
      </c>
    </row>
    <row r="90" spans="1:13" x14ac:dyDescent="0.25">
      <c r="A90" s="18">
        <f t="shared" si="7"/>
        <v>1982</v>
      </c>
      <c r="D90" s="16">
        <v>33.9</v>
      </c>
      <c r="E90" s="16">
        <v>6.6</v>
      </c>
      <c r="F90">
        <f t="shared" si="8"/>
        <v>1</v>
      </c>
      <c r="G90" s="16">
        <f t="shared" si="9"/>
        <v>33.9</v>
      </c>
      <c r="H90" s="16">
        <f t="shared" si="10"/>
        <v>6.6</v>
      </c>
      <c r="J90" s="22">
        <f t="shared" si="11"/>
        <v>1982</v>
      </c>
      <c r="K90" s="16">
        <f t="shared" si="12"/>
        <v>33.9</v>
      </c>
      <c r="L90" s="16">
        <f t="shared" si="13"/>
        <v>6.6</v>
      </c>
      <c r="M90" s="16">
        <f t="shared" si="14"/>
        <v>27.299999999999997</v>
      </c>
    </row>
    <row r="91" spans="1:13" x14ac:dyDescent="0.25">
      <c r="A91" s="18">
        <f t="shared" si="7"/>
        <v>1983</v>
      </c>
      <c r="D91" s="16">
        <v>33.4</v>
      </c>
      <c r="E91" s="16">
        <v>6.5</v>
      </c>
      <c r="F91">
        <f t="shared" si="8"/>
        <v>1</v>
      </c>
      <c r="G91" s="16">
        <f t="shared" si="9"/>
        <v>33.4</v>
      </c>
      <c r="H91" s="16">
        <f t="shared" si="10"/>
        <v>6.5</v>
      </c>
      <c r="J91" s="22">
        <f t="shared" si="11"/>
        <v>1983</v>
      </c>
      <c r="K91" s="16">
        <f t="shared" si="12"/>
        <v>33.4</v>
      </c>
      <c r="L91" s="16">
        <f t="shared" si="13"/>
        <v>6.5</v>
      </c>
      <c r="M91" s="16">
        <f t="shared" si="14"/>
        <v>26.9</v>
      </c>
    </row>
    <row r="92" spans="1:13" x14ac:dyDescent="0.25">
      <c r="A92" s="18">
        <f t="shared" si="7"/>
        <v>1984</v>
      </c>
      <c r="D92" s="16">
        <v>33.1</v>
      </c>
      <c r="E92" s="16">
        <v>6.4</v>
      </c>
      <c r="F92">
        <f t="shared" si="8"/>
        <v>1</v>
      </c>
      <c r="G92" s="16">
        <f t="shared" si="9"/>
        <v>33.1</v>
      </c>
      <c r="H92" s="16">
        <f t="shared" si="10"/>
        <v>6.4</v>
      </c>
      <c r="J92" s="22">
        <f t="shared" si="11"/>
        <v>1984</v>
      </c>
      <c r="K92" s="16">
        <f t="shared" si="12"/>
        <v>33.1</v>
      </c>
      <c r="L92" s="16">
        <f t="shared" si="13"/>
        <v>6.4</v>
      </c>
      <c r="M92" s="16">
        <f t="shared" si="14"/>
        <v>26.700000000000003</v>
      </c>
    </row>
    <row r="93" spans="1:13" x14ac:dyDescent="0.25">
      <c r="A93" s="18">
        <f t="shared" si="7"/>
        <v>1985</v>
      </c>
      <c r="D93" s="16">
        <v>32.700000000000003</v>
      </c>
      <c r="E93" s="16">
        <v>6.3</v>
      </c>
      <c r="F93">
        <f t="shared" si="8"/>
        <v>1</v>
      </c>
      <c r="G93" s="16">
        <f t="shared" si="9"/>
        <v>32.700000000000003</v>
      </c>
      <c r="H93" s="16">
        <f t="shared" si="10"/>
        <v>6.3</v>
      </c>
      <c r="J93" s="22">
        <f t="shared" si="11"/>
        <v>1985</v>
      </c>
      <c r="K93" s="16">
        <f t="shared" si="12"/>
        <v>32.700000000000003</v>
      </c>
      <c r="L93" s="16">
        <f t="shared" si="13"/>
        <v>6.3</v>
      </c>
      <c r="M93" s="16">
        <f t="shared" si="14"/>
        <v>26.400000000000002</v>
      </c>
    </row>
    <row r="94" spans="1:13" x14ac:dyDescent="0.25">
      <c r="A94" s="18">
        <f t="shared" si="7"/>
        <v>1986</v>
      </c>
      <c r="D94" s="16">
        <v>32.299999999999997</v>
      </c>
      <c r="E94" s="16">
        <v>6.2</v>
      </c>
      <c r="F94">
        <f t="shared" si="8"/>
        <v>1</v>
      </c>
      <c r="G94" s="16">
        <f t="shared" si="9"/>
        <v>32.299999999999997</v>
      </c>
      <c r="H94" s="16">
        <f t="shared" si="10"/>
        <v>6.2</v>
      </c>
      <c r="J94" s="22">
        <f t="shared" si="11"/>
        <v>1986</v>
      </c>
      <c r="K94" s="16">
        <f t="shared" si="12"/>
        <v>32.299999999999997</v>
      </c>
      <c r="L94" s="16">
        <f t="shared" si="13"/>
        <v>6.2</v>
      </c>
      <c r="M94" s="16">
        <f t="shared" si="14"/>
        <v>26.099999999999998</v>
      </c>
    </row>
    <row r="95" spans="1:13" x14ac:dyDescent="0.25">
      <c r="A95" s="18">
        <f t="shared" si="7"/>
        <v>1987</v>
      </c>
      <c r="D95" s="16">
        <v>31.4</v>
      </c>
      <c r="E95" s="16">
        <v>6.1</v>
      </c>
      <c r="F95">
        <f t="shared" si="8"/>
        <v>1</v>
      </c>
      <c r="G95" s="16">
        <f t="shared" si="9"/>
        <v>31.4</v>
      </c>
      <c r="H95" s="16">
        <f t="shared" si="10"/>
        <v>6.1</v>
      </c>
      <c r="J95" s="22">
        <f t="shared" si="11"/>
        <v>1987</v>
      </c>
      <c r="K95" s="16">
        <f t="shared" si="12"/>
        <v>31.4</v>
      </c>
      <c r="L95" s="16">
        <f t="shared" si="13"/>
        <v>6.1</v>
      </c>
      <c r="M95" s="16">
        <f t="shared" si="14"/>
        <v>25.299999999999997</v>
      </c>
    </row>
    <row r="96" spans="1:13" x14ac:dyDescent="0.25">
      <c r="A96" s="18">
        <f t="shared" si="7"/>
        <v>1988</v>
      </c>
      <c r="D96" s="16">
        <v>30.4</v>
      </c>
      <c r="E96" s="16">
        <v>6.1</v>
      </c>
      <c r="F96">
        <f t="shared" si="8"/>
        <v>1</v>
      </c>
      <c r="G96" s="16">
        <f t="shared" si="9"/>
        <v>30.4</v>
      </c>
      <c r="H96" s="16">
        <f t="shared" si="10"/>
        <v>6.1</v>
      </c>
      <c r="J96" s="22">
        <f t="shared" si="11"/>
        <v>1988</v>
      </c>
      <c r="K96" s="16">
        <f t="shared" si="12"/>
        <v>30.4</v>
      </c>
      <c r="L96" s="16">
        <f t="shared" si="13"/>
        <v>6.1</v>
      </c>
      <c r="M96" s="16">
        <f t="shared" si="14"/>
        <v>24.299999999999997</v>
      </c>
    </row>
    <row r="97" spans="1:13" x14ac:dyDescent="0.25">
      <c r="A97" s="18">
        <f t="shared" si="7"/>
        <v>1989</v>
      </c>
      <c r="D97" s="16">
        <v>29.9</v>
      </c>
      <c r="E97" s="16">
        <v>6.2</v>
      </c>
      <c r="F97">
        <f t="shared" si="8"/>
        <v>1</v>
      </c>
      <c r="G97" s="16">
        <f t="shared" si="9"/>
        <v>29.9</v>
      </c>
      <c r="H97" s="16">
        <f t="shared" si="10"/>
        <v>6.2</v>
      </c>
      <c r="J97" s="22">
        <f t="shared" si="11"/>
        <v>1989</v>
      </c>
      <c r="K97" s="16">
        <f t="shared" si="12"/>
        <v>29.9</v>
      </c>
      <c r="L97" s="16">
        <f t="shared" si="13"/>
        <v>6.2</v>
      </c>
      <c r="M97" s="16">
        <f t="shared" si="14"/>
        <v>23.7</v>
      </c>
    </row>
    <row r="98" spans="1:13" x14ac:dyDescent="0.25">
      <c r="A98" s="18">
        <f t="shared" si="7"/>
        <v>1990</v>
      </c>
      <c r="D98" s="16">
        <v>29.4</v>
      </c>
      <c r="E98" s="16">
        <v>6.2</v>
      </c>
      <c r="F98">
        <f t="shared" si="8"/>
        <v>1</v>
      </c>
      <c r="G98" s="16">
        <f t="shared" si="9"/>
        <v>29.4</v>
      </c>
      <c r="H98" s="16">
        <f t="shared" si="10"/>
        <v>6.2</v>
      </c>
      <c r="J98" s="22">
        <f t="shared" si="11"/>
        <v>1990</v>
      </c>
      <c r="K98" s="16">
        <f t="shared" si="12"/>
        <v>29.4</v>
      </c>
      <c r="L98" s="16">
        <f t="shared" si="13"/>
        <v>6.2</v>
      </c>
      <c r="M98" s="16">
        <f t="shared" si="14"/>
        <v>23.2</v>
      </c>
    </row>
    <row r="99" spans="1:13" x14ac:dyDescent="0.25">
      <c r="A99" s="18">
        <f t="shared" si="7"/>
        <v>1991</v>
      </c>
      <c r="D99" s="16">
        <v>29.1</v>
      </c>
      <c r="E99" s="16">
        <v>6.1</v>
      </c>
      <c r="F99">
        <f t="shared" si="8"/>
        <v>1</v>
      </c>
      <c r="G99" s="16">
        <f t="shared" si="9"/>
        <v>29.1</v>
      </c>
      <c r="H99" s="16">
        <f t="shared" si="10"/>
        <v>6.1</v>
      </c>
      <c r="J99" s="22">
        <f t="shared" si="11"/>
        <v>1991</v>
      </c>
      <c r="K99" s="16">
        <f t="shared" si="12"/>
        <v>29.1</v>
      </c>
      <c r="L99" s="16">
        <f t="shared" si="13"/>
        <v>6.1</v>
      </c>
      <c r="M99" s="16">
        <f t="shared" si="14"/>
        <v>23</v>
      </c>
    </row>
    <row r="100" spans="1:13" x14ac:dyDescent="0.25">
      <c r="A100" s="18">
        <f t="shared" si="7"/>
        <v>1992</v>
      </c>
      <c r="D100" s="16">
        <v>28.7</v>
      </c>
      <c r="E100" s="16">
        <v>6</v>
      </c>
      <c r="F100">
        <f t="shared" si="8"/>
        <v>1</v>
      </c>
      <c r="G100" s="16">
        <f t="shared" si="9"/>
        <v>28.7</v>
      </c>
      <c r="H100" s="16">
        <f t="shared" si="10"/>
        <v>6</v>
      </c>
      <c r="J100" s="22">
        <f t="shared" si="11"/>
        <v>1992</v>
      </c>
      <c r="K100" s="16">
        <f t="shared" si="12"/>
        <v>28.7</v>
      </c>
      <c r="L100" s="16">
        <f t="shared" si="13"/>
        <v>6</v>
      </c>
      <c r="M100" s="16">
        <f t="shared" si="14"/>
        <v>22.7</v>
      </c>
    </row>
    <row r="101" spans="1:13" x14ac:dyDescent="0.25">
      <c r="A101" s="18">
        <f t="shared" si="7"/>
        <v>1993</v>
      </c>
      <c r="D101" s="16">
        <v>28.3</v>
      </c>
      <c r="E101" s="16">
        <v>5.9</v>
      </c>
      <c r="F101">
        <f t="shared" si="8"/>
        <v>1</v>
      </c>
      <c r="G101" s="16">
        <f t="shared" si="9"/>
        <v>28.3</v>
      </c>
      <c r="H101" s="16">
        <f t="shared" si="10"/>
        <v>5.9</v>
      </c>
      <c r="J101" s="22">
        <f t="shared" si="11"/>
        <v>1993</v>
      </c>
      <c r="K101" s="16">
        <f t="shared" si="12"/>
        <v>28.3</v>
      </c>
      <c r="L101" s="16">
        <f t="shared" si="13"/>
        <v>5.9</v>
      </c>
      <c r="M101" s="16">
        <f t="shared" si="14"/>
        <v>22.4</v>
      </c>
    </row>
    <row r="102" spans="1:13" x14ac:dyDescent="0.25">
      <c r="A102" s="18">
        <f t="shared" si="7"/>
        <v>1994</v>
      </c>
      <c r="D102" s="16">
        <v>27.7</v>
      </c>
      <c r="E102" s="16">
        <v>5.8</v>
      </c>
      <c r="F102">
        <f t="shared" si="8"/>
        <v>1</v>
      </c>
      <c r="G102" s="16">
        <f t="shared" si="9"/>
        <v>27.7</v>
      </c>
      <c r="H102" s="16">
        <f t="shared" si="10"/>
        <v>5.8</v>
      </c>
      <c r="J102" s="22">
        <f t="shared" si="11"/>
        <v>1994</v>
      </c>
      <c r="K102" s="16">
        <f t="shared" si="12"/>
        <v>27.7</v>
      </c>
      <c r="L102" s="16">
        <f t="shared" si="13"/>
        <v>5.8</v>
      </c>
      <c r="M102" s="16">
        <f t="shared" si="14"/>
        <v>21.9</v>
      </c>
    </row>
    <row r="103" spans="1:13" x14ac:dyDescent="0.25">
      <c r="A103" s="18">
        <f t="shared" si="7"/>
        <v>1995</v>
      </c>
      <c r="D103" s="16">
        <v>27.1</v>
      </c>
      <c r="E103" s="16">
        <v>5.7</v>
      </c>
      <c r="F103">
        <f t="shared" si="8"/>
        <v>1</v>
      </c>
      <c r="G103" s="16">
        <f t="shared" si="9"/>
        <v>27.1</v>
      </c>
      <c r="H103" s="16">
        <f t="shared" si="10"/>
        <v>5.7</v>
      </c>
      <c r="J103" s="22">
        <f t="shared" si="11"/>
        <v>1995</v>
      </c>
      <c r="K103" s="16">
        <f t="shared" si="12"/>
        <v>27.1</v>
      </c>
      <c r="L103" s="16">
        <f t="shared" si="13"/>
        <v>5.7</v>
      </c>
      <c r="M103" s="16">
        <f t="shared" si="14"/>
        <v>21.400000000000002</v>
      </c>
    </row>
    <row r="104" spans="1:13" x14ac:dyDescent="0.25">
      <c r="A104" s="18">
        <f t="shared" si="7"/>
        <v>1996</v>
      </c>
      <c r="D104" s="16">
        <v>26.4</v>
      </c>
      <c r="E104" s="16">
        <v>5.6</v>
      </c>
      <c r="F104">
        <f t="shared" si="8"/>
        <v>1</v>
      </c>
      <c r="G104" s="16">
        <f t="shared" si="9"/>
        <v>26.4</v>
      </c>
      <c r="H104" s="16">
        <f t="shared" si="10"/>
        <v>5.6</v>
      </c>
      <c r="J104" s="22">
        <f t="shared" si="11"/>
        <v>1996</v>
      </c>
      <c r="K104" s="16">
        <f t="shared" si="12"/>
        <v>26.4</v>
      </c>
      <c r="L104" s="16">
        <f t="shared" si="13"/>
        <v>5.6</v>
      </c>
      <c r="M104" s="16">
        <f t="shared" si="14"/>
        <v>20.799999999999997</v>
      </c>
    </row>
    <row r="105" spans="1:13" x14ac:dyDescent="0.25">
      <c r="A105" s="18">
        <f t="shared" si="7"/>
        <v>1997</v>
      </c>
      <c r="D105" s="16">
        <v>25.8</v>
      </c>
      <c r="E105" s="16">
        <v>5.6</v>
      </c>
      <c r="F105">
        <f t="shared" si="8"/>
        <v>1</v>
      </c>
      <c r="G105" s="16">
        <f t="shared" si="9"/>
        <v>25.8</v>
      </c>
      <c r="H105" s="16">
        <f t="shared" si="10"/>
        <v>5.6</v>
      </c>
      <c r="J105" s="22">
        <f t="shared" si="11"/>
        <v>1997</v>
      </c>
      <c r="K105" s="16">
        <f t="shared" si="12"/>
        <v>25.8</v>
      </c>
      <c r="L105" s="16">
        <f t="shared" si="13"/>
        <v>5.6</v>
      </c>
      <c r="M105" s="16">
        <f t="shared" si="14"/>
        <v>20.200000000000003</v>
      </c>
    </row>
    <row r="106" spans="1:13" x14ac:dyDescent="0.25">
      <c r="A106" s="18">
        <f t="shared" si="7"/>
        <v>1998</v>
      </c>
      <c r="D106" s="16">
        <v>25.1</v>
      </c>
      <c r="E106" s="16">
        <v>5.5</v>
      </c>
      <c r="F106">
        <f t="shared" si="8"/>
        <v>1</v>
      </c>
      <c r="G106" s="16">
        <f t="shared" si="9"/>
        <v>25.1</v>
      </c>
      <c r="H106" s="16">
        <f t="shared" si="10"/>
        <v>5.5</v>
      </c>
      <c r="J106" s="22">
        <f t="shared" si="11"/>
        <v>1998</v>
      </c>
      <c r="K106" s="16">
        <f t="shared" si="12"/>
        <v>25.1</v>
      </c>
      <c r="L106" s="16">
        <f t="shared" si="13"/>
        <v>5.5</v>
      </c>
      <c r="M106" s="16">
        <f t="shared" si="14"/>
        <v>19.600000000000001</v>
      </c>
    </row>
    <row r="107" spans="1:13" x14ac:dyDescent="0.25">
      <c r="A107" s="18">
        <f t="shared" si="7"/>
        <v>1999</v>
      </c>
      <c r="D107" s="16">
        <v>24.6</v>
      </c>
      <c r="E107" s="16">
        <v>5.5</v>
      </c>
      <c r="F107">
        <f t="shared" si="8"/>
        <v>1</v>
      </c>
      <c r="G107" s="16">
        <f t="shared" si="9"/>
        <v>24.6</v>
      </c>
      <c r="H107" s="16">
        <f t="shared" si="10"/>
        <v>5.5</v>
      </c>
      <c r="J107" s="22">
        <f t="shared" si="11"/>
        <v>1999</v>
      </c>
      <c r="K107" s="16">
        <f t="shared" si="12"/>
        <v>24.6</v>
      </c>
      <c r="L107" s="16">
        <f t="shared" si="13"/>
        <v>5.5</v>
      </c>
      <c r="M107" s="16">
        <f t="shared" si="14"/>
        <v>19.100000000000001</v>
      </c>
    </row>
    <row r="108" spans="1:13" x14ac:dyDescent="0.25">
      <c r="A108" s="18">
        <f t="shared" si="7"/>
        <v>2000</v>
      </c>
      <c r="D108" s="16">
        <v>24.2</v>
      </c>
      <c r="E108" s="16">
        <v>5.5</v>
      </c>
      <c r="F108">
        <f t="shared" si="8"/>
        <v>1</v>
      </c>
      <c r="G108" s="16">
        <f t="shared" si="9"/>
        <v>24.2</v>
      </c>
      <c r="H108" s="16">
        <f t="shared" si="10"/>
        <v>5.5</v>
      </c>
      <c r="J108" s="22">
        <f t="shared" si="11"/>
        <v>2000</v>
      </c>
      <c r="K108" s="16">
        <f t="shared" si="12"/>
        <v>24.2</v>
      </c>
      <c r="L108" s="16">
        <f t="shared" si="13"/>
        <v>5.5</v>
      </c>
      <c r="M108" s="16">
        <f t="shared" si="14"/>
        <v>18.7</v>
      </c>
    </row>
    <row r="109" spans="1:13" x14ac:dyDescent="0.25">
      <c r="A109" s="18">
        <f t="shared" si="7"/>
        <v>2001</v>
      </c>
      <c r="D109" s="16">
        <v>23.8</v>
      </c>
      <c r="E109" s="16">
        <v>5.4</v>
      </c>
      <c r="F109">
        <f t="shared" si="8"/>
        <v>1</v>
      </c>
      <c r="G109" s="16">
        <f t="shared" si="9"/>
        <v>23.8</v>
      </c>
      <c r="H109" s="16">
        <f t="shared" si="10"/>
        <v>5.4</v>
      </c>
      <c r="J109" s="22">
        <f t="shared" si="11"/>
        <v>2001</v>
      </c>
      <c r="K109" s="16">
        <f t="shared" si="12"/>
        <v>23.8</v>
      </c>
      <c r="L109" s="16">
        <f t="shared" si="13"/>
        <v>5.4</v>
      </c>
      <c r="M109" s="16">
        <f t="shared" si="14"/>
        <v>18.399999999999999</v>
      </c>
    </row>
    <row r="110" spans="1:13" x14ac:dyDescent="0.25">
      <c r="A110" s="18">
        <f t="shared" si="7"/>
        <v>2002</v>
      </c>
      <c r="D110" s="16">
        <v>23.4</v>
      </c>
      <c r="E110" s="16">
        <v>5.5</v>
      </c>
      <c r="F110">
        <f t="shared" si="8"/>
        <v>1</v>
      </c>
      <c r="G110" s="16">
        <f t="shared" si="9"/>
        <v>23.4</v>
      </c>
      <c r="H110" s="16">
        <f t="shared" si="10"/>
        <v>5.5</v>
      </c>
      <c r="J110" s="22">
        <f t="shared" si="11"/>
        <v>2002</v>
      </c>
      <c r="K110" s="16">
        <f t="shared" si="12"/>
        <v>23.4</v>
      </c>
      <c r="L110" s="16">
        <f t="shared" si="13"/>
        <v>5.5</v>
      </c>
      <c r="M110" s="16">
        <f t="shared" si="14"/>
        <v>17.899999999999999</v>
      </c>
    </row>
    <row r="111" spans="1:13" x14ac:dyDescent="0.25">
      <c r="A111" s="18">
        <f t="shared" si="7"/>
        <v>2003</v>
      </c>
      <c r="D111" s="16">
        <v>22.8</v>
      </c>
      <c r="E111" s="16">
        <v>5.5</v>
      </c>
      <c r="F111">
        <f t="shared" si="8"/>
        <v>1</v>
      </c>
      <c r="G111" s="16">
        <f t="shared" si="9"/>
        <v>22.8</v>
      </c>
      <c r="H111" s="16">
        <f t="shared" si="10"/>
        <v>5.5</v>
      </c>
      <c r="J111" s="22">
        <f t="shared" si="11"/>
        <v>2003</v>
      </c>
      <c r="K111" s="16">
        <f t="shared" si="12"/>
        <v>22.8</v>
      </c>
      <c r="L111" s="16">
        <f t="shared" si="13"/>
        <v>5.5</v>
      </c>
      <c r="M111" s="16">
        <f t="shared" si="14"/>
        <v>17.3</v>
      </c>
    </row>
    <row r="112" spans="1:13" x14ac:dyDescent="0.25">
      <c r="A112" s="18">
        <f t="shared" si="7"/>
        <v>2004</v>
      </c>
      <c r="D112" s="16">
        <v>22.4</v>
      </c>
      <c r="E112" s="16">
        <v>5.5</v>
      </c>
      <c r="F112">
        <f t="shared" si="8"/>
        <v>1</v>
      </c>
      <c r="G112" s="16">
        <f t="shared" si="9"/>
        <v>22.4</v>
      </c>
      <c r="H112" s="16">
        <f t="shared" si="10"/>
        <v>5.5</v>
      </c>
      <c r="J112" s="22">
        <f t="shared" si="11"/>
        <v>2004</v>
      </c>
      <c r="K112" s="16">
        <f t="shared" si="12"/>
        <v>22.4</v>
      </c>
      <c r="L112" s="16">
        <f t="shared" si="13"/>
        <v>5.5</v>
      </c>
      <c r="M112" s="16">
        <f t="shared" si="14"/>
        <v>16.899999999999999</v>
      </c>
    </row>
    <row r="113" spans="1:13" x14ac:dyDescent="0.25">
      <c r="A113" s="18">
        <f t="shared" si="7"/>
        <v>2005</v>
      </c>
      <c r="D113" s="16">
        <v>21.9</v>
      </c>
      <c r="E113" s="16">
        <v>5.5</v>
      </c>
      <c r="F113">
        <f t="shared" si="8"/>
        <v>1</v>
      </c>
      <c r="G113" s="16">
        <f t="shared" si="9"/>
        <v>21.9</v>
      </c>
      <c r="H113" s="16">
        <f t="shared" si="10"/>
        <v>5.5</v>
      </c>
      <c r="J113" s="22">
        <f t="shared" si="11"/>
        <v>2005</v>
      </c>
      <c r="K113" s="16">
        <f t="shared" si="12"/>
        <v>21.9</v>
      </c>
      <c r="L113" s="16">
        <f t="shared" si="13"/>
        <v>5.5</v>
      </c>
      <c r="M113" s="16">
        <f t="shared" si="14"/>
        <v>16.399999999999999</v>
      </c>
    </row>
    <row r="114" spans="1:13" x14ac:dyDescent="0.25">
      <c r="A114" s="18">
        <f t="shared" si="7"/>
        <v>2006</v>
      </c>
      <c r="D114" s="16">
        <v>21.5</v>
      </c>
      <c r="E114" s="16">
        <v>5.6</v>
      </c>
      <c r="F114">
        <f t="shared" si="8"/>
        <v>1</v>
      </c>
      <c r="G114" s="16">
        <f t="shared" si="9"/>
        <v>21.5</v>
      </c>
      <c r="H114" s="16">
        <f t="shared" si="10"/>
        <v>5.6</v>
      </c>
      <c r="J114" s="22">
        <f t="shared" si="11"/>
        <v>2006</v>
      </c>
      <c r="K114" s="16">
        <f t="shared" si="12"/>
        <v>21.5</v>
      </c>
      <c r="L114" s="16">
        <f t="shared" si="13"/>
        <v>5.6</v>
      </c>
      <c r="M114" s="16">
        <f t="shared" si="14"/>
        <v>15.9</v>
      </c>
    </row>
    <row r="115" spans="1:13" x14ac:dyDescent="0.25">
      <c r="A115" s="18">
        <f t="shared" si="7"/>
        <v>2007</v>
      </c>
      <c r="D115" s="16">
        <v>21.1</v>
      </c>
      <c r="E115" s="16">
        <v>5.6</v>
      </c>
      <c r="F115">
        <f t="shared" si="8"/>
        <v>1</v>
      </c>
      <c r="G115" s="16">
        <f t="shared" si="9"/>
        <v>21.1</v>
      </c>
      <c r="H115" s="16">
        <f t="shared" si="10"/>
        <v>5.6</v>
      </c>
      <c r="J115" s="22">
        <f t="shared" si="11"/>
        <v>2007</v>
      </c>
      <c r="K115" s="16">
        <f t="shared" si="12"/>
        <v>21.1</v>
      </c>
      <c r="L115" s="16">
        <f t="shared" si="13"/>
        <v>5.6</v>
      </c>
      <c r="M115" s="16">
        <f t="shared" si="14"/>
        <v>15.500000000000002</v>
      </c>
    </row>
    <row r="116" spans="1:13" x14ac:dyDescent="0.25">
      <c r="A116" s="18">
        <f t="shared" si="7"/>
        <v>2008</v>
      </c>
      <c r="D116" s="16">
        <v>20.8</v>
      </c>
      <c r="E116" s="16">
        <v>5.7</v>
      </c>
      <c r="F116">
        <f t="shared" si="8"/>
        <v>1</v>
      </c>
      <c r="G116" s="16">
        <f t="shared" si="9"/>
        <v>20.8</v>
      </c>
      <c r="H116" s="16">
        <f t="shared" si="10"/>
        <v>5.7</v>
      </c>
      <c r="J116" s="22">
        <f t="shared" si="11"/>
        <v>2008</v>
      </c>
      <c r="K116" s="16">
        <f t="shared" si="12"/>
        <v>20.8</v>
      </c>
      <c r="L116" s="16">
        <f t="shared" si="13"/>
        <v>5.7</v>
      </c>
      <c r="M116" s="16">
        <f t="shared" si="14"/>
        <v>15.100000000000001</v>
      </c>
    </row>
    <row r="117" spans="1:13" x14ac:dyDescent="0.25">
      <c r="A117" s="18">
        <f t="shared" si="7"/>
        <v>2009</v>
      </c>
      <c r="D117" s="16">
        <v>20.6</v>
      </c>
      <c r="E117" s="16">
        <v>5.7</v>
      </c>
      <c r="F117">
        <f t="shared" si="8"/>
        <v>1</v>
      </c>
      <c r="G117" s="16">
        <f t="shared" si="9"/>
        <v>20.6</v>
      </c>
      <c r="H117" s="16">
        <f t="shared" si="10"/>
        <v>5.7</v>
      </c>
      <c r="J117" s="22">
        <f t="shared" si="11"/>
        <v>2009</v>
      </c>
      <c r="K117" s="16">
        <f t="shared" si="12"/>
        <v>20.6</v>
      </c>
      <c r="L117" s="16">
        <f t="shared" si="13"/>
        <v>5.7</v>
      </c>
      <c r="M117" s="16">
        <f t="shared" si="14"/>
        <v>14.900000000000002</v>
      </c>
    </row>
    <row r="118" spans="1:13" x14ac:dyDescent="0.25">
      <c r="A118" s="18">
        <f t="shared" si="7"/>
        <v>2010</v>
      </c>
      <c r="D118" s="16">
        <v>20.3</v>
      </c>
      <c r="E118" s="16">
        <v>5.7</v>
      </c>
      <c r="F118">
        <f t="shared" si="8"/>
        <v>1</v>
      </c>
      <c r="G118" s="16">
        <f t="shared" si="9"/>
        <v>20.3</v>
      </c>
      <c r="H118" s="16">
        <f t="shared" si="10"/>
        <v>5.7</v>
      </c>
      <c r="J118" s="22">
        <f t="shared" si="11"/>
        <v>2010</v>
      </c>
      <c r="K118" s="16">
        <f t="shared" si="12"/>
        <v>20.3</v>
      </c>
      <c r="L118" s="16">
        <f t="shared" si="13"/>
        <v>5.7</v>
      </c>
      <c r="M118" s="16">
        <f t="shared" si="14"/>
        <v>14.600000000000001</v>
      </c>
    </row>
    <row r="119" spans="1:13" x14ac:dyDescent="0.25">
      <c r="A119" s="18">
        <f t="shared" si="7"/>
        <v>2011</v>
      </c>
      <c r="D119" s="16">
        <v>20.100000000000001</v>
      </c>
      <c r="E119" s="16">
        <v>5.7</v>
      </c>
      <c r="F119">
        <f t="shared" si="8"/>
        <v>1</v>
      </c>
      <c r="G119" s="16">
        <f t="shared" si="9"/>
        <v>20.100000000000001</v>
      </c>
      <c r="H119" s="16">
        <f t="shared" si="10"/>
        <v>5.7</v>
      </c>
      <c r="J119" s="22">
        <f t="shared" si="11"/>
        <v>2011</v>
      </c>
      <c r="K119" s="16">
        <f t="shared" si="12"/>
        <v>20.100000000000001</v>
      </c>
      <c r="L119" s="16">
        <f t="shared" si="13"/>
        <v>5.7</v>
      </c>
      <c r="M119" s="16">
        <f t="shared" si="14"/>
        <v>14.400000000000002</v>
      </c>
    </row>
    <row r="120" spans="1:13" x14ac:dyDescent="0.25">
      <c r="A120" s="18">
        <f t="shared" si="7"/>
        <v>2012</v>
      </c>
      <c r="D120" s="16">
        <v>19.899999999999999</v>
      </c>
      <c r="E120" s="16">
        <v>5.7</v>
      </c>
      <c r="F120">
        <f t="shared" si="8"/>
        <v>1</v>
      </c>
      <c r="G120" s="16">
        <f t="shared" si="9"/>
        <v>19.899999999999999</v>
      </c>
      <c r="H120" s="16">
        <f t="shared" si="10"/>
        <v>5.7</v>
      </c>
      <c r="J120" s="22">
        <f t="shared" si="11"/>
        <v>2012</v>
      </c>
      <c r="K120" s="16">
        <f t="shared" si="12"/>
        <v>19.899999999999999</v>
      </c>
      <c r="L120" s="16">
        <f t="shared" si="13"/>
        <v>5.7</v>
      </c>
      <c r="M120" s="16">
        <f t="shared" si="14"/>
        <v>14.2</v>
      </c>
    </row>
    <row r="121" spans="1:13" x14ac:dyDescent="0.25">
      <c r="A121" s="18">
        <f t="shared" si="7"/>
        <v>2013</v>
      </c>
      <c r="D121" s="16">
        <v>19.600000000000001</v>
      </c>
      <c r="E121" s="16">
        <v>5.7</v>
      </c>
      <c r="F121">
        <f t="shared" si="8"/>
        <v>1</v>
      </c>
      <c r="G121" s="16">
        <f t="shared" si="9"/>
        <v>19.600000000000001</v>
      </c>
      <c r="H121" s="16">
        <f t="shared" si="10"/>
        <v>5.7</v>
      </c>
      <c r="J121" s="22">
        <f t="shared" si="11"/>
        <v>2013</v>
      </c>
      <c r="K121" s="16">
        <f t="shared" si="12"/>
        <v>19.600000000000001</v>
      </c>
      <c r="L121" s="16">
        <f t="shared" si="13"/>
        <v>5.7</v>
      </c>
      <c r="M121" s="16">
        <f t="shared" si="14"/>
        <v>13.900000000000002</v>
      </c>
    </row>
    <row r="122" spans="1:13" x14ac:dyDescent="0.25">
      <c r="A122" s="18">
        <f t="shared" si="7"/>
        <v>2014</v>
      </c>
      <c r="D122" s="16">
        <v>19</v>
      </c>
      <c r="E122" s="16">
        <v>5.7</v>
      </c>
      <c r="F122">
        <f t="shared" si="8"/>
        <v>1</v>
      </c>
      <c r="G122" s="16">
        <f t="shared" si="9"/>
        <v>19</v>
      </c>
      <c r="H122" s="16">
        <f t="shared" si="10"/>
        <v>5.7</v>
      </c>
      <c r="J122" s="22">
        <f t="shared" si="11"/>
        <v>2014</v>
      </c>
      <c r="K122" s="16">
        <f t="shared" si="12"/>
        <v>19</v>
      </c>
      <c r="L122" s="16">
        <f t="shared" si="13"/>
        <v>5.7</v>
      </c>
      <c r="M122" s="16">
        <f t="shared" si="14"/>
        <v>13.3</v>
      </c>
    </row>
    <row r="123" spans="1:13" x14ac:dyDescent="0.25">
      <c r="A123" s="18">
        <f t="shared" si="7"/>
        <v>2015</v>
      </c>
      <c r="D123" s="16">
        <v>18.2</v>
      </c>
      <c r="E123" s="16">
        <v>5.8</v>
      </c>
      <c r="F123">
        <f t="shared" si="8"/>
        <v>1</v>
      </c>
      <c r="G123" s="16">
        <f t="shared" si="9"/>
        <v>18.2</v>
      </c>
      <c r="H123" s="16">
        <f t="shared" si="10"/>
        <v>5.8</v>
      </c>
      <c r="J123" s="22">
        <f t="shared" si="11"/>
        <v>2015</v>
      </c>
      <c r="K123" s="16">
        <f t="shared" si="12"/>
        <v>18.2</v>
      </c>
      <c r="L123" s="16">
        <f t="shared" si="13"/>
        <v>5.8</v>
      </c>
      <c r="M123" s="16">
        <f t="shared" si="14"/>
        <v>12.399999999999999</v>
      </c>
    </row>
    <row r="124" spans="1:13" x14ac:dyDescent="0.25">
      <c r="A124" s="18">
        <f t="shared" si="7"/>
        <v>2016</v>
      </c>
      <c r="D124" s="16">
        <v>17.7</v>
      </c>
      <c r="E124" s="16">
        <v>5.9</v>
      </c>
      <c r="F124">
        <f t="shared" si="8"/>
        <v>1</v>
      </c>
      <c r="G124" s="16">
        <f t="shared" si="9"/>
        <v>17.7</v>
      </c>
      <c r="H124" s="16">
        <f t="shared" si="10"/>
        <v>5.9</v>
      </c>
      <c r="J124" s="22">
        <f t="shared" si="11"/>
        <v>2016</v>
      </c>
      <c r="K124" s="16">
        <f t="shared" si="12"/>
        <v>17.7</v>
      </c>
      <c r="L124" s="16">
        <f t="shared" si="13"/>
        <v>5.9</v>
      </c>
      <c r="M124" s="16">
        <f t="shared" si="14"/>
        <v>11.799999999999999</v>
      </c>
    </row>
    <row r="125" spans="1:13" x14ac:dyDescent="0.25">
      <c r="A125" s="18">
        <f t="shared" ref="A125:A131" si="15">A124+1</f>
        <v>2017</v>
      </c>
      <c r="D125" s="16">
        <v>17.2</v>
      </c>
      <c r="E125" s="16">
        <v>6</v>
      </c>
      <c r="F125">
        <f t="shared" si="8"/>
        <v>1</v>
      </c>
      <c r="G125" s="16">
        <f t="shared" si="9"/>
        <v>17.2</v>
      </c>
      <c r="H125" s="16">
        <f t="shared" si="10"/>
        <v>6</v>
      </c>
      <c r="J125" s="22">
        <f t="shared" si="11"/>
        <v>2017</v>
      </c>
      <c r="K125" s="16">
        <f t="shared" si="12"/>
        <v>17.2</v>
      </c>
      <c r="L125" s="16">
        <f t="shared" si="13"/>
        <v>6</v>
      </c>
      <c r="M125" s="16">
        <f t="shared" si="14"/>
        <v>11.2</v>
      </c>
    </row>
    <row r="126" spans="1:13" x14ac:dyDescent="0.25">
      <c r="A126" s="18">
        <f t="shared" si="15"/>
        <v>2018</v>
      </c>
      <c r="D126" s="16">
        <v>17</v>
      </c>
      <c r="E126" s="16">
        <v>6.1</v>
      </c>
      <c r="F126">
        <f t="shared" si="8"/>
        <v>1</v>
      </c>
      <c r="G126" s="16">
        <f t="shared" si="9"/>
        <v>17</v>
      </c>
      <c r="H126" s="16">
        <f t="shared" si="10"/>
        <v>6.1</v>
      </c>
      <c r="J126" s="22">
        <f t="shared" si="11"/>
        <v>2018</v>
      </c>
      <c r="K126" s="16">
        <f t="shared" si="12"/>
        <v>17</v>
      </c>
      <c r="L126" s="16">
        <f t="shared" si="13"/>
        <v>6.1</v>
      </c>
      <c r="M126" s="16">
        <f t="shared" si="14"/>
        <v>10.9</v>
      </c>
    </row>
    <row r="127" spans="1:13" x14ac:dyDescent="0.25">
      <c r="A127" s="18">
        <f t="shared" si="15"/>
        <v>2019</v>
      </c>
      <c r="D127" s="16">
        <v>16.899999999999999</v>
      </c>
      <c r="E127" s="16">
        <v>6.1</v>
      </c>
      <c r="F127">
        <f t="shared" si="8"/>
        <v>1</v>
      </c>
      <c r="G127" s="16">
        <f t="shared" si="9"/>
        <v>16.899999999999999</v>
      </c>
      <c r="H127" s="16">
        <f t="shared" si="10"/>
        <v>6.1</v>
      </c>
      <c r="J127" s="22">
        <f t="shared" si="11"/>
        <v>2019</v>
      </c>
      <c r="K127" s="16">
        <f t="shared" si="12"/>
        <v>16.899999999999999</v>
      </c>
      <c r="L127" s="16">
        <f t="shared" si="13"/>
        <v>6.1</v>
      </c>
      <c r="M127" s="16">
        <f t="shared" si="14"/>
        <v>10.799999999999999</v>
      </c>
    </row>
    <row r="128" spans="1:13" x14ac:dyDescent="0.25">
      <c r="A128" s="18">
        <f t="shared" si="15"/>
        <v>2020</v>
      </c>
      <c r="D128" s="16">
        <v>16.600000000000001</v>
      </c>
      <c r="E128" s="16">
        <v>8.4</v>
      </c>
      <c r="F128">
        <f t="shared" si="8"/>
        <v>1</v>
      </c>
      <c r="G128" s="16">
        <f t="shared" si="9"/>
        <v>16.600000000000001</v>
      </c>
      <c r="H128" s="16">
        <f t="shared" si="10"/>
        <v>8.4</v>
      </c>
      <c r="J128" s="22">
        <f t="shared" si="11"/>
        <v>2020</v>
      </c>
      <c r="K128" s="16">
        <f t="shared" si="12"/>
        <v>16.600000000000001</v>
      </c>
      <c r="L128" s="16">
        <f t="shared" si="13"/>
        <v>8.4</v>
      </c>
      <c r="M128" s="16">
        <f t="shared" si="14"/>
        <v>8.2000000000000011</v>
      </c>
    </row>
    <row r="129" spans="1:13" x14ac:dyDescent="0.25">
      <c r="A129" s="18">
        <f t="shared" si="15"/>
        <v>2021</v>
      </c>
      <c r="D129" s="16">
        <v>16.399999999999999</v>
      </c>
      <c r="E129" s="16">
        <v>9</v>
      </c>
      <c r="F129">
        <f t="shared" si="8"/>
        <v>1</v>
      </c>
      <c r="G129" s="16">
        <f t="shared" si="9"/>
        <v>16.399999999999999</v>
      </c>
      <c r="H129" s="16">
        <f t="shared" si="10"/>
        <v>9</v>
      </c>
      <c r="J129" s="22">
        <f t="shared" si="11"/>
        <v>2021</v>
      </c>
      <c r="K129" s="16">
        <f t="shared" si="12"/>
        <v>16.399999999999999</v>
      </c>
      <c r="L129" s="16">
        <f t="shared" si="13"/>
        <v>9</v>
      </c>
      <c r="M129" s="16">
        <f t="shared" si="14"/>
        <v>7.3999999999999986</v>
      </c>
    </row>
    <row r="130" spans="1:13" x14ac:dyDescent="0.25">
      <c r="A130" s="18">
        <f t="shared" si="15"/>
        <v>2022</v>
      </c>
      <c r="D130" s="16">
        <v>16</v>
      </c>
      <c r="E130" s="16">
        <v>6.5</v>
      </c>
      <c r="F130">
        <f t="shared" si="8"/>
        <v>1</v>
      </c>
      <c r="G130" s="16">
        <f t="shared" si="9"/>
        <v>16</v>
      </c>
      <c r="H130" s="16">
        <f t="shared" si="10"/>
        <v>6.5</v>
      </c>
      <c r="J130" s="22">
        <f t="shared" si="11"/>
        <v>2022</v>
      </c>
      <c r="K130" s="16">
        <f t="shared" si="12"/>
        <v>16</v>
      </c>
      <c r="L130" s="16">
        <f t="shared" si="13"/>
        <v>6.5</v>
      </c>
      <c r="M130" s="16">
        <f t="shared" si="14"/>
        <v>9.5</v>
      </c>
    </row>
    <row r="131" spans="1:13" x14ac:dyDescent="0.25">
      <c r="A131" s="18">
        <f t="shared" si="15"/>
        <v>2023</v>
      </c>
      <c r="D131" s="16">
        <v>15.7</v>
      </c>
      <c r="E131" s="16">
        <v>6.2</v>
      </c>
      <c r="F131">
        <f t="shared" si="8"/>
        <v>1</v>
      </c>
      <c r="G131" s="16">
        <f t="shared" si="9"/>
        <v>15.7</v>
      </c>
      <c r="H131" s="16">
        <f t="shared" si="10"/>
        <v>6.2</v>
      </c>
      <c r="J131" s="22">
        <f t="shared" si="11"/>
        <v>2023</v>
      </c>
      <c r="K131" s="16">
        <f t="shared" si="12"/>
        <v>15.7</v>
      </c>
      <c r="L131" s="16">
        <f t="shared" si="13"/>
        <v>6.2</v>
      </c>
      <c r="M131" s="16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39" sqref="AD39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1900</v>
      </c>
      <c r="B2" s="16">
        <v>40.5</v>
      </c>
      <c r="C2" s="16">
        <v>21.3</v>
      </c>
      <c r="D2" s="16">
        <f>B2-C2</f>
        <v>19.2</v>
      </c>
    </row>
    <row r="3" spans="1:4" x14ac:dyDescent="0.25">
      <c r="A3" s="22">
        <v>1901</v>
      </c>
      <c r="B3" s="16">
        <v>40.5</v>
      </c>
      <c r="C3" s="16">
        <v>21.2</v>
      </c>
      <c r="D3" s="16">
        <f t="shared" ref="D3:D66" si="0">B3-C3</f>
        <v>19.3</v>
      </c>
    </row>
    <row r="4" spans="1:4" x14ac:dyDescent="0.25">
      <c r="A4" s="22">
        <v>1902</v>
      </c>
      <c r="B4" s="16">
        <v>40.4</v>
      </c>
      <c r="C4" s="16">
        <v>21.1</v>
      </c>
      <c r="D4" s="16">
        <f t="shared" si="0"/>
        <v>19.299999999999997</v>
      </c>
    </row>
    <row r="5" spans="1:4" x14ac:dyDescent="0.25">
      <c r="A5" s="22">
        <v>1903</v>
      </c>
      <c r="B5" s="16">
        <v>40.200000000000003</v>
      </c>
      <c r="C5" s="16">
        <v>20.9</v>
      </c>
      <c r="D5" s="16">
        <f t="shared" si="0"/>
        <v>19.300000000000004</v>
      </c>
    </row>
    <row r="6" spans="1:4" x14ac:dyDescent="0.25">
      <c r="A6" s="22">
        <v>1904</v>
      </c>
      <c r="B6" s="16">
        <v>40</v>
      </c>
      <c r="C6" s="16">
        <v>20.5</v>
      </c>
      <c r="D6" s="16">
        <f t="shared" si="0"/>
        <v>19.5</v>
      </c>
    </row>
    <row r="7" spans="1:4" x14ac:dyDescent="0.25">
      <c r="A7" s="22">
        <v>1905</v>
      </c>
      <c r="B7" s="16">
        <v>39.700000000000003</v>
      </c>
      <c r="C7" s="16">
        <v>20.2</v>
      </c>
      <c r="D7" s="16">
        <f t="shared" si="0"/>
        <v>19.500000000000004</v>
      </c>
    </row>
    <row r="8" spans="1:4" x14ac:dyDescent="0.25">
      <c r="A8" s="22">
        <v>1906</v>
      </c>
      <c r="B8" s="16">
        <v>39.700000000000003</v>
      </c>
      <c r="C8" s="16">
        <v>19.899999999999999</v>
      </c>
      <c r="D8" s="16">
        <f t="shared" si="0"/>
        <v>19.800000000000004</v>
      </c>
    </row>
    <row r="9" spans="1:4" x14ac:dyDescent="0.25">
      <c r="A9" s="22">
        <v>1907</v>
      </c>
      <c r="B9" s="16">
        <v>39.9</v>
      </c>
      <c r="C9" s="16">
        <v>19.600000000000001</v>
      </c>
      <c r="D9" s="16">
        <f t="shared" si="0"/>
        <v>20.299999999999997</v>
      </c>
    </row>
    <row r="10" spans="1:4" x14ac:dyDescent="0.25">
      <c r="A10" s="22">
        <v>1908</v>
      </c>
      <c r="B10" s="16">
        <v>40.4</v>
      </c>
      <c r="C10" s="16">
        <v>19.5</v>
      </c>
      <c r="D10" s="16">
        <f t="shared" si="0"/>
        <v>20.9</v>
      </c>
    </row>
    <row r="11" spans="1:4" x14ac:dyDescent="0.25">
      <c r="A11" s="22">
        <v>1909</v>
      </c>
      <c r="B11" s="16">
        <v>41.2</v>
      </c>
      <c r="C11" s="16">
        <v>19.399999999999999</v>
      </c>
      <c r="D11" s="16">
        <f t="shared" si="0"/>
        <v>21.800000000000004</v>
      </c>
    </row>
    <row r="12" spans="1:4" x14ac:dyDescent="0.25">
      <c r="A12" s="22">
        <v>1910</v>
      </c>
      <c r="B12" s="16">
        <v>42.3</v>
      </c>
      <c r="C12" s="16">
        <v>19.399999999999999</v>
      </c>
      <c r="D12" s="16">
        <f t="shared" si="0"/>
        <v>22.9</v>
      </c>
    </row>
    <row r="13" spans="1:4" x14ac:dyDescent="0.25">
      <c r="A13" s="22">
        <v>1911</v>
      </c>
      <c r="B13" s="16">
        <v>42.8</v>
      </c>
      <c r="C13" s="16">
        <v>19.3</v>
      </c>
      <c r="D13" s="16">
        <f t="shared" si="0"/>
        <v>23.499999999999996</v>
      </c>
    </row>
    <row r="14" spans="1:4" x14ac:dyDescent="0.25">
      <c r="A14" s="22">
        <v>1912</v>
      </c>
      <c r="B14" s="16">
        <v>42.6</v>
      </c>
      <c r="C14" s="16">
        <v>19.100000000000001</v>
      </c>
      <c r="D14" s="16">
        <f t="shared" si="0"/>
        <v>23.5</v>
      </c>
    </row>
    <row r="15" spans="1:4" x14ac:dyDescent="0.25">
      <c r="A15" s="22">
        <v>1913</v>
      </c>
      <c r="B15" s="16">
        <v>41.9</v>
      </c>
      <c r="C15" s="16">
        <v>18.8</v>
      </c>
      <c r="D15" s="16">
        <f t="shared" si="0"/>
        <v>23.099999999999998</v>
      </c>
    </row>
    <row r="16" spans="1:4" x14ac:dyDescent="0.25">
      <c r="A16" s="22">
        <v>1914</v>
      </c>
      <c r="B16" s="16">
        <v>40.5</v>
      </c>
      <c r="C16" s="16">
        <v>18.399999999999999</v>
      </c>
      <c r="D16" s="16">
        <f t="shared" si="0"/>
        <v>22.1</v>
      </c>
    </row>
    <row r="17" spans="1:4" x14ac:dyDescent="0.25">
      <c r="A17" s="22">
        <v>1915</v>
      </c>
      <c r="B17" s="16">
        <v>38.5</v>
      </c>
      <c r="C17" s="16">
        <v>17.8</v>
      </c>
      <c r="D17" s="16">
        <f t="shared" si="0"/>
        <v>20.7</v>
      </c>
    </row>
    <row r="18" spans="1:4" x14ac:dyDescent="0.25">
      <c r="A18" s="22">
        <v>1916</v>
      </c>
      <c r="B18" s="16">
        <v>37.299999999999997</v>
      </c>
      <c r="C18" s="16">
        <v>17.399999999999999</v>
      </c>
      <c r="D18" s="16">
        <f t="shared" si="0"/>
        <v>19.899999999999999</v>
      </c>
    </row>
    <row r="19" spans="1:4" x14ac:dyDescent="0.25">
      <c r="A19" s="22">
        <v>1917</v>
      </c>
      <c r="B19" s="16">
        <v>36.700000000000003</v>
      </c>
      <c r="C19" s="16">
        <v>17.2</v>
      </c>
      <c r="D19" s="16">
        <f t="shared" si="0"/>
        <v>19.500000000000004</v>
      </c>
    </row>
    <row r="20" spans="1:4" x14ac:dyDescent="0.25">
      <c r="A20" s="22">
        <v>1918</v>
      </c>
      <c r="B20" s="16">
        <v>36.700000000000003</v>
      </c>
      <c r="C20" s="16">
        <v>17.100000000000001</v>
      </c>
      <c r="D20" s="16">
        <f t="shared" si="0"/>
        <v>19.600000000000001</v>
      </c>
    </row>
    <row r="21" spans="1:4" x14ac:dyDescent="0.25">
      <c r="A21" s="22">
        <v>1919</v>
      </c>
      <c r="B21" s="16">
        <v>37.4</v>
      </c>
      <c r="C21" s="16">
        <v>17.100000000000001</v>
      </c>
      <c r="D21" s="16">
        <f t="shared" si="0"/>
        <v>20.299999999999997</v>
      </c>
    </row>
    <row r="22" spans="1:4" x14ac:dyDescent="0.25">
      <c r="A22" s="22">
        <v>1920</v>
      </c>
      <c r="B22" s="16">
        <v>38.700000000000003</v>
      </c>
      <c r="C22" s="16">
        <v>17.3</v>
      </c>
      <c r="D22" s="16">
        <f t="shared" si="0"/>
        <v>21.400000000000002</v>
      </c>
    </row>
    <row r="23" spans="1:4" x14ac:dyDescent="0.25">
      <c r="A23" s="22">
        <v>1921</v>
      </c>
      <c r="B23" s="16">
        <v>39.700000000000003</v>
      </c>
      <c r="C23" s="16">
        <v>17.3</v>
      </c>
      <c r="D23" s="16">
        <f t="shared" si="0"/>
        <v>22.400000000000002</v>
      </c>
    </row>
    <row r="24" spans="1:4" x14ac:dyDescent="0.25">
      <c r="A24" s="22">
        <v>1922</v>
      </c>
      <c r="B24" s="16">
        <v>40.4</v>
      </c>
      <c r="C24" s="16">
        <v>17.399999999999999</v>
      </c>
      <c r="D24" s="16">
        <f t="shared" si="0"/>
        <v>23</v>
      </c>
    </row>
    <row r="25" spans="1:4" x14ac:dyDescent="0.25">
      <c r="A25" s="22">
        <v>1923</v>
      </c>
      <c r="B25" s="16">
        <v>40.6</v>
      </c>
      <c r="C25" s="16">
        <v>17.3</v>
      </c>
      <c r="D25" s="16">
        <f t="shared" si="0"/>
        <v>23.3</v>
      </c>
    </row>
    <row r="26" spans="1:4" x14ac:dyDescent="0.25">
      <c r="A26" s="22">
        <v>1924</v>
      </c>
      <c r="B26" s="16">
        <v>40.5</v>
      </c>
      <c r="C26" s="16">
        <v>17.2</v>
      </c>
      <c r="D26" s="16">
        <f t="shared" si="0"/>
        <v>23.3</v>
      </c>
    </row>
    <row r="27" spans="1:4" x14ac:dyDescent="0.25">
      <c r="A27" s="22">
        <v>1925</v>
      </c>
      <c r="B27" s="16">
        <v>39.9</v>
      </c>
      <c r="C27" s="16">
        <v>17</v>
      </c>
      <c r="D27" s="16">
        <f t="shared" si="0"/>
        <v>22.9</v>
      </c>
    </row>
    <row r="28" spans="1:4" x14ac:dyDescent="0.25">
      <c r="A28" s="22">
        <v>1926</v>
      </c>
      <c r="B28" s="16">
        <v>39.4</v>
      </c>
      <c r="C28" s="16">
        <v>16.8</v>
      </c>
      <c r="D28" s="16">
        <f t="shared" si="0"/>
        <v>22.599999999999998</v>
      </c>
    </row>
    <row r="29" spans="1:4" x14ac:dyDescent="0.25">
      <c r="A29" s="22">
        <v>1927</v>
      </c>
      <c r="B29" s="16">
        <v>39</v>
      </c>
      <c r="C29" s="16">
        <v>16.600000000000001</v>
      </c>
      <c r="D29" s="16">
        <f t="shared" si="0"/>
        <v>22.4</v>
      </c>
    </row>
    <row r="30" spans="1:4" x14ac:dyDescent="0.25">
      <c r="A30" s="22">
        <v>1928</v>
      </c>
      <c r="B30" s="16">
        <v>38.6</v>
      </c>
      <c r="C30" s="16">
        <v>16.399999999999999</v>
      </c>
      <c r="D30" s="16">
        <f t="shared" si="0"/>
        <v>22.200000000000003</v>
      </c>
    </row>
    <row r="31" spans="1:4" x14ac:dyDescent="0.25">
      <c r="A31" s="22">
        <v>1929</v>
      </c>
      <c r="B31" s="16">
        <v>38.200000000000003</v>
      </c>
      <c r="C31" s="16">
        <v>16.2</v>
      </c>
      <c r="D31" s="16">
        <f t="shared" si="0"/>
        <v>22.000000000000004</v>
      </c>
    </row>
    <row r="32" spans="1:4" x14ac:dyDescent="0.25">
      <c r="A32" s="22">
        <v>1930</v>
      </c>
      <c r="B32" s="16">
        <v>37.799999999999997</v>
      </c>
      <c r="C32" s="16">
        <v>16</v>
      </c>
      <c r="D32" s="16">
        <f t="shared" si="0"/>
        <v>21.799999999999997</v>
      </c>
    </row>
    <row r="33" spans="1:4" x14ac:dyDescent="0.25">
      <c r="A33" s="22">
        <v>1931</v>
      </c>
      <c r="B33" s="16">
        <v>37.5</v>
      </c>
      <c r="C33" s="16">
        <v>15.7</v>
      </c>
      <c r="D33" s="16">
        <f t="shared" si="0"/>
        <v>21.8</v>
      </c>
    </row>
    <row r="34" spans="1:4" x14ac:dyDescent="0.25">
      <c r="A34" s="22">
        <v>1932</v>
      </c>
      <c r="B34" s="16">
        <v>37.299999999999997</v>
      </c>
      <c r="C34" s="16">
        <v>15.2</v>
      </c>
      <c r="D34" s="16">
        <f t="shared" si="0"/>
        <v>22.099999999999998</v>
      </c>
    </row>
    <row r="35" spans="1:4" x14ac:dyDescent="0.25">
      <c r="A35" s="22">
        <v>1933</v>
      </c>
      <c r="B35" s="16">
        <v>37.200000000000003</v>
      </c>
      <c r="C35" s="16">
        <v>14.7</v>
      </c>
      <c r="D35" s="16">
        <f t="shared" si="0"/>
        <v>22.500000000000004</v>
      </c>
    </row>
    <row r="36" spans="1:4" x14ac:dyDescent="0.25">
      <c r="A36" s="22">
        <v>1934</v>
      </c>
      <c r="B36" s="16">
        <v>37.200000000000003</v>
      </c>
      <c r="C36" s="16">
        <v>14</v>
      </c>
      <c r="D36" s="16">
        <f t="shared" si="0"/>
        <v>23.200000000000003</v>
      </c>
    </row>
    <row r="37" spans="1:4" x14ac:dyDescent="0.25">
      <c r="A37" s="22">
        <v>1935</v>
      </c>
      <c r="B37" s="16">
        <v>37.200000000000003</v>
      </c>
      <c r="C37" s="16">
        <v>13.2</v>
      </c>
      <c r="D37" s="16">
        <f t="shared" si="0"/>
        <v>24.000000000000004</v>
      </c>
    </row>
    <row r="38" spans="1:4" x14ac:dyDescent="0.25">
      <c r="A38" s="22">
        <v>1936</v>
      </c>
      <c r="B38" s="16">
        <v>37.4</v>
      </c>
      <c r="C38" s="16">
        <v>12.7</v>
      </c>
      <c r="D38" s="16">
        <f t="shared" si="0"/>
        <v>24.7</v>
      </c>
    </row>
    <row r="39" spans="1:4" x14ac:dyDescent="0.25">
      <c r="A39" s="22">
        <v>1937</v>
      </c>
      <c r="B39" s="16">
        <v>37.700000000000003</v>
      </c>
      <c r="C39" s="16">
        <v>12.4</v>
      </c>
      <c r="D39" s="16">
        <f t="shared" si="0"/>
        <v>25.300000000000004</v>
      </c>
    </row>
    <row r="40" spans="1:4" x14ac:dyDescent="0.25">
      <c r="A40" s="22">
        <v>1938</v>
      </c>
      <c r="B40" s="16">
        <v>38.1</v>
      </c>
      <c r="C40" s="16">
        <v>12.3</v>
      </c>
      <c r="D40" s="16">
        <f t="shared" si="0"/>
        <v>25.8</v>
      </c>
    </row>
    <row r="41" spans="1:4" x14ac:dyDescent="0.25">
      <c r="A41" s="22">
        <v>1939</v>
      </c>
      <c r="B41" s="16">
        <v>38.6</v>
      </c>
      <c r="C41" s="16">
        <v>12.4</v>
      </c>
      <c r="D41" s="16">
        <f t="shared" si="0"/>
        <v>26.200000000000003</v>
      </c>
    </row>
    <row r="42" spans="1:4" x14ac:dyDescent="0.25">
      <c r="A42" s="22">
        <v>1940</v>
      </c>
      <c r="B42" s="16">
        <v>39.200000000000003</v>
      </c>
      <c r="C42" s="16">
        <v>12.7</v>
      </c>
      <c r="D42" s="16">
        <f t="shared" si="0"/>
        <v>26.500000000000004</v>
      </c>
    </row>
    <row r="43" spans="1:4" x14ac:dyDescent="0.25">
      <c r="A43" s="22">
        <v>1941</v>
      </c>
      <c r="B43" s="16">
        <v>39.6</v>
      </c>
      <c r="C43" s="16">
        <v>12.9</v>
      </c>
      <c r="D43" s="16">
        <f t="shared" si="0"/>
        <v>26.700000000000003</v>
      </c>
    </row>
    <row r="44" spans="1:4" x14ac:dyDescent="0.25">
      <c r="A44" s="22">
        <v>1942</v>
      </c>
      <c r="B44" s="16">
        <v>39.700000000000003</v>
      </c>
      <c r="C44" s="16">
        <v>12.9</v>
      </c>
      <c r="D44" s="16">
        <f t="shared" si="0"/>
        <v>26.800000000000004</v>
      </c>
    </row>
    <row r="45" spans="1:4" x14ac:dyDescent="0.25">
      <c r="A45" s="22">
        <v>1943</v>
      </c>
      <c r="B45" s="16">
        <v>39.700000000000003</v>
      </c>
      <c r="C45" s="16">
        <v>12.7</v>
      </c>
      <c r="D45" s="16">
        <f t="shared" si="0"/>
        <v>27.000000000000004</v>
      </c>
    </row>
    <row r="46" spans="1:4" x14ac:dyDescent="0.25">
      <c r="A46" s="22">
        <v>1944</v>
      </c>
      <c r="B46" s="16">
        <v>39.4</v>
      </c>
      <c r="C46" s="16">
        <v>12.3</v>
      </c>
      <c r="D46" s="16">
        <f t="shared" si="0"/>
        <v>27.099999999999998</v>
      </c>
    </row>
    <row r="47" spans="1:4" x14ac:dyDescent="0.25">
      <c r="A47" s="22">
        <v>1945</v>
      </c>
      <c r="B47" s="16">
        <v>38.9</v>
      </c>
      <c r="C47" s="16">
        <v>11.8</v>
      </c>
      <c r="D47" s="16">
        <f t="shared" si="0"/>
        <v>27.099999999999998</v>
      </c>
    </row>
    <row r="48" spans="1:4" x14ac:dyDescent="0.25">
      <c r="A48" s="22">
        <v>1946</v>
      </c>
      <c r="B48" s="16">
        <v>38.5</v>
      </c>
      <c r="C48" s="16">
        <v>11.3</v>
      </c>
      <c r="D48" s="16">
        <f t="shared" si="0"/>
        <v>27.2</v>
      </c>
    </row>
    <row r="49" spans="1:4" x14ac:dyDescent="0.25">
      <c r="A49" s="22">
        <v>1947</v>
      </c>
      <c r="B49" s="16">
        <v>38.200000000000003</v>
      </c>
      <c r="C49" s="16">
        <v>10.8</v>
      </c>
      <c r="D49" s="16">
        <f t="shared" si="0"/>
        <v>27.400000000000002</v>
      </c>
    </row>
    <row r="50" spans="1:4" x14ac:dyDescent="0.25">
      <c r="A50" s="22">
        <v>1948</v>
      </c>
      <c r="B50" s="16">
        <v>38</v>
      </c>
      <c r="C50" s="16">
        <v>10.3</v>
      </c>
      <c r="D50" s="16">
        <f t="shared" si="0"/>
        <v>27.7</v>
      </c>
    </row>
    <row r="51" spans="1:4" x14ac:dyDescent="0.25">
      <c r="A51" s="22">
        <v>1949</v>
      </c>
      <c r="B51" s="16">
        <v>38</v>
      </c>
      <c r="C51" s="16">
        <v>9.9</v>
      </c>
      <c r="D51" s="16">
        <f t="shared" si="0"/>
        <v>28.1</v>
      </c>
    </row>
    <row r="52" spans="1:4" x14ac:dyDescent="0.25">
      <c r="A52" s="22">
        <v>1950</v>
      </c>
      <c r="B52" s="16">
        <v>38</v>
      </c>
      <c r="C52" s="16">
        <v>9.5</v>
      </c>
      <c r="D52" s="16">
        <f t="shared" si="0"/>
        <v>28.5</v>
      </c>
    </row>
    <row r="53" spans="1:4" x14ac:dyDescent="0.25">
      <c r="A53" s="22">
        <v>1951</v>
      </c>
      <c r="B53" s="16">
        <v>38.1</v>
      </c>
      <c r="C53" s="16">
        <v>9.1999999999999993</v>
      </c>
      <c r="D53" s="16">
        <f t="shared" si="0"/>
        <v>28.900000000000002</v>
      </c>
    </row>
    <row r="54" spans="1:4" x14ac:dyDescent="0.25">
      <c r="A54" s="22">
        <v>1952</v>
      </c>
      <c r="B54" s="16">
        <v>38.5</v>
      </c>
      <c r="C54" s="16">
        <v>9.1999999999999993</v>
      </c>
      <c r="D54" s="16">
        <f t="shared" si="0"/>
        <v>29.3</v>
      </c>
    </row>
    <row r="55" spans="1:4" x14ac:dyDescent="0.25">
      <c r="A55" s="22">
        <v>1953</v>
      </c>
      <c r="B55" s="16">
        <v>39.1</v>
      </c>
      <c r="C55" s="16">
        <v>9.4</v>
      </c>
      <c r="D55" s="16">
        <f t="shared" si="0"/>
        <v>29.700000000000003</v>
      </c>
    </row>
    <row r="56" spans="1:4" x14ac:dyDescent="0.25">
      <c r="A56" s="22">
        <v>1954</v>
      </c>
      <c r="B56" s="16">
        <v>39.700000000000003</v>
      </c>
      <c r="C56" s="16">
        <v>9.6999999999999993</v>
      </c>
      <c r="D56" s="16">
        <f t="shared" si="0"/>
        <v>30.000000000000004</v>
      </c>
    </row>
    <row r="57" spans="1:4" x14ac:dyDescent="0.25">
      <c r="A57" s="22">
        <v>1955</v>
      </c>
      <c r="B57" s="16">
        <v>40.299999999999997</v>
      </c>
      <c r="C57" s="16">
        <v>10.1</v>
      </c>
      <c r="D57" s="16">
        <f t="shared" si="0"/>
        <v>30.199999999999996</v>
      </c>
    </row>
    <row r="58" spans="1:4" x14ac:dyDescent="0.25">
      <c r="A58" s="22">
        <v>1956</v>
      </c>
      <c r="B58" s="16">
        <v>40.6</v>
      </c>
      <c r="C58" s="16">
        <v>10.3</v>
      </c>
      <c r="D58" s="16">
        <f t="shared" si="0"/>
        <v>30.3</v>
      </c>
    </row>
    <row r="59" spans="1:4" x14ac:dyDescent="0.25">
      <c r="A59" s="22">
        <v>1957</v>
      </c>
      <c r="B59" s="16">
        <v>40.700000000000003</v>
      </c>
      <c r="C59" s="16">
        <v>10.4</v>
      </c>
      <c r="D59" s="16">
        <f t="shared" si="0"/>
        <v>30.300000000000004</v>
      </c>
    </row>
    <row r="60" spans="1:4" x14ac:dyDescent="0.25">
      <c r="A60" s="22">
        <v>1958</v>
      </c>
      <c r="B60" s="16">
        <v>40.700000000000003</v>
      </c>
      <c r="C60" s="16">
        <v>10.199999999999999</v>
      </c>
      <c r="D60" s="16">
        <f t="shared" si="0"/>
        <v>30.500000000000004</v>
      </c>
    </row>
    <row r="61" spans="1:4" x14ac:dyDescent="0.25">
      <c r="A61" s="22">
        <v>1959</v>
      </c>
      <c r="B61" s="16">
        <v>40.9</v>
      </c>
      <c r="C61" s="16">
        <v>10</v>
      </c>
      <c r="D61" s="16">
        <f t="shared" si="0"/>
        <v>30.9</v>
      </c>
    </row>
    <row r="62" spans="1:4" x14ac:dyDescent="0.25">
      <c r="A62" s="22">
        <v>1960</v>
      </c>
      <c r="B62" s="16">
        <v>41.1</v>
      </c>
      <c r="C62" s="16">
        <v>9.6</v>
      </c>
      <c r="D62" s="16">
        <f t="shared" si="0"/>
        <v>31.5</v>
      </c>
    </row>
    <row r="63" spans="1:4" x14ac:dyDescent="0.25">
      <c r="A63" s="22">
        <v>1961</v>
      </c>
      <c r="B63" s="16">
        <v>41.3</v>
      </c>
      <c r="C63" s="16">
        <v>9.3000000000000007</v>
      </c>
      <c r="D63" s="16">
        <f t="shared" si="0"/>
        <v>31.999999999999996</v>
      </c>
    </row>
    <row r="64" spans="1:4" x14ac:dyDescent="0.25">
      <c r="A64" s="22">
        <v>1962</v>
      </c>
      <c r="B64" s="16">
        <v>41.3</v>
      </c>
      <c r="C64" s="16">
        <v>9</v>
      </c>
      <c r="D64" s="16">
        <f t="shared" si="0"/>
        <v>32.299999999999997</v>
      </c>
    </row>
    <row r="65" spans="1:4" x14ac:dyDescent="0.25">
      <c r="A65" s="22">
        <v>1963</v>
      </c>
      <c r="B65" s="16">
        <v>41.2</v>
      </c>
      <c r="C65" s="16">
        <v>8.9</v>
      </c>
      <c r="D65" s="16">
        <f t="shared" si="0"/>
        <v>32.300000000000004</v>
      </c>
    </row>
    <row r="66" spans="1:4" x14ac:dyDescent="0.25">
      <c r="A66" s="22">
        <v>1964</v>
      </c>
      <c r="B66" s="16">
        <v>40.799999999999997</v>
      </c>
      <c r="C66" s="16">
        <v>8.6999999999999993</v>
      </c>
      <c r="D66" s="16">
        <f t="shared" si="0"/>
        <v>32.099999999999994</v>
      </c>
    </row>
    <row r="67" spans="1:4" x14ac:dyDescent="0.25">
      <c r="A67" s="22">
        <v>1965</v>
      </c>
      <c r="B67" s="16">
        <v>40.299999999999997</v>
      </c>
      <c r="C67" s="16">
        <v>8.6</v>
      </c>
      <c r="D67" s="16">
        <f t="shared" ref="D67:D125" si="1">B67-C67</f>
        <v>31.699999999999996</v>
      </c>
    </row>
    <row r="68" spans="1:4" x14ac:dyDescent="0.25">
      <c r="A68" s="22">
        <v>1966</v>
      </c>
      <c r="B68" s="16">
        <v>39.9</v>
      </c>
      <c r="C68" s="16">
        <v>8.4</v>
      </c>
      <c r="D68" s="16">
        <f t="shared" si="1"/>
        <v>31.5</v>
      </c>
    </row>
    <row r="69" spans="1:4" x14ac:dyDescent="0.25">
      <c r="A69" s="22">
        <v>1967</v>
      </c>
      <c r="B69" s="16">
        <v>39.200000000000003</v>
      </c>
      <c r="C69" s="16">
        <v>8.1999999999999993</v>
      </c>
      <c r="D69" s="16">
        <f t="shared" si="1"/>
        <v>31.000000000000004</v>
      </c>
    </row>
    <row r="70" spans="1:4" x14ac:dyDescent="0.25">
      <c r="A70" s="22">
        <v>1968</v>
      </c>
      <c r="B70" s="16">
        <v>38.5</v>
      </c>
      <c r="C70" s="16">
        <v>8</v>
      </c>
      <c r="D70" s="16">
        <f t="shared" si="1"/>
        <v>30.5</v>
      </c>
    </row>
    <row r="71" spans="1:4" x14ac:dyDescent="0.25">
      <c r="A71" s="22">
        <v>1969</v>
      </c>
      <c r="B71" s="16">
        <v>37.9</v>
      </c>
      <c r="C71" s="16">
        <v>7.8</v>
      </c>
      <c r="D71" s="16">
        <f t="shared" si="1"/>
        <v>30.099999999999998</v>
      </c>
    </row>
    <row r="72" spans="1:4" x14ac:dyDescent="0.25">
      <c r="A72" s="22">
        <v>1970</v>
      </c>
      <c r="B72" s="16">
        <v>37.4</v>
      </c>
      <c r="C72" s="16">
        <v>7.6</v>
      </c>
      <c r="D72" s="16">
        <f t="shared" si="1"/>
        <v>29.799999999999997</v>
      </c>
    </row>
    <row r="73" spans="1:4" x14ac:dyDescent="0.25">
      <c r="A73" s="22">
        <v>1971</v>
      </c>
      <c r="B73" s="16">
        <v>36.700000000000003</v>
      </c>
      <c r="C73" s="16">
        <v>7.3</v>
      </c>
      <c r="D73" s="16">
        <f t="shared" si="1"/>
        <v>29.400000000000002</v>
      </c>
    </row>
    <row r="74" spans="1:4" x14ac:dyDescent="0.25">
      <c r="A74" s="22">
        <v>1972</v>
      </c>
      <c r="B74" s="16">
        <v>36</v>
      </c>
      <c r="C74" s="16">
        <v>7</v>
      </c>
      <c r="D74" s="16">
        <f t="shared" si="1"/>
        <v>29</v>
      </c>
    </row>
    <row r="75" spans="1:4" x14ac:dyDescent="0.25">
      <c r="A75" s="22">
        <v>1973</v>
      </c>
      <c r="B75" s="16">
        <v>35</v>
      </c>
      <c r="C75" s="16">
        <v>6.7</v>
      </c>
      <c r="D75" s="16">
        <f t="shared" si="1"/>
        <v>28.3</v>
      </c>
    </row>
    <row r="76" spans="1:4" x14ac:dyDescent="0.25">
      <c r="A76" s="22">
        <v>1974</v>
      </c>
      <c r="B76" s="16">
        <v>34.200000000000003</v>
      </c>
      <c r="C76" s="16">
        <v>6.4</v>
      </c>
      <c r="D76" s="16">
        <f t="shared" si="1"/>
        <v>27.800000000000004</v>
      </c>
    </row>
    <row r="77" spans="1:4" x14ac:dyDescent="0.25">
      <c r="A77" s="22">
        <v>1975</v>
      </c>
      <c r="B77" s="16">
        <v>33.299999999999997</v>
      </c>
      <c r="C77" s="16">
        <v>6.1</v>
      </c>
      <c r="D77" s="16">
        <f t="shared" si="1"/>
        <v>27.199999999999996</v>
      </c>
    </row>
    <row r="78" spans="1:4" x14ac:dyDescent="0.25">
      <c r="A78" s="22">
        <v>1976</v>
      </c>
      <c r="B78" s="16">
        <v>32.5</v>
      </c>
      <c r="C78" s="16">
        <v>5.9</v>
      </c>
      <c r="D78" s="16">
        <f t="shared" si="1"/>
        <v>26.6</v>
      </c>
    </row>
    <row r="79" spans="1:4" x14ac:dyDescent="0.25">
      <c r="A79" s="22">
        <v>1977</v>
      </c>
      <c r="B79" s="16">
        <v>31.7</v>
      </c>
      <c r="C79" s="16">
        <v>5.7</v>
      </c>
      <c r="D79" s="16">
        <f t="shared" si="1"/>
        <v>26</v>
      </c>
    </row>
    <row r="80" spans="1:4" x14ac:dyDescent="0.25">
      <c r="A80" s="22">
        <v>1978</v>
      </c>
      <c r="B80" s="16">
        <v>31.1</v>
      </c>
      <c r="C80" s="16">
        <v>5.5</v>
      </c>
      <c r="D80" s="16">
        <f t="shared" si="1"/>
        <v>25.6</v>
      </c>
    </row>
    <row r="81" spans="1:4" x14ac:dyDescent="0.25">
      <c r="A81" s="22">
        <v>1979</v>
      </c>
      <c r="B81" s="16">
        <v>30.7</v>
      </c>
      <c r="C81" s="16">
        <v>5.4</v>
      </c>
      <c r="D81" s="16">
        <f t="shared" si="1"/>
        <v>25.299999999999997</v>
      </c>
    </row>
    <row r="82" spans="1:4" x14ac:dyDescent="0.25">
      <c r="A82" s="22">
        <v>1980</v>
      </c>
      <c r="B82" s="16">
        <v>30.4</v>
      </c>
      <c r="C82" s="16">
        <v>5.3</v>
      </c>
      <c r="D82" s="16">
        <f t="shared" si="1"/>
        <v>25.099999999999998</v>
      </c>
    </row>
    <row r="83" spans="1:4" x14ac:dyDescent="0.25">
      <c r="A83" s="22">
        <v>1981</v>
      </c>
      <c r="B83" s="16">
        <v>30.2</v>
      </c>
      <c r="C83" s="16">
        <v>5.2</v>
      </c>
      <c r="D83" s="16">
        <f t="shared" si="1"/>
        <v>25</v>
      </c>
    </row>
    <row r="84" spans="1:4" x14ac:dyDescent="0.25">
      <c r="A84" s="22">
        <v>1982</v>
      </c>
      <c r="B84" s="16">
        <v>30</v>
      </c>
      <c r="C84" s="16">
        <v>5.2</v>
      </c>
      <c r="D84" s="16">
        <f t="shared" si="1"/>
        <v>24.8</v>
      </c>
    </row>
    <row r="85" spans="1:4" x14ac:dyDescent="0.25">
      <c r="A85" s="22">
        <v>1983</v>
      </c>
      <c r="B85" s="16">
        <v>29.9</v>
      </c>
      <c r="C85" s="16">
        <v>5.2</v>
      </c>
      <c r="D85" s="16">
        <f t="shared" si="1"/>
        <v>24.7</v>
      </c>
    </row>
    <row r="86" spans="1:4" x14ac:dyDescent="0.25">
      <c r="A86" s="22">
        <v>1984</v>
      </c>
      <c r="B86" s="16">
        <v>29.5</v>
      </c>
      <c r="C86" s="16">
        <v>5.0999999999999996</v>
      </c>
      <c r="D86" s="16">
        <f t="shared" si="1"/>
        <v>24.4</v>
      </c>
    </row>
    <row r="87" spans="1:4" x14ac:dyDescent="0.25">
      <c r="A87" s="22">
        <v>1985</v>
      </c>
      <c r="B87" s="16">
        <v>29</v>
      </c>
      <c r="C87" s="16">
        <v>5.0999999999999996</v>
      </c>
      <c r="D87" s="16">
        <f t="shared" si="1"/>
        <v>23.9</v>
      </c>
    </row>
    <row r="88" spans="1:4" x14ac:dyDescent="0.25">
      <c r="A88" s="22">
        <v>1986</v>
      </c>
      <c r="B88" s="16">
        <v>28.5</v>
      </c>
      <c r="C88" s="16">
        <v>5.0999999999999996</v>
      </c>
      <c r="D88" s="16">
        <f t="shared" si="1"/>
        <v>23.4</v>
      </c>
    </row>
    <row r="89" spans="1:4" x14ac:dyDescent="0.25">
      <c r="A89" s="22">
        <v>1987</v>
      </c>
      <c r="B89" s="16">
        <v>28</v>
      </c>
      <c r="C89" s="16">
        <v>5.0999999999999996</v>
      </c>
      <c r="D89" s="16">
        <f t="shared" si="1"/>
        <v>22.9</v>
      </c>
    </row>
    <row r="90" spans="1:4" x14ac:dyDescent="0.25">
      <c r="A90" s="22">
        <v>1988</v>
      </c>
      <c r="B90" s="16">
        <v>27.5</v>
      </c>
      <c r="C90" s="16">
        <v>5.0999999999999996</v>
      </c>
      <c r="D90" s="16">
        <f t="shared" si="1"/>
        <v>22.4</v>
      </c>
    </row>
    <row r="91" spans="1:4" x14ac:dyDescent="0.25">
      <c r="A91" s="22">
        <v>1989</v>
      </c>
      <c r="B91" s="16">
        <v>27.2</v>
      </c>
      <c r="C91" s="16">
        <v>5.4</v>
      </c>
      <c r="D91" s="16">
        <f t="shared" si="1"/>
        <v>21.799999999999997</v>
      </c>
    </row>
    <row r="92" spans="1:4" x14ac:dyDescent="0.25">
      <c r="A92" s="22">
        <v>1990</v>
      </c>
      <c r="B92" s="16">
        <v>26.8</v>
      </c>
      <c r="C92" s="16">
        <v>5.0999999999999996</v>
      </c>
      <c r="D92" s="16">
        <f t="shared" si="1"/>
        <v>21.700000000000003</v>
      </c>
    </row>
    <row r="93" spans="1:4" x14ac:dyDescent="0.25">
      <c r="A93" s="22">
        <v>1991</v>
      </c>
      <c r="B93" s="16">
        <v>26.2</v>
      </c>
      <c r="C93" s="16">
        <v>5.0999999999999996</v>
      </c>
      <c r="D93" s="16">
        <f t="shared" si="1"/>
        <v>21.1</v>
      </c>
    </row>
    <row r="94" spans="1:4" x14ac:dyDescent="0.25">
      <c r="A94" s="22">
        <v>1992</v>
      </c>
      <c r="B94" s="16">
        <v>25.9</v>
      </c>
      <c r="C94" s="16">
        <v>5.0999999999999996</v>
      </c>
      <c r="D94" s="16">
        <f t="shared" si="1"/>
        <v>20.799999999999997</v>
      </c>
    </row>
    <row r="95" spans="1:4" x14ac:dyDescent="0.25">
      <c r="A95" s="22">
        <v>1993</v>
      </c>
      <c r="B95" s="16">
        <v>25.5</v>
      </c>
      <c r="C95" s="16">
        <v>5</v>
      </c>
      <c r="D95" s="16">
        <f t="shared" si="1"/>
        <v>20.5</v>
      </c>
    </row>
    <row r="96" spans="1:4" x14ac:dyDescent="0.25">
      <c r="A96" s="22">
        <v>1994</v>
      </c>
      <c r="B96" s="16">
        <v>25.2</v>
      </c>
      <c r="C96" s="16">
        <v>5</v>
      </c>
      <c r="D96" s="16">
        <f t="shared" si="1"/>
        <v>20.2</v>
      </c>
    </row>
    <row r="97" spans="1:4" x14ac:dyDescent="0.25">
      <c r="A97" s="22">
        <v>1995</v>
      </c>
      <c r="B97" s="16">
        <v>24.9</v>
      </c>
      <c r="C97" s="16">
        <v>5.0999999999999996</v>
      </c>
      <c r="D97" s="16">
        <f t="shared" si="1"/>
        <v>19.799999999999997</v>
      </c>
    </row>
    <row r="98" spans="1:4" x14ac:dyDescent="0.25">
      <c r="A98" s="22">
        <v>1996</v>
      </c>
      <c r="B98" s="16">
        <v>24.6</v>
      </c>
      <c r="C98" s="16">
        <v>5</v>
      </c>
      <c r="D98" s="16">
        <f t="shared" si="1"/>
        <v>19.600000000000001</v>
      </c>
    </row>
    <row r="99" spans="1:4" x14ac:dyDescent="0.25">
      <c r="A99" s="22">
        <v>1997</v>
      </c>
      <c r="B99" s="16">
        <v>24.4</v>
      </c>
      <c r="C99" s="16">
        <v>5</v>
      </c>
      <c r="D99" s="16">
        <f t="shared" si="1"/>
        <v>19.399999999999999</v>
      </c>
    </row>
    <row r="100" spans="1:4" x14ac:dyDescent="0.25">
      <c r="A100" s="22">
        <v>1998</v>
      </c>
      <c r="B100" s="16">
        <v>24.1</v>
      </c>
      <c r="C100" s="16">
        <v>4.9000000000000004</v>
      </c>
      <c r="D100" s="16">
        <f t="shared" si="1"/>
        <v>19.200000000000003</v>
      </c>
    </row>
    <row r="101" spans="1:4" x14ac:dyDescent="0.25">
      <c r="A101" s="22">
        <v>1999</v>
      </c>
      <c r="B101" s="16">
        <v>23.8</v>
      </c>
      <c r="C101" s="16">
        <v>4.9000000000000004</v>
      </c>
      <c r="D101" s="16">
        <f t="shared" si="1"/>
        <v>18.899999999999999</v>
      </c>
    </row>
    <row r="102" spans="1:4" x14ac:dyDescent="0.25">
      <c r="A102" s="22">
        <v>2000</v>
      </c>
      <c r="B102" s="16">
        <v>23.5</v>
      </c>
      <c r="C102" s="16">
        <v>4.8</v>
      </c>
      <c r="D102" s="16">
        <f t="shared" si="1"/>
        <v>18.7</v>
      </c>
    </row>
    <row r="103" spans="1:4" x14ac:dyDescent="0.25">
      <c r="A103" s="22">
        <v>2001</v>
      </c>
      <c r="B103" s="16">
        <v>23.2</v>
      </c>
      <c r="C103" s="16">
        <v>4.8</v>
      </c>
      <c r="D103" s="16">
        <f t="shared" si="1"/>
        <v>18.399999999999999</v>
      </c>
    </row>
    <row r="104" spans="1:4" x14ac:dyDescent="0.25">
      <c r="A104" s="22">
        <v>2002</v>
      </c>
      <c r="B104" s="16">
        <v>22.9</v>
      </c>
      <c r="C104" s="16">
        <v>4.7</v>
      </c>
      <c r="D104" s="16">
        <f t="shared" si="1"/>
        <v>18.2</v>
      </c>
    </row>
    <row r="105" spans="1:4" x14ac:dyDescent="0.25">
      <c r="A105" s="22">
        <v>2003</v>
      </c>
      <c r="B105" s="16">
        <v>22.7</v>
      </c>
      <c r="C105" s="16">
        <v>4.5999999999999996</v>
      </c>
      <c r="D105" s="16">
        <f t="shared" si="1"/>
        <v>18.100000000000001</v>
      </c>
    </row>
    <row r="106" spans="1:4" x14ac:dyDescent="0.25">
      <c r="A106" s="22">
        <v>2004</v>
      </c>
      <c r="B106" s="16">
        <v>22.5</v>
      </c>
      <c r="C106" s="16">
        <v>4.5999999999999996</v>
      </c>
      <c r="D106" s="16">
        <f t="shared" si="1"/>
        <v>17.899999999999999</v>
      </c>
    </row>
    <row r="107" spans="1:4" x14ac:dyDescent="0.25">
      <c r="A107" s="22">
        <v>2005</v>
      </c>
      <c r="B107" s="16">
        <v>22.1</v>
      </c>
      <c r="C107" s="16">
        <v>4.5999999999999996</v>
      </c>
      <c r="D107" s="16">
        <f t="shared" si="1"/>
        <v>17.5</v>
      </c>
    </row>
    <row r="108" spans="1:4" x14ac:dyDescent="0.25">
      <c r="A108" s="22">
        <v>2006</v>
      </c>
      <c r="B108" s="16">
        <v>21.8</v>
      </c>
      <c r="C108" s="16">
        <v>4.5999999999999996</v>
      </c>
      <c r="D108" s="16">
        <f t="shared" si="1"/>
        <v>17.200000000000003</v>
      </c>
    </row>
    <row r="109" spans="1:4" x14ac:dyDescent="0.25">
      <c r="A109" s="22">
        <v>2007</v>
      </c>
      <c r="B109" s="16">
        <v>21.6</v>
      </c>
      <c r="C109" s="16">
        <v>4.5999999999999996</v>
      </c>
      <c r="D109" s="16">
        <f t="shared" si="1"/>
        <v>17</v>
      </c>
    </row>
    <row r="110" spans="1:4" x14ac:dyDescent="0.25">
      <c r="A110" s="22">
        <v>2008</v>
      </c>
      <c r="B110" s="16">
        <v>21.4</v>
      </c>
      <c r="C110" s="16">
        <v>4.5999999999999996</v>
      </c>
      <c r="D110" s="16">
        <f t="shared" si="1"/>
        <v>16.799999999999997</v>
      </c>
    </row>
    <row r="111" spans="1:4" x14ac:dyDescent="0.25">
      <c r="A111" s="22">
        <v>2009</v>
      </c>
      <c r="B111" s="16">
        <v>21.2</v>
      </c>
      <c r="C111" s="16">
        <v>4.5999999999999996</v>
      </c>
      <c r="D111" s="16">
        <f t="shared" si="1"/>
        <v>16.600000000000001</v>
      </c>
    </row>
    <row r="112" spans="1:4" x14ac:dyDescent="0.25">
      <c r="A112" s="22">
        <v>2010</v>
      </c>
      <c r="B112" s="16">
        <v>21</v>
      </c>
      <c r="C112" s="16">
        <v>4.5999999999999996</v>
      </c>
      <c r="D112" s="16">
        <f t="shared" si="1"/>
        <v>16.399999999999999</v>
      </c>
    </row>
    <row r="113" spans="1:4" x14ac:dyDescent="0.25">
      <c r="A113" s="22">
        <v>2011</v>
      </c>
      <c r="B113" s="16">
        <v>21</v>
      </c>
      <c r="C113" s="16">
        <v>4.5999999999999996</v>
      </c>
      <c r="D113" s="16">
        <f t="shared" si="1"/>
        <v>16.399999999999999</v>
      </c>
    </row>
    <row r="114" spans="1:4" x14ac:dyDescent="0.25">
      <c r="A114" s="22">
        <v>2012</v>
      </c>
      <c r="B114" s="16">
        <v>20.7</v>
      </c>
      <c r="C114" s="16">
        <v>4.5999999999999996</v>
      </c>
      <c r="D114" s="16">
        <f t="shared" si="1"/>
        <v>16.100000000000001</v>
      </c>
    </row>
    <row r="115" spans="1:4" x14ac:dyDescent="0.25">
      <c r="A115" s="22">
        <v>2013</v>
      </c>
      <c r="B115" s="16">
        <v>20.399999999999999</v>
      </c>
      <c r="C115" s="16">
        <v>4.7</v>
      </c>
      <c r="D115" s="16">
        <f t="shared" si="1"/>
        <v>15.7</v>
      </c>
    </row>
    <row r="116" spans="1:4" x14ac:dyDescent="0.25">
      <c r="A116" s="22">
        <v>2014</v>
      </c>
      <c r="B116" s="16">
        <v>20.100000000000001</v>
      </c>
      <c r="C116" s="16">
        <v>4.7</v>
      </c>
      <c r="D116" s="16">
        <f t="shared" si="1"/>
        <v>15.400000000000002</v>
      </c>
    </row>
    <row r="117" spans="1:4" x14ac:dyDescent="0.25">
      <c r="A117" s="22">
        <v>2015</v>
      </c>
      <c r="B117" s="16">
        <v>19.8</v>
      </c>
      <c r="C117" s="16">
        <v>4.7</v>
      </c>
      <c r="D117" s="16">
        <f t="shared" si="1"/>
        <v>15.100000000000001</v>
      </c>
    </row>
    <row r="118" spans="1:4" x14ac:dyDescent="0.25">
      <c r="A118" s="22">
        <v>2016</v>
      </c>
      <c r="B118" s="16">
        <v>19.5</v>
      </c>
      <c r="C118" s="16">
        <v>4.7</v>
      </c>
      <c r="D118" s="16">
        <f t="shared" si="1"/>
        <v>14.8</v>
      </c>
    </row>
    <row r="119" spans="1:4" x14ac:dyDescent="0.25">
      <c r="A119" s="22">
        <v>2017</v>
      </c>
      <c r="B119" s="16">
        <v>19.100000000000001</v>
      </c>
      <c r="C119" s="16">
        <v>4.8</v>
      </c>
      <c r="D119" s="16">
        <f t="shared" si="1"/>
        <v>14.3</v>
      </c>
    </row>
    <row r="120" spans="1:4" x14ac:dyDescent="0.25">
      <c r="A120" s="22">
        <v>2018</v>
      </c>
      <c r="B120" s="16">
        <v>18.5</v>
      </c>
      <c r="C120" s="16">
        <v>4.7</v>
      </c>
      <c r="D120" s="16">
        <f t="shared" si="1"/>
        <v>13.8</v>
      </c>
    </row>
    <row r="121" spans="1:4" x14ac:dyDescent="0.25">
      <c r="A121" s="22">
        <v>2019</v>
      </c>
      <c r="B121" s="16">
        <v>17.600000000000001</v>
      </c>
      <c r="C121" s="16">
        <v>4.7</v>
      </c>
      <c r="D121" s="16">
        <f t="shared" si="1"/>
        <v>12.900000000000002</v>
      </c>
    </row>
    <row r="122" spans="1:4" x14ac:dyDescent="0.25">
      <c r="A122" s="22">
        <v>2020</v>
      </c>
      <c r="B122" s="16">
        <v>16.7</v>
      </c>
      <c r="C122" s="16">
        <v>5.9</v>
      </c>
      <c r="D122" s="16">
        <f t="shared" si="1"/>
        <v>10.799999999999999</v>
      </c>
    </row>
    <row r="123" spans="1:4" x14ac:dyDescent="0.25">
      <c r="A123" s="22">
        <v>2021</v>
      </c>
      <c r="B123" s="16">
        <v>16.399999999999999</v>
      </c>
      <c r="C123" s="16">
        <v>5.6</v>
      </c>
      <c r="D123" s="16">
        <f t="shared" si="1"/>
        <v>10.799999999999999</v>
      </c>
    </row>
    <row r="124" spans="1:4" x14ac:dyDescent="0.25">
      <c r="A124" s="22">
        <v>2022</v>
      </c>
      <c r="B124" s="16">
        <v>16.2</v>
      </c>
      <c r="C124" s="16">
        <v>4.8</v>
      </c>
      <c r="D124" s="16">
        <f t="shared" si="1"/>
        <v>11.399999999999999</v>
      </c>
    </row>
    <row r="125" spans="1:4" x14ac:dyDescent="0.25">
      <c r="A125" s="22">
        <v>2023</v>
      </c>
      <c r="B125" s="16">
        <v>16</v>
      </c>
      <c r="C125" s="16">
        <v>4.8</v>
      </c>
      <c r="D125" s="16">
        <f t="shared" si="1"/>
        <v>11.2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1950</v>
      </c>
      <c r="B2" s="16">
        <v>44.5</v>
      </c>
      <c r="C2" s="16">
        <v>11.7</v>
      </c>
      <c r="D2" s="16">
        <f>B2-C2</f>
        <v>32.799999999999997</v>
      </c>
    </row>
    <row r="3" spans="1:4" x14ac:dyDescent="0.25">
      <c r="A3" s="22">
        <v>1951</v>
      </c>
      <c r="B3" s="16">
        <v>44.3</v>
      </c>
      <c r="C3" s="16">
        <v>11.6</v>
      </c>
      <c r="D3" s="16">
        <f t="shared" ref="D3:D66" si="0">B3-C3</f>
        <v>32.699999999999996</v>
      </c>
    </row>
    <row r="4" spans="1:4" x14ac:dyDescent="0.25">
      <c r="A4" s="22">
        <v>1952</v>
      </c>
      <c r="B4" s="16">
        <v>44.1</v>
      </c>
      <c r="C4" s="16">
        <v>11.6</v>
      </c>
      <c r="D4" s="16">
        <f t="shared" si="0"/>
        <v>32.5</v>
      </c>
    </row>
    <row r="5" spans="1:4" x14ac:dyDescent="0.25">
      <c r="A5" s="22">
        <v>1953</v>
      </c>
      <c r="B5" s="16">
        <v>43.9</v>
      </c>
      <c r="C5" s="16">
        <v>11.5</v>
      </c>
      <c r="D5" s="16">
        <f t="shared" si="0"/>
        <v>32.4</v>
      </c>
    </row>
    <row r="6" spans="1:4" x14ac:dyDescent="0.25">
      <c r="A6" s="22">
        <v>1954</v>
      </c>
      <c r="B6" s="16">
        <v>43.6</v>
      </c>
      <c r="C6" s="16">
        <v>11.5</v>
      </c>
      <c r="D6" s="16">
        <f t="shared" si="0"/>
        <v>32.1</v>
      </c>
    </row>
    <row r="7" spans="1:4" x14ac:dyDescent="0.25">
      <c r="A7" s="22">
        <v>1955</v>
      </c>
      <c r="B7" s="16">
        <v>43.4</v>
      </c>
      <c r="C7" s="16">
        <v>11.4</v>
      </c>
      <c r="D7" s="16">
        <f t="shared" si="0"/>
        <v>32</v>
      </c>
    </row>
    <row r="8" spans="1:4" x14ac:dyDescent="0.25">
      <c r="A8" s="22">
        <v>1956</v>
      </c>
      <c r="B8" s="16">
        <v>43.1</v>
      </c>
      <c r="C8" s="16">
        <v>11.2</v>
      </c>
      <c r="D8" s="16">
        <f t="shared" si="0"/>
        <v>31.900000000000002</v>
      </c>
    </row>
    <row r="9" spans="1:4" x14ac:dyDescent="0.25">
      <c r="A9" s="22">
        <v>1957</v>
      </c>
      <c r="B9" s="16">
        <v>42.9</v>
      </c>
      <c r="C9" s="16">
        <v>11.1</v>
      </c>
      <c r="D9" s="16">
        <f t="shared" si="0"/>
        <v>31.799999999999997</v>
      </c>
    </row>
    <row r="10" spans="1:4" x14ac:dyDescent="0.25">
      <c r="A10" s="22">
        <v>1958</v>
      </c>
      <c r="B10" s="16">
        <v>42.7</v>
      </c>
      <c r="C10" s="16">
        <v>10.9</v>
      </c>
      <c r="D10" s="16">
        <f t="shared" si="0"/>
        <v>31.800000000000004</v>
      </c>
    </row>
    <row r="11" spans="1:4" x14ac:dyDescent="0.25">
      <c r="A11" s="22">
        <v>1959</v>
      </c>
      <c r="B11" s="16">
        <v>42.5</v>
      </c>
      <c r="C11" s="16">
        <v>10.7</v>
      </c>
      <c r="D11" s="16">
        <f t="shared" si="0"/>
        <v>31.8</v>
      </c>
    </row>
    <row r="12" spans="1:4" x14ac:dyDescent="0.25">
      <c r="A12" s="22">
        <v>1960</v>
      </c>
      <c r="B12" s="16">
        <v>42.4</v>
      </c>
      <c r="C12" s="16">
        <v>10.6</v>
      </c>
      <c r="D12" s="16">
        <f t="shared" si="0"/>
        <v>31.799999999999997</v>
      </c>
    </row>
    <row r="13" spans="1:4" x14ac:dyDescent="0.25">
      <c r="A13" s="22">
        <v>1961</v>
      </c>
      <c r="B13" s="16">
        <v>42.3</v>
      </c>
      <c r="C13" s="16">
        <v>10.4</v>
      </c>
      <c r="D13" s="16">
        <f t="shared" si="0"/>
        <v>31.9</v>
      </c>
    </row>
    <row r="14" spans="1:4" x14ac:dyDescent="0.25">
      <c r="A14" s="22">
        <v>1962</v>
      </c>
      <c r="B14" s="16">
        <v>42.2</v>
      </c>
      <c r="C14" s="16">
        <v>10.199999999999999</v>
      </c>
      <c r="D14" s="16">
        <f t="shared" si="0"/>
        <v>32</v>
      </c>
    </row>
    <row r="15" spans="1:4" x14ac:dyDescent="0.25">
      <c r="A15" s="22">
        <v>1963</v>
      </c>
      <c r="B15" s="16">
        <v>42.1</v>
      </c>
      <c r="C15" s="16">
        <v>10</v>
      </c>
      <c r="D15" s="16">
        <f t="shared" si="0"/>
        <v>32.1</v>
      </c>
    </row>
    <row r="16" spans="1:4" x14ac:dyDescent="0.25">
      <c r="A16" s="22">
        <v>1964</v>
      </c>
      <c r="B16" s="16">
        <v>41.7</v>
      </c>
      <c r="C16" s="16">
        <v>10</v>
      </c>
      <c r="D16" s="16">
        <f t="shared" si="0"/>
        <v>31.700000000000003</v>
      </c>
    </row>
    <row r="17" spans="1:4" x14ac:dyDescent="0.25">
      <c r="A17" s="22">
        <v>1965</v>
      </c>
      <c r="B17" s="16">
        <v>41</v>
      </c>
      <c r="C17" s="16">
        <v>9.9</v>
      </c>
      <c r="D17" s="16">
        <f t="shared" si="0"/>
        <v>31.1</v>
      </c>
    </row>
    <row r="18" spans="1:4" x14ac:dyDescent="0.25">
      <c r="A18" s="22">
        <v>1966</v>
      </c>
      <c r="B18" s="16">
        <v>40.200000000000003</v>
      </c>
      <c r="C18" s="16">
        <v>9.8000000000000007</v>
      </c>
      <c r="D18" s="16">
        <f t="shared" si="0"/>
        <v>30.400000000000002</v>
      </c>
    </row>
    <row r="19" spans="1:4" x14ac:dyDescent="0.25">
      <c r="A19" s="22">
        <v>1967</v>
      </c>
      <c r="B19" s="16">
        <v>39.200000000000003</v>
      </c>
      <c r="C19" s="16">
        <v>9.6999999999999993</v>
      </c>
      <c r="D19" s="16">
        <f t="shared" si="0"/>
        <v>29.500000000000004</v>
      </c>
    </row>
    <row r="20" spans="1:4" x14ac:dyDescent="0.25">
      <c r="A20" s="22">
        <v>1968</v>
      </c>
      <c r="B20" s="16">
        <v>38.4</v>
      </c>
      <c r="C20" s="16">
        <v>9.6</v>
      </c>
      <c r="D20" s="16">
        <f t="shared" si="0"/>
        <v>28.799999999999997</v>
      </c>
    </row>
    <row r="21" spans="1:4" x14ac:dyDescent="0.25">
      <c r="A21" s="22">
        <v>1969</v>
      </c>
      <c r="B21" s="16">
        <v>37.6</v>
      </c>
      <c r="C21" s="16">
        <v>9.5</v>
      </c>
      <c r="D21" s="16">
        <f t="shared" si="0"/>
        <v>28.1</v>
      </c>
    </row>
    <row r="22" spans="1:4" x14ac:dyDescent="0.25">
      <c r="A22" s="22">
        <v>1970</v>
      </c>
      <c r="B22" s="16">
        <v>37</v>
      </c>
      <c r="C22" s="16">
        <v>9.4</v>
      </c>
      <c r="D22" s="16">
        <f t="shared" si="0"/>
        <v>27.6</v>
      </c>
    </row>
    <row r="23" spans="1:4" x14ac:dyDescent="0.25">
      <c r="A23" s="22">
        <v>1971</v>
      </c>
      <c r="B23" s="16">
        <v>36.299999999999997</v>
      </c>
      <c r="C23" s="16">
        <v>9.3000000000000007</v>
      </c>
      <c r="D23" s="16">
        <f t="shared" si="0"/>
        <v>26.999999999999996</v>
      </c>
    </row>
    <row r="24" spans="1:4" x14ac:dyDescent="0.25">
      <c r="A24" s="22">
        <v>1972</v>
      </c>
      <c r="B24" s="16">
        <v>35.799999999999997</v>
      </c>
      <c r="C24" s="16">
        <v>9.1</v>
      </c>
      <c r="D24" s="16">
        <f t="shared" si="0"/>
        <v>26.699999999999996</v>
      </c>
    </row>
    <row r="25" spans="1:4" x14ac:dyDescent="0.25">
      <c r="A25" s="22">
        <v>1973</v>
      </c>
      <c r="B25" s="16">
        <v>35.4</v>
      </c>
      <c r="C25" s="16">
        <v>8.9</v>
      </c>
      <c r="D25" s="16">
        <f t="shared" si="0"/>
        <v>26.5</v>
      </c>
    </row>
    <row r="26" spans="1:4" x14ac:dyDescent="0.25">
      <c r="A26" s="22">
        <v>1974</v>
      </c>
      <c r="B26" s="16">
        <v>35.200000000000003</v>
      </c>
      <c r="C26" s="16">
        <v>8.9</v>
      </c>
      <c r="D26" s="16">
        <f t="shared" si="0"/>
        <v>26.300000000000004</v>
      </c>
    </row>
    <row r="27" spans="1:4" x14ac:dyDescent="0.25">
      <c r="A27" s="22">
        <v>1975</v>
      </c>
      <c r="B27" s="16">
        <v>34.9</v>
      </c>
      <c r="C27" s="16">
        <v>8.8000000000000007</v>
      </c>
      <c r="D27" s="16">
        <f t="shared" si="0"/>
        <v>26.099999999999998</v>
      </c>
    </row>
    <row r="28" spans="1:4" x14ac:dyDescent="0.25">
      <c r="A28" s="22">
        <v>1976</v>
      </c>
      <c r="B28" s="16">
        <v>34.799999999999997</v>
      </c>
      <c r="C28" s="16">
        <v>8.6999999999999993</v>
      </c>
      <c r="D28" s="16">
        <f t="shared" si="0"/>
        <v>26.099999999999998</v>
      </c>
    </row>
    <row r="29" spans="1:4" x14ac:dyDescent="0.25">
      <c r="A29" s="22">
        <v>1977</v>
      </c>
      <c r="B29" s="16">
        <v>35</v>
      </c>
      <c r="C29" s="16">
        <v>8.6999999999999993</v>
      </c>
      <c r="D29" s="16">
        <f t="shared" si="0"/>
        <v>26.3</v>
      </c>
    </row>
    <row r="30" spans="1:4" x14ac:dyDescent="0.25">
      <c r="A30" s="22">
        <v>1978</v>
      </c>
      <c r="B30" s="16">
        <v>35.1</v>
      </c>
      <c r="C30" s="16">
        <v>8.6</v>
      </c>
      <c r="D30" s="16">
        <f t="shared" si="0"/>
        <v>26.5</v>
      </c>
    </row>
    <row r="31" spans="1:4" x14ac:dyDescent="0.25">
      <c r="A31" s="22">
        <v>1979</v>
      </c>
      <c r="B31" s="16">
        <v>35.6</v>
      </c>
      <c r="C31" s="16">
        <v>8.6</v>
      </c>
      <c r="D31" s="16">
        <f t="shared" si="0"/>
        <v>27</v>
      </c>
    </row>
    <row r="32" spans="1:4" x14ac:dyDescent="0.25">
      <c r="A32" s="22">
        <v>1980</v>
      </c>
      <c r="B32" s="16">
        <v>36.200000000000003</v>
      </c>
      <c r="C32" s="16">
        <v>8.5</v>
      </c>
      <c r="D32" s="16">
        <f t="shared" si="0"/>
        <v>27.700000000000003</v>
      </c>
    </row>
    <row r="33" spans="1:4" x14ac:dyDescent="0.25">
      <c r="A33" s="22">
        <v>1981</v>
      </c>
      <c r="B33" s="16">
        <v>36.9</v>
      </c>
      <c r="C33" s="16">
        <v>8.4</v>
      </c>
      <c r="D33" s="16">
        <f t="shared" si="0"/>
        <v>28.5</v>
      </c>
    </row>
    <row r="34" spans="1:4" x14ac:dyDescent="0.25">
      <c r="A34" s="22">
        <v>1982</v>
      </c>
      <c r="B34" s="16">
        <v>37</v>
      </c>
      <c r="C34" s="16">
        <v>8.1999999999999993</v>
      </c>
      <c r="D34" s="16">
        <f t="shared" si="0"/>
        <v>28.8</v>
      </c>
    </row>
    <row r="35" spans="1:4" x14ac:dyDescent="0.25">
      <c r="A35" s="22">
        <v>1983</v>
      </c>
      <c r="B35" s="16">
        <v>37</v>
      </c>
      <c r="C35" s="16">
        <v>8</v>
      </c>
      <c r="D35" s="16">
        <f t="shared" si="0"/>
        <v>29</v>
      </c>
    </row>
    <row r="36" spans="1:4" x14ac:dyDescent="0.25">
      <c r="A36" s="22">
        <v>1984</v>
      </c>
      <c r="B36" s="16">
        <v>37</v>
      </c>
      <c r="C36" s="16">
        <v>7.7</v>
      </c>
      <c r="D36" s="16">
        <f t="shared" si="0"/>
        <v>29.3</v>
      </c>
    </row>
    <row r="37" spans="1:4" x14ac:dyDescent="0.25">
      <c r="A37" s="22">
        <v>1985</v>
      </c>
      <c r="B37" s="16">
        <v>36.799999999999997</v>
      </c>
      <c r="C37" s="16">
        <v>7.5</v>
      </c>
      <c r="D37" s="16">
        <f t="shared" si="0"/>
        <v>29.299999999999997</v>
      </c>
    </row>
    <row r="38" spans="1:4" x14ac:dyDescent="0.25">
      <c r="A38" s="22">
        <v>1986</v>
      </c>
      <c r="B38" s="16">
        <v>36.5</v>
      </c>
      <c r="C38" s="16">
        <v>7.3</v>
      </c>
      <c r="D38" s="16">
        <f t="shared" si="0"/>
        <v>29.2</v>
      </c>
    </row>
    <row r="39" spans="1:4" x14ac:dyDescent="0.25">
      <c r="A39" s="22">
        <v>1987</v>
      </c>
      <c r="B39" s="16">
        <v>36.1</v>
      </c>
      <c r="C39" s="16">
        <v>7.1</v>
      </c>
      <c r="D39" s="16">
        <f t="shared" si="0"/>
        <v>29</v>
      </c>
    </row>
    <row r="40" spans="1:4" x14ac:dyDescent="0.25">
      <c r="A40" s="22">
        <v>1988</v>
      </c>
      <c r="B40" s="16">
        <v>35.799999999999997</v>
      </c>
      <c r="C40" s="16">
        <v>6.9</v>
      </c>
      <c r="D40" s="16">
        <f t="shared" si="0"/>
        <v>28.9</v>
      </c>
    </row>
    <row r="41" spans="1:4" x14ac:dyDescent="0.25">
      <c r="A41" s="22">
        <v>1989</v>
      </c>
      <c r="B41" s="16">
        <v>35.200000000000003</v>
      </c>
      <c r="C41" s="16">
        <v>6.7</v>
      </c>
      <c r="D41" s="16">
        <f t="shared" si="0"/>
        <v>28.500000000000004</v>
      </c>
    </row>
    <row r="42" spans="1:4" x14ac:dyDescent="0.25">
      <c r="A42" s="22">
        <v>1990</v>
      </c>
      <c r="B42" s="16">
        <v>34.4</v>
      </c>
      <c r="C42" s="16">
        <v>6.5</v>
      </c>
      <c r="D42" s="16">
        <f t="shared" si="0"/>
        <v>27.9</v>
      </c>
    </row>
    <row r="43" spans="1:4" x14ac:dyDescent="0.25">
      <c r="A43" s="22">
        <v>1991</v>
      </c>
      <c r="B43" s="16">
        <v>33.9</v>
      </c>
      <c r="C43" s="16">
        <v>6.3</v>
      </c>
      <c r="D43" s="16">
        <f t="shared" si="0"/>
        <v>27.599999999999998</v>
      </c>
    </row>
    <row r="44" spans="1:4" x14ac:dyDescent="0.25">
      <c r="A44" s="22">
        <v>1992</v>
      </c>
      <c r="B44" s="16">
        <v>33.299999999999997</v>
      </c>
      <c r="C44" s="16">
        <v>6.1</v>
      </c>
      <c r="D44" s="16">
        <f t="shared" si="0"/>
        <v>27.199999999999996</v>
      </c>
    </row>
    <row r="45" spans="1:4" x14ac:dyDescent="0.25">
      <c r="A45" s="22">
        <v>1993</v>
      </c>
      <c r="B45" s="16">
        <v>32.4</v>
      </c>
      <c r="C45" s="16">
        <v>6</v>
      </c>
      <c r="D45" s="16">
        <f t="shared" si="0"/>
        <v>26.4</v>
      </c>
    </row>
    <row r="46" spans="1:4" x14ac:dyDescent="0.25">
      <c r="A46" s="22">
        <v>1994</v>
      </c>
      <c r="B46" s="16">
        <v>31.7</v>
      </c>
      <c r="C46" s="16">
        <v>5.9</v>
      </c>
      <c r="D46" s="16">
        <f t="shared" si="0"/>
        <v>25.799999999999997</v>
      </c>
    </row>
    <row r="47" spans="1:4" x14ac:dyDescent="0.25">
      <c r="A47" s="22">
        <v>1995</v>
      </c>
      <c r="B47" s="16">
        <v>31</v>
      </c>
      <c r="C47" s="16">
        <v>5.7</v>
      </c>
      <c r="D47" s="16">
        <f t="shared" si="0"/>
        <v>25.3</v>
      </c>
    </row>
    <row r="48" spans="1:4" x14ac:dyDescent="0.25">
      <c r="A48" s="22">
        <v>1996</v>
      </c>
      <c r="B48" s="16">
        <v>30.3</v>
      </c>
      <c r="C48" s="16">
        <v>5.6</v>
      </c>
      <c r="D48" s="16">
        <f t="shared" si="0"/>
        <v>24.700000000000003</v>
      </c>
    </row>
    <row r="49" spans="1:4" x14ac:dyDescent="0.25">
      <c r="A49" s="22">
        <v>1997</v>
      </c>
      <c r="B49" s="16">
        <v>29.6</v>
      </c>
      <c r="C49" s="16">
        <v>5.6</v>
      </c>
      <c r="D49" s="16">
        <f t="shared" si="0"/>
        <v>24</v>
      </c>
    </row>
    <row r="50" spans="1:4" x14ac:dyDescent="0.25">
      <c r="A50" s="22">
        <v>1998</v>
      </c>
      <c r="B50" s="16">
        <v>28.8</v>
      </c>
      <c r="C50" s="16">
        <v>5.5</v>
      </c>
      <c r="D50" s="16">
        <f t="shared" si="0"/>
        <v>23.3</v>
      </c>
    </row>
    <row r="51" spans="1:4" x14ac:dyDescent="0.25">
      <c r="A51" s="22">
        <v>1999</v>
      </c>
      <c r="B51" s="16">
        <v>27.9</v>
      </c>
      <c r="C51" s="16">
        <v>5.4</v>
      </c>
      <c r="D51" s="16">
        <f t="shared" si="0"/>
        <v>22.5</v>
      </c>
    </row>
    <row r="52" spans="1:4" x14ac:dyDescent="0.25">
      <c r="A52" s="22">
        <v>2000</v>
      </c>
      <c r="B52" s="16">
        <v>26.9</v>
      </c>
      <c r="C52" s="16">
        <v>5.3</v>
      </c>
      <c r="D52" s="16">
        <f t="shared" si="0"/>
        <v>21.599999999999998</v>
      </c>
    </row>
    <row r="53" spans="1:4" x14ac:dyDescent="0.25">
      <c r="A53" s="22">
        <v>2001</v>
      </c>
      <c r="B53" s="16">
        <v>25.9</v>
      </c>
      <c r="C53" s="16">
        <v>5.3</v>
      </c>
      <c r="D53" s="16">
        <f t="shared" si="0"/>
        <v>20.599999999999998</v>
      </c>
    </row>
    <row r="54" spans="1:4" x14ac:dyDescent="0.25">
      <c r="A54" s="22">
        <v>2002</v>
      </c>
      <c r="B54" s="16">
        <v>25.1</v>
      </c>
      <c r="C54" s="16">
        <v>5.2</v>
      </c>
      <c r="D54" s="16">
        <f t="shared" si="0"/>
        <v>19.900000000000002</v>
      </c>
    </row>
    <row r="55" spans="1:4" x14ac:dyDescent="0.25">
      <c r="A55" s="22">
        <v>2003</v>
      </c>
      <c r="B55" s="16">
        <v>24.4</v>
      </c>
      <c r="C55" s="16">
        <v>5.2</v>
      </c>
      <c r="D55" s="16">
        <f t="shared" si="0"/>
        <v>19.2</v>
      </c>
    </row>
    <row r="56" spans="1:4" x14ac:dyDescent="0.25">
      <c r="A56" s="22">
        <v>2004</v>
      </c>
      <c r="B56" s="16">
        <v>24.1</v>
      </c>
      <c r="C56" s="16">
        <v>5.2</v>
      </c>
      <c r="D56" s="16">
        <f t="shared" si="0"/>
        <v>18.900000000000002</v>
      </c>
    </row>
    <row r="57" spans="1:4" x14ac:dyDescent="0.25">
      <c r="A57" s="22">
        <v>2005</v>
      </c>
      <c r="B57" s="16">
        <v>23.7</v>
      </c>
      <c r="C57" s="16">
        <v>5.2</v>
      </c>
      <c r="D57" s="16">
        <f t="shared" si="0"/>
        <v>18.5</v>
      </c>
    </row>
    <row r="58" spans="1:4" x14ac:dyDescent="0.25">
      <c r="A58" s="22">
        <v>2006</v>
      </c>
      <c r="B58" s="16">
        <v>23.3</v>
      </c>
      <c r="C58" s="16">
        <v>5.2</v>
      </c>
      <c r="D58" s="16">
        <f t="shared" si="0"/>
        <v>18.100000000000001</v>
      </c>
    </row>
    <row r="59" spans="1:4" x14ac:dyDescent="0.25">
      <c r="A59" s="22">
        <v>2007</v>
      </c>
      <c r="B59" s="16">
        <v>23</v>
      </c>
      <c r="C59" s="16">
        <v>5.2</v>
      </c>
      <c r="D59" s="16">
        <f t="shared" si="0"/>
        <v>17.8</v>
      </c>
    </row>
    <row r="60" spans="1:4" x14ac:dyDescent="0.25">
      <c r="A60" s="22">
        <v>2008</v>
      </c>
      <c r="B60" s="16">
        <v>23</v>
      </c>
      <c r="C60" s="16">
        <v>5.2</v>
      </c>
      <c r="D60" s="16">
        <f t="shared" si="0"/>
        <v>17.8</v>
      </c>
    </row>
    <row r="61" spans="1:4" x14ac:dyDescent="0.25">
      <c r="A61" s="22">
        <v>2009</v>
      </c>
      <c r="B61" s="16">
        <v>22.9</v>
      </c>
      <c r="C61" s="16">
        <v>5.2</v>
      </c>
      <c r="D61" s="16">
        <f t="shared" si="0"/>
        <v>17.7</v>
      </c>
    </row>
    <row r="62" spans="1:4" x14ac:dyDescent="0.25">
      <c r="A62" s="22">
        <v>2010</v>
      </c>
      <c r="B62" s="16">
        <v>22.5</v>
      </c>
      <c r="C62" s="16">
        <v>5.2</v>
      </c>
      <c r="D62" s="16">
        <f t="shared" si="0"/>
        <v>17.3</v>
      </c>
    </row>
    <row r="63" spans="1:4" x14ac:dyDescent="0.25">
      <c r="A63" s="22">
        <v>2011</v>
      </c>
      <c r="B63" s="16">
        <v>22.5</v>
      </c>
      <c r="C63" s="16">
        <v>5.2</v>
      </c>
      <c r="D63" s="16">
        <f t="shared" si="0"/>
        <v>17.3</v>
      </c>
    </row>
    <row r="64" spans="1:4" x14ac:dyDescent="0.25">
      <c r="A64" s="22">
        <v>2012</v>
      </c>
      <c r="B64" s="16">
        <v>22.6</v>
      </c>
      <c r="C64" s="16">
        <v>5.2</v>
      </c>
      <c r="D64" s="16">
        <f t="shared" si="0"/>
        <v>17.400000000000002</v>
      </c>
    </row>
    <row r="65" spans="1:4" x14ac:dyDescent="0.25">
      <c r="A65" s="22">
        <v>2013</v>
      </c>
      <c r="B65" s="16">
        <v>22.5</v>
      </c>
      <c r="C65" s="16">
        <v>5.2</v>
      </c>
      <c r="D65" s="16">
        <f t="shared" si="0"/>
        <v>17.3</v>
      </c>
    </row>
    <row r="66" spans="1:4" x14ac:dyDescent="0.25">
      <c r="A66" s="22">
        <v>2014</v>
      </c>
      <c r="B66" s="16">
        <v>22.6</v>
      </c>
      <c r="C66" s="16">
        <v>5.2</v>
      </c>
      <c r="D66" s="16">
        <f t="shared" si="0"/>
        <v>17.400000000000002</v>
      </c>
    </row>
    <row r="67" spans="1:4" x14ac:dyDescent="0.25">
      <c r="A67" s="22">
        <v>2015</v>
      </c>
      <c r="B67" s="16">
        <v>22.7</v>
      </c>
      <c r="C67" s="16">
        <v>5.3</v>
      </c>
      <c r="D67" s="16">
        <f t="shared" ref="D67:D75" si="1">B67-C67</f>
        <v>17.399999999999999</v>
      </c>
    </row>
    <row r="68" spans="1:4" x14ac:dyDescent="0.25">
      <c r="A68" s="22">
        <v>2016</v>
      </c>
      <c r="B68" s="16">
        <v>22.5</v>
      </c>
      <c r="C68" s="16">
        <v>5.4</v>
      </c>
      <c r="D68" s="16">
        <f t="shared" si="1"/>
        <v>17.100000000000001</v>
      </c>
    </row>
    <row r="69" spans="1:4" x14ac:dyDescent="0.25">
      <c r="A69" s="22">
        <v>2017</v>
      </c>
      <c r="B69" s="16">
        <v>22.2</v>
      </c>
      <c r="C69" s="16">
        <v>5.5</v>
      </c>
      <c r="D69" s="16">
        <f t="shared" si="1"/>
        <v>16.7</v>
      </c>
    </row>
    <row r="70" spans="1:4" x14ac:dyDescent="0.25">
      <c r="A70" s="22">
        <v>2018</v>
      </c>
      <c r="B70" s="16">
        <v>21.8</v>
      </c>
      <c r="C70" s="16">
        <v>5.5</v>
      </c>
      <c r="D70" s="16">
        <f t="shared" si="1"/>
        <v>16.3</v>
      </c>
    </row>
    <row r="71" spans="1:4" x14ac:dyDescent="0.25">
      <c r="A71" s="22">
        <v>2019</v>
      </c>
      <c r="B71" s="16">
        <v>21.4</v>
      </c>
      <c r="C71" s="16">
        <v>5.6</v>
      </c>
      <c r="D71" s="16">
        <f t="shared" si="1"/>
        <v>15.799999999999999</v>
      </c>
    </row>
    <row r="72" spans="1:4" x14ac:dyDescent="0.25">
      <c r="A72" s="22">
        <v>2020</v>
      </c>
      <c r="B72" s="16">
        <v>21</v>
      </c>
      <c r="C72" s="16">
        <v>6.1</v>
      </c>
      <c r="D72" s="16">
        <f t="shared" si="1"/>
        <v>14.9</v>
      </c>
    </row>
    <row r="73" spans="1:4" x14ac:dyDescent="0.25">
      <c r="A73" s="22">
        <v>2021</v>
      </c>
      <c r="B73" s="16">
        <v>20.7</v>
      </c>
      <c r="C73" s="16">
        <v>8.9</v>
      </c>
      <c r="D73" s="16">
        <f t="shared" si="1"/>
        <v>11.799999999999999</v>
      </c>
    </row>
    <row r="74" spans="1:4" x14ac:dyDescent="0.25">
      <c r="A74" s="22">
        <v>2022</v>
      </c>
      <c r="B74" s="16">
        <v>20.399999999999999</v>
      </c>
      <c r="C74" s="16">
        <v>6.4</v>
      </c>
      <c r="D74" s="16">
        <f t="shared" si="1"/>
        <v>13.999999999999998</v>
      </c>
    </row>
    <row r="75" spans="1:4" x14ac:dyDescent="0.25">
      <c r="A75" s="22">
        <v>2023</v>
      </c>
      <c r="B75" s="16">
        <v>20</v>
      </c>
      <c r="C75" s="16">
        <v>5.7</v>
      </c>
      <c r="D75" s="16">
        <f t="shared" si="1"/>
        <v>14.3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1940</v>
      </c>
      <c r="B2" s="16">
        <v>44.4</v>
      </c>
      <c r="C2" s="16">
        <v>29.8</v>
      </c>
      <c r="D2" s="16">
        <f>B2-C2</f>
        <v>14.599999999999998</v>
      </c>
    </row>
    <row r="3" spans="1:4" x14ac:dyDescent="0.25">
      <c r="A3" s="22">
        <v>1941</v>
      </c>
      <c r="B3" s="16">
        <v>44.4</v>
      </c>
      <c r="C3" s="16">
        <v>29.5</v>
      </c>
      <c r="D3" s="16">
        <f t="shared" ref="D3:D66" si="0">B3-C3</f>
        <v>14.899999999999999</v>
      </c>
    </row>
    <row r="4" spans="1:4" x14ac:dyDescent="0.25">
      <c r="A4" s="22">
        <v>1942</v>
      </c>
      <c r="B4" s="16">
        <v>44.5</v>
      </c>
      <c r="C4" s="16">
        <v>29.1</v>
      </c>
      <c r="D4" s="16">
        <f t="shared" si="0"/>
        <v>15.399999999999999</v>
      </c>
    </row>
    <row r="5" spans="1:4" x14ac:dyDescent="0.25">
      <c r="A5" s="22">
        <v>1943</v>
      </c>
      <c r="B5" s="16">
        <v>44.5</v>
      </c>
      <c r="C5" s="16">
        <v>28.3</v>
      </c>
      <c r="D5" s="16">
        <f t="shared" si="0"/>
        <v>16.2</v>
      </c>
    </row>
    <row r="6" spans="1:4" x14ac:dyDescent="0.25">
      <c r="A6" s="22">
        <v>1944</v>
      </c>
      <c r="B6" s="16">
        <v>44.6</v>
      </c>
      <c r="C6" s="16">
        <v>27.4</v>
      </c>
      <c r="D6" s="16">
        <f t="shared" si="0"/>
        <v>17.200000000000003</v>
      </c>
    </row>
    <row r="7" spans="1:4" x14ac:dyDescent="0.25">
      <c r="A7" s="22">
        <v>1945</v>
      </c>
      <c r="B7" s="16">
        <v>44.7</v>
      </c>
      <c r="C7" s="16">
        <v>26.2</v>
      </c>
      <c r="D7" s="16">
        <f t="shared" si="0"/>
        <v>18.500000000000004</v>
      </c>
    </row>
    <row r="8" spans="1:4" x14ac:dyDescent="0.25">
      <c r="A8" s="22">
        <v>1946</v>
      </c>
      <c r="B8" s="16">
        <v>44.8</v>
      </c>
      <c r="C8" s="16">
        <v>25.3</v>
      </c>
      <c r="D8" s="16">
        <f t="shared" si="0"/>
        <v>19.499999999999996</v>
      </c>
    </row>
    <row r="9" spans="1:4" x14ac:dyDescent="0.25">
      <c r="A9" s="22">
        <v>1947</v>
      </c>
      <c r="B9" s="16">
        <v>44.9</v>
      </c>
      <c r="C9" s="16">
        <v>24.5</v>
      </c>
      <c r="D9" s="16">
        <f t="shared" si="0"/>
        <v>20.399999999999999</v>
      </c>
    </row>
    <row r="10" spans="1:4" x14ac:dyDescent="0.25">
      <c r="A10" s="22">
        <v>1948</v>
      </c>
      <c r="B10" s="16">
        <v>45</v>
      </c>
      <c r="C10" s="16">
        <v>24</v>
      </c>
      <c r="D10" s="16">
        <f t="shared" si="0"/>
        <v>21</v>
      </c>
    </row>
    <row r="11" spans="1:4" x14ac:dyDescent="0.25">
      <c r="A11" s="22">
        <v>1949</v>
      </c>
      <c r="B11" s="16">
        <v>45.1</v>
      </c>
      <c r="C11" s="16">
        <v>23.6</v>
      </c>
      <c r="D11" s="16">
        <f t="shared" si="0"/>
        <v>21.5</v>
      </c>
    </row>
    <row r="12" spans="1:4" x14ac:dyDescent="0.25">
      <c r="A12" s="22">
        <v>1950</v>
      </c>
      <c r="B12" s="16">
        <v>45.2</v>
      </c>
      <c r="C12" s="16">
        <v>23.5</v>
      </c>
      <c r="D12" s="16">
        <f t="shared" si="0"/>
        <v>21.700000000000003</v>
      </c>
    </row>
    <row r="13" spans="1:4" x14ac:dyDescent="0.25">
      <c r="A13" s="22">
        <v>1951</v>
      </c>
      <c r="B13" s="16">
        <v>45.4</v>
      </c>
      <c r="C13" s="16">
        <v>23.1</v>
      </c>
      <c r="D13" s="16">
        <f t="shared" si="0"/>
        <v>22.299999999999997</v>
      </c>
    </row>
    <row r="14" spans="1:4" x14ac:dyDescent="0.25">
      <c r="A14" s="22">
        <v>1952</v>
      </c>
      <c r="B14" s="16">
        <v>45.6</v>
      </c>
      <c r="C14" s="16">
        <v>22.5</v>
      </c>
      <c r="D14" s="16">
        <f t="shared" si="0"/>
        <v>23.1</v>
      </c>
    </row>
    <row r="15" spans="1:4" x14ac:dyDescent="0.25">
      <c r="A15" s="22">
        <v>1953</v>
      </c>
      <c r="B15" s="16">
        <v>46</v>
      </c>
      <c r="C15" s="16">
        <v>21.5</v>
      </c>
      <c r="D15" s="16">
        <f t="shared" si="0"/>
        <v>24.5</v>
      </c>
    </row>
    <row r="16" spans="1:4" x14ac:dyDescent="0.25">
      <c r="A16" s="22">
        <v>1954</v>
      </c>
      <c r="B16" s="16">
        <v>46.5</v>
      </c>
      <c r="C16" s="16">
        <v>20.5</v>
      </c>
      <c r="D16" s="16">
        <f t="shared" si="0"/>
        <v>26</v>
      </c>
    </row>
    <row r="17" spans="1:4" x14ac:dyDescent="0.25">
      <c r="A17" s="22">
        <v>1955</v>
      </c>
      <c r="B17" s="16">
        <v>46.9</v>
      </c>
      <c r="C17" s="16">
        <v>19.5</v>
      </c>
      <c r="D17" s="16">
        <f t="shared" si="0"/>
        <v>27.4</v>
      </c>
    </row>
    <row r="18" spans="1:4" x14ac:dyDescent="0.25">
      <c r="A18" s="22">
        <v>1956</v>
      </c>
      <c r="B18" s="16">
        <v>47.2</v>
      </c>
      <c r="C18" s="16">
        <v>18.899999999999999</v>
      </c>
      <c r="D18" s="16">
        <f t="shared" si="0"/>
        <v>28.300000000000004</v>
      </c>
    </row>
    <row r="19" spans="1:4" x14ac:dyDescent="0.25">
      <c r="A19" s="22">
        <v>1957</v>
      </c>
      <c r="B19" s="16">
        <v>47.4</v>
      </c>
      <c r="C19" s="16">
        <v>18.399999999999999</v>
      </c>
      <c r="D19" s="16">
        <f t="shared" si="0"/>
        <v>29</v>
      </c>
    </row>
    <row r="20" spans="1:4" x14ac:dyDescent="0.25">
      <c r="A20" s="22">
        <v>1958</v>
      </c>
      <c r="B20" s="16">
        <v>47.3</v>
      </c>
      <c r="C20" s="16">
        <v>18</v>
      </c>
      <c r="D20" s="16">
        <f t="shared" si="0"/>
        <v>29.299999999999997</v>
      </c>
    </row>
    <row r="21" spans="1:4" x14ac:dyDescent="0.25">
      <c r="A21" s="22">
        <v>1959</v>
      </c>
      <c r="B21" s="16">
        <v>47.2</v>
      </c>
      <c r="C21" s="16">
        <v>17.600000000000001</v>
      </c>
      <c r="D21" s="16">
        <f t="shared" si="0"/>
        <v>29.6</v>
      </c>
    </row>
    <row r="22" spans="1:4" x14ac:dyDescent="0.25">
      <c r="A22" s="22">
        <v>1960</v>
      </c>
      <c r="B22" s="16">
        <v>46.9</v>
      </c>
      <c r="C22" s="16">
        <v>17.100000000000001</v>
      </c>
      <c r="D22" s="16">
        <f t="shared" si="0"/>
        <v>29.799999999999997</v>
      </c>
    </row>
    <row r="23" spans="1:4" x14ac:dyDescent="0.25">
      <c r="A23" s="22">
        <v>1961</v>
      </c>
      <c r="B23" s="16">
        <v>46.6</v>
      </c>
      <c r="C23" s="16">
        <v>16.7</v>
      </c>
      <c r="D23" s="16">
        <f t="shared" si="0"/>
        <v>29.900000000000002</v>
      </c>
    </row>
    <row r="24" spans="1:4" x14ac:dyDescent="0.25">
      <c r="A24" s="22">
        <v>1962</v>
      </c>
      <c r="B24" s="16">
        <v>46.2</v>
      </c>
      <c r="C24" s="16">
        <v>16.399999999999999</v>
      </c>
      <c r="D24" s="16">
        <f t="shared" si="0"/>
        <v>29.800000000000004</v>
      </c>
    </row>
    <row r="25" spans="1:4" x14ac:dyDescent="0.25">
      <c r="A25" s="22">
        <v>1963</v>
      </c>
      <c r="B25" s="16">
        <v>45.8</v>
      </c>
      <c r="C25" s="16">
        <v>15.8</v>
      </c>
      <c r="D25" s="16">
        <f t="shared" si="0"/>
        <v>29.999999999999996</v>
      </c>
    </row>
    <row r="26" spans="1:4" x14ac:dyDescent="0.25">
      <c r="A26" s="22">
        <v>1964</v>
      </c>
      <c r="B26" s="16">
        <v>45.4</v>
      </c>
      <c r="C26" s="16">
        <v>15.5</v>
      </c>
      <c r="D26" s="16">
        <f t="shared" si="0"/>
        <v>29.9</v>
      </c>
    </row>
    <row r="27" spans="1:4" x14ac:dyDescent="0.25">
      <c r="A27" s="22">
        <v>1965</v>
      </c>
      <c r="B27" s="16">
        <v>44.9</v>
      </c>
      <c r="C27" s="16">
        <v>15.2</v>
      </c>
      <c r="D27" s="16">
        <f t="shared" si="0"/>
        <v>29.7</v>
      </c>
    </row>
    <row r="28" spans="1:4" x14ac:dyDescent="0.25">
      <c r="A28" s="22">
        <v>1966</v>
      </c>
      <c r="B28" s="16">
        <v>44.4</v>
      </c>
      <c r="C28" s="16">
        <v>14.9</v>
      </c>
      <c r="D28" s="16">
        <f t="shared" si="0"/>
        <v>29.5</v>
      </c>
    </row>
    <row r="29" spans="1:4" x14ac:dyDescent="0.25">
      <c r="A29" s="22">
        <v>1967</v>
      </c>
      <c r="B29" s="16">
        <v>44</v>
      </c>
      <c r="C29" s="16">
        <v>14.6</v>
      </c>
      <c r="D29" s="16">
        <f t="shared" si="0"/>
        <v>29.4</v>
      </c>
    </row>
    <row r="30" spans="1:4" x14ac:dyDescent="0.25">
      <c r="A30" s="22">
        <v>1968</v>
      </c>
      <c r="B30" s="16">
        <v>43.4</v>
      </c>
      <c r="C30" s="16">
        <v>14.4</v>
      </c>
      <c r="D30" s="16">
        <f t="shared" si="0"/>
        <v>29</v>
      </c>
    </row>
    <row r="31" spans="1:4" x14ac:dyDescent="0.25">
      <c r="A31" s="22">
        <v>1969</v>
      </c>
      <c r="B31" s="16">
        <v>42.9</v>
      </c>
      <c r="C31" s="16">
        <v>14.1</v>
      </c>
      <c r="D31" s="16">
        <f t="shared" si="0"/>
        <v>28.799999999999997</v>
      </c>
    </row>
    <row r="32" spans="1:4" x14ac:dyDescent="0.25">
      <c r="A32" s="22">
        <v>1970</v>
      </c>
      <c r="B32" s="16">
        <v>42.4</v>
      </c>
      <c r="C32" s="16">
        <v>18.8</v>
      </c>
      <c r="D32" s="16">
        <f t="shared" si="0"/>
        <v>23.599999999999998</v>
      </c>
    </row>
    <row r="33" spans="1:4" x14ac:dyDescent="0.25">
      <c r="A33" s="22">
        <v>1971</v>
      </c>
      <c r="B33" s="16">
        <v>41.8</v>
      </c>
      <c r="C33" s="16">
        <v>13.5</v>
      </c>
      <c r="D33" s="16">
        <f t="shared" si="0"/>
        <v>28.299999999999997</v>
      </c>
    </row>
    <row r="34" spans="1:4" x14ac:dyDescent="0.25">
      <c r="A34" s="22">
        <v>1972</v>
      </c>
      <c r="B34" s="16">
        <v>41.2</v>
      </c>
      <c r="C34" s="16">
        <v>13.3</v>
      </c>
      <c r="D34" s="16">
        <f t="shared" si="0"/>
        <v>27.900000000000002</v>
      </c>
    </row>
    <row r="35" spans="1:4" x14ac:dyDescent="0.25">
      <c r="A35" s="22">
        <v>1973</v>
      </c>
      <c r="B35" s="16">
        <v>40.700000000000003</v>
      </c>
      <c r="C35" s="16">
        <v>13.2</v>
      </c>
      <c r="D35" s="16">
        <f t="shared" si="0"/>
        <v>27.500000000000004</v>
      </c>
    </row>
    <row r="36" spans="1:4" x14ac:dyDescent="0.25">
      <c r="A36" s="22">
        <v>1974</v>
      </c>
      <c r="B36" s="16">
        <v>40.1</v>
      </c>
      <c r="C36" s="16">
        <v>12.8</v>
      </c>
      <c r="D36" s="16">
        <f t="shared" si="0"/>
        <v>27.3</v>
      </c>
    </row>
    <row r="37" spans="1:4" x14ac:dyDescent="0.25">
      <c r="A37" s="22">
        <v>1975</v>
      </c>
      <c r="B37" s="16">
        <v>39.5</v>
      </c>
      <c r="C37" s="16">
        <v>12.5</v>
      </c>
      <c r="D37" s="16">
        <f t="shared" si="0"/>
        <v>27</v>
      </c>
    </row>
    <row r="38" spans="1:4" x14ac:dyDescent="0.25">
      <c r="A38" s="22">
        <v>1976</v>
      </c>
      <c r="B38" s="16">
        <v>38.9</v>
      </c>
      <c r="C38" s="16">
        <v>12.2</v>
      </c>
      <c r="D38" s="16">
        <f t="shared" si="0"/>
        <v>26.7</v>
      </c>
    </row>
    <row r="39" spans="1:4" x14ac:dyDescent="0.25">
      <c r="A39" s="22">
        <v>1977</v>
      </c>
      <c r="B39" s="16">
        <v>38.299999999999997</v>
      </c>
      <c r="C39" s="16">
        <v>11.9</v>
      </c>
      <c r="D39" s="16">
        <f t="shared" si="0"/>
        <v>26.4</v>
      </c>
    </row>
    <row r="40" spans="1:4" x14ac:dyDescent="0.25">
      <c r="A40" s="22">
        <v>1978</v>
      </c>
      <c r="B40" s="16">
        <v>37.700000000000003</v>
      </c>
      <c r="C40" s="16">
        <v>11.5</v>
      </c>
      <c r="D40" s="16">
        <f t="shared" si="0"/>
        <v>26.200000000000003</v>
      </c>
    </row>
    <row r="41" spans="1:4" x14ac:dyDescent="0.25">
      <c r="A41" s="22">
        <v>1979</v>
      </c>
      <c r="B41" s="16">
        <v>37.1</v>
      </c>
      <c r="C41" s="16">
        <v>11.2</v>
      </c>
      <c r="D41" s="16">
        <f t="shared" si="0"/>
        <v>25.900000000000002</v>
      </c>
    </row>
    <row r="42" spans="1:4" x14ac:dyDescent="0.25">
      <c r="A42" s="22">
        <v>1980</v>
      </c>
      <c r="B42" s="16">
        <v>36.5</v>
      </c>
      <c r="C42" s="16">
        <v>10.9</v>
      </c>
      <c r="D42" s="16">
        <f t="shared" si="0"/>
        <v>25.6</v>
      </c>
    </row>
    <row r="43" spans="1:4" x14ac:dyDescent="0.25">
      <c r="A43" s="22">
        <v>1981</v>
      </c>
      <c r="B43" s="16">
        <v>35.9</v>
      </c>
      <c r="C43" s="16">
        <v>10.5</v>
      </c>
      <c r="D43" s="16">
        <f t="shared" si="0"/>
        <v>25.4</v>
      </c>
    </row>
    <row r="44" spans="1:4" x14ac:dyDescent="0.25">
      <c r="A44" s="22">
        <v>1982</v>
      </c>
      <c r="B44" s="16">
        <v>35.4</v>
      </c>
      <c r="C44" s="16">
        <v>10.1</v>
      </c>
      <c r="D44" s="16">
        <f t="shared" si="0"/>
        <v>25.299999999999997</v>
      </c>
    </row>
    <row r="45" spans="1:4" x14ac:dyDescent="0.25">
      <c r="A45" s="22">
        <v>1983</v>
      </c>
      <c r="B45" s="16">
        <v>35</v>
      </c>
      <c r="C45" s="16">
        <v>9.9</v>
      </c>
      <c r="D45" s="16">
        <f t="shared" si="0"/>
        <v>25.1</v>
      </c>
    </row>
    <row r="46" spans="1:4" x14ac:dyDescent="0.25">
      <c r="A46" s="22">
        <v>1984</v>
      </c>
      <c r="B46" s="16">
        <v>34.5</v>
      </c>
      <c r="C46" s="16">
        <v>9.6</v>
      </c>
      <c r="D46" s="16">
        <f t="shared" si="0"/>
        <v>24.9</v>
      </c>
    </row>
    <row r="47" spans="1:4" x14ac:dyDescent="0.25">
      <c r="A47" s="22">
        <v>1985</v>
      </c>
      <c r="B47" s="16">
        <v>34</v>
      </c>
      <c r="C47" s="16">
        <v>9.1999999999999993</v>
      </c>
      <c r="D47" s="16">
        <f t="shared" si="0"/>
        <v>24.8</v>
      </c>
    </row>
    <row r="48" spans="1:4" x14ac:dyDescent="0.25">
      <c r="A48" s="22">
        <v>1986</v>
      </c>
      <c r="B48" s="16">
        <v>33.5</v>
      </c>
      <c r="C48" s="16">
        <v>8.9</v>
      </c>
      <c r="D48" s="16">
        <f t="shared" si="0"/>
        <v>24.6</v>
      </c>
    </row>
    <row r="49" spans="1:4" x14ac:dyDescent="0.25">
      <c r="A49" s="22">
        <v>1987</v>
      </c>
      <c r="B49" s="16">
        <v>33</v>
      </c>
      <c r="C49" s="16">
        <v>8.6</v>
      </c>
      <c r="D49" s="16">
        <f t="shared" si="0"/>
        <v>24.4</v>
      </c>
    </row>
    <row r="50" spans="1:4" x14ac:dyDescent="0.25">
      <c r="A50" s="22">
        <v>1988</v>
      </c>
      <c r="B50" s="16">
        <v>32.4</v>
      </c>
      <c r="C50" s="16">
        <v>8.3000000000000007</v>
      </c>
      <c r="D50" s="16">
        <f t="shared" si="0"/>
        <v>24.099999999999998</v>
      </c>
    </row>
    <row r="51" spans="1:4" x14ac:dyDescent="0.25">
      <c r="A51" s="22">
        <v>1989</v>
      </c>
      <c r="B51" s="16">
        <v>31.8</v>
      </c>
      <c r="C51" s="16">
        <v>8</v>
      </c>
      <c r="D51" s="16">
        <f t="shared" si="0"/>
        <v>23.8</v>
      </c>
    </row>
    <row r="52" spans="1:4" x14ac:dyDescent="0.25">
      <c r="A52" s="22">
        <v>1990</v>
      </c>
      <c r="B52" s="16">
        <v>31.1</v>
      </c>
      <c r="C52" s="16">
        <v>7.7</v>
      </c>
      <c r="D52" s="16">
        <f t="shared" si="0"/>
        <v>23.400000000000002</v>
      </c>
    </row>
    <row r="53" spans="1:4" x14ac:dyDescent="0.25">
      <c r="A53" s="22">
        <v>1991</v>
      </c>
      <c r="B53" s="16">
        <v>30.4</v>
      </c>
      <c r="C53" s="16">
        <v>7.6</v>
      </c>
      <c r="D53" s="16">
        <f t="shared" si="0"/>
        <v>22.799999999999997</v>
      </c>
    </row>
    <row r="54" spans="1:4" x14ac:dyDescent="0.25">
      <c r="A54" s="22">
        <v>1992</v>
      </c>
      <c r="B54" s="16">
        <v>29.6</v>
      </c>
      <c r="C54" s="16">
        <v>7.2</v>
      </c>
      <c r="D54" s="16">
        <f t="shared" si="0"/>
        <v>22.400000000000002</v>
      </c>
    </row>
    <row r="55" spans="1:4" x14ac:dyDescent="0.25">
      <c r="A55" s="22">
        <v>1993</v>
      </c>
      <c r="B55" s="16">
        <v>28.8</v>
      </c>
      <c r="C55" s="16">
        <v>6.9</v>
      </c>
      <c r="D55" s="16">
        <f t="shared" si="0"/>
        <v>21.9</v>
      </c>
    </row>
    <row r="56" spans="1:4" x14ac:dyDescent="0.25">
      <c r="A56" s="22">
        <v>1994</v>
      </c>
      <c r="B56" s="16">
        <v>28</v>
      </c>
      <c r="C56" s="16">
        <v>6.5</v>
      </c>
      <c r="D56" s="16">
        <f t="shared" si="0"/>
        <v>21.5</v>
      </c>
    </row>
    <row r="57" spans="1:4" x14ac:dyDescent="0.25">
      <c r="A57" s="22">
        <v>1995</v>
      </c>
      <c r="B57" s="16">
        <v>27.2</v>
      </c>
      <c r="C57" s="16">
        <v>6.3</v>
      </c>
      <c r="D57" s="16">
        <f t="shared" si="0"/>
        <v>20.9</v>
      </c>
    </row>
    <row r="58" spans="1:4" x14ac:dyDescent="0.25">
      <c r="A58" s="22">
        <v>1996</v>
      </c>
      <c r="B58" s="16">
        <v>26.4</v>
      </c>
      <c r="C58" s="16">
        <v>6.1</v>
      </c>
      <c r="D58" s="16">
        <f t="shared" si="0"/>
        <v>20.299999999999997</v>
      </c>
    </row>
    <row r="59" spans="1:4" x14ac:dyDescent="0.25">
      <c r="A59" s="22">
        <v>1997</v>
      </c>
      <c r="B59" s="16">
        <v>25.6</v>
      </c>
      <c r="C59" s="16">
        <v>6</v>
      </c>
      <c r="D59" s="16">
        <f t="shared" si="0"/>
        <v>19.600000000000001</v>
      </c>
    </row>
    <row r="60" spans="1:4" x14ac:dyDescent="0.25">
      <c r="A60" s="22">
        <v>1998</v>
      </c>
      <c r="B60" s="16">
        <v>24.9</v>
      </c>
      <c r="C60" s="16">
        <v>5.9</v>
      </c>
      <c r="D60" s="16">
        <f t="shared" si="0"/>
        <v>19</v>
      </c>
    </row>
    <row r="61" spans="1:4" x14ac:dyDescent="0.25">
      <c r="A61" s="22">
        <v>1999</v>
      </c>
      <c r="B61" s="16">
        <v>24.3</v>
      </c>
      <c r="C61" s="16">
        <v>5.7</v>
      </c>
      <c r="D61" s="16">
        <f t="shared" si="0"/>
        <v>18.600000000000001</v>
      </c>
    </row>
    <row r="62" spans="1:4" x14ac:dyDescent="0.25">
      <c r="A62" s="22">
        <v>2000</v>
      </c>
      <c r="B62" s="16">
        <v>23.8</v>
      </c>
      <c r="C62" s="16">
        <v>5.6</v>
      </c>
      <c r="D62" s="16">
        <f t="shared" si="0"/>
        <v>18.200000000000003</v>
      </c>
    </row>
    <row r="63" spans="1:4" x14ac:dyDescent="0.25">
      <c r="A63" s="22">
        <v>2001</v>
      </c>
      <c r="B63" s="16">
        <v>23</v>
      </c>
      <c r="C63" s="16">
        <v>5.6</v>
      </c>
      <c r="D63" s="16">
        <f t="shared" si="0"/>
        <v>17.399999999999999</v>
      </c>
    </row>
    <row r="64" spans="1:4" x14ac:dyDescent="0.25">
      <c r="A64" s="22">
        <v>2002</v>
      </c>
      <c r="B64" s="16">
        <v>22.6</v>
      </c>
      <c r="C64" s="16">
        <v>5.6</v>
      </c>
      <c r="D64" s="16">
        <f t="shared" si="0"/>
        <v>17</v>
      </c>
    </row>
    <row r="65" spans="1:4" x14ac:dyDescent="0.25">
      <c r="A65" s="22">
        <v>2003</v>
      </c>
      <c r="B65" s="16">
        <v>22.3</v>
      </c>
      <c r="C65" s="16">
        <v>5.7</v>
      </c>
      <c r="D65" s="16">
        <f t="shared" si="0"/>
        <v>16.600000000000001</v>
      </c>
    </row>
    <row r="66" spans="1:4" x14ac:dyDescent="0.25">
      <c r="A66" s="22">
        <v>2004</v>
      </c>
      <c r="B66" s="16">
        <v>22.4</v>
      </c>
      <c r="C66" s="16">
        <v>5.9</v>
      </c>
      <c r="D66" s="16">
        <f t="shared" si="0"/>
        <v>16.5</v>
      </c>
    </row>
    <row r="67" spans="1:4" x14ac:dyDescent="0.25">
      <c r="A67" s="22">
        <v>2005</v>
      </c>
      <c r="B67" s="16">
        <v>22.1</v>
      </c>
      <c r="C67" s="16">
        <v>5.9</v>
      </c>
      <c r="D67" s="16">
        <f t="shared" ref="D67:D85" si="1">B67-C67</f>
        <v>16.200000000000003</v>
      </c>
    </row>
    <row r="68" spans="1:4" x14ac:dyDescent="0.25">
      <c r="A68" s="22">
        <v>2006</v>
      </c>
      <c r="B68" s="16">
        <v>21.8</v>
      </c>
      <c r="C68" s="16">
        <v>6.1</v>
      </c>
      <c r="D68" s="16">
        <f t="shared" si="1"/>
        <v>15.700000000000001</v>
      </c>
    </row>
    <row r="69" spans="1:4" x14ac:dyDescent="0.25">
      <c r="A69" s="22">
        <v>2007</v>
      </c>
      <c r="B69" s="16">
        <v>21.4</v>
      </c>
      <c r="C69" s="16">
        <v>6.2</v>
      </c>
      <c r="D69" s="16">
        <f t="shared" si="1"/>
        <v>15.2</v>
      </c>
    </row>
    <row r="70" spans="1:4" x14ac:dyDescent="0.25">
      <c r="A70" s="22">
        <v>2008</v>
      </c>
      <c r="B70" s="16">
        <v>20.9</v>
      </c>
      <c r="C70" s="16">
        <v>6.5</v>
      </c>
      <c r="D70" s="16">
        <f t="shared" si="1"/>
        <v>14.399999999999999</v>
      </c>
    </row>
    <row r="71" spans="1:4" x14ac:dyDescent="0.25">
      <c r="A71" s="22">
        <v>2009</v>
      </c>
      <c r="B71" s="16">
        <v>20.399999999999999</v>
      </c>
      <c r="C71" s="16">
        <v>6.7</v>
      </c>
      <c r="D71" s="16">
        <f t="shared" si="1"/>
        <v>13.7</v>
      </c>
    </row>
    <row r="72" spans="1:4" x14ac:dyDescent="0.25">
      <c r="A72" s="22">
        <v>2010</v>
      </c>
      <c r="B72" s="16">
        <v>19.899999999999999</v>
      </c>
      <c r="C72" s="16">
        <v>6.7</v>
      </c>
      <c r="D72" s="16">
        <f t="shared" si="1"/>
        <v>13.2</v>
      </c>
    </row>
    <row r="73" spans="1:4" x14ac:dyDescent="0.25">
      <c r="A73" s="22">
        <v>2011</v>
      </c>
      <c r="B73" s="16">
        <v>19.8</v>
      </c>
      <c r="C73" s="16">
        <v>6.7</v>
      </c>
      <c r="D73" s="16">
        <f t="shared" si="1"/>
        <v>13.100000000000001</v>
      </c>
    </row>
    <row r="74" spans="1:4" x14ac:dyDescent="0.25">
      <c r="A74" s="22">
        <v>2012</v>
      </c>
      <c r="B74" s="16">
        <v>19.2</v>
      </c>
      <c r="C74" s="16">
        <v>6.5</v>
      </c>
      <c r="D74" s="16">
        <f t="shared" si="1"/>
        <v>12.7</v>
      </c>
    </row>
    <row r="75" spans="1:4" x14ac:dyDescent="0.25">
      <c r="A75" s="22">
        <v>2013</v>
      </c>
      <c r="B75" s="16">
        <v>18.8</v>
      </c>
      <c r="C75" s="16">
        <v>6.3</v>
      </c>
      <c r="D75" s="16">
        <f t="shared" si="1"/>
        <v>12.5</v>
      </c>
    </row>
    <row r="76" spans="1:4" x14ac:dyDescent="0.25">
      <c r="A76" s="22">
        <v>2014</v>
      </c>
      <c r="B76" s="16">
        <v>18.399999999999999</v>
      </c>
      <c r="C76" s="16">
        <v>6.1</v>
      </c>
      <c r="D76" s="16">
        <f t="shared" si="1"/>
        <v>12.299999999999999</v>
      </c>
    </row>
    <row r="77" spans="1:4" x14ac:dyDescent="0.25">
      <c r="A77" s="22">
        <v>2015</v>
      </c>
      <c r="B77" s="16">
        <v>17.899999999999999</v>
      </c>
      <c r="C77" s="16">
        <v>6</v>
      </c>
      <c r="D77" s="16">
        <f t="shared" si="1"/>
        <v>11.899999999999999</v>
      </c>
    </row>
    <row r="78" spans="1:4" x14ac:dyDescent="0.25">
      <c r="A78" s="22">
        <v>2016</v>
      </c>
      <c r="B78" s="16">
        <v>17.600000000000001</v>
      </c>
      <c r="C78" s="16">
        <v>6</v>
      </c>
      <c r="D78" s="16">
        <f t="shared" si="1"/>
        <v>11.600000000000001</v>
      </c>
    </row>
    <row r="79" spans="1:4" x14ac:dyDescent="0.25">
      <c r="A79" s="22">
        <v>2017</v>
      </c>
      <c r="B79" s="16">
        <v>17.3</v>
      </c>
      <c r="C79" s="16">
        <v>6.1</v>
      </c>
      <c r="D79" s="16">
        <f t="shared" si="1"/>
        <v>11.200000000000001</v>
      </c>
    </row>
    <row r="80" spans="1:4" x14ac:dyDescent="0.25">
      <c r="A80" s="22">
        <v>2018</v>
      </c>
      <c r="B80" s="16">
        <v>16.899999999999999</v>
      </c>
      <c r="C80" s="16">
        <v>6.2</v>
      </c>
      <c r="D80" s="16">
        <f t="shared" si="1"/>
        <v>10.7</v>
      </c>
    </row>
    <row r="81" spans="1:4" x14ac:dyDescent="0.25">
      <c r="A81" s="22">
        <v>2019</v>
      </c>
      <c r="B81" s="16">
        <v>16.899999999999999</v>
      </c>
      <c r="C81" s="16">
        <v>6.2</v>
      </c>
      <c r="D81" s="16">
        <f t="shared" si="1"/>
        <v>10.7</v>
      </c>
    </row>
    <row r="82" spans="1:4" x14ac:dyDescent="0.25">
      <c r="A82" s="22">
        <v>2020</v>
      </c>
      <c r="B82" s="16">
        <v>16.600000000000001</v>
      </c>
      <c r="C82" s="16">
        <v>7.4</v>
      </c>
      <c r="D82" s="16">
        <f t="shared" si="1"/>
        <v>9.2000000000000011</v>
      </c>
    </row>
    <row r="83" spans="1:4" x14ac:dyDescent="0.25">
      <c r="A83" s="22">
        <v>2021</v>
      </c>
      <c r="B83" s="16">
        <v>16.399999999999999</v>
      </c>
      <c r="C83" s="16">
        <v>9.3000000000000007</v>
      </c>
      <c r="D83" s="16">
        <f t="shared" si="1"/>
        <v>7.0999999999999979</v>
      </c>
    </row>
    <row r="84" spans="1:4" x14ac:dyDescent="0.25">
      <c r="A84" s="22">
        <v>2022</v>
      </c>
      <c r="B84" s="16">
        <v>16.2</v>
      </c>
      <c r="C84" s="16">
        <v>6.4</v>
      </c>
      <c r="D84" s="16">
        <f t="shared" si="1"/>
        <v>9.7999999999999989</v>
      </c>
    </row>
    <row r="85" spans="1:4" x14ac:dyDescent="0.25">
      <c r="A85" s="22">
        <v>2023</v>
      </c>
      <c r="B85" s="16">
        <v>15.9</v>
      </c>
      <c r="C85" s="16">
        <v>5.5</v>
      </c>
      <c r="D85" s="16">
        <f t="shared" si="1"/>
        <v>10.4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1900</v>
      </c>
      <c r="B2" s="16">
        <v>44</v>
      </c>
      <c r="C2" s="16">
        <v>29.1</v>
      </c>
      <c r="D2" s="16">
        <f>B2-C2</f>
        <v>14.899999999999999</v>
      </c>
    </row>
    <row r="3" spans="1:4" x14ac:dyDescent="0.25">
      <c r="A3" s="22">
        <v>1901</v>
      </c>
      <c r="B3" s="16">
        <v>43.9</v>
      </c>
      <c r="C3" s="16">
        <v>29.2</v>
      </c>
      <c r="D3" s="16">
        <f t="shared" ref="D3:D66" si="0">B3-C3</f>
        <v>14.7</v>
      </c>
    </row>
    <row r="4" spans="1:4" x14ac:dyDescent="0.25">
      <c r="A4" s="22">
        <v>1902</v>
      </c>
      <c r="B4" s="16">
        <v>43.9</v>
      </c>
      <c r="C4" s="16">
        <v>29.5</v>
      </c>
      <c r="D4" s="16">
        <f t="shared" si="0"/>
        <v>14.399999999999999</v>
      </c>
    </row>
    <row r="5" spans="1:4" x14ac:dyDescent="0.25">
      <c r="A5" s="22">
        <v>1903</v>
      </c>
      <c r="B5" s="16">
        <v>43.7</v>
      </c>
      <c r="C5" s="16">
        <v>30</v>
      </c>
      <c r="D5" s="16">
        <f t="shared" si="0"/>
        <v>13.700000000000003</v>
      </c>
    </row>
    <row r="6" spans="1:4" x14ac:dyDescent="0.25">
      <c r="A6" s="22">
        <v>1904</v>
      </c>
      <c r="B6" s="16">
        <v>43.5</v>
      </c>
      <c r="C6" s="16">
        <v>30.6</v>
      </c>
      <c r="D6" s="16">
        <f t="shared" si="0"/>
        <v>12.899999999999999</v>
      </c>
    </row>
    <row r="7" spans="1:4" x14ac:dyDescent="0.25">
      <c r="A7" s="22">
        <v>1905</v>
      </c>
      <c r="B7" s="16">
        <v>43.3</v>
      </c>
      <c r="C7" s="16">
        <v>31.4</v>
      </c>
      <c r="D7" s="16">
        <f t="shared" si="0"/>
        <v>11.899999999999999</v>
      </c>
    </row>
    <row r="8" spans="1:4" x14ac:dyDescent="0.25">
      <c r="A8" s="22">
        <v>1906</v>
      </c>
      <c r="B8" s="16">
        <v>43.2</v>
      </c>
      <c r="C8" s="16">
        <v>31.8</v>
      </c>
      <c r="D8" s="16">
        <f t="shared" si="0"/>
        <v>11.400000000000002</v>
      </c>
    </row>
    <row r="9" spans="1:4" x14ac:dyDescent="0.25">
      <c r="A9" s="22">
        <v>1907</v>
      </c>
      <c r="B9" s="16">
        <v>43.3</v>
      </c>
      <c r="C9" s="16">
        <v>31.8</v>
      </c>
      <c r="D9" s="16">
        <f t="shared" si="0"/>
        <v>11.499999999999996</v>
      </c>
    </row>
    <row r="10" spans="1:4" x14ac:dyDescent="0.25">
      <c r="A10" s="22">
        <v>1908</v>
      </c>
      <c r="B10" s="16">
        <v>43.6</v>
      </c>
      <c r="C10" s="16">
        <v>31.4</v>
      </c>
      <c r="D10" s="16">
        <f t="shared" si="0"/>
        <v>12.200000000000003</v>
      </c>
    </row>
    <row r="11" spans="1:4" x14ac:dyDescent="0.25">
      <c r="A11" s="22">
        <v>1909</v>
      </c>
      <c r="B11" s="16">
        <v>44.1</v>
      </c>
      <c r="C11" s="16">
        <v>30.6</v>
      </c>
      <c r="D11" s="16">
        <f t="shared" si="0"/>
        <v>13.5</v>
      </c>
    </row>
    <row r="12" spans="1:4" x14ac:dyDescent="0.25">
      <c r="A12" s="22">
        <v>1910</v>
      </c>
      <c r="B12" s="16">
        <v>44.7</v>
      </c>
      <c r="C12" s="16">
        <v>29.4</v>
      </c>
      <c r="D12" s="16">
        <f t="shared" si="0"/>
        <v>15.300000000000004</v>
      </c>
    </row>
    <row r="13" spans="1:4" x14ac:dyDescent="0.25">
      <c r="A13" s="22">
        <v>1911</v>
      </c>
      <c r="B13" s="16">
        <v>45</v>
      </c>
      <c r="C13" s="16">
        <v>29.2</v>
      </c>
      <c r="D13" s="16">
        <f t="shared" si="0"/>
        <v>15.8</v>
      </c>
    </row>
    <row r="14" spans="1:4" x14ac:dyDescent="0.25">
      <c r="A14" s="22">
        <v>1912</v>
      </c>
      <c r="B14" s="16">
        <v>45</v>
      </c>
      <c r="C14" s="16">
        <v>30</v>
      </c>
      <c r="D14" s="16">
        <f t="shared" si="0"/>
        <v>15</v>
      </c>
    </row>
    <row r="15" spans="1:4" x14ac:dyDescent="0.25">
      <c r="A15" s="22">
        <v>1913</v>
      </c>
      <c r="B15" s="16">
        <v>44.7</v>
      </c>
      <c r="C15" s="16">
        <v>31.9</v>
      </c>
      <c r="D15" s="16">
        <f t="shared" si="0"/>
        <v>12.800000000000004</v>
      </c>
    </row>
    <row r="16" spans="1:4" x14ac:dyDescent="0.25">
      <c r="A16" s="22">
        <v>1914</v>
      </c>
      <c r="B16" s="16">
        <v>44</v>
      </c>
      <c r="C16" s="16">
        <v>34.9</v>
      </c>
      <c r="D16" s="16">
        <f t="shared" si="0"/>
        <v>9.1000000000000014</v>
      </c>
    </row>
    <row r="17" spans="1:4" x14ac:dyDescent="0.25">
      <c r="A17" s="22">
        <v>1915</v>
      </c>
      <c r="B17" s="16">
        <v>43</v>
      </c>
      <c r="C17" s="16">
        <v>39.1</v>
      </c>
      <c r="D17" s="16">
        <f t="shared" si="0"/>
        <v>3.8999999999999986</v>
      </c>
    </row>
    <row r="18" spans="1:4" x14ac:dyDescent="0.25">
      <c r="A18" s="22">
        <v>1916</v>
      </c>
      <c r="B18" s="16">
        <v>42.5</v>
      </c>
      <c r="C18" s="16">
        <v>41.8</v>
      </c>
      <c r="D18" s="16">
        <f t="shared" si="0"/>
        <v>0.70000000000000284</v>
      </c>
    </row>
    <row r="19" spans="1:4" x14ac:dyDescent="0.25">
      <c r="A19" s="22">
        <v>1917</v>
      </c>
      <c r="B19" s="16">
        <v>42.4</v>
      </c>
      <c r="C19" s="16">
        <v>42.9</v>
      </c>
      <c r="D19" s="16">
        <f t="shared" si="0"/>
        <v>-0.5</v>
      </c>
    </row>
    <row r="20" spans="1:4" x14ac:dyDescent="0.25">
      <c r="A20" s="22">
        <v>1918</v>
      </c>
      <c r="B20" s="16">
        <v>42.8</v>
      </c>
      <c r="C20" s="16">
        <v>42.2</v>
      </c>
      <c r="D20" s="16">
        <f t="shared" si="0"/>
        <v>0.59999999999999432</v>
      </c>
    </row>
    <row r="21" spans="1:4" x14ac:dyDescent="0.25">
      <c r="A21" s="22">
        <v>1919</v>
      </c>
      <c r="B21" s="16">
        <v>43.7</v>
      </c>
      <c r="C21" s="16">
        <v>40</v>
      </c>
      <c r="D21" s="16">
        <f t="shared" si="0"/>
        <v>3.7000000000000028</v>
      </c>
    </row>
    <row r="22" spans="1:4" x14ac:dyDescent="0.25">
      <c r="A22" s="22">
        <v>1920</v>
      </c>
      <c r="B22" s="16">
        <v>45.1</v>
      </c>
      <c r="C22" s="16">
        <v>36.200000000000003</v>
      </c>
      <c r="D22" s="16">
        <f t="shared" si="0"/>
        <v>8.8999999999999986</v>
      </c>
    </row>
    <row r="23" spans="1:4" x14ac:dyDescent="0.25">
      <c r="A23" s="22">
        <v>1921</v>
      </c>
      <c r="B23" s="16">
        <v>46.1</v>
      </c>
      <c r="C23" s="16">
        <v>33.5</v>
      </c>
      <c r="D23" s="16">
        <f t="shared" si="0"/>
        <v>12.600000000000001</v>
      </c>
    </row>
    <row r="24" spans="1:4" x14ac:dyDescent="0.25">
      <c r="A24" s="22">
        <v>1922</v>
      </c>
      <c r="B24" s="16">
        <v>46.9</v>
      </c>
      <c r="C24" s="16">
        <v>31.8</v>
      </c>
      <c r="D24" s="16">
        <f t="shared" si="0"/>
        <v>15.099999999999998</v>
      </c>
    </row>
    <row r="25" spans="1:4" x14ac:dyDescent="0.25">
      <c r="A25" s="22">
        <v>1923</v>
      </c>
      <c r="B25" s="16">
        <v>47.3</v>
      </c>
      <c r="C25" s="16">
        <v>31.2</v>
      </c>
      <c r="D25" s="16">
        <f t="shared" si="0"/>
        <v>16.099999999999998</v>
      </c>
    </row>
    <row r="26" spans="1:4" x14ac:dyDescent="0.25">
      <c r="A26" s="22">
        <v>1924</v>
      </c>
      <c r="B26" s="16">
        <v>47.5</v>
      </c>
      <c r="C26" s="16">
        <v>31.5</v>
      </c>
      <c r="D26" s="16">
        <f t="shared" si="0"/>
        <v>16</v>
      </c>
    </row>
    <row r="27" spans="1:4" x14ac:dyDescent="0.25">
      <c r="A27" s="22">
        <v>1925</v>
      </c>
      <c r="B27" s="16">
        <v>47.3</v>
      </c>
      <c r="C27" s="16">
        <v>32.9</v>
      </c>
      <c r="D27" s="16">
        <f t="shared" si="0"/>
        <v>14.399999999999999</v>
      </c>
    </row>
    <row r="28" spans="1:4" x14ac:dyDescent="0.25">
      <c r="A28" s="22">
        <v>1926</v>
      </c>
      <c r="B28" s="16">
        <v>47.2</v>
      </c>
      <c r="C28" s="16">
        <v>33.9</v>
      </c>
      <c r="D28" s="16">
        <f t="shared" si="0"/>
        <v>13.300000000000004</v>
      </c>
    </row>
    <row r="29" spans="1:4" x14ac:dyDescent="0.25">
      <c r="A29" s="22">
        <v>1927</v>
      </c>
      <c r="B29" s="16">
        <v>47.1</v>
      </c>
      <c r="C29" s="16">
        <v>34.5</v>
      </c>
      <c r="D29" s="16">
        <f t="shared" si="0"/>
        <v>12.600000000000001</v>
      </c>
    </row>
    <row r="30" spans="1:4" x14ac:dyDescent="0.25">
      <c r="A30" s="22">
        <v>1928</v>
      </c>
      <c r="B30" s="16">
        <v>47</v>
      </c>
      <c r="C30" s="16">
        <v>34.700000000000003</v>
      </c>
      <c r="D30" s="16">
        <f t="shared" si="0"/>
        <v>12.299999999999997</v>
      </c>
    </row>
    <row r="31" spans="1:4" x14ac:dyDescent="0.25">
      <c r="A31" s="22">
        <v>1929</v>
      </c>
      <c r="B31" s="16">
        <v>46.9</v>
      </c>
      <c r="C31" s="16">
        <v>34.6</v>
      </c>
      <c r="D31" s="16">
        <f t="shared" si="0"/>
        <v>12.299999999999997</v>
      </c>
    </row>
    <row r="32" spans="1:4" x14ac:dyDescent="0.25">
      <c r="A32" s="22">
        <v>1930</v>
      </c>
      <c r="B32" s="16">
        <v>46.8</v>
      </c>
      <c r="C32" s="16">
        <v>34</v>
      </c>
      <c r="D32" s="16">
        <f t="shared" si="0"/>
        <v>12.799999999999997</v>
      </c>
    </row>
    <row r="33" spans="1:4" x14ac:dyDescent="0.25">
      <c r="A33" s="22">
        <v>1931</v>
      </c>
      <c r="B33" s="16">
        <v>46.7</v>
      </c>
      <c r="C33" s="16">
        <v>33.4</v>
      </c>
      <c r="D33" s="16">
        <f t="shared" si="0"/>
        <v>13.300000000000004</v>
      </c>
    </row>
    <row r="34" spans="1:4" x14ac:dyDescent="0.25">
      <c r="A34" s="22">
        <v>1932</v>
      </c>
      <c r="B34" s="16">
        <v>46.6</v>
      </c>
      <c r="C34" s="16">
        <v>32.799999999999997</v>
      </c>
      <c r="D34" s="16">
        <f t="shared" si="0"/>
        <v>13.800000000000004</v>
      </c>
    </row>
    <row r="35" spans="1:4" x14ac:dyDescent="0.25">
      <c r="A35" s="22">
        <v>1933</v>
      </c>
      <c r="B35" s="16">
        <v>46.3</v>
      </c>
      <c r="C35" s="16">
        <v>32.1</v>
      </c>
      <c r="D35" s="16">
        <f t="shared" si="0"/>
        <v>14.199999999999996</v>
      </c>
    </row>
    <row r="36" spans="1:4" x14ac:dyDescent="0.25">
      <c r="A36" s="22">
        <v>1934</v>
      </c>
      <c r="B36" s="16">
        <v>46.1</v>
      </c>
      <c r="C36" s="16">
        <v>31.3</v>
      </c>
      <c r="D36" s="16">
        <f t="shared" si="0"/>
        <v>14.8</v>
      </c>
    </row>
    <row r="37" spans="1:4" x14ac:dyDescent="0.25">
      <c r="A37" s="22">
        <v>1935</v>
      </c>
      <c r="B37" s="16">
        <v>45.7</v>
      </c>
      <c r="C37" s="16">
        <v>30.4</v>
      </c>
      <c r="D37" s="16">
        <f t="shared" si="0"/>
        <v>15.300000000000004</v>
      </c>
    </row>
    <row r="38" spans="1:4" x14ac:dyDescent="0.25">
      <c r="A38" s="22">
        <v>1936</v>
      </c>
      <c r="B38" s="16">
        <v>45.5</v>
      </c>
      <c r="C38" s="16">
        <v>29.8</v>
      </c>
      <c r="D38" s="16">
        <f t="shared" si="0"/>
        <v>15.7</v>
      </c>
    </row>
    <row r="39" spans="1:4" x14ac:dyDescent="0.25">
      <c r="A39" s="22">
        <v>1937</v>
      </c>
      <c r="B39" s="16">
        <v>45.3</v>
      </c>
      <c r="C39" s="16">
        <v>29.4</v>
      </c>
      <c r="D39" s="16">
        <f t="shared" si="0"/>
        <v>15.899999999999999</v>
      </c>
    </row>
    <row r="40" spans="1:4" x14ac:dyDescent="0.25">
      <c r="A40" s="22">
        <v>1938</v>
      </c>
      <c r="B40" s="16">
        <v>45.2</v>
      </c>
      <c r="C40" s="16">
        <v>29.2</v>
      </c>
      <c r="D40" s="16">
        <f t="shared" si="0"/>
        <v>16.000000000000004</v>
      </c>
    </row>
    <row r="41" spans="1:4" x14ac:dyDescent="0.25">
      <c r="A41" s="22">
        <v>1939</v>
      </c>
      <c r="B41" s="16">
        <v>45.3</v>
      </c>
      <c r="C41" s="16">
        <v>29.3</v>
      </c>
      <c r="D41" s="16">
        <f t="shared" si="0"/>
        <v>15.999999999999996</v>
      </c>
    </row>
    <row r="42" spans="1:4" x14ac:dyDescent="0.25">
      <c r="A42" s="22">
        <v>1940</v>
      </c>
      <c r="B42" s="16">
        <v>45.4</v>
      </c>
      <c r="C42" s="16">
        <v>29.6</v>
      </c>
      <c r="D42" s="16">
        <f t="shared" si="0"/>
        <v>15.799999999999997</v>
      </c>
    </row>
    <row r="43" spans="1:4" x14ac:dyDescent="0.25">
      <c r="A43" s="22">
        <v>1941</v>
      </c>
      <c r="B43" s="16">
        <v>45.4</v>
      </c>
      <c r="C43" s="16">
        <v>29.4</v>
      </c>
      <c r="D43" s="16">
        <f t="shared" si="0"/>
        <v>16</v>
      </c>
    </row>
    <row r="44" spans="1:4" x14ac:dyDescent="0.25">
      <c r="A44" s="22">
        <v>1942</v>
      </c>
      <c r="B44" s="16">
        <v>45.3</v>
      </c>
      <c r="C44" s="16">
        <v>28.9</v>
      </c>
      <c r="D44" s="16">
        <f t="shared" si="0"/>
        <v>16.399999999999999</v>
      </c>
    </row>
    <row r="45" spans="1:4" x14ac:dyDescent="0.25">
      <c r="A45" s="22">
        <v>1943</v>
      </c>
      <c r="B45" s="16">
        <v>45.1</v>
      </c>
      <c r="C45" s="16">
        <v>28</v>
      </c>
      <c r="D45" s="16">
        <f t="shared" si="0"/>
        <v>17.100000000000001</v>
      </c>
    </row>
    <row r="46" spans="1:4" x14ac:dyDescent="0.25">
      <c r="A46" s="22">
        <v>1944</v>
      </c>
      <c r="B46" s="16">
        <v>44.8</v>
      </c>
      <c r="C46" s="16">
        <v>26.7</v>
      </c>
      <c r="D46" s="16">
        <f t="shared" si="0"/>
        <v>18.099999999999998</v>
      </c>
    </row>
    <row r="47" spans="1:4" x14ac:dyDescent="0.25">
      <c r="A47" s="22">
        <v>1945</v>
      </c>
      <c r="B47" s="16">
        <v>44.4</v>
      </c>
      <c r="C47" s="16">
        <v>25</v>
      </c>
      <c r="D47" s="16">
        <f t="shared" si="0"/>
        <v>19.399999999999999</v>
      </c>
    </row>
    <row r="48" spans="1:4" x14ac:dyDescent="0.25">
      <c r="A48" s="22">
        <v>1946</v>
      </c>
      <c r="B48" s="16">
        <v>44.3</v>
      </c>
      <c r="C48" s="16">
        <v>23.7</v>
      </c>
      <c r="D48" s="16">
        <f t="shared" si="0"/>
        <v>20.599999999999998</v>
      </c>
    </row>
    <row r="49" spans="1:4" x14ac:dyDescent="0.25">
      <c r="A49" s="22">
        <v>1947</v>
      </c>
      <c r="B49" s="16">
        <v>44.5</v>
      </c>
      <c r="C49" s="16">
        <v>22.6</v>
      </c>
      <c r="D49" s="16">
        <f t="shared" si="0"/>
        <v>21.9</v>
      </c>
    </row>
    <row r="50" spans="1:4" x14ac:dyDescent="0.25">
      <c r="A50" s="22">
        <v>1948</v>
      </c>
      <c r="B50" s="16">
        <v>45</v>
      </c>
      <c r="C50" s="16">
        <v>21.8</v>
      </c>
      <c r="D50" s="16">
        <f t="shared" si="0"/>
        <v>23.2</v>
      </c>
    </row>
    <row r="51" spans="1:4" x14ac:dyDescent="0.25">
      <c r="A51" s="22">
        <v>1949</v>
      </c>
      <c r="B51" s="16">
        <v>45.7</v>
      </c>
      <c r="C51" s="16">
        <v>21.2</v>
      </c>
      <c r="D51" s="16">
        <f t="shared" si="0"/>
        <v>24.500000000000004</v>
      </c>
    </row>
    <row r="52" spans="1:4" x14ac:dyDescent="0.25">
      <c r="A52" s="22">
        <v>1950</v>
      </c>
      <c r="B52" s="16">
        <v>46.8</v>
      </c>
      <c r="C52" s="16">
        <v>20.9</v>
      </c>
      <c r="D52" s="16">
        <f t="shared" si="0"/>
        <v>25.9</v>
      </c>
    </row>
    <row r="53" spans="1:4" x14ac:dyDescent="0.25">
      <c r="A53" s="22">
        <v>1951</v>
      </c>
      <c r="B53" s="16">
        <v>47.6</v>
      </c>
      <c r="C53" s="16">
        <v>20.5</v>
      </c>
      <c r="D53" s="16">
        <f t="shared" si="0"/>
        <v>27.1</v>
      </c>
    </row>
    <row r="54" spans="1:4" x14ac:dyDescent="0.25">
      <c r="A54" s="22">
        <v>1952</v>
      </c>
      <c r="B54" s="16">
        <v>48.1</v>
      </c>
      <c r="C54" s="16">
        <v>20.100000000000001</v>
      </c>
      <c r="D54" s="16">
        <f t="shared" si="0"/>
        <v>28</v>
      </c>
    </row>
    <row r="55" spans="1:4" x14ac:dyDescent="0.25">
      <c r="A55" s="22">
        <v>1953</v>
      </c>
      <c r="B55" s="16">
        <v>48.2</v>
      </c>
      <c r="C55" s="16">
        <v>19.7</v>
      </c>
      <c r="D55" s="16">
        <f t="shared" si="0"/>
        <v>28.500000000000004</v>
      </c>
    </row>
    <row r="56" spans="1:4" x14ac:dyDescent="0.25">
      <c r="A56" s="22">
        <v>1954</v>
      </c>
      <c r="B56" s="16">
        <v>48.1</v>
      </c>
      <c r="C56" s="16">
        <v>19.399999999999999</v>
      </c>
      <c r="D56" s="16">
        <f t="shared" si="0"/>
        <v>28.700000000000003</v>
      </c>
    </row>
    <row r="57" spans="1:4" x14ac:dyDescent="0.25">
      <c r="A57" s="22">
        <v>1955</v>
      </c>
      <c r="B57" s="16">
        <v>47.8</v>
      </c>
      <c r="C57" s="16">
        <v>19.100000000000001</v>
      </c>
      <c r="D57" s="16">
        <f t="shared" si="0"/>
        <v>28.699999999999996</v>
      </c>
    </row>
    <row r="58" spans="1:4" x14ac:dyDescent="0.25">
      <c r="A58" s="22">
        <v>1956</v>
      </c>
      <c r="B58" s="16">
        <v>47.6</v>
      </c>
      <c r="C58" s="16">
        <v>18.899999999999999</v>
      </c>
      <c r="D58" s="16">
        <f t="shared" si="0"/>
        <v>28.700000000000003</v>
      </c>
    </row>
    <row r="59" spans="1:4" x14ac:dyDescent="0.25">
      <c r="A59" s="22">
        <v>1957</v>
      </c>
      <c r="B59" s="16">
        <v>47.6</v>
      </c>
      <c r="C59" s="16">
        <v>18.7</v>
      </c>
      <c r="D59" s="16">
        <f t="shared" si="0"/>
        <v>28.900000000000002</v>
      </c>
    </row>
    <row r="60" spans="1:4" x14ac:dyDescent="0.25">
      <c r="A60" s="22">
        <v>1958</v>
      </c>
      <c r="B60" s="16">
        <v>47.4</v>
      </c>
      <c r="C60" s="16">
        <v>18.3</v>
      </c>
      <c r="D60" s="16">
        <f t="shared" si="0"/>
        <v>29.099999999999998</v>
      </c>
    </row>
    <row r="61" spans="1:4" x14ac:dyDescent="0.25">
      <c r="A61" s="22">
        <v>1959</v>
      </c>
      <c r="B61" s="16">
        <v>47.2</v>
      </c>
      <c r="C61" s="16">
        <v>18.100000000000001</v>
      </c>
      <c r="D61" s="16">
        <f t="shared" si="0"/>
        <v>29.1</v>
      </c>
    </row>
    <row r="62" spans="1:4" x14ac:dyDescent="0.25">
      <c r="A62" s="22">
        <v>1960</v>
      </c>
      <c r="B62" s="16">
        <v>47</v>
      </c>
      <c r="C62" s="16">
        <v>17.8</v>
      </c>
      <c r="D62" s="16">
        <f t="shared" si="0"/>
        <v>29.2</v>
      </c>
    </row>
    <row r="63" spans="1:4" x14ac:dyDescent="0.25">
      <c r="A63" s="22">
        <v>1961</v>
      </c>
      <c r="B63" s="16">
        <v>47</v>
      </c>
      <c r="C63" s="16">
        <v>17.5</v>
      </c>
      <c r="D63" s="16">
        <f t="shared" si="0"/>
        <v>29.5</v>
      </c>
    </row>
    <row r="64" spans="1:4" x14ac:dyDescent="0.25">
      <c r="A64" s="22">
        <v>1962</v>
      </c>
      <c r="B64" s="16">
        <v>47.1</v>
      </c>
      <c r="C64" s="16">
        <v>17.2</v>
      </c>
      <c r="D64" s="16">
        <f t="shared" si="0"/>
        <v>29.900000000000002</v>
      </c>
    </row>
    <row r="65" spans="1:4" x14ac:dyDescent="0.25">
      <c r="A65" s="22">
        <v>1963</v>
      </c>
      <c r="B65" s="16">
        <v>47</v>
      </c>
      <c r="C65" s="16">
        <v>17</v>
      </c>
      <c r="D65" s="16">
        <f t="shared" si="0"/>
        <v>30</v>
      </c>
    </row>
    <row r="66" spans="1:4" x14ac:dyDescent="0.25">
      <c r="A66" s="22">
        <v>1964</v>
      </c>
      <c r="B66" s="16">
        <v>46.8</v>
      </c>
      <c r="C66" s="16">
        <v>16.8</v>
      </c>
      <c r="D66" s="16">
        <f t="shared" si="0"/>
        <v>29.999999999999996</v>
      </c>
    </row>
    <row r="67" spans="1:4" x14ac:dyDescent="0.25">
      <c r="A67" s="22">
        <v>1965</v>
      </c>
      <c r="B67" s="16">
        <v>46.3</v>
      </c>
      <c r="C67" s="16">
        <v>16.5</v>
      </c>
      <c r="D67" s="16">
        <f t="shared" ref="D67:D125" si="1">B67-C67</f>
        <v>29.799999999999997</v>
      </c>
    </row>
    <row r="68" spans="1:4" x14ac:dyDescent="0.25">
      <c r="A68" s="22">
        <v>1966</v>
      </c>
      <c r="B68" s="16">
        <v>45.7</v>
      </c>
      <c r="C68" s="16">
        <v>16.2</v>
      </c>
      <c r="D68" s="16">
        <f t="shared" si="1"/>
        <v>29.500000000000004</v>
      </c>
    </row>
    <row r="69" spans="1:4" x14ac:dyDescent="0.25">
      <c r="A69" s="22">
        <v>1967</v>
      </c>
      <c r="B69" s="16">
        <v>45.1</v>
      </c>
      <c r="C69" s="16">
        <v>16</v>
      </c>
      <c r="D69" s="16">
        <f t="shared" si="1"/>
        <v>29.1</v>
      </c>
    </row>
    <row r="70" spans="1:4" x14ac:dyDescent="0.25">
      <c r="A70" s="22">
        <v>1968</v>
      </c>
      <c r="B70" s="16">
        <v>44.3</v>
      </c>
      <c r="C70" s="16">
        <v>15.9</v>
      </c>
      <c r="D70" s="16">
        <f t="shared" si="1"/>
        <v>28.4</v>
      </c>
    </row>
    <row r="71" spans="1:4" x14ac:dyDescent="0.25">
      <c r="A71" s="22">
        <v>1969</v>
      </c>
      <c r="B71" s="16">
        <v>43.5</v>
      </c>
      <c r="C71" s="16">
        <v>15.5</v>
      </c>
      <c r="D71" s="16">
        <f t="shared" si="1"/>
        <v>28</v>
      </c>
    </row>
    <row r="72" spans="1:4" x14ac:dyDescent="0.25">
      <c r="A72" s="22">
        <v>1970</v>
      </c>
      <c r="B72" s="16">
        <v>42.8</v>
      </c>
      <c r="C72" s="16">
        <v>15.4</v>
      </c>
      <c r="D72" s="16">
        <f t="shared" si="1"/>
        <v>27.4</v>
      </c>
    </row>
    <row r="73" spans="1:4" x14ac:dyDescent="0.25">
      <c r="A73" s="22">
        <v>1971</v>
      </c>
      <c r="B73" s="16">
        <v>42.8</v>
      </c>
      <c r="C73" s="16">
        <v>15</v>
      </c>
      <c r="D73" s="16">
        <f t="shared" si="1"/>
        <v>27.799999999999997</v>
      </c>
    </row>
    <row r="74" spans="1:4" x14ac:dyDescent="0.25">
      <c r="A74" s="22">
        <v>1972</v>
      </c>
      <c r="B74" s="16">
        <v>42.5</v>
      </c>
      <c r="C74" s="16">
        <v>14.6</v>
      </c>
      <c r="D74" s="16">
        <f t="shared" si="1"/>
        <v>27.9</v>
      </c>
    </row>
    <row r="75" spans="1:4" x14ac:dyDescent="0.25">
      <c r="A75" s="22">
        <v>1973</v>
      </c>
      <c r="B75" s="16">
        <v>42.2</v>
      </c>
      <c r="C75" s="16">
        <v>13.9</v>
      </c>
      <c r="D75" s="16">
        <f t="shared" si="1"/>
        <v>28.300000000000004</v>
      </c>
    </row>
    <row r="76" spans="1:4" x14ac:dyDescent="0.25">
      <c r="A76" s="22">
        <v>1974</v>
      </c>
      <c r="B76" s="16">
        <v>41.9</v>
      </c>
      <c r="C76" s="16">
        <v>13.7</v>
      </c>
      <c r="D76" s="16">
        <f t="shared" si="1"/>
        <v>28.2</v>
      </c>
    </row>
    <row r="77" spans="1:4" x14ac:dyDescent="0.25">
      <c r="A77" s="22">
        <v>1975</v>
      </c>
      <c r="B77" s="16">
        <v>41.5</v>
      </c>
      <c r="C77" s="16">
        <v>13.2</v>
      </c>
      <c r="D77" s="16">
        <f t="shared" si="1"/>
        <v>28.3</v>
      </c>
    </row>
    <row r="78" spans="1:4" x14ac:dyDescent="0.25">
      <c r="A78" s="22">
        <v>1976</v>
      </c>
      <c r="B78" s="16">
        <v>41.2</v>
      </c>
      <c r="C78" s="16">
        <v>12.5</v>
      </c>
      <c r="D78" s="16">
        <f t="shared" si="1"/>
        <v>28.700000000000003</v>
      </c>
    </row>
    <row r="79" spans="1:4" x14ac:dyDescent="0.25">
      <c r="A79" s="22">
        <v>1977</v>
      </c>
      <c r="B79" s="16">
        <v>40.799999999999997</v>
      </c>
      <c r="C79" s="16">
        <v>12.5</v>
      </c>
      <c r="D79" s="16">
        <f t="shared" si="1"/>
        <v>28.299999999999997</v>
      </c>
    </row>
    <row r="80" spans="1:4" x14ac:dyDescent="0.25">
      <c r="A80" s="22">
        <v>1978</v>
      </c>
      <c r="B80" s="16">
        <v>40.4</v>
      </c>
      <c r="C80" s="16">
        <v>12.1</v>
      </c>
      <c r="D80" s="16">
        <f t="shared" si="1"/>
        <v>28.299999999999997</v>
      </c>
    </row>
    <row r="81" spans="1:4" x14ac:dyDescent="0.25">
      <c r="A81" s="22">
        <v>1979</v>
      </c>
      <c r="B81" s="16">
        <v>40.1</v>
      </c>
      <c r="C81" s="16">
        <v>12.5</v>
      </c>
      <c r="D81" s="16">
        <f t="shared" si="1"/>
        <v>27.6</v>
      </c>
    </row>
    <row r="82" spans="1:4" x14ac:dyDescent="0.25">
      <c r="A82" s="22">
        <v>1980</v>
      </c>
      <c r="B82" s="16">
        <v>39.799999999999997</v>
      </c>
      <c r="C82" s="16">
        <v>15.2</v>
      </c>
      <c r="D82" s="16">
        <f t="shared" si="1"/>
        <v>24.599999999999998</v>
      </c>
    </row>
    <row r="83" spans="1:4" x14ac:dyDescent="0.25">
      <c r="A83" s="22">
        <v>1981</v>
      </c>
      <c r="B83" s="16">
        <v>39.6</v>
      </c>
      <c r="C83" s="16">
        <v>13.9</v>
      </c>
      <c r="D83" s="16">
        <f t="shared" si="1"/>
        <v>25.700000000000003</v>
      </c>
    </row>
    <row r="84" spans="1:4" x14ac:dyDescent="0.25">
      <c r="A84" s="22">
        <v>1982</v>
      </c>
      <c r="B84" s="16">
        <v>38.6</v>
      </c>
      <c r="C84" s="16">
        <v>12.4</v>
      </c>
      <c r="D84" s="16">
        <f t="shared" si="1"/>
        <v>26.200000000000003</v>
      </c>
    </row>
    <row r="85" spans="1:4" x14ac:dyDescent="0.25">
      <c r="A85" s="22">
        <v>1983</v>
      </c>
      <c r="B85" s="16">
        <v>37.700000000000003</v>
      </c>
      <c r="C85" s="16">
        <v>11.8</v>
      </c>
      <c r="D85" s="16">
        <f t="shared" si="1"/>
        <v>25.900000000000002</v>
      </c>
    </row>
    <row r="86" spans="1:4" x14ac:dyDescent="0.25">
      <c r="A86" s="22">
        <v>1984</v>
      </c>
      <c r="B86" s="16">
        <v>36.700000000000003</v>
      </c>
      <c r="C86" s="16">
        <v>10.6</v>
      </c>
      <c r="D86" s="16">
        <f t="shared" si="1"/>
        <v>26.1</v>
      </c>
    </row>
    <row r="87" spans="1:4" x14ac:dyDescent="0.25">
      <c r="A87" s="22">
        <v>1985</v>
      </c>
      <c r="B87" s="16">
        <v>35.700000000000003</v>
      </c>
      <c r="C87" s="16">
        <v>9.6999999999999993</v>
      </c>
      <c r="D87" s="16">
        <f t="shared" si="1"/>
        <v>26.000000000000004</v>
      </c>
    </row>
    <row r="88" spans="1:4" x14ac:dyDescent="0.25">
      <c r="A88" s="22">
        <v>1986</v>
      </c>
      <c r="B88" s="16">
        <v>35.1</v>
      </c>
      <c r="C88" s="16">
        <v>9</v>
      </c>
      <c r="D88" s="16">
        <f t="shared" si="1"/>
        <v>26.1</v>
      </c>
    </row>
    <row r="89" spans="1:4" x14ac:dyDescent="0.25">
      <c r="A89" s="22">
        <v>1987</v>
      </c>
      <c r="B89" s="16">
        <v>35.200000000000003</v>
      </c>
      <c r="C89" s="16">
        <v>9</v>
      </c>
      <c r="D89" s="16">
        <f t="shared" si="1"/>
        <v>26.200000000000003</v>
      </c>
    </row>
    <row r="90" spans="1:4" x14ac:dyDescent="0.25">
      <c r="A90" s="22">
        <v>1988</v>
      </c>
      <c r="B90" s="16">
        <v>34.9</v>
      </c>
      <c r="C90" s="16">
        <v>8.6999999999999993</v>
      </c>
      <c r="D90" s="16">
        <f t="shared" si="1"/>
        <v>26.2</v>
      </c>
    </row>
    <row r="91" spans="1:4" x14ac:dyDescent="0.25">
      <c r="A91" s="22">
        <v>1989</v>
      </c>
      <c r="B91" s="16">
        <v>34.4</v>
      </c>
      <c r="C91" s="16">
        <v>8.1</v>
      </c>
      <c r="D91" s="16">
        <f t="shared" si="1"/>
        <v>26.299999999999997</v>
      </c>
    </row>
    <row r="92" spans="1:4" x14ac:dyDescent="0.25">
      <c r="A92" s="22">
        <v>1990</v>
      </c>
      <c r="B92" s="16">
        <v>33.700000000000003</v>
      </c>
      <c r="C92" s="16">
        <v>7.7</v>
      </c>
      <c r="D92" s="16">
        <f t="shared" si="1"/>
        <v>26.000000000000004</v>
      </c>
    </row>
    <row r="93" spans="1:4" x14ac:dyDescent="0.25">
      <c r="A93" s="22">
        <v>1991</v>
      </c>
      <c r="B93" s="16">
        <v>33.1</v>
      </c>
      <c r="C93" s="16">
        <v>7.5</v>
      </c>
      <c r="D93" s="16">
        <f t="shared" si="1"/>
        <v>25.6</v>
      </c>
    </row>
    <row r="94" spans="1:4" x14ac:dyDescent="0.25">
      <c r="A94" s="22">
        <v>1992</v>
      </c>
      <c r="B94" s="16">
        <v>32.200000000000003</v>
      </c>
      <c r="C94" s="16">
        <v>7.3</v>
      </c>
      <c r="D94" s="16">
        <f t="shared" si="1"/>
        <v>24.900000000000002</v>
      </c>
    </row>
    <row r="95" spans="1:4" x14ac:dyDescent="0.25">
      <c r="A95" s="22">
        <v>1993</v>
      </c>
      <c r="B95" s="16">
        <v>31.3</v>
      </c>
      <c r="C95" s="16">
        <v>6.9</v>
      </c>
      <c r="D95" s="16">
        <f t="shared" si="1"/>
        <v>24.4</v>
      </c>
    </row>
    <row r="96" spans="1:4" x14ac:dyDescent="0.25">
      <c r="A96" s="22">
        <v>1994</v>
      </c>
      <c r="B96" s="16">
        <v>31</v>
      </c>
      <c r="C96" s="16">
        <v>6.8</v>
      </c>
      <c r="D96" s="16">
        <f t="shared" si="1"/>
        <v>24.2</v>
      </c>
    </row>
    <row r="97" spans="1:4" x14ac:dyDescent="0.25">
      <c r="A97" s="22">
        <v>1995</v>
      </c>
      <c r="B97" s="16">
        <v>30.8</v>
      </c>
      <c r="C97" s="16">
        <v>6.8</v>
      </c>
      <c r="D97" s="16">
        <f t="shared" si="1"/>
        <v>24</v>
      </c>
    </row>
    <row r="98" spans="1:4" x14ac:dyDescent="0.25">
      <c r="A98" s="22">
        <v>1996</v>
      </c>
      <c r="B98" s="16">
        <v>30.3</v>
      </c>
      <c r="C98" s="16">
        <v>6.7</v>
      </c>
      <c r="D98" s="16">
        <f t="shared" si="1"/>
        <v>23.6</v>
      </c>
    </row>
    <row r="99" spans="1:4" x14ac:dyDescent="0.25">
      <c r="A99" s="22">
        <v>1997</v>
      </c>
      <c r="B99" s="16">
        <v>29.6</v>
      </c>
      <c r="C99" s="16">
        <v>6.6</v>
      </c>
      <c r="D99" s="16">
        <f t="shared" si="1"/>
        <v>23</v>
      </c>
    </row>
    <row r="100" spans="1:4" x14ac:dyDescent="0.25">
      <c r="A100" s="22">
        <v>1998</v>
      </c>
      <c r="B100" s="16">
        <v>29.4</v>
      </c>
      <c r="C100" s="16">
        <v>6.6</v>
      </c>
      <c r="D100" s="16">
        <f t="shared" si="1"/>
        <v>22.799999999999997</v>
      </c>
    </row>
    <row r="101" spans="1:4" x14ac:dyDescent="0.25">
      <c r="A101" s="22">
        <v>1999</v>
      </c>
      <c r="B101" s="16">
        <v>28.3</v>
      </c>
      <c r="C101" s="16">
        <v>6.5</v>
      </c>
      <c r="D101" s="16">
        <f t="shared" si="1"/>
        <v>21.8</v>
      </c>
    </row>
    <row r="102" spans="1:4" x14ac:dyDescent="0.25">
      <c r="A102" s="22">
        <v>2000</v>
      </c>
      <c r="B102" s="16">
        <v>27.1</v>
      </c>
      <c r="C102" s="16">
        <v>6.6</v>
      </c>
      <c r="D102" s="16">
        <f t="shared" si="1"/>
        <v>20.5</v>
      </c>
    </row>
    <row r="103" spans="1:4" x14ac:dyDescent="0.25">
      <c r="A103" s="22">
        <v>2001</v>
      </c>
      <c r="B103" s="16">
        <v>25.8</v>
      </c>
      <c r="C103" s="16">
        <v>6.7</v>
      </c>
      <c r="D103" s="16">
        <f t="shared" si="1"/>
        <v>19.100000000000001</v>
      </c>
    </row>
    <row r="104" spans="1:4" x14ac:dyDescent="0.25">
      <c r="A104" s="22">
        <v>2002</v>
      </c>
      <c r="B104" s="16">
        <v>24.4</v>
      </c>
      <c r="C104" s="16">
        <v>6.7</v>
      </c>
      <c r="D104" s="16">
        <f t="shared" si="1"/>
        <v>17.7</v>
      </c>
    </row>
    <row r="105" spans="1:4" x14ac:dyDescent="0.25">
      <c r="A105" s="22">
        <v>2003</v>
      </c>
      <c r="B105" s="16">
        <v>23.1</v>
      </c>
      <c r="C105" s="16">
        <v>6.8</v>
      </c>
      <c r="D105" s="16">
        <f t="shared" si="1"/>
        <v>16.3</v>
      </c>
    </row>
    <row r="106" spans="1:4" x14ac:dyDescent="0.25">
      <c r="A106" s="22">
        <v>2004</v>
      </c>
      <c r="B106" s="16">
        <v>22.1</v>
      </c>
      <c r="C106" s="16">
        <v>6.9</v>
      </c>
      <c r="D106" s="16">
        <f t="shared" si="1"/>
        <v>15.200000000000001</v>
      </c>
    </row>
    <row r="107" spans="1:4" x14ac:dyDescent="0.25">
      <c r="A107" s="22">
        <v>2005</v>
      </c>
      <c r="B107" s="16">
        <v>21.4</v>
      </c>
      <c r="C107" s="16">
        <v>7.2</v>
      </c>
      <c r="D107" s="16">
        <f t="shared" si="1"/>
        <v>14.2</v>
      </c>
    </row>
    <row r="108" spans="1:4" x14ac:dyDescent="0.25">
      <c r="A108" s="22">
        <v>2006</v>
      </c>
      <c r="B108" s="16">
        <v>21</v>
      </c>
      <c r="C108" s="16">
        <v>7.5</v>
      </c>
      <c r="D108" s="16">
        <f t="shared" si="1"/>
        <v>13.5</v>
      </c>
    </row>
    <row r="109" spans="1:4" x14ac:dyDescent="0.25">
      <c r="A109" s="22">
        <v>2007</v>
      </c>
      <c r="B109" s="16">
        <v>20.6</v>
      </c>
      <c r="C109" s="16">
        <v>7.8</v>
      </c>
      <c r="D109" s="16">
        <f t="shared" si="1"/>
        <v>12.8</v>
      </c>
    </row>
    <row r="110" spans="1:4" x14ac:dyDescent="0.25">
      <c r="A110" s="22">
        <v>2008</v>
      </c>
      <c r="B110" s="16">
        <v>20</v>
      </c>
      <c r="C110" s="16">
        <v>7.6</v>
      </c>
      <c r="D110" s="16">
        <f t="shared" si="1"/>
        <v>12.4</v>
      </c>
    </row>
    <row r="111" spans="1:4" x14ac:dyDescent="0.25">
      <c r="A111" s="22">
        <v>2009</v>
      </c>
      <c r="B111" s="16">
        <v>19.8</v>
      </c>
      <c r="C111" s="16">
        <v>7.5</v>
      </c>
      <c r="D111" s="16">
        <f t="shared" si="1"/>
        <v>12.3</v>
      </c>
    </row>
    <row r="112" spans="1:4" x14ac:dyDescent="0.25">
      <c r="A112" s="22">
        <v>2010</v>
      </c>
      <c r="B112" s="16">
        <v>19.7</v>
      </c>
      <c r="C112" s="16">
        <v>7.2</v>
      </c>
      <c r="D112" s="16">
        <f t="shared" si="1"/>
        <v>12.5</v>
      </c>
    </row>
    <row r="113" spans="1:4" x14ac:dyDescent="0.25">
      <c r="A113" s="22">
        <v>2011</v>
      </c>
      <c r="B113" s="16">
        <v>19.600000000000001</v>
      </c>
      <c r="C113" s="16">
        <v>7.1</v>
      </c>
      <c r="D113" s="16">
        <f t="shared" si="1"/>
        <v>12.500000000000002</v>
      </c>
    </row>
    <row r="114" spans="1:4" x14ac:dyDescent="0.25">
      <c r="A114" s="22">
        <v>2012</v>
      </c>
      <c r="B114" s="16">
        <v>19.399999999999999</v>
      </c>
      <c r="C114" s="16">
        <v>7</v>
      </c>
      <c r="D114" s="16">
        <f t="shared" si="1"/>
        <v>12.399999999999999</v>
      </c>
    </row>
    <row r="115" spans="1:4" x14ac:dyDescent="0.25">
      <c r="A115" s="22">
        <v>2013</v>
      </c>
      <c r="B115" s="16">
        <v>19.2</v>
      </c>
      <c r="C115" s="16">
        <v>7.2</v>
      </c>
      <c r="D115" s="16">
        <f t="shared" si="1"/>
        <v>12</v>
      </c>
    </row>
    <row r="116" spans="1:4" x14ac:dyDescent="0.25">
      <c r="A116" s="22">
        <v>2014</v>
      </c>
      <c r="B116" s="16">
        <v>19</v>
      </c>
      <c r="C116" s="16">
        <v>7.2</v>
      </c>
      <c r="D116" s="16">
        <f t="shared" si="1"/>
        <v>11.8</v>
      </c>
    </row>
    <row r="117" spans="1:4" x14ac:dyDescent="0.25">
      <c r="A117" s="22">
        <v>2015</v>
      </c>
      <c r="B117" s="16">
        <v>18.600000000000001</v>
      </c>
      <c r="C117" s="16">
        <v>7.4</v>
      </c>
      <c r="D117" s="16">
        <f t="shared" si="1"/>
        <v>11.200000000000001</v>
      </c>
    </row>
    <row r="118" spans="1:4" x14ac:dyDescent="0.25">
      <c r="A118" s="22">
        <v>2016</v>
      </c>
      <c r="B118" s="16">
        <v>17.7</v>
      </c>
      <c r="C118" s="16">
        <v>7.4</v>
      </c>
      <c r="D118" s="16">
        <f t="shared" si="1"/>
        <v>10.299999999999999</v>
      </c>
    </row>
    <row r="119" spans="1:4" x14ac:dyDescent="0.25">
      <c r="A119" s="22">
        <v>2017</v>
      </c>
      <c r="B119" s="16">
        <v>17.100000000000001</v>
      </c>
      <c r="C119" s="16">
        <v>7.5</v>
      </c>
      <c r="D119" s="16">
        <f t="shared" si="1"/>
        <v>9.6000000000000014</v>
      </c>
    </row>
    <row r="120" spans="1:4" x14ac:dyDescent="0.25">
      <c r="A120" s="22">
        <v>2018</v>
      </c>
      <c r="B120" s="16">
        <v>16.7</v>
      </c>
      <c r="C120" s="16">
        <v>7.4</v>
      </c>
      <c r="D120" s="16">
        <f t="shared" si="1"/>
        <v>9.2999999999999989</v>
      </c>
    </row>
    <row r="121" spans="1:4" x14ac:dyDescent="0.25">
      <c r="A121" s="22">
        <v>2019</v>
      </c>
      <c r="B121" s="16">
        <v>16.600000000000001</v>
      </c>
      <c r="C121" s="16">
        <v>7.4</v>
      </c>
      <c r="D121" s="16">
        <f t="shared" si="1"/>
        <v>9.2000000000000011</v>
      </c>
    </row>
    <row r="122" spans="1:4" x14ac:dyDescent="0.25">
      <c r="A122" s="22">
        <v>2020</v>
      </c>
      <c r="B122" s="16">
        <v>16.3</v>
      </c>
      <c r="C122" s="16">
        <v>8.6</v>
      </c>
      <c r="D122" s="16">
        <f t="shared" si="1"/>
        <v>7.7000000000000011</v>
      </c>
    </row>
    <row r="123" spans="1:4" x14ac:dyDescent="0.25">
      <c r="A123" s="22">
        <v>2021</v>
      </c>
      <c r="B123" s="16">
        <v>16.2</v>
      </c>
      <c r="C123" s="16">
        <v>8.6999999999999993</v>
      </c>
      <c r="D123" s="16">
        <f t="shared" si="1"/>
        <v>7.5</v>
      </c>
    </row>
    <row r="124" spans="1:4" x14ac:dyDescent="0.25">
      <c r="A124" s="22">
        <v>2022</v>
      </c>
      <c r="B124" s="16">
        <v>15.9</v>
      </c>
      <c r="C124" s="16">
        <v>7.5</v>
      </c>
      <c r="D124" s="16">
        <f t="shared" si="1"/>
        <v>8.4</v>
      </c>
    </row>
    <row r="125" spans="1:4" x14ac:dyDescent="0.25">
      <c r="A125" s="22">
        <v>2023</v>
      </c>
      <c r="B125" s="16">
        <v>15.8</v>
      </c>
      <c r="C125" s="16">
        <v>7.5</v>
      </c>
      <c r="D125" s="16">
        <f t="shared" si="1"/>
        <v>8.3000000000000007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1895</v>
      </c>
      <c r="B2" s="16">
        <v>44.5</v>
      </c>
      <c r="C2" s="16">
        <v>15.1</v>
      </c>
      <c r="D2" s="16">
        <f>B2-C2</f>
        <v>29.4</v>
      </c>
    </row>
    <row r="3" spans="1:4" x14ac:dyDescent="0.25">
      <c r="A3" s="22">
        <v>1896</v>
      </c>
      <c r="B3" s="16">
        <v>44.2</v>
      </c>
      <c r="C3" s="16">
        <v>15</v>
      </c>
      <c r="D3" s="16">
        <f t="shared" ref="D3:D66" si="0">B3-C3</f>
        <v>29.200000000000003</v>
      </c>
    </row>
    <row r="4" spans="1:4" x14ac:dyDescent="0.25">
      <c r="A4" s="22">
        <v>1897</v>
      </c>
      <c r="B4" s="16">
        <v>43.7</v>
      </c>
      <c r="C4" s="16">
        <v>14.9</v>
      </c>
      <c r="D4" s="16">
        <f t="shared" si="0"/>
        <v>28.800000000000004</v>
      </c>
    </row>
    <row r="5" spans="1:4" x14ac:dyDescent="0.25">
      <c r="A5" s="22">
        <v>1898</v>
      </c>
      <c r="B5" s="16">
        <v>42.9</v>
      </c>
      <c r="C5" s="16">
        <v>14.7</v>
      </c>
      <c r="D5" s="16">
        <f t="shared" si="0"/>
        <v>28.2</v>
      </c>
    </row>
    <row r="6" spans="1:4" x14ac:dyDescent="0.25">
      <c r="A6" s="22">
        <v>1899</v>
      </c>
      <c r="B6" s="16">
        <v>41.9</v>
      </c>
      <c r="C6" s="16">
        <v>14.3</v>
      </c>
      <c r="D6" s="16">
        <f t="shared" si="0"/>
        <v>27.599999999999998</v>
      </c>
    </row>
    <row r="7" spans="1:4" x14ac:dyDescent="0.25">
      <c r="A7" s="22">
        <v>1900</v>
      </c>
      <c r="B7" s="16">
        <v>40.6</v>
      </c>
      <c r="C7" s="16">
        <v>14</v>
      </c>
      <c r="D7" s="16">
        <f t="shared" si="0"/>
        <v>26.6</v>
      </c>
    </row>
    <row r="8" spans="1:4" x14ac:dyDescent="0.25">
      <c r="A8" s="22">
        <v>1901</v>
      </c>
      <c r="B8" s="16">
        <v>39.5</v>
      </c>
      <c r="C8" s="16">
        <v>13.7</v>
      </c>
      <c r="D8" s="16">
        <f t="shared" si="0"/>
        <v>25.8</v>
      </c>
    </row>
    <row r="9" spans="1:4" x14ac:dyDescent="0.25">
      <c r="A9" s="22">
        <v>1902</v>
      </c>
      <c r="B9" s="16">
        <v>38.700000000000003</v>
      </c>
      <c r="C9" s="16">
        <v>13.6</v>
      </c>
      <c r="D9" s="16">
        <f t="shared" si="0"/>
        <v>25.1</v>
      </c>
    </row>
    <row r="10" spans="1:4" x14ac:dyDescent="0.25">
      <c r="A10" s="22">
        <v>1903</v>
      </c>
      <c r="B10" s="16">
        <v>38.1</v>
      </c>
      <c r="C10" s="16">
        <v>13.6</v>
      </c>
      <c r="D10" s="16">
        <f t="shared" si="0"/>
        <v>24.5</v>
      </c>
    </row>
    <row r="11" spans="1:4" x14ac:dyDescent="0.25">
      <c r="A11" s="22">
        <v>1904</v>
      </c>
      <c r="B11" s="16">
        <v>37.799999999999997</v>
      </c>
      <c r="C11" s="16">
        <v>13.7</v>
      </c>
      <c r="D11" s="16">
        <f t="shared" si="0"/>
        <v>24.099999999999998</v>
      </c>
    </row>
    <row r="12" spans="1:4" x14ac:dyDescent="0.25">
      <c r="A12" s="22">
        <v>1905</v>
      </c>
      <c r="B12" s="16">
        <v>37.700000000000003</v>
      </c>
      <c r="C12" s="16">
        <v>13.9</v>
      </c>
      <c r="D12" s="16">
        <f t="shared" si="0"/>
        <v>23.800000000000004</v>
      </c>
    </row>
    <row r="13" spans="1:4" x14ac:dyDescent="0.25">
      <c r="A13" s="22">
        <v>1906</v>
      </c>
      <c r="B13" s="16">
        <v>37.6</v>
      </c>
      <c r="C13" s="16">
        <v>14.1</v>
      </c>
      <c r="D13" s="16">
        <f t="shared" si="0"/>
        <v>23.5</v>
      </c>
    </row>
    <row r="14" spans="1:4" x14ac:dyDescent="0.25">
      <c r="A14" s="22">
        <v>1907</v>
      </c>
      <c r="B14" s="16">
        <v>37.6</v>
      </c>
      <c r="C14" s="16">
        <v>14.1</v>
      </c>
      <c r="D14" s="16">
        <f t="shared" si="0"/>
        <v>23.5</v>
      </c>
    </row>
    <row r="15" spans="1:4" x14ac:dyDescent="0.25">
      <c r="A15" s="22">
        <v>1908</v>
      </c>
      <c r="B15" s="16">
        <v>37.6</v>
      </c>
      <c r="C15" s="16">
        <v>14</v>
      </c>
      <c r="D15" s="16">
        <f t="shared" si="0"/>
        <v>23.6</v>
      </c>
    </row>
    <row r="16" spans="1:4" x14ac:dyDescent="0.25">
      <c r="A16" s="22">
        <v>1909</v>
      </c>
      <c r="B16" s="16">
        <v>37.6</v>
      </c>
      <c r="C16" s="16">
        <v>13.8</v>
      </c>
      <c r="D16" s="16">
        <f t="shared" si="0"/>
        <v>23.8</v>
      </c>
    </row>
    <row r="17" spans="1:4" x14ac:dyDescent="0.25">
      <c r="A17" s="22">
        <v>1910</v>
      </c>
      <c r="B17" s="16">
        <v>37.6</v>
      </c>
      <c r="C17" s="16">
        <v>13.6</v>
      </c>
      <c r="D17" s="16">
        <f t="shared" si="0"/>
        <v>24</v>
      </c>
    </row>
    <row r="18" spans="1:4" x14ac:dyDescent="0.25">
      <c r="A18" s="22">
        <v>1911</v>
      </c>
      <c r="B18" s="16">
        <v>37.299999999999997</v>
      </c>
      <c r="C18" s="16">
        <v>13.4</v>
      </c>
      <c r="D18" s="16">
        <f t="shared" si="0"/>
        <v>23.9</v>
      </c>
    </row>
    <row r="19" spans="1:4" x14ac:dyDescent="0.25">
      <c r="A19" s="22">
        <v>1912</v>
      </c>
      <c r="B19" s="16">
        <v>36.799999999999997</v>
      </c>
      <c r="C19" s="16">
        <v>13.4</v>
      </c>
      <c r="D19" s="16">
        <f t="shared" si="0"/>
        <v>23.4</v>
      </c>
    </row>
    <row r="20" spans="1:4" x14ac:dyDescent="0.25">
      <c r="A20" s="22">
        <v>1913</v>
      </c>
      <c r="B20" s="16">
        <v>36</v>
      </c>
      <c r="C20" s="16">
        <v>13.5</v>
      </c>
      <c r="D20" s="16">
        <f t="shared" si="0"/>
        <v>22.5</v>
      </c>
    </row>
    <row r="21" spans="1:4" x14ac:dyDescent="0.25">
      <c r="A21" s="22">
        <v>1914</v>
      </c>
      <c r="B21" s="16">
        <v>34.9</v>
      </c>
      <c r="C21" s="16">
        <v>13.7</v>
      </c>
      <c r="D21" s="16">
        <f t="shared" si="0"/>
        <v>21.2</v>
      </c>
    </row>
    <row r="22" spans="1:4" x14ac:dyDescent="0.25">
      <c r="A22" s="22">
        <v>1915</v>
      </c>
      <c r="B22" s="16">
        <v>33.6</v>
      </c>
      <c r="C22" s="16">
        <v>14.1</v>
      </c>
      <c r="D22" s="16">
        <f t="shared" si="0"/>
        <v>19.5</v>
      </c>
    </row>
    <row r="23" spans="1:4" x14ac:dyDescent="0.25">
      <c r="A23" s="22">
        <v>1916</v>
      </c>
      <c r="B23" s="16">
        <v>32.5</v>
      </c>
      <c r="C23" s="16">
        <v>14.3</v>
      </c>
      <c r="D23" s="16">
        <f t="shared" si="0"/>
        <v>18.2</v>
      </c>
    </row>
    <row r="24" spans="1:4" x14ac:dyDescent="0.25">
      <c r="A24" s="22">
        <v>1917</v>
      </c>
      <c r="B24" s="16">
        <v>31.7</v>
      </c>
      <c r="C24" s="16">
        <v>14.3</v>
      </c>
      <c r="D24" s="16">
        <f t="shared" si="0"/>
        <v>17.399999999999999</v>
      </c>
    </row>
    <row r="25" spans="1:4" x14ac:dyDescent="0.25">
      <c r="A25" s="22">
        <v>1918</v>
      </c>
      <c r="B25" s="16">
        <v>31.1</v>
      </c>
      <c r="C25" s="16">
        <v>14.1</v>
      </c>
      <c r="D25" s="16">
        <f t="shared" si="0"/>
        <v>17</v>
      </c>
    </row>
    <row r="26" spans="1:4" x14ac:dyDescent="0.25">
      <c r="A26" s="22">
        <v>1919</v>
      </c>
      <c r="B26" s="16">
        <v>30.7</v>
      </c>
      <c r="C26" s="16">
        <v>13.8</v>
      </c>
      <c r="D26" s="16">
        <f t="shared" si="0"/>
        <v>16.899999999999999</v>
      </c>
    </row>
    <row r="27" spans="1:4" x14ac:dyDescent="0.25">
      <c r="A27" s="22">
        <v>1920</v>
      </c>
      <c r="B27" s="16">
        <v>30.5</v>
      </c>
      <c r="C27" s="16">
        <v>13.3</v>
      </c>
      <c r="D27" s="16">
        <f t="shared" si="0"/>
        <v>17.2</v>
      </c>
    </row>
    <row r="28" spans="1:4" x14ac:dyDescent="0.25">
      <c r="A28" s="22">
        <v>1921</v>
      </c>
      <c r="B28" s="16">
        <v>30.3</v>
      </c>
      <c r="C28" s="16">
        <v>12.9</v>
      </c>
      <c r="D28" s="16">
        <f t="shared" si="0"/>
        <v>17.399999999999999</v>
      </c>
    </row>
    <row r="29" spans="1:4" x14ac:dyDescent="0.25">
      <c r="A29" s="22">
        <v>1922</v>
      </c>
      <c r="B29" s="16">
        <v>30.1</v>
      </c>
      <c r="C29" s="16">
        <v>12.5</v>
      </c>
      <c r="D29" s="16">
        <f t="shared" si="0"/>
        <v>17.600000000000001</v>
      </c>
    </row>
    <row r="30" spans="1:4" x14ac:dyDescent="0.25">
      <c r="A30" s="22">
        <v>1923</v>
      </c>
      <c r="B30" s="16">
        <v>29.9</v>
      </c>
      <c r="C30" s="16">
        <v>12.3</v>
      </c>
      <c r="D30" s="16">
        <f t="shared" si="0"/>
        <v>17.599999999999998</v>
      </c>
    </row>
    <row r="31" spans="1:4" x14ac:dyDescent="0.25">
      <c r="A31" s="22">
        <v>1924</v>
      </c>
      <c r="B31" s="16">
        <v>29.6</v>
      </c>
      <c r="C31" s="16">
        <v>12.1</v>
      </c>
      <c r="D31" s="16">
        <f t="shared" si="0"/>
        <v>17.5</v>
      </c>
    </row>
    <row r="32" spans="1:4" x14ac:dyDescent="0.25">
      <c r="A32" s="22">
        <v>1925</v>
      </c>
      <c r="B32" s="16">
        <v>29.4</v>
      </c>
      <c r="C32" s="16">
        <v>12.1</v>
      </c>
      <c r="D32" s="16">
        <f t="shared" si="0"/>
        <v>17.299999999999997</v>
      </c>
    </row>
    <row r="33" spans="1:4" x14ac:dyDescent="0.25">
      <c r="A33" s="22">
        <v>1926</v>
      </c>
      <c r="B33" s="16">
        <v>29</v>
      </c>
      <c r="C33" s="16">
        <v>12</v>
      </c>
      <c r="D33" s="16">
        <f t="shared" si="0"/>
        <v>17</v>
      </c>
    </row>
    <row r="34" spans="1:4" x14ac:dyDescent="0.25">
      <c r="A34" s="22">
        <v>1927</v>
      </c>
      <c r="B34" s="16">
        <v>28.7</v>
      </c>
      <c r="C34" s="16">
        <v>11.9</v>
      </c>
      <c r="D34" s="16">
        <f t="shared" si="0"/>
        <v>16.799999999999997</v>
      </c>
    </row>
    <row r="35" spans="1:4" x14ac:dyDescent="0.25">
      <c r="A35" s="22">
        <v>1928</v>
      </c>
      <c r="B35" s="16">
        <v>28.2</v>
      </c>
      <c r="C35" s="16">
        <v>11.8</v>
      </c>
      <c r="D35" s="16">
        <f t="shared" si="0"/>
        <v>16.399999999999999</v>
      </c>
    </row>
    <row r="36" spans="1:4" x14ac:dyDescent="0.25">
      <c r="A36" s="22">
        <v>1929</v>
      </c>
      <c r="B36" s="16">
        <v>27.7</v>
      </c>
      <c r="C36" s="16">
        <v>11.7</v>
      </c>
      <c r="D36" s="16">
        <f t="shared" si="0"/>
        <v>16</v>
      </c>
    </row>
    <row r="37" spans="1:4" x14ac:dyDescent="0.25">
      <c r="A37" s="22">
        <v>1930</v>
      </c>
      <c r="B37" s="16">
        <v>27.2</v>
      </c>
      <c r="C37" s="16">
        <v>11.7</v>
      </c>
      <c r="D37" s="16">
        <f t="shared" si="0"/>
        <v>15.5</v>
      </c>
    </row>
    <row r="38" spans="1:4" x14ac:dyDescent="0.25">
      <c r="A38" s="22">
        <v>1931</v>
      </c>
      <c r="B38" s="16">
        <v>26.6</v>
      </c>
      <c r="C38" s="16">
        <v>11.6</v>
      </c>
      <c r="D38" s="16">
        <f t="shared" si="0"/>
        <v>15.000000000000002</v>
      </c>
    </row>
    <row r="39" spans="1:4" x14ac:dyDescent="0.25">
      <c r="A39" s="22">
        <v>1932</v>
      </c>
      <c r="B39" s="16">
        <v>25.9</v>
      </c>
      <c r="C39" s="16">
        <v>11.5</v>
      </c>
      <c r="D39" s="16">
        <f t="shared" si="0"/>
        <v>14.399999999999999</v>
      </c>
    </row>
    <row r="40" spans="1:4" x14ac:dyDescent="0.25">
      <c r="A40" s="22">
        <v>1933</v>
      </c>
      <c r="B40" s="16">
        <v>25.1</v>
      </c>
      <c r="C40" s="16">
        <v>11.4</v>
      </c>
      <c r="D40" s="16">
        <f t="shared" si="0"/>
        <v>13.700000000000001</v>
      </c>
    </row>
    <row r="41" spans="1:4" x14ac:dyDescent="0.25">
      <c r="A41" s="22">
        <v>1934</v>
      </c>
      <c r="B41" s="16">
        <v>24.3</v>
      </c>
      <c r="C41" s="16">
        <v>11.4</v>
      </c>
      <c r="D41" s="16">
        <f t="shared" si="0"/>
        <v>12.9</v>
      </c>
    </row>
    <row r="42" spans="1:4" x14ac:dyDescent="0.25">
      <c r="A42" s="22">
        <v>1935</v>
      </c>
      <c r="B42" s="16">
        <v>23.4</v>
      </c>
      <c r="C42" s="16">
        <v>11.3</v>
      </c>
      <c r="D42" s="16">
        <f t="shared" si="0"/>
        <v>12.099999999999998</v>
      </c>
    </row>
    <row r="43" spans="1:4" x14ac:dyDescent="0.25">
      <c r="A43" s="22">
        <v>1936</v>
      </c>
      <c r="B43" s="16">
        <v>22.6</v>
      </c>
      <c r="C43" s="16">
        <v>11.2</v>
      </c>
      <c r="D43" s="16">
        <f t="shared" si="0"/>
        <v>11.400000000000002</v>
      </c>
    </row>
    <row r="44" spans="1:4" x14ac:dyDescent="0.25">
      <c r="A44" s="22">
        <v>1937</v>
      </c>
      <c r="B44" s="16">
        <v>22.1</v>
      </c>
      <c r="C44" s="16">
        <v>11.1</v>
      </c>
      <c r="D44" s="16">
        <f t="shared" si="0"/>
        <v>11.000000000000002</v>
      </c>
    </row>
    <row r="45" spans="1:4" x14ac:dyDescent="0.25">
      <c r="A45" s="22">
        <v>1938</v>
      </c>
      <c r="B45" s="16">
        <v>21.8</v>
      </c>
      <c r="C45" s="16">
        <v>11</v>
      </c>
      <c r="D45" s="16">
        <f t="shared" si="0"/>
        <v>10.8</v>
      </c>
    </row>
    <row r="46" spans="1:4" x14ac:dyDescent="0.25">
      <c r="A46" s="22">
        <v>1939</v>
      </c>
      <c r="B46" s="16">
        <v>21.6</v>
      </c>
      <c r="C46" s="16">
        <v>10.9</v>
      </c>
      <c r="D46" s="16">
        <f t="shared" si="0"/>
        <v>10.700000000000001</v>
      </c>
    </row>
    <row r="47" spans="1:4" x14ac:dyDescent="0.25">
      <c r="A47" s="22">
        <v>1940</v>
      </c>
      <c r="B47" s="16">
        <v>21.7</v>
      </c>
      <c r="C47" s="16">
        <v>10.7</v>
      </c>
      <c r="D47" s="16">
        <f t="shared" si="0"/>
        <v>11</v>
      </c>
    </row>
    <row r="48" spans="1:4" x14ac:dyDescent="0.25">
      <c r="A48" s="22">
        <v>1941</v>
      </c>
      <c r="B48" s="16">
        <v>21.7</v>
      </c>
      <c r="C48" s="16">
        <v>10.5</v>
      </c>
      <c r="D48" s="16">
        <f t="shared" si="0"/>
        <v>11.2</v>
      </c>
    </row>
    <row r="49" spans="1:4" x14ac:dyDescent="0.25">
      <c r="A49" s="22">
        <v>1942</v>
      </c>
      <c r="B49" s="16">
        <v>21.6</v>
      </c>
      <c r="C49" s="16">
        <v>10.3</v>
      </c>
      <c r="D49" s="16">
        <f t="shared" si="0"/>
        <v>11.3</v>
      </c>
    </row>
    <row r="50" spans="1:4" x14ac:dyDescent="0.25">
      <c r="A50" s="22">
        <v>1943</v>
      </c>
      <c r="B50" s="16">
        <v>21.6</v>
      </c>
      <c r="C50" s="16">
        <v>10.1</v>
      </c>
      <c r="D50" s="16">
        <f t="shared" si="0"/>
        <v>11.500000000000002</v>
      </c>
    </row>
    <row r="51" spans="1:4" x14ac:dyDescent="0.25">
      <c r="A51" s="22">
        <v>1944</v>
      </c>
      <c r="B51" s="16">
        <v>21.4</v>
      </c>
      <c r="C51" s="16">
        <v>9.8000000000000007</v>
      </c>
      <c r="D51" s="16">
        <f t="shared" si="0"/>
        <v>11.599999999999998</v>
      </c>
    </row>
    <row r="52" spans="1:4" x14ac:dyDescent="0.25">
      <c r="A52" s="22">
        <v>1945</v>
      </c>
      <c r="B52" s="16">
        <v>21.3</v>
      </c>
      <c r="C52" s="16">
        <v>9.6</v>
      </c>
      <c r="D52" s="16">
        <f t="shared" si="0"/>
        <v>11.700000000000001</v>
      </c>
    </row>
    <row r="53" spans="1:4" x14ac:dyDescent="0.25">
      <c r="A53" s="22">
        <v>1946</v>
      </c>
      <c r="B53" s="16">
        <v>21.1</v>
      </c>
      <c r="C53" s="16">
        <v>9.3000000000000007</v>
      </c>
      <c r="D53" s="16">
        <f t="shared" si="0"/>
        <v>11.8</v>
      </c>
    </row>
    <row r="54" spans="1:4" x14ac:dyDescent="0.25">
      <c r="A54" s="22">
        <v>1947</v>
      </c>
      <c r="B54" s="16">
        <v>21.1</v>
      </c>
      <c r="C54" s="16">
        <v>9.1</v>
      </c>
      <c r="D54" s="16">
        <f t="shared" si="0"/>
        <v>12.000000000000002</v>
      </c>
    </row>
    <row r="55" spans="1:4" x14ac:dyDescent="0.25">
      <c r="A55" s="22">
        <v>1948</v>
      </c>
      <c r="B55" s="16">
        <v>21</v>
      </c>
      <c r="C55" s="16">
        <v>8.9</v>
      </c>
      <c r="D55" s="16">
        <f t="shared" si="0"/>
        <v>12.1</v>
      </c>
    </row>
    <row r="56" spans="1:4" x14ac:dyDescent="0.25">
      <c r="A56" s="22">
        <v>1949</v>
      </c>
      <c r="B56" s="16">
        <v>21</v>
      </c>
      <c r="C56" s="16">
        <v>8.6999999999999993</v>
      </c>
      <c r="D56" s="16">
        <f t="shared" si="0"/>
        <v>12.3</v>
      </c>
    </row>
    <row r="57" spans="1:4" x14ac:dyDescent="0.25">
      <c r="A57" s="22">
        <v>1950</v>
      </c>
      <c r="B57" s="16">
        <v>21</v>
      </c>
      <c r="C57" s="16">
        <v>8.6</v>
      </c>
      <c r="D57" s="16">
        <f t="shared" si="0"/>
        <v>12.4</v>
      </c>
    </row>
    <row r="58" spans="1:4" x14ac:dyDescent="0.25">
      <c r="A58" s="22">
        <v>1951</v>
      </c>
      <c r="B58" s="16">
        <v>21.1</v>
      </c>
      <c r="C58" s="16">
        <v>8.5</v>
      </c>
      <c r="D58" s="16">
        <f t="shared" si="0"/>
        <v>12.600000000000001</v>
      </c>
    </row>
    <row r="59" spans="1:4" x14ac:dyDescent="0.25">
      <c r="A59" s="22">
        <v>1952</v>
      </c>
      <c r="B59" s="16">
        <v>21.2</v>
      </c>
      <c r="C59" s="16">
        <v>8.5</v>
      </c>
      <c r="D59" s="16">
        <f t="shared" si="0"/>
        <v>12.7</v>
      </c>
    </row>
    <row r="60" spans="1:4" x14ac:dyDescent="0.25">
      <c r="A60" s="22">
        <v>1953</v>
      </c>
      <c r="B60" s="16">
        <v>21.3</v>
      </c>
      <c r="C60" s="16">
        <v>8.6</v>
      </c>
      <c r="D60" s="16">
        <f t="shared" si="0"/>
        <v>12.700000000000001</v>
      </c>
    </row>
    <row r="61" spans="1:4" x14ac:dyDescent="0.25">
      <c r="A61" s="22">
        <v>1954</v>
      </c>
      <c r="B61" s="16">
        <v>21.4</v>
      </c>
      <c r="C61" s="16">
        <v>8.8000000000000007</v>
      </c>
      <c r="D61" s="16">
        <f t="shared" si="0"/>
        <v>12.599999999999998</v>
      </c>
    </row>
    <row r="62" spans="1:4" x14ac:dyDescent="0.25">
      <c r="A62" s="22">
        <v>1955</v>
      </c>
      <c r="B62" s="16">
        <v>21.6</v>
      </c>
      <c r="C62" s="16">
        <v>9</v>
      </c>
      <c r="D62" s="16">
        <f t="shared" si="0"/>
        <v>12.600000000000001</v>
      </c>
    </row>
    <row r="63" spans="1:4" x14ac:dyDescent="0.25">
      <c r="A63" s="22">
        <v>1956</v>
      </c>
      <c r="B63" s="16">
        <v>21.7</v>
      </c>
      <c r="C63" s="16">
        <v>9.1999999999999993</v>
      </c>
      <c r="D63" s="16">
        <f t="shared" si="0"/>
        <v>12.5</v>
      </c>
    </row>
    <row r="64" spans="1:4" x14ac:dyDescent="0.25">
      <c r="A64" s="22">
        <v>1957</v>
      </c>
      <c r="B64" s="16">
        <v>21.9</v>
      </c>
      <c r="C64" s="16">
        <v>9.4</v>
      </c>
      <c r="D64" s="16">
        <f t="shared" si="0"/>
        <v>12.499999999999998</v>
      </c>
    </row>
    <row r="65" spans="1:4" x14ac:dyDescent="0.25">
      <c r="A65" s="22">
        <v>1958</v>
      </c>
      <c r="B65" s="16">
        <v>21.9</v>
      </c>
      <c r="C65" s="16">
        <v>9.4</v>
      </c>
      <c r="D65" s="16">
        <f t="shared" si="0"/>
        <v>12.499999999999998</v>
      </c>
    </row>
    <row r="66" spans="1:4" x14ac:dyDescent="0.25">
      <c r="A66" s="22">
        <v>1959</v>
      </c>
      <c r="B66" s="16">
        <v>21.8</v>
      </c>
      <c r="C66" s="16">
        <v>9.5</v>
      </c>
      <c r="D66" s="16">
        <f t="shared" si="0"/>
        <v>12.3</v>
      </c>
    </row>
    <row r="67" spans="1:4" x14ac:dyDescent="0.25">
      <c r="A67" s="22">
        <v>1960</v>
      </c>
      <c r="B67" s="16">
        <v>21.8</v>
      </c>
      <c r="C67" s="16">
        <v>9.6</v>
      </c>
      <c r="D67" s="16">
        <f t="shared" ref="D67:D130" si="1">B67-C67</f>
        <v>12.200000000000001</v>
      </c>
    </row>
    <row r="68" spans="1:4" x14ac:dyDescent="0.25">
      <c r="A68" s="22">
        <v>1961</v>
      </c>
      <c r="B68" s="16">
        <v>21.8</v>
      </c>
      <c r="C68" s="16">
        <v>9.6</v>
      </c>
      <c r="D68" s="16">
        <f t="shared" si="1"/>
        <v>12.200000000000001</v>
      </c>
    </row>
    <row r="69" spans="1:4" x14ac:dyDescent="0.25">
      <c r="A69" s="22">
        <v>1962</v>
      </c>
      <c r="B69" s="16">
        <v>21.8</v>
      </c>
      <c r="C69" s="16">
        <v>9.6</v>
      </c>
      <c r="D69" s="16">
        <f t="shared" si="1"/>
        <v>12.200000000000001</v>
      </c>
    </row>
    <row r="70" spans="1:4" x14ac:dyDescent="0.25">
      <c r="A70" s="22">
        <v>1963</v>
      </c>
      <c r="B70" s="16">
        <v>21.8</v>
      </c>
      <c r="C70" s="16">
        <v>9.6999999999999993</v>
      </c>
      <c r="D70" s="16">
        <f t="shared" si="1"/>
        <v>12.100000000000001</v>
      </c>
    </row>
    <row r="71" spans="1:4" x14ac:dyDescent="0.25">
      <c r="A71" s="22">
        <v>1964</v>
      </c>
      <c r="B71" s="16">
        <v>21.5</v>
      </c>
      <c r="C71" s="16">
        <v>9.6999999999999993</v>
      </c>
      <c r="D71" s="16">
        <f t="shared" si="1"/>
        <v>11.8</v>
      </c>
    </row>
    <row r="72" spans="1:4" x14ac:dyDescent="0.25">
      <c r="A72" s="22">
        <v>1965</v>
      </c>
      <c r="B72" s="16">
        <v>21.2</v>
      </c>
      <c r="C72" s="16">
        <v>9.6999999999999993</v>
      </c>
      <c r="D72" s="16">
        <f t="shared" si="1"/>
        <v>11.5</v>
      </c>
    </row>
    <row r="73" spans="1:4" x14ac:dyDescent="0.25">
      <c r="A73" s="22">
        <v>1966</v>
      </c>
      <c r="B73" s="16">
        <v>20.9</v>
      </c>
      <c r="C73" s="16">
        <v>9.6999999999999993</v>
      </c>
      <c r="D73" s="16">
        <f t="shared" si="1"/>
        <v>11.2</v>
      </c>
    </row>
    <row r="74" spans="1:4" x14ac:dyDescent="0.25">
      <c r="A74" s="22">
        <v>1967</v>
      </c>
      <c r="B74" s="16">
        <v>20.5</v>
      </c>
      <c r="C74" s="16">
        <v>9.6999999999999993</v>
      </c>
      <c r="D74" s="16">
        <f t="shared" si="1"/>
        <v>10.8</v>
      </c>
    </row>
    <row r="75" spans="1:4" x14ac:dyDescent="0.25">
      <c r="A75" s="22">
        <v>1968</v>
      </c>
      <c r="B75" s="16">
        <v>20.2</v>
      </c>
      <c r="C75" s="16">
        <v>9.6999999999999993</v>
      </c>
      <c r="D75" s="16">
        <f t="shared" si="1"/>
        <v>10.5</v>
      </c>
    </row>
    <row r="76" spans="1:4" x14ac:dyDescent="0.25">
      <c r="A76" s="22">
        <v>1969</v>
      </c>
      <c r="B76" s="16">
        <v>20.100000000000001</v>
      </c>
      <c r="C76" s="16">
        <v>9.6999999999999993</v>
      </c>
      <c r="D76" s="16">
        <f t="shared" si="1"/>
        <v>10.400000000000002</v>
      </c>
    </row>
    <row r="77" spans="1:4" x14ac:dyDescent="0.25">
      <c r="A77" s="22">
        <v>1970</v>
      </c>
      <c r="B77" s="16">
        <v>20.100000000000001</v>
      </c>
      <c r="C77" s="16">
        <v>9.8000000000000007</v>
      </c>
      <c r="D77" s="16">
        <f t="shared" si="1"/>
        <v>10.3</v>
      </c>
    </row>
    <row r="78" spans="1:4" x14ac:dyDescent="0.25">
      <c r="A78" s="22">
        <v>1971</v>
      </c>
      <c r="B78" s="16">
        <v>20</v>
      </c>
      <c r="C78" s="16">
        <v>9.8000000000000007</v>
      </c>
      <c r="D78" s="16">
        <f t="shared" si="1"/>
        <v>10.199999999999999</v>
      </c>
    </row>
    <row r="79" spans="1:4" x14ac:dyDescent="0.25">
      <c r="A79" s="22">
        <v>1972</v>
      </c>
      <c r="B79" s="16">
        <v>20</v>
      </c>
      <c r="C79" s="16">
        <v>9.8000000000000007</v>
      </c>
      <c r="D79" s="16">
        <f t="shared" si="1"/>
        <v>10.199999999999999</v>
      </c>
    </row>
    <row r="80" spans="1:4" x14ac:dyDescent="0.25">
      <c r="A80" s="22">
        <v>1973</v>
      </c>
      <c r="B80" s="16">
        <v>20.399999999999999</v>
      </c>
      <c r="C80" s="16">
        <v>9.8000000000000007</v>
      </c>
      <c r="D80" s="16">
        <f t="shared" si="1"/>
        <v>10.599999999999998</v>
      </c>
    </row>
    <row r="81" spans="1:4" x14ac:dyDescent="0.25">
      <c r="A81" s="22">
        <v>1974</v>
      </c>
      <c r="B81" s="16">
        <v>21.1</v>
      </c>
      <c r="C81" s="16">
        <v>9.9</v>
      </c>
      <c r="D81" s="16">
        <f t="shared" si="1"/>
        <v>11.200000000000001</v>
      </c>
    </row>
    <row r="82" spans="1:4" x14ac:dyDescent="0.25">
      <c r="A82" s="22">
        <v>1975</v>
      </c>
      <c r="B82" s="16">
        <v>21.5</v>
      </c>
      <c r="C82" s="16">
        <v>9.9</v>
      </c>
      <c r="D82" s="16">
        <f t="shared" si="1"/>
        <v>11.6</v>
      </c>
    </row>
    <row r="83" spans="1:4" x14ac:dyDescent="0.25">
      <c r="A83" s="22">
        <v>1976</v>
      </c>
      <c r="B83" s="16">
        <v>21.4</v>
      </c>
      <c r="C83" s="16">
        <v>9.9</v>
      </c>
      <c r="D83" s="16">
        <f t="shared" si="1"/>
        <v>11.499999999999998</v>
      </c>
    </row>
    <row r="84" spans="1:4" x14ac:dyDescent="0.25">
      <c r="A84" s="22">
        <v>1977</v>
      </c>
      <c r="B84" s="16">
        <v>20.6</v>
      </c>
      <c r="C84" s="16">
        <v>9.9</v>
      </c>
      <c r="D84" s="16">
        <f t="shared" si="1"/>
        <v>10.700000000000001</v>
      </c>
    </row>
    <row r="85" spans="1:4" x14ac:dyDescent="0.25">
      <c r="A85" s="22">
        <v>1978</v>
      </c>
      <c r="B85" s="16">
        <v>20.100000000000001</v>
      </c>
      <c r="C85" s="16">
        <v>9.9</v>
      </c>
      <c r="D85" s="16">
        <f t="shared" si="1"/>
        <v>10.200000000000001</v>
      </c>
    </row>
    <row r="86" spans="1:4" x14ac:dyDescent="0.25">
      <c r="A86" s="22">
        <v>1979</v>
      </c>
      <c r="B86" s="16">
        <v>19.3</v>
      </c>
      <c r="C86" s="16">
        <v>10</v>
      </c>
      <c r="D86" s="16">
        <f t="shared" si="1"/>
        <v>9.3000000000000007</v>
      </c>
    </row>
    <row r="87" spans="1:4" x14ac:dyDescent="0.25">
      <c r="A87" s="22">
        <v>1980</v>
      </c>
      <c r="B87" s="16">
        <v>18.5</v>
      </c>
      <c r="C87" s="16">
        <v>9.9</v>
      </c>
      <c r="D87" s="16">
        <f t="shared" si="1"/>
        <v>8.6</v>
      </c>
    </row>
    <row r="88" spans="1:4" x14ac:dyDescent="0.25">
      <c r="A88" s="22">
        <v>1981</v>
      </c>
      <c r="B88" s="16">
        <v>18.2</v>
      </c>
      <c r="C88" s="16">
        <v>9.6999999999999993</v>
      </c>
      <c r="D88" s="16">
        <f t="shared" si="1"/>
        <v>8.5</v>
      </c>
    </row>
    <row r="89" spans="1:4" x14ac:dyDescent="0.25">
      <c r="A89" s="22">
        <v>1982</v>
      </c>
      <c r="B89" s="16">
        <v>18</v>
      </c>
      <c r="C89" s="16">
        <v>9.6</v>
      </c>
      <c r="D89" s="16">
        <f t="shared" si="1"/>
        <v>8.4</v>
      </c>
    </row>
    <row r="90" spans="1:4" x14ac:dyDescent="0.25">
      <c r="A90" s="22">
        <v>1983</v>
      </c>
      <c r="B90" s="16">
        <v>17.899999999999999</v>
      </c>
      <c r="C90" s="16">
        <v>9.8000000000000007</v>
      </c>
      <c r="D90" s="16">
        <f t="shared" si="1"/>
        <v>8.0999999999999979</v>
      </c>
    </row>
    <row r="91" spans="1:4" x14ac:dyDescent="0.25">
      <c r="A91" s="22">
        <v>1984</v>
      </c>
      <c r="B91" s="16">
        <v>17.8</v>
      </c>
      <c r="C91" s="16">
        <v>9.9</v>
      </c>
      <c r="D91" s="16">
        <f t="shared" si="1"/>
        <v>7.9</v>
      </c>
    </row>
    <row r="92" spans="1:4" x14ac:dyDescent="0.25">
      <c r="A92" s="22">
        <v>1985</v>
      </c>
      <c r="B92" s="16">
        <v>17.8</v>
      </c>
      <c r="C92" s="16">
        <v>9.8000000000000007</v>
      </c>
      <c r="D92" s="16">
        <f t="shared" si="1"/>
        <v>8</v>
      </c>
    </row>
    <row r="93" spans="1:4" x14ac:dyDescent="0.25">
      <c r="A93" s="22">
        <v>1986</v>
      </c>
      <c r="B93" s="16">
        <v>17.8</v>
      </c>
      <c r="C93" s="16">
        <v>9.6999999999999993</v>
      </c>
      <c r="D93" s="16">
        <f t="shared" si="1"/>
        <v>8.1000000000000014</v>
      </c>
    </row>
    <row r="94" spans="1:4" x14ac:dyDescent="0.25">
      <c r="A94" s="22">
        <v>1987</v>
      </c>
      <c r="B94" s="16">
        <v>17.899999999999999</v>
      </c>
      <c r="C94" s="16">
        <v>9.9</v>
      </c>
      <c r="D94" s="16">
        <f t="shared" si="1"/>
        <v>7.9999999999999982</v>
      </c>
    </row>
    <row r="95" spans="1:4" x14ac:dyDescent="0.25">
      <c r="A95" s="22">
        <v>1988</v>
      </c>
      <c r="B95" s="16">
        <v>18.100000000000001</v>
      </c>
      <c r="C95" s="16">
        <v>9.9</v>
      </c>
      <c r="D95" s="16">
        <f t="shared" si="1"/>
        <v>8.2000000000000011</v>
      </c>
    </row>
    <row r="96" spans="1:4" x14ac:dyDescent="0.25">
      <c r="A96" s="22">
        <v>1989</v>
      </c>
      <c r="B96" s="16">
        <v>18.100000000000001</v>
      </c>
      <c r="C96" s="16">
        <v>9.9</v>
      </c>
      <c r="D96" s="16">
        <f t="shared" si="1"/>
        <v>8.2000000000000011</v>
      </c>
    </row>
    <row r="97" spans="1:4" x14ac:dyDescent="0.25">
      <c r="A97" s="22">
        <v>1990</v>
      </c>
      <c r="B97" s="16">
        <v>17.899999999999999</v>
      </c>
      <c r="C97" s="16">
        <v>9.6999999999999993</v>
      </c>
      <c r="D97" s="16">
        <f t="shared" si="1"/>
        <v>8.1999999999999993</v>
      </c>
    </row>
    <row r="98" spans="1:4" x14ac:dyDescent="0.25">
      <c r="A98" s="22">
        <v>1991</v>
      </c>
      <c r="B98" s="16">
        <v>17.8</v>
      </c>
      <c r="C98" s="16">
        <v>9.6999999999999993</v>
      </c>
      <c r="D98" s="16">
        <f t="shared" si="1"/>
        <v>8.1000000000000014</v>
      </c>
    </row>
    <row r="99" spans="1:4" x14ac:dyDescent="0.25">
      <c r="A99" s="22">
        <v>1992</v>
      </c>
      <c r="B99" s="16">
        <v>17.7</v>
      </c>
      <c r="C99" s="16">
        <v>9.8000000000000007</v>
      </c>
      <c r="D99" s="16">
        <f t="shared" si="1"/>
        <v>7.8999999999999986</v>
      </c>
    </row>
    <row r="100" spans="1:4" x14ac:dyDescent="0.25">
      <c r="A100" s="22">
        <v>1993</v>
      </c>
      <c r="B100" s="16">
        <v>17.600000000000001</v>
      </c>
      <c r="C100" s="16">
        <v>9.9</v>
      </c>
      <c r="D100" s="16">
        <f t="shared" si="1"/>
        <v>7.7000000000000011</v>
      </c>
    </row>
    <row r="101" spans="1:4" x14ac:dyDescent="0.25">
      <c r="A101" s="22">
        <v>1994</v>
      </c>
      <c r="B101" s="16">
        <v>17.7</v>
      </c>
      <c r="C101" s="16">
        <v>10</v>
      </c>
      <c r="D101" s="16">
        <f t="shared" si="1"/>
        <v>7.6999999999999993</v>
      </c>
    </row>
    <row r="102" spans="1:4" x14ac:dyDescent="0.25">
      <c r="A102" s="22">
        <v>1995</v>
      </c>
      <c r="B102" s="16">
        <v>17.600000000000001</v>
      </c>
      <c r="C102" s="16">
        <v>9.8000000000000007</v>
      </c>
      <c r="D102" s="16">
        <f t="shared" si="1"/>
        <v>7.8000000000000007</v>
      </c>
    </row>
    <row r="103" spans="1:4" x14ac:dyDescent="0.25">
      <c r="A103" s="22">
        <v>1996</v>
      </c>
      <c r="B103" s="16">
        <v>17.3</v>
      </c>
      <c r="C103" s="16">
        <v>9.6</v>
      </c>
      <c r="D103" s="16">
        <f t="shared" si="1"/>
        <v>7.7000000000000011</v>
      </c>
    </row>
    <row r="104" spans="1:4" x14ac:dyDescent="0.25">
      <c r="A104" s="22">
        <v>1997</v>
      </c>
      <c r="B104" s="16">
        <v>17</v>
      </c>
      <c r="C104" s="16">
        <v>9.6999999999999993</v>
      </c>
      <c r="D104" s="16">
        <f t="shared" si="1"/>
        <v>7.3000000000000007</v>
      </c>
    </row>
    <row r="105" spans="1:4" x14ac:dyDescent="0.25">
      <c r="A105" s="22">
        <v>1998</v>
      </c>
      <c r="B105" s="16">
        <v>16.600000000000001</v>
      </c>
      <c r="C105" s="16">
        <v>9.6999999999999993</v>
      </c>
      <c r="D105" s="16">
        <f t="shared" si="1"/>
        <v>6.9000000000000021</v>
      </c>
    </row>
    <row r="106" spans="1:4" x14ac:dyDescent="0.25">
      <c r="A106" s="22">
        <v>1999</v>
      </c>
      <c r="B106" s="16">
        <v>16.399999999999999</v>
      </c>
      <c r="C106" s="16">
        <v>9.6999999999999993</v>
      </c>
      <c r="D106" s="16">
        <f t="shared" si="1"/>
        <v>6.6999999999999993</v>
      </c>
    </row>
    <row r="107" spans="1:4" x14ac:dyDescent="0.25">
      <c r="A107" s="22">
        <v>2000</v>
      </c>
      <c r="B107" s="16">
        <v>16</v>
      </c>
      <c r="C107" s="16">
        <v>9.5</v>
      </c>
      <c r="D107" s="16">
        <f t="shared" si="1"/>
        <v>6.5</v>
      </c>
    </row>
    <row r="108" spans="1:4" x14ac:dyDescent="0.25">
      <c r="A108" s="22">
        <v>2001</v>
      </c>
      <c r="B108" s="16">
        <v>15.7</v>
      </c>
      <c r="C108" s="16">
        <v>9.4</v>
      </c>
      <c r="D108" s="16">
        <f t="shared" si="1"/>
        <v>6.2999999999999989</v>
      </c>
    </row>
    <row r="109" spans="1:4" x14ac:dyDescent="0.25">
      <c r="A109" s="22">
        <v>2002</v>
      </c>
      <c r="B109" s="16">
        <v>15.6</v>
      </c>
      <c r="C109" s="16">
        <v>9.5</v>
      </c>
      <c r="D109" s="16">
        <f t="shared" si="1"/>
        <v>6.1</v>
      </c>
    </row>
    <row r="110" spans="1:4" x14ac:dyDescent="0.25">
      <c r="A110" s="22">
        <v>2003</v>
      </c>
      <c r="B110" s="16">
        <v>15.3</v>
      </c>
      <c r="C110" s="16">
        <v>9.6</v>
      </c>
      <c r="D110" s="16">
        <f t="shared" si="1"/>
        <v>5.7000000000000011</v>
      </c>
    </row>
    <row r="111" spans="1:4" x14ac:dyDescent="0.25">
      <c r="A111" s="22">
        <v>2004</v>
      </c>
      <c r="B111" s="16">
        <v>15.1</v>
      </c>
      <c r="C111" s="16">
        <v>9.6</v>
      </c>
      <c r="D111" s="16">
        <f t="shared" si="1"/>
        <v>5.5</v>
      </c>
    </row>
    <row r="112" spans="1:4" x14ac:dyDescent="0.25">
      <c r="A112" s="22">
        <v>2005</v>
      </c>
      <c r="B112" s="16">
        <v>15.1</v>
      </c>
      <c r="C112" s="16">
        <v>9.3000000000000007</v>
      </c>
      <c r="D112" s="16">
        <f t="shared" si="1"/>
        <v>5.7999999999999989</v>
      </c>
    </row>
    <row r="113" spans="1:4" x14ac:dyDescent="0.25">
      <c r="A113" s="22">
        <v>2006</v>
      </c>
      <c r="B113" s="16">
        <v>14.8</v>
      </c>
      <c r="C113" s="16">
        <v>9.4</v>
      </c>
      <c r="D113" s="16">
        <f t="shared" si="1"/>
        <v>5.4</v>
      </c>
    </row>
    <row r="114" spans="1:4" x14ac:dyDescent="0.25">
      <c r="A114" s="22">
        <v>2007</v>
      </c>
      <c r="B114" s="16">
        <v>14.6</v>
      </c>
      <c r="C114" s="16">
        <v>9.3000000000000007</v>
      </c>
      <c r="D114" s="16">
        <f t="shared" si="1"/>
        <v>5.2999999999999989</v>
      </c>
    </row>
    <row r="115" spans="1:4" x14ac:dyDescent="0.25">
      <c r="A115" s="22">
        <v>2008</v>
      </c>
      <c r="B115" s="16">
        <v>14.4</v>
      </c>
      <c r="C115" s="16">
        <v>9.4</v>
      </c>
      <c r="D115" s="16">
        <f t="shared" si="1"/>
        <v>5</v>
      </c>
    </row>
    <row r="116" spans="1:4" x14ac:dyDescent="0.25">
      <c r="A116" s="22">
        <v>2009</v>
      </c>
      <c r="B116" s="16">
        <v>14.3</v>
      </c>
      <c r="C116" s="16">
        <v>9.1999999999999993</v>
      </c>
      <c r="D116" s="16">
        <f t="shared" si="1"/>
        <v>5.1000000000000014</v>
      </c>
    </row>
    <row r="117" spans="1:4" x14ac:dyDescent="0.25">
      <c r="A117" s="22">
        <v>2010</v>
      </c>
      <c r="B117" s="16">
        <v>14.2</v>
      </c>
      <c r="C117" s="16">
        <v>9.4</v>
      </c>
      <c r="D117" s="16">
        <f t="shared" si="1"/>
        <v>4.7999999999999989</v>
      </c>
    </row>
    <row r="118" spans="1:4" x14ac:dyDescent="0.25">
      <c r="A118" s="22">
        <v>2011</v>
      </c>
      <c r="B118" s="16">
        <v>14.1</v>
      </c>
      <c r="C118" s="16">
        <v>9.6</v>
      </c>
      <c r="D118" s="16">
        <f t="shared" si="1"/>
        <v>4.5</v>
      </c>
    </row>
    <row r="119" spans="1:4" x14ac:dyDescent="0.25">
      <c r="A119" s="22">
        <v>2012</v>
      </c>
      <c r="B119" s="16">
        <v>14.2</v>
      </c>
      <c r="C119" s="16">
        <v>9.6</v>
      </c>
      <c r="D119" s="16">
        <f t="shared" si="1"/>
        <v>4.5999999999999996</v>
      </c>
    </row>
    <row r="120" spans="1:4" x14ac:dyDescent="0.25">
      <c r="A120" s="22">
        <v>2013</v>
      </c>
      <c r="B120" s="16">
        <v>14.3</v>
      </c>
      <c r="C120" s="16">
        <v>9.5</v>
      </c>
      <c r="D120" s="16">
        <f t="shared" si="1"/>
        <v>4.8000000000000007</v>
      </c>
    </row>
    <row r="121" spans="1:4" x14ac:dyDescent="0.25">
      <c r="A121" s="22">
        <v>2014</v>
      </c>
      <c r="B121" s="16">
        <v>14.2</v>
      </c>
      <c r="C121" s="16">
        <v>9.4</v>
      </c>
      <c r="D121" s="16">
        <f t="shared" si="1"/>
        <v>4.7999999999999989</v>
      </c>
    </row>
    <row r="122" spans="1:4" x14ac:dyDescent="0.25">
      <c r="A122" s="22">
        <v>2015</v>
      </c>
      <c r="B122" s="16">
        <v>14.3</v>
      </c>
      <c r="C122" s="16">
        <v>9.5</v>
      </c>
      <c r="D122" s="16">
        <f t="shared" si="1"/>
        <v>4.8000000000000007</v>
      </c>
    </row>
    <row r="123" spans="1:4" x14ac:dyDescent="0.25">
      <c r="A123" s="22">
        <v>2016</v>
      </c>
      <c r="B123" s="16">
        <v>13.7</v>
      </c>
      <c r="C123" s="16">
        <v>9.6</v>
      </c>
      <c r="D123" s="16">
        <f t="shared" si="1"/>
        <v>4.0999999999999996</v>
      </c>
    </row>
    <row r="124" spans="1:4" x14ac:dyDescent="0.25">
      <c r="A124" s="22">
        <v>2017</v>
      </c>
      <c r="B124" s="16">
        <v>12.7</v>
      </c>
      <c r="C124" s="16">
        <v>9.5</v>
      </c>
      <c r="D124" s="16">
        <f t="shared" si="1"/>
        <v>3.1999999999999993</v>
      </c>
    </row>
    <row r="125" spans="1:4" x14ac:dyDescent="0.25">
      <c r="A125" s="22">
        <v>2018</v>
      </c>
      <c r="B125" s="16">
        <v>11.7</v>
      </c>
      <c r="C125" s="16">
        <v>9.5</v>
      </c>
      <c r="D125" s="16">
        <f t="shared" si="1"/>
        <v>2.1999999999999993</v>
      </c>
    </row>
    <row r="126" spans="1:4" x14ac:dyDescent="0.25">
      <c r="A126" s="22">
        <v>2019</v>
      </c>
      <c r="B126" s="16">
        <v>10.9</v>
      </c>
      <c r="C126" s="16">
        <v>9.8000000000000007</v>
      </c>
      <c r="D126" s="16">
        <f t="shared" si="1"/>
        <v>1.0999999999999996</v>
      </c>
    </row>
    <row r="127" spans="1:4" x14ac:dyDescent="0.25">
      <c r="A127" s="22">
        <v>2020</v>
      </c>
      <c r="B127" s="16">
        <v>10.4</v>
      </c>
      <c r="C127" s="16">
        <v>9.1999999999999993</v>
      </c>
      <c r="D127" s="16">
        <f t="shared" si="1"/>
        <v>1.2000000000000011</v>
      </c>
    </row>
    <row r="128" spans="1:4" x14ac:dyDescent="0.25">
      <c r="A128" s="22">
        <v>2021</v>
      </c>
      <c r="B128" s="16">
        <v>10.1</v>
      </c>
      <c r="C128" s="16">
        <v>11.7</v>
      </c>
      <c r="D128" s="16">
        <f t="shared" si="1"/>
        <v>-1.5999999999999996</v>
      </c>
    </row>
    <row r="129" spans="1:4" x14ac:dyDescent="0.25">
      <c r="A129" s="22">
        <v>2022</v>
      </c>
      <c r="B129" s="16">
        <v>10</v>
      </c>
      <c r="C129" s="16">
        <v>10.8</v>
      </c>
      <c r="D129" s="16">
        <f t="shared" si="1"/>
        <v>-0.80000000000000071</v>
      </c>
    </row>
    <row r="130" spans="1:4" x14ac:dyDescent="0.25">
      <c r="A130" s="22">
        <v>2023</v>
      </c>
      <c r="B130" s="16">
        <v>9.9</v>
      </c>
      <c r="C130" s="16">
        <v>9.8000000000000007</v>
      </c>
      <c r="D130" s="16">
        <f t="shared" si="1"/>
        <v>9.9999999999999645E-2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27" t="s">
        <v>73</v>
      </c>
      <c r="B1" s="27" t="s">
        <v>89</v>
      </c>
      <c r="C1" s="27" t="s">
        <v>90</v>
      </c>
      <c r="D1" s="27" t="s">
        <v>88</v>
      </c>
    </row>
    <row r="2" spans="1:4" x14ac:dyDescent="0.25">
      <c r="A2">
        <v>1882</v>
      </c>
      <c r="B2" s="16">
        <v>43</v>
      </c>
      <c r="C2" s="16">
        <v>18.100000000000001</v>
      </c>
      <c r="D2" s="16">
        <f>B2-C2</f>
        <v>24.9</v>
      </c>
    </row>
    <row r="3" spans="1:4" x14ac:dyDescent="0.25">
      <c r="A3">
        <v>1883</v>
      </c>
      <c r="B3" s="16">
        <v>42.6</v>
      </c>
      <c r="C3" s="16">
        <v>16.3</v>
      </c>
      <c r="D3" s="16">
        <f t="shared" ref="D3:D66" si="0">B3-C3</f>
        <v>26.3</v>
      </c>
    </row>
    <row r="4" spans="1:4" x14ac:dyDescent="0.25">
      <c r="A4">
        <v>1884</v>
      </c>
      <c r="B4" s="16">
        <v>38.9</v>
      </c>
      <c r="C4" s="16">
        <v>17.3</v>
      </c>
      <c r="D4" s="16">
        <f t="shared" si="0"/>
        <v>21.599999999999998</v>
      </c>
    </row>
    <row r="5" spans="1:4" x14ac:dyDescent="0.25">
      <c r="A5">
        <v>1885</v>
      </c>
      <c r="B5" s="16">
        <v>40.700000000000003</v>
      </c>
      <c r="C5" s="16">
        <v>16.7</v>
      </c>
      <c r="D5" s="16">
        <f t="shared" si="0"/>
        <v>24.000000000000004</v>
      </c>
    </row>
    <row r="6" spans="1:4" x14ac:dyDescent="0.25">
      <c r="A6">
        <v>1886</v>
      </c>
      <c r="B6" s="16">
        <v>41.5</v>
      </c>
      <c r="C6" s="16">
        <v>18.3</v>
      </c>
      <c r="D6" s="16">
        <f t="shared" si="0"/>
        <v>23.2</v>
      </c>
    </row>
    <row r="7" spans="1:4" x14ac:dyDescent="0.25">
      <c r="A7">
        <v>1887</v>
      </c>
      <c r="B7" s="16">
        <v>42.1</v>
      </c>
      <c r="C7" s="16">
        <v>20.2</v>
      </c>
      <c r="D7" s="16">
        <f t="shared" si="0"/>
        <v>21.900000000000002</v>
      </c>
    </row>
    <row r="8" spans="1:4" x14ac:dyDescent="0.25">
      <c r="A8">
        <v>1888</v>
      </c>
      <c r="B8" s="16">
        <f>AVERAGE(B7, B9)</f>
        <v>41.85</v>
      </c>
      <c r="C8" s="16">
        <f>AVERAGE(C7, C9)</f>
        <v>19.649999999999999</v>
      </c>
      <c r="D8" s="16">
        <f t="shared" si="0"/>
        <v>22.200000000000003</v>
      </c>
    </row>
    <row r="9" spans="1:4" x14ac:dyDescent="0.25">
      <c r="A9">
        <v>1889</v>
      </c>
      <c r="B9" s="16">
        <v>41.6</v>
      </c>
      <c r="C9" s="16">
        <v>19.100000000000001</v>
      </c>
      <c r="D9" s="16">
        <f t="shared" si="0"/>
        <v>22.5</v>
      </c>
    </row>
    <row r="10" spans="1:4" x14ac:dyDescent="0.25">
      <c r="A10">
        <v>1890</v>
      </c>
      <c r="B10" s="16">
        <v>40.700000000000003</v>
      </c>
      <c r="C10" s="16">
        <v>21.2</v>
      </c>
      <c r="D10" s="16">
        <f t="shared" si="0"/>
        <v>19.500000000000004</v>
      </c>
    </row>
    <row r="11" spans="1:4" x14ac:dyDescent="0.25">
      <c r="A11">
        <v>1891</v>
      </c>
      <c r="B11" s="16">
        <v>40.6</v>
      </c>
      <c r="C11" s="16">
        <v>17.100000000000001</v>
      </c>
      <c r="D11" s="16">
        <f t="shared" si="0"/>
        <v>23.5</v>
      </c>
    </row>
    <row r="12" spans="1:4" x14ac:dyDescent="0.25">
      <c r="A12">
        <v>1892</v>
      </c>
      <c r="B12" s="16">
        <v>39.6</v>
      </c>
      <c r="C12" s="16">
        <v>17</v>
      </c>
      <c r="D12" s="16">
        <f t="shared" si="0"/>
        <v>22.6</v>
      </c>
    </row>
    <row r="13" spans="1:4" x14ac:dyDescent="0.25">
      <c r="A13">
        <v>1893</v>
      </c>
      <c r="B13" s="16">
        <v>37.6</v>
      </c>
      <c r="C13" s="16">
        <v>17.2</v>
      </c>
      <c r="D13" s="16">
        <f t="shared" si="0"/>
        <v>20.400000000000002</v>
      </c>
    </row>
    <row r="14" spans="1:4" x14ac:dyDescent="0.25">
      <c r="A14">
        <v>1894</v>
      </c>
      <c r="B14" s="16">
        <v>38.1</v>
      </c>
      <c r="C14" s="16">
        <v>18.5</v>
      </c>
      <c r="D14" s="16">
        <f t="shared" si="0"/>
        <v>19.600000000000001</v>
      </c>
    </row>
    <row r="15" spans="1:4" x14ac:dyDescent="0.25">
      <c r="A15">
        <v>1895</v>
      </c>
      <c r="B15" s="16">
        <v>39.200000000000003</v>
      </c>
      <c r="C15" s="16">
        <v>15.6</v>
      </c>
      <c r="D15" s="16">
        <f t="shared" si="0"/>
        <v>23.6</v>
      </c>
    </row>
    <row r="16" spans="1:4" x14ac:dyDescent="0.25">
      <c r="A16">
        <v>1896</v>
      </c>
      <c r="B16" s="16">
        <v>37.799999999999997</v>
      </c>
      <c r="C16" s="16">
        <v>15.6</v>
      </c>
      <c r="D16" s="16">
        <f t="shared" si="0"/>
        <v>22.199999999999996</v>
      </c>
    </row>
    <row r="17" spans="1:4" x14ac:dyDescent="0.25">
      <c r="A17">
        <v>1897</v>
      </c>
      <c r="B17" s="16">
        <v>32.1</v>
      </c>
      <c r="C17" s="16">
        <v>14.5</v>
      </c>
      <c r="D17" s="16">
        <f t="shared" si="0"/>
        <v>17.600000000000001</v>
      </c>
    </row>
    <row r="18" spans="1:4" x14ac:dyDescent="0.25">
      <c r="A18">
        <v>1898</v>
      </c>
      <c r="B18" s="16">
        <v>33.6</v>
      </c>
      <c r="C18" s="16">
        <v>14.4</v>
      </c>
      <c r="D18" s="16">
        <f t="shared" si="0"/>
        <v>19.200000000000003</v>
      </c>
    </row>
    <row r="19" spans="1:4" x14ac:dyDescent="0.25">
      <c r="A19">
        <v>1899</v>
      </c>
      <c r="B19" s="16">
        <v>34.299999999999997</v>
      </c>
      <c r="C19" s="16">
        <v>12.8</v>
      </c>
      <c r="D19" s="16">
        <f t="shared" si="0"/>
        <v>21.499999999999996</v>
      </c>
    </row>
    <row r="20" spans="1:4" x14ac:dyDescent="0.25">
      <c r="A20">
        <v>1900</v>
      </c>
      <c r="B20" s="16">
        <v>32.6</v>
      </c>
      <c r="C20" s="16">
        <v>13.7</v>
      </c>
      <c r="D20" s="16">
        <f t="shared" si="0"/>
        <v>18.900000000000002</v>
      </c>
    </row>
    <row r="21" spans="1:4" x14ac:dyDescent="0.25">
      <c r="A21">
        <v>1901</v>
      </c>
      <c r="B21" s="16">
        <v>32.799999999999997</v>
      </c>
      <c r="C21" s="16">
        <v>12.9</v>
      </c>
      <c r="D21" s="16">
        <f t="shared" si="0"/>
        <v>19.899999999999999</v>
      </c>
    </row>
    <row r="22" spans="1:4" x14ac:dyDescent="0.25">
      <c r="A22">
        <v>1902</v>
      </c>
      <c r="B22" s="16">
        <v>31.8</v>
      </c>
      <c r="C22" s="16">
        <v>13.6</v>
      </c>
      <c r="D22" s="16">
        <f t="shared" si="0"/>
        <v>18.200000000000003</v>
      </c>
    </row>
    <row r="23" spans="1:4" x14ac:dyDescent="0.25">
      <c r="A23">
        <v>1903</v>
      </c>
      <c r="B23" s="16">
        <v>32</v>
      </c>
      <c r="C23" s="16">
        <v>13.4</v>
      </c>
      <c r="D23" s="16">
        <f t="shared" si="0"/>
        <v>18.600000000000001</v>
      </c>
    </row>
    <row r="24" spans="1:4" x14ac:dyDescent="0.25">
      <c r="A24">
        <v>1904</v>
      </c>
      <c r="B24" s="16">
        <v>26</v>
      </c>
      <c r="C24" s="16">
        <v>11.1</v>
      </c>
      <c r="D24" s="16">
        <f t="shared" si="0"/>
        <v>14.9</v>
      </c>
    </row>
    <row r="25" spans="1:4" x14ac:dyDescent="0.25">
      <c r="A25">
        <v>1905</v>
      </c>
      <c r="B25" s="16">
        <v>31.5</v>
      </c>
      <c r="C25" s="16">
        <v>12.7</v>
      </c>
      <c r="D25" s="16">
        <f t="shared" si="0"/>
        <v>18.8</v>
      </c>
    </row>
    <row r="26" spans="1:4" x14ac:dyDescent="0.25">
      <c r="A26">
        <v>1906</v>
      </c>
      <c r="B26" s="16">
        <v>29.5</v>
      </c>
      <c r="C26" s="16">
        <v>13.7</v>
      </c>
      <c r="D26" s="16">
        <f t="shared" si="0"/>
        <v>15.8</v>
      </c>
    </row>
    <row r="27" spans="1:4" x14ac:dyDescent="0.25">
      <c r="A27">
        <v>1907</v>
      </c>
      <c r="B27" s="16">
        <v>30.5</v>
      </c>
      <c r="C27" s="16">
        <v>14.1</v>
      </c>
      <c r="D27" s="16">
        <f t="shared" si="0"/>
        <v>16.399999999999999</v>
      </c>
    </row>
    <row r="28" spans="1:4" x14ac:dyDescent="0.25">
      <c r="A28">
        <v>1908</v>
      </c>
      <c r="B28" s="16">
        <v>33.6</v>
      </c>
      <c r="C28" s="16">
        <v>13.6</v>
      </c>
      <c r="D28" s="16">
        <f t="shared" si="0"/>
        <v>20</v>
      </c>
    </row>
    <row r="29" spans="1:4" x14ac:dyDescent="0.25">
      <c r="A29">
        <v>1909</v>
      </c>
      <c r="B29" s="16">
        <v>32.5</v>
      </c>
      <c r="C29" s="16">
        <v>13.9</v>
      </c>
      <c r="D29" s="16">
        <f t="shared" si="0"/>
        <v>18.600000000000001</v>
      </c>
    </row>
    <row r="30" spans="1:4" x14ac:dyDescent="0.25">
      <c r="A30">
        <v>1910</v>
      </c>
      <c r="B30" s="16">
        <v>31.7</v>
      </c>
      <c r="C30" s="16">
        <v>14.5</v>
      </c>
      <c r="D30" s="16">
        <f t="shared" si="0"/>
        <v>17.2</v>
      </c>
    </row>
    <row r="31" spans="1:4" x14ac:dyDescent="0.25">
      <c r="A31">
        <v>1911</v>
      </c>
      <c r="B31" s="16">
        <v>31.8</v>
      </c>
      <c r="C31" s="16">
        <v>14</v>
      </c>
      <c r="D31" s="16">
        <f t="shared" si="0"/>
        <v>17.8</v>
      </c>
    </row>
    <row r="32" spans="1:4" x14ac:dyDescent="0.25">
      <c r="A32">
        <v>1912</v>
      </c>
      <c r="B32" s="16">
        <v>31.9</v>
      </c>
      <c r="C32" s="16">
        <v>13.6</v>
      </c>
      <c r="D32" s="16">
        <f t="shared" si="0"/>
        <v>18.299999999999997</v>
      </c>
    </row>
    <row r="33" spans="1:4" x14ac:dyDescent="0.25">
      <c r="A33">
        <v>1913</v>
      </c>
      <c r="B33" s="16">
        <v>32.200000000000003</v>
      </c>
      <c r="C33" s="16">
        <v>12.3</v>
      </c>
      <c r="D33" s="16">
        <f t="shared" si="0"/>
        <v>19.900000000000002</v>
      </c>
    </row>
    <row r="34" spans="1:4" x14ac:dyDescent="0.25">
      <c r="A34">
        <v>1914</v>
      </c>
      <c r="B34" s="16">
        <v>29.7</v>
      </c>
      <c r="C34" s="16">
        <v>11.8</v>
      </c>
      <c r="D34" s="16">
        <f t="shared" si="0"/>
        <v>17.899999999999999</v>
      </c>
    </row>
    <row r="35" spans="1:4" x14ac:dyDescent="0.25">
      <c r="A35">
        <v>1915</v>
      </c>
      <c r="B35" s="16">
        <v>28.6</v>
      </c>
      <c r="C35" s="16">
        <v>12.8</v>
      </c>
      <c r="D35" s="16">
        <f t="shared" si="0"/>
        <v>15.8</v>
      </c>
    </row>
    <row r="36" spans="1:4" x14ac:dyDescent="0.25">
      <c r="A36">
        <v>1916</v>
      </c>
      <c r="B36" s="16">
        <v>27.1</v>
      </c>
      <c r="C36" s="16">
        <v>14.9</v>
      </c>
      <c r="D36" s="16">
        <f t="shared" si="0"/>
        <v>12.200000000000001</v>
      </c>
    </row>
    <row r="37" spans="1:4" x14ac:dyDescent="0.25">
      <c r="A37">
        <v>1917</v>
      </c>
      <c r="B37" s="16">
        <v>26.4</v>
      </c>
      <c r="C37" s="16">
        <v>12.5</v>
      </c>
      <c r="D37" s="16">
        <f t="shared" si="0"/>
        <v>13.899999999999999</v>
      </c>
    </row>
    <row r="38" spans="1:4" x14ac:dyDescent="0.25">
      <c r="A38">
        <v>1918</v>
      </c>
      <c r="B38" s="16">
        <v>27.4</v>
      </c>
      <c r="C38" s="16">
        <v>14.1</v>
      </c>
      <c r="D38" s="16">
        <f t="shared" si="0"/>
        <v>13.299999999999999</v>
      </c>
    </row>
    <row r="39" spans="1:4" x14ac:dyDescent="0.25">
      <c r="A39">
        <v>1919</v>
      </c>
      <c r="B39" s="16">
        <v>27.2</v>
      </c>
      <c r="C39" s="16">
        <v>13.1</v>
      </c>
      <c r="D39" s="16">
        <f t="shared" si="0"/>
        <v>14.1</v>
      </c>
    </row>
    <row r="40" spans="1:4" x14ac:dyDescent="0.25">
      <c r="A40">
        <v>1920</v>
      </c>
      <c r="B40" s="16">
        <v>26.6</v>
      </c>
      <c r="C40" s="16">
        <v>12.9</v>
      </c>
      <c r="D40" s="16">
        <f t="shared" si="0"/>
        <v>13.700000000000001</v>
      </c>
    </row>
    <row r="41" spans="1:4" x14ac:dyDescent="0.25">
      <c r="A41">
        <v>1921</v>
      </c>
      <c r="B41" s="16">
        <v>26.2</v>
      </c>
      <c r="C41" s="16">
        <v>12.2</v>
      </c>
      <c r="D41" s="16">
        <f t="shared" si="0"/>
        <v>14</v>
      </c>
    </row>
    <row r="42" spans="1:4" x14ac:dyDescent="0.25">
      <c r="A42">
        <v>1922</v>
      </c>
      <c r="B42" s="16">
        <v>26</v>
      </c>
      <c r="C42" s="16">
        <v>10.6</v>
      </c>
      <c r="D42" s="16">
        <f t="shared" si="0"/>
        <v>15.4</v>
      </c>
    </row>
    <row r="43" spans="1:4" x14ac:dyDescent="0.25">
      <c r="A43">
        <v>1923</v>
      </c>
      <c r="B43" s="16">
        <v>25.4</v>
      </c>
      <c r="C43" s="16">
        <v>11.4</v>
      </c>
      <c r="D43" s="16">
        <f t="shared" si="0"/>
        <v>13.999999999999998</v>
      </c>
    </row>
    <row r="44" spans="1:4" x14ac:dyDescent="0.25">
      <c r="A44">
        <v>1924</v>
      </c>
      <c r="B44" s="16">
        <v>25.8</v>
      </c>
      <c r="C44" s="16">
        <v>11.8</v>
      </c>
      <c r="D44" s="16">
        <f t="shared" si="0"/>
        <v>14</v>
      </c>
    </row>
    <row r="45" spans="1:4" x14ac:dyDescent="0.25">
      <c r="A45">
        <v>1925</v>
      </c>
      <c r="B45" s="16">
        <v>25.1</v>
      </c>
      <c r="C45" s="16">
        <v>11.5</v>
      </c>
      <c r="D45" s="16">
        <f t="shared" si="0"/>
        <v>13.600000000000001</v>
      </c>
    </row>
    <row r="46" spans="1:4" x14ac:dyDescent="0.25">
      <c r="A46">
        <v>1926</v>
      </c>
      <c r="B46" s="16">
        <v>25.4</v>
      </c>
      <c r="C46" s="16">
        <v>10.5</v>
      </c>
      <c r="D46" s="16">
        <f t="shared" si="0"/>
        <v>14.899999999999999</v>
      </c>
    </row>
    <row r="47" spans="1:4" x14ac:dyDescent="0.25">
      <c r="A47">
        <v>1927</v>
      </c>
      <c r="B47" s="16">
        <v>24.6</v>
      </c>
      <c r="C47" s="16">
        <v>11.5</v>
      </c>
      <c r="D47" s="16">
        <f t="shared" si="0"/>
        <v>13.100000000000001</v>
      </c>
    </row>
    <row r="48" spans="1:4" x14ac:dyDescent="0.25">
      <c r="A48">
        <v>1928</v>
      </c>
      <c r="B48" s="16">
        <v>25</v>
      </c>
      <c r="C48" s="16">
        <v>10.7</v>
      </c>
      <c r="D48" s="16">
        <f t="shared" si="0"/>
        <v>14.3</v>
      </c>
    </row>
    <row r="49" spans="1:4" x14ac:dyDescent="0.25">
      <c r="A49">
        <v>1929</v>
      </c>
      <c r="B49" s="16">
        <v>24.2</v>
      </c>
      <c r="C49" s="16">
        <v>10.8</v>
      </c>
      <c r="D49" s="16">
        <f t="shared" si="0"/>
        <v>13.399999999999999</v>
      </c>
    </row>
    <row r="50" spans="1:4" x14ac:dyDescent="0.25">
      <c r="A50">
        <v>1930</v>
      </c>
      <c r="B50" s="16">
        <v>24.4</v>
      </c>
      <c r="C50" s="16">
        <v>10.7</v>
      </c>
      <c r="D50" s="16">
        <f t="shared" si="0"/>
        <v>13.7</v>
      </c>
    </row>
    <row r="51" spans="1:4" x14ac:dyDescent="0.25">
      <c r="A51">
        <v>1931</v>
      </c>
      <c r="B51" s="16">
        <v>23.3</v>
      </c>
      <c r="C51" s="16">
        <v>11</v>
      </c>
      <c r="D51" s="16">
        <f t="shared" si="0"/>
        <v>12.3</v>
      </c>
    </row>
    <row r="52" spans="1:4" x14ac:dyDescent="0.25">
      <c r="A52">
        <v>1932</v>
      </c>
      <c r="B52" s="16">
        <v>22.5</v>
      </c>
      <c r="C52" s="16">
        <v>10.1</v>
      </c>
      <c r="D52" s="16">
        <f t="shared" si="0"/>
        <v>12.4</v>
      </c>
    </row>
    <row r="53" spans="1:4" x14ac:dyDescent="0.25">
      <c r="A53">
        <v>1933</v>
      </c>
      <c r="B53" s="16">
        <v>21</v>
      </c>
      <c r="C53" s="16">
        <v>10.3</v>
      </c>
      <c r="D53" s="16">
        <f t="shared" si="0"/>
        <v>10.7</v>
      </c>
    </row>
    <row r="54" spans="1:4" x14ac:dyDescent="0.25">
      <c r="A54">
        <v>1934</v>
      </c>
      <c r="B54" s="16">
        <v>20.6</v>
      </c>
      <c r="C54" s="16">
        <v>10</v>
      </c>
      <c r="D54" s="16">
        <f t="shared" si="0"/>
        <v>10.600000000000001</v>
      </c>
    </row>
    <row r="55" spans="1:4" x14ac:dyDescent="0.25">
      <c r="A55">
        <v>1935</v>
      </c>
      <c r="B55" s="16">
        <v>20.399999999999999</v>
      </c>
      <c r="C55" s="16">
        <v>10.6</v>
      </c>
      <c r="D55" s="16">
        <f t="shared" si="0"/>
        <v>9.7999999999999989</v>
      </c>
    </row>
    <row r="56" spans="1:4" x14ac:dyDescent="0.25">
      <c r="A56">
        <v>1936</v>
      </c>
      <c r="B56" s="16">
        <v>19.8</v>
      </c>
      <c r="C56" s="16">
        <v>9.6999999999999993</v>
      </c>
      <c r="D56" s="16">
        <f t="shared" si="0"/>
        <v>10.100000000000001</v>
      </c>
    </row>
    <row r="57" spans="1:4" x14ac:dyDescent="0.25">
      <c r="A57">
        <v>1937</v>
      </c>
      <c r="B57" s="16">
        <v>19.899999999999999</v>
      </c>
      <c r="C57" s="16">
        <v>10.4</v>
      </c>
      <c r="D57" s="16">
        <f t="shared" si="0"/>
        <v>9.4999999999999982</v>
      </c>
    </row>
    <row r="58" spans="1:4" x14ac:dyDescent="0.25">
      <c r="A58">
        <v>1938</v>
      </c>
      <c r="B58" s="16">
        <v>19.8</v>
      </c>
      <c r="C58" s="16">
        <v>10.3</v>
      </c>
      <c r="D58" s="16">
        <f t="shared" si="0"/>
        <v>9.5</v>
      </c>
    </row>
    <row r="59" spans="1:4" x14ac:dyDescent="0.25">
      <c r="A59">
        <v>1939</v>
      </c>
      <c r="B59" s="16">
        <v>20.100000000000001</v>
      </c>
      <c r="C59" s="16">
        <v>9.1</v>
      </c>
      <c r="D59" s="16">
        <f t="shared" si="0"/>
        <v>11.000000000000002</v>
      </c>
    </row>
    <row r="60" spans="1:4" x14ac:dyDescent="0.25">
      <c r="A60">
        <v>1940</v>
      </c>
      <c r="B60" s="16">
        <v>19.899999999999999</v>
      </c>
      <c r="C60" s="16">
        <v>9.6</v>
      </c>
      <c r="D60" s="16">
        <f t="shared" si="0"/>
        <v>10.299999999999999</v>
      </c>
    </row>
    <row r="61" spans="1:4" x14ac:dyDescent="0.25">
      <c r="A61">
        <v>1941</v>
      </c>
      <c r="B61" s="16">
        <v>20.399999999999999</v>
      </c>
      <c r="C61" s="16">
        <v>9.4</v>
      </c>
      <c r="D61" s="16">
        <f t="shared" si="0"/>
        <v>10.999999999999998</v>
      </c>
    </row>
    <row r="62" spans="1:4" x14ac:dyDescent="0.25">
      <c r="A62">
        <v>1942</v>
      </c>
      <c r="B62" s="16">
        <v>19.399999999999999</v>
      </c>
      <c r="C62" s="16">
        <v>9.4</v>
      </c>
      <c r="D62" s="16">
        <f t="shared" si="0"/>
        <v>9.9999999999999982</v>
      </c>
    </row>
    <row r="63" spans="1:4" x14ac:dyDescent="0.25">
      <c r="A63">
        <v>1943</v>
      </c>
      <c r="B63" s="16">
        <v>19.600000000000001</v>
      </c>
      <c r="C63" s="16">
        <v>9.4</v>
      </c>
      <c r="D63" s="16">
        <f t="shared" si="0"/>
        <v>10.200000000000001</v>
      </c>
    </row>
    <row r="64" spans="1:4" x14ac:dyDescent="0.25">
      <c r="A64">
        <v>1944</v>
      </c>
      <c r="B64" s="16">
        <v>20.7</v>
      </c>
      <c r="C64" s="16">
        <v>9</v>
      </c>
      <c r="D64" s="16">
        <f t="shared" si="0"/>
        <v>11.7</v>
      </c>
    </row>
    <row r="65" spans="1:4" x14ac:dyDescent="0.25">
      <c r="A65">
        <v>1945</v>
      </c>
      <c r="B65" s="16">
        <v>21.6</v>
      </c>
      <c r="C65" s="16">
        <v>8.6999999999999993</v>
      </c>
      <c r="D65" s="16">
        <f t="shared" si="0"/>
        <v>12.900000000000002</v>
      </c>
    </row>
    <row r="66" spans="1:4" x14ac:dyDescent="0.25">
      <c r="A66">
        <v>1946</v>
      </c>
      <c r="B66" s="16">
        <v>23.5</v>
      </c>
      <c r="C66" s="16">
        <v>8.8000000000000007</v>
      </c>
      <c r="D66" s="16">
        <f t="shared" si="0"/>
        <v>14.7</v>
      </c>
    </row>
    <row r="67" spans="1:4" x14ac:dyDescent="0.25">
      <c r="A67">
        <v>1947</v>
      </c>
      <c r="B67" s="16">
        <v>20.100000000000001</v>
      </c>
      <c r="C67" s="16">
        <v>9</v>
      </c>
      <c r="D67" s="16">
        <f t="shared" ref="D67:D111" si="1">B67-C67</f>
        <v>11.100000000000001</v>
      </c>
    </row>
    <row r="68" spans="1:4" x14ac:dyDescent="0.25">
      <c r="A68">
        <v>1948</v>
      </c>
      <c r="B68" s="16">
        <v>18.7</v>
      </c>
      <c r="C68" s="16">
        <v>8.9</v>
      </c>
      <c r="D68" s="16">
        <f t="shared" si="1"/>
        <v>9.7999999999999989</v>
      </c>
    </row>
    <row r="69" spans="1:4" x14ac:dyDescent="0.25">
      <c r="A69">
        <v>1949</v>
      </c>
      <c r="B69" s="16">
        <v>18.7</v>
      </c>
      <c r="C69" s="16">
        <v>8.6</v>
      </c>
      <c r="D69" s="16">
        <f t="shared" si="1"/>
        <v>10.1</v>
      </c>
    </row>
    <row r="70" spans="1:4" x14ac:dyDescent="0.25">
      <c r="A70">
        <v>1950</v>
      </c>
      <c r="B70" s="16">
        <v>18.600000000000001</v>
      </c>
      <c r="C70" s="16">
        <v>8</v>
      </c>
      <c r="D70" s="16">
        <f t="shared" si="1"/>
        <v>10.600000000000001</v>
      </c>
    </row>
    <row r="71" spans="1:4" x14ac:dyDescent="0.25">
      <c r="A71">
        <v>1951</v>
      </c>
      <c r="B71" s="16">
        <v>18.5</v>
      </c>
      <c r="C71" s="16">
        <v>8.6</v>
      </c>
      <c r="D71" s="16">
        <f t="shared" si="1"/>
        <v>9.9</v>
      </c>
    </row>
    <row r="72" spans="1:4" x14ac:dyDescent="0.25">
      <c r="A72">
        <v>1952</v>
      </c>
      <c r="B72" s="16">
        <v>18.8</v>
      </c>
      <c r="C72" s="16">
        <v>8.4</v>
      </c>
      <c r="D72" s="16">
        <f t="shared" si="1"/>
        <v>10.4</v>
      </c>
    </row>
    <row r="73" spans="1:4" x14ac:dyDescent="0.25">
      <c r="A73">
        <v>1953</v>
      </c>
      <c r="B73" s="16">
        <v>18.8</v>
      </c>
      <c r="C73" s="16">
        <v>8.5</v>
      </c>
      <c r="D73" s="16">
        <f t="shared" si="1"/>
        <v>10.3</v>
      </c>
    </row>
    <row r="74" spans="1:4" x14ac:dyDescent="0.25">
      <c r="A74">
        <v>1954</v>
      </c>
      <c r="B74" s="16">
        <v>19.399999999999999</v>
      </c>
      <c r="C74" s="16">
        <v>8.1999999999999993</v>
      </c>
      <c r="D74" s="16">
        <f t="shared" si="1"/>
        <v>11.2</v>
      </c>
    </row>
    <row r="75" spans="1:4" x14ac:dyDescent="0.25">
      <c r="A75">
        <v>1955</v>
      </c>
      <c r="B75" s="16">
        <v>21.4</v>
      </c>
      <c r="C75" s="16">
        <v>8.6999999999999993</v>
      </c>
      <c r="D75" s="16">
        <f t="shared" si="1"/>
        <v>12.7</v>
      </c>
    </row>
    <row r="76" spans="1:4" x14ac:dyDescent="0.25">
      <c r="A76">
        <v>1956</v>
      </c>
      <c r="B76" s="16">
        <v>23.5</v>
      </c>
      <c r="C76" s="16">
        <v>8.3000000000000007</v>
      </c>
      <c r="D76" s="16">
        <f t="shared" si="1"/>
        <v>15.2</v>
      </c>
    </row>
    <row r="77" spans="1:4" x14ac:dyDescent="0.25">
      <c r="A77">
        <v>1957</v>
      </c>
      <c r="B77" s="16">
        <v>23.1</v>
      </c>
      <c r="C77" s="16">
        <v>8.9</v>
      </c>
      <c r="D77" s="16">
        <f t="shared" si="1"/>
        <v>14.200000000000001</v>
      </c>
    </row>
    <row r="78" spans="1:4" x14ac:dyDescent="0.25">
      <c r="A78">
        <v>1958</v>
      </c>
      <c r="B78" s="16">
        <v>23.1</v>
      </c>
      <c r="C78" s="16">
        <v>8.5</v>
      </c>
      <c r="D78" s="16">
        <f t="shared" si="1"/>
        <v>14.600000000000001</v>
      </c>
    </row>
    <row r="79" spans="1:4" x14ac:dyDescent="0.25">
      <c r="A79">
        <v>1959</v>
      </c>
      <c r="B79" s="16">
        <v>22.6</v>
      </c>
      <c r="C79" s="16">
        <v>9.4</v>
      </c>
      <c r="D79" s="16">
        <f t="shared" si="1"/>
        <v>13.200000000000001</v>
      </c>
    </row>
    <row r="80" spans="1:4" x14ac:dyDescent="0.25">
      <c r="A80">
        <v>1960</v>
      </c>
      <c r="B80" s="16">
        <v>23.9</v>
      </c>
      <c r="C80" s="16">
        <v>8.5</v>
      </c>
      <c r="D80" s="16">
        <f t="shared" si="1"/>
        <v>15.399999999999999</v>
      </c>
    </row>
    <row r="81" spans="1:4" x14ac:dyDescent="0.25">
      <c r="A81">
        <v>1961</v>
      </c>
      <c r="B81" s="16">
        <v>25</v>
      </c>
      <c r="C81" s="16">
        <v>8.8000000000000007</v>
      </c>
      <c r="D81" s="16">
        <f t="shared" si="1"/>
        <v>16.2</v>
      </c>
    </row>
    <row r="82" spans="1:4" x14ac:dyDescent="0.25">
      <c r="A82">
        <v>1962</v>
      </c>
      <c r="B82" s="16">
        <v>25.3</v>
      </c>
      <c r="C82" s="16">
        <v>8.6999999999999993</v>
      </c>
      <c r="D82" s="16">
        <f t="shared" si="1"/>
        <v>16.600000000000001</v>
      </c>
    </row>
    <row r="83" spans="1:4" x14ac:dyDescent="0.25">
      <c r="A83">
        <v>1963</v>
      </c>
      <c r="B83" s="16">
        <v>23.8</v>
      </c>
      <c r="C83" s="16">
        <v>8.9</v>
      </c>
      <c r="D83" s="16">
        <f t="shared" si="1"/>
        <v>14.9</v>
      </c>
    </row>
    <row r="84" spans="1:4" x14ac:dyDescent="0.25">
      <c r="A84">
        <v>1964</v>
      </c>
      <c r="B84" s="16">
        <v>23.4</v>
      </c>
      <c r="C84" s="16">
        <v>9</v>
      </c>
      <c r="D84" s="16">
        <f t="shared" si="1"/>
        <v>14.399999999999999</v>
      </c>
    </row>
    <row r="85" spans="1:4" x14ac:dyDescent="0.25">
      <c r="A85">
        <v>1965</v>
      </c>
      <c r="B85" s="16">
        <v>22.2</v>
      </c>
      <c r="C85" s="16">
        <v>9.1</v>
      </c>
      <c r="D85" s="16">
        <f t="shared" si="1"/>
        <v>13.1</v>
      </c>
    </row>
    <row r="86" spans="1:4" x14ac:dyDescent="0.25">
      <c r="A86">
        <v>1966</v>
      </c>
      <c r="B86" s="16">
        <v>21.4</v>
      </c>
      <c r="C86" s="16">
        <v>9</v>
      </c>
      <c r="D86" s="16">
        <f t="shared" si="1"/>
        <v>12.399999999999999</v>
      </c>
    </row>
    <row r="87" spans="1:4" x14ac:dyDescent="0.25">
      <c r="A87">
        <v>1967</v>
      </c>
      <c r="B87" s="16">
        <v>22</v>
      </c>
      <c r="C87" s="16">
        <v>9.5</v>
      </c>
      <c r="D87" s="16">
        <f t="shared" si="1"/>
        <v>12.5</v>
      </c>
    </row>
    <row r="88" spans="1:4" x14ac:dyDescent="0.25">
      <c r="A88">
        <v>1968</v>
      </c>
      <c r="B88" s="16">
        <v>22.1</v>
      </c>
      <c r="C88" s="16">
        <v>9.1999999999999993</v>
      </c>
      <c r="D88" s="16">
        <f t="shared" si="1"/>
        <v>12.900000000000002</v>
      </c>
    </row>
    <row r="89" spans="1:4" x14ac:dyDescent="0.25">
      <c r="A89">
        <v>1969</v>
      </c>
      <c r="B89" s="16">
        <v>20.100000000000001</v>
      </c>
      <c r="C89" s="16">
        <v>9.6999999999999993</v>
      </c>
      <c r="D89" s="16">
        <f t="shared" si="1"/>
        <v>10.400000000000002</v>
      </c>
    </row>
    <row r="90" spans="1:4" x14ac:dyDescent="0.25">
      <c r="A90">
        <v>1970</v>
      </c>
      <c r="B90" s="16">
        <v>19.5</v>
      </c>
      <c r="C90" s="16">
        <v>9.1999999999999993</v>
      </c>
      <c r="D90" s="16">
        <f t="shared" si="1"/>
        <v>10.3</v>
      </c>
    </row>
    <row r="91" spans="1:4" x14ac:dyDescent="0.25">
      <c r="A91">
        <v>1971</v>
      </c>
      <c r="B91" s="16">
        <v>19.8</v>
      </c>
      <c r="C91" s="16">
        <v>10.3</v>
      </c>
      <c r="D91" s="16">
        <f t="shared" si="1"/>
        <v>9.5</v>
      </c>
    </row>
    <row r="92" spans="1:4" x14ac:dyDescent="0.25">
      <c r="A92">
        <v>1972</v>
      </c>
      <c r="B92" s="16">
        <v>19.899999999999999</v>
      </c>
      <c r="C92" s="16">
        <v>10.6</v>
      </c>
      <c r="D92" s="16">
        <f t="shared" si="1"/>
        <v>9.2999999999999989</v>
      </c>
    </row>
    <row r="93" spans="1:4" x14ac:dyDescent="0.25">
      <c r="A93">
        <v>1973</v>
      </c>
      <c r="B93" s="16">
        <v>20</v>
      </c>
      <c r="C93" s="16">
        <v>10.199999999999999</v>
      </c>
      <c r="D93" s="16">
        <f t="shared" si="1"/>
        <v>9.8000000000000007</v>
      </c>
    </row>
    <row r="94" spans="1:4" x14ac:dyDescent="0.25">
      <c r="A94">
        <v>1974</v>
      </c>
      <c r="B94" s="16">
        <v>20.5</v>
      </c>
      <c r="C94" s="16">
        <v>10.1</v>
      </c>
      <c r="D94" s="16">
        <f t="shared" si="1"/>
        <v>10.4</v>
      </c>
    </row>
    <row r="95" spans="1:4" x14ac:dyDescent="0.25">
      <c r="A95">
        <v>1975</v>
      </c>
      <c r="B95" s="16">
        <v>20.9</v>
      </c>
      <c r="C95" s="16">
        <v>9.6999999999999993</v>
      </c>
      <c r="D95" s="16">
        <f t="shared" si="1"/>
        <v>11.2</v>
      </c>
    </row>
    <row r="96" spans="1:4" x14ac:dyDescent="0.25">
      <c r="A96">
        <v>1976</v>
      </c>
      <c r="B96" s="16">
        <v>20.8</v>
      </c>
      <c r="C96" s="16">
        <v>10.1</v>
      </c>
      <c r="D96" s="16">
        <f t="shared" si="1"/>
        <v>10.700000000000001</v>
      </c>
    </row>
    <row r="97" spans="1:4" x14ac:dyDescent="0.25">
      <c r="A97">
        <v>1977</v>
      </c>
      <c r="B97" s="16">
        <v>20.3</v>
      </c>
      <c r="C97" s="16">
        <v>10.1</v>
      </c>
      <c r="D97" s="16">
        <f t="shared" si="1"/>
        <v>10.200000000000001</v>
      </c>
    </row>
    <row r="98" spans="1:4" x14ac:dyDescent="0.25">
      <c r="A98">
        <v>1978</v>
      </c>
      <c r="B98" s="16">
        <v>19.899999999999999</v>
      </c>
      <c r="C98" s="16">
        <v>9.6999999999999993</v>
      </c>
      <c r="D98" s="16">
        <f t="shared" si="1"/>
        <v>10.199999999999999</v>
      </c>
    </row>
    <row r="99" spans="1:4" x14ac:dyDescent="0.25">
      <c r="A99">
        <v>1979</v>
      </c>
      <c r="B99" s="16">
        <v>19.3</v>
      </c>
      <c r="C99" s="16">
        <v>9.8000000000000007</v>
      </c>
      <c r="D99" s="16">
        <f t="shared" si="1"/>
        <v>9.5</v>
      </c>
    </row>
    <row r="100" spans="1:4" x14ac:dyDescent="0.25">
      <c r="A100">
        <v>1980</v>
      </c>
      <c r="B100" s="16">
        <v>18.5</v>
      </c>
      <c r="C100" s="16">
        <v>10.3</v>
      </c>
      <c r="D100" s="16">
        <f t="shared" si="1"/>
        <v>8.1999999999999993</v>
      </c>
    </row>
    <row r="101" spans="1:4" x14ac:dyDescent="0.25">
      <c r="A101">
        <v>1981</v>
      </c>
      <c r="B101" s="16">
        <v>18.399999999999999</v>
      </c>
      <c r="C101" s="16">
        <v>9.4</v>
      </c>
      <c r="D101" s="16">
        <f t="shared" si="1"/>
        <v>8.9999999999999982</v>
      </c>
    </row>
    <row r="102" spans="1:4" x14ac:dyDescent="0.25">
      <c r="A102">
        <v>1982</v>
      </c>
      <c r="B102" s="16">
        <v>18.5</v>
      </c>
      <c r="C102" s="16">
        <v>9.1999999999999993</v>
      </c>
      <c r="D102" s="16">
        <f t="shared" si="1"/>
        <v>9.3000000000000007</v>
      </c>
    </row>
    <row r="103" spans="1:4" x14ac:dyDescent="0.25">
      <c r="A103">
        <v>1983</v>
      </c>
      <c r="B103" s="16">
        <v>18</v>
      </c>
      <c r="C103" s="16">
        <v>9.6</v>
      </c>
      <c r="D103" s="16">
        <f t="shared" si="1"/>
        <v>8.4</v>
      </c>
    </row>
    <row r="104" spans="1:4" x14ac:dyDescent="0.25">
      <c r="A104">
        <v>1984</v>
      </c>
      <c r="B104" s="16">
        <v>17.8</v>
      </c>
      <c r="C104" s="16">
        <v>10</v>
      </c>
      <c r="D104" s="16">
        <f t="shared" si="1"/>
        <v>7.8000000000000007</v>
      </c>
    </row>
    <row r="105" spans="1:4" x14ac:dyDescent="0.25">
      <c r="A105">
        <v>1985</v>
      </c>
      <c r="B105" s="16">
        <v>17.899999999999999</v>
      </c>
      <c r="C105" s="16">
        <v>9.5</v>
      </c>
      <c r="D105" s="16">
        <f t="shared" si="1"/>
        <v>8.3999999999999986</v>
      </c>
    </row>
    <row r="106" spans="1:4" x14ac:dyDescent="0.25">
      <c r="A106">
        <v>1986</v>
      </c>
      <c r="B106" s="16">
        <v>17.8</v>
      </c>
      <c r="C106" s="16">
        <v>9.5</v>
      </c>
      <c r="D106" s="16">
        <f t="shared" si="1"/>
        <v>8.3000000000000007</v>
      </c>
    </row>
    <row r="107" spans="1:4" x14ac:dyDescent="0.25">
      <c r="A107">
        <v>1987</v>
      </c>
      <c r="B107" s="16">
        <v>17.600000000000001</v>
      </c>
      <c r="C107" s="16">
        <v>9.6</v>
      </c>
      <c r="D107" s="16">
        <f t="shared" si="1"/>
        <v>8.0000000000000018</v>
      </c>
    </row>
    <row r="108" spans="1:4" x14ac:dyDescent="0.25">
      <c r="A108">
        <v>1988</v>
      </c>
      <c r="B108" s="16">
        <v>18.2</v>
      </c>
      <c r="C108" s="16">
        <v>9.6</v>
      </c>
      <c r="D108" s="16">
        <f t="shared" si="1"/>
        <v>8.6</v>
      </c>
    </row>
    <row r="109" spans="1:4" x14ac:dyDescent="0.25">
      <c r="A109">
        <v>1989</v>
      </c>
      <c r="B109" s="16">
        <v>18</v>
      </c>
      <c r="C109" s="16">
        <v>9.6</v>
      </c>
      <c r="D109" s="16">
        <f t="shared" si="1"/>
        <v>8.4</v>
      </c>
    </row>
    <row r="110" spans="1:4" x14ac:dyDescent="0.25">
      <c r="A110">
        <v>1990</v>
      </c>
      <c r="B110" s="16">
        <v>18.3</v>
      </c>
      <c r="C110" s="16">
        <v>9.8000000000000007</v>
      </c>
      <c r="D110" s="16">
        <f t="shared" si="1"/>
        <v>8.5</v>
      </c>
    </row>
    <row r="111" spans="1:4" x14ac:dyDescent="0.25">
      <c r="A111">
        <v>1991</v>
      </c>
      <c r="B111" s="16">
        <v>17.600000000000001</v>
      </c>
      <c r="C111" s="16">
        <v>9.6</v>
      </c>
      <c r="D111" s="16">
        <f t="shared" si="1"/>
        <v>8.0000000000000018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R65" sqref="R65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1">
        <v>1850</v>
      </c>
      <c r="B2" s="16">
        <v>43.9</v>
      </c>
      <c r="C2" s="16">
        <v>35</v>
      </c>
      <c r="D2" s="16">
        <f>B2-C2</f>
        <v>8.8999999999999986</v>
      </c>
    </row>
    <row r="3" spans="1:4" x14ac:dyDescent="0.25">
      <c r="A3" s="1">
        <v>1851</v>
      </c>
      <c r="B3" s="16">
        <v>44</v>
      </c>
      <c r="C3" s="16">
        <v>35</v>
      </c>
      <c r="D3" s="16">
        <f t="shared" ref="D3:D66" si="0">B3-C3</f>
        <v>9</v>
      </c>
    </row>
    <row r="4" spans="1:4" x14ac:dyDescent="0.25">
      <c r="A4" s="1">
        <v>1852</v>
      </c>
      <c r="B4" s="16">
        <v>44.4</v>
      </c>
      <c r="C4" s="16">
        <v>35</v>
      </c>
      <c r="D4" s="16">
        <f t="shared" si="0"/>
        <v>9.3999999999999986</v>
      </c>
    </row>
    <row r="5" spans="1:4" x14ac:dyDescent="0.25">
      <c r="A5" s="22">
        <v>1853</v>
      </c>
      <c r="B5" s="16">
        <v>45</v>
      </c>
      <c r="C5" s="16">
        <v>35</v>
      </c>
      <c r="D5" s="16">
        <f t="shared" si="0"/>
        <v>10</v>
      </c>
    </row>
    <row r="6" spans="1:4" x14ac:dyDescent="0.25">
      <c r="A6" s="22">
        <v>1854</v>
      </c>
      <c r="B6" s="16">
        <v>45.7</v>
      </c>
      <c r="C6" s="16">
        <v>34.9</v>
      </c>
      <c r="D6" s="16">
        <f t="shared" si="0"/>
        <v>10.800000000000004</v>
      </c>
    </row>
    <row r="7" spans="1:4" x14ac:dyDescent="0.25">
      <c r="A7" s="22">
        <v>1855</v>
      </c>
      <c r="B7" s="16">
        <v>46.6</v>
      </c>
      <c r="C7" s="16">
        <v>34.9</v>
      </c>
      <c r="D7" s="16">
        <f t="shared" si="0"/>
        <v>11.700000000000003</v>
      </c>
    </row>
    <row r="8" spans="1:4" x14ac:dyDescent="0.25">
      <c r="A8" s="22">
        <v>1856</v>
      </c>
      <c r="B8" s="16">
        <v>47.3</v>
      </c>
      <c r="C8" s="16">
        <v>34.799999999999997</v>
      </c>
      <c r="D8" s="16">
        <f t="shared" si="0"/>
        <v>12.5</v>
      </c>
    </row>
    <row r="9" spans="1:4" x14ac:dyDescent="0.25">
      <c r="A9" s="22">
        <v>1857</v>
      </c>
      <c r="B9" s="16">
        <v>47.7</v>
      </c>
      <c r="C9" s="16">
        <v>34.700000000000003</v>
      </c>
      <c r="D9" s="16">
        <f t="shared" si="0"/>
        <v>13</v>
      </c>
    </row>
    <row r="10" spans="1:4" x14ac:dyDescent="0.25">
      <c r="A10" s="22">
        <v>1858</v>
      </c>
      <c r="B10" s="16">
        <v>47.9</v>
      </c>
      <c r="C10" s="16">
        <v>34.6</v>
      </c>
      <c r="D10" s="16">
        <f t="shared" si="0"/>
        <v>13.299999999999997</v>
      </c>
    </row>
    <row r="11" spans="1:4" x14ac:dyDescent="0.25">
      <c r="A11" s="22">
        <v>1859</v>
      </c>
      <c r="B11" s="16">
        <v>47.9</v>
      </c>
      <c r="C11" s="16">
        <v>34.5</v>
      </c>
      <c r="D11" s="16">
        <f t="shared" si="0"/>
        <v>13.399999999999999</v>
      </c>
    </row>
    <row r="12" spans="1:4" x14ac:dyDescent="0.25">
      <c r="A12" s="22">
        <v>1860</v>
      </c>
      <c r="B12" s="16">
        <v>47.5</v>
      </c>
      <c r="C12" s="16">
        <v>34.4</v>
      </c>
      <c r="D12" s="16">
        <f t="shared" si="0"/>
        <v>13.100000000000001</v>
      </c>
    </row>
    <row r="13" spans="1:4" x14ac:dyDescent="0.25">
      <c r="A13" s="22">
        <v>1861</v>
      </c>
      <c r="B13" s="16">
        <v>47.2</v>
      </c>
      <c r="C13" s="16">
        <v>34.299999999999997</v>
      </c>
      <c r="D13" s="16">
        <f t="shared" si="0"/>
        <v>12.900000000000006</v>
      </c>
    </row>
    <row r="14" spans="1:4" x14ac:dyDescent="0.25">
      <c r="A14" s="22">
        <v>1862</v>
      </c>
      <c r="B14" s="16">
        <v>46.9</v>
      </c>
      <c r="C14" s="16">
        <v>34.200000000000003</v>
      </c>
      <c r="D14" s="16">
        <f t="shared" si="0"/>
        <v>12.699999999999996</v>
      </c>
    </row>
    <row r="15" spans="1:4" x14ac:dyDescent="0.25">
      <c r="A15" s="22">
        <v>1863</v>
      </c>
      <c r="B15" s="16">
        <v>46.6</v>
      </c>
      <c r="C15" s="16">
        <v>34.299999999999997</v>
      </c>
      <c r="D15" s="16">
        <f t="shared" si="0"/>
        <v>12.300000000000004</v>
      </c>
    </row>
    <row r="16" spans="1:4" x14ac:dyDescent="0.25">
      <c r="A16" s="22">
        <v>1864</v>
      </c>
      <c r="B16" s="16">
        <v>46.3</v>
      </c>
      <c r="C16" s="16">
        <v>34.299999999999997</v>
      </c>
      <c r="D16" s="16">
        <f t="shared" si="0"/>
        <v>12</v>
      </c>
    </row>
    <row r="17" spans="1:4" x14ac:dyDescent="0.25">
      <c r="A17" s="22">
        <v>1865</v>
      </c>
      <c r="B17" s="16">
        <v>46</v>
      </c>
      <c r="C17" s="16">
        <v>34.5</v>
      </c>
      <c r="D17" s="16">
        <f t="shared" si="0"/>
        <v>11.5</v>
      </c>
    </row>
    <row r="18" spans="1:4" x14ac:dyDescent="0.25">
      <c r="A18" s="22">
        <v>1866</v>
      </c>
      <c r="B18" s="16">
        <v>45.9</v>
      </c>
      <c r="C18" s="16">
        <v>34.5</v>
      </c>
      <c r="D18" s="16">
        <f t="shared" si="0"/>
        <v>11.399999999999999</v>
      </c>
    </row>
    <row r="19" spans="1:4" x14ac:dyDescent="0.25">
      <c r="A19" s="22">
        <v>1867</v>
      </c>
      <c r="B19" s="16">
        <v>46</v>
      </c>
      <c r="C19" s="16">
        <v>34.6</v>
      </c>
      <c r="D19" s="16">
        <f t="shared" si="0"/>
        <v>11.399999999999999</v>
      </c>
    </row>
    <row r="20" spans="1:4" x14ac:dyDescent="0.25">
      <c r="A20" s="22">
        <v>1868</v>
      </c>
      <c r="B20" s="16">
        <v>46.3</v>
      </c>
      <c r="C20" s="16">
        <v>34.5</v>
      </c>
      <c r="D20" s="16">
        <f t="shared" si="0"/>
        <v>11.799999999999997</v>
      </c>
    </row>
    <row r="21" spans="1:4" x14ac:dyDescent="0.25">
      <c r="A21" s="22">
        <v>1869</v>
      </c>
      <c r="B21" s="16">
        <v>46.9</v>
      </c>
      <c r="C21" s="16">
        <v>34.4</v>
      </c>
      <c r="D21" s="16">
        <f t="shared" si="0"/>
        <v>12.5</v>
      </c>
    </row>
    <row r="22" spans="1:4" x14ac:dyDescent="0.25">
      <c r="A22" s="22">
        <v>1870</v>
      </c>
      <c r="B22" s="16">
        <v>47.6</v>
      </c>
      <c r="C22" s="16">
        <v>34.299999999999997</v>
      </c>
      <c r="D22" s="16">
        <f t="shared" si="0"/>
        <v>13.300000000000004</v>
      </c>
    </row>
    <row r="23" spans="1:4" x14ac:dyDescent="0.25">
      <c r="A23" s="22">
        <v>1871</v>
      </c>
      <c r="B23" s="16">
        <v>48</v>
      </c>
      <c r="C23" s="16">
        <v>34.1</v>
      </c>
      <c r="D23" s="16">
        <f t="shared" si="0"/>
        <v>13.899999999999999</v>
      </c>
    </row>
    <row r="24" spans="1:4" x14ac:dyDescent="0.25">
      <c r="A24" s="22">
        <v>1872</v>
      </c>
      <c r="B24" s="16">
        <v>47.9</v>
      </c>
      <c r="C24" s="16">
        <v>34</v>
      </c>
      <c r="D24" s="16">
        <f t="shared" si="0"/>
        <v>13.899999999999999</v>
      </c>
    </row>
    <row r="25" spans="1:4" x14ac:dyDescent="0.25">
      <c r="A25" s="22">
        <v>1873</v>
      </c>
      <c r="B25" s="16">
        <v>47.5</v>
      </c>
      <c r="C25" s="16">
        <v>33.9</v>
      </c>
      <c r="D25" s="16">
        <f t="shared" si="0"/>
        <v>13.600000000000001</v>
      </c>
    </row>
    <row r="26" spans="1:4" x14ac:dyDescent="0.25">
      <c r="A26" s="22">
        <v>1874</v>
      </c>
      <c r="B26" s="16">
        <v>46.6</v>
      </c>
      <c r="C26" s="16">
        <v>33.799999999999997</v>
      </c>
      <c r="D26" s="16">
        <f t="shared" si="0"/>
        <v>12.800000000000004</v>
      </c>
    </row>
    <row r="27" spans="1:4" x14ac:dyDescent="0.25">
      <c r="A27" s="22">
        <v>1875</v>
      </c>
      <c r="B27" s="16">
        <v>45.3</v>
      </c>
      <c r="C27" s="16">
        <v>33.700000000000003</v>
      </c>
      <c r="D27" s="16">
        <f t="shared" si="0"/>
        <v>11.599999999999994</v>
      </c>
    </row>
    <row r="28" spans="1:4" x14ac:dyDescent="0.25">
      <c r="A28" s="22">
        <v>1876</v>
      </c>
      <c r="B28" s="16">
        <v>44.6</v>
      </c>
      <c r="C28" s="16">
        <v>33.700000000000003</v>
      </c>
      <c r="D28" s="16">
        <f t="shared" si="0"/>
        <v>10.899999999999999</v>
      </c>
    </row>
    <row r="29" spans="1:4" x14ac:dyDescent="0.25">
      <c r="A29" s="22">
        <v>1877</v>
      </c>
      <c r="B29" s="16">
        <v>44.4</v>
      </c>
      <c r="C29" s="16">
        <v>33.700000000000003</v>
      </c>
      <c r="D29" s="16">
        <f t="shared" si="0"/>
        <v>10.699999999999996</v>
      </c>
    </row>
    <row r="30" spans="1:4" x14ac:dyDescent="0.25">
      <c r="A30" s="22">
        <v>1878</v>
      </c>
      <c r="B30" s="16">
        <v>44.7</v>
      </c>
      <c r="C30" s="16">
        <v>33.700000000000003</v>
      </c>
      <c r="D30" s="16">
        <f t="shared" si="0"/>
        <v>11</v>
      </c>
    </row>
    <row r="31" spans="1:4" x14ac:dyDescent="0.25">
      <c r="A31" s="22">
        <v>1879</v>
      </c>
      <c r="B31" s="16">
        <v>45.5</v>
      </c>
      <c r="C31" s="16">
        <v>33.799999999999997</v>
      </c>
      <c r="D31" s="16">
        <f t="shared" si="0"/>
        <v>11.700000000000003</v>
      </c>
    </row>
    <row r="32" spans="1:4" x14ac:dyDescent="0.25">
      <c r="A32" s="22">
        <v>1880</v>
      </c>
      <c r="B32" s="16">
        <v>46.9</v>
      </c>
      <c r="C32" s="16">
        <v>33.9</v>
      </c>
      <c r="D32" s="16">
        <f t="shared" si="0"/>
        <v>13</v>
      </c>
    </row>
    <row r="33" spans="1:4" x14ac:dyDescent="0.25">
      <c r="A33" s="22">
        <v>1881</v>
      </c>
      <c r="B33" s="16">
        <v>47.9</v>
      </c>
      <c r="C33" s="16">
        <v>34</v>
      </c>
      <c r="D33" s="16">
        <f t="shared" si="0"/>
        <v>13.899999999999999</v>
      </c>
    </row>
    <row r="34" spans="1:4" x14ac:dyDescent="0.25">
      <c r="A34" s="22">
        <v>1882</v>
      </c>
      <c r="B34" s="16">
        <v>48.4</v>
      </c>
      <c r="C34" s="16">
        <v>34</v>
      </c>
      <c r="D34" s="16">
        <f t="shared" si="0"/>
        <v>14.399999999999999</v>
      </c>
    </row>
    <row r="35" spans="1:4" x14ac:dyDescent="0.25">
      <c r="A35" s="22">
        <v>1883</v>
      </c>
      <c r="B35" s="16">
        <v>48.5</v>
      </c>
      <c r="C35" s="16">
        <v>33.9</v>
      </c>
      <c r="D35" s="16">
        <f t="shared" si="0"/>
        <v>14.600000000000001</v>
      </c>
    </row>
    <row r="36" spans="1:4" x14ac:dyDescent="0.25">
      <c r="A36" s="22">
        <v>1884</v>
      </c>
      <c r="B36" s="16">
        <v>48.2</v>
      </c>
      <c r="C36" s="16">
        <v>33.700000000000003</v>
      </c>
      <c r="D36" s="16">
        <f t="shared" si="0"/>
        <v>14.5</v>
      </c>
    </row>
    <row r="37" spans="1:4" x14ac:dyDescent="0.25">
      <c r="A37" s="22">
        <v>1885</v>
      </c>
      <c r="B37" s="16">
        <v>47.5</v>
      </c>
      <c r="C37" s="16">
        <v>33.5</v>
      </c>
      <c r="D37" s="16">
        <f t="shared" si="0"/>
        <v>14</v>
      </c>
    </row>
    <row r="38" spans="1:4" x14ac:dyDescent="0.25">
      <c r="A38" s="22">
        <v>1886</v>
      </c>
      <c r="B38" s="16">
        <v>46.9</v>
      </c>
      <c r="C38" s="16">
        <v>33.299999999999997</v>
      </c>
      <c r="D38" s="16">
        <f t="shared" si="0"/>
        <v>13.600000000000001</v>
      </c>
    </row>
    <row r="39" spans="1:4" x14ac:dyDescent="0.25">
      <c r="A39" s="22">
        <v>1887</v>
      </c>
      <c r="B39" s="16">
        <v>46.5</v>
      </c>
      <c r="C39" s="16">
        <v>33.200000000000003</v>
      </c>
      <c r="D39" s="16">
        <f t="shared" si="0"/>
        <v>13.299999999999997</v>
      </c>
    </row>
    <row r="40" spans="1:4" x14ac:dyDescent="0.25">
      <c r="A40" s="22">
        <v>1888</v>
      </c>
      <c r="B40" s="16">
        <v>46.2</v>
      </c>
      <c r="C40" s="16">
        <v>33.200000000000003</v>
      </c>
      <c r="D40" s="16">
        <f t="shared" si="0"/>
        <v>13</v>
      </c>
    </row>
    <row r="41" spans="1:4" x14ac:dyDescent="0.25">
      <c r="A41" s="22">
        <v>1889</v>
      </c>
      <c r="B41" s="16">
        <v>46.1</v>
      </c>
      <c r="C41" s="16">
        <v>33.200000000000003</v>
      </c>
      <c r="D41" s="16">
        <f t="shared" si="0"/>
        <v>12.899999999999999</v>
      </c>
    </row>
    <row r="42" spans="1:4" x14ac:dyDescent="0.25">
      <c r="A42" s="22">
        <v>1890</v>
      </c>
      <c r="B42" s="16">
        <v>46.1</v>
      </c>
      <c r="C42" s="16">
        <v>33.299999999999997</v>
      </c>
      <c r="D42" s="16">
        <f t="shared" si="0"/>
        <v>12.800000000000004</v>
      </c>
    </row>
    <row r="43" spans="1:4" x14ac:dyDescent="0.25">
      <c r="A43" s="22">
        <v>1891</v>
      </c>
      <c r="B43" s="16">
        <v>46.1</v>
      </c>
      <c r="C43" s="16">
        <v>33.200000000000003</v>
      </c>
      <c r="D43" s="16">
        <f t="shared" si="0"/>
        <v>12.899999999999999</v>
      </c>
    </row>
    <row r="44" spans="1:4" x14ac:dyDescent="0.25">
      <c r="A44" s="22">
        <v>1892</v>
      </c>
      <c r="B44" s="16">
        <v>46</v>
      </c>
      <c r="C44" s="16">
        <v>32.9</v>
      </c>
      <c r="D44" s="16">
        <f t="shared" si="0"/>
        <v>13.100000000000001</v>
      </c>
    </row>
    <row r="45" spans="1:4" x14ac:dyDescent="0.25">
      <c r="A45" s="22">
        <v>1893</v>
      </c>
      <c r="B45" s="16">
        <v>45.8</v>
      </c>
      <c r="C45" s="16">
        <v>32.4</v>
      </c>
      <c r="D45" s="16">
        <f t="shared" si="0"/>
        <v>13.399999999999999</v>
      </c>
    </row>
    <row r="46" spans="1:4" x14ac:dyDescent="0.25">
      <c r="A46" s="22">
        <v>1894</v>
      </c>
      <c r="B46" s="16">
        <v>45.6</v>
      </c>
      <c r="C46" s="16">
        <v>31.8</v>
      </c>
      <c r="D46" s="16">
        <f t="shared" si="0"/>
        <v>13.8</v>
      </c>
    </row>
    <row r="47" spans="1:4" x14ac:dyDescent="0.25">
      <c r="A47" s="22">
        <v>1895</v>
      </c>
      <c r="B47" s="16">
        <v>45.3</v>
      </c>
      <c r="C47" s="16">
        <v>30.9</v>
      </c>
      <c r="D47" s="16">
        <f t="shared" si="0"/>
        <v>14.399999999999999</v>
      </c>
    </row>
    <row r="48" spans="1:4" x14ac:dyDescent="0.25">
      <c r="A48" s="22">
        <v>1896</v>
      </c>
      <c r="B48" s="16">
        <v>45.1</v>
      </c>
      <c r="C48" s="16">
        <v>30.4</v>
      </c>
      <c r="D48" s="16">
        <f t="shared" si="0"/>
        <v>14.700000000000003</v>
      </c>
    </row>
    <row r="49" spans="1:4" x14ac:dyDescent="0.25">
      <c r="A49" s="22">
        <v>1897</v>
      </c>
      <c r="B49" s="16">
        <v>45</v>
      </c>
      <c r="C49" s="16">
        <v>30.1</v>
      </c>
      <c r="D49" s="16">
        <f t="shared" si="0"/>
        <v>14.899999999999999</v>
      </c>
    </row>
    <row r="50" spans="1:4" x14ac:dyDescent="0.25">
      <c r="A50" s="22">
        <v>1898</v>
      </c>
      <c r="B50" s="16">
        <v>44.8</v>
      </c>
      <c r="C50" s="16">
        <v>30</v>
      </c>
      <c r="D50" s="16">
        <f t="shared" si="0"/>
        <v>14.799999999999997</v>
      </c>
    </row>
    <row r="51" spans="1:4" x14ac:dyDescent="0.25">
      <c r="A51" s="22">
        <v>1899</v>
      </c>
      <c r="B51" s="16">
        <v>44.8</v>
      </c>
      <c r="C51" s="16">
        <v>30.2</v>
      </c>
      <c r="D51" s="16">
        <f t="shared" si="0"/>
        <v>14.599999999999998</v>
      </c>
    </row>
    <row r="52" spans="1:4" x14ac:dyDescent="0.25">
      <c r="A52" s="22">
        <v>1900</v>
      </c>
      <c r="B52" s="16">
        <v>44.7</v>
      </c>
      <c r="C52" s="16">
        <v>30.6</v>
      </c>
      <c r="D52" s="16">
        <f t="shared" si="0"/>
        <v>14.100000000000001</v>
      </c>
    </row>
    <row r="53" spans="1:4" x14ac:dyDescent="0.25">
      <c r="A53" s="22">
        <v>1901</v>
      </c>
      <c r="B53" s="16">
        <v>44.7</v>
      </c>
      <c r="C53" s="16">
        <v>31.1</v>
      </c>
      <c r="D53" s="16">
        <f t="shared" si="0"/>
        <v>13.600000000000001</v>
      </c>
    </row>
    <row r="54" spans="1:4" x14ac:dyDescent="0.25">
      <c r="A54" s="22">
        <v>1902</v>
      </c>
      <c r="B54" s="16">
        <v>44.7</v>
      </c>
      <c r="C54" s="16">
        <v>31.6</v>
      </c>
      <c r="D54" s="16">
        <f t="shared" si="0"/>
        <v>13.100000000000001</v>
      </c>
    </row>
    <row r="55" spans="1:4" x14ac:dyDescent="0.25">
      <c r="A55" s="22">
        <v>1903</v>
      </c>
      <c r="B55" s="16">
        <v>44.7</v>
      </c>
      <c r="C55" s="16">
        <v>32.1</v>
      </c>
      <c r="D55" s="16">
        <f t="shared" si="0"/>
        <v>12.600000000000001</v>
      </c>
    </row>
    <row r="56" spans="1:4" x14ac:dyDescent="0.25">
      <c r="A56" s="22">
        <v>1904</v>
      </c>
      <c r="B56" s="16">
        <v>44.7</v>
      </c>
      <c r="C56" s="16">
        <v>32.6</v>
      </c>
      <c r="D56" s="16">
        <f t="shared" si="0"/>
        <v>12.100000000000001</v>
      </c>
    </row>
    <row r="57" spans="1:4" x14ac:dyDescent="0.25">
      <c r="A57" s="22">
        <v>1905</v>
      </c>
      <c r="B57" s="16">
        <v>44.6</v>
      </c>
      <c r="C57" s="16">
        <v>33.1</v>
      </c>
      <c r="D57" s="16">
        <f t="shared" si="0"/>
        <v>11.5</v>
      </c>
    </row>
    <row r="58" spans="1:4" x14ac:dyDescent="0.25">
      <c r="A58" s="22">
        <v>1906</v>
      </c>
      <c r="B58" s="16">
        <v>44.6</v>
      </c>
      <c r="C58" s="16">
        <v>33.4</v>
      </c>
      <c r="D58" s="16">
        <f t="shared" si="0"/>
        <v>11.200000000000003</v>
      </c>
    </row>
    <row r="59" spans="1:4" x14ac:dyDescent="0.25">
      <c r="A59" s="22">
        <v>1907</v>
      </c>
      <c r="B59" s="16">
        <v>44.6</v>
      </c>
      <c r="C59" s="16">
        <v>33.4</v>
      </c>
      <c r="D59" s="16">
        <f t="shared" si="0"/>
        <v>11.200000000000003</v>
      </c>
    </row>
    <row r="60" spans="1:4" x14ac:dyDescent="0.25">
      <c r="A60" s="22">
        <v>1908</v>
      </c>
      <c r="B60" s="16">
        <v>44.6</v>
      </c>
      <c r="C60" s="16">
        <v>33.299999999999997</v>
      </c>
      <c r="D60" s="16">
        <f t="shared" si="0"/>
        <v>11.300000000000004</v>
      </c>
    </row>
    <row r="61" spans="1:4" x14ac:dyDescent="0.25">
      <c r="A61" s="22">
        <v>1909</v>
      </c>
      <c r="B61" s="16">
        <v>44.6</v>
      </c>
      <c r="C61" s="16">
        <v>32.9</v>
      </c>
      <c r="D61" s="16">
        <f t="shared" si="0"/>
        <v>11.700000000000003</v>
      </c>
    </row>
    <row r="62" spans="1:4" x14ac:dyDescent="0.25">
      <c r="A62" s="22">
        <v>1910</v>
      </c>
      <c r="B62" s="16">
        <v>44.6</v>
      </c>
      <c r="C62" s="16">
        <v>32.299999999999997</v>
      </c>
      <c r="D62" s="16">
        <f t="shared" si="0"/>
        <v>12.300000000000004</v>
      </c>
    </row>
    <row r="63" spans="1:4" x14ac:dyDescent="0.25">
      <c r="A63" s="22">
        <v>1911</v>
      </c>
      <c r="B63" s="16">
        <v>44.5</v>
      </c>
      <c r="C63" s="16">
        <v>31.8</v>
      </c>
      <c r="D63" s="16">
        <f t="shared" si="0"/>
        <v>12.7</v>
      </c>
    </row>
    <row r="64" spans="1:4" x14ac:dyDescent="0.25">
      <c r="A64" s="22">
        <v>1912</v>
      </c>
      <c r="B64" s="16">
        <v>44.4</v>
      </c>
      <c r="C64" s="16">
        <v>31.4</v>
      </c>
      <c r="D64" s="16">
        <f t="shared" si="0"/>
        <v>13</v>
      </c>
    </row>
    <row r="65" spans="1:4" x14ac:dyDescent="0.25">
      <c r="A65" s="22">
        <v>1913</v>
      </c>
      <c r="B65" s="16">
        <v>44.3</v>
      </c>
      <c r="C65" s="16">
        <v>31.1</v>
      </c>
      <c r="D65" s="16">
        <f t="shared" si="0"/>
        <v>13.199999999999996</v>
      </c>
    </row>
    <row r="66" spans="1:4" x14ac:dyDescent="0.25">
      <c r="A66" s="22">
        <v>1914</v>
      </c>
      <c r="B66" s="16">
        <v>44.2</v>
      </c>
      <c r="C66" s="16">
        <v>30.9</v>
      </c>
      <c r="D66" s="16">
        <f t="shared" si="0"/>
        <v>13.300000000000004</v>
      </c>
    </row>
    <row r="67" spans="1:4" x14ac:dyDescent="0.25">
      <c r="A67" s="22">
        <v>1915</v>
      </c>
      <c r="B67" s="16">
        <v>43.9</v>
      </c>
      <c r="C67" s="16">
        <v>30.8</v>
      </c>
      <c r="D67" s="16">
        <f t="shared" ref="D67:D130" si="1">B67-C67</f>
        <v>13.099999999999998</v>
      </c>
    </row>
    <row r="68" spans="1:4" x14ac:dyDescent="0.25">
      <c r="A68" s="22">
        <v>1916</v>
      </c>
      <c r="B68" s="16">
        <v>43.7</v>
      </c>
      <c r="C68" s="16">
        <v>30.8</v>
      </c>
      <c r="D68" s="16">
        <f t="shared" si="1"/>
        <v>12.900000000000002</v>
      </c>
    </row>
    <row r="69" spans="1:4" x14ac:dyDescent="0.25">
      <c r="A69" s="22">
        <v>1917</v>
      </c>
      <c r="B69" s="16">
        <v>43.4</v>
      </c>
      <c r="C69" s="16">
        <v>30.9</v>
      </c>
      <c r="D69" s="16">
        <f t="shared" si="1"/>
        <v>12.5</v>
      </c>
    </row>
    <row r="70" spans="1:4" x14ac:dyDescent="0.25">
      <c r="A70" s="22">
        <v>1918</v>
      </c>
      <c r="B70" s="16">
        <v>43</v>
      </c>
      <c r="C70" s="16">
        <v>31.1</v>
      </c>
      <c r="D70" s="16">
        <f t="shared" si="1"/>
        <v>11.899999999999999</v>
      </c>
    </row>
    <row r="71" spans="1:4" x14ac:dyDescent="0.25">
      <c r="A71" s="22">
        <v>1919</v>
      </c>
      <c r="B71" s="16">
        <v>42.6</v>
      </c>
      <c r="C71" s="16">
        <v>31.5</v>
      </c>
      <c r="D71" s="16">
        <f t="shared" si="1"/>
        <v>11.100000000000001</v>
      </c>
    </row>
    <row r="72" spans="1:4" x14ac:dyDescent="0.25">
      <c r="A72" s="22">
        <v>1920</v>
      </c>
      <c r="B72" s="16">
        <v>42.1</v>
      </c>
      <c r="C72" s="16">
        <v>32</v>
      </c>
      <c r="D72" s="16">
        <f t="shared" si="1"/>
        <v>10.100000000000001</v>
      </c>
    </row>
    <row r="73" spans="1:4" x14ac:dyDescent="0.25">
      <c r="A73" s="22">
        <v>1921</v>
      </c>
      <c r="B73" s="16">
        <v>41.9</v>
      </c>
      <c r="C73" s="16">
        <v>32</v>
      </c>
      <c r="D73" s="16">
        <f t="shared" si="1"/>
        <v>9.8999999999999986</v>
      </c>
    </row>
    <row r="74" spans="1:4" x14ac:dyDescent="0.25">
      <c r="A74" s="22">
        <v>1922</v>
      </c>
      <c r="B74" s="16">
        <v>41.9</v>
      </c>
      <c r="C74" s="16">
        <v>31.7</v>
      </c>
      <c r="D74" s="16">
        <f t="shared" si="1"/>
        <v>10.199999999999999</v>
      </c>
    </row>
    <row r="75" spans="1:4" x14ac:dyDescent="0.25">
      <c r="A75" s="22">
        <v>1923</v>
      </c>
      <c r="B75" s="16">
        <v>42.3</v>
      </c>
      <c r="C75" s="16">
        <v>31</v>
      </c>
      <c r="D75" s="16">
        <f t="shared" si="1"/>
        <v>11.299999999999997</v>
      </c>
    </row>
    <row r="76" spans="1:4" x14ac:dyDescent="0.25">
      <c r="A76" s="22">
        <v>1924</v>
      </c>
      <c r="B76" s="16">
        <v>42.8</v>
      </c>
      <c r="C76" s="16">
        <v>29.9</v>
      </c>
      <c r="D76" s="16">
        <f t="shared" si="1"/>
        <v>12.899999999999999</v>
      </c>
    </row>
    <row r="77" spans="1:4" x14ac:dyDescent="0.25">
      <c r="A77" s="22">
        <v>1925</v>
      </c>
      <c r="B77" s="16">
        <v>43.7</v>
      </c>
      <c r="C77" s="16">
        <v>28.4</v>
      </c>
      <c r="D77" s="16">
        <f t="shared" si="1"/>
        <v>15.300000000000004</v>
      </c>
    </row>
    <row r="78" spans="1:4" x14ac:dyDescent="0.25">
      <c r="A78" s="22">
        <v>1926</v>
      </c>
      <c r="B78" s="16">
        <v>44.2</v>
      </c>
      <c r="C78" s="16">
        <v>27.2</v>
      </c>
      <c r="D78" s="16">
        <f t="shared" si="1"/>
        <v>17.000000000000004</v>
      </c>
    </row>
    <row r="79" spans="1:4" x14ac:dyDescent="0.25">
      <c r="A79" s="22">
        <v>1927</v>
      </c>
      <c r="B79" s="16">
        <v>44.2</v>
      </c>
      <c r="C79" s="16">
        <v>26.2</v>
      </c>
      <c r="D79" s="16">
        <f t="shared" si="1"/>
        <v>18.000000000000004</v>
      </c>
    </row>
    <row r="80" spans="1:4" x14ac:dyDescent="0.25">
      <c r="A80" s="22">
        <v>1928</v>
      </c>
      <c r="B80" s="16">
        <v>43.8</v>
      </c>
      <c r="C80" s="16">
        <v>25.5</v>
      </c>
      <c r="D80" s="16">
        <f t="shared" si="1"/>
        <v>18.299999999999997</v>
      </c>
    </row>
    <row r="81" spans="1:4" x14ac:dyDescent="0.25">
      <c r="A81" s="22">
        <v>1929</v>
      </c>
      <c r="B81" s="16">
        <v>43.1</v>
      </c>
      <c r="C81" s="16">
        <v>25</v>
      </c>
      <c r="D81" s="16">
        <f t="shared" si="1"/>
        <v>18.100000000000001</v>
      </c>
    </row>
    <row r="82" spans="1:4" x14ac:dyDescent="0.25">
      <c r="A82" s="22">
        <v>1930</v>
      </c>
      <c r="B82" s="16">
        <v>41.9</v>
      </c>
      <c r="C82" s="16">
        <v>24.7</v>
      </c>
      <c r="D82" s="16">
        <f t="shared" si="1"/>
        <v>17.2</v>
      </c>
    </row>
    <row r="83" spans="1:4" x14ac:dyDescent="0.25">
      <c r="A83" s="22">
        <v>1931</v>
      </c>
      <c r="B83" s="16">
        <v>40.9</v>
      </c>
      <c r="C83" s="16">
        <v>24.5</v>
      </c>
      <c r="D83" s="16">
        <f t="shared" si="1"/>
        <v>16.399999999999999</v>
      </c>
    </row>
    <row r="84" spans="1:4" x14ac:dyDescent="0.25">
      <c r="A84" s="22">
        <v>1932</v>
      </c>
      <c r="B84" s="16">
        <v>40</v>
      </c>
      <c r="C84" s="16">
        <v>24.4</v>
      </c>
      <c r="D84" s="16">
        <f t="shared" si="1"/>
        <v>15.600000000000001</v>
      </c>
    </row>
    <row r="85" spans="1:4" x14ac:dyDescent="0.25">
      <c r="A85" s="22">
        <v>1933</v>
      </c>
      <c r="B85" s="16">
        <v>39.4</v>
      </c>
      <c r="C85" s="16">
        <v>24.4</v>
      </c>
      <c r="D85" s="16">
        <f t="shared" si="1"/>
        <v>15</v>
      </c>
    </row>
    <row r="86" spans="1:4" x14ac:dyDescent="0.25">
      <c r="A86" s="22">
        <v>1934</v>
      </c>
      <c r="B86" s="16">
        <v>38.9</v>
      </c>
      <c r="C86" s="16">
        <v>24.4</v>
      </c>
      <c r="D86" s="16">
        <f t="shared" si="1"/>
        <v>14.5</v>
      </c>
    </row>
    <row r="87" spans="1:4" x14ac:dyDescent="0.25">
      <c r="A87" s="22">
        <v>1935</v>
      </c>
      <c r="B87" s="16">
        <v>38.6</v>
      </c>
      <c r="C87" s="16">
        <v>24.5</v>
      </c>
      <c r="D87" s="16">
        <f t="shared" si="1"/>
        <v>14.100000000000001</v>
      </c>
    </row>
    <row r="88" spans="1:4" x14ac:dyDescent="0.25">
      <c r="A88" s="22">
        <v>1936</v>
      </c>
      <c r="B88" s="16">
        <v>38.4</v>
      </c>
      <c r="C88" s="16">
        <v>24.4</v>
      </c>
      <c r="D88" s="16">
        <f t="shared" si="1"/>
        <v>14</v>
      </c>
    </row>
    <row r="89" spans="1:4" x14ac:dyDescent="0.25">
      <c r="A89" s="22">
        <v>1937</v>
      </c>
      <c r="B89" s="16">
        <v>38.299999999999997</v>
      </c>
      <c r="C89" s="16">
        <v>24</v>
      </c>
      <c r="D89" s="16">
        <f t="shared" si="1"/>
        <v>14.299999999999997</v>
      </c>
    </row>
    <row r="90" spans="1:4" x14ac:dyDescent="0.25">
      <c r="A90" s="22">
        <v>1938</v>
      </c>
      <c r="B90" s="16">
        <v>38.299999999999997</v>
      </c>
      <c r="C90" s="16">
        <v>23.4</v>
      </c>
      <c r="D90" s="16">
        <f t="shared" si="1"/>
        <v>14.899999999999999</v>
      </c>
    </row>
    <row r="91" spans="1:4" x14ac:dyDescent="0.25">
      <c r="A91" s="22">
        <v>1939</v>
      </c>
      <c r="B91" s="16">
        <v>38.299999999999997</v>
      </c>
      <c r="C91" s="16">
        <v>22.6</v>
      </c>
      <c r="D91" s="16">
        <f t="shared" si="1"/>
        <v>15.699999999999996</v>
      </c>
    </row>
    <row r="92" spans="1:4" x14ac:dyDescent="0.25">
      <c r="A92" s="22">
        <v>1940</v>
      </c>
      <c r="B92" s="16">
        <v>38.5</v>
      </c>
      <c r="C92" s="16">
        <v>21.6</v>
      </c>
      <c r="D92" s="16">
        <f t="shared" si="1"/>
        <v>16.899999999999999</v>
      </c>
    </row>
    <row r="93" spans="1:4" x14ac:dyDescent="0.25">
      <c r="A93" s="22">
        <v>1941</v>
      </c>
      <c r="B93" s="16">
        <v>38.5</v>
      </c>
      <c r="C93" s="16">
        <v>20.7</v>
      </c>
      <c r="D93" s="16">
        <f t="shared" si="1"/>
        <v>17.8</v>
      </c>
    </row>
    <row r="94" spans="1:4" x14ac:dyDescent="0.25">
      <c r="A94" s="22">
        <v>1942</v>
      </c>
      <c r="B94" s="16">
        <v>38.4</v>
      </c>
      <c r="C94" s="16">
        <v>20</v>
      </c>
      <c r="D94" s="16">
        <f t="shared" si="1"/>
        <v>18.399999999999999</v>
      </c>
    </row>
    <row r="95" spans="1:4" x14ac:dyDescent="0.25">
      <c r="A95" s="22">
        <v>1943</v>
      </c>
      <c r="B95" s="16">
        <v>38.200000000000003</v>
      </c>
      <c r="C95" s="16">
        <v>19.399999999999999</v>
      </c>
      <c r="D95" s="16">
        <f t="shared" si="1"/>
        <v>18.800000000000004</v>
      </c>
    </row>
    <row r="96" spans="1:4" x14ac:dyDescent="0.25">
      <c r="A96" s="22">
        <v>1944</v>
      </c>
      <c r="B96" s="16">
        <v>37.9</v>
      </c>
      <c r="C96" s="16">
        <v>19</v>
      </c>
      <c r="D96" s="16">
        <f t="shared" si="1"/>
        <v>18.899999999999999</v>
      </c>
    </row>
    <row r="97" spans="1:4" x14ac:dyDescent="0.25">
      <c r="A97" s="22">
        <v>1945</v>
      </c>
      <c r="B97" s="16">
        <v>37.5</v>
      </c>
      <c r="C97" s="16">
        <v>18.7</v>
      </c>
      <c r="D97" s="16">
        <f t="shared" si="1"/>
        <v>18.8</v>
      </c>
    </row>
    <row r="98" spans="1:4" x14ac:dyDescent="0.25">
      <c r="A98" s="22">
        <v>1946</v>
      </c>
      <c r="B98" s="16">
        <v>37.1</v>
      </c>
      <c r="C98" s="16">
        <v>18.3</v>
      </c>
      <c r="D98" s="16">
        <f t="shared" si="1"/>
        <v>18.8</v>
      </c>
    </row>
    <row r="99" spans="1:4" x14ac:dyDescent="0.25">
      <c r="A99" s="22">
        <v>1947</v>
      </c>
      <c r="B99" s="16">
        <v>36.9</v>
      </c>
      <c r="C99" s="16">
        <v>17.7</v>
      </c>
      <c r="D99" s="16">
        <f t="shared" si="1"/>
        <v>19.2</v>
      </c>
    </row>
    <row r="100" spans="1:4" x14ac:dyDescent="0.25">
      <c r="A100" s="22">
        <v>1948</v>
      </c>
      <c r="B100" s="16">
        <v>36.799999999999997</v>
      </c>
      <c r="C100" s="16">
        <v>16.899999999999999</v>
      </c>
      <c r="D100" s="16">
        <f t="shared" si="1"/>
        <v>19.899999999999999</v>
      </c>
    </row>
    <row r="101" spans="1:4" x14ac:dyDescent="0.25">
      <c r="A101" s="22">
        <v>1949</v>
      </c>
      <c r="B101" s="16">
        <v>36.700000000000003</v>
      </c>
      <c r="C101" s="16">
        <v>16</v>
      </c>
      <c r="D101" s="16">
        <f t="shared" si="1"/>
        <v>20.700000000000003</v>
      </c>
    </row>
    <row r="102" spans="1:4" x14ac:dyDescent="0.25">
      <c r="A102" s="22">
        <v>1950</v>
      </c>
      <c r="B102" s="16">
        <v>36.799999999999997</v>
      </c>
      <c r="C102" s="16">
        <v>15</v>
      </c>
      <c r="D102" s="16">
        <f t="shared" si="1"/>
        <v>21.799999999999997</v>
      </c>
    </row>
    <row r="103" spans="1:4" x14ac:dyDescent="0.25">
      <c r="A103" s="22">
        <v>1951</v>
      </c>
      <c r="B103" s="16">
        <v>36.9</v>
      </c>
      <c r="C103" s="16">
        <v>14.2</v>
      </c>
      <c r="D103" s="16">
        <f t="shared" si="1"/>
        <v>22.7</v>
      </c>
    </row>
    <row r="104" spans="1:4" x14ac:dyDescent="0.25">
      <c r="A104" s="22">
        <v>1952</v>
      </c>
      <c r="B104" s="16">
        <v>37</v>
      </c>
      <c r="C104" s="16">
        <v>13.5</v>
      </c>
      <c r="D104" s="16">
        <f t="shared" si="1"/>
        <v>23.5</v>
      </c>
    </row>
    <row r="105" spans="1:4" x14ac:dyDescent="0.25">
      <c r="A105" s="22">
        <v>1953</v>
      </c>
      <c r="B105" s="16">
        <v>37.1</v>
      </c>
      <c r="C105" s="16">
        <v>13.1</v>
      </c>
      <c r="D105" s="16">
        <f t="shared" si="1"/>
        <v>24</v>
      </c>
    </row>
    <row r="106" spans="1:4" x14ac:dyDescent="0.25">
      <c r="A106" s="22">
        <v>1954</v>
      </c>
      <c r="B106" s="16">
        <v>37.1</v>
      </c>
      <c r="C106" s="16">
        <v>12.7</v>
      </c>
      <c r="D106" s="16">
        <f t="shared" si="1"/>
        <v>24.400000000000002</v>
      </c>
    </row>
    <row r="107" spans="1:4" x14ac:dyDescent="0.25">
      <c r="A107" s="22">
        <v>1955</v>
      </c>
      <c r="B107" s="16">
        <v>37.1</v>
      </c>
      <c r="C107" s="16">
        <v>12.5</v>
      </c>
      <c r="D107" s="16">
        <f t="shared" si="1"/>
        <v>24.6</v>
      </c>
    </row>
    <row r="108" spans="1:4" x14ac:dyDescent="0.25">
      <c r="A108" s="22">
        <v>1956</v>
      </c>
      <c r="B108" s="16">
        <v>37</v>
      </c>
      <c r="C108" s="16">
        <v>12.2</v>
      </c>
      <c r="D108" s="16">
        <f t="shared" si="1"/>
        <v>24.8</v>
      </c>
    </row>
    <row r="109" spans="1:4" x14ac:dyDescent="0.25">
      <c r="A109" s="22">
        <v>1957</v>
      </c>
      <c r="B109" s="16">
        <v>36.700000000000003</v>
      </c>
      <c r="C109" s="16">
        <v>11.9</v>
      </c>
      <c r="D109" s="16">
        <f t="shared" si="1"/>
        <v>24.800000000000004</v>
      </c>
    </row>
    <row r="110" spans="1:4" x14ac:dyDescent="0.25">
      <c r="A110" s="22">
        <v>1958</v>
      </c>
      <c r="B110" s="16">
        <v>36.200000000000003</v>
      </c>
      <c r="C110" s="16">
        <v>11.6</v>
      </c>
      <c r="D110" s="16">
        <f t="shared" si="1"/>
        <v>24.6</v>
      </c>
    </row>
    <row r="111" spans="1:4" x14ac:dyDescent="0.25">
      <c r="A111" s="22">
        <v>1959</v>
      </c>
      <c r="B111" s="16">
        <v>35.700000000000003</v>
      </c>
      <c r="C111" s="16">
        <v>11.3</v>
      </c>
      <c r="D111" s="16">
        <f t="shared" si="1"/>
        <v>24.400000000000002</v>
      </c>
    </row>
    <row r="112" spans="1:4" x14ac:dyDescent="0.25">
      <c r="A112" s="22">
        <v>1960</v>
      </c>
      <c r="B112" s="16">
        <v>35.299999999999997</v>
      </c>
      <c r="C112" s="16">
        <v>11</v>
      </c>
      <c r="D112" s="16">
        <f t="shared" si="1"/>
        <v>24.299999999999997</v>
      </c>
    </row>
    <row r="113" spans="1:4" x14ac:dyDescent="0.25">
      <c r="A113" s="22">
        <v>1961</v>
      </c>
      <c r="B113" s="16">
        <v>34.799999999999997</v>
      </c>
      <c r="C113" s="16">
        <v>10.9</v>
      </c>
      <c r="D113" s="16">
        <f t="shared" si="1"/>
        <v>23.9</v>
      </c>
    </row>
    <row r="114" spans="1:4" x14ac:dyDescent="0.25">
      <c r="A114" s="22">
        <v>1962</v>
      </c>
      <c r="B114" s="16">
        <v>34.299999999999997</v>
      </c>
      <c r="C114" s="16">
        <v>10.6</v>
      </c>
      <c r="D114" s="16">
        <f t="shared" si="1"/>
        <v>23.699999999999996</v>
      </c>
    </row>
    <row r="115" spans="1:4" x14ac:dyDescent="0.25">
      <c r="A115" s="22">
        <v>1963</v>
      </c>
      <c r="B115" s="16">
        <v>33.700000000000003</v>
      </c>
      <c r="C115" s="16">
        <v>10.4</v>
      </c>
      <c r="D115" s="16">
        <f t="shared" si="1"/>
        <v>23.300000000000004</v>
      </c>
    </row>
    <row r="116" spans="1:4" x14ac:dyDescent="0.25">
      <c r="A116" s="22">
        <v>1964</v>
      </c>
      <c r="B116" s="16">
        <v>33.1</v>
      </c>
      <c r="C116" s="16">
        <v>10.1</v>
      </c>
      <c r="D116" s="16">
        <f t="shared" si="1"/>
        <v>23</v>
      </c>
    </row>
    <row r="117" spans="1:4" x14ac:dyDescent="0.25">
      <c r="A117" s="22">
        <v>1965</v>
      </c>
      <c r="B117" s="16">
        <v>32.4</v>
      </c>
      <c r="C117" s="16">
        <v>9.8000000000000007</v>
      </c>
      <c r="D117" s="16">
        <f t="shared" si="1"/>
        <v>22.599999999999998</v>
      </c>
    </row>
    <row r="118" spans="1:4" x14ac:dyDescent="0.25">
      <c r="A118" s="22">
        <v>1966</v>
      </c>
      <c r="B118" s="16">
        <v>31.7</v>
      </c>
      <c r="C118" s="16">
        <v>9.4</v>
      </c>
      <c r="D118" s="16">
        <f t="shared" si="1"/>
        <v>22.299999999999997</v>
      </c>
    </row>
    <row r="119" spans="1:4" x14ac:dyDescent="0.25">
      <c r="A119" s="22">
        <v>1967</v>
      </c>
      <c r="B119" s="16">
        <v>30.9</v>
      </c>
      <c r="C119" s="16">
        <v>9.1</v>
      </c>
      <c r="D119" s="16">
        <f t="shared" si="1"/>
        <v>21.799999999999997</v>
      </c>
    </row>
    <row r="120" spans="1:4" x14ac:dyDescent="0.25">
      <c r="A120" s="22">
        <v>1968</v>
      </c>
      <c r="B120" s="16">
        <v>30.2</v>
      </c>
      <c r="C120" s="16">
        <v>8.8000000000000007</v>
      </c>
      <c r="D120" s="16">
        <f t="shared" si="1"/>
        <v>21.4</v>
      </c>
    </row>
    <row r="121" spans="1:4" x14ac:dyDescent="0.25">
      <c r="A121" s="22">
        <v>1969</v>
      </c>
      <c r="B121" s="16">
        <v>29.5</v>
      </c>
      <c r="C121" s="16">
        <v>8.5</v>
      </c>
      <c r="D121" s="16">
        <f t="shared" si="1"/>
        <v>21</v>
      </c>
    </row>
    <row r="122" spans="1:4" x14ac:dyDescent="0.25">
      <c r="A122" s="22">
        <v>1970</v>
      </c>
      <c r="B122" s="16">
        <v>28.8</v>
      </c>
      <c r="C122" s="16">
        <v>8.4</v>
      </c>
      <c r="D122" s="16">
        <f t="shared" si="1"/>
        <v>20.399999999999999</v>
      </c>
    </row>
    <row r="123" spans="1:4" x14ac:dyDescent="0.25">
      <c r="A123" s="22">
        <v>1971</v>
      </c>
      <c r="B123" s="16">
        <v>28.1</v>
      </c>
      <c r="C123" s="16">
        <v>8.1999999999999993</v>
      </c>
      <c r="D123" s="16">
        <f t="shared" si="1"/>
        <v>19.900000000000002</v>
      </c>
    </row>
    <row r="124" spans="1:4" x14ac:dyDescent="0.25">
      <c r="A124" s="22">
        <v>1972</v>
      </c>
      <c r="B124" s="16">
        <v>27.4</v>
      </c>
      <c r="C124" s="16">
        <v>8</v>
      </c>
      <c r="D124" s="16">
        <f t="shared" si="1"/>
        <v>19.399999999999999</v>
      </c>
    </row>
    <row r="125" spans="1:4" x14ac:dyDescent="0.25">
      <c r="A125" s="22">
        <v>1973</v>
      </c>
      <c r="B125" s="16">
        <v>26.8</v>
      </c>
      <c r="C125" s="16">
        <v>7.7</v>
      </c>
      <c r="D125" s="16">
        <f t="shared" si="1"/>
        <v>19.100000000000001</v>
      </c>
    </row>
    <row r="126" spans="1:4" x14ac:dyDescent="0.25">
      <c r="A126" s="22">
        <v>1974</v>
      </c>
      <c r="B126" s="16">
        <v>26.1</v>
      </c>
      <c r="C126" s="16">
        <v>7.4</v>
      </c>
      <c r="D126" s="16">
        <f t="shared" si="1"/>
        <v>18.700000000000003</v>
      </c>
    </row>
    <row r="127" spans="1:4" x14ac:dyDescent="0.25">
      <c r="A127" s="22">
        <v>1975</v>
      </c>
      <c r="B127" s="16">
        <v>25.5</v>
      </c>
      <c r="C127" s="16">
        <v>7</v>
      </c>
      <c r="D127" s="16">
        <f t="shared" si="1"/>
        <v>18.5</v>
      </c>
    </row>
    <row r="128" spans="1:4" x14ac:dyDescent="0.25">
      <c r="A128" s="22">
        <v>1976</v>
      </c>
      <c r="B128" s="16">
        <v>24.9</v>
      </c>
      <c r="C128" s="16">
        <v>6.8</v>
      </c>
      <c r="D128" s="16">
        <f t="shared" si="1"/>
        <v>18.099999999999998</v>
      </c>
    </row>
    <row r="129" spans="1:4" x14ac:dyDescent="0.25">
      <c r="A129" s="22">
        <v>1977</v>
      </c>
      <c r="B129" s="16">
        <v>24.5</v>
      </c>
      <c r="C129" s="16">
        <v>6.5</v>
      </c>
      <c r="D129" s="16">
        <f t="shared" si="1"/>
        <v>18</v>
      </c>
    </row>
    <row r="130" spans="1:4" x14ac:dyDescent="0.25">
      <c r="A130" s="22">
        <v>1978</v>
      </c>
      <c r="B130" s="16">
        <v>24</v>
      </c>
      <c r="C130" s="16">
        <v>6.4</v>
      </c>
      <c r="D130" s="16">
        <f t="shared" si="1"/>
        <v>17.600000000000001</v>
      </c>
    </row>
    <row r="131" spans="1:4" x14ac:dyDescent="0.25">
      <c r="A131" s="22">
        <v>1979</v>
      </c>
      <c r="B131" s="16">
        <v>23.6</v>
      </c>
      <c r="C131" s="16">
        <v>6.2</v>
      </c>
      <c r="D131" s="16">
        <f t="shared" ref="D131:D175" si="2">B131-C131</f>
        <v>17.400000000000002</v>
      </c>
    </row>
    <row r="132" spans="1:4" x14ac:dyDescent="0.25">
      <c r="A132" s="22">
        <v>1980</v>
      </c>
      <c r="B132" s="16">
        <v>23.2</v>
      </c>
      <c r="C132" s="16">
        <v>6</v>
      </c>
      <c r="D132" s="16">
        <f t="shared" si="2"/>
        <v>17.2</v>
      </c>
    </row>
    <row r="133" spans="1:4" x14ac:dyDescent="0.25">
      <c r="A133" s="22">
        <v>1981</v>
      </c>
      <c r="B133" s="16">
        <v>23</v>
      </c>
      <c r="C133" s="16">
        <v>6</v>
      </c>
      <c r="D133" s="16">
        <f t="shared" si="2"/>
        <v>17</v>
      </c>
    </row>
    <row r="134" spans="1:4" x14ac:dyDescent="0.25">
      <c r="A134" s="22">
        <v>1982</v>
      </c>
      <c r="B134" s="16">
        <v>22.7</v>
      </c>
      <c r="C134" s="16">
        <v>5.9</v>
      </c>
      <c r="D134" s="16">
        <f t="shared" si="2"/>
        <v>16.799999999999997</v>
      </c>
    </row>
    <row r="135" spans="1:4" x14ac:dyDescent="0.25">
      <c r="A135" s="22">
        <v>1983</v>
      </c>
      <c r="B135" s="16">
        <v>22.6</v>
      </c>
      <c r="C135" s="16">
        <v>5.8</v>
      </c>
      <c r="D135" s="16">
        <f t="shared" si="2"/>
        <v>16.8</v>
      </c>
    </row>
    <row r="136" spans="1:4" x14ac:dyDescent="0.25">
      <c r="A136" s="22">
        <v>1984</v>
      </c>
      <c r="B136" s="16">
        <v>22.5</v>
      </c>
      <c r="C136" s="16">
        <v>5.7</v>
      </c>
      <c r="D136" s="16">
        <f t="shared" si="2"/>
        <v>16.8</v>
      </c>
    </row>
    <row r="137" spans="1:4" x14ac:dyDescent="0.25">
      <c r="A137" s="22">
        <v>1985</v>
      </c>
      <c r="B137" s="16">
        <v>22.5</v>
      </c>
      <c r="C137" s="16">
        <v>5.6</v>
      </c>
      <c r="D137" s="16">
        <f t="shared" si="2"/>
        <v>16.899999999999999</v>
      </c>
    </row>
    <row r="138" spans="1:4" x14ac:dyDescent="0.25">
      <c r="A138" s="22">
        <v>1986</v>
      </c>
      <c r="B138" s="16">
        <v>22.5</v>
      </c>
      <c r="C138" s="16">
        <v>5.5</v>
      </c>
      <c r="D138" s="16">
        <f t="shared" si="2"/>
        <v>17</v>
      </c>
    </row>
    <row r="139" spans="1:4" x14ac:dyDescent="0.25">
      <c r="A139" s="22">
        <v>1987</v>
      </c>
      <c r="B139" s="16">
        <v>22.5</v>
      </c>
      <c r="C139" s="16">
        <v>5.5</v>
      </c>
      <c r="D139" s="16">
        <f t="shared" si="2"/>
        <v>17</v>
      </c>
    </row>
    <row r="140" spans="1:4" x14ac:dyDescent="0.25">
      <c r="A140" s="22">
        <v>1988</v>
      </c>
      <c r="B140" s="16">
        <v>22.5</v>
      </c>
      <c r="C140" s="16">
        <v>5.4</v>
      </c>
      <c r="D140" s="16">
        <f t="shared" si="2"/>
        <v>17.100000000000001</v>
      </c>
    </row>
    <row r="141" spans="1:4" x14ac:dyDescent="0.25">
      <c r="A141" s="22">
        <v>1989</v>
      </c>
      <c r="B141" s="16">
        <v>22.3</v>
      </c>
      <c r="C141" s="16">
        <v>5.3</v>
      </c>
      <c r="D141" s="16">
        <f t="shared" si="2"/>
        <v>17</v>
      </c>
    </row>
    <row r="142" spans="1:4" x14ac:dyDescent="0.25">
      <c r="A142" s="22">
        <v>1990</v>
      </c>
      <c r="B142" s="16">
        <v>22.1</v>
      </c>
      <c r="C142" s="16">
        <v>5.2</v>
      </c>
      <c r="D142" s="16">
        <f t="shared" si="2"/>
        <v>16.900000000000002</v>
      </c>
    </row>
    <row r="143" spans="1:4" x14ac:dyDescent="0.25">
      <c r="A143" s="22">
        <v>1991</v>
      </c>
      <c r="B143" s="16">
        <v>21.8</v>
      </c>
      <c r="C143" s="16">
        <v>5.2</v>
      </c>
      <c r="D143" s="16">
        <f t="shared" si="2"/>
        <v>16.600000000000001</v>
      </c>
    </row>
    <row r="144" spans="1:4" x14ac:dyDescent="0.25">
      <c r="A144" s="22">
        <v>1992</v>
      </c>
      <c r="B144" s="16">
        <v>21</v>
      </c>
      <c r="C144" s="16">
        <v>5.2</v>
      </c>
      <c r="D144" s="16">
        <f t="shared" si="2"/>
        <v>15.8</v>
      </c>
    </row>
    <row r="145" spans="1:4" x14ac:dyDescent="0.25">
      <c r="A145" s="22">
        <v>1993</v>
      </c>
      <c r="B145" s="16">
        <v>20.399999999999999</v>
      </c>
      <c r="C145" s="16">
        <v>5.2</v>
      </c>
      <c r="D145" s="16">
        <f t="shared" si="2"/>
        <v>15.2</v>
      </c>
    </row>
    <row r="146" spans="1:4" x14ac:dyDescent="0.25">
      <c r="A146" s="22">
        <v>1994</v>
      </c>
      <c r="B146" s="16">
        <v>19.8</v>
      </c>
      <c r="C146" s="16">
        <v>5.2</v>
      </c>
      <c r="D146" s="16">
        <f t="shared" si="2"/>
        <v>14.600000000000001</v>
      </c>
    </row>
    <row r="147" spans="1:4" x14ac:dyDescent="0.25">
      <c r="A147" s="22">
        <v>1995</v>
      </c>
      <c r="B147" s="16">
        <v>19.5</v>
      </c>
      <c r="C147" s="16">
        <v>5.2</v>
      </c>
      <c r="D147" s="16">
        <f t="shared" si="2"/>
        <v>14.3</v>
      </c>
    </row>
    <row r="148" spans="1:4" x14ac:dyDescent="0.25">
      <c r="A148" s="22">
        <v>1996</v>
      </c>
      <c r="B148" s="16">
        <v>18.8</v>
      </c>
      <c r="C148" s="16">
        <v>5.2</v>
      </c>
      <c r="D148" s="16">
        <f t="shared" si="2"/>
        <v>13.600000000000001</v>
      </c>
    </row>
    <row r="149" spans="1:4" x14ac:dyDescent="0.25">
      <c r="A149" s="22">
        <v>1997</v>
      </c>
      <c r="B149" s="16">
        <v>17.899999999999999</v>
      </c>
      <c r="C149" s="16">
        <v>5.2</v>
      </c>
      <c r="D149" s="16">
        <f t="shared" si="2"/>
        <v>12.7</v>
      </c>
    </row>
    <row r="150" spans="1:4" x14ac:dyDescent="0.25">
      <c r="A150" s="22">
        <v>1998</v>
      </c>
      <c r="B150" s="16">
        <v>17.399999999999999</v>
      </c>
      <c r="C150" s="16">
        <v>5.0999999999999996</v>
      </c>
      <c r="D150" s="16">
        <f t="shared" si="2"/>
        <v>12.299999999999999</v>
      </c>
    </row>
    <row r="151" spans="1:4" x14ac:dyDescent="0.25">
      <c r="A151" s="22">
        <v>1999</v>
      </c>
      <c r="B151" s="16">
        <v>16.7</v>
      </c>
      <c r="C151" s="16">
        <v>5</v>
      </c>
      <c r="D151" s="16">
        <f t="shared" si="2"/>
        <v>11.7</v>
      </c>
    </row>
    <row r="152" spans="1:4" x14ac:dyDescent="0.25">
      <c r="A152" s="22">
        <v>2000</v>
      </c>
      <c r="B152" s="16">
        <v>16.3</v>
      </c>
      <c r="C152" s="16">
        <v>5</v>
      </c>
      <c r="D152" s="16">
        <f t="shared" si="2"/>
        <v>11.3</v>
      </c>
    </row>
    <row r="153" spans="1:4" x14ac:dyDescent="0.25">
      <c r="A153" s="22">
        <v>2001</v>
      </c>
      <c r="B153" s="16">
        <v>15.9</v>
      </c>
      <c r="C153" s="16">
        <v>5</v>
      </c>
      <c r="D153" s="16">
        <f t="shared" si="2"/>
        <v>10.9</v>
      </c>
    </row>
    <row r="154" spans="1:4" x14ac:dyDescent="0.25">
      <c r="A154" s="22">
        <v>2002</v>
      </c>
      <c r="B154" s="16">
        <v>15.2</v>
      </c>
      <c r="C154" s="16">
        <v>5</v>
      </c>
      <c r="D154" s="16">
        <f t="shared" si="2"/>
        <v>10.199999999999999</v>
      </c>
    </row>
    <row r="155" spans="1:4" x14ac:dyDescent="0.25">
      <c r="A155" s="22">
        <v>2003</v>
      </c>
      <c r="B155" s="16">
        <v>14.8</v>
      </c>
      <c r="C155" s="16">
        <v>5.2</v>
      </c>
      <c r="D155" s="16">
        <f t="shared" si="2"/>
        <v>9.6000000000000014</v>
      </c>
    </row>
    <row r="156" spans="1:4" x14ac:dyDescent="0.25">
      <c r="A156" s="22">
        <v>2004</v>
      </c>
      <c r="B156" s="16">
        <v>14.4</v>
      </c>
      <c r="C156" s="16">
        <v>5.0999999999999996</v>
      </c>
      <c r="D156" s="16">
        <f t="shared" si="2"/>
        <v>9.3000000000000007</v>
      </c>
    </row>
    <row r="157" spans="1:4" x14ac:dyDescent="0.25">
      <c r="A157" s="22">
        <v>2005</v>
      </c>
      <c r="B157" s="16">
        <v>14.2</v>
      </c>
      <c r="C157" s="16">
        <v>5.2</v>
      </c>
      <c r="D157" s="16">
        <f t="shared" si="2"/>
        <v>9</v>
      </c>
    </row>
    <row r="158" spans="1:4" x14ac:dyDescent="0.25">
      <c r="A158" s="22">
        <v>2006</v>
      </c>
      <c r="B158" s="16">
        <v>14</v>
      </c>
      <c r="C158" s="16">
        <v>5.4</v>
      </c>
      <c r="D158" s="16">
        <f t="shared" si="2"/>
        <v>8.6</v>
      </c>
    </row>
    <row r="159" spans="1:4" x14ac:dyDescent="0.25">
      <c r="A159" s="22">
        <v>2007</v>
      </c>
      <c r="B159" s="16">
        <v>14.2</v>
      </c>
      <c r="C159" s="16">
        <v>5.5</v>
      </c>
      <c r="D159" s="16">
        <f t="shared" si="2"/>
        <v>8.6999999999999993</v>
      </c>
    </row>
    <row r="160" spans="1:4" x14ac:dyDescent="0.25">
      <c r="A160" s="22">
        <v>2008</v>
      </c>
      <c r="B160" s="16">
        <v>14.4</v>
      </c>
      <c r="C160" s="16">
        <v>5.6</v>
      </c>
      <c r="D160" s="16">
        <f t="shared" si="2"/>
        <v>8.8000000000000007</v>
      </c>
    </row>
    <row r="161" spans="1:4" x14ac:dyDescent="0.25">
      <c r="A161" s="22">
        <v>2009</v>
      </c>
      <c r="B161" s="16">
        <v>14.4</v>
      </c>
      <c r="C161" s="16">
        <v>5.7</v>
      </c>
      <c r="D161" s="16">
        <f t="shared" si="2"/>
        <v>8.6999999999999993</v>
      </c>
    </row>
    <row r="162" spans="1:4" x14ac:dyDescent="0.25">
      <c r="A162" s="22">
        <v>2010</v>
      </c>
      <c r="B162" s="16">
        <v>14.2</v>
      </c>
      <c r="C162" s="16">
        <v>5.8</v>
      </c>
      <c r="D162" s="16">
        <f t="shared" si="2"/>
        <v>8.3999999999999986</v>
      </c>
    </row>
    <row r="163" spans="1:4" x14ac:dyDescent="0.25">
      <c r="A163" s="22">
        <v>2011</v>
      </c>
      <c r="B163" s="16">
        <v>14</v>
      </c>
      <c r="C163" s="16">
        <v>5.9</v>
      </c>
      <c r="D163" s="16">
        <f t="shared" si="2"/>
        <v>8.1</v>
      </c>
    </row>
    <row r="164" spans="1:4" x14ac:dyDescent="0.25">
      <c r="A164" s="22">
        <v>2012</v>
      </c>
      <c r="B164" s="16">
        <v>13.8</v>
      </c>
      <c r="C164" s="16">
        <v>6.1</v>
      </c>
      <c r="D164" s="16">
        <f t="shared" si="2"/>
        <v>7.7000000000000011</v>
      </c>
    </row>
    <row r="165" spans="1:4" x14ac:dyDescent="0.25">
      <c r="A165" s="22">
        <v>2013</v>
      </c>
      <c r="B165" s="16">
        <v>13.6</v>
      </c>
      <c r="C165" s="16">
        <v>6.1</v>
      </c>
      <c r="D165" s="16">
        <f t="shared" si="2"/>
        <v>7.5</v>
      </c>
    </row>
    <row r="166" spans="1:4" x14ac:dyDescent="0.25">
      <c r="A166" s="22">
        <v>2014</v>
      </c>
      <c r="B166" s="16">
        <v>13.5</v>
      </c>
      <c r="C166" s="16">
        <v>6.1</v>
      </c>
      <c r="D166" s="16">
        <f t="shared" si="2"/>
        <v>7.4</v>
      </c>
    </row>
    <row r="167" spans="1:4" x14ac:dyDescent="0.25">
      <c r="A167" s="22">
        <v>2015</v>
      </c>
      <c r="B167" s="16">
        <v>13.1</v>
      </c>
      <c r="C167" s="16">
        <v>6.1</v>
      </c>
      <c r="D167" s="16">
        <f t="shared" si="2"/>
        <v>7</v>
      </c>
    </row>
    <row r="168" spans="1:4" x14ac:dyDescent="0.25">
      <c r="A168" s="22">
        <v>2016</v>
      </c>
      <c r="B168" s="16">
        <v>12.7</v>
      </c>
      <c r="C168" s="16">
        <v>6.1</v>
      </c>
      <c r="D168" s="16">
        <f t="shared" si="2"/>
        <v>6.6</v>
      </c>
    </row>
    <row r="169" spans="1:4" x14ac:dyDescent="0.25">
      <c r="A169" s="22">
        <v>2017</v>
      </c>
      <c r="B169" s="16">
        <v>11.8</v>
      </c>
      <c r="C169" s="16">
        <v>6</v>
      </c>
      <c r="D169" s="16">
        <f t="shared" si="2"/>
        <v>5.8000000000000007</v>
      </c>
    </row>
    <row r="170" spans="1:4" x14ac:dyDescent="0.25">
      <c r="A170" s="22">
        <v>2018</v>
      </c>
      <c r="B170" s="16">
        <v>11.7</v>
      </c>
      <c r="C170" s="16">
        <v>6.2</v>
      </c>
      <c r="D170" s="16">
        <f t="shared" si="2"/>
        <v>5.4999999999999991</v>
      </c>
    </row>
    <row r="171" spans="1:4" x14ac:dyDescent="0.25">
      <c r="A171" s="22">
        <v>2019</v>
      </c>
      <c r="B171" s="16">
        <v>10.9</v>
      </c>
      <c r="C171" s="16">
        <v>6.5</v>
      </c>
      <c r="D171" s="16">
        <f t="shared" si="2"/>
        <v>4.4000000000000004</v>
      </c>
    </row>
    <row r="172" spans="1:4" x14ac:dyDescent="0.25">
      <c r="A172" s="22">
        <v>2020</v>
      </c>
      <c r="B172" s="16">
        <v>10.1</v>
      </c>
      <c r="C172" s="16">
        <v>7.4</v>
      </c>
      <c r="D172" s="16">
        <f t="shared" si="2"/>
        <v>2.6999999999999993</v>
      </c>
    </row>
    <row r="173" spans="1:4" x14ac:dyDescent="0.25">
      <c r="A173" s="22">
        <v>2021</v>
      </c>
      <c r="B173" s="16">
        <v>9.1</v>
      </c>
      <c r="C173" s="16">
        <v>7.7</v>
      </c>
      <c r="D173" s="16">
        <f t="shared" si="2"/>
        <v>1.3999999999999995</v>
      </c>
    </row>
    <row r="174" spans="1:4" x14ac:dyDescent="0.25">
      <c r="A174" s="22">
        <v>2022</v>
      </c>
      <c r="B174" s="16">
        <v>9.6999999999999993</v>
      </c>
      <c r="C174" s="16">
        <v>7.6</v>
      </c>
      <c r="D174" s="16">
        <f t="shared" si="2"/>
        <v>2.0999999999999996</v>
      </c>
    </row>
    <row r="175" spans="1:4" x14ac:dyDescent="0.25">
      <c r="A175" s="22">
        <v>2023</v>
      </c>
      <c r="B175" s="16">
        <v>9</v>
      </c>
      <c r="C175" s="16">
        <v>6.5</v>
      </c>
      <c r="D175" s="16">
        <f t="shared" si="2"/>
        <v>2.5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tabSelected="1" workbookViewId="0">
      <selection activeCell="AF6" sqref="AF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73</v>
      </c>
      <c r="B1" s="21" t="s">
        <v>89</v>
      </c>
      <c r="C1" s="21" t="s">
        <v>90</v>
      </c>
      <c r="D1" s="21" t="s">
        <v>88</v>
      </c>
    </row>
    <row r="2" spans="1:4" x14ac:dyDescent="0.25">
      <c r="A2" s="22">
        <v>1915</v>
      </c>
      <c r="B2" s="16">
        <v>46.3</v>
      </c>
      <c r="C2" s="16">
        <v>30.5</v>
      </c>
      <c r="D2" s="16">
        <f>B2-C2</f>
        <v>15.799999999999997</v>
      </c>
    </row>
    <row r="3" spans="1:4" x14ac:dyDescent="0.25">
      <c r="A3" s="22">
        <v>1916</v>
      </c>
      <c r="B3" s="16">
        <v>46.3</v>
      </c>
      <c r="C3" s="16">
        <v>30.4</v>
      </c>
      <c r="D3" s="16">
        <f t="shared" ref="D3:D66" si="0">B3-C3</f>
        <v>15.899999999999999</v>
      </c>
    </row>
    <row r="4" spans="1:4" x14ac:dyDescent="0.25">
      <c r="A4" s="22">
        <v>1917</v>
      </c>
      <c r="B4" s="16">
        <v>46.4</v>
      </c>
      <c r="C4" s="16">
        <v>30.3</v>
      </c>
      <c r="D4" s="16">
        <f t="shared" si="0"/>
        <v>16.099999999999998</v>
      </c>
    </row>
    <row r="5" spans="1:4" x14ac:dyDescent="0.25">
      <c r="A5" s="22">
        <v>1918</v>
      </c>
      <c r="B5" s="16">
        <v>46.6</v>
      </c>
      <c r="C5" s="16">
        <v>30</v>
      </c>
      <c r="D5" s="16">
        <f t="shared" si="0"/>
        <v>16.600000000000001</v>
      </c>
    </row>
    <row r="6" spans="1:4" x14ac:dyDescent="0.25">
      <c r="A6" s="22">
        <v>1919</v>
      </c>
      <c r="B6" s="16">
        <v>46.8</v>
      </c>
      <c r="C6" s="16">
        <v>29.7</v>
      </c>
      <c r="D6" s="16">
        <f t="shared" si="0"/>
        <v>17.099999999999998</v>
      </c>
    </row>
    <row r="7" spans="1:4" x14ac:dyDescent="0.25">
      <c r="A7" s="22">
        <v>1920</v>
      </c>
      <c r="B7" s="16">
        <v>47.1</v>
      </c>
      <c r="C7" s="16">
        <v>29.3</v>
      </c>
      <c r="D7" s="16">
        <f t="shared" si="0"/>
        <v>17.8</v>
      </c>
    </row>
    <row r="8" spans="1:4" x14ac:dyDescent="0.25">
      <c r="A8" s="22">
        <v>1921</v>
      </c>
      <c r="B8" s="16">
        <v>47.3</v>
      </c>
      <c r="C8" s="16">
        <v>29</v>
      </c>
      <c r="D8" s="16">
        <f t="shared" si="0"/>
        <v>18.299999999999997</v>
      </c>
    </row>
    <row r="9" spans="1:4" x14ac:dyDescent="0.25">
      <c r="A9" s="22">
        <v>1922</v>
      </c>
      <c r="B9" s="16">
        <v>47.7</v>
      </c>
      <c r="C9" s="16">
        <v>28.8</v>
      </c>
      <c r="D9" s="16">
        <f t="shared" si="0"/>
        <v>18.900000000000002</v>
      </c>
    </row>
    <row r="10" spans="1:4" x14ac:dyDescent="0.25">
      <c r="A10" s="22">
        <v>1923</v>
      </c>
      <c r="B10" s="16">
        <v>48</v>
      </c>
      <c r="C10" s="16">
        <v>28.7</v>
      </c>
      <c r="D10" s="16">
        <f t="shared" si="0"/>
        <v>19.3</v>
      </c>
    </row>
    <row r="11" spans="1:4" x14ac:dyDescent="0.25">
      <c r="A11" s="22">
        <v>1924</v>
      </c>
      <c r="B11" s="16">
        <v>48.4</v>
      </c>
      <c r="C11" s="16">
        <v>28.7</v>
      </c>
      <c r="D11" s="16">
        <f t="shared" si="0"/>
        <v>19.7</v>
      </c>
    </row>
    <row r="12" spans="1:4" x14ac:dyDescent="0.25">
      <c r="A12" s="22">
        <v>1925</v>
      </c>
      <c r="B12" s="16">
        <v>48.8</v>
      </c>
      <c r="C12" s="16">
        <v>28.8</v>
      </c>
      <c r="D12" s="16">
        <f t="shared" si="0"/>
        <v>19.999999999999996</v>
      </c>
    </row>
    <row r="13" spans="1:4" x14ac:dyDescent="0.25">
      <c r="A13" s="22">
        <v>1926</v>
      </c>
      <c r="B13" s="16">
        <v>49.1</v>
      </c>
      <c r="C13" s="16">
        <v>28.7</v>
      </c>
      <c r="D13" s="16">
        <f t="shared" si="0"/>
        <v>20.400000000000002</v>
      </c>
    </row>
    <row r="14" spans="1:4" x14ac:dyDescent="0.25">
      <c r="A14" s="22">
        <v>1927</v>
      </c>
      <c r="B14" s="16">
        <v>49.2</v>
      </c>
      <c r="C14" s="16">
        <v>28.4</v>
      </c>
      <c r="D14" s="16">
        <f t="shared" si="0"/>
        <v>20.800000000000004</v>
      </c>
    </row>
    <row r="15" spans="1:4" x14ac:dyDescent="0.25">
      <c r="A15" s="22">
        <v>1928</v>
      </c>
      <c r="B15" s="16">
        <v>49.2</v>
      </c>
      <c r="C15" s="16">
        <v>27.9</v>
      </c>
      <c r="D15" s="16">
        <f t="shared" si="0"/>
        <v>21.300000000000004</v>
      </c>
    </row>
    <row r="16" spans="1:4" x14ac:dyDescent="0.25">
      <c r="A16" s="22">
        <v>1929</v>
      </c>
      <c r="B16" s="16">
        <v>49.1</v>
      </c>
      <c r="C16" s="16">
        <v>27.3</v>
      </c>
      <c r="D16" s="16">
        <f t="shared" si="0"/>
        <v>21.8</v>
      </c>
    </row>
    <row r="17" spans="1:4" x14ac:dyDescent="0.25">
      <c r="A17" s="22">
        <v>1930</v>
      </c>
      <c r="B17" s="16">
        <v>48.9</v>
      </c>
      <c r="C17" s="16">
        <v>26.5</v>
      </c>
      <c r="D17" s="16">
        <f t="shared" si="0"/>
        <v>22.4</v>
      </c>
    </row>
    <row r="18" spans="1:4" x14ac:dyDescent="0.25">
      <c r="A18" s="22">
        <v>1931</v>
      </c>
      <c r="B18" s="16">
        <v>48.6</v>
      </c>
      <c r="C18" s="16">
        <v>25.9</v>
      </c>
      <c r="D18" s="16">
        <f t="shared" si="0"/>
        <v>22.700000000000003</v>
      </c>
    </row>
    <row r="19" spans="1:4" x14ac:dyDescent="0.25">
      <c r="A19" s="22">
        <v>1932</v>
      </c>
      <c r="B19" s="16">
        <v>48.5</v>
      </c>
      <c r="C19" s="16">
        <v>25.5</v>
      </c>
      <c r="D19" s="16">
        <f t="shared" si="0"/>
        <v>23</v>
      </c>
    </row>
    <row r="20" spans="1:4" x14ac:dyDescent="0.25">
      <c r="A20" s="22">
        <v>1933</v>
      </c>
      <c r="B20" s="16">
        <v>48.3</v>
      </c>
      <c r="C20" s="16">
        <v>25.3</v>
      </c>
      <c r="D20" s="16">
        <f t="shared" si="0"/>
        <v>22.999999999999996</v>
      </c>
    </row>
    <row r="21" spans="1:4" x14ac:dyDescent="0.25">
      <c r="A21" s="22">
        <v>1934</v>
      </c>
      <c r="B21" s="16">
        <v>48.2</v>
      </c>
      <c r="C21" s="16">
        <v>25.3</v>
      </c>
      <c r="D21" s="16">
        <f t="shared" si="0"/>
        <v>22.900000000000002</v>
      </c>
    </row>
    <row r="22" spans="1:4" x14ac:dyDescent="0.25">
      <c r="A22" s="22">
        <v>1935</v>
      </c>
      <c r="B22" s="16">
        <v>48.2</v>
      </c>
      <c r="C22" s="16">
        <v>25.6</v>
      </c>
      <c r="D22" s="16">
        <f t="shared" si="0"/>
        <v>22.6</v>
      </c>
    </row>
    <row r="23" spans="1:4" x14ac:dyDescent="0.25">
      <c r="A23" s="22">
        <v>1936</v>
      </c>
      <c r="B23" s="16">
        <v>48</v>
      </c>
      <c r="C23" s="16">
        <v>25.7</v>
      </c>
      <c r="D23" s="16">
        <f t="shared" si="0"/>
        <v>22.3</v>
      </c>
    </row>
    <row r="24" spans="1:4" x14ac:dyDescent="0.25">
      <c r="A24" s="22">
        <v>1937</v>
      </c>
      <c r="B24" s="16">
        <v>47.8</v>
      </c>
      <c r="C24" s="16">
        <v>25.7</v>
      </c>
      <c r="D24" s="16">
        <f t="shared" si="0"/>
        <v>22.099999999999998</v>
      </c>
    </row>
    <row r="25" spans="1:4" x14ac:dyDescent="0.25">
      <c r="A25" s="22">
        <v>1938</v>
      </c>
      <c r="B25" s="16">
        <v>47.5</v>
      </c>
      <c r="C25" s="16">
        <v>25.6</v>
      </c>
      <c r="D25" s="16">
        <f t="shared" si="0"/>
        <v>21.9</v>
      </c>
    </row>
    <row r="26" spans="1:4" x14ac:dyDescent="0.25">
      <c r="A26" s="22">
        <v>1939</v>
      </c>
      <c r="B26" s="16">
        <v>47.1</v>
      </c>
      <c r="C26" s="16">
        <v>25.5</v>
      </c>
      <c r="D26" s="16">
        <f t="shared" si="0"/>
        <v>21.6</v>
      </c>
    </row>
    <row r="27" spans="1:4" x14ac:dyDescent="0.25">
      <c r="A27" s="22">
        <v>1940</v>
      </c>
      <c r="B27" s="16">
        <v>46.6</v>
      </c>
      <c r="C27" s="16">
        <v>25.2</v>
      </c>
      <c r="D27" s="16">
        <f t="shared" si="0"/>
        <v>21.400000000000002</v>
      </c>
    </row>
    <row r="28" spans="1:4" x14ac:dyDescent="0.25">
      <c r="A28" s="22">
        <v>1941</v>
      </c>
      <c r="B28" s="16">
        <v>46.2</v>
      </c>
      <c r="C28" s="16">
        <v>24.8</v>
      </c>
      <c r="D28" s="16">
        <f t="shared" si="0"/>
        <v>21.400000000000002</v>
      </c>
    </row>
    <row r="29" spans="1:4" x14ac:dyDescent="0.25">
      <c r="A29" s="22">
        <v>1942</v>
      </c>
      <c r="B29" s="16">
        <v>45.9</v>
      </c>
      <c r="C29" s="16">
        <v>24.2</v>
      </c>
      <c r="D29" s="16">
        <f t="shared" si="0"/>
        <v>21.7</v>
      </c>
    </row>
    <row r="30" spans="1:4" x14ac:dyDescent="0.25">
      <c r="A30" s="22">
        <v>1943</v>
      </c>
      <c r="B30" s="16">
        <v>45.7</v>
      </c>
      <c r="C30" s="16">
        <v>23.4</v>
      </c>
      <c r="D30" s="16">
        <f t="shared" si="0"/>
        <v>22.300000000000004</v>
      </c>
    </row>
    <row r="31" spans="1:4" x14ac:dyDescent="0.25">
      <c r="A31" s="22">
        <v>1944</v>
      </c>
      <c r="B31" s="16">
        <v>45.7</v>
      </c>
      <c r="C31" s="16">
        <v>22.6</v>
      </c>
      <c r="D31" s="16">
        <f t="shared" si="0"/>
        <v>23.1</v>
      </c>
    </row>
    <row r="32" spans="1:4" x14ac:dyDescent="0.25">
      <c r="A32" s="22">
        <v>1945</v>
      </c>
      <c r="B32" s="16">
        <v>45.7</v>
      </c>
      <c r="C32" s="16">
        <v>21.5</v>
      </c>
      <c r="D32" s="16">
        <f t="shared" si="0"/>
        <v>24.200000000000003</v>
      </c>
    </row>
    <row r="33" spans="1:4" x14ac:dyDescent="0.25">
      <c r="A33" s="22">
        <v>1946</v>
      </c>
      <c r="B33" s="16">
        <v>45.8</v>
      </c>
      <c r="C33" s="16">
        <v>20.6</v>
      </c>
      <c r="D33" s="16">
        <f t="shared" si="0"/>
        <v>25.199999999999996</v>
      </c>
    </row>
    <row r="34" spans="1:4" x14ac:dyDescent="0.25">
      <c r="A34" s="22">
        <v>1947</v>
      </c>
      <c r="B34" s="16">
        <v>45.9</v>
      </c>
      <c r="C34" s="16">
        <v>19.899999999999999</v>
      </c>
      <c r="D34" s="16">
        <f t="shared" si="0"/>
        <v>26</v>
      </c>
    </row>
    <row r="35" spans="1:4" x14ac:dyDescent="0.25">
      <c r="A35" s="22">
        <v>1948</v>
      </c>
      <c r="B35" s="16">
        <v>46</v>
      </c>
      <c r="C35" s="16">
        <v>19.3</v>
      </c>
      <c r="D35" s="16">
        <f t="shared" si="0"/>
        <v>26.7</v>
      </c>
    </row>
    <row r="36" spans="1:4" x14ac:dyDescent="0.25">
      <c r="A36" s="22">
        <v>1949</v>
      </c>
      <c r="B36" s="16">
        <v>46.1</v>
      </c>
      <c r="C36" s="16">
        <v>18.8</v>
      </c>
      <c r="D36" s="16">
        <f t="shared" si="0"/>
        <v>27.3</v>
      </c>
    </row>
    <row r="37" spans="1:4" x14ac:dyDescent="0.25">
      <c r="A37" s="22">
        <v>1950</v>
      </c>
      <c r="B37" s="16">
        <v>46.2</v>
      </c>
      <c r="C37" s="16">
        <v>18.399999999999999</v>
      </c>
      <c r="D37" s="16">
        <f t="shared" si="0"/>
        <v>27.800000000000004</v>
      </c>
    </row>
    <row r="38" spans="1:4" x14ac:dyDescent="0.25">
      <c r="A38" s="22">
        <v>1951</v>
      </c>
      <c r="B38" s="16">
        <v>46.3</v>
      </c>
      <c r="C38" s="16">
        <v>18.100000000000001</v>
      </c>
      <c r="D38" s="16">
        <f t="shared" si="0"/>
        <v>28.199999999999996</v>
      </c>
    </row>
    <row r="39" spans="1:4" x14ac:dyDescent="0.25">
      <c r="A39" s="22">
        <v>1952</v>
      </c>
      <c r="B39" s="16">
        <v>46.3</v>
      </c>
      <c r="C39" s="16">
        <v>17.7</v>
      </c>
      <c r="D39" s="16">
        <f t="shared" si="0"/>
        <v>28.599999999999998</v>
      </c>
    </row>
    <row r="40" spans="1:4" x14ac:dyDescent="0.25">
      <c r="A40" s="22">
        <v>1953</v>
      </c>
      <c r="B40" s="16">
        <v>46.2</v>
      </c>
      <c r="C40" s="16">
        <v>17.399999999999999</v>
      </c>
      <c r="D40" s="16">
        <f t="shared" si="0"/>
        <v>28.800000000000004</v>
      </c>
    </row>
    <row r="41" spans="1:4" x14ac:dyDescent="0.25">
      <c r="A41" s="22">
        <v>1954</v>
      </c>
      <c r="B41" s="16">
        <v>45.9</v>
      </c>
      <c r="C41" s="16">
        <v>17.2</v>
      </c>
      <c r="D41" s="16">
        <f t="shared" si="0"/>
        <v>28.7</v>
      </c>
    </row>
    <row r="42" spans="1:4" x14ac:dyDescent="0.25">
      <c r="A42" s="22">
        <v>1955</v>
      </c>
      <c r="B42" s="16">
        <v>45.5</v>
      </c>
      <c r="C42" s="16">
        <v>17</v>
      </c>
      <c r="D42" s="16">
        <f t="shared" si="0"/>
        <v>28.5</v>
      </c>
    </row>
    <row r="43" spans="1:4" x14ac:dyDescent="0.25">
      <c r="A43" s="22">
        <v>1956</v>
      </c>
      <c r="B43" s="16">
        <v>45.1</v>
      </c>
      <c r="C43" s="16">
        <v>16.8</v>
      </c>
      <c r="D43" s="16">
        <f t="shared" si="0"/>
        <v>28.3</v>
      </c>
    </row>
    <row r="44" spans="1:4" x14ac:dyDescent="0.25">
      <c r="A44" s="22">
        <v>1957</v>
      </c>
      <c r="B44" s="16">
        <v>44.6</v>
      </c>
      <c r="C44" s="16">
        <v>16.600000000000001</v>
      </c>
      <c r="D44" s="16">
        <f t="shared" si="0"/>
        <v>28</v>
      </c>
    </row>
    <row r="45" spans="1:4" x14ac:dyDescent="0.25">
      <c r="A45" s="22">
        <v>1958</v>
      </c>
      <c r="B45" s="16">
        <v>44.1</v>
      </c>
      <c r="C45" s="16">
        <v>16.2</v>
      </c>
      <c r="D45" s="16">
        <f t="shared" si="0"/>
        <v>27.900000000000002</v>
      </c>
    </row>
    <row r="46" spans="1:4" x14ac:dyDescent="0.25">
      <c r="A46" s="22">
        <v>1959</v>
      </c>
      <c r="B46" s="16">
        <v>43.9</v>
      </c>
      <c r="C46" s="16">
        <v>15.8</v>
      </c>
      <c r="D46" s="16">
        <f t="shared" si="0"/>
        <v>28.099999999999998</v>
      </c>
    </row>
    <row r="47" spans="1:4" x14ac:dyDescent="0.25">
      <c r="A47" s="22">
        <v>1960</v>
      </c>
      <c r="B47" s="16">
        <v>43.7</v>
      </c>
      <c r="C47" s="16">
        <v>15.3</v>
      </c>
      <c r="D47" s="16">
        <f t="shared" si="0"/>
        <v>28.400000000000002</v>
      </c>
    </row>
    <row r="48" spans="1:4" x14ac:dyDescent="0.25">
      <c r="A48" s="22">
        <v>1961</v>
      </c>
      <c r="B48" s="16">
        <v>43.5</v>
      </c>
      <c r="C48" s="16">
        <v>14.8</v>
      </c>
      <c r="D48" s="16">
        <f t="shared" si="0"/>
        <v>28.7</v>
      </c>
    </row>
    <row r="49" spans="1:4" x14ac:dyDescent="0.25">
      <c r="A49" s="22">
        <v>1962</v>
      </c>
      <c r="B49" s="16">
        <v>43.4</v>
      </c>
      <c r="C49" s="16">
        <v>14.4</v>
      </c>
      <c r="D49" s="16">
        <f t="shared" si="0"/>
        <v>29</v>
      </c>
    </row>
    <row r="50" spans="1:4" x14ac:dyDescent="0.25">
      <c r="A50" s="22">
        <v>1963</v>
      </c>
      <c r="B50" s="16">
        <v>43.2</v>
      </c>
      <c r="C50" s="16">
        <v>13.9</v>
      </c>
      <c r="D50" s="16">
        <f t="shared" si="0"/>
        <v>29.300000000000004</v>
      </c>
    </row>
    <row r="51" spans="1:4" x14ac:dyDescent="0.25">
      <c r="A51" s="22">
        <v>1964</v>
      </c>
      <c r="B51" s="16">
        <v>43.1</v>
      </c>
      <c r="C51" s="16">
        <v>13.5</v>
      </c>
      <c r="D51" s="16">
        <f t="shared" si="0"/>
        <v>29.6</v>
      </c>
    </row>
    <row r="52" spans="1:4" x14ac:dyDescent="0.25">
      <c r="A52" s="22">
        <v>1965</v>
      </c>
      <c r="B52" s="16">
        <v>42.9</v>
      </c>
      <c r="C52" s="16">
        <v>13.1</v>
      </c>
      <c r="D52" s="16">
        <f t="shared" si="0"/>
        <v>29.799999999999997</v>
      </c>
    </row>
    <row r="53" spans="1:4" x14ac:dyDescent="0.25">
      <c r="A53" s="22">
        <v>1966</v>
      </c>
      <c r="B53" s="16">
        <v>42.6</v>
      </c>
      <c r="C53" s="16">
        <v>12.7</v>
      </c>
      <c r="D53" s="16">
        <f t="shared" si="0"/>
        <v>29.900000000000002</v>
      </c>
    </row>
    <row r="54" spans="1:4" x14ac:dyDescent="0.25">
      <c r="A54" s="22">
        <v>1967</v>
      </c>
      <c r="B54" s="16">
        <v>42.4</v>
      </c>
      <c r="C54" s="16">
        <v>12.4</v>
      </c>
      <c r="D54" s="16">
        <f t="shared" si="0"/>
        <v>30</v>
      </c>
    </row>
    <row r="55" spans="1:4" x14ac:dyDescent="0.25">
      <c r="A55" s="22">
        <v>1968</v>
      </c>
      <c r="B55" s="16">
        <v>42</v>
      </c>
      <c r="C55" s="16">
        <v>12.1</v>
      </c>
      <c r="D55" s="16">
        <f t="shared" si="0"/>
        <v>29.9</v>
      </c>
    </row>
    <row r="56" spans="1:4" x14ac:dyDescent="0.25">
      <c r="A56" s="22">
        <v>1969</v>
      </c>
      <c r="B56" s="16">
        <v>41.7</v>
      </c>
      <c r="C56" s="16">
        <v>11.8</v>
      </c>
      <c r="D56" s="16">
        <f t="shared" si="0"/>
        <v>29.900000000000002</v>
      </c>
    </row>
    <row r="57" spans="1:4" x14ac:dyDescent="0.25">
      <c r="A57" s="22">
        <v>1970</v>
      </c>
      <c r="B57" s="16">
        <v>41.2</v>
      </c>
      <c r="C57" s="16">
        <v>11.4</v>
      </c>
      <c r="D57" s="16">
        <f t="shared" si="0"/>
        <v>29.800000000000004</v>
      </c>
    </row>
    <row r="58" spans="1:4" x14ac:dyDescent="0.25">
      <c r="A58" s="22">
        <v>1971</v>
      </c>
      <c r="B58" s="16">
        <v>40.700000000000003</v>
      </c>
      <c r="C58" s="16">
        <v>11.1</v>
      </c>
      <c r="D58" s="16">
        <f t="shared" si="0"/>
        <v>29.6</v>
      </c>
    </row>
    <row r="59" spans="1:4" x14ac:dyDescent="0.25">
      <c r="A59" s="22">
        <v>1972</v>
      </c>
      <c r="B59" s="16">
        <v>40.1</v>
      </c>
      <c r="C59" s="16">
        <v>10.7</v>
      </c>
      <c r="D59" s="16">
        <f t="shared" si="0"/>
        <v>29.400000000000002</v>
      </c>
    </row>
    <row r="60" spans="1:4" x14ac:dyDescent="0.25">
      <c r="A60" s="22">
        <v>1973</v>
      </c>
      <c r="B60" s="16">
        <v>39.5</v>
      </c>
      <c r="C60" s="16">
        <v>10.4</v>
      </c>
      <c r="D60" s="16">
        <f t="shared" si="0"/>
        <v>29.1</v>
      </c>
    </row>
    <row r="61" spans="1:4" x14ac:dyDescent="0.25">
      <c r="A61" s="22">
        <v>1974</v>
      </c>
      <c r="B61" s="16">
        <v>38.9</v>
      </c>
      <c r="C61" s="16">
        <v>10.1</v>
      </c>
      <c r="D61" s="16">
        <f t="shared" si="0"/>
        <v>28.799999999999997</v>
      </c>
    </row>
    <row r="62" spans="1:4" x14ac:dyDescent="0.25">
      <c r="A62" s="22">
        <v>1975</v>
      </c>
      <c r="B62" s="16">
        <v>38.200000000000003</v>
      </c>
      <c r="C62" s="16">
        <v>9.8000000000000007</v>
      </c>
      <c r="D62" s="16">
        <f t="shared" si="0"/>
        <v>28.400000000000002</v>
      </c>
    </row>
    <row r="63" spans="1:4" x14ac:dyDescent="0.25">
      <c r="A63" s="22">
        <v>1976</v>
      </c>
      <c r="B63" s="16">
        <v>37.6</v>
      </c>
      <c r="C63" s="16">
        <v>9.5</v>
      </c>
      <c r="D63" s="16">
        <f t="shared" si="0"/>
        <v>28.1</v>
      </c>
    </row>
    <row r="64" spans="1:4" x14ac:dyDescent="0.25">
      <c r="A64" s="22">
        <v>1977</v>
      </c>
      <c r="B64" s="16">
        <v>36.9</v>
      </c>
      <c r="C64" s="16">
        <v>9.1999999999999993</v>
      </c>
      <c r="D64" s="16">
        <f t="shared" si="0"/>
        <v>27.7</v>
      </c>
    </row>
    <row r="65" spans="1:4" x14ac:dyDescent="0.25">
      <c r="A65" s="22">
        <v>1978</v>
      </c>
      <c r="B65" s="16">
        <v>36.299999999999997</v>
      </c>
      <c r="C65" s="16">
        <v>8.8000000000000007</v>
      </c>
      <c r="D65" s="16">
        <f t="shared" si="0"/>
        <v>27.499999999999996</v>
      </c>
    </row>
    <row r="66" spans="1:4" x14ac:dyDescent="0.25">
      <c r="A66" s="22">
        <v>1979</v>
      </c>
      <c r="B66" s="16">
        <v>35.700000000000003</v>
      </c>
      <c r="C66" s="16">
        <v>8.5</v>
      </c>
      <c r="D66" s="16">
        <f t="shared" si="0"/>
        <v>27.200000000000003</v>
      </c>
    </row>
    <row r="67" spans="1:4" x14ac:dyDescent="0.25">
      <c r="A67" s="22">
        <v>1980</v>
      </c>
      <c r="B67" s="16">
        <v>35.200000000000003</v>
      </c>
      <c r="C67" s="16">
        <v>8.1999999999999993</v>
      </c>
      <c r="D67" s="16">
        <f t="shared" ref="D67:D110" si="1">B67-C67</f>
        <v>27.000000000000004</v>
      </c>
    </row>
    <row r="68" spans="1:4" x14ac:dyDescent="0.25">
      <c r="A68" s="22">
        <v>1981</v>
      </c>
      <c r="B68" s="16">
        <v>34.700000000000003</v>
      </c>
      <c r="C68" s="16">
        <v>8</v>
      </c>
      <c r="D68" s="16">
        <f t="shared" si="1"/>
        <v>26.700000000000003</v>
      </c>
    </row>
    <row r="69" spans="1:4" x14ac:dyDescent="0.25">
      <c r="A69" s="22">
        <v>1982</v>
      </c>
      <c r="B69" s="16">
        <v>34.1</v>
      </c>
      <c r="C69" s="16">
        <v>7.7</v>
      </c>
      <c r="D69" s="16">
        <f t="shared" si="1"/>
        <v>26.400000000000002</v>
      </c>
    </row>
    <row r="70" spans="1:4" x14ac:dyDescent="0.25">
      <c r="A70" s="22">
        <v>1983</v>
      </c>
      <c r="B70" s="16">
        <v>33.6</v>
      </c>
      <c r="C70" s="16">
        <v>7.5</v>
      </c>
      <c r="D70" s="16">
        <f t="shared" si="1"/>
        <v>26.1</v>
      </c>
    </row>
    <row r="71" spans="1:4" x14ac:dyDescent="0.25">
      <c r="A71" s="22">
        <v>1984</v>
      </c>
      <c r="B71" s="16">
        <v>33.299999999999997</v>
      </c>
      <c r="C71" s="16">
        <v>7.2</v>
      </c>
      <c r="D71" s="16">
        <f t="shared" si="1"/>
        <v>26.099999999999998</v>
      </c>
    </row>
    <row r="72" spans="1:4" x14ac:dyDescent="0.25">
      <c r="A72" s="22">
        <v>1985</v>
      </c>
      <c r="B72" s="16">
        <v>32.299999999999997</v>
      </c>
      <c r="C72" s="16">
        <v>7</v>
      </c>
      <c r="D72" s="16">
        <f t="shared" si="1"/>
        <v>25.299999999999997</v>
      </c>
    </row>
    <row r="73" spans="1:4" x14ac:dyDescent="0.25">
      <c r="A73" s="22">
        <v>1986</v>
      </c>
      <c r="B73" s="16">
        <v>31.5</v>
      </c>
      <c r="C73" s="16">
        <v>6.7</v>
      </c>
      <c r="D73" s="16">
        <f t="shared" si="1"/>
        <v>24.8</v>
      </c>
    </row>
    <row r="74" spans="1:4" x14ac:dyDescent="0.25">
      <c r="A74" s="22">
        <v>1987</v>
      </c>
      <c r="B74" s="16">
        <v>30.8</v>
      </c>
      <c r="C74" s="16">
        <v>6.5</v>
      </c>
      <c r="D74" s="16">
        <f t="shared" si="1"/>
        <v>24.3</v>
      </c>
    </row>
    <row r="75" spans="1:4" x14ac:dyDescent="0.25">
      <c r="A75" s="22">
        <v>1988</v>
      </c>
      <c r="B75" s="16">
        <v>30.4</v>
      </c>
      <c r="C75" s="16">
        <v>6.3</v>
      </c>
      <c r="D75" s="16">
        <f t="shared" si="1"/>
        <v>24.099999999999998</v>
      </c>
    </row>
    <row r="76" spans="1:4" x14ac:dyDescent="0.25">
      <c r="A76" s="22">
        <v>1989</v>
      </c>
      <c r="B76" s="16">
        <v>30.2</v>
      </c>
      <c r="C76" s="16">
        <v>6</v>
      </c>
      <c r="D76" s="16">
        <f t="shared" si="1"/>
        <v>24.2</v>
      </c>
    </row>
    <row r="77" spans="1:4" x14ac:dyDescent="0.25">
      <c r="A77" s="22">
        <v>1990</v>
      </c>
      <c r="B77" s="16">
        <v>29.9</v>
      </c>
      <c r="C77" s="16">
        <v>5.8</v>
      </c>
      <c r="D77" s="16">
        <f t="shared" si="1"/>
        <v>24.099999999999998</v>
      </c>
    </row>
    <row r="78" spans="1:4" x14ac:dyDescent="0.25">
      <c r="A78" s="22">
        <v>1991</v>
      </c>
      <c r="B78" s="16">
        <v>29.7</v>
      </c>
      <c r="C78" s="16">
        <v>5.6</v>
      </c>
      <c r="D78" s="16">
        <f t="shared" si="1"/>
        <v>24.1</v>
      </c>
    </row>
    <row r="79" spans="1:4" x14ac:dyDescent="0.25">
      <c r="A79" s="22">
        <v>1992</v>
      </c>
      <c r="B79" s="16">
        <v>29.3</v>
      </c>
      <c r="C79" s="16">
        <v>5.5</v>
      </c>
      <c r="D79" s="16">
        <f t="shared" si="1"/>
        <v>23.8</v>
      </c>
    </row>
    <row r="80" spans="1:4" x14ac:dyDescent="0.25">
      <c r="A80" s="22">
        <v>1993</v>
      </c>
      <c r="B80" s="16">
        <v>28.7</v>
      </c>
      <c r="C80" s="16">
        <v>5.4</v>
      </c>
      <c r="D80" s="16">
        <f t="shared" si="1"/>
        <v>23.299999999999997</v>
      </c>
    </row>
    <row r="81" spans="1:4" x14ac:dyDescent="0.25">
      <c r="A81" s="22">
        <v>1994</v>
      </c>
      <c r="B81" s="16">
        <v>28.2</v>
      </c>
      <c r="C81" s="16">
        <v>5.2</v>
      </c>
      <c r="D81" s="16">
        <f t="shared" si="1"/>
        <v>23</v>
      </c>
    </row>
    <row r="82" spans="1:4" x14ac:dyDescent="0.25">
      <c r="A82" s="22">
        <v>1995</v>
      </c>
      <c r="B82" s="16">
        <v>27.9</v>
      </c>
      <c r="C82" s="16">
        <v>5.0999999999999996</v>
      </c>
      <c r="D82" s="16">
        <f t="shared" si="1"/>
        <v>22.799999999999997</v>
      </c>
    </row>
    <row r="83" spans="1:4" x14ac:dyDescent="0.25">
      <c r="A83" s="22">
        <v>1996</v>
      </c>
      <c r="B83" s="16">
        <v>27.7</v>
      </c>
      <c r="C83" s="16">
        <v>5</v>
      </c>
      <c r="D83" s="16">
        <f t="shared" si="1"/>
        <v>22.7</v>
      </c>
    </row>
    <row r="84" spans="1:4" x14ac:dyDescent="0.25">
      <c r="A84" s="22">
        <v>1997</v>
      </c>
      <c r="B84" s="16">
        <v>27.1</v>
      </c>
      <c r="C84" s="16">
        <v>5</v>
      </c>
      <c r="D84" s="16">
        <f t="shared" si="1"/>
        <v>22.1</v>
      </c>
    </row>
    <row r="85" spans="1:4" x14ac:dyDescent="0.25">
      <c r="A85" s="22">
        <v>1998</v>
      </c>
      <c r="B85" s="16">
        <v>26.6</v>
      </c>
      <c r="C85" s="16">
        <v>5.0999999999999996</v>
      </c>
      <c r="D85" s="16">
        <f t="shared" si="1"/>
        <v>21.5</v>
      </c>
    </row>
    <row r="86" spans="1:4" x14ac:dyDescent="0.25">
      <c r="A86" s="22">
        <v>1999</v>
      </c>
      <c r="B86" s="16">
        <v>26.1</v>
      </c>
      <c r="C86" s="16">
        <v>5.2</v>
      </c>
      <c r="D86" s="16">
        <f t="shared" si="1"/>
        <v>20.900000000000002</v>
      </c>
    </row>
    <row r="87" spans="1:4" x14ac:dyDescent="0.25">
      <c r="A87" s="22">
        <v>2000</v>
      </c>
      <c r="B87" s="16">
        <v>25.6</v>
      </c>
      <c r="C87" s="16">
        <v>5.2</v>
      </c>
      <c r="D87" s="16">
        <f t="shared" si="1"/>
        <v>20.400000000000002</v>
      </c>
    </row>
    <row r="88" spans="1:4" x14ac:dyDescent="0.25">
      <c r="A88" s="22">
        <v>2001</v>
      </c>
      <c r="B88" s="16">
        <v>25.1</v>
      </c>
      <c r="C88" s="16">
        <v>5.0999999999999996</v>
      </c>
      <c r="D88" s="16">
        <f t="shared" si="1"/>
        <v>20</v>
      </c>
    </row>
    <row r="89" spans="1:4" x14ac:dyDescent="0.25">
      <c r="A89" s="22">
        <v>2002</v>
      </c>
      <c r="B89" s="16">
        <v>24.7</v>
      </c>
      <c r="C89" s="16">
        <v>4.9000000000000004</v>
      </c>
      <c r="D89" s="16">
        <f t="shared" si="1"/>
        <v>19.799999999999997</v>
      </c>
    </row>
    <row r="90" spans="1:4" x14ac:dyDescent="0.25">
      <c r="A90" s="22">
        <v>2003</v>
      </c>
      <c r="B90" s="16">
        <v>24.2</v>
      </c>
      <c r="C90" s="16">
        <v>4.8</v>
      </c>
      <c r="D90" s="16">
        <f t="shared" si="1"/>
        <v>19.399999999999999</v>
      </c>
    </row>
    <row r="91" spans="1:4" x14ac:dyDescent="0.25">
      <c r="A91" s="22">
        <v>2004</v>
      </c>
      <c r="B91" s="16">
        <v>23.7</v>
      </c>
      <c r="C91" s="16">
        <v>4.8</v>
      </c>
      <c r="D91" s="16">
        <f t="shared" si="1"/>
        <v>18.899999999999999</v>
      </c>
    </row>
    <row r="92" spans="1:4" x14ac:dyDescent="0.25">
      <c r="A92" s="22">
        <v>2005</v>
      </c>
      <c r="B92" s="16">
        <v>23.3</v>
      </c>
      <c r="C92" s="16">
        <v>4.9000000000000004</v>
      </c>
      <c r="D92" s="16">
        <f t="shared" si="1"/>
        <v>18.399999999999999</v>
      </c>
    </row>
    <row r="93" spans="1:4" x14ac:dyDescent="0.25">
      <c r="A93" s="22">
        <v>2006</v>
      </c>
      <c r="B93" s="16">
        <v>23</v>
      </c>
      <c r="C93" s="16">
        <v>4.9000000000000004</v>
      </c>
      <c r="D93" s="16">
        <f t="shared" si="1"/>
        <v>18.100000000000001</v>
      </c>
    </row>
    <row r="94" spans="1:4" x14ac:dyDescent="0.25">
      <c r="A94" s="22">
        <v>2007</v>
      </c>
      <c r="B94" s="16">
        <v>22.6</v>
      </c>
      <c r="C94" s="16">
        <v>4.9000000000000004</v>
      </c>
      <c r="D94" s="16">
        <f t="shared" si="1"/>
        <v>17.700000000000003</v>
      </c>
    </row>
    <row r="95" spans="1:4" x14ac:dyDescent="0.25">
      <c r="A95" s="22">
        <v>2008</v>
      </c>
      <c r="B95" s="16">
        <v>22.5</v>
      </c>
      <c r="C95" s="16">
        <v>4.8</v>
      </c>
      <c r="D95" s="16">
        <f t="shared" si="1"/>
        <v>17.7</v>
      </c>
    </row>
    <row r="96" spans="1:4" x14ac:dyDescent="0.25">
      <c r="A96" s="22">
        <v>2009</v>
      </c>
      <c r="B96" s="16">
        <v>22.4</v>
      </c>
      <c r="C96" s="16">
        <v>4.8</v>
      </c>
      <c r="D96" s="16">
        <f t="shared" si="1"/>
        <v>17.599999999999998</v>
      </c>
    </row>
    <row r="97" spans="1:4" x14ac:dyDescent="0.25">
      <c r="A97" s="22">
        <v>2010</v>
      </c>
      <c r="B97" s="16">
        <v>21.9</v>
      </c>
      <c r="C97" s="16">
        <v>4.8</v>
      </c>
      <c r="D97" s="16">
        <f t="shared" si="1"/>
        <v>17.099999999999998</v>
      </c>
    </row>
    <row r="98" spans="1:4" x14ac:dyDescent="0.25">
      <c r="A98" s="22">
        <v>2011</v>
      </c>
      <c r="B98" s="16">
        <v>21.8</v>
      </c>
      <c r="C98" s="16">
        <v>4.9000000000000004</v>
      </c>
      <c r="D98" s="16">
        <f t="shared" si="1"/>
        <v>16.899999999999999</v>
      </c>
    </row>
    <row r="99" spans="1:4" x14ac:dyDescent="0.25">
      <c r="A99" s="22">
        <v>2012</v>
      </c>
      <c r="B99" s="16">
        <v>20.9</v>
      </c>
      <c r="C99" s="16">
        <v>4.9000000000000004</v>
      </c>
      <c r="D99" s="16">
        <f t="shared" si="1"/>
        <v>15.999999999999998</v>
      </c>
    </row>
    <row r="100" spans="1:4" x14ac:dyDescent="0.25">
      <c r="A100" s="22">
        <v>2013</v>
      </c>
      <c r="B100" s="16">
        <v>19.7</v>
      </c>
      <c r="C100" s="16">
        <v>4.8</v>
      </c>
      <c r="D100" s="16">
        <f t="shared" si="1"/>
        <v>14.899999999999999</v>
      </c>
    </row>
    <row r="101" spans="1:4" x14ac:dyDescent="0.25">
      <c r="A101" s="22">
        <v>2014</v>
      </c>
      <c r="B101" s="16">
        <v>18.899999999999999</v>
      </c>
      <c r="C101" s="16">
        <v>4.8</v>
      </c>
      <c r="D101" s="16">
        <f t="shared" si="1"/>
        <v>14.099999999999998</v>
      </c>
    </row>
    <row r="102" spans="1:4" x14ac:dyDescent="0.25">
      <c r="A102" s="22">
        <v>2015</v>
      </c>
      <c r="B102" s="16">
        <v>18.399999999999999</v>
      </c>
      <c r="C102" s="16">
        <v>4.9000000000000004</v>
      </c>
      <c r="D102" s="16">
        <f t="shared" si="1"/>
        <v>13.499999999999998</v>
      </c>
    </row>
    <row r="103" spans="1:4" x14ac:dyDescent="0.25">
      <c r="A103" s="22">
        <v>2016</v>
      </c>
      <c r="B103" s="16">
        <v>17.600000000000001</v>
      </c>
      <c r="C103" s="16">
        <v>5</v>
      </c>
      <c r="D103" s="16">
        <f t="shared" si="1"/>
        <v>12.600000000000001</v>
      </c>
    </row>
    <row r="104" spans="1:4" x14ac:dyDescent="0.25">
      <c r="A104" s="22">
        <v>2017</v>
      </c>
      <c r="B104" s="16">
        <v>17.7</v>
      </c>
      <c r="C104" s="16">
        <v>5.0999999999999996</v>
      </c>
      <c r="D104" s="16">
        <f t="shared" si="1"/>
        <v>12.6</v>
      </c>
    </row>
    <row r="105" spans="1:4" x14ac:dyDescent="0.25">
      <c r="A105" s="22">
        <v>2018</v>
      </c>
      <c r="B105" s="16">
        <v>17.5</v>
      </c>
      <c r="C105" s="16">
        <v>4.5999999999999996</v>
      </c>
      <c r="D105" s="16">
        <f t="shared" si="1"/>
        <v>12.9</v>
      </c>
    </row>
    <row r="106" spans="1:4" x14ac:dyDescent="0.25">
      <c r="A106" s="22">
        <v>2019</v>
      </c>
      <c r="B106" s="16">
        <v>16.899999999999999</v>
      </c>
      <c r="C106" s="16">
        <v>4.8</v>
      </c>
      <c r="D106" s="16">
        <f t="shared" si="1"/>
        <v>12.099999999999998</v>
      </c>
    </row>
    <row r="107" spans="1:4" x14ac:dyDescent="0.25">
      <c r="A107" s="22">
        <v>2020</v>
      </c>
      <c r="B107" s="16">
        <v>16.399999999999999</v>
      </c>
      <c r="C107" s="16">
        <v>7.5</v>
      </c>
      <c r="D107" s="16">
        <f t="shared" si="1"/>
        <v>8.8999999999999986</v>
      </c>
    </row>
    <row r="108" spans="1:4" x14ac:dyDescent="0.25">
      <c r="A108" s="22">
        <v>2021</v>
      </c>
      <c r="B108" s="16">
        <v>15.9</v>
      </c>
      <c r="C108" s="16">
        <v>7.1</v>
      </c>
      <c r="D108" s="16">
        <f t="shared" si="1"/>
        <v>8.8000000000000007</v>
      </c>
    </row>
    <row r="109" spans="1:4" x14ac:dyDescent="0.25">
      <c r="A109" s="22">
        <v>2022</v>
      </c>
      <c r="B109" s="16">
        <v>15.4</v>
      </c>
      <c r="C109" s="16">
        <v>5.4</v>
      </c>
      <c r="D109" s="16">
        <f t="shared" si="1"/>
        <v>10</v>
      </c>
    </row>
    <row r="110" spans="1:4" x14ac:dyDescent="0.25">
      <c r="A110" s="22">
        <v>2023</v>
      </c>
      <c r="B110" s="16">
        <v>15</v>
      </c>
      <c r="C110" s="16">
        <v>5.0999999999999996</v>
      </c>
      <c r="D110" s="16">
        <f t="shared" si="1"/>
        <v>9.9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Notes</vt:lpstr>
      <vt:lpstr>Все страны</vt:lpstr>
      <vt:lpstr>Все годичные</vt:lpstr>
      <vt:lpstr>Аргентина-Колвер</vt:lpstr>
      <vt:lpstr>Аргентина-Ротман</vt:lpstr>
      <vt:lpstr>Бразилия</vt:lpstr>
      <vt:lpstr>Венесуэла</vt:lpstr>
      <vt:lpstr>Гватемала</vt:lpstr>
      <vt:lpstr>Колумбия</vt:lpstr>
      <vt:lpstr>Коста-Рика</vt:lpstr>
      <vt:lpstr>Куба</vt:lpstr>
      <vt:lpstr>Мексика-Колвер</vt:lpstr>
      <vt:lpstr>Панама</vt:lpstr>
      <vt:lpstr>Парагвай</vt:lpstr>
      <vt:lpstr>Перу</vt:lpstr>
      <vt:lpstr>Сальвадор</vt:lpstr>
      <vt:lpstr>Уругвай-Ротман</vt:lpstr>
      <vt:lpstr>Уругвай-Митчел</vt:lpstr>
      <vt:lpstr>Чили</vt:lpstr>
      <vt:lpstr>Эквадор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2026-06-03T18:34:28Z</dcterms:modified>
</cp:coreProperties>
</file>