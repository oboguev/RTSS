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D39D5953-17E5-491F-9C4D-77E79510D153}" xr6:coauthVersionLast="45" xr6:coauthVersionMax="47" xr10:uidLastSave="{00000000-0000-0000-0000-000000000000}"/>
  <bookViews>
    <workbookView xWindow="-60" yWindow="-60" windowWidth="38520" windowHeight="23700" xr2:uid="{573FC42F-0BD4-4412-A5CF-D809ABCC1B4D}"/>
  </bookViews>
  <sheets>
    <sheet name="RSFSR" sheetId="1" r:id="rId1"/>
    <sheet name="NR" sheetId="2" r:id="rId2"/>
    <sheet name="MR" sheetId="4" r:id="rId3"/>
    <sheet name="BR" sheetId="3" r:id="rId4"/>
    <sheet name="USSR" sheetId="6" r:id="rId5"/>
    <sheet name="USSR-Simplified" sheetId="8" r:id="rId6"/>
    <sheet name="RB-RD" sheetId="7" r:id="rId7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50" i="1" l="1"/>
  <c r="S50" i="1"/>
  <c r="T33" i="1"/>
  <c r="S33" i="1"/>
  <c r="T48" i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B17" i="8" a="1"/>
  <c r="C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A9" i="8" a="1"/>
  <c r="B12" i="8" a="1"/>
  <c r="A11" i="8" a="1"/>
  <c r="A10" i="8" a="1"/>
  <c r="B15" i="8" a="1"/>
  <c r="A8" i="8" a="1"/>
  <c r="A15" i="8" a="1"/>
  <c r="A16" i="8" a="1"/>
  <c r="A12" i="8" a="1"/>
  <c r="A14" i="8" a="1"/>
  <c r="B14" i="8" a="1"/>
  <c r="B10" i="8" a="1"/>
  <c r="A13" i="8" a="1"/>
  <c r="B9" i="8" a="1"/>
  <c r="B8" i="8" a="1"/>
  <c r="B11" i="8" a="1"/>
  <c r="B13" i="8" a="1"/>
  <c r="B16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34" i="3"/>
  <c r="I32" i="2"/>
  <c r="I7" i="2"/>
  <c r="I10" i="2"/>
  <c r="I33" i="3"/>
  <c r="I34" i="4"/>
  <c r="I10" i="3"/>
  <c r="I9" i="2"/>
  <c r="I8" i="2"/>
  <c r="I7" i="3"/>
  <c r="I8" i="4"/>
  <c r="I9" i="4"/>
  <c r="I33" i="4"/>
  <c r="I11" i="3"/>
  <c r="I11" i="2"/>
  <c r="I7" i="4"/>
  <c r="I34" i="2"/>
  <c r="I33" i="2"/>
  <c r="I32" i="3"/>
  <c r="I10" i="4"/>
  <c r="I32" i="4"/>
  <c r="I9" i="3"/>
  <c r="I11" i="4"/>
  <c r="I8" i="3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2"/>
  <c r="E139" i="3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F9" i="8" a="1"/>
  <c r="D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E141" i="2"/>
  <c r="E141" i="3"/>
  <c r="C10" i="8" a="1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D10" i="8" a="1"/>
  <c r="F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2"/>
  <c r="E143" i="3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D12" i="8" a="1"/>
  <c r="F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44" i="3"/>
  <c r="E13" i="8" a="1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F13" i="8" a="1"/>
  <c r="E144" i="2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4"/>
  <c r="E145" i="2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D14" i="8" a="1"/>
  <c r="E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4" s="1"/>
  <c r="F86" i="3"/>
  <c r="J85" i="3" s="1"/>
  <c r="J84" i="2"/>
  <c r="G85" i="2"/>
  <c r="H85" i="2"/>
  <c r="G96" i="1" l="1"/>
  <c r="J95" i="1"/>
  <c r="H96" i="1"/>
  <c r="F97" i="1" s="1"/>
  <c r="H86" i="4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H95" i="4"/>
  <c r="F96" i="3"/>
  <c r="G96" i="3" s="1"/>
  <c r="C15" i="8"/>
  <c r="F111" i="1"/>
  <c r="G95" i="2"/>
  <c r="H95" i="2"/>
  <c r="J94" i="4" l="1"/>
  <c r="F96" i="4"/>
  <c r="G96" i="4" s="1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7" i="4"/>
  <c r="H98" i="4"/>
  <c r="J98" i="3"/>
  <c r="G99" i="3"/>
  <c r="H99" i="3"/>
  <c r="F98" i="2"/>
  <c r="H98" i="2" s="1"/>
  <c r="F113" i="1"/>
  <c r="H113" i="1" s="1"/>
  <c r="F99" i="4" l="1"/>
  <c r="J98" i="4" s="1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4" s="1"/>
  <c r="F102" i="2"/>
  <c r="G102" i="2" s="1"/>
  <c r="H103" i="3"/>
  <c r="G103" i="3"/>
  <c r="H102" i="2"/>
  <c r="F103" i="2" s="1"/>
  <c r="G103" i="2" s="1"/>
  <c r="J101" i="2"/>
  <c r="H118" i="1"/>
  <c r="G118" i="1"/>
  <c r="J101" i="4" l="1"/>
  <c r="H102" i="4"/>
  <c r="G102" i="4"/>
  <c r="F104" i="3"/>
  <c r="J103" i="3" s="1"/>
  <c r="J102" i="2"/>
  <c r="H103" i="2"/>
  <c r="F104" i="2" s="1"/>
  <c r="H104" i="2" s="1"/>
  <c r="F119" i="1"/>
  <c r="F103" i="4" l="1"/>
  <c r="J103" i="2"/>
  <c r="G104" i="3"/>
  <c r="H104" i="3"/>
  <c r="G104" i="2"/>
  <c r="F105" i="2" s="1"/>
  <c r="J104" i="2" s="1"/>
  <c r="J118" i="1"/>
  <c r="G119" i="1"/>
  <c r="H119" i="1"/>
  <c r="H103" i="4" l="1"/>
  <c r="J102" i="4"/>
  <c r="G103" i="4"/>
  <c r="F104" i="4" s="1"/>
  <c r="F105" i="3"/>
  <c r="G105" i="3" s="1"/>
  <c r="G105" i="2"/>
  <c r="H105" i="2"/>
  <c r="F120" i="1"/>
  <c r="F147" i="1" s="1"/>
  <c r="C16" i="6" s="1"/>
  <c r="C16" i="8" a="1"/>
  <c r="G104" i="4" l="1"/>
  <c r="J103" i="4"/>
  <c r="H104" i="4"/>
  <c r="F105" i="4" s="1"/>
  <c r="C16" i="8"/>
  <c r="J104" i="3"/>
  <c r="H105" i="3"/>
  <c r="F106" i="3" s="1"/>
  <c r="G106" i="3" s="1"/>
  <c r="F106" i="2"/>
  <c r="J105" i="2" s="1"/>
  <c r="J119" i="1"/>
  <c r="H120" i="1"/>
  <c r="G120" i="1"/>
  <c r="H105" i="4" l="1"/>
  <c r="J104" i="4"/>
  <c r="G105" i="4"/>
  <c r="F106" i="4" s="1"/>
  <c r="G106" i="2"/>
  <c r="H106" i="2"/>
  <c r="J105" i="3"/>
  <c r="H106" i="3"/>
  <c r="F107" i="3" s="1"/>
  <c r="J106" i="3" s="1"/>
  <c r="F121" i="1"/>
  <c r="G121" i="1" s="1"/>
  <c r="H106" i="4" l="1"/>
  <c r="G106" i="4"/>
  <c r="J105" i="4"/>
  <c r="F107" i="2"/>
  <c r="H107" i="2" s="1"/>
  <c r="H121" i="1"/>
  <c r="H107" i="3"/>
  <c r="G107" i="3"/>
  <c r="J120" i="1"/>
  <c r="J121" i="1"/>
  <c r="F107" i="4" l="1"/>
  <c r="G107" i="4"/>
  <c r="H107" i="4"/>
  <c r="F108" i="4" s="1"/>
  <c r="J106" i="4"/>
  <c r="G107" i="2"/>
  <c r="F108" i="2" s="1"/>
  <c r="H108" i="2" s="1"/>
  <c r="J106" i="2"/>
  <c r="F108" i="3"/>
  <c r="H108" i="3" s="1"/>
  <c r="J107" i="4" l="1"/>
  <c r="G108" i="4"/>
  <c r="H108" i="4"/>
  <c r="J107" i="2"/>
  <c r="G108" i="2"/>
  <c r="F109" i="2" s="1"/>
  <c r="H109" i="2" s="1"/>
  <c r="J107" i="3"/>
  <c r="G108" i="3"/>
  <c r="F109" i="3" s="1"/>
  <c r="J108" i="3" s="1"/>
  <c r="F109" i="4" l="1"/>
  <c r="G109" i="4"/>
  <c r="H109" i="4"/>
  <c r="J108" i="4"/>
  <c r="J108" i="2"/>
  <c r="G109" i="2"/>
  <c r="F110" i="2" s="1"/>
  <c r="G110" i="2" s="1"/>
  <c r="H109" i="3"/>
  <c r="G109" i="3"/>
  <c r="F110" i="4" l="1"/>
  <c r="F146" i="2"/>
  <c r="D15" i="6" s="1"/>
  <c r="H110" i="2"/>
  <c r="F111" i="2" s="1"/>
  <c r="H111" i="2" s="1"/>
  <c r="J109" i="2"/>
  <c r="G110" i="4"/>
  <c r="H110" i="4"/>
  <c r="J109" i="4"/>
  <c r="F146" i="4"/>
  <c r="E15" i="6" s="1"/>
  <c r="J110" i="2"/>
  <c r="G111" i="2"/>
  <c r="F112" i="2" s="1"/>
  <c r="G112" i="2" s="1"/>
  <c r="F110" i="3"/>
  <c r="J109" i="3" s="1"/>
  <c r="D15" i="8" a="1"/>
  <c r="E15" i="8" a="1"/>
  <c r="D15" i="8" l="1"/>
  <c r="F111" i="4"/>
  <c r="E15" i="8"/>
  <c r="J110" i="4"/>
  <c r="G111" i="4"/>
  <c r="H111" i="4"/>
  <c r="G110" i="3"/>
  <c r="H110" i="3"/>
  <c r="F146" i="3"/>
  <c r="F15" i="6" s="1"/>
  <c r="V15" i="6" s="1"/>
  <c r="J111" i="2"/>
  <c r="H112" i="2"/>
  <c r="F113" i="2" s="1"/>
  <c r="H113" i="2" s="1"/>
  <c r="F15" i="8" a="1"/>
  <c r="F112" i="4" l="1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J111" i="4" l="1"/>
  <c r="H112" i="4"/>
  <c r="G112" i="4"/>
  <c r="J110" i="3"/>
  <c r="H111" i="3"/>
  <c r="F112" i="3" s="1"/>
  <c r="G112" i="3" s="1"/>
  <c r="H114" i="2"/>
  <c r="F115" i="2" s="1"/>
  <c r="G115" i="2" s="1"/>
  <c r="J113" i="2"/>
  <c r="F113" i="4" l="1"/>
  <c r="G113" i="4"/>
  <c r="J112" i="4"/>
  <c r="H113" i="4"/>
  <c r="J111" i="3"/>
  <c r="H112" i="3"/>
  <c r="F113" i="3" s="1"/>
  <c r="G113" i="3" s="1"/>
  <c r="J114" i="2"/>
  <c r="H115" i="2"/>
  <c r="F116" i="2" s="1"/>
  <c r="F114" i="4" l="1"/>
  <c r="H113" i="3"/>
  <c r="F114" i="3" s="1"/>
  <c r="J112" i="3"/>
  <c r="J115" i="2"/>
  <c r="G116" i="2"/>
  <c r="H116" i="2"/>
  <c r="J113" i="4" l="1"/>
  <c r="G114" i="4"/>
  <c r="H114" i="4"/>
  <c r="H114" i="3"/>
  <c r="J113" i="3"/>
  <c r="G114" i="3"/>
  <c r="F117" i="2"/>
  <c r="G117" i="2" s="1"/>
  <c r="F115" i="4" l="1"/>
  <c r="G115" i="4" s="1"/>
  <c r="F115" i="3"/>
  <c r="H115" i="3" s="1"/>
  <c r="J116" i="2"/>
  <c r="H117" i="2"/>
  <c r="F118" i="2" s="1"/>
  <c r="G118" i="2" s="1"/>
  <c r="J114" i="4" l="1"/>
  <c r="H115" i="4"/>
  <c r="F116" i="4" s="1"/>
  <c r="J114" i="3"/>
  <c r="G115" i="3"/>
  <c r="F116" i="3" s="1"/>
  <c r="J115" i="3" s="1"/>
  <c r="H118" i="2"/>
  <c r="F119" i="2" s="1"/>
  <c r="H119" i="2" s="1"/>
  <c r="J117" i="2"/>
  <c r="G116" i="4" l="1"/>
  <c r="H116" i="4"/>
  <c r="J115" i="4"/>
  <c r="H116" i="3"/>
  <c r="G116" i="3"/>
  <c r="G119" i="2"/>
  <c r="F120" i="2" s="1"/>
  <c r="J118" i="2"/>
  <c r="F117" i="4" l="1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J117" i="4"/>
  <c r="F119" i="4"/>
  <c r="G122" i="2"/>
  <c r="H122" i="2"/>
  <c r="G119" i="3"/>
  <c r="F120" i="3" s="1"/>
  <c r="J119" i="3" s="1"/>
  <c r="J118" i="3"/>
  <c r="J118" i="4" l="1"/>
  <c r="G119" i="4"/>
  <c r="H119" i="4"/>
  <c r="F123" i="2"/>
  <c r="J122" i="2" s="1"/>
  <c r="G120" i="3"/>
  <c r="H120" i="3"/>
  <c r="F147" i="3"/>
  <c r="F16" i="6" s="1"/>
  <c r="F16" i="8" a="1"/>
  <c r="F120" i="4" l="1"/>
  <c r="H120" i="4"/>
  <c r="J119" i="4"/>
  <c r="F147" i="4"/>
  <c r="E16" i="6" s="1"/>
  <c r="G120" i="4"/>
  <c r="F121" i="4" s="1"/>
  <c r="H123" i="2"/>
  <c r="G123" i="2"/>
  <c r="F121" i="3"/>
  <c r="F16" i="8"/>
  <c r="E16" i="8" a="1"/>
  <c r="E16" i="8" l="1"/>
  <c r="G121" i="4"/>
  <c r="H121" i="4"/>
  <c r="F122" i="4" s="1"/>
  <c r="J120" i="4"/>
  <c r="V16" i="6"/>
  <c r="J16" i="8" s="1"/>
  <c r="H121" i="3"/>
  <c r="F124" i="2"/>
  <c r="J120" i="3"/>
  <c r="G121" i="3"/>
  <c r="J121" i="4" l="1"/>
  <c r="H122" i="4"/>
  <c r="G122" i="4"/>
  <c r="F122" i="3"/>
  <c r="G124" i="2"/>
  <c r="J123" i="2"/>
  <c r="H124" i="2"/>
  <c r="F123" i="4" l="1"/>
  <c r="J122" i="4"/>
  <c r="H123" i="4"/>
  <c r="G123" i="4"/>
  <c r="G122" i="3"/>
  <c r="H122" i="3"/>
  <c r="J121" i="3"/>
  <c r="F125" i="2"/>
  <c r="F124" i="4" l="1"/>
  <c r="J123" i="4"/>
  <c r="G124" i="4"/>
  <c r="H124" i="4"/>
  <c r="F123" i="3"/>
  <c r="J122" i="3" s="1"/>
  <c r="J124" i="2"/>
  <c r="H125" i="2"/>
  <c r="G125" i="2"/>
  <c r="F125" i="4" l="1"/>
  <c r="G125" i="4"/>
  <c r="H123" i="3"/>
  <c r="G123" i="3"/>
  <c r="F124" i="3" s="1"/>
  <c r="J123" i="3" s="1"/>
  <c r="F126" i="2"/>
  <c r="H126" i="2" s="1"/>
  <c r="J124" i="4" l="1"/>
  <c r="H125" i="4"/>
  <c r="F126" i="4" s="1"/>
  <c r="J125" i="4" s="1"/>
  <c r="H126" i="4"/>
  <c r="G126" i="4"/>
  <c r="G124" i="3"/>
  <c r="H124" i="3"/>
  <c r="J125" i="2"/>
  <c r="G126" i="2"/>
  <c r="F127" i="2" s="1"/>
  <c r="F125" i="3" l="1"/>
  <c r="J124" i="3" s="1"/>
  <c r="F127" i="4"/>
  <c r="G125" i="3"/>
  <c r="H125" i="3"/>
  <c r="J126" i="2"/>
  <c r="G127" i="2"/>
  <c r="H127" i="2"/>
  <c r="J126" i="4" l="1"/>
  <c r="H127" i="4"/>
  <c r="G127" i="4"/>
  <c r="F126" i="3"/>
  <c r="F128" i="2"/>
  <c r="G128" i="2" s="1"/>
  <c r="F128" i="4" l="1"/>
  <c r="J125" i="3"/>
  <c r="H126" i="3"/>
  <c r="G126" i="3"/>
  <c r="J127" i="2"/>
  <c r="H128" i="2"/>
  <c r="F129" i="2" s="1"/>
  <c r="G128" i="4" l="1"/>
  <c r="H128" i="4"/>
  <c r="J127" i="4"/>
  <c r="F127" i="3"/>
  <c r="J126" i="3" s="1"/>
  <c r="G129" i="2"/>
  <c r="H129" i="2"/>
  <c r="J128" i="2"/>
  <c r="F129" i="4" l="1"/>
  <c r="G129" i="4" s="1"/>
  <c r="J128" i="4"/>
  <c r="H129" i="4"/>
  <c r="G127" i="3"/>
  <c r="H127" i="3"/>
  <c r="F130" i="2"/>
  <c r="F130" i="4" l="1"/>
  <c r="F148" i="4"/>
  <c r="E17" i="6" s="1"/>
  <c r="J129" i="4"/>
  <c r="F128" i="3"/>
  <c r="J127" i="3" s="1"/>
  <c r="F148" i="2"/>
  <c r="D17" i="6" s="1"/>
  <c r="J129" i="2"/>
  <c r="E17" i="8" a="1"/>
  <c r="D17" i="8" a="1"/>
  <c r="E17" i="8" l="1"/>
  <c r="G128" i="3"/>
  <c r="H128" i="3"/>
  <c r="D17" i="8"/>
  <c r="F129" i="3" l="1"/>
  <c r="G129" i="3" s="1"/>
  <c r="H129" i="3" l="1"/>
  <c r="F130" i="3" s="1"/>
  <c r="J129" i="3" s="1"/>
  <c r="J128" i="3"/>
  <c r="F148" i="3" l="1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<sst xmlns="http://schemas.openxmlformats.org/spreadsheetml/2006/main" count="318" uniqueCount="170">
  <si>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</si>
  <si>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</si>
  <si>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</si>
  <si>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</si>
  <si>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</si>
  <si>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</si>
  <si>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</si>
  <si>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</si>
  <si>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</si>
  <si>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</si>
  <si>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</si>
  <si>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</si>
  <si>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</si>
  <si>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</si>
  <si>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</si>
  <si>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</si>
  <si>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</si>
  <si>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</si>
  <si>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</si>
  <si>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</si>
  <si>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</si>
  <si>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</si>
  <si>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</si>
  <si>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</si>
  <si>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</si>
  <si>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</si>
  <si>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</si>
  <si>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</si>
  <si>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</si>
  <si>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</si>
  <si>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</si>
  <si>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</si>
  <si>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</si>
  <si>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</si>
  <si>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</si>
  <si>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</si>
  <si>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</si>
  <si>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</si>
  <si>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</si>
  <si>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</si>
  <si>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</si>
  <si>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</si>
  <si>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</si>
  <si>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</si>
  <si>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</si>
  <si>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</si>
  <si>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</si>
  <si>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</si>
  <si>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</si>
  <si>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</si>
  <si>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</si>
  <si>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</si>
  <si>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</si>
  <si>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</si>
  <si>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</si>
  <si>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</si>
  <si>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</si>
  <si>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</si>
  <si>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</si>
  <si>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</si>
  <si>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</si>
  <si>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</si>
  <si>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</si>
  <si>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</si>
  <si>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</si>
  <si>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</si>
  <si>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</si>
  <si>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</si>
  <si>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</si>
  <si>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</si>
  <si>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</si>
  <si>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</si>
  <si>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</si>
  <si>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</si>
  <si>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</si>
  <si>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</si>
  <si>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</si>
  <si>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</si>
  <si>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</si>
  <si>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</si>
  <si>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</si>
  <si>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</si>
  <si>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</si>
  <si>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</si>
  <si>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</si>
  <si>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</si>
  <si>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</si>
  <si>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</si>
  <si>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</si>
  <si>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</si>
  <si>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</si>
  <si>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</si>
  <si>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</si>
  <si>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</si>
  <si>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</si>
  <si>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</si>
  <si>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</si>
  <si>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</si>
  <si>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Уровень 1909 года принят за 1.0.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</si>
  <si>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</si>
  <si>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</si>
  <si>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</si>
  <si>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</si>
  <si>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</si>
  <si>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</si>
  <si>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</si>
  <si>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</si>
  <si>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</si>
  <si>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</si>
  <si>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</si>
  <si>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</si>
  <si>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</si>
  <si>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</si>
  <si>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</si>
  <si>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</si>
  <si>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</si>
  <si>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</si>
  <si>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</si>
  <si>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</si>
  <si>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</si>
  <si>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</si>
  <si>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</si>
  <si>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</si>
  <si>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</si>
  <si>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</si>
  <si>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</si>
  <si>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</si>
  <si>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</si>
  <si>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</si>
  <si>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</si>
  <si>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</si>
  <si>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</si>
  <si>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</si>
  <si>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</si>
  <si>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</si>
  <si>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</si>
  <si>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</si>
  <si>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</si>
  <si>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</si>
  <si>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</si>
  <si>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</si>
  <si>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</si>
  <si>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</si>
  <si>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</si>
  <si>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</si>
  <si>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</si>
  <si>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</si>
  <si>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</si>
  <si>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</si>
  <si>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</si>
  <si>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</si>
  <si>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</si>
  <si>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</si>
  <si>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</si>
  <si>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</si>
  <si>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</si>
  <si>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</si>
  <si>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</si>
  <si>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</si>
  <si>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</si>
  <si>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</si>
  <si>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</si>
  <si>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</si>
  <si>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</si>
  <si>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</si>
  <si>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рождаемость и
смертность (АДХ)</t>
  </si>
  <si>
    <t>фактическая
vs ожидаемая</t>
  </si>
  <si>
    <t>среднее за 1929-1939</t>
  </si>
  <si>
    <t>среднее за 1946-1958</t>
  </si>
  <si>
    <t>ожидаемые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</si>
</sst>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0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4" fontId="0" fillId="0" borderId="0" xfId="0" applyNumberFormat="1" applyBorder="1"/>
    <xf numFmtId="164" fontId="0" fillId="5" borderId="0" xfId="0" applyNumberFormat="1" applyFill="1" applyBorder="1"/>
    <xf numFmtId="0" fontId="0" fillId="5" borderId="0" xfId="0" applyFill="1"/>
    <xf numFmtId="16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tabSelected="1" workbookViewId="0">
      <selection activeCell="D4" sqref="D4:E4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116</v>
      </c>
    </row>
    <row r="3" spans="1:20" x14ac:dyDescent="0.25">
      <c r="B3" s="73" t="s">
        <v>162</v>
      </c>
      <c r="C3" s="72"/>
      <c r="D3" s="72" t="s">
        <v>169</v>
      </c>
      <c r="E3" s="72"/>
      <c r="F3" s="72"/>
      <c r="G3" s="72"/>
      <c r="H3" s="72"/>
      <c r="I3" s="72"/>
      <c r="J3" s="72"/>
    </row>
    <row r="4" spans="1:20" ht="40.5" customHeight="1" x14ac:dyDescent="0.25">
      <c r="B4" s="72"/>
      <c r="C4" s="72"/>
      <c r="D4" s="71" t="s">
        <v>1</v>
      </c>
      <c r="E4" s="71"/>
      <c r="F4" s="71" t="s">
        <v>8</v>
      </c>
      <c r="G4" s="71"/>
      <c r="H4" s="71"/>
      <c r="I4" s="71"/>
      <c r="Q4" s="81" t="s">
        <v>165</v>
      </c>
      <c r="R4" s="81"/>
      <c r="S4" s="83" t="s">
        <v>166</v>
      </c>
      <c r="T4" s="83"/>
    </row>
    <row r="5" spans="1:20" ht="45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161</v>
      </c>
      <c r="N5" s="23" t="s">
        <v>70</v>
      </c>
      <c r="O5" s="23" t="s">
        <v>71</v>
      </c>
      <c r="Q5" s="82" t="s">
        <v>163</v>
      </c>
      <c r="R5" s="82" t="s">
        <v>164</v>
      </c>
      <c r="S5" s="82" t="s">
        <v>163</v>
      </c>
      <c r="T5" s="82" t="s">
        <v>164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84">
        <v>49.6</v>
      </c>
      <c r="R17" s="84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84">
        <v>48.9</v>
      </c>
      <c r="R18" s="84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84">
        <v>47</v>
      </c>
      <c r="R19" s="84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84">
        <v>43.9</v>
      </c>
      <c r="R20" s="84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84">
        <v>43.3</v>
      </c>
      <c r="R21" s="84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84">
        <v>39.299999999999997</v>
      </c>
      <c r="R22" s="84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84">
        <v>32.299999999999997</v>
      </c>
      <c r="R23" s="84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84">
        <v>28.7</v>
      </c>
      <c r="R24" s="84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84">
        <v>34.799999999999997</v>
      </c>
      <c r="R25" s="84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84">
        <v>37.5</v>
      </c>
      <c r="R26" s="84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84">
        <v>41.5</v>
      </c>
      <c r="R27" s="84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84">
        <v>40.9</v>
      </c>
      <c r="R28" s="84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84">
        <v>39.799999999999997</v>
      </c>
      <c r="R29" s="84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84">
        <v>34.6</v>
      </c>
      <c r="R30" s="84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85"/>
      <c r="R31" s="85"/>
      <c r="S31" s="86"/>
      <c r="T31" s="86"/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85"/>
      <c r="R32" s="85"/>
      <c r="S32" s="86"/>
      <c r="T32" s="86"/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85"/>
      <c r="R33" s="85"/>
      <c r="S33" s="87">
        <f>AVERAGE(S19:S30)</f>
        <v>0.80354945814742573</v>
      </c>
      <c r="T33" s="87">
        <f>AVERAGE(T19:T30)</f>
        <v>1.0497126348956545</v>
      </c>
      <c r="V33" s="88" t="s">
        <v>167</v>
      </c>
      <c r="W33" s="88"/>
      <c r="X33" s="88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85"/>
      <c r="R34" s="85"/>
      <c r="S34" s="86"/>
      <c r="T34" s="86"/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85"/>
      <c r="R35" s="85"/>
      <c r="S35" s="86"/>
      <c r="T35" s="86"/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1">100*O36/F36</f>
        <v>38.595304259902612</v>
      </c>
      <c r="O36" s="4">
        <f t="shared" ref="O36:O99" si="12">F36-M36</f>
        <v>61312.814835535391</v>
      </c>
      <c r="Q36" s="84">
        <v>26</v>
      </c>
      <c r="R36" s="84">
        <v>12.3</v>
      </c>
      <c r="S36" s="49">
        <f t="shared" ref="S36:S48" si="13">Q36/D36</f>
        <v>0.56236887072004837</v>
      </c>
      <c r="T36" s="49">
        <f t="shared" ref="T36:T48" si="14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1"/>
        <v>39.378382930630131</v>
      </c>
      <c r="O37" s="4">
        <f t="shared" si="12"/>
        <v>63989.139710254269</v>
      </c>
      <c r="Q37" s="84">
        <v>27.5</v>
      </c>
      <c r="R37" s="84">
        <v>17</v>
      </c>
      <c r="S37" s="49">
        <f t="shared" si="13"/>
        <v>0.59801459155603398</v>
      </c>
      <c r="T37" s="49">
        <f t="shared" si="14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1"/>
        <v>40.35791760971496</v>
      </c>
      <c r="O38" s="4">
        <f t="shared" si="12"/>
        <v>67097.770431194367</v>
      </c>
      <c r="Q38" s="84">
        <v>25.2</v>
      </c>
      <c r="R38" s="84">
        <v>13.1</v>
      </c>
      <c r="S38" s="49">
        <f t="shared" si="13"/>
        <v>0.55275885894778398</v>
      </c>
      <c r="T38" s="49">
        <f t="shared" si="14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1"/>
        <v>41.066790619902754</v>
      </c>
      <c r="O39" s="4">
        <f t="shared" si="12"/>
        <v>69859.217519840051</v>
      </c>
      <c r="Q39" s="84">
        <v>30.5</v>
      </c>
      <c r="R39" s="84">
        <v>11.7</v>
      </c>
      <c r="S39" s="49">
        <f t="shared" si="13"/>
        <v>0.66040902053763784</v>
      </c>
      <c r="T39" s="49">
        <f t="shared" si="14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1"/>
        <v>41.397047318762247</v>
      </c>
      <c r="O40" s="4">
        <f t="shared" si="12"/>
        <v>72099.992156826309</v>
      </c>
      <c r="Q40" s="84">
        <v>27.8</v>
      </c>
      <c r="R40" s="84">
        <v>11.5</v>
      </c>
      <c r="S40" s="49">
        <f t="shared" si="13"/>
        <v>0.59619550065409943</v>
      </c>
      <c r="T40" s="49">
        <f t="shared" si="14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1"/>
        <v>41.926033224085145</v>
      </c>
      <c r="O41" s="4">
        <f t="shared" si="12"/>
        <v>74792.464801687776</v>
      </c>
      <c r="Q41" s="84">
        <v>28.1</v>
      </c>
      <c r="R41" s="84">
        <v>11.6</v>
      </c>
      <c r="S41" s="49">
        <f t="shared" si="13"/>
        <v>0.59881515577718114</v>
      </c>
      <c r="T41" s="49">
        <f t="shared" si="14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1"/>
        <v>42.404493303369634</v>
      </c>
      <c r="O42" s="4">
        <f t="shared" si="12"/>
        <v>77510.564660998643</v>
      </c>
      <c r="Q42" s="84">
        <v>27.6</v>
      </c>
      <c r="R42" s="84">
        <v>10.7</v>
      </c>
      <c r="S42" s="49">
        <f t="shared" si="13"/>
        <v>0.58507424719386947</v>
      </c>
      <c r="T42" s="49">
        <f t="shared" si="14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1"/>
        <v>42.868957889097636</v>
      </c>
      <c r="O43" s="4">
        <f t="shared" si="12"/>
        <v>80325.492123209056</v>
      </c>
      <c r="Q43" s="84">
        <v>26.2</v>
      </c>
      <c r="R43" s="84">
        <v>10.4</v>
      </c>
      <c r="S43" s="49">
        <f t="shared" si="13"/>
        <v>0.5530751612256315</v>
      </c>
      <c r="T43" s="49">
        <f t="shared" si="14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1"/>
        <v>43.482926053349196</v>
      </c>
      <c r="O44" s="4">
        <f t="shared" si="12"/>
        <v>83559.707183955412</v>
      </c>
      <c r="Q44" s="84">
        <v>27.8</v>
      </c>
      <c r="R44" s="84">
        <v>10.3</v>
      </c>
      <c r="S44" s="49">
        <f t="shared" si="13"/>
        <v>0.58562686299912581</v>
      </c>
      <c r="T44" s="49">
        <f t="shared" si="14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1"/>
        <v>43.864492167097474</v>
      </c>
      <c r="O45" s="4">
        <f t="shared" si="12"/>
        <v>86484.196037226648</v>
      </c>
      <c r="Q45" s="84">
        <v>26.4</v>
      </c>
      <c r="R45" s="84">
        <v>9.3000000000000007</v>
      </c>
      <c r="S45" s="49">
        <f t="shared" si="13"/>
        <v>0.55555555555555558</v>
      </c>
      <c r="T45" s="49">
        <f t="shared" si="14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1"/>
        <v>44.432157726762689</v>
      </c>
      <c r="O46" s="4">
        <f t="shared" si="12"/>
        <v>89927.238746627729</v>
      </c>
      <c r="Q46" s="84">
        <v>24.9</v>
      </c>
      <c r="R46" s="84">
        <v>8.4</v>
      </c>
      <c r="S46" s="49">
        <f t="shared" si="13"/>
        <v>0.52235753170332599</v>
      </c>
      <c r="T46" s="49">
        <f t="shared" si="14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1"/>
        <v>45.096025526303521</v>
      </c>
      <c r="O47" s="4">
        <f t="shared" si="12"/>
        <v>93790.478889467136</v>
      </c>
      <c r="Q47" s="84">
        <v>25</v>
      </c>
      <c r="R47" s="84">
        <v>8.8000000000000007</v>
      </c>
      <c r="S47" s="49">
        <f t="shared" si="13"/>
        <v>0.52336839901606746</v>
      </c>
      <c r="T47" s="49">
        <f t="shared" si="14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1"/>
        <v>45.845417469063001</v>
      </c>
      <c r="O48" s="4">
        <f t="shared" si="12"/>
        <v>98100.891437904473</v>
      </c>
      <c r="Q48" s="84">
        <v>24.5</v>
      </c>
      <c r="R48" s="84">
        <v>8</v>
      </c>
      <c r="S48" s="49">
        <f t="shared" si="13"/>
        <v>0.51025721128813917</v>
      </c>
      <c r="T48" s="49">
        <f t="shared" si="14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1"/>
        <v>46.642544134430864</v>
      </c>
      <c r="O49" s="4">
        <f t="shared" si="12"/>
        <v>102814.29993095316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1"/>
        <v>47.618513835288638</v>
      </c>
      <c r="O50" s="4">
        <f t="shared" si="12"/>
        <v>108221.32041482156</v>
      </c>
      <c r="S50" s="89">
        <f>AVERAGE(S36:S48)</f>
        <v>0.56952899747496155</v>
      </c>
      <c r="T50" s="89">
        <f>AVERAGE(T36:T48)</f>
        <v>0.50998318086817729</v>
      </c>
      <c r="V50" s="88" t="s">
        <v>168</v>
      </c>
      <c r="W50" s="88"/>
      <c r="X50" s="88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1"/>
        <v>48.458277982530177</v>
      </c>
      <c r="O51" s="4">
        <f t="shared" si="12"/>
        <v>113541.26656565128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1"/>
        <v>49.349648462974308</v>
      </c>
      <c r="O52" s="4">
        <f t="shared" si="12"/>
        <v>119263.5832940168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1"/>
        <v>50.32811994348851</v>
      </c>
      <c r="O53" s="4">
        <f t="shared" si="12"/>
        <v>125484.21746207037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1"/>
        <v>51.353002210553043</v>
      </c>
      <c r="O54" s="4">
        <f t="shared" si="12"/>
        <v>132142.12090821605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1"/>
        <v>52.487877066074084</v>
      </c>
      <c r="O55" s="4">
        <f t="shared" si="12"/>
        <v>139536.83512644807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1"/>
        <v>53.730368032860341</v>
      </c>
      <c r="O56" s="4">
        <f t="shared" si="12"/>
        <v>147697.56077992724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1"/>
        <v>55.004974705972039</v>
      </c>
      <c r="O57" s="4">
        <f t="shared" si="12"/>
        <v>156507.67714184272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1"/>
        <v>56.350874595024692</v>
      </c>
      <c r="O58" s="4">
        <f t="shared" si="12"/>
        <v>166146.10463774996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1"/>
        <v>57.67662793195688</v>
      </c>
      <c r="O59" s="4">
        <f t="shared" si="12"/>
        <v>176312.61595157848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1"/>
        <v>59.03092940674852</v>
      </c>
      <c r="O60" s="4">
        <f t="shared" si="12"/>
        <v>187227.53255002614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1"/>
        <v>60.328647888313057</v>
      </c>
      <c r="O61" s="4">
        <f t="shared" si="12"/>
        <v>198548.54536005063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1"/>
        <v>61.560599399865204</v>
      </c>
      <c r="O62" s="4">
        <f t="shared" si="12"/>
        <v>210283.01215424138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1"/>
        <v>62.75019656491223</v>
      </c>
      <c r="O63" s="4">
        <f t="shared" si="12"/>
        <v>222480.52193276933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1"/>
        <v>63.928109394423799</v>
      </c>
      <c r="O64" s="4">
        <f t="shared" si="12"/>
        <v>235351.9279679152</v>
      </c>
    </row>
    <row r="65" spans="1:15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1"/>
        <v>65.048169047578895</v>
      </c>
      <c r="O65" s="4">
        <f t="shared" si="12"/>
        <v>248703.6239771588</v>
      </c>
    </row>
    <row r="66" spans="1:15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1"/>
        <v>66.118725555066305</v>
      </c>
      <c r="O66" s="4">
        <f t="shared" si="12"/>
        <v>262570.06415645254</v>
      </c>
    </row>
    <row r="67" spans="1:15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1"/>
        <v>67.157447793225813</v>
      </c>
      <c r="O67" s="4">
        <f t="shared" si="12"/>
        <v>277082.69285772071</v>
      </c>
    </row>
    <row r="68" spans="1:15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1"/>
        <v>68.161139628853476</v>
      </c>
      <c r="O68" s="4">
        <f t="shared" si="12"/>
        <v>292125.03838498023</v>
      </c>
    </row>
    <row r="69" spans="1:15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1"/>
        <v>69.13459818854372</v>
      </c>
      <c r="O69" s="4">
        <f t="shared" si="12"/>
        <v>307781.02922871296</v>
      </c>
    </row>
    <row r="70" spans="1:15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1"/>
        <v>70.114114636549346</v>
      </c>
      <c r="O70" s="4">
        <f t="shared" si="12"/>
        <v>324054.38870640338</v>
      </c>
    </row>
    <row r="71" spans="1:15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1"/>
        <v>71.052840976641747</v>
      </c>
      <c r="O71" s="4">
        <f t="shared" si="12"/>
        <v>340790.10587518109</v>
      </c>
    </row>
    <row r="72" spans="1:15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5">B72*$D$6</f>
        <v>47.0745</v>
      </c>
      <c r="E72" s="3">
        <f t="shared" ref="E72:E121" si="16">C72*$E$6</f>
        <v>9.1163999999999987</v>
      </c>
      <c r="F72" s="4">
        <f t="shared" si="6"/>
        <v>497829.15988963132</v>
      </c>
      <c r="G72" s="4">
        <f t="shared" ref="G72:G121" si="17">F72*D72/1000</f>
        <v>23435.05878722445</v>
      </c>
      <c r="H72" s="4">
        <f t="shared" ref="H72:H121" si="18">E72*F72/1000</f>
        <v>4538.4097532178339</v>
      </c>
      <c r="J72" s="6">
        <f t="shared" ref="J72:J129" si="19">100 *(F73-F72) / F72</f>
        <v>3.7958100000000048</v>
      </c>
      <c r="M72" s="4">
        <v>139604</v>
      </c>
      <c r="N72" s="70">
        <f t="shared" si="11"/>
        <v>71.957448207543692</v>
      </c>
      <c r="O72" s="4">
        <f t="shared" si="12"/>
        <v>358225.15988963132</v>
      </c>
    </row>
    <row r="73" spans="1:15" x14ac:dyDescent="0.25">
      <c r="A73">
        <f t="shared" ref="A73:A122" si="20">A72+1</f>
        <v>1983</v>
      </c>
      <c r="B73" s="2">
        <v>0.94699999999999995</v>
      </c>
      <c r="C73" s="2">
        <v>0.27400000000000002</v>
      </c>
      <c r="D73" s="3">
        <f t="shared" si="15"/>
        <v>46.8765</v>
      </c>
      <c r="E73" s="3">
        <f t="shared" si="16"/>
        <v>8.7954000000000008</v>
      </c>
      <c r="F73" s="4">
        <f t="shared" ref="F73:F121" si="21">F72+G72-H72+I72</f>
        <v>516725.80892363796</v>
      </c>
      <c r="G73" s="4">
        <f t="shared" si="17"/>
        <v>24222.297382008914</v>
      </c>
      <c r="H73" s="4">
        <f t="shared" si="18"/>
        <v>4544.8101798069656</v>
      </c>
      <c r="J73" s="6">
        <f t="shared" si="19"/>
        <v>3.8081099999999815</v>
      </c>
      <c r="M73" s="4">
        <v>140530</v>
      </c>
      <c r="N73" s="70">
        <f t="shared" si="11"/>
        <v>72.803758284740979</v>
      </c>
      <c r="O73" s="4">
        <f t="shared" si="12"/>
        <v>376195.80892363796</v>
      </c>
    </row>
    <row r="74" spans="1:15" x14ac:dyDescent="0.25">
      <c r="A74">
        <f t="shared" si="20"/>
        <v>1984</v>
      </c>
      <c r="B74" s="2">
        <v>0.94</v>
      </c>
      <c r="C74" s="2">
        <v>0.25600000000000001</v>
      </c>
      <c r="D74" s="3">
        <f t="shared" si="15"/>
        <v>46.529999999999994</v>
      </c>
      <c r="E74" s="3">
        <f t="shared" si="16"/>
        <v>8.2176000000000009</v>
      </c>
      <c r="F74" s="4">
        <f t="shared" si="21"/>
        <v>536403.29612583981</v>
      </c>
      <c r="G74" s="4">
        <f t="shared" si="17"/>
        <v>24958.845368735325</v>
      </c>
      <c r="H74" s="4">
        <f t="shared" si="18"/>
        <v>4407.9477262437022</v>
      </c>
      <c r="J74" s="6">
        <f t="shared" si="19"/>
        <v>3.8312399999999989</v>
      </c>
      <c r="M74" s="4">
        <v>141583</v>
      </c>
      <c r="N74" s="70">
        <f t="shared" si="11"/>
        <v>73.605121179795148</v>
      </c>
      <c r="O74" s="4">
        <f t="shared" si="12"/>
        <v>394820.29612583981</v>
      </c>
    </row>
    <row r="75" spans="1:15" x14ac:dyDescent="0.25">
      <c r="A75">
        <f t="shared" si="20"/>
        <v>1985</v>
      </c>
      <c r="B75" s="2">
        <v>0.92700000000000005</v>
      </c>
      <c r="C75" s="2">
        <v>0.24299999999999999</v>
      </c>
      <c r="D75" s="3">
        <f t="shared" si="15"/>
        <v>45.886500000000005</v>
      </c>
      <c r="E75" s="3">
        <f t="shared" si="16"/>
        <v>7.8003</v>
      </c>
      <c r="F75" s="4">
        <f t="shared" si="21"/>
        <v>556954.19376833143</v>
      </c>
      <c r="G75" s="4">
        <f t="shared" si="17"/>
        <v>25556.678612350541</v>
      </c>
      <c r="H75" s="4">
        <f t="shared" si="18"/>
        <v>4344.4097976511157</v>
      </c>
      <c r="J75" s="6">
        <f t="shared" si="19"/>
        <v>3.808619999999991</v>
      </c>
      <c r="M75" s="4">
        <v>142539</v>
      </c>
      <c r="N75" s="70">
        <f t="shared" si="11"/>
        <v>74.407410592317035</v>
      </c>
      <c r="O75" s="4">
        <f t="shared" si="12"/>
        <v>414415.19376833143</v>
      </c>
    </row>
    <row r="76" spans="1:15" x14ac:dyDescent="0.25">
      <c r="A76">
        <f t="shared" si="20"/>
        <v>1986</v>
      </c>
      <c r="B76" s="2">
        <v>0.90900000000000003</v>
      </c>
      <c r="C76" s="2">
        <v>0.23200000000000001</v>
      </c>
      <c r="D76" s="3">
        <f t="shared" si="15"/>
        <v>44.9955</v>
      </c>
      <c r="E76" s="3">
        <f t="shared" si="16"/>
        <v>7.4472000000000005</v>
      </c>
      <c r="F76" s="4">
        <f t="shared" si="21"/>
        <v>578166.46258303081</v>
      </c>
      <c r="G76" s="4">
        <f t="shared" si="17"/>
        <v>26014.88906715476</v>
      </c>
      <c r="H76" s="4">
        <f t="shared" si="18"/>
        <v>4305.7212801483465</v>
      </c>
      <c r="J76" s="6">
        <f t="shared" si="19"/>
        <v>3.7548299999999899</v>
      </c>
      <c r="M76" s="4">
        <v>143528</v>
      </c>
      <c r="N76" s="70">
        <f t="shared" si="11"/>
        <v>75.175315538232582</v>
      </c>
      <c r="O76" s="4">
        <f t="shared" si="12"/>
        <v>434638.46258303081</v>
      </c>
    </row>
    <row r="77" spans="1:15" x14ac:dyDescent="0.25">
      <c r="A77">
        <f t="shared" si="20"/>
        <v>1987</v>
      </c>
      <c r="B77" s="2">
        <v>0.88700000000000001</v>
      </c>
      <c r="C77" s="2">
        <v>0.22500000000000001</v>
      </c>
      <c r="D77" s="3">
        <f t="shared" si="15"/>
        <v>43.906500000000001</v>
      </c>
      <c r="E77" s="3">
        <f t="shared" si="16"/>
        <v>7.2225000000000001</v>
      </c>
      <c r="F77" s="4">
        <f t="shared" si="21"/>
        <v>599875.63037003716</v>
      </c>
      <c r="G77" s="4">
        <f t="shared" si="17"/>
        <v>26338.439364842037</v>
      </c>
      <c r="H77" s="4">
        <f t="shared" si="18"/>
        <v>4332.6017403475935</v>
      </c>
      <c r="J77" s="6">
        <f t="shared" si="19"/>
        <v>3.6684000000000014</v>
      </c>
      <c r="M77" s="4">
        <v>144784</v>
      </c>
      <c r="N77" s="70">
        <f t="shared" si="11"/>
        <v>75.864330426177006</v>
      </c>
      <c r="O77" s="4">
        <f t="shared" si="12"/>
        <v>455091.63037003716</v>
      </c>
    </row>
    <row r="78" spans="1:15" x14ac:dyDescent="0.25">
      <c r="A78">
        <f t="shared" si="20"/>
        <v>1988</v>
      </c>
      <c r="B78" s="2">
        <v>0.86799999999999999</v>
      </c>
      <c r="C78" s="2">
        <v>0.215</v>
      </c>
      <c r="D78" s="3">
        <f t="shared" si="15"/>
        <v>42.966000000000001</v>
      </c>
      <c r="E78" s="3">
        <f t="shared" si="16"/>
        <v>6.9015000000000004</v>
      </c>
      <c r="F78" s="4">
        <f t="shared" si="21"/>
        <v>621881.46799453162</v>
      </c>
      <c r="G78" s="4">
        <f t="shared" si="17"/>
        <v>26719.759153853047</v>
      </c>
      <c r="H78" s="4">
        <f t="shared" si="18"/>
        <v>4291.9149513642606</v>
      </c>
      <c r="J78" s="6">
        <f t="shared" si="19"/>
        <v>3.6064499999999988</v>
      </c>
      <c r="M78" s="4">
        <v>145988</v>
      </c>
      <c r="N78" s="70">
        <f t="shared" si="11"/>
        <v>76.52478687445246</v>
      </c>
      <c r="O78" s="4">
        <f t="shared" si="12"/>
        <v>475893.46799453162</v>
      </c>
    </row>
    <row r="79" spans="1:15" x14ac:dyDescent="0.25">
      <c r="A79">
        <f t="shared" si="20"/>
        <v>1989</v>
      </c>
      <c r="B79" s="2">
        <v>0.83799999999999997</v>
      </c>
      <c r="C79" s="2">
        <v>0.20799999999999999</v>
      </c>
      <c r="D79" s="3">
        <f t="shared" si="15"/>
        <v>41.481000000000002</v>
      </c>
      <c r="E79" s="3">
        <f t="shared" si="16"/>
        <v>6.6768000000000001</v>
      </c>
      <c r="F79" s="4">
        <f t="shared" si="21"/>
        <v>644309.31219702039</v>
      </c>
      <c r="G79" s="4">
        <f t="shared" si="17"/>
        <v>26726.594579244604</v>
      </c>
      <c r="H79" s="4">
        <f t="shared" si="18"/>
        <v>4301.9244156770656</v>
      </c>
      <c r="J79" s="6">
        <f t="shared" si="19"/>
        <v>3.4804199999999983</v>
      </c>
      <c r="M79" s="4">
        <v>147022</v>
      </c>
      <c r="N79" s="70">
        <f t="shared" si="11"/>
        <v>77.181456605264344</v>
      </c>
      <c r="O79" s="4">
        <f t="shared" si="12"/>
        <v>497287.31219702039</v>
      </c>
    </row>
    <row r="80" spans="1:15" x14ac:dyDescent="0.25">
      <c r="A80">
        <f t="shared" si="20"/>
        <v>1990</v>
      </c>
      <c r="B80" s="2">
        <v>0.81</v>
      </c>
      <c r="C80" s="2">
        <v>0.20300000000000001</v>
      </c>
      <c r="D80" s="3">
        <f t="shared" si="15"/>
        <v>40.095000000000006</v>
      </c>
      <c r="E80" s="3">
        <f t="shared" si="16"/>
        <v>6.5163000000000011</v>
      </c>
      <c r="F80" s="4">
        <f t="shared" si="21"/>
        <v>666733.98236058792</v>
      </c>
      <c r="G80" s="4">
        <f t="shared" si="17"/>
        <v>26732.699022747776</v>
      </c>
      <c r="H80" s="4">
        <f t="shared" si="18"/>
        <v>4344.6386492563006</v>
      </c>
      <c r="J80" s="6">
        <f t="shared" si="19"/>
        <v>3.3578700000000028</v>
      </c>
      <c r="M80" s="4">
        <v>147662</v>
      </c>
      <c r="N80" s="70">
        <f t="shared" si="11"/>
        <v>77.852936267445216</v>
      </c>
      <c r="O80" s="4">
        <f t="shared" si="12"/>
        <v>519071.98236058792</v>
      </c>
    </row>
    <row r="81" spans="1:15" x14ac:dyDescent="0.25">
      <c r="A81">
        <f t="shared" si="20"/>
        <v>1991</v>
      </c>
      <c r="B81" s="2">
        <v>0.78100000000000003</v>
      </c>
      <c r="C81" s="2">
        <v>0.19500000000000001</v>
      </c>
      <c r="D81" s="3">
        <f t="shared" si="15"/>
        <v>38.659500000000001</v>
      </c>
      <c r="E81" s="3">
        <f t="shared" si="16"/>
        <v>6.2595000000000001</v>
      </c>
      <c r="F81" s="4">
        <f t="shared" si="21"/>
        <v>689122.04273407941</v>
      </c>
      <c r="G81" s="4">
        <f t="shared" si="17"/>
        <v>26641.113611078144</v>
      </c>
      <c r="H81" s="4">
        <f t="shared" si="18"/>
        <v>4313.55942649397</v>
      </c>
      <c r="J81" s="6">
        <f t="shared" si="19"/>
        <v>3.2400000000000011</v>
      </c>
      <c r="M81" s="4">
        <v>148164</v>
      </c>
      <c r="N81" s="70">
        <f t="shared" si="11"/>
        <v>78.499599372534661</v>
      </c>
      <c r="O81" s="4">
        <f t="shared" si="12"/>
        <v>540958.04273407941</v>
      </c>
    </row>
    <row r="82" spans="1:15" x14ac:dyDescent="0.25">
      <c r="A82">
        <f t="shared" si="20"/>
        <v>1992</v>
      </c>
      <c r="B82" s="2">
        <v>0.76900000000000002</v>
      </c>
      <c r="C82" s="2">
        <v>0.185</v>
      </c>
      <c r="D82" s="3">
        <f t="shared" si="15"/>
        <v>38.0655</v>
      </c>
      <c r="E82" s="3">
        <f t="shared" si="16"/>
        <v>5.9385000000000003</v>
      </c>
      <c r="F82" s="4">
        <f t="shared" si="21"/>
        <v>711449.59691866359</v>
      </c>
      <c r="G82" s="4">
        <f t="shared" si="17"/>
        <v>27081.684631507389</v>
      </c>
      <c r="H82" s="4">
        <f t="shared" si="18"/>
        <v>4224.9434313014835</v>
      </c>
      <c r="J82" s="6">
        <f t="shared" si="19"/>
        <v>3.212699999999995</v>
      </c>
      <c r="M82" s="4">
        <v>148326</v>
      </c>
      <c r="N82" s="70">
        <f t="shared" si="11"/>
        <v>79.151580007577493</v>
      </c>
      <c r="O82" s="4">
        <f t="shared" si="12"/>
        <v>563123.59691866359</v>
      </c>
    </row>
    <row r="83" spans="1:15" x14ac:dyDescent="0.25">
      <c r="A83">
        <f t="shared" si="20"/>
        <v>1993</v>
      </c>
      <c r="B83" s="2">
        <v>0.76100000000000001</v>
      </c>
      <c r="C83" s="2">
        <v>0.18</v>
      </c>
      <c r="D83" s="3">
        <f t="shared" si="15"/>
        <v>37.669499999999999</v>
      </c>
      <c r="E83" s="3">
        <f t="shared" si="16"/>
        <v>5.7780000000000005</v>
      </c>
      <c r="F83" s="4">
        <f t="shared" si="21"/>
        <v>734306.33811886946</v>
      </c>
      <c r="G83" s="4">
        <f t="shared" si="17"/>
        <v>27660.95260376875</v>
      </c>
      <c r="H83" s="4">
        <f t="shared" si="18"/>
        <v>4242.822021650828</v>
      </c>
      <c r="J83" s="6">
        <f t="shared" si="19"/>
        <v>3.1891500000000019</v>
      </c>
      <c r="M83" s="4">
        <v>148295</v>
      </c>
      <c r="N83" s="70">
        <f t="shared" si="11"/>
        <v>79.804750101994344</v>
      </c>
      <c r="O83" s="4">
        <f t="shared" si="12"/>
        <v>586011.33811886946</v>
      </c>
    </row>
    <row r="84" spans="1:15" x14ac:dyDescent="0.25">
      <c r="A84">
        <f t="shared" si="20"/>
        <v>1994</v>
      </c>
      <c r="B84" s="2">
        <v>0.75800000000000001</v>
      </c>
      <c r="C84" s="2">
        <v>0.17599999999999999</v>
      </c>
      <c r="D84" s="3">
        <f t="shared" si="15"/>
        <v>37.521000000000001</v>
      </c>
      <c r="E84" s="3">
        <f t="shared" si="16"/>
        <v>5.6495999999999995</v>
      </c>
      <c r="F84" s="4">
        <f t="shared" si="21"/>
        <v>757724.4687009874</v>
      </c>
      <c r="G84" s="4">
        <f t="shared" si="17"/>
        <v>28430.579790129748</v>
      </c>
      <c r="H84" s="4">
        <f t="shared" si="18"/>
        <v>4280.8401583730974</v>
      </c>
      <c r="J84" s="6">
        <f t="shared" si="19"/>
        <v>3.1871400000000034</v>
      </c>
      <c r="M84" s="4">
        <v>147997</v>
      </c>
      <c r="N84" s="70">
        <f t="shared" si="11"/>
        <v>80.468230060760717</v>
      </c>
      <c r="O84" s="4">
        <f t="shared" si="12"/>
        <v>609727.4687009874</v>
      </c>
    </row>
    <row r="85" spans="1:15" x14ac:dyDescent="0.25">
      <c r="A85">
        <f t="shared" si="20"/>
        <v>1995</v>
      </c>
      <c r="B85" s="2">
        <v>0.75600000000000001</v>
      </c>
      <c r="C85" s="2">
        <v>0.17100000000000001</v>
      </c>
      <c r="D85" s="3">
        <f t="shared" si="15"/>
        <v>37.421999999999997</v>
      </c>
      <c r="E85" s="3">
        <f t="shared" si="16"/>
        <v>5.4891000000000005</v>
      </c>
      <c r="F85" s="4">
        <f t="shared" si="21"/>
        <v>781874.20833274408</v>
      </c>
      <c r="G85" s="4">
        <f t="shared" si="17"/>
        <v>29259.296624227944</v>
      </c>
      <c r="H85" s="4">
        <f t="shared" si="18"/>
        <v>4291.7857169592662</v>
      </c>
      <c r="J85" s="6">
        <f t="shared" si="19"/>
        <v>3.1932899999999917</v>
      </c>
      <c r="M85" s="4">
        <v>147938</v>
      </c>
      <c r="N85" s="70">
        <f t="shared" si="11"/>
        <v>81.079053583892915</v>
      </c>
      <c r="O85" s="4">
        <f t="shared" si="12"/>
        <v>633936.20833274408</v>
      </c>
    </row>
    <row r="86" spans="1:15" x14ac:dyDescent="0.25">
      <c r="A86">
        <f t="shared" si="20"/>
        <v>1996</v>
      </c>
      <c r="B86" s="2">
        <v>0.76100000000000001</v>
      </c>
      <c r="C86" s="2">
        <v>0.16600000000000001</v>
      </c>
      <c r="D86" s="3">
        <f t="shared" si="15"/>
        <v>37.669499999999999</v>
      </c>
      <c r="E86" s="3">
        <f t="shared" si="16"/>
        <v>5.3286000000000007</v>
      </c>
      <c r="F86" s="4">
        <f t="shared" si="21"/>
        <v>806841.7192400127</v>
      </c>
      <c r="G86" s="4">
        <f t="shared" si="17"/>
        <v>30393.324142911657</v>
      </c>
      <c r="H86" s="4">
        <f t="shared" si="18"/>
        <v>4299.3367851423327</v>
      </c>
      <c r="J86" s="6">
        <f t="shared" si="19"/>
        <v>3.2340900000000086</v>
      </c>
      <c r="M86" s="4">
        <v>147609</v>
      </c>
      <c r="N86" s="70">
        <f t="shared" si="11"/>
        <v>81.705333712907517</v>
      </c>
      <c r="O86" s="4">
        <f t="shared" si="12"/>
        <v>659232.7192400127</v>
      </c>
    </row>
    <row r="87" spans="1:15" x14ac:dyDescent="0.25">
      <c r="A87">
        <f t="shared" si="20"/>
        <v>1997</v>
      </c>
      <c r="B87" s="2">
        <v>0.755</v>
      </c>
      <c r="C87" s="2">
        <v>0.16300000000000001</v>
      </c>
      <c r="D87" s="3">
        <f t="shared" si="15"/>
        <v>37.372500000000002</v>
      </c>
      <c r="E87" s="3">
        <f t="shared" si="16"/>
        <v>5.2323000000000004</v>
      </c>
      <c r="F87" s="4">
        <f t="shared" si="21"/>
        <v>832935.70659778209</v>
      </c>
      <c r="G87" s="4">
        <f t="shared" si="17"/>
        <v>31128.889694825612</v>
      </c>
      <c r="H87" s="4">
        <f t="shared" si="18"/>
        <v>4358.1694976315757</v>
      </c>
      <c r="J87" s="6">
        <f t="shared" si="19"/>
        <v>3.2140199999999983</v>
      </c>
      <c r="M87" s="4">
        <v>147137</v>
      </c>
      <c r="N87" s="70">
        <f t="shared" si="11"/>
        <v>82.335131171048317</v>
      </c>
      <c r="O87" s="4">
        <f t="shared" si="12"/>
        <v>685798.70659778209</v>
      </c>
    </row>
    <row r="88" spans="1:15" x14ac:dyDescent="0.25">
      <c r="A88">
        <f t="shared" si="20"/>
        <v>1998</v>
      </c>
      <c r="B88" s="2">
        <v>0.74299999999999999</v>
      </c>
      <c r="C88" s="2">
        <v>0.16</v>
      </c>
      <c r="D88" s="3">
        <f t="shared" si="15"/>
        <v>36.778500000000001</v>
      </c>
      <c r="E88" s="3">
        <f t="shared" si="16"/>
        <v>5.1360000000000001</v>
      </c>
      <c r="F88" s="4">
        <f t="shared" si="21"/>
        <v>859706.42679497611</v>
      </c>
      <c r="G88" s="4">
        <f t="shared" si="17"/>
        <v>31618.71281787903</v>
      </c>
      <c r="H88" s="4">
        <f t="shared" si="18"/>
        <v>4415.4522080189981</v>
      </c>
      <c r="J88" s="6">
        <f t="shared" si="19"/>
        <v>3.164250000000004</v>
      </c>
      <c r="M88" s="4">
        <v>147802.1</v>
      </c>
      <c r="N88" s="70">
        <f t="shared" si="11"/>
        <v>82.807840514696068</v>
      </c>
      <c r="O88" s="4">
        <f t="shared" si="12"/>
        <v>711904.32679497614</v>
      </c>
    </row>
    <row r="89" spans="1:15" x14ac:dyDescent="0.25">
      <c r="A89">
        <f t="shared" si="20"/>
        <v>1999</v>
      </c>
      <c r="B89" s="2">
        <v>0.72599999999999998</v>
      </c>
      <c r="C89" s="2">
        <v>0.159</v>
      </c>
      <c r="D89" s="3">
        <f t="shared" si="15"/>
        <v>35.936999999999998</v>
      </c>
      <c r="E89" s="3">
        <f t="shared" si="16"/>
        <v>5.1039000000000003</v>
      </c>
      <c r="F89" s="4">
        <f t="shared" si="21"/>
        <v>886909.68740483618</v>
      </c>
      <c r="G89" s="4">
        <f t="shared" si="17"/>
        <v>31872.873436267597</v>
      </c>
      <c r="H89" s="4">
        <f t="shared" si="18"/>
        <v>4526.6983535455438</v>
      </c>
      <c r="J89" s="6">
        <f t="shared" si="19"/>
        <v>3.0833100000000049</v>
      </c>
      <c r="M89" s="4">
        <v>147539.4</v>
      </c>
      <c r="N89" s="70">
        <f t="shared" si="11"/>
        <v>83.36477748577633</v>
      </c>
      <c r="O89" s="4">
        <f t="shared" si="12"/>
        <v>739370.28740483616</v>
      </c>
    </row>
    <row r="90" spans="1:15" x14ac:dyDescent="0.25">
      <c r="A90">
        <f t="shared" si="20"/>
        <v>2000</v>
      </c>
      <c r="B90" s="2">
        <v>0.70499999999999996</v>
      </c>
      <c r="C90" s="2">
        <v>0.16</v>
      </c>
      <c r="D90" s="3">
        <f t="shared" si="15"/>
        <v>34.897500000000001</v>
      </c>
      <c r="E90" s="3">
        <f t="shared" si="16"/>
        <v>5.1360000000000001</v>
      </c>
      <c r="F90" s="4">
        <f t="shared" si="21"/>
        <v>914255.86248755828</v>
      </c>
      <c r="G90" s="4">
        <f t="shared" si="17"/>
        <v>31905.243961159566</v>
      </c>
      <c r="H90" s="4">
        <f t="shared" si="18"/>
        <v>4695.6181097360995</v>
      </c>
      <c r="J90" s="6">
        <f t="shared" si="19"/>
        <v>2.9761500000000014</v>
      </c>
      <c r="M90" s="4">
        <v>146890.1</v>
      </c>
      <c r="N90" s="70">
        <f t="shared" si="11"/>
        <v>83.933370730559687</v>
      </c>
      <c r="O90" s="4">
        <f t="shared" si="12"/>
        <v>767365.7624875583</v>
      </c>
    </row>
    <row r="91" spans="1:15" x14ac:dyDescent="0.25">
      <c r="A91">
        <f t="shared" si="20"/>
        <v>2001</v>
      </c>
      <c r="B91" s="2">
        <v>0.67500000000000004</v>
      </c>
      <c r="C91" s="2">
        <v>0.161</v>
      </c>
      <c r="D91" s="3">
        <f t="shared" si="15"/>
        <v>33.412500000000001</v>
      </c>
      <c r="E91" s="3">
        <f t="shared" si="16"/>
        <v>5.1681000000000008</v>
      </c>
      <c r="F91" s="4">
        <f t="shared" si="21"/>
        <v>941465.48833898176</v>
      </c>
      <c r="G91" s="4">
        <f t="shared" si="17"/>
        <v>31456.715629126229</v>
      </c>
      <c r="H91" s="4">
        <f t="shared" si="18"/>
        <v>4865.5877902846923</v>
      </c>
      <c r="J91" s="6">
        <f t="shared" si="19"/>
        <v>2.8244399999999987</v>
      </c>
      <c r="M91" s="4">
        <v>146303.6</v>
      </c>
      <c r="N91" s="70">
        <f t="shared" si="11"/>
        <v>84.460014539872091</v>
      </c>
      <c r="O91" s="4">
        <f t="shared" si="12"/>
        <v>795161.88833898178</v>
      </c>
    </row>
    <row r="92" spans="1:15" x14ac:dyDescent="0.25">
      <c r="A92">
        <f t="shared" si="20"/>
        <v>2002</v>
      </c>
      <c r="B92" s="2">
        <v>0.64800000000000002</v>
      </c>
      <c r="C92" s="2">
        <v>0.16300000000000001</v>
      </c>
      <c r="D92" s="3">
        <f t="shared" si="15"/>
        <v>32.076000000000001</v>
      </c>
      <c r="E92" s="3">
        <f t="shared" si="16"/>
        <v>5.2323000000000004</v>
      </c>
      <c r="F92" s="4">
        <f t="shared" si="21"/>
        <v>968056.61617782328</v>
      </c>
      <c r="G92" s="4">
        <f t="shared" si="17"/>
        <v>31051.384020519861</v>
      </c>
      <c r="H92" s="4">
        <f t="shared" si="18"/>
        <v>5065.162632827225</v>
      </c>
      <c r="J92" s="6">
        <f t="shared" si="19"/>
        <v>2.6843700000000097</v>
      </c>
      <c r="M92" s="4">
        <v>145649.29999999999</v>
      </c>
      <c r="N92" s="70">
        <f t="shared" si="11"/>
        <v>84.954464690808393</v>
      </c>
      <c r="O92" s="4">
        <f t="shared" si="12"/>
        <v>822407.31617782335</v>
      </c>
    </row>
    <row r="93" spans="1:15" x14ac:dyDescent="0.25">
      <c r="A93">
        <f t="shared" si="20"/>
        <v>2003</v>
      </c>
      <c r="B93" s="2">
        <v>0.61799999999999999</v>
      </c>
      <c r="C93" s="2">
        <v>0.16300000000000001</v>
      </c>
      <c r="D93" s="3">
        <f t="shared" si="15"/>
        <v>30.591000000000001</v>
      </c>
      <c r="E93" s="3">
        <f t="shared" si="16"/>
        <v>5.2323000000000004</v>
      </c>
      <c r="F93" s="4">
        <f t="shared" si="21"/>
        <v>994042.83756551601</v>
      </c>
      <c r="G93" s="4">
        <f t="shared" si="17"/>
        <v>30408.764443966702</v>
      </c>
      <c r="H93" s="4">
        <f t="shared" si="18"/>
        <v>5201.1303389940495</v>
      </c>
      <c r="J93" s="6">
        <f t="shared" si="19"/>
        <v>2.5358699999999939</v>
      </c>
      <c r="M93" s="4">
        <v>144963.6</v>
      </c>
      <c r="N93" s="70">
        <f t="shared" si="11"/>
        <v>85.416765302084315</v>
      </c>
      <c r="O93" s="4">
        <f t="shared" si="12"/>
        <v>849079.23756551603</v>
      </c>
    </row>
    <row r="94" spans="1:15" x14ac:dyDescent="0.25">
      <c r="A94">
        <f t="shared" si="20"/>
        <v>2004</v>
      </c>
      <c r="B94" s="2">
        <v>0.59399999999999997</v>
      </c>
      <c r="C94" s="2">
        <v>0.16200000000000001</v>
      </c>
      <c r="D94" s="3">
        <f t="shared" si="15"/>
        <v>29.402999999999999</v>
      </c>
      <c r="E94" s="3">
        <f t="shared" si="16"/>
        <v>5.2002000000000006</v>
      </c>
      <c r="F94" s="4">
        <f t="shared" si="21"/>
        <v>1019250.4716704886</v>
      </c>
      <c r="G94" s="4">
        <f t="shared" si="17"/>
        <v>29969.021618527375</v>
      </c>
      <c r="H94" s="4">
        <f t="shared" si="18"/>
        <v>5300.3063027808748</v>
      </c>
      <c r="J94" s="6">
        <f t="shared" si="19"/>
        <v>2.4202799999999991</v>
      </c>
      <c r="M94" s="4">
        <v>144333.6</v>
      </c>
      <c r="N94" s="70">
        <f t="shared" si="11"/>
        <v>85.839241284485638</v>
      </c>
      <c r="O94" s="4">
        <f t="shared" si="12"/>
        <v>874916.87167048862</v>
      </c>
    </row>
    <row r="95" spans="1:15" x14ac:dyDescent="0.25">
      <c r="A95">
        <f t="shared" si="20"/>
        <v>2005</v>
      </c>
      <c r="B95" s="2">
        <v>0.56899999999999995</v>
      </c>
      <c r="C95" s="2">
        <v>0.161</v>
      </c>
      <c r="D95" s="3">
        <f t="shared" si="15"/>
        <v>28.165499999999998</v>
      </c>
      <c r="E95" s="3">
        <f t="shared" si="16"/>
        <v>5.1681000000000008</v>
      </c>
      <c r="F95" s="4">
        <f t="shared" si="21"/>
        <v>1043919.1869862351</v>
      </c>
      <c r="G95" s="4">
        <f t="shared" si="17"/>
        <v>29402.505861060803</v>
      </c>
      <c r="H95" s="4">
        <f t="shared" si="18"/>
        <v>5395.0787502635621</v>
      </c>
      <c r="J95" s="6">
        <f t="shared" si="19"/>
        <v>2.2997399999999906</v>
      </c>
      <c r="M95" s="4">
        <v>143801</v>
      </c>
      <c r="N95" s="70">
        <f t="shared" si="11"/>
        <v>86.224891563191846</v>
      </c>
      <c r="O95" s="4">
        <f t="shared" si="12"/>
        <v>900118.18698623509</v>
      </c>
    </row>
    <row r="96" spans="1:15" x14ac:dyDescent="0.25">
      <c r="A96">
        <f t="shared" si="20"/>
        <v>2006</v>
      </c>
      <c r="B96" s="2">
        <v>0.55700000000000005</v>
      </c>
      <c r="C96" s="2">
        <v>0.158</v>
      </c>
      <c r="D96" s="3">
        <f t="shared" si="15"/>
        <v>27.571500000000004</v>
      </c>
      <c r="E96" s="3">
        <f t="shared" si="16"/>
        <v>5.0718000000000005</v>
      </c>
      <c r="F96" s="4">
        <f t="shared" si="21"/>
        <v>1067926.6140970322</v>
      </c>
      <c r="G96" s="4">
        <f t="shared" si="17"/>
        <v>29444.33864057633</v>
      </c>
      <c r="H96" s="4">
        <f t="shared" si="18"/>
        <v>5416.3102013773287</v>
      </c>
      <c r="J96" s="6">
        <f t="shared" si="19"/>
        <v>2.2499699999999865</v>
      </c>
      <c r="M96" s="4">
        <v>143236.6</v>
      </c>
      <c r="N96" s="70">
        <f t="shared" si="11"/>
        <v>86.587411708892432</v>
      </c>
      <c r="O96" s="4">
        <f t="shared" si="12"/>
        <v>924690.01409703225</v>
      </c>
    </row>
    <row r="97" spans="1:15" x14ac:dyDescent="0.25">
      <c r="A97">
        <f t="shared" si="20"/>
        <v>2007</v>
      </c>
      <c r="B97" s="2">
        <v>0.54700000000000004</v>
      </c>
      <c r="C97" s="2">
        <v>0.156</v>
      </c>
      <c r="D97" s="3">
        <f t="shared" si="15"/>
        <v>27.076500000000003</v>
      </c>
      <c r="E97" s="3">
        <f t="shared" si="16"/>
        <v>5.0076000000000001</v>
      </c>
      <c r="F97" s="4">
        <f t="shared" si="21"/>
        <v>1091954.6425362311</v>
      </c>
      <c r="G97" s="4">
        <f t="shared" si="17"/>
        <v>29566.309878632263</v>
      </c>
      <c r="H97" s="4">
        <f t="shared" si="18"/>
        <v>5468.072067964431</v>
      </c>
      <c r="J97" s="6">
        <f t="shared" si="19"/>
        <v>2.2068900000000005</v>
      </c>
      <c r="M97" s="4">
        <v>142862.70000000001</v>
      </c>
      <c r="N97" s="70">
        <f t="shared" si="11"/>
        <v>86.916791738878501</v>
      </c>
      <c r="O97" s="4">
        <f t="shared" si="12"/>
        <v>949091.94253623113</v>
      </c>
    </row>
    <row r="98" spans="1:15" x14ac:dyDescent="0.25">
      <c r="A98">
        <f t="shared" si="20"/>
        <v>2008</v>
      </c>
      <c r="B98" s="2">
        <v>0.54500000000000004</v>
      </c>
      <c r="C98" s="2">
        <v>0.155</v>
      </c>
      <c r="D98" s="3">
        <f t="shared" si="15"/>
        <v>26.977500000000003</v>
      </c>
      <c r="E98" s="3">
        <f t="shared" si="16"/>
        <v>4.9755000000000003</v>
      </c>
      <c r="F98" s="4">
        <f t="shared" si="21"/>
        <v>1116052.8803468989</v>
      </c>
      <c r="G98" s="4">
        <f t="shared" si="17"/>
        <v>30108.316579558468</v>
      </c>
      <c r="H98" s="4">
        <f t="shared" si="18"/>
        <v>5552.9211061659962</v>
      </c>
      <c r="J98" s="6">
        <f t="shared" si="19"/>
        <v>2.2001999999999979</v>
      </c>
      <c r="M98" s="4">
        <v>142747.5</v>
      </c>
      <c r="N98" s="70">
        <f t="shared" si="11"/>
        <v>87.209611433856935</v>
      </c>
      <c r="O98" s="4">
        <f t="shared" si="12"/>
        <v>973305.38034689892</v>
      </c>
    </row>
    <row r="99" spans="1:15" x14ac:dyDescent="0.25">
      <c r="A99">
        <f t="shared" si="20"/>
        <v>2009</v>
      </c>
      <c r="B99" s="2">
        <v>0.53400000000000003</v>
      </c>
      <c r="C99" s="2">
        <v>0.154</v>
      </c>
      <c r="D99" s="3">
        <f t="shared" si="15"/>
        <v>26.433</v>
      </c>
      <c r="E99" s="3">
        <f t="shared" si="16"/>
        <v>4.9434000000000005</v>
      </c>
      <c r="F99" s="4">
        <f t="shared" si="21"/>
        <v>1140608.2758202914</v>
      </c>
      <c r="G99" s="4">
        <f t="shared" si="17"/>
        <v>30149.698554757764</v>
      </c>
      <c r="H99" s="4">
        <f t="shared" si="18"/>
        <v>5638.4829506900296</v>
      </c>
      <c r="J99" s="6">
        <f t="shared" si="19"/>
        <v>2.1489600000000042</v>
      </c>
      <c r="M99" s="4">
        <v>142737.20000000001</v>
      </c>
      <c r="N99" s="70">
        <f t="shared" si="11"/>
        <v>87.485870212773293</v>
      </c>
      <c r="O99" s="4">
        <f t="shared" si="12"/>
        <v>997871.07582029141</v>
      </c>
    </row>
    <row r="100" spans="1:15" x14ac:dyDescent="0.25">
      <c r="A100">
        <f t="shared" si="20"/>
        <v>2010</v>
      </c>
      <c r="B100" s="2">
        <v>0.52400000000000002</v>
      </c>
      <c r="C100" s="2">
        <v>0.153</v>
      </c>
      <c r="D100" s="3">
        <f t="shared" si="15"/>
        <v>25.938000000000002</v>
      </c>
      <c r="E100" s="3">
        <f t="shared" si="16"/>
        <v>4.9112999999999998</v>
      </c>
      <c r="F100" s="4">
        <f t="shared" si="21"/>
        <v>1165119.4914243591</v>
      </c>
      <c r="G100" s="4">
        <f t="shared" si="17"/>
        <v>30220.869368565029</v>
      </c>
      <c r="H100" s="4">
        <f t="shared" si="18"/>
        <v>5722.2513582324545</v>
      </c>
      <c r="J100" s="6">
        <f t="shared" si="19"/>
        <v>2.1026700000000003</v>
      </c>
      <c r="M100" s="4">
        <v>142833.5</v>
      </c>
      <c r="N100" s="70">
        <f t="shared" ref="N100:N110" si="22">100*O100/F100</f>
        <v>87.740871125125025</v>
      </c>
      <c r="O100" s="4">
        <f t="shared" ref="O100:O110" si="23">F100-M100</f>
        <v>1022285.9914243591</v>
      </c>
    </row>
    <row r="101" spans="1:15" x14ac:dyDescent="0.25">
      <c r="A101">
        <f t="shared" si="20"/>
        <v>2011</v>
      </c>
      <c r="B101" s="2">
        <v>0.51300000000000001</v>
      </c>
      <c r="C101" s="2">
        <v>0.152</v>
      </c>
      <c r="D101" s="3">
        <f t="shared" si="15"/>
        <v>25.3935</v>
      </c>
      <c r="E101" s="3">
        <f t="shared" si="16"/>
        <v>4.8792</v>
      </c>
      <c r="F101" s="4">
        <f t="shared" si="21"/>
        <v>1189618.1094346917</v>
      </c>
      <c r="G101" s="4">
        <f t="shared" si="17"/>
        <v>30208.567461929844</v>
      </c>
      <c r="H101" s="4">
        <f t="shared" si="18"/>
        <v>5804.3846795537484</v>
      </c>
      <c r="J101" s="6">
        <f t="shared" si="19"/>
        <v>2.0514299999999879</v>
      </c>
      <c r="M101" s="4">
        <v>142865.4</v>
      </c>
      <c r="N101" s="70">
        <f t="shared" si="22"/>
        <v>87.990650203880136</v>
      </c>
      <c r="O101" s="4">
        <f t="shared" si="23"/>
        <v>1046752.7094346917</v>
      </c>
    </row>
    <row r="102" spans="1:15" x14ac:dyDescent="0.25">
      <c r="A102">
        <f t="shared" si="20"/>
        <v>2012</v>
      </c>
      <c r="B102" s="2">
        <v>0.504</v>
      </c>
      <c r="C102" s="2">
        <v>0.152</v>
      </c>
      <c r="D102" s="3">
        <f t="shared" si="15"/>
        <v>24.948</v>
      </c>
      <c r="E102" s="3">
        <f t="shared" si="16"/>
        <v>4.8792</v>
      </c>
      <c r="F102" s="4">
        <f t="shared" si="21"/>
        <v>1214022.2922170677</v>
      </c>
      <c r="G102" s="4">
        <f t="shared" si="17"/>
        <v>30287.428146231407</v>
      </c>
      <c r="H102" s="4">
        <f t="shared" si="18"/>
        <v>5923.4575681855167</v>
      </c>
      <c r="J102" s="6">
        <f t="shared" si="19"/>
        <v>2.0068800000000135</v>
      </c>
      <c r="M102" s="4">
        <v>143056.4</v>
      </c>
      <c r="N102" s="70">
        <f t="shared" si="22"/>
        <v>88.216328405407779</v>
      </c>
      <c r="O102" s="4">
        <f t="shared" si="23"/>
        <v>1070965.8922170678</v>
      </c>
    </row>
    <row r="103" spans="1:15" x14ac:dyDescent="0.25">
      <c r="A103">
        <f t="shared" si="20"/>
        <v>2013</v>
      </c>
      <c r="B103" s="2">
        <v>0.49399999999999999</v>
      </c>
      <c r="C103" s="2">
        <v>0.152</v>
      </c>
      <c r="D103" s="3">
        <f t="shared" si="15"/>
        <v>24.452999999999999</v>
      </c>
      <c r="E103" s="3">
        <f t="shared" si="16"/>
        <v>4.8792</v>
      </c>
      <c r="F103" s="4">
        <f t="shared" si="21"/>
        <v>1238386.2627951137</v>
      </c>
      <c r="G103" s="4">
        <f t="shared" si="17"/>
        <v>30282.259284128915</v>
      </c>
      <c r="H103" s="4">
        <f t="shared" si="18"/>
        <v>6042.3342534299181</v>
      </c>
      <c r="J103" s="6">
        <f t="shared" si="19"/>
        <v>1.9573800000000001</v>
      </c>
      <c r="M103" s="4">
        <v>143347.1</v>
      </c>
      <c r="N103" s="70">
        <f t="shared" si="22"/>
        <v>88.424685874950129</v>
      </c>
      <c r="O103" s="4">
        <f t="shared" si="23"/>
        <v>1095039.1627951136</v>
      </c>
    </row>
    <row r="104" spans="1:15" x14ac:dyDescent="0.25">
      <c r="A104">
        <f t="shared" si="20"/>
        <v>2014</v>
      </c>
      <c r="B104" s="2">
        <v>0.48499999999999999</v>
      </c>
      <c r="C104" s="2">
        <v>0.153</v>
      </c>
      <c r="D104" s="3">
        <f t="shared" si="15"/>
        <v>24.0075</v>
      </c>
      <c r="E104" s="3">
        <f t="shared" si="16"/>
        <v>4.9112999999999998</v>
      </c>
      <c r="F104" s="4">
        <f t="shared" si="21"/>
        <v>1262626.1878258127</v>
      </c>
      <c r="G104" s="4">
        <f t="shared" si="17"/>
        <v>30312.498204228199</v>
      </c>
      <c r="H104" s="4">
        <f t="shared" si="18"/>
        <v>6201.1359962689139</v>
      </c>
      <c r="J104" s="6">
        <f t="shared" si="19"/>
        <v>1.9096200000000096</v>
      </c>
      <c r="M104" s="4">
        <v>143666.9</v>
      </c>
      <c r="N104" s="70">
        <f t="shared" si="22"/>
        <v>88.621580845920192</v>
      </c>
      <c r="O104" s="4">
        <f t="shared" si="23"/>
        <v>1118959.2878258128</v>
      </c>
    </row>
    <row r="105" spans="1:15" x14ac:dyDescent="0.25">
      <c r="A105">
        <f t="shared" si="20"/>
        <v>2015</v>
      </c>
      <c r="B105" s="2">
        <v>0.47699999999999998</v>
      </c>
      <c r="C105" s="2">
        <v>0.154</v>
      </c>
      <c r="D105" s="3">
        <f t="shared" si="15"/>
        <v>23.611499999999999</v>
      </c>
      <c r="E105" s="3">
        <f t="shared" si="16"/>
        <v>4.9434000000000005</v>
      </c>
      <c r="F105" s="4">
        <f t="shared" si="21"/>
        <v>1286737.5500337721</v>
      </c>
      <c r="G105" s="4">
        <f t="shared" si="17"/>
        <v>30381.803662622409</v>
      </c>
      <c r="H105" s="4">
        <f t="shared" si="18"/>
        <v>6360.8584048369503</v>
      </c>
      <c r="J105" s="6">
        <f t="shared" si="19"/>
        <v>1.8668100000000027</v>
      </c>
      <c r="M105" s="4">
        <v>146267.29999999999</v>
      </c>
      <c r="N105" s="70">
        <f t="shared" si="22"/>
        <v>88.632701361970746</v>
      </c>
      <c r="O105" s="4">
        <f t="shared" si="23"/>
        <v>1140470.2500337721</v>
      </c>
    </row>
    <row r="106" spans="1:15" x14ac:dyDescent="0.25">
      <c r="A106">
        <f t="shared" si="20"/>
        <v>2016</v>
      </c>
      <c r="B106" s="2">
        <v>0.46899999999999997</v>
      </c>
      <c r="C106" s="2">
        <v>0.155</v>
      </c>
      <c r="D106" s="3">
        <f t="shared" si="15"/>
        <v>23.215499999999999</v>
      </c>
      <c r="E106" s="3">
        <f t="shared" si="16"/>
        <v>4.9755000000000003</v>
      </c>
      <c r="F106" s="4">
        <f t="shared" si="21"/>
        <v>1310758.4952915576</v>
      </c>
      <c r="G106" s="4">
        <f t="shared" si="17"/>
        <v>30429.913847441156</v>
      </c>
      <c r="H106" s="4">
        <f t="shared" si="18"/>
        <v>6521.6788933231446</v>
      </c>
      <c r="J106" s="6">
        <f t="shared" si="19"/>
        <v>1.8240000000000014</v>
      </c>
      <c r="M106" s="4">
        <v>146544.70000000001</v>
      </c>
      <c r="N106" s="70">
        <f t="shared" si="22"/>
        <v>88.819855028488419</v>
      </c>
      <c r="O106" s="4">
        <f t="shared" si="23"/>
        <v>1164213.7952915577</v>
      </c>
    </row>
    <row r="107" spans="1:15" x14ac:dyDescent="0.25">
      <c r="A107">
        <f t="shared" si="20"/>
        <v>2017</v>
      </c>
      <c r="B107" s="2">
        <v>0.46100000000000002</v>
      </c>
      <c r="C107" s="2">
        <v>0.156</v>
      </c>
      <c r="D107" s="3">
        <f t="shared" si="15"/>
        <v>22.819500000000001</v>
      </c>
      <c r="E107" s="3">
        <f t="shared" si="16"/>
        <v>5.0076000000000001</v>
      </c>
      <c r="F107" s="4">
        <f t="shared" si="21"/>
        <v>1334666.7302456757</v>
      </c>
      <c r="G107" s="4">
        <f t="shared" si="17"/>
        <v>30456.427450841195</v>
      </c>
      <c r="H107" s="4">
        <f t="shared" si="18"/>
        <v>6683.477118378245</v>
      </c>
      <c r="J107" s="6">
        <f t="shared" si="19"/>
        <v>1.7811900000000052</v>
      </c>
      <c r="M107" s="4">
        <v>146804.4</v>
      </c>
      <c r="N107" s="70">
        <f t="shared" si="22"/>
        <v>89.00066985464025</v>
      </c>
      <c r="O107" s="4">
        <f t="shared" si="23"/>
        <v>1187862.3302456758</v>
      </c>
    </row>
    <row r="108" spans="1:15" x14ac:dyDescent="0.25">
      <c r="A108">
        <f t="shared" si="20"/>
        <v>2018</v>
      </c>
      <c r="B108" s="2">
        <v>0.45300000000000001</v>
      </c>
      <c r="C108" s="2">
        <v>0.158</v>
      </c>
      <c r="D108" s="3">
        <f t="shared" si="15"/>
        <v>22.423500000000001</v>
      </c>
      <c r="E108" s="3">
        <f t="shared" si="16"/>
        <v>5.0718000000000005</v>
      </c>
      <c r="F108" s="4">
        <f t="shared" si="21"/>
        <v>1358439.6805781387</v>
      </c>
      <c r="G108" s="4">
        <f t="shared" si="17"/>
        <v>30460.972177443891</v>
      </c>
      <c r="H108" s="4">
        <f t="shared" si="18"/>
        <v>6889.7343719562041</v>
      </c>
      <c r="J108" s="6">
        <f t="shared" si="19"/>
        <v>1.7351699999999926</v>
      </c>
      <c r="M108" s="4">
        <v>146880.4</v>
      </c>
      <c r="N108" s="70">
        <f t="shared" si="22"/>
        <v>89.187565550390204</v>
      </c>
      <c r="O108" s="4">
        <f t="shared" si="23"/>
        <v>1211559.2805781388</v>
      </c>
    </row>
    <row r="109" spans="1:15" x14ac:dyDescent="0.25">
      <c r="A109">
        <f t="shared" si="20"/>
        <v>2019</v>
      </c>
      <c r="B109" s="2">
        <v>0.44600000000000001</v>
      </c>
      <c r="C109" s="2">
        <v>0.16</v>
      </c>
      <c r="D109" s="3">
        <f t="shared" si="15"/>
        <v>22.077000000000002</v>
      </c>
      <c r="E109" s="3">
        <f t="shared" si="16"/>
        <v>5.1360000000000001</v>
      </c>
      <c r="F109" s="4">
        <f t="shared" si="21"/>
        <v>1382010.9183836263</v>
      </c>
      <c r="G109" s="4">
        <f t="shared" si="17"/>
        <v>30510.655045155319</v>
      </c>
      <c r="H109" s="4">
        <f t="shared" si="18"/>
        <v>7098.0080768183052</v>
      </c>
      <c r="J109" s="6">
        <f t="shared" si="19"/>
        <v>1.6941000000000166</v>
      </c>
      <c r="M109" s="4">
        <v>146780.70000000001</v>
      </c>
      <c r="N109" s="70">
        <f t="shared" si="22"/>
        <v>89.379193894381686</v>
      </c>
      <c r="O109" s="4">
        <f t="shared" si="23"/>
        <v>1235230.2183836263</v>
      </c>
    </row>
    <row r="110" spans="1:15" x14ac:dyDescent="0.25">
      <c r="A110">
        <f t="shared" si="20"/>
        <v>2020</v>
      </c>
      <c r="B110" s="2">
        <v>0.438</v>
      </c>
      <c r="C110" s="2">
        <v>0.16200000000000001</v>
      </c>
      <c r="D110" s="3">
        <f t="shared" si="15"/>
        <v>21.681000000000001</v>
      </c>
      <c r="E110" s="3">
        <f t="shared" si="16"/>
        <v>5.2002000000000006</v>
      </c>
      <c r="F110" s="4">
        <f t="shared" si="21"/>
        <v>1405423.5653519635</v>
      </c>
      <c r="G110" s="4">
        <f t="shared" si="17"/>
        <v>30470.988320395922</v>
      </c>
      <c r="H110" s="4">
        <f t="shared" si="18"/>
        <v>7308.4836245432816</v>
      </c>
      <c r="J110" s="6">
        <f t="shared" si="19"/>
        <v>1.6480799999999916</v>
      </c>
      <c r="M110" s="4">
        <v>146748.6</v>
      </c>
      <c r="N110" s="70">
        <f t="shared" si="22"/>
        <v>89.558407613348251</v>
      </c>
      <c r="O110" s="4">
        <f t="shared" si="23"/>
        <v>1258674.9653519634</v>
      </c>
    </row>
    <row r="111" spans="1:15" x14ac:dyDescent="0.25">
      <c r="A111">
        <f t="shared" si="20"/>
        <v>2021</v>
      </c>
      <c r="B111" s="2">
        <v>0.43099999999999999</v>
      </c>
      <c r="C111" s="2">
        <v>0.16400000000000001</v>
      </c>
      <c r="D111" s="3">
        <f t="shared" si="15"/>
        <v>21.334499999999998</v>
      </c>
      <c r="E111" s="3">
        <f t="shared" si="16"/>
        <v>5.2644000000000002</v>
      </c>
      <c r="F111" s="4">
        <f t="shared" si="21"/>
        <v>1428586.070047816</v>
      </c>
      <c r="G111" s="4">
        <f t="shared" si="17"/>
        <v>30478.169511435128</v>
      </c>
      <c r="H111" s="4">
        <f t="shared" si="18"/>
        <v>7520.6485071597226</v>
      </c>
      <c r="J111" s="6">
        <f t="shared" si="19"/>
        <v>1.6070100000000007</v>
      </c>
      <c r="M111" s="4">
        <v>147455.70000000001</v>
      </c>
      <c r="N111" s="70">
        <f t="shared" ref="N111:N114" si="24">100*O111/F111</f>
        <v>89.678206788404111</v>
      </c>
      <c r="O111" s="4">
        <f t="shared" ref="O111:O114" si="25">F111-M111</f>
        <v>1281130.3700478161</v>
      </c>
    </row>
    <row r="112" spans="1:15" x14ac:dyDescent="0.25">
      <c r="A112">
        <f t="shared" si="20"/>
        <v>2022</v>
      </c>
      <c r="B112" s="2">
        <v>0.42499999999999999</v>
      </c>
      <c r="C112" s="2">
        <v>0.16600000000000001</v>
      </c>
      <c r="D112" s="3">
        <f t="shared" si="15"/>
        <v>21.037499999999998</v>
      </c>
      <c r="E112" s="3">
        <f t="shared" si="16"/>
        <v>5.3286000000000007</v>
      </c>
      <c r="F112" s="4">
        <f t="shared" si="21"/>
        <v>1451543.5910520914</v>
      </c>
      <c r="G112" s="4">
        <f t="shared" si="17"/>
        <v>30536.848296758373</v>
      </c>
      <c r="H112" s="4">
        <f t="shared" si="18"/>
        <v>7734.6951792801756</v>
      </c>
      <c r="J112" s="6">
        <f t="shared" si="19"/>
        <v>1.570890000000011</v>
      </c>
      <c r="M112" s="4">
        <v>146980.1</v>
      </c>
      <c r="N112" s="70">
        <f t="shared" si="24"/>
        <v>89.874220732601799</v>
      </c>
      <c r="O112" s="4">
        <f t="shared" si="25"/>
        <v>1304563.4910520914</v>
      </c>
    </row>
    <row r="113" spans="1:15" x14ac:dyDescent="0.25">
      <c r="A113">
        <f t="shared" si="20"/>
        <v>2023</v>
      </c>
      <c r="B113" s="2">
        <v>0.41899999999999998</v>
      </c>
      <c r="C113" s="2">
        <v>0.16800000000000001</v>
      </c>
      <c r="D113" s="3">
        <f t="shared" si="15"/>
        <v>20.740500000000001</v>
      </c>
      <c r="E113" s="3">
        <f t="shared" si="16"/>
        <v>5.3928000000000003</v>
      </c>
      <c r="F113" s="4">
        <f t="shared" si="21"/>
        <v>1474345.7441695698</v>
      </c>
      <c r="G113" s="4">
        <f t="shared" si="17"/>
        <v>30578.667906948966</v>
      </c>
      <c r="H113" s="4">
        <f t="shared" si="18"/>
        <v>7950.8517291576563</v>
      </c>
      <c r="J113" s="6">
        <f t="shared" si="19"/>
        <v>1.5347700000000097</v>
      </c>
      <c r="M113" s="4">
        <v>146447.4</v>
      </c>
      <c r="N113" s="70">
        <f t="shared" si="24"/>
        <v>90.06695677868376</v>
      </c>
      <c r="O113" s="4">
        <f t="shared" si="25"/>
        <v>1327898.3441695699</v>
      </c>
    </row>
    <row r="114" spans="1:15" x14ac:dyDescent="0.25">
      <c r="A114">
        <f t="shared" si="20"/>
        <v>2024</v>
      </c>
      <c r="B114" s="2">
        <v>0.41299999999999998</v>
      </c>
      <c r="C114" s="2">
        <v>0.17</v>
      </c>
      <c r="D114" s="3">
        <f t="shared" si="15"/>
        <v>20.4435</v>
      </c>
      <c r="E114" s="3">
        <f t="shared" si="16"/>
        <v>5.4570000000000007</v>
      </c>
      <c r="F114" s="4">
        <f t="shared" si="21"/>
        <v>1496973.5603473613</v>
      </c>
      <c r="G114" s="4">
        <f t="shared" si="17"/>
        <v>30603.378980961283</v>
      </c>
      <c r="H114" s="4">
        <f t="shared" si="18"/>
        <v>8168.9847188155509</v>
      </c>
      <c r="J114" s="6">
        <f t="shared" si="19"/>
        <v>1.4986500000000007</v>
      </c>
      <c r="M114" s="4">
        <v>146150.79999999999</v>
      </c>
      <c r="N114" s="70">
        <f t="shared" si="24"/>
        <v>90.236915075100811</v>
      </c>
      <c r="O114" s="4">
        <f t="shared" si="25"/>
        <v>1350822.7603473612</v>
      </c>
    </row>
    <row r="115" spans="1:15" x14ac:dyDescent="0.25">
      <c r="A115">
        <f t="shared" si="20"/>
        <v>2025</v>
      </c>
      <c r="B115" s="2">
        <v>0.40699999999999997</v>
      </c>
      <c r="C115" s="2">
        <v>0.17</v>
      </c>
      <c r="D115" s="3">
        <f t="shared" si="15"/>
        <v>20.1465</v>
      </c>
      <c r="E115" s="3">
        <f t="shared" si="16"/>
        <v>5.4570000000000007</v>
      </c>
      <c r="F115" s="4">
        <f t="shared" si="21"/>
        <v>1519407.954609507</v>
      </c>
      <c r="G115" s="4">
        <f t="shared" si="17"/>
        <v>30610.752357540434</v>
      </c>
      <c r="H115" s="4">
        <f t="shared" si="18"/>
        <v>8291.4092083040814</v>
      </c>
      <c r="J115" s="6">
        <f t="shared" si="19"/>
        <v>1.4689500000000033</v>
      </c>
    </row>
    <row r="116" spans="1:15" x14ac:dyDescent="0.25">
      <c r="A116">
        <f t="shared" si="20"/>
        <v>2026</v>
      </c>
      <c r="B116" s="2">
        <v>0.40100000000000002</v>
      </c>
      <c r="C116" s="2">
        <v>0.17100000000000001</v>
      </c>
      <c r="D116" s="3">
        <f t="shared" si="15"/>
        <v>19.849500000000003</v>
      </c>
      <c r="E116" s="3">
        <f t="shared" si="16"/>
        <v>5.4891000000000005</v>
      </c>
      <c r="F116" s="4">
        <f t="shared" si="21"/>
        <v>1541727.2977587434</v>
      </c>
      <c r="G116" s="4">
        <f t="shared" si="17"/>
        <v>30602.515996862181</v>
      </c>
      <c r="H116" s="4">
        <f t="shared" si="18"/>
        <v>8462.6953101275194</v>
      </c>
      <c r="J116" s="6">
        <f t="shared" si="19"/>
        <v>1.4360400000000058</v>
      </c>
    </row>
    <row r="117" spans="1:15" x14ac:dyDescent="0.25">
      <c r="A117">
        <f t="shared" si="20"/>
        <v>2027</v>
      </c>
      <c r="B117" s="2">
        <v>0.39600000000000002</v>
      </c>
      <c r="C117" s="2">
        <v>0.17299999999999999</v>
      </c>
      <c r="D117" s="3">
        <f t="shared" si="15"/>
        <v>19.602</v>
      </c>
      <c r="E117" s="3">
        <f t="shared" si="16"/>
        <v>5.5533000000000001</v>
      </c>
      <c r="F117" s="4">
        <f t="shared" si="21"/>
        <v>1563867.1184454781</v>
      </c>
      <c r="G117" s="4">
        <f t="shared" si="17"/>
        <v>30654.923255768263</v>
      </c>
      <c r="H117" s="4">
        <f t="shared" si="18"/>
        <v>8684.6232688632736</v>
      </c>
      <c r="J117" s="6">
        <f t="shared" si="19"/>
        <v>1.4048700000000125</v>
      </c>
    </row>
    <row r="118" spans="1:15" x14ac:dyDescent="0.25">
      <c r="A118">
        <f t="shared" si="20"/>
        <v>2028</v>
      </c>
      <c r="B118" s="2">
        <v>0.38900000000000001</v>
      </c>
      <c r="C118" s="2">
        <v>0.17399999999999999</v>
      </c>
      <c r="D118" s="3">
        <f t="shared" si="15"/>
        <v>19.255500000000001</v>
      </c>
      <c r="E118" s="3">
        <f t="shared" si="16"/>
        <v>5.5853999999999999</v>
      </c>
      <c r="F118" s="4">
        <f t="shared" si="21"/>
        <v>1585837.4184323833</v>
      </c>
      <c r="G118" s="4">
        <f t="shared" si="17"/>
        <v>30536.092410624762</v>
      </c>
      <c r="H118" s="4">
        <f t="shared" si="18"/>
        <v>8857.5363169122338</v>
      </c>
      <c r="J118" s="6">
        <f t="shared" si="19"/>
        <v>1.3670100000000029</v>
      </c>
    </row>
    <row r="119" spans="1:15" x14ac:dyDescent="0.25">
      <c r="A119">
        <f t="shared" si="20"/>
        <v>2029</v>
      </c>
      <c r="B119" s="2">
        <v>0.38300000000000001</v>
      </c>
      <c r="C119" s="2">
        <v>0.17599999999999999</v>
      </c>
      <c r="D119" s="3">
        <f t="shared" si="15"/>
        <v>18.958500000000001</v>
      </c>
      <c r="E119" s="3">
        <f t="shared" si="16"/>
        <v>5.6495999999999995</v>
      </c>
      <c r="F119" s="4">
        <f t="shared" si="21"/>
        <v>1607515.9745260959</v>
      </c>
      <c r="G119" s="4">
        <f t="shared" si="17"/>
        <v>30476.091603052988</v>
      </c>
      <c r="H119" s="4">
        <f t="shared" si="18"/>
        <v>9081.8222496826311</v>
      </c>
      <c r="J119" s="6">
        <f t="shared" si="19"/>
        <v>1.3308900000000035</v>
      </c>
    </row>
    <row r="120" spans="1:15" x14ac:dyDescent="0.25">
      <c r="A120">
        <f t="shared" si="20"/>
        <v>2030</v>
      </c>
      <c r="B120" s="2">
        <v>0.375</v>
      </c>
      <c r="C120" s="2">
        <v>0.17899999999999999</v>
      </c>
      <c r="D120" s="3">
        <f t="shared" si="15"/>
        <v>18.5625</v>
      </c>
      <c r="E120" s="3">
        <f t="shared" si="16"/>
        <v>5.7458999999999998</v>
      </c>
      <c r="F120" s="4">
        <f t="shared" si="21"/>
        <v>1628910.2438794663</v>
      </c>
      <c r="G120" s="4">
        <f t="shared" si="17"/>
        <v>30236.646402012593</v>
      </c>
      <c r="H120" s="4">
        <f t="shared" si="18"/>
        <v>9359.5553703070254</v>
      </c>
      <c r="J120" s="6">
        <f t="shared" si="19"/>
        <v>1.2816599999999956</v>
      </c>
    </row>
    <row r="121" spans="1:15" x14ac:dyDescent="0.25">
      <c r="A121">
        <f t="shared" si="20"/>
        <v>2031</v>
      </c>
      <c r="B121" s="2">
        <v>0.36799999999999999</v>
      </c>
      <c r="C121" s="2">
        <v>0.18</v>
      </c>
      <c r="D121" s="3">
        <f t="shared" si="15"/>
        <v>18.216000000000001</v>
      </c>
      <c r="E121" s="3">
        <f t="shared" si="16"/>
        <v>5.7780000000000005</v>
      </c>
      <c r="F121" s="4">
        <f t="shared" si="21"/>
        <v>1649787.3349111718</v>
      </c>
      <c r="G121" s="4">
        <f t="shared" si="17"/>
        <v>30052.526092741908</v>
      </c>
      <c r="H121" s="4">
        <f t="shared" si="18"/>
        <v>9532.4712211167516</v>
      </c>
      <c r="J121" s="6">
        <f t="shared" si="19"/>
        <v>1.2437999999999927</v>
      </c>
    </row>
    <row r="122" spans="1:15" x14ac:dyDescent="0.25">
      <c r="A122">
        <f t="shared" si="20"/>
        <v>2032</v>
      </c>
      <c r="B122" s="1">
        <v>0.36</v>
      </c>
      <c r="C122" s="1">
        <v>0.18099999999999999</v>
      </c>
      <c r="D122" s="3">
        <f t="shared" ref="D122:D129" si="26">B122*$D$6</f>
        <v>17.82</v>
      </c>
      <c r="E122" s="3">
        <f t="shared" ref="E122:E129" si="27">C122*$E$6</f>
        <v>5.8101000000000003</v>
      </c>
      <c r="F122" s="4">
        <f t="shared" ref="F122:F130" si="28">F121+G121-H121+I121</f>
        <v>1670307.3897827968</v>
      </c>
      <c r="G122" s="4">
        <f t="shared" ref="G122:G129" si="29">F122*D122/1000</f>
        <v>29764.877685929441</v>
      </c>
      <c r="H122" s="4">
        <f t="shared" ref="H122:H129" si="30">E122*F122/1000</f>
        <v>9704.6529653770285</v>
      </c>
      <c r="J122" s="6">
        <f t="shared" si="19"/>
        <v>1.2009899999999951</v>
      </c>
    </row>
    <row r="123" spans="1:15" x14ac:dyDescent="0.25">
      <c r="A123">
        <f>A122+1</f>
        <v>2033</v>
      </c>
      <c r="B123" s="1">
        <v>0.35299999999999998</v>
      </c>
      <c r="C123" s="1">
        <v>0.182</v>
      </c>
      <c r="D123" s="3">
        <f t="shared" si="26"/>
        <v>17.473499999999998</v>
      </c>
      <c r="E123" s="3">
        <f t="shared" si="27"/>
        <v>5.8422000000000001</v>
      </c>
      <c r="F123" s="4">
        <f t="shared" si="28"/>
        <v>1690367.6145033492</v>
      </c>
      <c r="G123" s="4">
        <f t="shared" si="29"/>
        <v>29536.63851202427</v>
      </c>
      <c r="H123" s="4">
        <f t="shared" si="30"/>
        <v>9875.4656774514679</v>
      </c>
      <c r="J123" s="6">
        <f t="shared" si="19"/>
        <v>1.1631299999999887</v>
      </c>
    </row>
    <row r="124" spans="1:15" x14ac:dyDescent="0.25">
      <c r="A124">
        <f t="shared" ref="A124:A129" si="31">A123+1</f>
        <v>2034</v>
      </c>
      <c r="B124" s="1">
        <v>0.34599999999999997</v>
      </c>
      <c r="C124" s="1">
        <v>0.183</v>
      </c>
      <c r="D124" s="3">
        <f t="shared" si="26"/>
        <v>17.126999999999999</v>
      </c>
      <c r="E124" s="3">
        <f t="shared" si="27"/>
        <v>5.8742999999999999</v>
      </c>
      <c r="F124" s="4">
        <f t="shared" si="28"/>
        <v>1710028.7873379218</v>
      </c>
      <c r="G124" s="4">
        <f t="shared" si="29"/>
        <v>29287.663040736585</v>
      </c>
      <c r="H124" s="4">
        <f t="shared" si="30"/>
        <v>10045.222105459154</v>
      </c>
      <c r="J124" s="6">
        <f t="shared" si="19"/>
        <v>1.1252700000000107</v>
      </c>
    </row>
    <row r="125" spans="1:15" x14ac:dyDescent="0.25">
      <c r="A125">
        <f t="shared" si="31"/>
        <v>2035</v>
      </c>
      <c r="B125" s="1">
        <v>0.33900000000000002</v>
      </c>
      <c r="C125" s="1">
        <v>0.184</v>
      </c>
      <c r="D125" s="3">
        <f t="shared" si="26"/>
        <v>16.7805</v>
      </c>
      <c r="E125" s="3">
        <f t="shared" si="27"/>
        <v>5.9064000000000005</v>
      </c>
      <c r="F125" s="4">
        <f t="shared" si="28"/>
        <v>1729271.2282731994</v>
      </c>
      <c r="G125" s="4">
        <f t="shared" si="29"/>
        <v>29018.035846038423</v>
      </c>
      <c r="H125" s="4">
        <f t="shared" si="30"/>
        <v>10213.767582672825</v>
      </c>
      <c r="J125" s="6">
        <f t="shared" si="19"/>
        <v>1.0874100000000007</v>
      </c>
    </row>
    <row r="126" spans="1:15" x14ac:dyDescent="0.25">
      <c r="A126">
        <f t="shared" si="31"/>
        <v>2036</v>
      </c>
      <c r="B126" s="1">
        <v>0.33200000000000002</v>
      </c>
      <c r="C126" s="1">
        <v>0.186</v>
      </c>
      <c r="D126" s="3">
        <f t="shared" si="26"/>
        <v>16.434000000000001</v>
      </c>
      <c r="E126" s="3">
        <f t="shared" si="27"/>
        <v>5.9706000000000001</v>
      </c>
      <c r="F126" s="4">
        <f t="shared" si="28"/>
        <v>1748075.496536565</v>
      </c>
      <c r="G126" s="4">
        <f t="shared" si="29"/>
        <v>28727.872710081912</v>
      </c>
      <c r="H126" s="4">
        <f t="shared" si="30"/>
        <v>10437.059559621215</v>
      </c>
      <c r="J126" s="6">
        <f t="shared" si="19"/>
        <v>1.0463400000000078</v>
      </c>
    </row>
    <row r="127" spans="1:15" x14ac:dyDescent="0.25">
      <c r="A127">
        <f t="shared" si="31"/>
        <v>2037</v>
      </c>
      <c r="B127" s="1">
        <v>0.32500000000000001</v>
      </c>
      <c r="C127" s="1">
        <v>0.187</v>
      </c>
      <c r="D127" s="3">
        <f t="shared" si="26"/>
        <v>16.087500000000002</v>
      </c>
      <c r="E127" s="3">
        <f t="shared" si="27"/>
        <v>6.0026999999999999</v>
      </c>
      <c r="F127" s="4">
        <f t="shared" si="28"/>
        <v>1766366.3096870258</v>
      </c>
      <c r="G127" s="4">
        <f t="shared" si="29"/>
        <v>28416.418007090033</v>
      </c>
      <c r="H127" s="4">
        <f t="shared" si="30"/>
        <v>10602.96704715831</v>
      </c>
      <c r="J127" s="6">
        <f t="shared" si="19"/>
        <v>1.0084799999999929</v>
      </c>
    </row>
    <row r="128" spans="1:15" x14ac:dyDescent="0.25">
      <c r="A128">
        <f t="shared" si="31"/>
        <v>2038</v>
      </c>
      <c r="B128" s="1">
        <v>0.318</v>
      </c>
      <c r="C128" s="1">
        <v>0.189</v>
      </c>
      <c r="D128" s="3">
        <f t="shared" si="26"/>
        <v>15.741</v>
      </c>
      <c r="E128" s="3">
        <f t="shared" si="27"/>
        <v>6.0669000000000004</v>
      </c>
      <c r="F128" s="4">
        <f t="shared" si="28"/>
        <v>1784179.7606469574</v>
      </c>
      <c r="G128" s="4">
        <f t="shared" si="29"/>
        <v>28084.773612343753</v>
      </c>
      <c r="H128" s="4">
        <f t="shared" si="30"/>
        <v>10824.440189869028</v>
      </c>
      <c r="J128" s="6">
        <f t="shared" si="19"/>
        <v>0.96740999999999056</v>
      </c>
    </row>
    <row r="129" spans="1:10" x14ac:dyDescent="0.25">
      <c r="A129">
        <f t="shared" si="31"/>
        <v>2039</v>
      </c>
      <c r="B129" s="57">
        <v>0.311</v>
      </c>
      <c r="C129" s="57">
        <v>0.19</v>
      </c>
      <c r="D129" s="3">
        <f t="shared" si="26"/>
        <v>15.394500000000001</v>
      </c>
      <c r="E129" s="3">
        <f t="shared" si="27"/>
        <v>6.0990000000000002</v>
      </c>
      <c r="F129" s="4">
        <f t="shared" si="28"/>
        <v>1801440.094069432</v>
      </c>
      <c r="G129" s="4">
        <f t="shared" si="29"/>
        <v>27732.269528151872</v>
      </c>
      <c r="H129" s="4">
        <f t="shared" si="30"/>
        <v>10986.983133729465</v>
      </c>
      <c r="J129" s="6">
        <f t="shared" si="19"/>
        <v>0.92955000000000021</v>
      </c>
    </row>
    <row r="130" spans="1:10" x14ac:dyDescent="0.25">
      <c r="A130">
        <v>2040</v>
      </c>
      <c r="B130" s="1"/>
      <c r="C130" s="1"/>
      <c r="F130" s="4">
        <f t="shared" si="28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156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2" t="s">
        <v>20</v>
      </c>
      <c r="E137" s="72"/>
      <c r="F137" s="7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2">OFFSET(INDIRECT(MID(_xlfn.FORMULATEXT(D140),2,255)),1,0)</f>
        <v>133451.47021195581</v>
      </c>
      <c r="F140" s="4">
        <f t="shared" ref="F140:F145" ca="1" si="33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2"/>
        <v>139423.65655577349</v>
      </c>
      <c r="F141" s="4">
        <f t="shared" ca="1" si="33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2"/>
        <v>227267.32041482156</v>
      </c>
      <c r="F142" s="4">
        <f t="shared" ca="1" si="33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2"/>
        <v>329111.54536005063</v>
      </c>
      <c r="F143" s="4">
        <f t="shared" ca="1" si="33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2"/>
        <v>462181.38870640338</v>
      </c>
      <c r="F144" s="4">
        <f t="shared" ca="1" si="33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2"/>
        <v>666733.98236058792</v>
      </c>
      <c r="F145" s="4">
        <f t="shared" ca="1" si="33"/>
        <v>644973.97216546303</v>
      </c>
    </row>
    <row r="146" spans="1:6" x14ac:dyDescent="0.25">
      <c r="A146" s="7">
        <v>2020</v>
      </c>
      <c r="B146" s="7" t="s">
        <v>106</v>
      </c>
      <c r="F146" s="4">
        <f>F110</f>
        <v>1405423.5653519635</v>
      </c>
    </row>
    <row r="147" spans="1:6" x14ac:dyDescent="0.25">
      <c r="A147" s="7">
        <v>2030</v>
      </c>
      <c r="B147" s="7" t="s">
        <v>106</v>
      </c>
      <c r="F147" s="4">
        <f>F120</f>
        <v>1628910.2438794663</v>
      </c>
    </row>
    <row r="148" spans="1:6" x14ac:dyDescent="0.25">
      <c r="A148" s="7">
        <v>2040</v>
      </c>
      <c r="B148" s="7" t="s">
        <v>106</v>
      </c>
      <c r="F148" s="4">
        <f>F130</f>
        <v>1818185.3804638544</v>
      </c>
    </row>
  </sheetData>
  <mergeCells count="7">
    <mergeCell ref="Q4:R4"/>
    <mergeCell ref="S4:T4"/>
    <mergeCell ref="D3:J3"/>
    <mergeCell ref="D4:E4"/>
    <mergeCell ref="F4:I4"/>
    <mergeCell ref="D137:F137"/>
    <mergeCell ref="B3:C4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7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72" t="s">
        <v>1</v>
      </c>
      <c r="E4" s="72"/>
      <c r="F4" s="72" t="s">
        <v>8</v>
      </c>
      <c r="G4" s="72"/>
      <c r="H4" s="72"/>
      <c r="I4" s="72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156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2" t="s">
        <v>20</v>
      </c>
      <c r="E137" s="72"/>
      <c r="F137" s="7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106</v>
      </c>
      <c r="F146" s="4">
        <f ca="1">F110</f>
        <v>240156.329030995</v>
      </c>
    </row>
    <row r="147" spans="1:6" x14ac:dyDescent="0.25">
      <c r="A147" s="7">
        <v>2030</v>
      </c>
      <c r="B147" s="7" t="s">
        <v>106</v>
      </c>
      <c r="F147" s="4">
        <f ca="1">F120</f>
        <v>277227.88601799245</v>
      </c>
    </row>
    <row r="148" spans="1:6" x14ac:dyDescent="0.25">
      <c r="A148" s="7">
        <v>2040</v>
      </c>
      <c r="B148" s="7" t="s">
        <v>106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72" t="s">
        <v>1</v>
      </c>
      <c r="E4" s="72"/>
      <c r="F4" s="72" t="s">
        <v>8</v>
      </c>
      <c r="G4" s="72"/>
      <c r="H4" s="72"/>
      <c r="I4" s="72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156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2" t="s">
        <v>20</v>
      </c>
      <c r="E137" s="72"/>
      <c r="F137" s="7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106</v>
      </c>
      <c r="F146" s="4">
        <f ca="1">F110</f>
        <v>188105.22895368186</v>
      </c>
    </row>
    <row r="147" spans="1:6" x14ac:dyDescent="0.25">
      <c r="A147" s="7">
        <v>2030</v>
      </c>
      <c r="B147" s="7" t="s">
        <v>106</v>
      </c>
      <c r="F147" s="4">
        <f ca="1">F120</f>
        <v>204656.37303114653</v>
      </c>
    </row>
    <row r="148" spans="1:6" x14ac:dyDescent="0.25">
      <c r="A148" s="7">
        <v>2040</v>
      </c>
      <c r="B148" s="7" t="s">
        <v>106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F149" sqref="F14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72" t="s">
        <v>1</v>
      </c>
      <c r="E4" s="72"/>
      <c r="F4" s="72" t="s">
        <v>8</v>
      </c>
      <c r="G4" s="72"/>
      <c r="H4" s="72"/>
      <c r="I4" s="72"/>
    </row>
    <row r="5" spans="1:12" x14ac:dyDescent="0.25">
      <c r="A5" s="8" t="s">
        <v>0</v>
      </c>
      <c r="B5" s="8" t="s">
        <v>101</v>
      </c>
      <c r="C5" s="8" t="s">
        <v>102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72" t="s">
        <v>20</v>
      </c>
      <c r="E137" s="72"/>
      <c r="F137" s="7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106</v>
      </c>
      <c r="F146" s="4">
        <f ca="1">F110</f>
        <v>117539.03404928434</v>
      </c>
    </row>
    <row r="147" spans="1:6" x14ac:dyDescent="0.25">
      <c r="A147" s="7">
        <v>2030</v>
      </c>
      <c r="B147" s="7" t="s">
        <v>106</v>
      </c>
      <c r="F147" s="4">
        <f ca="1">F120</f>
        <v>128368.07668910777</v>
      </c>
    </row>
    <row r="148" spans="1:6" x14ac:dyDescent="0.25">
      <c r="A148" s="7">
        <v>2040</v>
      </c>
      <c r="B148" s="7" t="s">
        <v>106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topLeftCell="A34"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117</v>
      </c>
    </row>
    <row r="3" spans="1:25" x14ac:dyDescent="0.25">
      <c r="A3" s="5" t="s">
        <v>136</v>
      </c>
    </row>
    <row r="4" spans="1:25" ht="27.75" customHeight="1" x14ac:dyDescent="0.25">
      <c r="A4" s="41" t="s">
        <v>151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74" t="s">
        <v>126</v>
      </c>
      <c r="T5" s="75"/>
      <c r="U5" s="75"/>
      <c r="V5" s="74" t="s">
        <v>157</v>
      </c>
      <c r="W5" s="75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127</v>
      </c>
      <c r="T6" s="62" t="s">
        <v>128</v>
      </c>
      <c r="U6" s="62" t="s">
        <v>129</v>
      </c>
      <c r="V6" s="62" t="s">
        <v>158</v>
      </c>
      <c r="W6" s="62" t="s">
        <v>133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106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106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106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119</v>
      </c>
    </row>
    <row r="35" spans="1:5" x14ac:dyDescent="0.25">
      <c r="B35" s="5"/>
      <c r="E35" t="s">
        <v>120</v>
      </c>
    </row>
    <row r="36" spans="1:5" x14ac:dyDescent="0.25">
      <c r="B36" s="5"/>
      <c r="E36" t="s">
        <v>121</v>
      </c>
    </row>
    <row r="37" spans="1:5" x14ac:dyDescent="0.25">
      <c r="B37" s="5"/>
      <c r="E37" t="s">
        <v>122</v>
      </c>
    </row>
    <row r="38" spans="1:5" x14ac:dyDescent="0.25">
      <c r="B38" s="5"/>
      <c r="E38" t="s">
        <v>123</v>
      </c>
    </row>
    <row r="39" spans="1:5" x14ac:dyDescent="0.25">
      <c r="B39" s="5"/>
      <c r="E39" t="s">
        <v>124</v>
      </c>
    </row>
    <row r="40" spans="1:5" x14ac:dyDescent="0.25">
      <c r="B40" s="5"/>
      <c r="E40" t="s">
        <v>125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107</v>
      </c>
    </row>
    <row r="81" spans="1:5" x14ac:dyDescent="0.25">
      <c r="A81" t="s">
        <v>140</v>
      </c>
    </row>
    <row r="82" spans="1:5" x14ac:dyDescent="0.25">
      <c r="A82" t="s">
        <v>141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143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111</v>
      </c>
      <c r="C91" s="4">
        <v>1913</v>
      </c>
    </row>
    <row r="92" spans="1:5" x14ac:dyDescent="0.25">
      <c r="B92" t="s">
        <v>112</v>
      </c>
      <c r="C92" s="4">
        <v>51707</v>
      </c>
    </row>
    <row r="93" spans="1:5" x14ac:dyDescent="0.25">
      <c r="B93" t="s">
        <v>113</v>
      </c>
      <c r="C93" s="4">
        <f>C87+C91</f>
        <v>43815</v>
      </c>
      <c r="E93" t="s">
        <v>142</v>
      </c>
    </row>
    <row r="94" spans="1:5" x14ac:dyDescent="0.25">
      <c r="B94" t="s">
        <v>115</v>
      </c>
      <c r="C94" s="4"/>
      <c r="E94" s="36">
        <f>C93/C92</f>
        <v>0.84737076217920204</v>
      </c>
    </row>
    <row r="96" spans="1:5" x14ac:dyDescent="0.25">
      <c r="A96" t="s">
        <v>108</v>
      </c>
    </row>
    <row r="97" spans="1:2" x14ac:dyDescent="0.25">
      <c r="A97" t="s">
        <v>110</v>
      </c>
    </row>
    <row r="98" spans="1:2" x14ac:dyDescent="0.25">
      <c r="B98" t="s">
        <v>109</v>
      </c>
    </row>
    <row r="99" spans="1:2" x14ac:dyDescent="0.25">
      <c r="B99" t="s">
        <v>114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L6" sqref="L6:M6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130</v>
      </c>
    </row>
    <row r="3" spans="1:13" x14ac:dyDescent="0.25">
      <c r="A3" s="5" t="s">
        <v>136</v>
      </c>
    </row>
    <row r="4" spans="1:13" x14ac:dyDescent="0.25">
      <c r="A4" s="41" t="s">
        <v>151</v>
      </c>
    </row>
    <row r="5" spans="1:13" ht="27.75" customHeight="1" x14ac:dyDescent="0.25">
      <c r="C5" s="71" t="s">
        <v>137</v>
      </c>
      <c r="D5" s="71"/>
      <c r="E5" s="71"/>
      <c r="F5" s="71"/>
      <c r="G5" s="71"/>
      <c r="H5" s="71" t="s">
        <v>138</v>
      </c>
      <c r="I5" s="71"/>
      <c r="J5" s="73" t="s">
        <v>134</v>
      </c>
      <c r="K5" s="72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131</v>
      </c>
      <c r="H6" s="23" t="s">
        <v>135</v>
      </c>
      <c r="I6" s="23" t="s">
        <v>68</v>
      </c>
      <c r="J6" s="23" t="s">
        <v>132</v>
      </c>
      <c r="K6" s="23" t="s">
        <v>133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139</v>
      </c>
    </row>
    <row r="23" spans="1:13" x14ac:dyDescent="0.25">
      <c r="A23" t="s">
        <v>159</v>
      </c>
    </row>
    <row r="24" spans="1:13" x14ac:dyDescent="0.25">
      <c r="A24" t="s">
        <v>160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topLeftCell="A105" workbookViewId="0">
      <selection activeCell="C152" sqref="C152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118</v>
      </c>
    </row>
    <row r="4" spans="1:20" x14ac:dyDescent="0.25">
      <c r="A4" t="s">
        <v>98</v>
      </c>
    </row>
    <row r="5" spans="1:20" x14ac:dyDescent="0.25">
      <c r="A5" t="s">
        <v>105</v>
      </c>
    </row>
    <row r="8" spans="1:20" x14ac:dyDescent="0.25">
      <c r="A8" s="5" t="s">
        <v>144</v>
      </c>
      <c r="H8" s="5" t="s">
        <v>145</v>
      </c>
      <c r="O8" s="5" t="s">
        <v>147</v>
      </c>
    </row>
    <row r="9" spans="1:20" x14ac:dyDescent="0.25">
      <c r="A9" s="5" t="s">
        <v>155</v>
      </c>
      <c r="H9" s="5" t="s">
        <v>148</v>
      </c>
      <c r="O9" s="5" t="s">
        <v>149</v>
      </c>
    </row>
    <row r="10" spans="1:20" ht="15.75" thickBot="1" x14ac:dyDescent="0.3">
      <c r="H10" s="5" t="s">
        <v>152</v>
      </c>
      <c r="O10" s="5" t="s">
        <v>152</v>
      </c>
    </row>
    <row r="11" spans="1:20" ht="15.75" thickBot="1" x14ac:dyDescent="0.3">
      <c r="A11" s="77" t="s">
        <v>0</v>
      </c>
      <c r="B11" s="76" t="s">
        <v>1</v>
      </c>
      <c r="C11" s="76"/>
      <c r="D11" s="76" t="s">
        <v>100</v>
      </c>
      <c r="E11" s="76"/>
    </row>
    <row r="12" spans="1:20" ht="63" customHeight="1" thickBot="1" x14ac:dyDescent="0.3">
      <c r="A12" s="78"/>
      <c r="B12" s="34" t="s">
        <v>99</v>
      </c>
      <c r="C12" s="34" t="s">
        <v>3</v>
      </c>
      <c r="D12" s="35" t="s">
        <v>104</v>
      </c>
      <c r="E12" s="35" t="s">
        <v>103</v>
      </c>
      <c r="H12" s="50" t="s">
        <v>146</v>
      </c>
      <c r="I12" s="50" t="s">
        <v>101</v>
      </c>
      <c r="J12" s="50" t="s">
        <v>102</v>
      </c>
      <c r="K12" s="79" t="s">
        <v>153</v>
      </c>
      <c r="L12" s="80"/>
      <c r="M12" s="51" t="s">
        <v>154</v>
      </c>
      <c r="O12" s="50" t="s">
        <v>146</v>
      </c>
      <c r="P12" s="50" t="s">
        <v>101</v>
      </c>
      <c r="Q12" s="53" t="s">
        <v>102</v>
      </c>
      <c r="R12" s="79" t="s">
        <v>153</v>
      </c>
      <c r="S12" s="80"/>
      <c r="T12" s="51" t="s">
        <v>154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150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RSFSR</vt:lpstr>
      <vt:lpstr>NR</vt:lpstr>
      <vt:lpstr>MR</vt:lpstr>
      <vt:lpstr>BR</vt:lpstr>
      <vt:lpstr>USSR</vt:lpstr>
      <vt:lpstr>USSR-Simplified</vt:lpstr>
      <vt:lpstr>RB-RD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2026-04-16T18:37:40Z</dcterms:modified>
</cp:coreProperties>
</file>