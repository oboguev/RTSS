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E310FFF2-1C6B-4DFC-9DA0-1A0292044A08}" xr6:coauthVersionLast="45" xr6:coauthVersionMax="45" xr10:uidLastSave="{00000000-0000-0000-0000-000000000000}"/>
  <bookViews>
    <workbookView xWindow="1830" yWindow="1350" windowWidth="28035" windowHeight="20805" activeTab="4" xr2:uid="{573FC42F-0BD4-4412-A5CF-D809ABCC1B4D}"/>
  </bookViews>
  <sheets>
    <sheet name="RSFSR" sheetId="1" r:id="rId1"/>
    <sheet name="NR" sheetId="2" r:id="rId2"/>
    <sheet name="MR" sheetId="4" r:id="rId3"/>
    <sheet name="BR" sheetId="3" r:id="rId4"/>
    <sheet name="USSR" sheetId="6" r:id="rId5"/>
    <sheet name="RB-RD" sheetId="7" r:id="rId6"/>
  </sheets>
  <definedNames>
    <definedName name="URK_2020_1989">USSR!$E$102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6" l="1"/>
  <c r="F136" i="1"/>
  <c r="C101" i="6" l="1"/>
  <c r="E102" i="6" s="1"/>
  <c r="F86" i="6" l="1"/>
  <c r="E86" i="6"/>
  <c r="B86" i="6"/>
  <c r="D86" i="6"/>
  <c r="C86" i="6"/>
  <c r="C97" i="6"/>
  <c r="U15" i="6" s="1"/>
  <c r="H84" i="6"/>
  <c r="R13" i="6" s="1"/>
  <c r="H83" i="6"/>
  <c r="R12" i="6" s="1"/>
  <c r="H82" i="6"/>
  <c r="R11" i="6" s="1"/>
  <c r="H85" i="6"/>
  <c r="R14" i="6" s="1"/>
  <c r="H86" i="6" l="1"/>
  <c r="R15" i="6" s="1"/>
  <c r="F7" i="4"/>
  <c r="F7" i="3"/>
  <c r="F7" i="2"/>
  <c r="I9" i="3"/>
  <c r="I11" i="2"/>
  <c r="I32" i="4"/>
  <c r="I33" i="4"/>
  <c r="I34" i="2"/>
  <c r="I10" i="4"/>
  <c r="I33" i="2"/>
  <c r="I34" i="3"/>
  <c r="I10" i="2"/>
  <c r="I11" i="4"/>
  <c r="I7" i="4"/>
  <c r="I11" i="3"/>
  <c r="I33" i="3"/>
  <c r="I9" i="2"/>
  <c r="I32" i="2"/>
  <c r="I8" i="3"/>
  <c r="I10" i="3"/>
  <c r="I9" i="4"/>
  <c r="I34" i="4"/>
  <c r="I32" i="3"/>
  <c r="I8" i="4"/>
  <c r="I7" i="2"/>
  <c r="I7" i="3"/>
  <c r="I8" i="2"/>
  <c r="E121" i="4" l="1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A10" i="3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9" i="3"/>
  <c r="D9" i="3"/>
  <c r="A9" i="3"/>
  <c r="E8" i="3"/>
  <c r="D8" i="3"/>
  <c r="A8" i="3"/>
  <c r="E7" i="3"/>
  <c r="H7" i="3" s="1"/>
  <c r="D7" i="3"/>
  <c r="G7" i="3" s="1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E8" i="2"/>
  <c r="D8" i="2"/>
  <c r="A8" i="2"/>
  <c r="E7" i="2"/>
  <c r="H7" i="2" s="1"/>
  <c r="D7" i="2"/>
  <c r="G7" i="2" s="1"/>
  <c r="F8" i="4" l="1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8" i="4" l="1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28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28" i="4"/>
  <c r="F15" i="1" l="1"/>
  <c r="J14" i="1" s="1"/>
  <c r="F128" i="4"/>
  <c r="E8" i="6" s="1"/>
  <c r="J16" i="4"/>
  <c r="H17" i="4"/>
  <c r="G17" i="4"/>
  <c r="G16" i="3"/>
  <c r="D128" i="3"/>
  <c r="H16" i="3"/>
  <c r="G16" i="2"/>
  <c r="D128" i="2"/>
  <c r="H16" i="2"/>
  <c r="G15" i="1" l="1"/>
  <c r="H15" i="1"/>
  <c r="F18" i="4"/>
  <c r="J17" i="4" s="1"/>
  <c r="F17" i="3"/>
  <c r="J16" i="3" s="1"/>
  <c r="F17" i="2"/>
  <c r="H17" i="2" s="1"/>
  <c r="E128" i="3"/>
  <c r="E128" i="2"/>
  <c r="F16" i="1" l="1"/>
  <c r="D128" i="1" s="1"/>
  <c r="G18" i="4"/>
  <c r="H18" i="4"/>
  <c r="G17" i="3"/>
  <c r="H17" i="3"/>
  <c r="F128" i="3"/>
  <c r="F8" i="6" s="1"/>
  <c r="J16" i="2"/>
  <c r="G17" i="2"/>
  <c r="F18" i="2" s="1"/>
  <c r="F128" i="2"/>
  <c r="D8" i="6" s="1"/>
  <c r="G16" i="1" l="1"/>
  <c r="H16" i="1"/>
  <c r="J15" i="1"/>
  <c r="F19" i="4"/>
  <c r="J18" i="4" s="1"/>
  <c r="F18" i="3"/>
  <c r="J17" i="3" s="1"/>
  <c r="G18" i="2"/>
  <c r="H18" i="2"/>
  <c r="J17" i="2"/>
  <c r="F17" i="1" l="1"/>
  <c r="J16" i="1" s="1"/>
  <c r="H18" i="3"/>
  <c r="G18" i="3"/>
  <c r="H19" i="4"/>
  <c r="G19" i="4"/>
  <c r="F19" i="2"/>
  <c r="J18" i="2" s="1"/>
  <c r="E128" i="1"/>
  <c r="H17" i="1" l="1"/>
  <c r="F128" i="1"/>
  <c r="C8" i="6" s="1"/>
  <c r="T8" i="6" s="1"/>
  <c r="V8" i="6" s="1"/>
  <c r="G17" i="1"/>
  <c r="F19" i="3"/>
  <c r="G19" i="3" s="1"/>
  <c r="F20" i="4"/>
  <c r="G20" i="4" s="1"/>
  <c r="G19" i="2"/>
  <c r="H19" i="2"/>
  <c r="F18" i="1" l="1"/>
  <c r="J17" i="1" s="1"/>
  <c r="W8" i="6"/>
  <c r="J18" i="3"/>
  <c r="H19" i="3"/>
  <c r="F20" i="3" s="1"/>
  <c r="G20" i="3" s="1"/>
  <c r="J19" i="4"/>
  <c r="H20" i="4"/>
  <c r="F21" i="4" s="1"/>
  <c r="H21" i="4" s="1"/>
  <c r="F20" i="2"/>
  <c r="G18" i="1" l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29" i="4"/>
  <c r="G27" i="4"/>
  <c r="F28" i="4" s="1"/>
  <c r="J26" i="4"/>
  <c r="G23" i="2"/>
  <c r="H23" i="2"/>
  <c r="J22" i="2"/>
  <c r="E129" i="4"/>
  <c r="G23" i="1" l="1"/>
  <c r="H23" i="1"/>
  <c r="F25" i="3"/>
  <c r="G25" i="3" s="1"/>
  <c r="F129" i="4"/>
  <c r="E9" i="6" s="1"/>
  <c r="J27" i="4"/>
  <c r="G28" i="4"/>
  <c r="H28" i="4"/>
  <c r="F24" i="2"/>
  <c r="G24" i="2" s="1"/>
  <c r="F24" i="1" l="1"/>
  <c r="H24" i="1" s="1"/>
  <c r="J23" i="1"/>
  <c r="H25" i="3"/>
  <c r="F26" i="3" s="1"/>
  <c r="J24" i="3"/>
  <c r="F29" i="4"/>
  <c r="J23" i="2"/>
  <c r="H24" i="2"/>
  <c r="F25" i="2" s="1"/>
  <c r="H25" i="2" s="1"/>
  <c r="G24" i="1" l="1"/>
  <c r="F25" i="1"/>
  <c r="G25" i="1" s="1"/>
  <c r="H26" i="3"/>
  <c r="G26" i="3"/>
  <c r="J25" i="3"/>
  <c r="H29" i="4"/>
  <c r="G29" i="4"/>
  <c r="J28" i="4"/>
  <c r="D130" i="4"/>
  <c r="G25" i="2"/>
  <c r="F26" i="2" s="1"/>
  <c r="J25" i="2" s="1"/>
  <c r="J24" i="2"/>
  <c r="J24" i="1" l="1"/>
  <c r="H25" i="1"/>
  <c r="F26" i="1"/>
  <c r="J25" i="1" s="1"/>
  <c r="F27" i="3"/>
  <c r="J26" i="3" s="1"/>
  <c r="F30" i="4"/>
  <c r="G30" i="4" s="1"/>
  <c r="H26" i="2"/>
  <c r="G26" i="2"/>
  <c r="E130" i="4"/>
  <c r="H26" i="1" l="1"/>
  <c r="G26" i="1"/>
  <c r="F27" i="1"/>
  <c r="J26" i="1" s="1"/>
  <c r="D129" i="1"/>
  <c r="G27" i="1"/>
  <c r="H27" i="1"/>
  <c r="D129" i="3"/>
  <c r="G27" i="3"/>
  <c r="H27" i="3"/>
  <c r="J29" i="4"/>
  <c r="H30" i="4"/>
  <c r="F31" i="4" s="1"/>
  <c r="F130" i="4"/>
  <c r="E10" i="6" s="1"/>
  <c r="F27" i="2"/>
  <c r="H27" i="2" s="1"/>
  <c r="F28" i="1" l="1"/>
  <c r="F28" i="3"/>
  <c r="J30" i="4"/>
  <c r="H31" i="4"/>
  <c r="G31" i="4"/>
  <c r="G27" i="2"/>
  <c r="F28" i="2" s="1"/>
  <c r="J27" i="2" s="1"/>
  <c r="D129" i="2"/>
  <c r="J26" i="2"/>
  <c r="E129" i="1"/>
  <c r="E129" i="3"/>
  <c r="E129" i="2"/>
  <c r="F129" i="1" l="1"/>
  <c r="C9" i="6" s="1"/>
  <c r="J27" i="1"/>
  <c r="G28" i="1"/>
  <c r="H28" i="1"/>
  <c r="F129" i="3"/>
  <c r="F9" i="6" s="1"/>
  <c r="H28" i="3"/>
  <c r="G28" i="3"/>
  <c r="J27" i="3"/>
  <c r="G28" i="2"/>
  <c r="H28" i="2"/>
  <c r="F32" i="4"/>
  <c r="F129" i="2"/>
  <c r="D9" i="6" s="1"/>
  <c r="F29" i="1" l="1"/>
  <c r="G29" i="1" s="1"/>
  <c r="H29" i="1"/>
  <c r="J28" i="1"/>
  <c r="T9" i="6"/>
  <c r="V9" i="6" s="1"/>
  <c r="F29" i="3"/>
  <c r="D130" i="3" s="1"/>
  <c r="F29" i="2"/>
  <c r="J28" i="2" s="1"/>
  <c r="H32" i="4"/>
  <c r="J31" i="4"/>
  <c r="G32" i="4"/>
  <c r="D130" i="1" l="1"/>
  <c r="F30" i="1"/>
  <c r="G30" i="1" s="1"/>
  <c r="W9" i="6"/>
  <c r="J28" i="3"/>
  <c r="G29" i="3"/>
  <c r="H29" i="3"/>
  <c r="G29" i="2"/>
  <c r="F33" i="4"/>
  <c r="J32" i="4" s="1"/>
  <c r="D130" i="2"/>
  <c r="H29" i="2"/>
  <c r="E130" i="1"/>
  <c r="J29" i="1" l="1"/>
  <c r="H30" i="1"/>
  <c r="F130" i="1"/>
  <c r="C10" i="6" s="1"/>
  <c r="F31" i="1"/>
  <c r="J30" i="1" s="1"/>
  <c r="F30" i="3"/>
  <c r="G30" i="3" s="1"/>
  <c r="F30" i="2"/>
  <c r="H30" i="2" s="1"/>
  <c r="G33" i="4"/>
  <c r="H33" i="4"/>
  <c r="E130" i="2"/>
  <c r="E130" i="3"/>
  <c r="G31" i="1" l="1"/>
  <c r="H31" i="1"/>
  <c r="J29" i="3"/>
  <c r="F130" i="3"/>
  <c r="F10" i="6" s="1"/>
  <c r="H30" i="3"/>
  <c r="F31" i="3" s="1"/>
  <c r="F130" i="2"/>
  <c r="D10" i="6" s="1"/>
  <c r="F34" i="4"/>
  <c r="H34" i="4" s="1"/>
  <c r="J29" i="2"/>
  <c r="G30" i="2"/>
  <c r="F31" i="2" s="1"/>
  <c r="J30" i="2" s="1"/>
  <c r="F32" i="1" l="1"/>
  <c r="J31" i="1"/>
  <c r="G32" i="1"/>
  <c r="H32" i="1"/>
  <c r="T10" i="6"/>
  <c r="V10" i="6" s="1"/>
  <c r="H31" i="3"/>
  <c r="G31" i="3"/>
  <c r="J30" i="3"/>
  <c r="H31" i="2"/>
  <c r="G31" i="2"/>
  <c r="J33" i="4"/>
  <c r="G34" i="4"/>
  <c r="F35" i="4" s="1"/>
  <c r="H35" i="4" s="1"/>
  <c r="F33" i="1" l="1"/>
  <c r="H33" i="1" s="1"/>
  <c r="G33" i="1"/>
  <c r="J32" i="1"/>
  <c r="W10" i="6"/>
  <c r="F32" i="3"/>
  <c r="G32" i="3" s="1"/>
  <c r="F32" i="2"/>
  <c r="H32" i="2" s="1"/>
  <c r="G35" i="4"/>
  <c r="F36" i="4" s="1"/>
  <c r="J35" i="4" s="1"/>
  <c r="J34" i="4"/>
  <c r="F34" i="1" l="1"/>
  <c r="H32" i="3"/>
  <c r="F33" i="3" s="1"/>
  <c r="J31" i="3"/>
  <c r="J31" i="2"/>
  <c r="G32" i="2"/>
  <c r="F33" i="2" s="1"/>
  <c r="H36" i="4"/>
  <c r="G36" i="4"/>
  <c r="G34" i="1" l="1"/>
  <c r="H34" i="1"/>
  <c r="F35" i="1" s="1"/>
  <c r="J33" i="1"/>
  <c r="H33" i="3"/>
  <c r="J32" i="3"/>
  <c r="G33" i="3"/>
  <c r="G33" i="2"/>
  <c r="J32" i="2"/>
  <c r="H33" i="2"/>
  <c r="F37" i="4"/>
  <c r="H35" i="1" l="1"/>
  <c r="J34" i="1"/>
  <c r="G35" i="1"/>
  <c r="F36" i="1" s="1"/>
  <c r="F34" i="3"/>
  <c r="G34" i="3" s="1"/>
  <c r="F34" i="2"/>
  <c r="G34" i="2" s="1"/>
  <c r="G37" i="4"/>
  <c r="H37" i="4"/>
  <c r="J36" i="4"/>
  <c r="G36" i="1" l="1"/>
  <c r="H36" i="1"/>
  <c r="J35" i="1"/>
  <c r="H34" i="3"/>
  <c r="F35" i="3" s="1"/>
  <c r="J33" i="3"/>
  <c r="H34" i="2"/>
  <c r="F35" i="2" s="1"/>
  <c r="H35" i="2" s="1"/>
  <c r="J33" i="2"/>
  <c r="F38" i="4"/>
  <c r="H38" i="4" s="1"/>
  <c r="F37" i="1" l="1"/>
  <c r="H37" i="1" s="1"/>
  <c r="J36" i="1"/>
  <c r="H35" i="3"/>
  <c r="J34" i="3"/>
  <c r="G35" i="3"/>
  <c r="J34" i="2"/>
  <c r="G35" i="2"/>
  <c r="F36" i="2" s="1"/>
  <c r="J37" i="4"/>
  <c r="G38" i="4"/>
  <c r="F39" i="4" s="1"/>
  <c r="G37" i="1" l="1"/>
  <c r="F38" i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9" i="1"/>
  <c r="F40" i="1" s="1"/>
  <c r="H40" i="1" s="1"/>
  <c r="H36" i="3"/>
  <c r="F37" i="3" s="1"/>
  <c r="G37" i="3" s="1"/>
  <c r="J35" i="3"/>
  <c r="F37" i="2"/>
  <c r="G37" i="2" s="1"/>
  <c r="F40" i="4"/>
  <c r="J38" i="1" l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H46" i="1"/>
  <c r="F47" i="1" s="1"/>
  <c r="H47" i="1" s="1"/>
  <c r="J40" i="3"/>
  <c r="H40" i="2"/>
  <c r="F41" i="2" s="1"/>
  <c r="G41" i="2" s="1"/>
  <c r="J39" i="2"/>
  <c r="G41" i="3"/>
  <c r="F42" i="3" s="1"/>
  <c r="J41" i="3" s="1"/>
  <c r="J42" i="4"/>
  <c r="H43" i="4"/>
  <c r="G43" i="4"/>
  <c r="J45" i="1" l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31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31" i="1"/>
  <c r="F131" i="1" l="1"/>
  <c r="C11" i="6" s="1"/>
  <c r="F51" i="1"/>
  <c r="G51" i="1" s="1"/>
  <c r="J50" i="1"/>
  <c r="H51" i="1"/>
  <c r="F52" i="1" s="1"/>
  <c r="G52" i="1" s="1"/>
  <c r="F45" i="3"/>
  <c r="G44" i="2"/>
  <c r="F45" i="2" s="1"/>
  <c r="J43" i="2"/>
  <c r="G46" i="4"/>
  <c r="F47" i="4" s="1"/>
  <c r="J45" i="4"/>
  <c r="H52" i="1" l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J53" i="1"/>
  <c r="F55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31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31" i="4"/>
  <c r="F57" i="1" l="1"/>
  <c r="G49" i="3"/>
  <c r="F50" i="3" s="1"/>
  <c r="D131" i="3"/>
  <c r="J48" i="3"/>
  <c r="J49" i="4"/>
  <c r="F131" i="4"/>
  <c r="E11" i="6" s="1"/>
  <c r="H50" i="4"/>
  <c r="F51" i="4" s="1"/>
  <c r="G48" i="2"/>
  <c r="F49" i="2" s="1"/>
  <c r="G49" i="2" s="1"/>
  <c r="J47" i="2"/>
  <c r="E131" i="3"/>
  <c r="H57" i="1" l="1"/>
  <c r="G57" i="1"/>
  <c r="F58" i="1" s="1"/>
  <c r="J56" i="1"/>
  <c r="H50" i="3"/>
  <c r="G50" i="3"/>
  <c r="J49" i="3"/>
  <c r="F131" i="3"/>
  <c r="F11" i="6" s="1"/>
  <c r="J50" i="4"/>
  <c r="G51" i="4"/>
  <c r="H51" i="4"/>
  <c r="D131" i="2"/>
  <c r="J48" i="2"/>
  <c r="H49" i="2"/>
  <c r="F50" i="2" s="1"/>
  <c r="H50" i="2" s="1"/>
  <c r="E131" i="2"/>
  <c r="G58" i="1" l="1"/>
  <c r="H58" i="1"/>
  <c r="J57" i="1"/>
  <c r="F51" i="3"/>
  <c r="G51" i="3" s="1"/>
  <c r="F52" i="4"/>
  <c r="H52" i="4" s="1"/>
  <c r="J49" i="2"/>
  <c r="G50" i="2"/>
  <c r="F51" i="2" s="1"/>
  <c r="H51" i="2" s="1"/>
  <c r="F131" i="2"/>
  <c r="D11" i="6" s="1"/>
  <c r="T11" i="6" s="1"/>
  <c r="F59" i="1" l="1"/>
  <c r="J50" i="3"/>
  <c r="H51" i="3"/>
  <c r="F52" i="3" s="1"/>
  <c r="J51" i="3" s="1"/>
  <c r="V11" i="6"/>
  <c r="W11" i="6"/>
  <c r="G52" i="4"/>
  <c r="F53" i="4" s="1"/>
  <c r="G53" i="4" s="1"/>
  <c r="J51" i="4"/>
  <c r="J50" i="2"/>
  <c r="G51" i="2"/>
  <c r="F52" i="2" s="1"/>
  <c r="H52" i="2" s="1"/>
  <c r="G59" i="1" l="1"/>
  <c r="J58" i="1"/>
  <c r="H59" i="1"/>
  <c r="F60" i="1" s="1"/>
  <c r="G52" i="3"/>
  <c r="H52" i="3"/>
  <c r="J52" i="4"/>
  <c r="H53" i="4"/>
  <c r="F54" i="4" s="1"/>
  <c r="H54" i="4" s="1"/>
  <c r="J51" i="2"/>
  <c r="G52" i="2"/>
  <c r="F53" i="2" s="1"/>
  <c r="G53" i="2" s="1"/>
  <c r="D132" i="1" l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32" i="1"/>
  <c r="G61" i="1" l="1"/>
  <c r="H61" i="1"/>
  <c r="F132" i="1"/>
  <c r="C12" i="6" s="1"/>
  <c r="J55" i="4"/>
  <c r="H56" i="4"/>
  <c r="F57" i="4" s="1"/>
  <c r="G57" i="4" s="1"/>
  <c r="G54" i="3"/>
  <c r="F55" i="3" s="1"/>
  <c r="G55" i="3" s="1"/>
  <c r="J53" i="3"/>
  <c r="G55" i="2"/>
  <c r="H55" i="2"/>
  <c r="F62" i="1" l="1"/>
  <c r="G62" i="1" s="1"/>
  <c r="H62" i="1"/>
  <c r="J61" i="1"/>
  <c r="J54" i="3"/>
  <c r="H55" i="3"/>
  <c r="F56" i="3" s="1"/>
  <c r="H56" i="3" s="1"/>
  <c r="F56" i="2"/>
  <c r="G56" i="2" s="1"/>
  <c r="J56" i="4"/>
  <c r="H57" i="4"/>
  <c r="F58" i="4" s="1"/>
  <c r="J57" i="4" s="1"/>
  <c r="F63" i="1" l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32" i="4" s="1"/>
  <c r="J58" i="4"/>
  <c r="G58" i="2"/>
  <c r="H58" i="2"/>
  <c r="J57" i="2"/>
  <c r="G65" i="1" l="1"/>
  <c r="H65" i="1"/>
  <c r="F66" i="1" s="1"/>
  <c r="J65" i="1" s="1"/>
  <c r="J64" i="1"/>
  <c r="H66" i="1"/>
  <c r="G66" i="1"/>
  <c r="F67" i="1" s="1"/>
  <c r="G59" i="3"/>
  <c r="H59" i="3"/>
  <c r="G60" i="4"/>
  <c r="J59" i="4"/>
  <c r="H60" i="4"/>
  <c r="F59" i="2"/>
  <c r="H59" i="2" s="1"/>
  <c r="G67" i="1" l="1"/>
  <c r="J66" i="1"/>
  <c r="H67" i="1"/>
  <c r="F68" i="1" s="1"/>
  <c r="J67" i="1" s="1"/>
  <c r="F61" i="4"/>
  <c r="G61" i="4" s="1"/>
  <c r="F60" i="3"/>
  <c r="D132" i="3" s="1"/>
  <c r="J58" i="2"/>
  <c r="G59" i="2"/>
  <c r="F60" i="2" s="1"/>
  <c r="D132" i="2" s="1"/>
  <c r="E132" i="4"/>
  <c r="G68" i="1" l="1"/>
  <c r="H68" i="1"/>
  <c r="J60" i="4"/>
  <c r="H61" i="4"/>
  <c r="F62" i="4" s="1"/>
  <c r="J61" i="4" s="1"/>
  <c r="F132" i="4"/>
  <c r="E12" i="6" s="1"/>
  <c r="J59" i="3"/>
  <c r="G60" i="3"/>
  <c r="H60" i="3"/>
  <c r="H60" i="2"/>
  <c r="J59" i="2"/>
  <c r="G60" i="2"/>
  <c r="F69" i="1" l="1"/>
  <c r="H69" i="1"/>
  <c r="J68" i="1"/>
  <c r="G69" i="1"/>
  <c r="F70" i="1" s="1"/>
  <c r="G70" i="1" s="1"/>
  <c r="D133" i="1"/>
  <c r="F61" i="3"/>
  <c r="J60" i="3" s="1"/>
  <c r="F61" i="2"/>
  <c r="G61" i="2" s="1"/>
  <c r="G62" i="4"/>
  <c r="H62" i="4"/>
  <c r="E133" i="1"/>
  <c r="E132" i="3"/>
  <c r="E132" i="2"/>
  <c r="H70" i="1" l="1"/>
  <c r="J69" i="1"/>
  <c r="F133" i="1"/>
  <c r="C13" i="6" s="1"/>
  <c r="H61" i="3"/>
  <c r="G61" i="3"/>
  <c r="F132" i="3"/>
  <c r="F12" i="6" s="1"/>
  <c r="H61" i="2"/>
  <c r="F62" i="2" s="1"/>
  <c r="J61" i="2" s="1"/>
  <c r="J60" i="2"/>
  <c r="F132" i="2"/>
  <c r="D12" i="6" s="1"/>
  <c r="F63" i="4"/>
  <c r="H63" i="4" s="1"/>
  <c r="F71" i="1"/>
  <c r="T12" i="6" l="1"/>
  <c r="W12" i="6" s="1"/>
  <c r="F62" i="3"/>
  <c r="G62" i="3" s="1"/>
  <c r="G62" i="2"/>
  <c r="H62" i="2"/>
  <c r="J62" i="4"/>
  <c r="G63" i="4"/>
  <c r="F64" i="4" s="1"/>
  <c r="H71" i="1"/>
  <c r="G71" i="1"/>
  <c r="J70" i="1"/>
  <c r="V12" i="6" l="1"/>
  <c r="F72" i="1"/>
  <c r="J71" i="1" s="1"/>
  <c r="H62" i="3"/>
  <c r="F63" i="3" s="1"/>
  <c r="H63" i="3" s="1"/>
  <c r="J61" i="3"/>
  <c r="F63" i="2"/>
  <c r="G63" i="2" s="1"/>
  <c r="J63" i="4"/>
  <c r="G64" i="4"/>
  <c r="H64" i="4"/>
  <c r="H72" i="1" l="1"/>
  <c r="G72" i="1"/>
  <c r="J62" i="3"/>
  <c r="G63" i="3"/>
  <c r="F64" i="3" s="1"/>
  <c r="G64" i="3" s="1"/>
  <c r="H63" i="2"/>
  <c r="F64" i="2" s="1"/>
  <c r="H64" i="2" s="1"/>
  <c r="J62" i="2"/>
  <c r="F65" i="4"/>
  <c r="G65" i="4" s="1"/>
  <c r="F73" i="1" l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J72" i="1" l="1"/>
  <c r="H73" i="1"/>
  <c r="G73" i="1"/>
  <c r="G65" i="3"/>
  <c r="H65" i="3"/>
  <c r="H65" i="2"/>
  <c r="G65" i="2"/>
  <c r="H66" i="4"/>
  <c r="G66" i="4"/>
  <c r="F74" i="1" l="1"/>
  <c r="F66" i="3"/>
  <c r="G66" i="3" s="1"/>
  <c r="F66" i="2"/>
  <c r="H66" i="2" s="1"/>
  <c r="F67" i="4"/>
  <c r="G67" i="4" s="1"/>
  <c r="H74" i="1" l="1"/>
  <c r="G74" i="1"/>
  <c r="F75" i="1" s="1"/>
  <c r="J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J74" i="1"/>
  <c r="H75" i="1"/>
  <c r="G75" i="1"/>
  <c r="G67" i="3" l="1"/>
  <c r="H67" i="3"/>
  <c r="J66" i="2"/>
  <c r="G67" i="2"/>
  <c r="F68" i="2" s="1"/>
  <c r="J67" i="2" s="1"/>
  <c r="G68" i="4"/>
  <c r="H68" i="4"/>
  <c r="F76" i="1"/>
  <c r="F68" i="3" l="1"/>
  <c r="H68" i="3" s="1"/>
  <c r="H68" i="2"/>
  <c r="G68" i="2"/>
  <c r="F69" i="4"/>
  <c r="G69" i="4" s="1"/>
  <c r="J75" i="1"/>
  <c r="H76" i="1"/>
  <c r="G76" i="1"/>
  <c r="F77" i="1" l="1"/>
  <c r="J67" i="3"/>
  <c r="G68" i="3"/>
  <c r="F69" i="3" s="1"/>
  <c r="G69" i="3" s="1"/>
  <c r="F69" i="2"/>
  <c r="D133" i="2" s="1"/>
  <c r="D133" i="4"/>
  <c r="H69" i="4"/>
  <c r="F70" i="4" s="1"/>
  <c r="H70" i="4" s="1"/>
  <c r="J68" i="4"/>
  <c r="G77" i="1"/>
  <c r="J76" i="1"/>
  <c r="H77" i="1"/>
  <c r="E133" i="4"/>
  <c r="F78" i="1" l="1"/>
  <c r="D133" i="3"/>
  <c r="J68" i="3"/>
  <c r="H69" i="3"/>
  <c r="F70" i="3" s="1"/>
  <c r="G70" i="3" s="1"/>
  <c r="G69" i="2"/>
  <c r="J68" i="2"/>
  <c r="H69" i="2"/>
  <c r="J69" i="4"/>
  <c r="F133" i="4"/>
  <c r="E13" i="6" s="1"/>
  <c r="G70" i="4"/>
  <c r="F71" i="4" s="1"/>
  <c r="H78" i="1"/>
  <c r="G78" i="1"/>
  <c r="J77" i="1"/>
  <c r="E133" i="3"/>
  <c r="F79" i="1" l="1"/>
  <c r="D134" i="1" s="1"/>
  <c r="J69" i="3"/>
  <c r="F133" i="3"/>
  <c r="F13" i="6" s="1"/>
  <c r="H70" i="3"/>
  <c r="F71" i="3" s="1"/>
  <c r="F70" i="2"/>
  <c r="H70" i="2" s="1"/>
  <c r="H71" i="4"/>
  <c r="J70" i="4"/>
  <c r="G71" i="4"/>
  <c r="E133" i="2"/>
  <c r="J78" i="1" l="1"/>
  <c r="H79" i="1"/>
  <c r="G79" i="1"/>
  <c r="H71" i="3"/>
  <c r="G71" i="3"/>
  <c r="J70" i="3"/>
  <c r="J69" i="2"/>
  <c r="F133" i="2"/>
  <c r="D13" i="6" s="1"/>
  <c r="T13" i="6" s="1"/>
  <c r="G70" i="2"/>
  <c r="F71" i="2" s="1"/>
  <c r="F72" i="4"/>
  <c r="J71" i="4" s="1"/>
  <c r="F80" i="1" l="1"/>
  <c r="G80" i="1"/>
  <c r="H80" i="1"/>
  <c r="J79" i="1"/>
  <c r="F72" i="3"/>
  <c r="G72" i="3" s="1"/>
  <c r="V13" i="6"/>
  <c r="W13" i="6"/>
  <c r="H71" i="2"/>
  <c r="J70" i="2"/>
  <c r="G71" i="2"/>
  <c r="G72" i="4"/>
  <c r="H72" i="4"/>
  <c r="E134" i="1"/>
  <c r="F134" i="1" l="1"/>
  <c r="C14" i="6" s="1"/>
  <c r="F81" i="1"/>
  <c r="J80" i="1" s="1"/>
  <c r="J71" i="3"/>
  <c r="H72" i="3"/>
  <c r="F73" i="3" s="1"/>
  <c r="J72" i="3" s="1"/>
  <c r="F72" i="2"/>
  <c r="H72" i="2" s="1"/>
  <c r="F73" i="4"/>
  <c r="J72" i="4" s="1"/>
  <c r="H81" i="1" l="1"/>
  <c r="G81" i="1"/>
  <c r="F82" i="1" s="1"/>
  <c r="J81" i="1" s="1"/>
  <c r="H73" i="3"/>
  <c r="G73" i="3"/>
  <c r="G72" i="2"/>
  <c r="F73" i="2" s="1"/>
  <c r="H73" i="2" s="1"/>
  <c r="J71" i="2"/>
  <c r="H73" i="4"/>
  <c r="G73" i="4"/>
  <c r="G73" i="2" l="1"/>
  <c r="F74" i="2" s="1"/>
  <c r="G74" i="2" s="1"/>
  <c r="J72" i="2"/>
  <c r="H82" i="1"/>
  <c r="G82" i="1"/>
  <c r="F74" i="3"/>
  <c r="H74" i="3" s="1"/>
  <c r="F83" i="1"/>
  <c r="F74" i="4"/>
  <c r="H74" i="4" s="1"/>
  <c r="J73" i="3" l="1"/>
  <c r="G74" i="3"/>
  <c r="F75" i="3" s="1"/>
  <c r="J74" i="3" s="1"/>
  <c r="G83" i="1"/>
  <c r="H83" i="1"/>
  <c r="J82" i="1"/>
  <c r="G74" i="4"/>
  <c r="F75" i="4" s="1"/>
  <c r="J74" i="4" s="1"/>
  <c r="J73" i="4"/>
  <c r="H74" i="2"/>
  <c r="F75" i="2" s="1"/>
  <c r="J73" i="2"/>
  <c r="F84" i="1" l="1"/>
  <c r="J83" i="1" s="1"/>
  <c r="H75" i="3"/>
  <c r="G75" i="3"/>
  <c r="H75" i="4"/>
  <c r="G75" i="4"/>
  <c r="J74" i="2"/>
  <c r="H75" i="2"/>
  <c r="G75" i="2"/>
  <c r="F76" i="3" l="1"/>
  <c r="J75" i="3" s="1"/>
  <c r="H84" i="1"/>
  <c r="G84" i="1"/>
  <c r="F76" i="4"/>
  <c r="J75" i="4" s="1"/>
  <c r="F76" i="2"/>
  <c r="H76" i="3" l="1"/>
  <c r="G76" i="3"/>
  <c r="F77" i="3" s="1"/>
  <c r="F85" i="1"/>
  <c r="G85" i="1" s="1"/>
  <c r="H76" i="4"/>
  <c r="G76" i="4"/>
  <c r="H76" i="2"/>
  <c r="G76" i="2"/>
  <c r="J75" i="2"/>
  <c r="H77" i="3" l="1"/>
  <c r="G77" i="3"/>
  <c r="J76" i="3"/>
  <c r="F77" i="4"/>
  <c r="J76" i="4" s="1"/>
  <c r="H85" i="1"/>
  <c r="F86" i="1" s="1"/>
  <c r="J84" i="1"/>
  <c r="F77" i="2"/>
  <c r="H77" i="4" l="1"/>
  <c r="G77" i="4"/>
  <c r="F78" i="3"/>
  <c r="J85" i="1"/>
  <c r="H86" i="1"/>
  <c r="G86" i="1"/>
  <c r="F78" i="4"/>
  <c r="J77" i="4" s="1"/>
  <c r="H77" i="2"/>
  <c r="J76" i="2"/>
  <c r="G77" i="2"/>
  <c r="G78" i="3" l="1"/>
  <c r="H78" i="3"/>
  <c r="J77" i="3"/>
  <c r="F87" i="1"/>
  <c r="J86" i="1" s="1"/>
  <c r="G78" i="4"/>
  <c r="H78" i="4"/>
  <c r="F78" i="2"/>
  <c r="J77" i="2" s="1"/>
  <c r="G87" i="1" l="1"/>
  <c r="F79" i="3"/>
  <c r="G79" i="3" s="1"/>
  <c r="H87" i="1"/>
  <c r="H79" i="3"/>
  <c r="J78" i="3"/>
  <c r="F88" i="1"/>
  <c r="H88" i="1" s="1"/>
  <c r="F79" i="4"/>
  <c r="D134" i="4" s="1"/>
  <c r="G78" i="2"/>
  <c r="H78" i="2"/>
  <c r="D134" i="3" l="1"/>
  <c r="J87" i="1"/>
  <c r="G88" i="1"/>
  <c r="F80" i="3"/>
  <c r="G80" i="3" s="1"/>
  <c r="F89" i="1"/>
  <c r="J88" i="1" s="1"/>
  <c r="G79" i="4"/>
  <c r="H79" i="4"/>
  <c r="J78" i="4"/>
  <c r="G89" i="1"/>
  <c r="F79" i="2"/>
  <c r="J78" i="2" s="1"/>
  <c r="E134" i="3"/>
  <c r="H80" i="3" l="1"/>
  <c r="F81" i="3" s="1"/>
  <c r="J79" i="3"/>
  <c r="H89" i="1"/>
  <c r="F134" i="3"/>
  <c r="F14" i="6" s="1"/>
  <c r="F80" i="4"/>
  <c r="G80" i="4" s="1"/>
  <c r="F90" i="1"/>
  <c r="H90" i="1" s="1"/>
  <c r="G79" i="2"/>
  <c r="H79" i="2"/>
  <c r="D134" i="2"/>
  <c r="E134" i="4"/>
  <c r="G81" i="3" l="1"/>
  <c r="J80" i="3"/>
  <c r="H81" i="3"/>
  <c r="H80" i="4"/>
  <c r="F134" i="4"/>
  <c r="E14" i="6" s="1"/>
  <c r="J79" i="4"/>
  <c r="G90" i="1"/>
  <c r="F91" i="1" s="1"/>
  <c r="J90" i="1" s="1"/>
  <c r="J89" i="1"/>
  <c r="F81" i="4"/>
  <c r="H81" i="4" s="1"/>
  <c r="F80" i="2"/>
  <c r="E134" i="2"/>
  <c r="F82" i="3" l="1"/>
  <c r="H82" i="3"/>
  <c r="J81" i="3"/>
  <c r="G82" i="3"/>
  <c r="F83" i="3" s="1"/>
  <c r="J80" i="4"/>
  <c r="H83" i="3"/>
  <c r="G83" i="3"/>
  <c r="J82" i="3"/>
  <c r="G81" i="4"/>
  <c r="F82" i="4" s="1"/>
  <c r="H82" i="4" s="1"/>
  <c r="G91" i="1"/>
  <c r="H91" i="1"/>
  <c r="F134" i="2"/>
  <c r="D14" i="6" s="1"/>
  <c r="T14" i="6" s="1"/>
  <c r="V14" i="6" s="1"/>
  <c r="J79" i="2"/>
  <c r="H80" i="2"/>
  <c r="G80" i="2"/>
  <c r="F84" i="3" l="1"/>
  <c r="H84" i="3" s="1"/>
  <c r="F92" i="1"/>
  <c r="J91" i="1" s="1"/>
  <c r="H92" i="1"/>
  <c r="F81" i="2"/>
  <c r="J80" i="2" s="1"/>
  <c r="W14" i="6"/>
  <c r="J81" i="4"/>
  <c r="G82" i="4"/>
  <c r="F83" i="4" s="1"/>
  <c r="J82" i="4" s="1"/>
  <c r="G84" i="3" l="1"/>
  <c r="J83" i="3"/>
  <c r="G92" i="1"/>
  <c r="F85" i="3"/>
  <c r="G85" i="3" s="1"/>
  <c r="F93" i="1"/>
  <c r="G93" i="1" s="1"/>
  <c r="G81" i="2"/>
  <c r="H81" i="2"/>
  <c r="H83" i="4"/>
  <c r="G83" i="4"/>
  <c r="J84" i="3" l="1"/>
  <c r="H85" i="3"/>
  <c r="F86" i="3" s="1"/>
  <c r="H93" i="1"/>
  <c r="J92" i="1"/>
  <c r="F94" i="1"/>
  <c r="G94" i="1" s="1"/>
  <c r="F82" i="2"/>
  <c r="G82" i="2" s="1"/>
  <c r="F84" i="4"/>
  <c r="H84" i="4" s="1"/>
  <c r="J85" i="3" l="1"/>
  <c r="G86" i="3"/>
  <c r="H86" i="3"/>
  <c r="J93" i="1"/>
  <c r="F87" i="3"/>
  <c r="J86" i="3" s="1"/>
  <c r="H94" i="1"/>
  <c r="F95" i="1" s="1"/>
  <c r="J94" i="1" s="1"/>
  <c r="H87" i="3"/>
  <c r="G87" i="3"/>
  <c r="H82" i="2"/>
  <c r="F83" i="2" s="1"/>
  <c r="G83" i="2" s="1"/>
  <c r="J81" i="2"/>
  <c r="H95" i="1"/>
  <c r="G95" i="1"/>
  <c r="G84" i="4"/>
  <c r="F85" i="4" s="1"/>
  <c r="H85" i="4" s="1"/>
  <c r="J83" i="4"/>
  <c r="J82" i="2" l="1"/>
  <c r="F88" i="3"/>
  <c r="J87" i="3" s="1"/>
  <c r="H83" i="2"/>
  <c r="F96" i="1"/>
  <c r="G96" i="1" s="1"/>
  <c r="G85" i="4"/>
  <c r="F86" i="4" s="1"/>
  <c r="H86" i="4" s="1"/>
  <c r="J84" i="4"/>
  <c r="F84" i="2"/>
  <c r="G84" i="2" s="1"/>
  <c r="J85" i="4" l="1"/>
  <c r="G86" i="4"/>
  <c r="F87" i="4" s="1"/>
  <c r="H87" i="4" s="1"/>
  <c r="H88" i="3"/>
  <c r="G88" i="3"/>
  <c r="J95" i="1"/>
  <c r="H96" i="1"/>
  <c r="F97" i="1" s="1"/>
  <c r="J96" i="1" s="1"/>
  <c r="H84" i="2"/>
  <c r="F85" i="2" s="1"/>
  <c r="J83" i="2"/>
  <c r="J86" i="4"/>
  <c r="G87" i="4"/>
  <c r="F88" i="4" s="1"/>
  <c r="J87" i="4" s="1"/>
  <c r="F89" i="3" l="1"/>
  <c r="H97" i="1"/>
  <c r="G97" i="1"/>
  <c r="F98" i="1" s="1"/>
  <c r="J97" i="1" s="1"/>
  <c r="J84" i="2"/>
  <c r="G85" i="2"/>
  <c r="H85" i="2"/>
  <c r="H88" i="4"/>
  <c r="G88" i="4"/>
  <c r="G89" i="3" l="1"/>
  <c r="J88" i="3"/>
  <c r="H89" i="3"/>
  <c r="F90" i="3" s="1"/>
  <c r="H98" i="1"/>
  <c r="G98" i="1"/>
  <c r="F99" i="1" s="1"/>
  <c r="F86" i="2"/>
  <c r="F89" i="4"/>
  <c r="J88" i="4" s="1"/>
  <c r="G90" i="3" l="1"/>
  <c r="H90" i="3"/>
  <c r="J89" i="3"/>
  <c r="H99" i="1"/>
  <c r="J98" i="1"/>
  <c r="G99" i="1"/>
  <c r="F100" i="1" s="1"/>
  <c r="G100" i="1" s="1"/>
  <c r="H86" i="2"/>
  <c r="J85" i="2"/>
  <c r="G86" i="2"/>
  <c r="H89" i="4"/>
  <c r="G89" i="4"/>
  <c r="F91" i="3" l="1"/>
  <c r="J90" i="3" s="1"/>
  <c r="H91" i="3"/>
  <c r="G91" i="3"/>
  <c r="H100" i="1"/>
  <c r="F101" i="1" s="1"/>
  <c r="J99" i="1"/>
  <c r="F87" i="2"/>
  <c r="G87" i="2" s="1"/>
  <c r="F90" i="4"/>
  <c r="J89" i="4" s="1"/>
  <c r="F92" i="3" l="1"/>
  <c r="H101" i="1"/>
  <c r="J100" i="1"/>
  <c r="G101" i="1"/>
  <c r="F102" i="1" s="1"/>
  <c r="J86" i="2"/>
  <c r="H87" i="2"/>
  <c r="F88" i="2" s="1"/>
  <c r="J87" i="2" s="1"/>
  <c r="H90" i="4"/>
  <c r="G90" i="4"/>
  <c r="G92" i="3" l="1"/>
  <c r="H92" i="3"/>
  <c r="F93" i="3" s="1"/>
  <c r="J91" i="3"/>
  <c r="G102" i="1"/>
  <c r="J101" i="1"/>
  <c r="H102" i="1"/>
  <c r="G88" i="2"/>
  <c r="H88" i="2"/>
  <c r="F91" i="4"/>
  <c r="J90" i="4" s="1"/>
  <c r="H93" i="3" l="1"/>
  <c r="J92" i="3"/>
  <c r="G93" i="3"/>
  <c r="F94" i="3" s="1"/>
  <c r="F103" i="1"/>
  <c r="H103" i="1"/>
  <c r="G103" i="1"/>
  <c r="J102" i="1"/>
  <c r="F89" i="2"/>
  <c r="H89" i="2" s="1"/>
  <c r="H91" i="4"/>
  <c r="G91" i="4"/>
  <c r="J88" i="2" l="1"/>
  <c r="G89" i="2"/>
  <c r="H94" i="3"/>
  <c r="J93" i="3"/>
  <c r="G94" i="3"/>
  <c r="F95" i="3" s="1"/>
  <c r="F104" i="1"/>
  <c r="J103" i="1" s="1"/>
  <c r="F92" i="4"/>
  <c r="G92" i="4" s="1"/>
  <c r="G104" i="1"/>
  <c r="H104" i="1"/>
  <c r="F90" i="2"/>
  <c r="H90" i="2" s="1"/>
  <c r="H95" i="3" l="1"/>
  <c r="J94" i="3"/>
  <c r="G95" i="3"/>
  <c r="F96" i="3" s="1"/>
  <c r="H92" i="4"/>
  <c r="F93" i="4" s="1"/>
  <c r="H93" i="4" s="1"/>
  <c r="J91" i="4"/>
  <c r="F105" i="1"/>
  <c r="J104" i="1" s="1"/>
  <c r="G90" i="2"/>
  <c r="F91" i="2" s="1"/>
  <c r="J89" i="2"/>
  <c r="G96" i="3" l="1"/>
  <c r="J95" i="3"/>
  <c r="H96" i="3"/>
  <c r="F97" i="3" s="1"/>
  <c r="G93" i="4"/>
  <c r="F94" i="4" s="1"/>
  <c r="G94" i="4" s="1"/>
  <c r="J92" i="4"/>
  <c r="G105" i="1"/>
  <c r="H105" i="1"/>
  <c r="G91" i="2"/>
  <c r="J90" i="2"/>
  <c r="H91" i="2"/>
  <c r="H97" i="3" l="1"/>
  <c r="J96" i="3"/>
  <c r="G97" i="3"/>
  <c r="F98" i="3" s="1"/>
  <c r="F106" i="1"/>
  <c r="H106" i="1" s="1"/>
  <c r="G106" i="1"/>
  <c r="F107" i="1" s="1"/>
  <c r="J106" i="1" s="1"/>
  <c r="J105" i="1"/>
  <c r="F92" i="2"/>
  <c r="H94" i="4"/>
  <c r="F95" i="4" s="1"/>
  <c r="G95" i="4" s="1"/>
  <c r="J93" i="4"/>
  <c r="J97" i="3" l="1"/>
  <c r="G98" i="3"/>
  <c r="H98" i="3"/>
  <c r="G107" i="1"/>
  <c r="H107" i="1"/>
  <c r="J91" i="2"/>
  <c r="H92" i="2"/>
  <c r="G92" i="2"/>
  <c r="J94" i="4"/>
  <c r="H95" i="4"/>
  <c r="F96" i="4" s="1"/>
  <c r="G96" i="4" s="1"/>
  <c r="F99" i="3" l="1"/>
  <c r="F108" i="1"/>
  <c r="J107" i="1" s="1"/>
  <c r="F93" i="2"/>
  <c r="H93" i="2" s="1"/>
  <c r="H96" i="4"/>
  <c r="F97" i="4" s="1"/>
  <c r="G97" i="4" s="1"/>
  <c r="J95" i="4"/>
  <c r="H99" i="3" l="1"/>
  <c r="J98" i="3"/>
  <c r="G99" i="3"/>
  <c r="F100" i="3" s="1"/>
  <c r="G108" i="1"/>
  <c r="H108" i="1"/>
  <c r="F109" i="1" s="1"/>
  <c r="H109" i="1" s="1"/>
  <c r="J92" i="2"/>
  <c r="G93" i="2"/>
  <c r="F94" i="2" s="1"/>
  <c r="H97" i="4"/>
  <c r="F98" i="4" s="1"/>
  <c r="G98" i="4" s="1"/>
  <c r="J96" i="4"/>
  <c r="H100" i="3" l="1"/>
  <c r="J99" i="3"/>
  <c r="G100" i="3"/>
  <c r="F101" i="3" s="1"/>
  <c r="G109" i="1"/>
  <c r="F110" i="1" s="1"/>
  <c r="J108" i="1"/>
  <c r="J93" i="2"/>
  <c r="H94" i="2"/>
  <c r="G94" i="2"/>
  <c r="J97" i="4"/>
  <c r="H98" i="4"/>
  <c r="F99" i="4" s="1"/>
  <c r="G101" i="3" l="1"/>
  <c r="J100" i="3"/>
  <c r="H101" i="3"/>
  <c r="F135" i="1"/>
  <c r="C15" i="6" s="1"/>
  <c r="G110" i="1"/>
  <c r="J109" i="1"/>
  <c r="H110" i="1"/>
  <c r="F95" i="2"/>
  <c r="J94" i="2" s="1"/>
  <c r="J98" i="4"/>
  <c r="H99" i="4"/>
  <c r="G99" i="4"/>
  <c r="F102" i="3" l="1"/>
  <c r="F111" i="1"/>
  <c r="G95" i="2"/>
  <c r="H95" i="2"/>
  <c r="F100" i="4"/>
  <c r="H102" i="3" l="1"/>
  <c r="G102" i="3"/>
  <c r="F103" i="3" s="1"/>
  <c r="J102" i="3" s="1"/>
  <c r="J101" i="3"/>
  <c r="J110" i="1"/>
  <c r="G111" i="1"/>
  <c r="H111" i="1"/>
  <c r="F96" i="2"/>
  <c r="H96" i="2" s="1"/>
  <c r="H103" i="3"/>
  <c r="G103" i="3"/>
  <c r="J99" i="4"/>
  <c r="H100" i="4"/>
  <c r="G100" i="4"/>
  <c r="G96" i="2" l="1"/>
  <c r="F97" i="2" s="1"/>
  <c r="J96" i="2" s="1"/>
  <c r="J95" i="2"/>
  <c r="F112" i="1"/>
  <c r="H97" i="2"/>
  <c r="F104" i="3"/>
  <c r="J103" i="3" s="1"/>
  <c r="F101" i="4"/>
  <c r="G97" i="2" l="1"/>
  <c r="F98" i="2" s="1"/>
  <c r="H98" i="2" s="1"/>
  <c r="J111" i="1"/>
  <c r="H112" i="1"/>
  <c r="G112" i="1"/>
  <c r="G104" i="3"/>
  <c r="H104" i="3"/>
  <c r="H101" i="4"/>
  <c r="J100" i="4"/>
  <c r="G101" i="4"/>
  <c r="F113" i="1" l="1"/>
  <c r="H113" i="1" s="1"/>
  <c r="J97" i="2"/>
  <c r="G98" i="2"/>
  <c r="F99" i="2" s="1"/>
  <c r="H99" i="2" s="1"/>
  <c r="F105" i="3"/>
  <c r="G105" i="3" s="1"/>
  <c r="F102" i="4"/>
  <c r="G102" i="4" s="1"/>
  <c r="J112" i="1" l="1"/>
  <c r="G113" i="1"/>
  <c r="F114" i="1" s="1"/>
  <c r="G114" i="1" s="1"/>
  <c r="J98" i="2"/>
  <c r="G99" i="2"/>
  <c r="F100" i="2" s="1"/>
  <c r="J99" i="2" s="1"/>
  <c r="J113" i="1"/>
  <c r="H105" i="3"/>
  <c r="F106" i="3" s="1"/>
  <c r="G100" i="2"/>
  <c r="J104" i="3"/>
  <c r="H100" i="2"/>
  <c r="H102" i="4"/>
  <c r="F103" i="4" s="1"/>
  <c r="J101" i="4"/>
  <c r="H114" i="1" l="1"/>
  <c r="F115" i="1" s="1"/>
  <c r="G115" i="1" s="1"/>
  <c r="F101" i="2"/>
  <c r="J100" i="2" s="1"/>
  <c r="G106" i="3"/>
  <c r="H106" i="3"/>
  <c r="J105" i="3"/>
  <c r="J102" i="4"/>
  <c r="H103" i="4"/>
  <c r="G103" i="4"/>
  <c r="H115" i="1" l="1"/>
  <c r="J114" i="1"/>
  <c r="F116" i="1"/>
  <c r="G116" i="1" s="1"/>
  <c r="H101" i="2"/>
  <c r="G101" i="2"/>
  <c r="F107" i="3"/>
  <c r="H107" i="3" s="1"/>
  <c r="F104" i="4"/>
  <c r="G104" i="4" s="1"/>
  <c r="F102" i="2"/>
  <c r="G102" i="2" s="1"/>
  <c r="J115" i="1" l="1"/>
  <c r="H116" i="1"/>
  <c r="F117" i="1" s="1"/>
  <c r="H117" i="1" s="1"/>
  <c r="J106" i="3"/>
  <c r="G107" i="3"/>
  <c r="F108" i="3" s="1"/>
  <c r="G108" i="3" s="1"/>
  <c r="H104" i="4"/>
  <c r="F105" i="4" s="1"/>
  <c r="H105" i="4" s="1"/>
  <c r="J103" i="4"/>
  <c r="H102" i="2"/>
  <c r="F103" i="2" s="1"/>
  <c r="J101" i="2"/>
  <c r="J116" i="1" l="1"/>
  <c r="G117" i="1"/>
  <c r="F118" i="1" s="1"/>
  <c r="J117" i="1" s="1"/>
  <c r="J107" i="3"/>
  <c r="H108" i="3"/>
  <c r="F109" i="3" s="1"/>
  <c r="J108" i="3" s="1"/>
  <c r="J104" i="4"/>
  <c r="G105" i="4"/>
  <c r="F106" i="4" s="1"/>
  <c r="H106" i="4" s="1"/>
  <c r="G103" i="2"/>
  <c r="J102" i="2"/>
  <c r="H103" i="2"/>
  <c r="H118" i="1" l="1"/>
  <c r="G118" i="1"/>
  <c r="G109" i="3"/>
  <c r="H109" i="3"/>
  <c r="G106" i="4"/>
  <c r="F107" i="4" s="1"/>
  <c r="H107" i="4" s="1"/>
  <c r="J105" i="4"/>
  <c r="F104" i="2"/>
  <c r="H104" i="2" s="1"/>
  <c r="F119" i="1" l="1"/>
  <c r="F110" i="3"/>
  <c r="J109" i="3" s="1"/>
  <c r="G104" i="2"/>
  <c r="F105" i="2" s="1"/>
  <c r="J104" i="2" s="1"/>
  <c r="G107" i="4"/>
  <c r="F108" i="4" s="1"/>
  <c r="J107" i="4" s="1"/>
  <c r="J106" i="4"/>
  <c r="H110" i="3"/>
  <c r="G110" i="3"/>
  <c r="F135" i="3"/>
  <c r="F15" i="6" s="1"/>
  <c r="J103" i="2"/>
  <c r="J118" i="1" l="1"/>
  <c r="G119" i="1"/>
  <c r="H119" i="1"/>
  <c r="F111" i="3"/>
  <c r="G111" i="3" s="1"/>
  <c r="H105" i="2"/>
  <c r="G105" i="2"/>
  <c r="J110" i="3"/>
  <c r="G108" i="4"/>
  <c r="H108" i="4"/>
  <c r="F120" i="1" l="1"/>
  <c r="H111" i="3"/>
  <c r="F106" i="2"/>
  <c r="J105" i="2" s="1"/>
  <c r="F112" i="3"/>
  <c r="J111" i="3" s="1"/>
  <c r="F109" i="4"/>
  <c r="H109" i="4" s="1"/>
  <c r="G112" i="3"/>
  <c r="H106" i="2"/>
  <c r="G106" i="2"/>
  <c r="H112" i="3" l="1"/>
  <c r="J119" i="1"/>
  <c r="H120" i="1"/>
  <c r="G120" i="1"/>
  <c r="G109" i="4"/>
  <c r="F110" i="4" s="1"/>
  <c r="H110" i="4" s="1"/>
  <c r="J108" i="4"/>
  <c r="F113" i="3"/>
  <c r="J112" i="3" s="1"/>
  <c r="F107" i="2"/>
  <c r="H107" i="2" s="1"/>
  <c r="F121" i="1" l="1"/>
  <c r="G121" i="1" s="1"/>
  <c r="J120" i="1"/>
  <c r="H121" i="1"/>
  <c r="G113" i="3"/>
  <c r="H113" i="3"/>
  <c r="F135" i="4"/>
  <c r="E15" i="6" s="1"/>
  <c r="G110" i="4"/>
  <c r="F111" i="4" s="1"/>
  <c r="H111" i="4" s="1"/>
  <c r="J109" i="4"/>
  <c r="G107" i="2"/>
  <c r="F108" i="2" s="1"/>
  <c r="H108" i="2" s="1"/>
  <c r="J106" i="2"/>
  <c r="F122" i="1" l="1"/>
  <c r="J121" i="1" s="1"/>
  <c r="F114" i="3"/>
  <c r="H114" i="3" s="1"/>
  <c r="J107" i="2"/>
  <c r="G108" i="2"/>
  <c r="F109" i="2" s="1"/>
  <c r="H109" i="2" s="1"/>
  <c r="J110" i="4"/>
  <c r="G111" i="4"/>
  <c r="F112" i="4" s="1"/>
  <c r="G112" i="4" s="1"/>
  <c r="G114" i="3" l="1"/>
  <c r="F115" i="3" s="1"/>
  <c r="H115" i="3" s="1"/>
  <c r="J113" i="3"/>
  <c r="H112" i="4"/>
  <c r="F113" i="4" s="1"/>
  <c r="H113" i="4" s="1"/>
  <c r="J111" i="4"/>
  <c r="G109" i="2"/>
  <c r="F110" i="2" s="1"/>
  <c r="G110" i="2" s="1"/>
  <c r="J108" i="2"/>
  <c r="G115" i="3" l="1"/>
  <c r="F116" i="3" s="1"/>
  <c r="H116" i="3" s="1"/>
  <c r="J114" i="3"/>
  <c r="G113" i="4"/>
  <c r="F114" i="4" s="1"/>
  <c r="J113" i="4" s="1"/>
  <c r="J112" i="4"/>
  <c r="F135" i="2"/>
  <c r="D15" i="6" s="1"/>
  <c r="T15" i="6" s="1"/>
  <c r="J109" i="2"/>
  <c r="H110" i="2"/>
  <c r="F111" i="2" s="1"/>
  <c r="J115" i="3" l="1"/>
  <c r="G116" i="3"/>
  <c r="F117" i="3" s="1"/>
  <c r="J116" i="3" s="1"/>
  <c r="W15" i="6"/>
  <c r="V15" i="6"/>
  <c r="G114" i="4"/>
  <c r="H114" i="4"/>
  <c r="H111" i="2"/>
  <c r="G111" i="2"/>
  <c r="J110" i="2"/>
  <c r="G117" i="3" l="1"/>
  <c r="H117" i="3"/>
  <c r="F115" i="4"/>
  <c r="J114" i="4" s="1"/>
  <c r="F112" i="2"/>
  <c r="G112" i="2" s="1"/>
  <c r="F118" i="3" l="1"/>
  <c r="H118" i="3" s="1"/>
  <c r="H115" i="4"/>
  <c r="G115" i="4"/>
  <c r="J111" i="2"/>
  <c r="H112" i="2"/>
  <c r="F113" i="2" s="1"/>
  <c r="H113" i="2" s="1"/>
  <c r="J117" i="3" l="1"/>
  <c r="G118" i="3"/>
  <c r="F119" i="3" s="1"/>
  <c r="G119" i="3" s="1"/>
  <c r="F116" i="4"/>
  <c r="H116" i="4" s="1"/>
  <c r="J112" i="2"/>
  <c r="G113" i="2"/>
  <c r="F114" i="2" s="1"/>
  <c r="G114" i="2" s="1"/>
  <c r="H119" i="3" l="1"/>
  <c r="F120" i="3" s="1"/>
  <c r="J118" i="3"/>
  <c r="J115" i="4"/>
  <c r="G116" i="4"/>
  <c r="F117" i="4" s="1"/>
  <c r="J116" i="4" s="1"/>
  <c r="H114" i="2"/>
  <c r="F115" i="2" s="1"/>
  <c r="G115" i="2" s="1"/>
  <c r="J113" i="2"/>
  <c r="J119" i="3" l="1"/>
  <c r="F136" i="3"/>
  <c r="F16" i="6" s="1"/>
  <c r="G120" i="3"/>
  <c r="H120" i="3"/>
  <c r="H117" i="4"/>
  <c r="G117" i="4"/>
  <c r="J114" i="2"/>
  <c r="H115" i="2"/>
  <c r="F116" i="2" s="1"/>
  <c r="F121" i="3" l="1"/>
  <c r="F118" i="4"/>
  <c r="J117" i="4" s="1"/>
  <c r="J120" i="3"/>
  <c r="H121" i="3"/>
  <c r="G121" i="3"/>
  <c r="J115" i="2"/>
  <c r="G116" i="2"/>
  <c r="H116" i="2"/>
  <c r="H118" i="4" l="1"/>
  <c r="G118" i="4"/>
  <c r="F122" i="3"/>
  <c r="J121" i="3" s="1"/>
  <c r="F117" i="2"/>
  <c r="G117" i="2" s="1"/>
  <c r="F119" i="4" l="1"/>
  <c r="J118" i="4" s="1"/>
  <c r="J116" i="2"/>
  <c r="H117" i="2"/>
  <c r="F118" i="2" s="1"/>
  <c r="G118" i="2" s="1"/>
  <c r="H119" i="4" l="1"/>
  <c r="G119" i="4"/>
  <c r="F120" i="4"/>
  <c r="H118" i="2"/>
  <c r="F119" i="2" s="1"/>
  <c r="H119" i="2" s="1"/>
  <c r="J117" i="2"/>
  <c r="G120" i="4" l="1"/>
  <c r="F136" i="4"/>
  <c r="E16" i="6" s="1"/>
  <c r="H120" i="4"/>
  <c r="F121" i="4" s="1"/>
  <c r="G121" i="4" s="1"/>
  <c r="J119" i="4"/>
  <c r="G119" i="2"/>
  <c r="F120" i="2" s="1"/>
  <c r="F136" i="2" s="1"/>
  <c r="D16" i="6" s="1"/>
  <c r="T16" i="6" s="1"/>
  <c r="J118" i="2"/>
  <c r="J120" i="4" l="1"/>
  <c r="H121" i="4"/>
  <c r="F122" i="4" s="1"/>
  <c r="J121" i="4" s="1"/>
  <c r="J119" i="2"/>
  <c r="H120" i="2"/>
  <c r="G120" i="2"/>
  <c r="F121" i="2" l="1"/>
  <c r="H121" i="2" s="1"/>
  <c r="J120" i="2" l="1"/>
  <c r="G121" i="2"/>
  <c r="F122" i="2" s="1"/>
  <c r="J121" i="2" s="1"/>
</calcChain>
</file>

<file path=xl/sharedStrings.xml><?xml version="1.0" encoding="utf-8"?>
<sst xmlns="http://schemas.openxmlformats.org/spreadsheetml/2006/main" count="244" uniqueCount="139">
  <si>
    <t>год</t>
  </si>
  <si>
    <t>FB</t>
  </si>
  <si>
    <t>FD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</si>
  <si>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</si>
  <si>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</si>
  <si>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</si>
  <si>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</si>
  <si>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</si>
  <si>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</si>
  <si>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</si>
  <si>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</si>
  <si>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</si>
  <si>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</si>
  <si>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</si>
  <si>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</si>
  <si>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</si>
  <si>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</si>
  <si>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</si>
  <si>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</si>
  <si>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</si>
  <si>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</si>
  <si>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</si>
  <si>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</si>
  <si>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</si>
  <si>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</si>
  <si>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</si>
  <si>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</si>
  <si>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</si>
  <si>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</si>
  <si>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</si>
  <si>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</si>
  <si>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</si>
  <si>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</si>
  <si>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</si>
  <si>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</si>
  <si>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</si>
  <si>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Ожидаемая численность населеления на даты состоявшихся переписей населения, тыс. чел.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</si>
  <si>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</si>
  <si>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</si>
  <si>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</si>
  <si>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</si>
  <si>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</si>
  <si>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</si>
  <si>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</si>
  <si>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</si>
  <si>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</si>
  <si>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</si>
  <si>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</si>
  <si>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Численность населения губернии в 1915 году составляла 1.9 млн. чел.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</si>
  <si>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</si>
  <si>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</si>
  <si>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</si>
  <si>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</si>
  <si>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</si>
  <si>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</si>
  <si>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</si>
  <si>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</si>
  <si>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</si>
  <si>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</si>
  <si>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</si>
  <si>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</si>
  <si>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</si>
  <si>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</si>
  <si>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</si>
  <si>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</si>
  <si>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</si>
  <si>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</si>
  <si>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</si>
  <si>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</si>
  <si>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</si>
  <si>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</si>
  <si>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</si>
  <si>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СССР
фактич.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</si>
  <si>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</si>
  <si>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</si>
  <si>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</si>
  <si>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</si>
  <si>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</si>
  <si>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</si>
  <si>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</si>
  <si>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</si>
  <si>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</si>
  <si>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</si>
  <si>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</si>
  <si>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</si>
  <si>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</si>
  <si>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</si>
  <si>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</si>
  <si>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</si>
  <si>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</si>
  <si>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</si>
  <si>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подавстрийские земли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</si>
  <si>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</si>
  <si>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</si>
  <si>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</si>
  <si>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</si>
  <si>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На момент переписей 1926, 1937 и 1939 гг. в состав СССР не входила почти целиком Бессарабская губерния</t>
  </si>
  <si>
    <t>и частично Волынская, Гродненская и Минская губернии (западные части которых были в составе Польши).</t>
  </si>
  <si>
    <t>Таксон Новороссия включает территорию Бессарабской губернии, преобладающая правобережная часть которой в 1926 и 1939 гг. не входила в состав СССР.</t>
  </si>
  <si>
    <t>Таксон Малороссия включает Волынскую губернию.</t>
  </si>
  <si>
    <t>Таксон Белоруссия включаяет Гродненскую и Минскую губернии.</t>
  </si>
  <si>
    <t>части таксонов Новроссия, Малороссия, Белоруссия находившиеся в 1926-1939 гг. вне состава СССР</t>
  </si>
  <si>
    <t>сумма 
без
вне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</si>
  <si>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</si>
  <si>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</si>
  <si>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</si>
  <si>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</si>
  <si>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Оценка численность населения этих территорий на конец 1939 года = 13,000 чел. (АДХ-СССР, стр. 52)</t>
  </si>
  <si>
    <t>Величины для 1937 и 1926 получаются отсюда обратной реконструкцией.</t>
  </si>
  <si>
    <t>часть
НР + МР + БР
вне СССР</t>
  </si>
  <si>
    <t>часть НР + МР + БР вне СССР</t>
  </si>
  <si>
    <t>При 0.8% - 1.2% прироста величина населения на начало 1937 г. составит 12.7-12.6 млн. чел.</t>
  </si>
  <si>
    <t>А на конец 1926 года - 11.7-11.1 млн. чел.</t>
  </si>
  <si>
    <t>Модель скоростей спадания смертности и рождаемости в ходе демографического перехода</t>
  </si>
  <si>
    <t>по примеру Мексики.</t>
  </si>
  <si>
    <t>Уровень 1909 года принят за 1.0.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</si>
  <si>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</si>
  <si>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</si>
  <si>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</si>
  <si>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</si>
  <si>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</si>
  <si>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</si>
  <si>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</si>
  <si>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</si>
  <si>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</si>
  <si>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</si>
  <si>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</si>
  <si>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</si>
  <si>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Численность украинских областей оценена пропорцинально их численности по переписи 1989 года, численности населения УССР в 1989 году</t>
  </si>
  <si>
    <t>Укр + Крым</t>
  </si>
  <si>
    <t>и численности населения территории бывш. УССР в 2020 году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</si>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</sst>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Font="1"/>
    <xf numFmtId="0" fontId="0" fillId="0" borderId="0" xfId="0" applyFont="1" applyBorder="1"/>
    <xf numFmtId="164" fontId="0" fillId="0" borderId="0" xfId="0" applyNumberFormat="1" applyFont="1" applyBorder="1"/>
    <xf numFmtId="164" fontId="2" fillId="0" borderId="0" xfId="0" applyNumberFormat="1" applyFont="1" applyBorder="1" applyAlignment="1">
      <alignment horizontal="right" vertical="center"/>
    </xf>
    <xf numFmtId="165" fontId="0" fillId="0" borderId="0" xfId="0" applyNumberFormat="1" applyFont="1" applyBorder="1"/>
    <xf numFmtId="3" fontId="0" fillId="0" borderId="0" xfId="0" applyNumberFormat="1" applyFont="1"/>
    <xf numFmtId="0" fontId="1" fillId="0" borderId="0" xfId="0" applyFont="1"/>
    <xf numFmtId="0" fontId="1" fillId="0" borderId="0" xfId="0" applyFont="1" applyBorder="1"/>
    <xf numFmtId="166" fontId="0" fillId="0" borderId="0" xfId="0" applyNumberFormat="1" applyFont="1"/>
    <xf numFmtId="0" fontId="0" fillId="0" borderId="0" xfId="0" applyFont="1" applyFill="1" applyBorder="1"/>
    <xf numFmtId="0" fontId="0" fillId="0" borderId="0" xfId="0" applyFont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3" fontId="0" fillId="0" borderId="0" xfId="0" applyNumberFormat="1" applyFont="1" applyBorder="1"/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center"/>
    </xf>
    <xf numFmtId="1" fontId="0" fillId="0" borderId="0" xfId="0" applyNumberFormat="1" applyFont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1" xfId="0" applyFont="1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0" fontId="0" fillId="0" borderId="1" xfId="0" applyFont="1" applyFill="1" applyBorder="1" applyAlignment="1">
      <alignment horizontal="center"/>
    </xf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ont="1" applyFill="1" applyBorder="1" applyAlignment="1">
      <alignment horizontal="center"/>
    </xf>
    <xf numFmtId="3" fontId="0" fillId="3" borderId="1" xfId="0" applyNumberFormat="1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4" fillId="0" borderId="0" xfId="0" applyFont="1"/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3" fontId="0" fillId="0" borderId="1" xfId="0" applyNumberFormat="1" applyFill="1" applyBorder="1"/>
    <xf numFmtId="0" fontId="0" fillId="0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L155"/>
  <sheetViews>
    <sheetView topLeftCell="A96" workbookViewId="0">
      <selection activeCell="F136" sqref="F136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ht="21" x14ac:dyDescent="0.35">
      <c r="A1" s="38" t="s">
        <v>136</v>
      </c>
    </row>
    <row r="4" spans="1:12" x14ac:dyDescent="0.25">
      <c r="D4" s="57" t="s">
        <v>3</v>
      </c>
      <c r="E4" s="57"/>
      <c r="F4" s="57" t="s">
        <v>10</v>
      </c>
      <c r="G4" s="57"/>
      <c r="H4" s="57"/>
      <c r="I4" s="57"/>
    </row>
    <row r="5" spans="1:12" x14ac:dyDescent="0.25">
      <c r="A5" s="15" t="s">
        <v>0</v>
      </c>
      <c r="B5" s="15" t="s">
        <v>118</v>
      </c>
      <c r="C5" s="15" t="s">
        <v>119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30</v>
      </c>
      <c r="B6" s="2"/>
      <c r="C6" s="2"/>
      <c r="D6" s="5">
        <v>49.5</v>
      </c>
      <c r="E6" s="5">
        <v>32.1</v>
      </c>
      <c r="F6" s="6">
        <v>89243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25.245000000000001</v>
      </c>
      <c r="E7" s="5">
        <f>C7*$E$6</f>
        <v>32.1</v>
      </c>
      <c r="F7" s="6">
        <v>91000</v>
      </c>
      <c r="G7" s="6">
        <f>F7*D7/1000</f>
        <v>2297.2950000000001</v>
      </c>
      <c r="H7" s="6">
        <f>E7*F7/1000</f>
        <v>2921.1</v>
      </c>
      <c r="I7" s="1">
        <v>-54</v>
      </c>
      <c r="J7" s="9">
        <f>100 *(F8-F7) / F7</f>
        <v>-0.74484065934066768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29.7</v>
      </c>
      <c r="E8" s="5">
        <f t="shared" ref="E8:E71" si="1">C8*$E$6</f>
        <v>32.1</v>
      </c>
      <c r="F8" s="6">
        <f>F7+G7-H7+I7</f>
        <v>90322.194999999992</v>
      </c>
      <c r="G8" s="6">
        <f t="shared" ref="G8:G71" si="2">F8*D8/1000</f>
        <v>2682.5691914999998</v>
      </c>
      <c r="H8" s="6">
        <f t="shared" ref="H8:H71" si="3">E8*F8/1000</f>
        <v>2899.3424594999997</v>
      </c>
      <c r="I8" s="1">
        <v>-145</v>
      </c>
      <c r="J8" s="9">
        <f t="shared" ref="J8:J71" si="4">100 *(F9-F8) / F8</f>
        <v>-0.40053639971879551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49.5</v>
      </c>
      <c r="E9" s="5">
        <f t="shared" si="1"/>
        <v>32.1</v>
      </c>
      <c r="F9" s="6">
        <f t="shared" ref="F9:F72" si="6">F8+G8-H8+I8</f>
        <v>89960.421732000003</v>
      </c>
      <c r="G9" s="6">
        <f t="shared" si="2"/>
        <v>4453.0408757340001</v>
      </c>
      <c r="H9" s="6">
        <f t="shared" si="3"/>
        <v>2887.7295375972003</v>
      </c>
      <c r="I9" s="1">
        <v>1450</v>
      </c>
      <c r="J9" s="9">
        <f t="shared" si="4"/>
        <v>3.3518199226763068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49.5</v>
      </c>
      <c r="E10" s="5">
        <f t="shared" si="1"/>
        <v>32.1</v>
      </c>
      <c r="F10" s="6">
        <f t="shared" si="6"/>
        <v>92975.733070136805</v>
      </c>
      <c r="G10" s="6">
        <f t="shared" si="2"/>
        <v>4602.2987869717717</v>
      </c>
      <c r="H10" s="6">
        <f t="shared" si="3"/>
        <v>2984.5210315513914</v>
      </c>
      <c r="I10" s="1">
        <v>870</v>
      </c>
      <c r="J10" s="9">
        <f t="shared" si="4"/>
        <v>2.6757280349096129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49.5</v>
      </c>
      <c r="E11" s="5">
        <f t="shared" si="1"/>
        <v>32.1</v>
      </c>
      <c r="F11" s="6">
        <f t="shared" si="6"/>
        <v>95463.510825557183</v>
      </c>
      <c r="G11" s="6">
        <f t="shared" si="2"/>
        <v>4725.4437858650808</v>
      </c>
      <c r="H11" s="6">
        <f t="shared" si="3"/>
        <v>3064.3786975003859</v>
      </c>
      <c r="I11" s="1">
        <v>580</v>
      </c>
      <c r="J11" s="9">
        <f t="shared" si="4"/>
        <v>2.3475619836147046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49.450499999999998</v>
      </c>
      <c r="E12" s="5">
        <f t="shared" si="1"/>
        <v>31.8432</v>
      </c>
      <c r="F12" s="6">
        <f t="shared" si="6"/>
        <v>97704.575913921872</v>
      </c>
      <c r="G12" s="6">
        <f t="shared" si="2"/>
        <v>4831.5401312313934</v>
      </c>
      <c r="H12" s="6">
        <f t="shared" si="3"/>
        <v>3111.226351742197</v>
      </c>
      <c r="J12" s="9">
        <f t="shared" si="4"/>
        <v>1.7607299999999988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49.351500000000001</v>
      </c>
      <c r="E13" s="5">
        <f t="shared" si="1"/>
        <v>31.490100000000002</v>
      </c>
      <c r="F13" s="6">
        <f t="shared" si="6"/>
        <v>99424.889693411067</v>
      </c>
      <c r="G13" s="6">
        <f t="shared" si="2"/>
        <v>4906.7674437043761</v>
      </c>
      <c r="H13" s="6">
        <f t="shared" si="3"/>
        <v>3130.8997189344836</v>
      </c>
      <c r="J13" s="9">
        <f t="shared" si="4"/>
        <v>1.7861400000000018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49.252499999999998</v>
      </c>
      <c r="E14" s="5">
        <f t="shared" si="1"/>
        <v>31.040700000000001</v>
      </c>
      <c r="F14" s="6">
        <f t="shared" si="6"/>
        <v>101200.75741818096</v>
      </c>
      <c r="G14" s="6">
        <f t="shared" si="2"/>
        <v>4984.3903047389576</v>
      </c>
      <c r="H14" s="6">
        <f t="shared" si="3"/>
        <v>3141.34235079053</v>
      </c>
      <c r="J14" s="9">
        <f t="shared" si="4"/>
        <v>1.8211800000000087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49.103999999999999</v>
      </c>
      <c r="E15" s="5">
        <f t="shared" si="1"/>
        <v>30.5913</v>
      </c>
      <c r="F15" s="6">
        <f t="shared" si="6"/>
        <v>103043.8053721294</v>
      </c>
      <c r="G15" s="6">
        <f t="shared" si="2"/>
        <v>5059.8630189930418</v>
      </c>
      <c r="H15" s="6">
        <f t="shared" si="3"/>
        <v>3152.2439632804221</v>
      </c>
      <c r="J15" s="9">
        <f t="shared" si="4"/>
        <v>1.8512700000000046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49.005000000000003</v>
      </c>
      <c r="E16" s="5">
        <f t="shared" si="1"/>
        <v>30.173999999999999</v>
      </c>
      <c r="F16" s="6">
        <f t="shared" si="6"/>
        <v>104951.42442784202</v>
      </c>
      <c r="G16" s="6">
        <f t="shared" si="2"/>
        <v>5143.1445540863988</v>
      </c>
      <c r="H16" s="6">
        <f t="shared" si="3"/>
        <v>3166.8042806857052</v>
      </c>
      <c r="J16" s="9">
        <f t="shared" si="4"/>
        <v>1.8830999999999887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48.856499999999997</v>
      </c>
      <c r="E17" s="5">
        <f t="shared" si="1"/>
        <v>29.756700000000002</v>
      </c>
      <c r="F17" s="6">
        <f t="shared" si="6"/>
        <v>106927.7647012427</v>
      </c>
      <c r="G17" s="6">
        <f t="shared" si="2"/>
        <v>5224.1163361262643</v>
      </c>
      <c r="H17" s="6">
        <f t="shared" si="3"/>
        <v>3181.817415885469</v>
      </c>
      <c r="J17" s="9">
        <f t="shared" si="4"/>
        <v>1.9099799999999965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48.7575</v>
      </c>
      <c r="E18" s="5">
        <f t="shared" si="1"/>
        <v>29.339400000000001</v>
      </c>
      <c r="F18" s="6">
        <f t="shared" si="6"/>
        <v>108970.0636214835</v>
      </c>
      <c r="G18" s="6">
        <f t="shared" si="2"/>
        <v>5313.1078770244821</v>
      </c>
      <c r="H18" s="6">
        <f t="shared" si="3"/>
        <v>3197.1162846161533</v>
      </c>
      <c r="J18" s="9">
        <f t="shared" si="4"/>
        <v>1.9418099999999903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48.609000000000002</v>
      </c>
      <c r="E19" s="5">
        <f t="shared" si="1"/>
        <v>28.9221</v>
      </c>
      <c r="F19" s="6">
        <f t="shared" si="6"/>
        <v>111086.05521389181</v>
      </c>
      <c r="G19" s="6">
        <f t="shared" si="2"/>
        <v>5399.7820578920673</v>
      </c>
      <c r="H19" s="6">
        <f t="shared" si="3"/>
        <v>3212.8419975017005</v>
      </c>
      <c r="J19" s="9">
        <f t="shared" si="4"/>
        <v>1.9686899999999967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48.51</v>
      </c>
      <c r="E20" s="5">
        <f t="shared" si="1"/>
        <v>28.472700000000003</v>
      </c>
      <c r="F20" s="6">
        <f t="shared" si="6"/>
        <v>113272.99527428218</v>
      </c>
      <c r="G20" s="6">
        <f t="shared" si="2"/>
        <v>5494.8730007554286</v>
      </c>
      <c r="H20" s="6">
        <f t="shared" si="3"/>
        <v>3225.1880125460548</v>
      </c>
      <c r="J20" s="9">
        <f t="shared" si="4"/>
        <v>2.0037299999999933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48.51</v>
      </c>
      <c r="E21" s="5">
        <f t="shared" si="1"/>
        <v>28.055400000000002</v>
      </c>
      <c r="F21" s="6">
        <f t="shared" si="6"/>
        <v>115542.68026249154</v>
      </c>
      <c r="G21" s="6">
        <f t="shared" si="2"/>
        <v>5604.9754195334644</v>
      </c>
      <c r="H21" s="6">
        <f t="shared" si="3"/>
        <v>3241.5961118363052</v>
      </c>
      <c r="J21" s="9">
        <f t="shared" si="4"/>
        <v>2.0454600000000034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48.411000000000001</v>
      </c>
      <c r="E22" s="5">
        <f t="shared" si="1"/>
        <v>27.702300000000001</v>
      </c>
      <c r="F22" s="6">
        <f t="shared" si="6"/>
        <v>117906.05957018871</v>
      </c>
      <c r="G22" s="6">
        <f t="shared" si="2"/>
        <v>5707.9502498524062</v>
      </c>
      <c r="H22" s="6">
        <f t="shared" si="3"/>
        <v>3266.2690340312388</v>
      </c>
      <c r="J22" s="9">
        <f t="shared" si="4"/>
        <v>2.0708700000000015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48.262499999999996</v>
      </c>
      <c r="E23" s="5">
        <f t="shared" si="1"/>
        <v>27.573900000000002</v>
      </c>
      <c r="F23" s="6">
        <f t="shared" si="6"/>
        <v>120347.74078600988</v>
      </c>
      <c r="G23" s="6">
        <f t="shared" si="2"/>
        <v>5808.2828396848008</v>
      </c>
      <c r="H23" s="6">
        <f t="shared" si="3"/>
        <v>3318.4565696593577</v>
      </c>
      <c r="J23" s="9">
        <f t="shared" si="4"/>
        <v>2.0688599999999981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48.113999999999997</v>
      </c>
      <c r="E24" s="5">
        <f t="shared" si="1"/>
        <v>27.3171</v>
      </c>
      <c r="F24" s="6">
        <f t="shared" si="6"/>
        <v>122837.56705603532</v>
      </c>
      <c r="G24" s="6">
        <f t="shared" si="2"/>
        <v>5910.2067013340829</v>
      </c>
      <c r="H24" s="6">
        <f t="shared" si="3"/>
        <v>3355.5661030264223</v>
      </c>
      <c r="J24" s="9">
        <f t="shared" si="4"/>
        <v>2.0796900000000069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47.915999999999997</v>
      </c>
      <c r="E25" s="5">
        <f t="shared" si="1"/>
        <v>26.996100000000002</v>
      </c>
      <c r="F25" s="6">
        <f t="shared" si="6"/>
        <v>125392.20765434299</v>
      </c>
      <c r="G25" s="6">
        <f t="shared" si="2"/>
        <v>6008.2930219654982</v>
      </c>
      <c r="H25" s="6">
        <f t="shared" si="3"/>
        <v>3385.1005770574093</v>
      </c>
      <c r="J25" s="9">
        <f t="shared" si="4"/>
        <v>2.0919900000000067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47.321999999999996</v>
      </c>
      <c r="E26" s="5">
        <f t="shared" si="1"/>
        <v>26.610900000000001</v>
      </c>
      <c r="F26" s="6">
        <f t="shared" si="6"/>
        <v>128015.40009925108</v>
      </c>
      <c r="G26" s="6">
        <f t="shared" si="2"/>
        <v>6057.9447634967592</v>
      </c>
      <c r="H26" s="6">
        <f t="shared" si="3"/>
        <v>3406.6050105011609</v>
      </c>
      <c r="J26" s="9">
        <f t="shared" si="4"/>
        <v>2.0711099999999991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47.569499999999998</v>
      </c>
      <c r="E27" s="5">
        <f t="shared" si="1"/>
        <v>26.2578</v>
      </c>
      <c r="F27" s="6">
        <f t="shared" si="6"/>
        <v>130666.73985224668</v>
      </c>
      <c r="G27" s="6">
        <f t="shared" si="2"/>
        <v>6215.7514814014485</v>
      </c>
      <c r="H27" s="6">
        <f t="shared" si="3"/>
        <v>3431.021121692323</v>
      </c>
      <c r="J27" s="9">
        <f t="shared" si="4"/>
        <v>2.1311699999999982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47.817</v>
      </c>
      <c r="E28" s="5">
        <f t="shared" si="1"/>
        <v>25.872600000000002</v>
      </c>
      <c r="F28" s="6">
        <f t="shared" si="6"/>
        <v>133451.47021195581</v>
      </c>
      <c r="G28" s="6">
        <f t="shared" si="2"/>
        <v>6381.2489511250906</v>
      </c>
      <c r="H28" s="6">
        <f t="shared" si="3"/>
        <v>3452.7365082058482</v>
      </c>
      <c r="J28" s="9">
        <f t="shared" si="4"/>
        <v>2.1944400000000059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47.965499999999999</v>
      </c>
      <c r="E29" s="5">
        <f t="shared" si="1"/>
        <v>25.647900000000003</v>
      </c>
      <c r="F29" s="6">
        <f t="shared" si="6"/>
        <v>136379.98265487506</v>
      </c>
      <c r="G29" s="6">
        <f t="shared" si="2"/>
        <v>6541.5340580324091</v>
      </c>
      <c r="H29" s="6">
        <f t="shared" si="3"/>
        <v>3497.8601571339705</v>
      </c>
      <c r="J29" s="9">
        <f t="shared" si="4"/>
        <v>2.2317599999999929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47.767499999999998</v>
      </c>
      <c r="E30" s="5">
        <f t="shared" si="1"/>
        <v>25.487400000000001</v>
      </c>
      <c r="F30" s="6">
        <f t="shared" si="6"/>
        <v>139423.65655577349</v>
      </c>
      <c r="G30" s="6">
        <f t="shared" si="2"/>
        <v>6659.9195145279091</v>
      </c>
      <c r="H30" s="6">
        <f t="shared" si="3"/>
        <v>3553.5465040996214</v>
      </c>
      <c r="J30" s="9">
        <f t="shared" si="4"/>
        <v>2.2280100000000096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47.767499999999998</v>
      </c>
      <c r="E31" s="5">
        <f t="shared" si="1"/>
        <v>25.551600000000004</v>
      </c>
      <c r="F31" s="6">
        <f t="shared" si="6"/>
        <v>142530.02956620179</v>
      </c>
      <c r="G31" s="6">
        <f t="shared" si="2"/>
        <v>6808.3031873035443</v>
      </c>
      <c r="H31" s="6">
        <f t="shared" si="3"/>
        <v>3641.870303463762</v>
      </c>
      <c r="J31" s="9">
        <f t="shared" si="4"/>
        <v>2.2215899999999866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47.619</v>
      </c>
      <c r="E32" s="5">
        <f t="shared" si="1"/>
        <v>25.519500000000001</v>
      </c>
      <c r="F32" s="6">
        <f t="shared" si="6"/>
        <v>145696.46245004155</v>
      </c>
      <c r="G32" s="6">
        <f t="shared" si="2"/>
        <v>6937.919845408529</v>
      </c>
      <c r="H32" s="6">
        <f t="shared" si="3"/>
        <v>3718.1008734938355</v>
      </c>
      <c r="I32" s="1">
        <v>-90</v>
      </c>
      <c r="J32" s="9">
        <f t="shared" si="4"/>
        <v>2.1481777383496192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47.321999999999996</v>
      </c>
      <c r="E33" s="5">
        <f t="shared" si="1"/>
        <v>25.294800000000002</v>
      </c>
      <c r="F33" s="6">
        <f t="shared" si="6"/>
        <v>148826.28142195626</v>
      </c>
      <c r="G33" s="6">
        <f t="shared" si="2"/>
        <v>7042.7572894498135</v>
      </c>
      <c r="H33" s="6">
        <f t="shared" si="3"/>
        <v>3764.5310233120995</v>
      </c>
      <c r="I33" s="1">
        <v>-90</v>
      </c>
      <c r="J33" s="9">
        <f t="shared" si="4"/>
        <v>2.1422468099558021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47.024999999999999</v>
      </c>
      <c r="E34" s="5">
        <f t="shared" si="1"/>
        <v>24.652800000000003</v>
      </c>
      <c r="F34" s="6">
        <f t="shared" si="6"/>
        <v>152014.50768809396</v>
      </c>
      <c r="G34" s="6">
        <f t="shared" si="2"/>
        <v>7148.4822240326184</v>
      </c>
      <c r="H34" s="6">
        <f t="shared" si="3"/>
        <v>3747.5832551330432</v>
      </c>
      <c r="I34" s="1">
        <v>-90</v>
      </c>
      <c r="J34" s="9">
        <f t="shared" si="4"/>
        <v>2.1780151245122958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46.579499999999996</v>
      </c>
      <c r="E35" s="5">
        <f t="shared" si="1"/>
        <v>23.818200000000001</v>
      </c>
      <c r="F35" s="6">
        <f t="shared" si="6"/>
        <v>155325.40665699355</v>
      </c>
      <c r="G35" s="6">
        <f t="shared" si="2"/>
        <v>7234.9797793794305</v>
      </c>
      <c r="H35" s="6">
        <f t="shared" si="3"/>
        <v>3699.5716008376044</v>
      </c>
      <c r="J35" s="9">
        <f t="shared" si="4"/>
        <v>2.2761300000000073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46.233000000000004</v>
      </c>
      <c r="E36" s="5">
        <f t="shared" si="1"/>
        <v>23.3367</v>
      </c>
      <c r="F36" s="6">
        <f t="shared" si="6"/>
        <v>158860.81483553539</v>
      </c>
      <c r="G36" s="6">
        <f t="shared" si="2"/>
        <v>7344.6120522913088</v>
      </c>
      <c r="H36" s="6">
        <f t="shared" si="3"/>
        <v>3707.2871775724388</v>
      </c>
      <c r="J36" s="9">
        <f t="shared" si="4"/>
        <v>2.2896300000000052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45.985500000000002</v>
      </c>
      <c r="E37" s="5">
        <f t="shared" si="1"/>
        <v>22.8552</v>
      </c>
      <c r="F37" s="6">
        <f t="shared" si="6"/>
        <v>162498.13971025427</v>
      </c>
      <c r="G37" s="6">
        <f t="shared" si="2"/>
        <v>7472.5582036458982</v>
      </c>
      <c r="H37" s="6">
        <f t="shared" si="3"/>
        <v>3713.9274827058034</v>
      </c>
      <c r="J37" s="9">
        <f t="shared" si="4"/>
        <v>2.3130300000000026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45.589500000000001</v>
      </c>
      <c r="E38" s="5">
        <f t="shared" si="1"/>
        <v>22.405799999999999</v>
      </c>
      <c r="F38" s="6">
        <f t="shared" si="6"/>
        <v>166256.77043119437</v>
      </c>
      <c r="G38" s="6">
        <f t="shared" si="2"/>
        <v>7579.5630355729354</v>
      </c>
      <c r="H38" s="6">
        <f t="shared" si="3"/>
        <v>3725.1159469272548</v>
      </c>
      <c r="J38" s="9">
        <f t="shared" si="4"/>
        <v>2.3183700000000016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46.183500000000002</v>
      </c>
      <c r="E39" s="5">
        <f t="shared" si="1"/>
        <v>22.3416</v>
      </c>
      <c r="F39" s="6">
        <f t="shared" si="6"/>
        <v>170111.21751984005</v>
      </c>
      <c r="G39" s="6">
        <f t="shared" si="2"/>
        <v>7856.3314143275329</v>
      </c>
      <c r="H39" s="6">
        <f t="shared" si="3"/>
        <v>3800.5567773412581</v>
      </c>
      <c r="J39" s="9">
        <f t="shared" si="4"/>
        <v>2.3841899999999905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46.628999999999998</v>
      </c>
      <c r="E40" s="5">
        <f t="shared" si="1"/>
        <v>22.373699999999999</v>
      </c>
      <c r="F40" s="6">
        <f t="shared" si="6"/>
        <v>174166.99215682631</v>
      </c>
      <c r="G40" s="6">
        <f t="shared" si="2"/>
        <v>8121.2326772806537</v>
      </c>
      <c r="H40" s="6">
        <f t="shared" si="3"/>
        <v>3896.7600324191849</v>
      </c>
      <c r="J40" s="9">
        <f t="shared" si="4"/>
        <v>2.4255299999999989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46.925999999999995</v>
      </c>
      <c r="E41" s="5">
        <f t="shared" si="1"/>
        <v>22.2774</v>
      </c>
      <c r="F41" s="6">
        <f t="shared" si="6"/>
        <v>178391.46480168778</v>
      </c>
      <c r="G41" s="6">
        <f t="shared" si="2"/>
        <v>8371.1978772839993</v>
      </c>
      <c r="H41" s="6">
        <f t="shared" si="3"/>
        <v>3974.0980179731196</v>
      </c>
      <c r="J41" s="9">
        <f t="shared" si="4"/>
        <v>2.4648599999999918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47.173499999999997</v>
      </c>
      <c r="E42" s="5">
        <f t="shared" si="1"/>
        <v>22.084799999999998</v>
      </c>
      <c r="F42" s="6">
        <f t="shared" si="6"/>
        <v>182788.56466099864</v>
      </c>
      <c r="G42" s="6">
        <f t="shared" si="2"/>
        <v>8622.7763550356194</v>
      </c>
      <c r="H42" s="6">
        <f t="shared" si="3"/>
        <v>4036.8488928252227</v>
      </c>
      <c r="J42" s="9">
        <f t="shared" si="4"/>
        <v>2.5088700000000088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47.371499999999997</v>
      </c>
      <c r="E43" s="5">
        <f t="shared" si="1"/>
        <v>21.795900000000003</v>
      </c>
      <c r="F43" s="6">
        <f t="shared" si="6"/>
        <v>187374.49212320906</v>
      </c>
      <c r="G43" s="6">
        <f t="shared" si="2"/>
        <v>8876.2107536145977</v>
      </c>
      <c r="H43" s="6">
        <f t="shared" si="3"/>
        <v>4083.9956928682527</v>
      </c>
      <c r="J43" s="9">
        <f t="shared" si="4"/>
        <v>2.5575600000000054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47.470500000000001</v>
      </c>
      <c r="E44" s="5">
        <f t="shared" si="1"/>
        <v>21.474900000000002</v>
      </c>
      <c r="F44" s="6">
        <f t="shared" si="6"/>
        <v>192166.70718395541</v>
      </c>
      <c r="G44" s="6">
        <f t="shared" si="2"/>
        <v>9122.2496733759544</v>
      </c>
      <c r="H44" s="6">
        <f t="shared" si="3"/>
        <v>4126.7608201047242</v>
      </c>
      <c r="J44" s="9">
        <f t="shared" si="4"/>
        <v>2.5995600000000021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47.519999999999996</v>
      </c>
      <c r="E45" s="5">
        <f t="shared" si="1"/>
        <v>20.993400000000001</v>
      </c>
      <c r="F45" s="6">
        <f t="shared" si="6"/>
        <v>197162.19603722665</v>
      </c>
      <c r="G45" s="6">
        <f t="shared" si="2"/>
        <v>9369.1475556890091</v>
      </c>
      <c r="H45" s="6">
        <f t="shared" si="3"/>
        <v>4139.1048462879144</v>
      </c>
      <c r="J45" s="9">
        <f t="shared" si="4"/>
        <v>2.652659999999992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47.668500000000002</v>
      </c>
      <c r="E46" s="5">
        <f t="shared" si="1"/>
        <v>20.0625</v>
      </c>
      <c r="F46" s="6">
        <f t="shared" si="6"/>
        <v>202392.23874662773</v>
      </c>
      <c r="G46" s="6">
        <f t="shared" si="2"/>
        <v>9647.7344326936254</v>
      </c>
      <c r="H46" s="6">
        <f t="shared" si="3"/>
        <v>4060.4942898542186</v>
      </c>
      <c r="J46" s="9">
        <f t="shared" si="4"/>
        <v>2.7606000000000015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47.767499999999998</v>
      </c>
      <c r="E47" s="5">
        <f t="shared" si="1"/>
        <v>18.9069</v>
      </c>
      <c r="F47" s="6">
        <f t="shared" si="6"/>
        <v>207979.47888946714</v>
      </c>
      <c r="G47" s="6">
        <f t="shared" si="2"/>
        <v>9934.6597578526216</v>
      </c>
      <c r="H47" s="6">
        <f t="shared" si="3"/>
        <v>3932.2472094152663</v>
      </c>
      <c r="J47" s="9">
        <f t="shared" si="4"/>
        <v>2.8860599999999907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48.015000000000001</v>
      </c>
      <c r="E48" s="5">
        <f t="shared" si="1"/>
        <v>17.879700000000003</v>
      </c>
      <c r="F48" s="6">
        <f t="shared" si="6"/>
        <v>213981.89143790447</v>
      </c>
      <c r="G48" s="6">
        <f t="shared" si="2"/>
        <v>10274.340517390983</v>
      </c>
      <c r="H48" s="6">
        <f t="shared" si="3"/>
        <v>3825.9320243423012</v>
      </c>
      <c r="J48" s="9">
        <f t="shared" si="4"/>
        <v>3.0135300000000016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47.965499999999999</v>
      </c>
      <c r="E49" s="5">
        <f t="shared" si="1"/>
        <v>16.948800000000002</v>
      </c>
      <c r="F49" s="6">
        <f t="shared" si="6"/>
        <v>220430.29993095316</v>
      </c>
      <c r="G49" s="6">
        <f t="shared" si="2"/>
        <v>10573.049551338134</v>
      </c>
      <c r="H49" s="6">
        <f t="shared" si="3"/>
        <v>3736.0290674697394</v>
      </c>
      <c r="J49" s="9">
        <f t="shared" si="4"/>
        <v>3.1016700000000026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47.668500000000002</v>
      </c>
      <c r="E50" s="5">
        <f t="shared" si="1"/>
        <v>16.692</v>
      </c>
      <c r="F50" s="6">
        <f t="shared" si="6"/>
        <v>227267.32041482156</v>
      </c>
      <c r="G50" s="6">
        <f t="shared" si="2"/>
        <v>10833.492263193923</v>
      </c>
      <c r="H50" s="6">
        <f t="shared" si="3"/>
        <v>3793.5461123642012</v>
      </c>
      <c r="J50" s="9">
        <f t="shared" si="4"/>
        <v>3.097650000000002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47.668500000000002</v>
      </c>
      <c r="E51" s="5">
        <f t="shared" si="1"/>
        <v>16.242599999999999</v>
      </c>
      <c r="F51" s="6">
        <f t="shared" si="6"/>
        <v>234307.26656565128</v>
      </c>
      <c r="G51" s="6">
        <f t="shared" si="2"/>
        <v>11169.075936284749</v>
      </c>
      <c r="H51" s="6">
        <f t="shared" si="3"/>
        <v>3805.7592079192473</v>
      </c>
      <c r="J51" s="9">
        <f t="shared" si="4"/>
        <v>3.1425900000000082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47.817</v>
      </c>
      <c r="E52" s="5">
        <f t="shared" si="1"/>
        <v>16.1142</v>
      </c>
      <c r="F52" s="6">
        <f t="shared" si="6"/>
        <v>241670.5832940168</v>
      </c>
      <c r="G52" s="6">
        <f t="shared" si="2"/>
        <v>11555.962281370001</v>
      </c>
      <c r="H52" s="6">
        <f t="shared" si="3"/>
        <v>3894.3281133164455</v>
      </c>
      <c r="J52" s="9">
        <f t="shared" si="4"/>
        <v>3.1702800000000058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47.866500000000002</v>
      </c>
      <c r="E53" s="5">
        <f t="shared" si="1"/>
        <v>15.8253</v>
      </c>
      <c r="F53" s="6">
        <f t="shared" si="6"/>
        <v>249332.21746207037</v>
      </c>
      <c r="G53" s="6">
        <f t="shared" si="2"/>
        <v>11934.660587148192</v>
      </c>
      <c r="H53" s="6">
        <f t="shared" si="3"/>
        <v>3945.7571410025021</v>
      </c>
      <c r="J53" s="9">
        <f t="shared" si="4"/>
        <v>3.2041199999999948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48.311999999999998</v>
      </c>
      <c r="E54" s="5">
        <f t="shared" si="1"/>
        <v>15.183299999999999</v>
      </c>
      <c r="F54" s="6">
        <f t="shared" si="6"/>
        <v>257321.12090821605</v>
      </c>
      <c r="G54" s="6">
        <f t="shared" si="2"/>
        <v>12431.697993317732</v>
      </c>
      <c r="H54" s="6">
        <f t="shared" si="3"/>
        <v>3906.9837750857164</v>
      </c>
      <c r="J54" s="9">
        <f t="shared" si="4"/>
        <v>3.3128700000000029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48.163499999999999</v>
      </c>
      <c r="E55" s="5">
        <f t="shared" si="1"/>
        <v>14.1561</v>
      </c>
      <c r="F55" s="6">
        <f t="shared" si="6"/>
        <v>265845.83512644807</v>
      </c>
      <c r="G55" s="6">
        <f t="shared" si="2"/>
        <v>12804.065880112681</v>
      </c>
      <c r="H55" s="6">
        <f t="shared" si="3"/>
        <v>3763.3402266335115</v>
      </c>
      <c r="J55" s="9">
        <f t="shared" si="4"/>
        <v>3.4007399999999985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48.609000000000002</v>
      </c>
      <c r="E56" s="5">
        <f t="shared" si="1"/>
        <v>13.514100000000001</v>
      </c>
      <c r="F56" s="6">
        <f t="shared" si="6"/>
        <v>274886.56077992724</v>
      </c>
      <c r="G56" s="6">
        <f t="shared" si="2"/>
        <v>13361.960832951485</v>
      </c>
      <c r="H56" s="6">
        <f t="shared" si="3"/>
        <v>3714.844471036015</v>
      </c>
      <c r="J56" s="9">
        <f t="shared" si="4"/>
        <v>3.5094900000000053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49.005000000000003</v>
      </c>
      <c r="E57" s="5">
        <f t="shared" si="1"/>
        <v>12.775800000000002</v>
      </c>
      <c r="F57" s="6">
        <f t="shared" si="6"/>
        <v>284533.67714184272</v>
      </c>
      <c r="G57" s="6">
        <f t="shared" si="2"/>
        <v>13943.572848336004</v>
      </c>
      <c r="H57" s="6">
        <f t="shared" si="3"/>
        <v>3635.1453524287549</v>
      </c>
      <c r="J57" s="9">
        <f t="shared" si="4"/>
        <v>3.6229199999999953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49.252499999999998</v>
      </c>
      <c r="E58" s="5">
        <f t="shared" si="1"/>
        <v>12.454800000000001</v>
      </c>
      <c r="F58" s="6">
        <f t="shared" si="6"/>
        <v>294842.10463774996</v>
      </c>
      <c r="G58" s="6">
        <f t="shared" si="2"/>
        <v>14521.710758670779</v>
      </c>
      <c r="H58" s="6">
        <f t="shared" si="3"/>
        <v>3672.1994448422483</v>
      </c>
      <c r="J58" s="9">
        <f t="shared" si="4"/>
        <v>3.6797699999999973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49.549499999999995</v>
      </c>
      <c r="E59" s="5">
        <f t="shared" si="1"/>
        <v>12.0054</v>
      </c>
      <c r="F59" s="6">
        <f t="shared" si="6"/>
        <v>305691.61595157848</v>
      </c>
      <c r="G59" s="6">
        <f t="shared" si="2"/>
        <v>15146.866724592735</v>
      </c>
      <c r="H59" s="6">
        <f t="shared" si="3"/>
        <v>3669.95012614508</v>
      </c>
      <c r="J59" s="9">
        <f t="shared" si="4"/>
        <v>3.7544099999999996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49.5</v>
      </c>
      <c r="E60" s="5">
        <f t="shared" si="1"/>
        <v>11.844900000000001</v>
      </c>
      <c r="F60" s="6">
        <f t="shared" si="6"/>
        <v>317168.53255002614</v>
      </c>
      <c r="G60" s="6">
        <f t="shared" si="2"/>
        <v>15699.842361226294</v>
      </c>
      <c r="H60" s="6">
        <f t="shared" si="3"/>
        <v>3756.8295512018049</v>
      </c>
      <c r="J60" s="9">
        <f t="shared" si="4"/>
        <v>3.7655100000000004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49.302</v>
      </c>
      <c r="E61" s="5">
        <f t="shared" si="1"/>
        <v>11.3955</v>
      </c>
      <c r="F61" s="6">
        <f t="shared" si="6"/>
        <v>329111.54536005063</v>
      </c>
      <c r="G61" s="6">
        <f t="shared" si="2"/>
        <v>16225.857409341215</v>
      </c>
      <c r="H61" s="6">
        <f t="shared" si="3"/>
        <v>3750.3906151504566</v>
      </c>
      <c r="J61" s="9">
        <f t="shared" si="4"/>
        <v>3.7906499999999985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49.054499999999997</v>
      </c>
      <c r="E62" s="5">
        <f t="shared" si="1"/>
        <v>11.1066</v>
      </c>
      <c r="F62" s="6">
        <f t="shared" si="6"/>
        <v>341587.01215424138</v>
      </c>
      <c r="G62" s="6">
        <f t="shared" si="2"/>
        <v>16756.380087720234</v>
      </c>
      <c r="H62" s="6">
        <f t="shared" si="3"/>
        <v>3793.8703091922976</v>
      </c>
      <c r="J62" s="9">
        <f t="shared" si="4"/>
        <v>3.7947900000000039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48.955500000000001</v>
      </c>
      <c r="E63" s="5">
        <f t="shared" si="1"/>
        <v>10.593000000000002</v>
      </c>
      <c r="F63" s="6">
        <f t="shared" si="6"/>
        <v>354549.52193276933</v>
      </c>
      <c r="G63" s="6">
        <f t="shared" si="2"/>
        <v>17357.149120979688</v>
      </c>
      <c r="H63" s="6">
        <f t="shared" si="3"/>
        <v>3755.7430858338262</v>
      </c>
      <c r="J63" s="9">
        <f t="shared" si="4"/>
        <v>3.8362499999999993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48.807000000000002</v>
      </c>
      <c r="E64" s="5">
        <f t="shared" si="1"/>
        <v>10.272</v>
      </c>
      <c r="F64" s="6">
        <f t="shared" si="6"/>
        <v>368150.9279679152</v>
      </c>
      <c r="G64" s="6">
        <f t="shared" si="2"/>
        <v>17968.342341330037</v>
      </c>
      <c r="H64" s="6">
        <f t="shared" si="3"/>
        <v>3781.646332086425</v>
      </c>
      <c r="J64" s="9">
        <f t="shared" si="4"/>
        <v>3.8534999999999981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48.707999999999998</v>
      </c>
      <c r="E65" s="5">
        <f t="shared" si="1"/>
        <v>10.0473</v>
      </c>
      <c r="F65" s="6">
        <f t="shared" si="6"/>
        <v>382337.6239771588</v>
      </c>
      <c r="G65" s="6">
        <f t="shared" si="2"/>
        <v>18622.900988679448</v>
      </c>
      <c r="H65" s="6">
        <f t="shared" si="3"/>
        <v>3841.4608093857078</v>
      </c>
      <c r="J65" s="9">
        <f t="shared" si="4"/>
        <v>3.8660699999999997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48.707999999999998</v>
      </c>
      <c r="E66" s="5">
        <f t="shared" si="1"/>
        <v>9.7584</v>
      </c>
      <c r="F66" s="6">
        <f t="shared" si="6"/>
        <v>397119.06415645254</v>
      </c>
      <c r="G66" s="6">
        <f t="shared" si="2"/>
        <v>19342.87537693249</v>
      </c>
      <c r="H66" s="6">
        <f t="shared" si="3"/>
        <v>3875.2466756643266</v>
      </c>
      <c r="J66" s="9">
        <f t="shared" si="4"/>
        <v>3.894960000000002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48.361499999999999</v>
      </c>
      <c r="E67" s="5">
        <f t="shared" si="1"/>
        <v>9.5978999999999992</v>
      </c>
      <c r="F67" s="6">
        <f t="shared" si="6"/>
        <v>412586.69285772071</v>
      </c>
      <c r="G67" s="6">
        <f t="shared" si="2"/>
        <v>19953.31134663866</v>
      </c>
      <c r="H67" s="6">
        <f t="shared" si="3"/>
        <v>3959.9658193791174</v>
      </c>
      <c r="J67" s="9">
        <f t="shared" si="4"/>
        <v>3.8763599999999938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48.163499999999999</v>
      </c>
      <c r="E68" s="5">
        <f t="shared" si="1"/>
        <v>9.4053000000000004</v>
      </c>
      <c r="F68" s="6">
        <f t="shared" si="6"/>
        <v>428580.03838498023</v>
      </c>
      <c r="G68" s="6">
        <f t="shared" si="2"/>
        <v>20641.914678754998</v>
      </c>
      <c r="H68" s="6">
        <f t="shared" si="3"/>
        <v>4030.9238350222549</v>
      </c>
      <c r="J68" s="9">
        <f t="shared" si="4"/>
        <v>3.8758199999999965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47.569499999999998</v>
      </c>
      <c r="E69" s="5">
        <f t="shared" si="1"/>
        <v>9.4053000000000004</v>
      </c>
      <c r="F69" s="6">
        <f t="shared" si="6"/>
        <v>445191.02922871296</v>
      </c>
      <c r="G69" s="6">
        <f t="shared" si="2"/>
        <v>21177.514664895258</v>
      </c>
      <c r="H69" s="6">
        <f t="shared" si="3"/>
        <v>4187.155187204814</v>
      </c>
      <c r="J69" s="9">
        <f t="shared" si="4"/>
        <v>3.8164199999999942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47.123999999999995</v>
      </c>
      <c r="E70" s="5">
        <f t="shared" si="1"/>
        <v>9.3732000000000006</v>
      </c>
      <c r="F70" s="6">
        <f t="shared" si="6"/>
        <v>462181.38870640338</v>
      </c>
      <c r="G70" s="6">
        <f t="shared" si="2"/>
        <v>21779.835761400551</v>
      </c>
      <c r="H70" s="6">
        <f t="shared" si="3"/>
        <v>4332.11859262286</v>
      </c>
      <c r="J70" s="9">
        <f t="shared" si="4"/>
        <v>3.7750800000000049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47.222999999999999</v>
      </c>
      <c r="E71" s="5">
        <f t="shared" si="1"/>
        <v>9.2768999999999995</v>
      </c>
      <c r="F71" s="6">
        <f t="shared" si="6"/>
        <v>479629.10587518109</v>
      </c>
      <c r="G71" s="6">
        <f t="shared" si="2"/>
        <v>22649.525266743676</v>
      </c>
      <c r="H71" s="6">
        <f t="shared" si="3"/>
        <v>4449.4712522934678</v>
      </c>
      <c r="J71" s="9">
        <f t="shared" si="4"/>
        <v>3.7946100000000045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47.0745</v>
      </c>
      <c r="E72" s="5">
        <f t="shared" ref="E72:E121" si="8">C72*$E$6</f>
        <v>9.1163999999999987</v>
      </c>
      <c r="F72" s="6">
        <f t="shared" si="6"/>
        <v>497829.15988963132</v>
      </c>
      <c r="G72" s="6">
        <f t="shared" ref="G72:G121" si="9">F72*D72/1000</f>
        <v>23435.05878722445</v>
      </c>
      <c r="H72" s="6">
        <f t="shared" ref="H72:H121" si="10">E72*F72/1000</f>
        <v>4538.4097532178339</v>
      </c>
      <c r="J72" s="9">
        <f t="shared" ref="J72:J121" si="11">100 *(F73-F72) / F72</f>
        <v>3.7958100000000048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46.8765</v>
      </c>
      <c r="E73" s="5">
        <f t="shared" si="8"/>
        <v>8.7954000000000008</v>
      </c>
      <c r="F73" s="6">
        <f t="shared" ref="F73:F122" si="13">F72+G72-H72+I72</f>
        <v>516725.80892363796</v>
      </c>
      <c r="G73" s="6">
        <f t="shared" si="9"/>
        <v>24222.297382008914</v>
      </c>
      <c r="H73" s="6">
        <f t="shared" si="10"/>
        <v>4544.8101798069656</v>
      </c>
      <c r="J73" s="9">
        <f t="shared" si="11"/>
        <v>3.8081099999999815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46.529999999999994</v>
      </c>
      <c r="E74" s="5">
        <f t="shared" si="8"/>
        <v>8.2176000000000009</v>
      </c>
      <c r="F74" s="6">
        <f t="shared" si="13"/>
        <v>536403.29612583981</v>
      </c>
      <c r="G74" s="6">
        <f t="shared" si="9"/>
        <v>24958.845368735325</v>
      </c>
      <c r="H74" s="6">
        <f t="shared" si="10"/>
        <v>4407.9477262437022</v>
      </c>
      <c r="J74" s="9">
        <f t="shared" si="11"/>
        <v>3.8312399999999989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45.886500000000005</v>
      </c>
      <c r="E75" s="5">
        <f t="shared" si="8"/>
        <v>7.8003</v>
      </c>
      <c r="F75" s="6">
        <f t="shared" si="13"/>
        <v>556954.19376833143</v>
      </c>
      <c r="G75" s="6">
        <f t="shared" si="9"/>
        <v>25556.678612350541</v>
      </c>
      <c r="H75" s="6">
        <f t="shared" si="10"/>
        <v>4344.4097976511157</v>
      </c>
      <c r="J75" s="9">
        <f t="shared" si="11"/>
        <v>3.808619999999991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44.9955</v>
      </c>
      <c r="E76" s="5">
        <f t="shared" si="8"/>
        <v>7.4472000000000005</v>
      </c>
      <c r="F76" s="6">
        <f t="shared" si="13"/>
        <v>578166.46258303081</v>
      </c>
      <c r="G76" s="6">
        <f t="shared" si="9"/>
        <v>26014.88906715476</v>
      </c>
      <c r="H76" s="6">
        <f t="shared" si="10"/>
        <v>4305.7212801483465</v>
      </c>
      <c r="J76" s="9">
        <f t="shared" si="11"/>
        <v>3.7548299999999899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43.906500000000001</v>
      </c>
      <c r="E77" s="5">
        <f t="shared" si="8"/>
        <v>7.2225000000000001</v>
      </c>
      <c r="F77" s="6">
        <f t="shared" si="13"/>
        <v>599875.63037003716</v>
      </c>
      <c r="G77" s="6">
        <f t="shared" si="9"/>
        <v>26338.439364842037</v>
      </c>
      <c r="H77" s="6">
        <f t="shared" si="10"/>
        <v>4332.6017403475935</v>
      </c>
      <c r="J77" s="9">
        <f t="shared" si="11"/>
        <v>3.6684000000000014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42.966000000000001</v>
      </c>
      <c r="E78" s="5">
        <f t="shared" si="8"/>
        <v>6.9015000000000004</v>
      </c>
      <c r="F78" s="6">
        <f t="shared" si="13"/>
        <v>621881.46799453162</v>
      </c>
      <c r="G78" s="6">
        <f t="shared" si="9"/>
        <v>26719.759153853047</v>
      </c>
      <c r="H78" s="6">
        <f t="shared" si="10"/>
        <v>4291.9149513642606</v>
      </c>
      <c r="J78" s="9">
        <f t="shared" si="11"/>
        <v>3.6064499999999988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41.481000000000002</v>
      </c>
      <c r="E79" s="5">
        <f t="shared" si="8"/>
        <v>6.6768000000000001</v>
      </c>
      <c r="F79" s="6">
        <f t="shared" si="13"/>
        <v>644309.31219702039</v>
      </c>
      <c r="G79" s="6">
        <f t="shared" si="9"/>
        <v>26726.594579244604</v>
      </c>
      <c r="H79" s="6">
        <f t="shared" si="10"/>
        <v>4301.9244156770656</v>
      </c>
      <c r="J79" s="9">
        <f t="shared" si="11"/>
        <v>3.4804199999999983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40.095000000000006</v>
      </c>
      <c r="E80" s="5">
        <f t="shared" si="8"/>
        <v>6.5163000000000011</v>
      </c>
      <c r="F80" s="6">
        <f t="shared" si="13"/>
        <v>666733.98236058792</v>
      </c>
      <c r="G80" s="6">
        <f t="shared" si="9"/>
        <v>26732.699022747776</v>
      </c>
      <c r="H80" s="6">
        <f t="shared" si="10"/>
        <v>4344.6386492563006</v>
      </c>
      <c r="J80" s="9">
        <f t="shared" si="11"/>
        <v>3.3578700000000028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38.659500000000001</v>
      </c>
      <c r="E81" s="5">
        <f t="shared" si="8"/>
        <v>6.2595000000000001</v>
      </c>
      <c r="F81" s="6">
        <f t="shared" si="13"/>
        <v>689122.04273407941</v>
      </c>
      <c r="G81" s="6">
        <f t="shared" si="9"/>
        <v>26641.113611078144</v>
      </c>
      <c r="H81" s="6">
        <f t="shared" si="10"/>
        <v>4313.55942649397</v>
      </c>
      <c r="J81" s="9">
        <f t="shared" si="11"/>
        <v>3.2400000000000011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38.0655</v>
      </c>
      <c r="E82" s="5">
        <f t="shared" si="8"/>
        <v>5.9385000000000003</v>
      </c>
      <c r="F82" s="6">
        <f t="shared" si="13"/>
        <v>711449.59691866359</v>
      </c>
      <c r="G82" s="6">
        <f t="shared" si="9"/>
        <v>27081.684631507389</v>
      </c>
      <c r="H82" s="6">
        <f t="shared" si="10"/>
        <v>4224.9434313014835</v>
      </c>
      <c r="J82" s="9">
        <f t="shared" si="11"/>
        <v>3.212699999999995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37.669499999999999</v>
      </c>
      <c r="E83" s="5">
        <f t="shared" si="8"/>
        <v>5.7780000000000005</v>
      </c>
      <c r="F83" s="6">
        <f t="shared" si="13"/>
        <v>734306.33811886946</v>
      </c>
      <c r="G83" s="6">
        <f t="shared" si="9"/>
        <v>27660.95260376875</v>
      </c>
      <c r="H83" s="6">
        <f t="shared" si="10"/>
        <v>4242.822021650828</v>
      </c>
      <c r="J83" s="9">
        <f t="shared" si="11"/>
        <v>3.1891500000000019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37.521000000000001</v>
      </c>
      <c r="E84" s="5">
        <f t="shared" si="8"/>
        <v>5.6495999999999995</v>
      </c>
      <c r="F84" s="6">
        <f t="shared" si="13"/>
        <v>757724.4687009874</v>
      </c>
      <c r="G84" s="6">
        <f t="shared" si="9"/>
        <v>28430.579790129748</v>
      </c>
      <c r="H84" s="6">
        <f t="shared" si="10"/>
        <v>4280.8401583730974</v>
      </c>
      <c r="J84" s="9">
        <f t="shared" si="11"/>
        <v>3.1871400000000034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37.421999999999997</v>
      </c>
      <c r="E85" s="5">
        <f t="shared" si="8"/>
        <v>5.4891000000000005</v>
      </c>
      <c r="F85" s="6">
        <f t="shared" si="13"/>
        <v>781874.20833274408</v>
      </c>
      <c r="G85" s="6">
        <f t="shared" si="9"/>
        <v>29259.296624227944</v>
      </c>
      <c r="H85" s="6">
        <f t="shared" si="10"/>
        <v>4291.7857169592662</v>
      </c>
      <c r="J85" s="9">
        <f t="shared" si="11"/>
        <v>3.1932899999999917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37.669499999999999</v>
      </c>
      <c r="E86" s="5">
        <f t="shared" si="8"/>
        <v>5.3286000000000007</v>
      </c>
      <c r="F86" s="6">
        <f t="shared" si="13"/>
        <v>806841.7192400127</v>
      </c>
      <c r="G86" s="6">
        <f t="shared" si="9"/>
        <v>30393.324142911657</v>
      </c>
      <c r="H86" s="6">
        <f t="shared" si="10"/>
        <v>4299.3367851423327</v>
      </c>
      <c r="J86" s="9">
        <f t="shared" si="11"/>
        <v>3.2340900000000086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37.372500000000002</v>
      </c>
      <c r="E87" s="5">
        <f t="shared" si="8"/>
        <v>5.2323000000000004</v>
      </c>
      <c r="F87" s="6">
        <f t="shared" si="13"/>
        <v>832935.70659778209</v>
      </c>
      <c r="G87" s="6">
        <f t="shared" si="9"/>
        <v>31128.889694825612</v>
      </c>
      <c r="H87" s="6">
        <f t="shared" si="10"/>
        <v>4358.1694976315757</v>
      </c>
      <c r="J87" s="9">
        <f t="shared" si="11"/>
        <v>3.2140199999999983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36.778500000000001</v>
      </c>
      <c r="E88" s="5">
        <f t="shared" si="8"/>
        <v>5.1360000000000001</v>
      </c>
      <c r="F88" s="6">
        <f t="shared" si="13"/>
        <v>859706.42679497611</v>
      </c>
      <c r="G88" s="6">
        <f t="shared" si="9"/>
        <v>31618.71281787903</v>
      </c>
      <c r="H88" s="6">
        <f t="shared" si="10"/>
        <v>4415.4522080189981</v>
      </c>
      <c r="J88" s="9">
        <f t="shared" si="11"/>
        <v>3.164250000000004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35.936999999999998</v>
      </c>
      <c r="E89" s="5">
        <f t="shared" si="8"/>
        <v>5.1039000000000003</v>
      </c>
      <c r="F89" s="6">
        <f t="shared" si="13"/>
        <v>886909.68740483618</v>
      </c>
      <c r="G89" s="6">
        <f t="shared" si="9"/>
        <v>31872.873436267597</v>
      </c>
      <c r="H89" s="6">
        <f t="shared" si="10"/>
        <v>4526.6983535455438</v>
      </c>
      <c r="J89" s="9">
        <f t="shared" si="11"/>
        <v>3.0833100000000049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34.897500000000001</v>
      </c>
      <c r="E90" s="5">
        <f t="shared" si="8"/>
        <v>5.1360000000000001</v>
      </c>
      <c r="F90" s="6">
        <f t="shared" si="13"/>
        <v>914255.86248755828</v>
      </c>
      <c r="G90" s="6">
        <f t="shared" si="9"/>
        <v>31905.243961159566</v>
      </c>
      <c r="H90" s="6">
        <f t="shared" si="10"/>
        <v>4695.6181097360995</v>
      </c>
      <c r="J90" s="9">
        <f t="shared" si="11"/>
        <v>2.9761500000000014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33.412500000000001</v>
      </c>
      <c r="E91" s="5">
        <f t="shared" si="8"/>
        <v>5.1681000000000008</v>
      </c>
      <c r="F91" s="6">
        <f t="shared" si="13"/>
        <v>941465.48833898176</v>
      </c>
      <c r="G91" s="6">
        <f t="shared" si="9"/>
        <v>31456.715629126229</v>
      </c>
      <c r="H91" s="6">
        <f t="shared" si="10"/>
        <v>4865.5877902846923</v>
      </c>
      <c r="J91" s="9">
        <f t="shared" si="11"/>
        <v>2.8244399999999987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32.076000000000001</v>
      </c>
      <c r="E92" s="5">
        <f t="shared" si="8"/>
        <v>5.2323000000000004</v>
      </c>
      <c r="F92" s="6">
        <f t="shared" si="13"/>
        <v>968056.61617782328</v>
      </c>
      <c r="G92" s="6">
        <f t="shared" si="9"/>
        <v>31051.384020519861</v>
      </c>
      <c r="H92" s="6">
        <f t="shared" si="10"/>
        <v>5065.162632827225</v>
      </c>
      <c r="J92" s="9">
        <f t="shared" si="11"/>
        <v>2.6843700000000097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30.591000000000001</v>
      </c>
      <c r="E93" s="5">
        <f t="shared" si="8"/>
        <v>5.2323000000000004</v>
      </c>
      <c r="F93" s="6">
        <f t="shared" si="13"/>
        <v>994042.83756551601</v>
      </c>
      <c r="G93" s="6">
        <f t="shared" si="9"/>
        <v>30408.764443966702</v>
      </c>
      <c r="H93" s="6">
        <f t="shared" si="10"/>
        <v>5201.1303389940495</v>
      </c>
      <c r="J93" s="9">
        <f t="shared" si="11"/>
        <v>2.5358699999999939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29.402999999999999</v>
      </c>
      <c r="E94" s="5">
        <f t="shared" si="8"/>
        <v>5.2002000000000006</v>
      </c>
      <c r="F94" s="6">
        <f t="shared" si="13"/>
        <v>1019250.4716704886</v>
      </c>
      <c r="G94" s="6">
        <f t="shared" si="9"/>
        <v>29969.021618527375</v>
      </c>
      <c r="H94" s="6">
        <f t="shared" si="10"/>
        <v>5300.3063027808748</v>
      </c>
      <c r="J94" s="9">
        <f t="shared" si="11"/>
        <v>2.4202799999999991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28.165499999999998</v>
      </c>
      <c r="E95" s="5">
        <f t="shared" si="8"/>
        <v>5.1681000000000008</v>
      </c>
      <c r="F95" s="6">
        <f t="shared" si="13"/>
        <v>1043919.1869862351</v>
      </c>
      <c r="G95" s="6">
        <f t="shared" si="9"/>
        <v>29402.505861060803</v>
      </c>
      <c r="H95" s="6">
        <f t="shared" si="10"/>
        <v>5395.0787502635621</v>
      </c>
      <c r="J95" s="9">
        <f t="shared" si="11"/>
        <v>2.2997399999999906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27.571500000000004</v>
      </c>
      <c r="E96" s="5">
        <f t="shared" si="8"/>
        <v>5.0718000000000005</v>
      </c>
      <c r="F96" s="6">
        <f t="shared" si="13"/>
        <v>1067926.6140970322</v>
      </c>
      <c r="G96" s="6">
        <f t="shared" si="9"/>
        <v>29444.33864057633</v>
      </c>
      <c r="H96" s="6">
        <f t="shared" si="10"/>
        <v>5416.3102013773287</v>
      </c>
      <c r="J96" s="9">
        <f t="shared" si="11"/>
        <v>2.2499699999999865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27.076500000000003</v>
      </c>
      <c r="E97" s="5">
        <f t="shared" si="8"/>
        <v>5.0076000000000001</v>
      </c>
      <c r="F97" s="6">
        <f t="shared" si="13"/>
        <v>1091954.6425362311</v>
      </c>
      <c r="G97" s="6">
        <f t="shared" si="9"/>
        <v>29566.309878632263</v>
      </c>
      <c r="H97" s="6">
        <f t="shared" si="10"/>
        <v>5468.072067964431</v>
      </c>
      <c r="J97" s="9">
        <f t="shared" si="11"/>
        <v>2.2068900000000005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26.977500000000003</v>
      </c>
      <c r="E98" s="5">
        <f t="shared" si="8"/>
        <v>4.9755000000000003</v>
      </c>
      <c r="F98" s="6">
        <f t="shared" si="13"/>
        <v>1116052.8803468989</v>
      </c>
      <c r="G98" s="6">
        <f t="shared" si="9"/>
        <v>30108.316579558468</v>
      </c>
      <c r="H98" s="6">
        <f t="shared" si="10"/>
        <v>5552.9211061659962</v>
      </c>
      <c r="J98" s="9">
        <f t="shared" si="11"/>
        <v>2.2001999999999979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26.433</v>
      </c>
      <c r="E99" s="5">
        <f t="shared" si="8"/>
        <v>4.9434000000000005</v>
      </c>
      <c r="F99" s="6">
        <f t="shared" si="13"/>
        <v>1140608.2758202914</v>
      </c>
      <c r="G99" s="6">
        <f t="shared" si="9"/>
        <v>30149.698554757764</v>
      </c>
      <c r="H99" s="6">
        <f t="shared" si="10"/>
        <v>5638.4829506900296</v>
      </c>
      <c r="J99" s="9">
        <f t="shared" si="11"/>
        <v>2.1489600000000042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25.938000000000002</v>
      </c>
      <c r="E100" s="5">
        <f t="shared" si="8"/>
        <v>4.9112999999999998</v>
      </c>
      <c r="F100" s="6">
        <f t="shared" si="13"/>
        <v>1165119.4914243591</v>
      </c>
      <c r="G100" s="6">
        <f t="shared" si="9"/>
        <v>30220.869368565029</v>
      </c>
      <c r="H100" s="6">
        <f t="shared" si="10"/>
        <v>5722.2513582324545</v>
      </c>
      <c r="J100" s="9">
        <f t="shared" si="11"/>
        <v>2.1026700000000003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25.3935</v>
      </c>
      <c r="E101" s="5">
        <f t="shared" si="8"/>
        <v>4.8792</v>
      </c>
      <c r="F101" s="6">
        <f t="shared" si="13"/>
        <v>1189618.1094346917</v>
      </c>
      <c r="G101" s="6">
        <f t="shared" si="9"/>
        <v>30208.567461929844</v>
      </c>
      <c r="H101" s="6">
        <f t="shared" si="10"/>
        <v>5804.3846795537484</v>
      </c>
      <c r="J101" s="9">
        <f t="shared" si="11"/>
        <v>2.0514299999999879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24.948</v>
      </c>
      <c r="E102" s="5">
        <f t="shared" si="8"/>
        <v>4.8792</v>
      </c>
      <c r="F102" s="6">
        <f t="shared" si="13"/>
        <v>1214022.2922170677</v>
      </c>
      <c r="G102" s="6">
        <f t="shared" si="9"/>
        <v>30287.428146231407</v>
      </c>
      <c r="H102" s="6">
        <f t="shared" si="10"/>
        <v>5923.4575681855167</v>
      </c>
      <c r="J102" s="9">
        <f t="shared" si="11"/>
        <v>2.0068800000000135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24.452999999999999</v>
      </c>
      <c r="E103" s="5">
        <f t="shared" si="8"/>
        <v>4.8792</v>
      </c>
      <c r="F103" s="6">
        <f t="shared" si="13"/>
        <v>1238386.2627951137</v>
      </c>
      <c r="G103" s="6">
        <f t="shared" si="9"/>
        <v>30282.259284128915</v>
      </c>
      <c r="H103" s="6">
        <f t="shared" si="10"/>
        <v>6042.3342534299181</v>
      </c>
      <c r="J103" s="9">
        <f t="shared" si="11"/>
        <v>1.9573800000000001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24.0075</v>
      </c>
      <c r="E104" s="5">
        <f t="shared" si="8"/>
        <v>4.9112999999999998</v>
      </c>
      <c r="F104" s="6">
        <f t="shared" si="13"/>
        <v>1262626.1878258127</v>
      </c>
      <c r="G104" s="6">
        <f t="shared" si="9"/>
        <v>30312.498204228199</v>
      </c>
      <c r="H104" s="6">
        <f t="shared" si="10"/>
        <v>6201.1359962689139</v>
      </c>
      <c r="J104" s="9">
        <f t="shared" si="11"/>
        <v>1.9096200000000096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23.611499999999999</v>
      </c>
      <c r="E105" s="5">
        <f t="shared" si="8"/>
        <v>4.9434000000000005</v>
      </c>
      <c r="F105" s="6">
        <f t="shared" si="13"/>
        <v>1286737.5500337721</v>
      </c>
      <c r="G105" s="6">
        <f t="shared" si="9"/>
        <v>30381.803662622409</v>
      </c>
      <c r="H105" s="6">
        <f t="shared" si="10"/>
        <v>6360.8584048369503</v>
      </c>
      <c r="J105" s="9">
        <f t="shared" si="11"/>
        <v>1.8668100000000027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23.215499999999999</v>
      </c>
      <c r="E106" s="5">
        <f t="shared" si="8"/>
        <v>4.9755000000000003</v>
      </c>
      <c r="F106" s="6">
        <f t="shared" si="13"/>
        <v>1310758.4952915576</v>
      </c>
      <c r="G106" s="6">
        <f t="shared" si="9"/>
        <v>30429.913847441156</v>
      </c>
      <c r="H106" s="6">
        <f t="shared" si="10"/>
        <v>6521.6788933231446</v>
      </c>
      <c r="J106" s="9">
        <f t="shared" si="11"/>
        <v>1.8240000000000014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22.819500000000001</v>
      </c>
      <c r="E107" s="5">
        <f t="shared" si="8"/>
        <v>5.0076000000000001</v>
      </c>
      <c r="F107" s="6">
        <f t="shared" si="13"/>
        <v>1334666.7302456757</v>
      </c>
      <c r="G107" s="6">
        <f t="shared" si="9"/>
        <v>30456.427450841195</v>
      </c>
      <c r="H107" s="6">
        <f t="shared" si="10"/>
        <v>6683.477118378245</v>
      </c>
      <c r="J107" s="9">
        <f t="shared" si="11"/>
        <v>1.7811900000000052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22.423500000000001</v>
      </c>
      <c r="E108" s="5">
        <f t="shared" si="8"/>
        <v>5.0718000000000005</v>
      </c>
      <c r="F108" s="6">
        <f t="shared" si="13"/>
        <v>1358439.6805781387</v>
      </c>
      <c r="G108" s="6">
        <f t="shared" si="9"/>
        <v>30460.972177443891</v>
      </c>
      <c r="H108" s="6">
        <f t="shared" si="10"/>
        <v>6889.7343719562041</v>
      </c>
      <c r="J108" s="9">
        <f t="shared" si="11"/>
        <v>1.7351699999999926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22.077000000000002</v>
      </c>
      <c r="E109" s="5">
        <f t="shared" si="8"/>
        <v>5.1360000000000001</v>
      </c>
      <c r="F109" s="6">
        <f t="shared" si="13"/>
        <v>1382010.9183836263</v>
      </c>
      <c r="G109" s="6">
        <f t="shared" si="9"/>
        <v>30510.655045155319</v>
      </c>
      <c r="H109" s="6">
        <f t="shared" si="10"/>
        <v>7098.0080768183052</v>
      </c>
      <c r="J109" s="9">
        <f t="shared" si="11"/>
        <v>1.6941000000000166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21.681000000000001</v>
      </c>
      <c r="E110" s="5">
        <f t="shared" si="8"/>
        <v>5.2002000000000006</v>
      </c>
      <c r="F110" s="6">
        <f t="shared" si="13"/>
        <v>1405423.5653519635</v>
      </c>
      <c r="G110" s="6">
        <f t="shared" si="9"/>
        <v>30470.988320395922</v>
      </c>
      <c r="H110" s="6">
        <f t="shared" si="10"/>
        <v>7308.4836245432816</v>
      </c>
      <c r="J110" s="9">
        <f t="shared" si="11"/>
        <v>1.6480799999999916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21.235499999999998</v>
      </c>
      <c r="E111" s="5">
        <f t="shared" si="8"/>
        <v>5.2644000000000002</v>
      </c>
      <c r="F111" s="6">
        <f t="shared" si="13"/>
        <v>1428586.070047816</v>
      </c>
      <c r="G111" s="6">
        <f t="shared" si="9"/>
        <v>30336.739490500393</v>
      </c>
      <c r="H111" s="6">
        <f t="shared" si="10"/>
        <v>7520.6485071597226</v>
      </c>
      <c r="J111" s="9">
        <f t="shared" si="11"/>
        <v>1.5971100000000051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20.938499999999998</v>
      </c>
      <c r="E112" s="5">
        <f t="shared" si="8"/>
        <v>5.3286000000000007</v>
      </c>
      <c r="F112" s="6">
        <f t="shared" si="13"/>
        <v>1451402.1610311568</v>
      </c>
      <c r="G112" s="6">
        <f t="shared" si="9"/>
        <v>30390.184148750872</v>
      </c>
      <c r="H112" s="6">
        <f t="shared" si="10"/>
        <v>7733.9415552706232</v>
      </c>
      <c r="J112" s="9">
        <f t="shared" si="11"/>
        <v>1.5609900000000014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20.79</v>
      </c>
      <c r="E113" s="5">
        <f t="shared" si="8"/>
        <v>5.4249000000000009</v>
      </c>
      <c r="F113" s="6">
        <f t="shared" si="13"/>
        <v>1474058.4036246371</v>
      </c>
      <c r="G113" s="6">
        <f t="shared" si="9"/>
        <v>30645.674211356203</v>
      </c>
      <c r="H113" s="6">
        <f t="shared" si="10"/>
        <v>7996.6194338232954</v>
      </c>
      <c r="J113" s="9">
        <f t="shared" si="11"/>
        <v>1.5365099999999936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20.641500000000001</v>
      </c>
      <c r="E114" s="5">
        <f t="shared" si="8"/>
        <v>5.4249000000000009</v>
      </c>
      <c r="F114" s="6">
        <f t="shared" si="13"/>
        <v>1496707.4584021699</v>
      </c>
      <c r="G114" s="6">
        <f t="shared" si="9"/>
        <v>30894.287002608387</v>
      </c>
      <c r="H114" s="6">
        <f t="shared" si="10"/>
        <v>8119.4882910859324</v>
      </c>
      <c r="J114" s="9">
        <f t="shared" si="11"/>
        <v>1.5216600000000016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20.4435</v>
      </c>
      <c r="E115" s="5">
        <f t="shared" si="8"/>
        <v>5.4249000000000009</v>
      </c>
      <c r="F115" s="6">
        <f t="shared" si="13"/>
        <v>1519482.2571136924</v>
      </c>
      <c r="G115" s="6">
        <f t="shared" si="9"/>
        <v>31063.53552330377</v>
      </c>
      <c r="H115" s="6">
        <f t="shared" si="10"/>
        <v>8243.0392966160707</v>
      </c>
      <c r="J115" s="9">
        <f t="shared" si="11"/>
        <v>1.5018599999999989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20.2455</v>
      </c>
      <c r="E116" s="5">
        <f t="shared" si="8"/>
        <v>5.4249000000000009</v>
      </c>
      <c r="F116" s="6">
        <f t="shared" si="13"/>
        <v>1542302.75334038</v>
      </c>
      <c r="G116" s="6">
        <f t="shared" si="9"/>
        <v>31224.690392752662</v>
      </c>
      <c r="H116" s="6">
        <f t="shared" si="10"/>
        <v>8366.8382065962287</v>
      </c>
      <c r="J116" s="9">
        <f t="shared" si="11"/>
        <v>1.4820599999999999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19.998000000000001</v>
      </c>
      <c r="E117" s="5">
        <f t="shared" si="8"/>
        <v>5.4249000000000009</v>
      </c>
      <c r="F117" s="6">
        <f t="shared" si="13"/>
        <v>1565160.6055265365</v>
      </c>
      <c r="G117" s="6">
        <f t="shared" si="9"/>
        <v>31300.08178931968</v>
      </c>
      <c r="H117" s="6">
        <f t="shared" si="10"/>
        <v>8490.8397689209105</v>
      </c>
      <c r="J117" s="9">
        <f t="shared" si="11"/>
        <v>1.4573099999999899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19.750500000000002</v>
      </c>
      <c r="E118" s="5">
        <f t="shared" si="8"/>
        <v>5.4891000000000005</v>
      </c>
      <c r="F118" s="6">
        <f t="shared" si="13"/>
        <v>1587969.8475469351</v>
      </c>
      <c r="G118" s="6">
        <f t="shared" si="9"/>
        <v>31363.198473975743</v>
      </c>
      <c r="H118" s="6">
        <f t="shared" si="10"/>
        <v>8716.5252901698823</v>
      </c>
      <c r="J118" s="9">
        <f t="shared" si="11"/>
        <v>1.4261399999999946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19.503</v>
      </c>
      <c r="E119" s="5">
        <f t="shared" si="8"/>
        <v>5.5533000000000001</v>
      </c>
      <c r="F119" s="6">
        <f t="shared" si="13"/>
        <v>1610616.5207307409</v>
      </c>
      <c r="G119" s="6">
        <f t="shared" si="9"/>
        <v>31411.854003811637</v>
      </c>
      <c r="H119" s="6">
        <f t="shared" si="10"/>
        <v>8944.2367245740243</v>
      </c>
      <c r="J119" s="9">
        <f t="shared" si="11"/>
        <v>1.3949699999999992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19.255500000000001</v>
      </c>
      <c r="E120" s="5">
        <f t="shared" si="8"/>
        <v>5.6495999999999995</v>
      </c>
      <c r="F120" s="6">
        <f t="shared" si="13"/>
        <v>1633084.1380099785</v>
      </c>
      <c r="G120" s="6">
        <f t="shared" si="9"/>
        <v>31445.851619451143</v>
      </c>
      <c r="H120" s="6">
        <f t="shared" si="10"/>
        <v>9226.2721461011733</v>
      </c>
      <c r="J120" s="9">
        <f t="shared" si="11"/>
        <v>1.36059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19.057500000000001</v>
      </c>
      <c r="E121" s="5">
        <f t="shared" si="8"/>
        <v>5.7458999999999998</v>
      </c>
      <c r="F121" s="6">
        <f t="shared" si="13"/>
        <v>1655303.7174833284</v>
      </c>
      <c r="G121" s="6">
        <f t="shared" si="9"/>
        <v>31545.950595938535</v>
      </c>
      <c r="H121" s="6">
        <f t="shared" si="10"/>
        <v>9511.2096302874579</v>
      </c>
      <c r="J121" s="9">
        <f t="shared" si="11"/>
        <v>1.3311600000000026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si="13"/>
        <v>1677338.4584489795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58" t="s">
        <v>22</v>
      </c>
      <c r="E126" s="58"/>
      <c r="F126" s="58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31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>F16</f>
        <v>104951.42442784202</v>
      </c>
      <c r="E128" s="13">
        <f ca="1">OFFSET(INDIRECT(MID(_xlfn.FORMULATEXT(D128),2,255)),1,0)</f>
        <v>106927.7647012427</v>
      </c>
      <c r="F128" s="6">
        <f ca="1">D128*(E128/D128)^((C128-1)/365)</f>
        <v>106845.8166895476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>F27</f>
        <v>130666.73985224668</v>
      </c>
      <c r="E129" s="13">
        <f t="shared" ref="E129:E134" ca="1" si="14">OFFSET(INDIRECT(MID(_xlfn.FORMULATEXT(D129),2,255)),1,0)</f>
        <v>133451.47021195581</v>
      </c>
      <c r="F129" s="6">
        <f t="shared" ref="F129:F134" ca="1" si="15">D129*(E129/D129)^((C129-1)/365)</f>
        <v>130704.49149186898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>F29</f>
        <v>136379.98265487506</v>
      </c>
      <c r="E130" s="13">
        <f t="shared" ca="1" si="14"/>
        <v>139423.65655577349</v>
      </c>
      <c r="F130" s="6">
        <f t="shared" ca="1" si="15"/>
        <v>136512.00079842543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>F49</f>
        <v>220430.29993095316</v>
      </c>
      <c r="E131" s="13">
        <f t="shared" ca="1" si="14"/>
        <v>227267.32041482156</v>
      </c>
      <c r="F131" s="6">
        <f t="shared" ca="1" si="15"/>
        <v>220688.70840674659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>F60</f>
        <v>317168.53255002614</v>
      </c>
      <c r="E132" s="13">
        <f t="shared" ca="1" si="14"/>
        <v>329111.54536005063</v>
      </c>
      <c r="F132" s="6">
        <f t="shared" ca="1" si="15"/>
        <v>317618.5255269864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>F69</f>
        <v>445191.02922871296</v>
      </c>
      <c r="E133" s="13">
        <f t="shared" ca="1" si="14"/>
        <v>462181.38870640338</v>
      </c>
      <c r="F133" s="6">
        <f t="shared" ca="1" si="15"/>
        <v>445922.55198754626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>F79</f>
        <v>644309.31219702039</v>
      </c>
      <c r="E134" s="13">
        <f t="shared" ca="1" si="14"/>
        <v>666733.98236058792</v>
      </c>
      <c r="F134" s="6">
        <f t="shared" ca="1" si="15"/>
        <v>644973.97216546303</v>
      </c>
    </row>
    <row r="135" spans="1:6" x14ac:dyDescent="0.25">
      <c r="A135" s="12">
        <v>2020</v>
      </c>
      <c r="B135" s="2"/>
      <c r="C135" s="2"/>
      <c r="D135" s="2"/>
      <c r="E135" s="2"/>
      <c r="F135" s="6">
        <f>F110</f>
        <v>1405423.5653519635</v>
      </c>
    </row>
    <row r="136" spans="1:6" x14ac:dyDescent="0.25">
      <c r="A136" s="12">
        <v>2030</v>
      </c>
      <c r="B136" s="2"/>
      <c r="C136" s="2"/>
      <c r="D136" s="2"/>
      <c r="E136" s="2"/>
      <c r="F136" s="6">
        <f>F120</f>
        <v>1633084.1380099785</v>
      </c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55"/>
  <sheetViews>
    <sheetView topLeftCell="A94" workbookViewId="0">
      <selection activeCell="F137" sqref="F137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ht="21" x14ac:dyDescent="0.35">
      <c r="A1" s="38" t="s">
        <v>26</v>
      </c>
    </row>
    <row r="4" spans="1:12" x14ac:dyDescent="0.25">
      <c r="D4" s="57" t="s">
        <v>3</v>
      </c>
      <c r="E4" s="57"/>
      <c r="F4" s="57" t="s">
        <v>10</v>
      </c>
      <c r="G4" s="57"/>
      <c r="H4" s="57"/>
      <c r="I4" s="57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29</v>
      </c>
      <c r="B6" s="2"/>
      <c r="C6" s="2"/>
      <c r="D6" s="5">
        <v>47.88</v>
      </c>
      <c r="E6" s="5">
        <v>28.52</v>
      </c>
      <c r="F6" s="6">
        <v>14754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24.418800000000001</v>
      </c>
      <c r="E7" s="5">
        <f>C7*$E$6</f>
        <v>28.52</v>
      </c>
      <c r="F7" s="6">
        <f>F6 * RSFSR!F7 / RSFSR!F6</f>
        <v>15044.474076398148</v>
      </c>
      <c r="G7" s="6">
        <f>F7*D7/1000</f>
        <v>367.36800357675111</v>
      </c>
      <c r="H7" s="6">
        <f>E7*F7/1000</f>
        <v>429.06840065887519</v>
      </c>
      <c r="I7" s="6">
        <f ca="1" xml:space="preserve"> NR!F6 / RSFSR!F6 * INDIRECT("'RSFSR'!" &amp; ADDRESS(ROW(), COLUMN()))</f>
        <v>-8.9274901112692309</v>
      </c>
      <c r="J7" s="9">
        <f ca="1">100 *(F8-F7) / F7</f>
        <v>-0.46946065934064973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28.728000000000002</v>
      </c>
      <c r="E8" s="5">
        <f t="shared" ref="E8:E71" si="1">C8*$E$6</f>
        <v>28.52</v>
      </c>
      <c r="F8" s="6">
        <f ca="1">F7+G7-H7+I7</f>
        <v>14973.846189204756</v>
      </c>
      <c r="G8" s="6">
        <f t="shared" ref="G8:G71" ca="1" si="2">F8*D8/1000</f>
        <v>430.1686533234743</v>
      </c>
      <c r="H8" s="6">
        <f t="shared" ref="H8:H71" ca="1" si="3">E8*F8/1000</f>
        <v>427.05409331611963</v>
      </c>
      <c r="I8" s="6">
        <f ca="1" xml:space="preserve"> NR!F6 / RSFSR!F6 * INDIRECT("'RSFSR'!" &amp; ADDRESS(ROW(), COLUMN()))</f>
        <v>-23.971964187667378</v>
      </c>
      <c r="J8" s="9">
        <f t="shared" ref="J8:J71" ca="1" si="4">100 *(F9-F8) / F8</f>
        <v>-0.13929222937623209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47.88</v>
      </c>
      <c r="E9" s="5">
        <f t="shared" si="1"/>
        <v>28.52</v>
      </c>
      <c r="F9" s="6">
        <f t="shared" ref="F9:F72" ca="1" si="6">F8+G8-H8+I8</f>
        <v>14952.988785024445</v>
      </c>
      <c r="G9" s="6">
        <f t="shared" ca="1" si="2"/>
        <v>715.94910302697042</v>
      </c>
      <c r="H9" s="6">
        <f t="shared" ca="1" si="3"/>
        <v>426.45924014889715</v>
      </c>
      <c r="I9" s="6">
        <f ca="1" xml:space="preserve"> NR!F6 / RSFSR!F6 * INDIRECT("'RSFSR'!" &amp; ADDRESS(ROW(), COLUMN()))</f>
        <v>239.71964187667379</v>
      </c>
      <c r="J9" s="9">
        <f t="shared" ca="1" si="4"/>
        <v>3.5391553646101599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47.88</v>
      </c>
      <c r="E10" s="5">
        <f t="shared" si="1"/>
        <v>28.52</v>
      </c>
      <c r="F10" s="6">
        <f t="shared" ca="1" si="6"/>
        <v>15482.198289779193</v>
      </c>
      <c r="G10" s="6">
        <f t="shared" ca="1" si="2"/>
        <v>741.28765411462791</v>
      </c>
      <c r="H10" s="6">
        <f t="shared" ca="1" si="3"/>
        <v>441.55229522450259</v>
      </c>
      <c r="I10" s="6">
        <f ca="1" xml:space="preserve"> NR!F6 / RSFSR!F6 * INDIRECT("'RSFSR'!" &amp; ADDRESS(ROW(), COLUMN()))</f>
        <v>143.83178512600426</v>
      </c>
      <c r="J10" s="9">
        <f t="shared" ca="1" si="4"/>
        <v>2.8650139709743745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47.88</v>
      </c>
      <c r="E11" s="5">
        <f t="shared" si="1"/>
        <v>28.52</v>
      </c>
      <c r="F11" s="6">
        <f t="shared" ca="1" si="6"/>
        <v>15925.765433795323</v>
      </c>
      <c r="G11" s="6">
        <f t="shared" ca="1" si="2"/>
        <v>762.52564897012007</v>
      </c>
      <c r="H11" s="6">
        <f t="shared" ca="1" si="3"/>
        <v>454.20283017184261</v>
      </c>
      <c r="I11" s="6">
        <f ca="1" xml:space="preserve"> NR!F6 / RSFSR!F6 * INDIRECT("'RSFSR'!" &amp; ADDRESS(ROW(), COLUMN()))</f>
        <v>95.887856750669513</v>
      </c>
      <c r="J11" s="9">
        <f t="shared" ca="1" si="4"/>
        <v>2.5380926099237229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47.832120000000003</v>
      </c>
      <c r="E12" s="5">
        <f t="shared" si="1"/>
        <v>28.291840000000001</v>
      </c>
      <c r="F12" s="6">
        <f t="shared" ca="1" si="6"/>
        <v>16329.976109344268</v>
      </c>
      <c r="G12" s="6">
        <f t="shared" ca="1" si="2"/>
        <v>781.09737685928815</v>
      </c>
      <c r="H12" s="6">
        <f t="shared" ca="1" si="3"/>
        <v>462.00507128939057</v>
      </c>
      <c r="J12" s="9">
        <f t="shared" ca="1" si="4"/>
        <v>1.9540280000000059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47.736360000000005</v>
      </c>
      <c r="E13" s="5">
        <f t="shared" si="1"/>
        <v>27.978120000000001</v>
      </c>
      <c r="F13" s="6">
        <f t="shared" ca="1" si="6"/>
        <v>16649.068414914167</v>
      </c>
      <c r="G13" s="6">
        <f t="shared" ca="1" si="2"/>
        <v>794.76592351897216</v>
      </c>
      <c r="H13" s="6">
        <f t="shared" ca="1" si="3"/>
        <v>465.80963400067839</v>
      </c>
      <c r="J13" s="9">
        <f t="shared" ca="1" si="4"/>
        <v>1.9758239999999987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47.640599999999999</v>
      </c>
      <c r="E14" s="5">
        <f t="shared" si="1"/>
        <v>27.57884</v>
      </c>
      <c r="F14" s="6">
        <f t="shared" ca="1" si="6"/>
        <v>16978.024704432461</v>
      </c>
      <c r="G14" s="6">
        <f t="shared" ca="1" si="2"/>
        <v>808.843283733985</v>
      </c>
      <c r="H14" s="6">
        <f t="shared" ca="1" si="3"/>
        <v>468.23422683959012</v>
      </c>
      <c r="J14" s="9">
        <f t="shared" ca="1" si="4"/>
        <v>2.0061759999999977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47.496960000000001</v>
      </c>
      <c r="E15" s="5">
        <f t="shared" si="1"/>
        <v>27.179559999999999</v>
      </c>
      <c r="F15" s="6">
        <f t="shared" ca="1" si="6"/>
        <v>17318.633761326855</v>
      </c>
      <c r="G15" s="6">
        <f t="shared" ca="1" si="2"/>
        <v>822.58245501639124</v>
      </c>
      <c r="H15" s="6">
        <f t="shared" ca="1" si="3"/>
        <v>470.7128454340089</v>
      </c>
      <c r="J15" s="9">
        <f t="shared" ca="1" si="4"/>
        <v>2.0317400000000068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47.401200000000003</v>
      </c>
      <c r="E16" s="5">
        <f t="shared" si="1"/>
        <v>26.808799999999998</v>
      </c>
      <c r="F16" s="6">
        <f t="shared" ca="1" si="6"/>
        <v>17670.503370909239</v>
      </c>
      <c r="G16" s="6">
        <f t="shared" ca="1" si="2"/>
        <v>837.60306438514306</v>
      </c>
      <c r="H16" s="6">
        <f t="shared" ca="1" si="3"/>
        <v>473.72499077003158</v>
      </c>
      <c r="J16" s="9">
        <f t="shared" ca="1" si="4"/>
        <v>2.0592400000000088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47.257560000000005</v>
      </c>
      <c r="E17" s="5">
        <f t="shared" si="1"/>
        <v>26.438040000000001</v>
      </c>
      <c r="F17" s="6">
        <f t="shared" ca="1" si="6"/>
        <v>18034.381444524352</v>
      </c>
      <c r="G17" s="6">
        <f t="shared" ca="1" si="2"/>
        <v>852.26086317749639</v>
      </c>
      <c r="H17" s="6">
        <f t="shared" ca="1" si="3"/>
        <v>476.7936980055926</v>
      </c>
      <c r="J17" s="9">
        <f t="shared" ca="1" si="4"/>
        <v>2.0819519999999998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47.161799999999999</v>
      </c>
      <c r="E18" s="5">
        <f t="shared" si="1"/>
        <v>26.06728</v>
      </c>
      <c r="F18" s="6">
        <f t="shared" ca="1" si="6"/>
        <v>18409.848609696255</v>
      </c>
      <c r="G18" s="6">
        <f t="shared" ca="1" si="2"/>
        <v>868.24159816077281</v>
      </c>
      <c r="H18" s="6">
        <f t="shared" ca="1" si="3"/>
        <v>479.89467846656299</v>
      </c>
      <c r="J18" s="9">
        <f t="shared" ca="1" si="4"/>
        <v>2.1094519999999988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47.018160000000002</v>
      </c>
      <c r="E19" s="5">
        <f t="shared" si="1"/>
        <v>25.69652</v>
      </c>
      <c r="F19" s="6">
        <f t="shared" ca="1" si="6"/>
        <v>18798.195529390465</v>
      </c>
      <c r="G19" s="6">
        <f t="shared" ca="1" si="2"/>
        <v>883.85656511216564</v>
      </c>
      <c r="H19" s="6">
        <f t="shared" ca="1" si="3"/>
        <v>483.04820738489269</v>
      </c>
      <c r="J19" s="9">
        <f t="shared" ca="1" si="4"/>
        <v>2.1321639999999848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46.922400000000003</v>
      </c>
      <c r="E20" s="5">
        <f t="shared" si="1"/>
        <v>25.297239999999999</v>
      </c>
      <c r="F20" s="6">
        <f t="shared" ca="1" si="6"/>
        <v>19199.003887117735</v>
      </c>
      <c r="G20" s="6">
        <f t="shared" ca="1" si="2"/>
        <v>900.86333999289332</v>
      </c>
      <c r="H20" s="6">
        <f t="shared" ca="1" si="3"/>
        <v>485.68180909335018</v>
      </c>
      <c r="J20" s="9">
        <f t="shared" ca="1" si="4"/>
        <v>2.1625160000000183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46.922400000000003</v>
      </c>
      <c r="E21" s="5">
        <f t="shared" si="1"/>
        <v>24.926479999999998</v>
      </c>
      <c r="F21" s="6">
        <f t="shared" ca="1" si="6"/>
        <v>19614.185418017281</v>
      </c>
      <c r="G21" s="6">
        <f t="shared" ca="1" si="2"/>
        <v>920.34465385837416</v>
      </c>
      <c r="H21" s="6">
        <f t="shared" ca="1" si="3"/>
        <v>488.91260053849936</v>
      </c>
      <c r="J21" s="9">
        <f t="shared" ca="1" si="4"/>
        <v>2.1995919999999933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46.826640000000005</v>
      </c>
      <c r="E22" s="5">
        <f t="shared" si="1"/>
        <v>24.612759999999998</v>
      </c>
      <c r="F22" s="6">
        <f t="shared" ca="1" si="6"/>
        <v>20045.617471337155</v>
      </c>
      <c r="G22" s="6">
        <f t="shared" ca="1" si="2"/>
        <v>938.66891290801527</v>
      </c>
      <c r="H22" s="6">
        <f t="shared" ca="1" si="3"/>
        <v>493.37797187382819</v>
      </c>
      <c r="J22" s="9">
        <f t="shared" ca="1" si="4"/>
        <v>2.2213879999999921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46.683</v>
      </c>
      <c r="E23" s="5">
        <f t="shared" si="1"/>
        <v>24.49868</v>
      </c>
      <c r="F23" s="6">
        <f t="shared" ca="1" si="6"/>
        <v>20490.90841237134</v>
      </c>
      <c r="G23" s="6">
        <f t="shared" ca="1" si="2"/>
        <v>956.57707741473121</v>
      </c>
      <c r="H23" s="6">
        <f t="shared" ca="1" si="3"/>
        <v>502.00020810399349</v>
      </c>
      <c r="J23" s="9">
        <f t="shared" ca="1" si="4"/>
        <v>2.2184320000000031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46.539360000000002</v>
      </c>
      <c r="E24" s="5">
        <f t="shared" si="1"/>
        <v>24.270519999999998</v>
      </c>
      <c r="F24" s="6">
        <f t="shared" ca="1" si="6"/>
        <v>20945.485281682078</v>
      </c>
      <c r="G24" s="6">
        <f t="shared" ca="1" si="2"/>
        <v>974.78947989890378</v>
      </c>
      <c r="H24" s="6">
        <f t="shared" ca="1" si="3"/>
        <v>508.35781943877049</v>
      </c>
      <c r="J24" s="9">
        <f t="shared" ca="1" si="4"/>
        <v>2.2268840000000019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46.347839999999998</v>
      </c>
      <c r="E25" s="5">
        <f t="shared" si="1"/>
        <v>23.985319999999998</v>
      </c>
      <c r="F25" s="6">
        <f t="shared" ca="1" si="6"/>
        <v>21411.916942142212</v>
      </c>
      <c r="G25" s="6">
        <f t="shared" ca="1" si="2"/>
        <v>992.39610052769638</v>
      </c>
      <c r="H25" s="6">
        <f t="shared" ca="1" si="3"/>
        <v>513.57167967070234</v>
      </c>
      <c r="J25" s="9">
        <f t="shared" ca="1" si="4"/>
        <v>2.2362520000000083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45.77328</v>
      </c>
      <c r="E26" s="5">
        <f t="shared" si="1"/>
        <v>23.643079999999998</v>
      </c>
      <c r="F26" s="6">
        <f t="shared" ca="1" si="6"/>
        <v>21890.741362999208</v>
      </c>
      <c r="G26" s="6">
        <f t="shared" ca="1" si="2"/>
        <v>1002.0110338161444</v>
      </c>
      <c r="H26" s="6">
        <f t="shared" ca="1" si="3"/>
        <v>517.5645493046992</v>
      </c>
      <c r="J26" s="9">
        <f t="shared" ca="1" si="4"/>
        <v>2.2130200000000011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46.012680000000003</v>
      </c>
      <c r="E27" s="5">
        <f t="shared" si="1"/>
        <v>23.329359999999998</v>
      </c>
      <c r="F27" s="6">
        <f t="shared" ca="1" si="6"/>
        <v>22375.187847510653</v>
      </c>
      <c r="G27" s="6">
        <f t="shared" ca="1" si="2"/>
        <v>1029.5423583673964</v>
      </c>
      <c r="H27" s="6">
        <f t="shared" ca="1" si="3"/>
        <v>521.99881236220108</v>
      </c>
      <c r="J27" s="9">
        <f t="shared" ca="1" si="4"/>
        <v>2.2683319999999858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46.252079999999999</v>
      </c>
      <c r="E28" s="5">
        <f t="shared" si="1"/>
        <v>22.987120000000001</v>
      </c>
      <c r="F28" s="6">
        <f t="shared" ca="1" si="6"/>
        <v>22882.731393515845</v>
      </c>
      <c r="G28" s="6">
        <f t="shared" ca="1" si="2"/>
        <v>1058.3739230314063</v>
      </c>
      <c r="H28" s="6">
        <f t="shared" ca="1" si="3"/>
        <v>526.00809247051598</v>
      </c>
      <c r="J28" s="9">
        <f t="shared" ca="1" si="4"/>
        <v>2.3264960000000046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46.395720000000004</v>
      </c>
      <c r="E29" s="5">
        <f t="shared" si="1"/>
        <v>22.787480000000002</v>
      </c>
      <c r="F29" s="6">
        <f t="shared" ca="1" si="6"/>
        <v>23415.097224076737</v>
      </c>
      <c r="G29" s="6">
        <f t="shared" ca="1" si="2"/>
        <v>1086.3602945810417</v>
      </c>
      <c r="H29" s="6">
        <f t="shared" ca="1" si="3"/>
        <v>533.57105969170425</v>
      </c>
      <c r="J29" s="9">
        <f t="shared" ca="1" si="4"/>
        <v>2.3608239999999965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46.2042</v>
      </c>
      <c r="E30" s="5">
        <f t="shared" si="1"/>
        <v>22.644880000000001</v>
      </c>
      <c r="F30" s="6">
        <f t="shared" ca="1" si="6"/>
        <v>23967.886458966073</v>
      </c>
      <c r="G30" s="6">
        <f t="shared" ca="1" si="2"/>
        <v>1107.4170195273603</v>
      </c>
      <c r="H30" s="6">
        <f t="shared" ca="1" si="3"/>
        <v>542.74991271691169</v>
      </c>
      <c r="J30" s="9">
        <f t="shared" ca="1" si="4"/>
        <v>2.3559320000000121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46.2042</v>
      </c>
      <c r="E31" s="5">
        <f t="shared" si="1"/>
        <v>22.701920000000001</v>
      </c>
      <c r="F31" s="6">
        <f t="shared" ca="1" si="6"/>
        <v>24532.553565776525</v>
      </c>
      <c r="G31" s="6">
        <f t="shared" ca="1" si="2"/>
        <v>1133.5070114638518</v>
      </c>
      <c r="H31" s="6">
        <f t="shared" ca="1" si="3"/>
        <v>556.93606844597343</v>
      </c>
      <c r="J31" s="9">
        <f t="shared" ca="1" si="4"/>
        <v>2.3502280000000049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46.060560000000002</v>
      </c>
      <c r="E32" s="5">
        <f t="shared" si="1"/>
        <v>22.673400000000001</v>
      </c>
      <c r="F32" s="6">
        <f t="shared" ca="1" si="6"/>
        <v>25109.124508794404</v>
      </c>
      <c r="G32" s="6">
        <f t="shared" ca="1" si="2"/>
        <v>1156.5403359847953</v>
      </c>
      <c r="H32" s="6">
        <f t="shared" ca="1" si="3"/>
        <v>569.30922363769901</v>
      </c>
      <c r="I32" s="19">
        <f ca="1" xml:space="preserve"> NR!F6 / RSFSR!F6 * INDIRECT("'RSFSR'!" &amp; ADDRESS(ROW(), COLUMN()))</f>
        <v>-14.879150185448719</v>
      </c>
      <c r="J32" s="9">
        <f t="shared" ca="1" si="4"/>
        <v>2.2794580590063274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45.77328</v>
      </c>
      <c r="E33" s="5">
        <f t="shared" si="1"/>
        <v>22.473760000000002</v>
      </c>
      <c r="F33" s="6">
        <f t="shared" ca="1" si="6"/>
        <v>25681.476470956051</v>
      </c>
      <c r="G33" s="6">
        <f t="shared" ca="1" si="2"/>
        <v>1175.5254133184831</v>
      </c>
      <c r="H33" s="6">
        <f t="shared" ca="1" si="3"/>
        <v>577.15933865391332</v>
      </c>
      <c r="I33" s="19">
        <f ca="1" xml:space="preserve"> NR!F6 / RSFSR!F6 * INDIRECT("'RSFSR'!" &amp; ADDRESS(ROW(), COLUMN()))</f>
        <v>-14.879150185448719</v>
      </c>
      <c r="J33" s="9">
        <f t="shared" ca="1" si="4"/>
        <v>2.2720147151157826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45.485999999999997</v>
      </c>
      <c r="E34" s="5">
        <f t="shared" si="1"/>
        <v>21.903359999999999</v>
      </c>
      <c r="F34" s="6">
        <f t="shared" ca="1" si="6"/>
        <v>26264.96339543517</v>
      </c>
      <c r="G34" s="6">
        <f t="shared" ca="1" si="2"/>
        <v>1194.6881250047643</v>
      </c>
      <c r="H34" s="6">
        <f t="shared" ca="1" si="3"/>
        <v>575.29094863703881</v>
      </c>
      <c r="I34" s="19">
        <f ca="1" xml:space="preserve"> NR!F6 / RSFSR!F6 * INDIRECT("'RSFSR'!" &amp; ADDRESS(ROW(), COLUMN()))</f>
        <v>-14.879150185448719</v>
      </c>
      <c r="J34" s="9">
        <f t="shared" ca="1" si="4"/>
        <v>2.301613815640573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45.055079999999997</v>
      </c>
      <c r="E35" s="5">
        <f t="shared" si="1"/>
        <v>21.161839999999998</v>
      </c>
      <c r="F35" s="6">
        <f t="shared" ca="1" si="6"/>
        <v>26869.481421617445</v>
      </c>
      <c r="G35" s="6">
        <f t="shared" ca="1" si="2"/>
        <v>1210.6066350094877</v>
      </c>
      <c r="H35" s="6">
        <f t="shared" ca="1" si="3"/>
        <v>568.60766672724094</v>
      </c>
      <c r="J35" s="9">
        <f t="shared" ca="1" si="4"/>
        <v>2.389323999999994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44.719920000000002</v>
      </c>
      <c r="E36" s="5">
        <f t="shared" si="1"/>
        <v>20.73404</v>
      </c>
      <c r="F36" s="6">
        <f t="shared" ca="1" si="6"/>
        <v>27511.480389899691</v>
      </c>
      <c r="G36" s="6">
        <f t="shared" ca="1" si="2"/>
        <v>1230.3112021178831</v>
      </c>
      <c r="H36" s="6">
        <f t="shared" ca="1" si="3"/>
        <v>570.42413486339581</v>
      </c>
      <c r="J36" s="9">
        <f t="shared" ca="1" si="4"/>
        <v>2.3985880000000002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44.480520000000006</v>
      </c>
      <c r="E37" s="5">
        <f t="shared" si="1"/>
        <v>20.306239999999999</v>
      </c>
      <c r="F37" s="6">
        <f t="shared" ca="1" si="6"/>
        <v>28171.367457154178</v>
      </c>
      <c r="G37" s="6">
        <f t="shared" ca="1" si="2"/>
        <v>1253.0770736052957</v>
      </c>
      <c r="H37" s="6">
        <f t="shared" ca="1" si="3"/>
        <v>572.05454871316238</v>
      </c>
      <c r="J37" s="9">
        <f t="shared" ca="1" si="4"/>
        <v>2.4174279999999913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44.097480000000004</v>
      </c>
      <c r="E38" s="5">
        <f t="shared" si="1"/>
        <v>19.906959999999998</v>
      </c>
      <c r="F38" s="6">
        <f t="shared" ca="1" si="6"/>
        <v>28852.389982046308</v>
      </c>
      <c r="G38" s="6">
        <f t="shared" ca="1" si="2"/>
        <v>1272.3176901854874</v>
      </c>
      <c r="H38" s="6">
        <f t="shared" ca="1" si="3"/>
        <v>574.36337327699653</v>
      </c>
      <c r="J38" s="9">
        <f t="shared" ca="1" si="4"/>
        <v>2.4190519999999971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44.672040000000003</v>
      </c>
      <c r="E39" s="5">
        <f t="shared" si="1"/>
        <v>19.849919999999997</v>
      </c>
      <c r="F39" s="6">
        <f t="shared" ca="1" si="6"/>
        <v>29550.344298954798</v>
      </c>
      <c r="G39" s="6">
        <f t="shared" ca="1" si="2"/>
        <v>1320.0741625366807</v>
      </c>
      <c r="H39" s="6">
        <f t="shared" ca="1" si="3"/>
        <v>586.57197030670875</v>
      </c>
      <c r="J39" s="9">
        <f t="shared" ca="1" si="4"/>
        <v>2.4822119999999974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45.102960000000003</v>
      </c>
      <c r="E40" s="5">
        <f t="shared" si="1"/>
        <v>19.878439999999998</v>
      </c>
      <c r="F40" s="6">
        <f t="shared" ca="1" si="6"/>
        <v>30283.84649118477</v>
      </c>
      <c r="G40" s="6">
        <f t="shared" ca="1" si="2"/>
        <v>1365.8911169380472</v>
      </c>
      <c r="H40" s="6">
        <f t="shared" ca="1" si="3"/>
        <v>601.9956254442269</v>
      </c>
      <c r="J40" s="9">
        <f t="shared" ca="1" si="4"/>
        <v>2.522452000000007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45.390239999999999</v>
      </c>
      <c r="E41" s="5">
        <f t="shared" si="1"/>
        <v>19.792879999999997</v>
      </c>
      <c r="F41" s="6">
        <f t="shared" ca="1" si="6"/>
        <v>31047.741982678592</v>
      </c>
      <c r="G41" s="6">
        <f t="shared" ca="1" si="2"/>
        <v>1409.2644600518572</v>
      </c>
      <c r="H41" s="6">
        <f t="shared" ca="1" si="3"/>
        <v>614.52423133411935</v>
      </c>
      <c r="J41" s="9">
        <f t="shared" ca="1" si="4"/>
        <v>2.5597360000000049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45.629640000000002</v>
      </c>
      <c r="E42" s="5">
        <f t="shared" si="1"/>
        <v>19.621759999999998</v>
      </c>
      <c r="F42" s="6">
        <f t="shared" ca="1" si="6"/>
        <v>31842.482211396331</v>
      </c>
      <c r="G42" s="6">
        <f t="shared" ca="1" si="2"/>
        <v>1452.9610000124185</v>
      </c>
      <c r="H42" s="6">
        <f t="shared" ca="1" si="3"/>
        <v>624.80554375628799</v>
      </c>
      <c r="J42" s="9">
        <f t="shared" ca="1" si="4"/>
        <v>2.6007879999999948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45.821159999999999</v>
      </c>
      <c r="E43" s="5">
        <f t="shared" si="1"/>
        <v>19.365080000000003</v>
      </c>
      <c r="F43" s="6">
        <f t="shared" ca="1" si="6"/>
        <v>32670.63766765246</v>
      </c>
      <c r="G43" s="6">
        <f t="shared" ca="1" si="2"/>
        <v>1497.0065158715302</v>
      </c>
      <c r="H43" s="6">
        <f t="shared" ca="1" si="3"/>
        <v>632.66951208510341</v>
      </c>
      <c r="J43" s="9">
        <f t="shared" ca="1" si="4"/>
        <v>2.6456080000000086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45.916919999999998</v>
      </c>
      <c r="E44" s="5">
        <f t="shared" si="1"/>
        <v>19.079879999999999</v>
      </c>
      <c r="F44" s="6">
        <f t="shared" ca="1" si="6"/>
        <v>33534.974671438889</v>
      </c>
      <c r="G44" s="6">
        <f t="shared" ca="1" si="2"/>
        <v>1539.8227491904856</v>
      </c>
      <c r="H44" s="6">
        <f t="shared" ca="1" si="3"/>
        <v>639.84329253409339</v>
      </c>
      <c r="J44" s="9">
        <f t="shared" ca="1" si="4"/>
        <v>2.6837039999999837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45.964800000000004</v>
      </c>
      <c r="E45" s="5">
        <f t="shared" si="1"/>
        <v>18.652080000000002</v>
      </c>
      <c r="F45" s="6">
        <f t="shared" ca="1" si="6"/>
        <v>34434.954128095276</v>
      </c>
      <c r="G45" s="6">
        <f t="shared" ca="1" si="2"/>
        <v>1582.7957795070738</v>
      </c>
      <c r="H45" s="6">
        <f t="shared" ca="1" si="3"/>
        <v>642.28351919356339</v>
      </c>
      <c r="J45" s="9">
        <f t="shared" ca="1" si="4"/>
        <v>2.7312719999999975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46.108440000000002</v>
      </c>
      <c r="E46" s="5">
        <f t="shared" si="1"/>
        <v>17.824999999999999</v>
      </c>
      <c r="F46" s="6">
        <f t="shared" ca="1" si="6"/>
        <v>35375.466388408786</v>
      </c>
      <c r="G46" s="6">
        <f t="shared" ca="1" si="2"/>
        <v>1631.1075694419633</v>
      </c>
      <c r="H46" s="6">
        <f t="shared" ca="1" si="3"/>
        <v>630.56768837338666</v>
      </c>
      <c r="J46" s="9">
        <f t="shared" ca="1" si="4"/>
        <v>2.8283440000000102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46.2042</v>
      </c>
      <c r="E47" s="5">
        <f t="shared" si="1"/>
        <v>16.798279999999998</v>
      </c>
      <c r="F47" s="6">
        <f t="shared" ca="1" si="6"/>
        <v>36376.006269477366</v>
      </c>
      <c r="G47" s="6">
        <f t="shared" ca="1" si="2"/>
        <v>1680.7242688761862</v>
      </c>
      <c r="H47" s="6">
        <f t="shared" ca="1" si="3"/>
        <v>611.0543385964362</v>
      </c>
      <c r="J47" s="9">
        <f t="shared" ca="1" si="4"/>
        <v>2.9405919999999997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46.443600000000004</v>
      </c>
      <c r="E48" s="5">
        <f t="shared" si="1"/>
        <v>15.88564</v>
      </c>
      <c r="F48" s="6">
        <f t="shared" ca="1" si="6"/>
        <v>37445.676199757116</v>
      </c>
      <c r="G48" s="6">
        <f t="shared" ca="1" si="2"/>
        <v>1739.1120071510397</v>
      </c>
      <c r="H48" s="6">
        <f t="shared" ca="1" si="3"/>
        <v>594.84853166590972</v>
      </c>
      <c r="J48" s="9">
        <f t="shared" ca="1" si="4"/>
        <v>3.055796000000004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46.395720000000004</v>
      </c>
      <c r="E49" s="5">
        <f t="shared" si="1"/>
        <v>15.05856</v>
      </c>
      <c r="F49" s="6">
        <f t="shared" ca="1" si="6"/>
        <v>38589.939675242247</v>
      </c>
      <c r="G49" s="6">
        <f t="shared" ca="1" si="2"/>
        <v>1790.4080359894306</v>
      </c>
      <c r="H49" s="6">
        <f t="shared" ca="1" si="3"/>
        <v>581.10892199601597</v>
      </c>
      <c r="J49" s="9">
        <f t="shared" ca="1" si="4"/>
        <v>3.1337159999999868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46.108440000000002</v>
      </c>
      <c r="E50" s="5">
        <f t="shared" si="1"/>
        <v>14.830400000000001</v>
      </c>
      <c r="F50" s="6">
        <f t="shared" ca="1" si="6"/>
        <v>39799.238789235656</v>
      </c>
      <c r="G50" s="6">
        <f t="shared" ca="1" si="2"/>
        <v>1835.0808137591448</v>
      </c>
      <c r="H50" s="6">
        <f t="shared" ca="1" si="3"/>
        <v>590.23863093988052</v>
      </c>
      <c r="J50" s="9">
        <f t="shared" ca="1" si="4"/>
        <v>3.1278040000000038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46.108440000000002</v>
      </c>
      <c r="E51" s="5">
        <f t="shared" si="1"/>
        <v>14.43112</v>
      </c>
      <c r="F51" s="6">
        <f t="shared" ca="1" si="6"/>
        <v>41044.080972054922</v>
      </c>
      <c r="G51" s="6">
        <f t="shared" ca="1" si="2"/>
        <v>1892.4785448551361</v>
      </c>
      <c r="H51" s="6">
        <f t="shared" ca="1" si="3"/>
        <v>592.3120577974413</v>
      </c>
      <c r="J51" s="9">
        <f t="shared" ca="1" si="4"/>
        <v>3.1677319999999964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46.252079999999999</v>
      </c>
      <c r="E52" s="5">
        <f t="shared" si="1"/>
        <v>14.31704</v>
      </c>
      <c r="F52" s="6">
        <f t="shared" ca="1" si="6"/>
        <v>42344.247459112616</v>
      </c>
      <c r="G52" s="6">
        <f t="shared" ca="1" si="2"/>
        <v>1958.5095210186735</v>
      </c>
      <c r="H52" s="6">
        <f t="shared" ca="1" si="3"/>
        <v>606.24428464201367</v>
      </c>
      <c r="J52" s="9">
        <f t="shared" ca="1" si="4"/>
        <v>3.1935039999999857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46.299959999999999</v>
      </c>
      <c r="E53" s="5">
        <f t="shared" si="1"/>
        <v>14.060359999999999</v>
      </c>
      <c r="F53" s="6">
        <f t="shared" ca="1" si="6"/>
        <v>43696.512695489269</v>
      </c>
      <c r="G53" s="6">
        <f t="shared" ca="1" si="2"/>
        <v>2023.1467899406452</v>
      </c>
      <c r="H53" s="6">
        <f t="shared" ca="1" si="3"/>
        <v>614.38869924314952</v>
      </c>
      <c r="J53" s="9">
        <f t="shared" ca="1" si="4"/>
        <v>3.2239600000000053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46.730879999999999</v>
      </c>
      <c r="E54" s="5">
        <f t="shared" si="1"/>
        <v>13.48996</v>
      </c>
      <c r="F54" s="6">
        <f t="shared" ca="1" si="6"/>
        <v>45105.270786186768</v>
      </c>
      <c r="G54" s="6">
        <f t="shared" ca="1" si="2"/>
        <v>2107.8089964767992</v>
      </c>
      <c r="H54" s="6">
        <f t="shared" ca="1" si="3"/>
        <v>608.46829869482804</v>
      </c>
      <c r="J54" s="9">
        <f t="shared" ca="1" si="4"/>
        <v>3.32409200000001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46.587240000000001</v>
      </c>
      <c r="E55" s="5">
        <f t="shared" si="1"/>
        <v>12.57732</v>
      </c>
      <c r="F55" s="6">
        <f t="shared" ca="1" si="6"/>
        <v>46604.611483968743</v>
      </c>
      <c r="G55" s="6">
        <f t="shared" ca="1" si="2"/>
        <v>2171.180220310408</v>
      </c>
      <c r="H55" s="6">
        <f t="shared" ca="1" si="3"/>
        <v>586.16111210954978</v>
      </c>
      <c r="J55" s="9">
        <f t="shared" ca="1" si="4"/>
        <v>3.4009920000000049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47.018160000000002</v>
      </c>
      <c r="E56" s="5">
        <f t="shared" si="1"/>
        <v>12.006919999999999</v>
      </c>
      <c r="F56" s="6">
        <f t="shared" ca="1" si="6"/>
        <v>48189.630592169604</v>
      </c>
      <c r="G56" s="6">
        <f t="shared" ca="1" si="2"/>
        <v>2265.7877615235252</v>
      </c>
      <c r="H56" s="6">
        <f t="shared" ca="1" si="3"/>
        <v>578.60903934973305</v>
      </c>
      <c r="J56" s="9">
        <f t="shared" ca="1" si="4"/>
        <v>3.5011239999999964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47.401200000000003</v>
      </c>
      <c r="E57" s="5">
        <f t="shared" si="1"/>
        <v>11.350960000000001</v>
      </c>
      <c r="F57" s="6">
        <f t="shared" ca="1" si="6"/>
        <v>49876.809314343394</v>
      </c>
      <c r="G57" s="6">
        <f t="shared" ca="1" si="2"/>
        <v>2364.2206136710543</v>
      </c>
      <c r="H57" s="6">
        <f t="shared" ca="1" si="3"/>
        <v>566.1496674547393</v>
      </c>
      <c r="J57" s="9">
        <f t="shared" ca="1" si="4"/>
        <v>3.6050239999999985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47.640599999999999</v>
      </c>
      <c r="E58" s="5">
        <f t="shared" si="1"/>
        <v>11.065760000000001</v>
      </c>
      <c r="F58" s="6">
        <f t="shared" ca="1" si="6"/>
        <v>51674.880260559708</v>
      </c>
      <c r="G58" s="6">
        <f t="shared" ca="1" si="2"/>
        <v>2461.8223005412206</v>
      </c>
      <c r="H58" s="6">
        <f t="shared" ca="1" si="3"/>
        <v>571.82182299209126</v>
      </c>
      <c r="J58" s="9">
        <f t="shared" ca="1" si="4"/>
        <v>3.6574840000000055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47.927879999999995</v>
      </c>
      <c r="E59" s="5">
        <f t="shared" si="1"/>
        <v>10.66648</v>
      </c>
      <c r="F59" s="6">
        <f t="shared" ca="1" si="6"/>
        <v>53564.880738108841</v>
      </c>
      <c r="G59" s="6">
        <f t="shared" ca="1" si="2"/>
        <v>2567.2511762303916</v>
      </c>
      <c r="H59" s="6">
        <f t="shared" ca="1" si="3"/>
        <v>571.34872909542321</v>
      </c>
      <c r="J59" s="9">
        <f t="shared" ca="1" si="4"/>
        <v>3.7261400000000013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47.88</v>
      </c>
      <c r="E60" s="5">
        <f t="shared" si="1"/>
        <v>10.52388</v>
      </c>
      <c r="F60" s="6">
        <f t="shared" ca="1" si="6"/>
        <v>55560.78318524381</v>
      </c>
      <c r="G60" s="6">
        <f t="shared" ca="1" si="2"/>
        <v>2660.2502989094737</v>
      </c>
      <c r="H60" s="6">
        <f t="shared" ca="1" si="3"/>
        <v>584.71501494752363</v>
      </c>
      <c r="J60" s="9">
        <f t="shared" ca="1" si="4"/>
        <v>3.7356120000000033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47.688480000000006</v>
      </c>
      <c r="E61" s="5">
        <f t="shared" si="1"/>
        <v>10.124599999999999</v>
      </c>
      <c r="F61" s="6">
        <f t="shared" ca="1" si="6"/>
        <v>57636.318469205762</v>
      </c>
      <c r="G61" s="6">
        <f t="shared" ca="1" si="2"/>
        <v>2748.5884205923498</v>
      </c>
      <c r="H61" s="6">
        <f t="shared" ca="1" si="3"/>
        <v>583.54466997332054</v>
      </c>
      <c r="J61" s="9">
        <f t="shared" ca="1" si="4"/>
        <v>3.756387999999999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47.449080000000002</v>
      </c>
      <c r="E62" s="5">
        <f t="shared" si="1"/>
        <v>9.8679199999999998</v>
      </c>
      <c r="F62" s="6">
        <f t="shared" ca="1" si="6"/>
        <v>59801.36221982479</v>
      </c>
      <c r="G62" s="6">
        <f t="shared" ca="1" si="2"/>
        <v>2837.5196200774444</v>
      </c>
      <c r="H62" s="6">
        <f t="shared" ca="1" si="3"/>
        <v>590.11505827625342</v>
      </c>
      <c r="J62" s="9">
        <f t="shared" ca="1" si="4"/>
        <v>3.7581159999999953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47.353320000000004</v>
      </c>
      <c r="E63" s="5">
        <f t="shared" si="1"/>
        <v>9.4116</v>
      </c>
      <c r="F63" s="6">
        <f t="shared" ca="1" si="6"/>
        <v>62048.766781625978</v>
      </c>
      <c r="G63" s="6">
        <f t="shared" ca="1" si="2"/>
        <v>2938.2151090157049</v>
      </c>
      <c r="H63" s="6">
        <f t="shared" ca="1" si="3"/>
        <v>583.97817344195107</v>
      </c>
      <c r="J63" s="9">
        <f t="shared" ca="1" si="4"/>
        <v>3.7941719999999997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47.209679999999999</v>
      </c>
      <c r="E64" s="5">
        <f t="shared" si="1"/>
        <v>9.1264000000000003</v>
      </c>
      <c r="F64" s="6">
        <f t="shared" ca="1" si="6"/>
        <v>64403.003717199732</v>
      </c>
      <c r="G64" s="6">
        <f t="shared" ca="1" si="2"/>
        <v>3040.4451965278099</v>
      </c>
      <c r="H64" s="6">
        <f t="shared" ca="1" si="3"/>
        <v>587.76757312465168</v>
      </c>
      <c r="J64" s="9">
        <f t="shared" ca="1" si="4"/>
        <v>3.8083279999999866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47.11392</v>
      </c>
      <c r="E65" s="5">
        <f t="shared" si="1"/>
        <v>8.9267599999999998</v>
      </c>
      <c r="F65" s="6">
        <f t="shared" ca="1" si="6"/>
        <v>66855.681340602881</v>
      </c>
      <c r="G65" s="6">
        <f t="shared" ca="1" si="2"/>
        <v>3149.8332222266572</v>
      </c>
      <c r="H65" s="6">
        <f t="shared" ca="1" si="3"/>
        <v>596.80462196404017</v>
      </c>
      <c r="J65" s="9">
        <f t="shared" ca="1" si="4"/>
        <v>3.81871600000001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47.11392</v>
      </c>
      <c r="E66" s="5">
        <f t="shared" si="1"/>
        <v>8.6700800000000005</v>
      </c>
      <c r="F66" s="6">
        <f t="shared" ca="1" si="6"/>
        <v>69408.709940865505</v>
      </c>
      <c r="G66" s="6">
        <f t="shared" ca="1" si="2"/>
        <v>3270.116407457142</v>
      </c>
      <c r="H66" s="6">
        <f t="shared" ca="1" si="3"/>
        <v>601.77906788409916</v>
      </c>
      <c r="J66" s="9">
        <f t="shared" ca="1" si="4"/>
        <v>3.8443840000000029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46.778759999999998</v>
      </c>
      <c r="E67" s="5">
        <f t="shared" si="1"/>
        <v>8.5274799999999988</v>
      </c>
      <c r="F67" s="6">
        <f t="shared" ca="1" si="6"/>
        <v>72077.04728043855</v>
      </c>
      <c r="G67" s="6">
        <f t="shared" ca="1" si="2"/>
        <v>3371.6748962402876</v>
      </c>
      <c r="H67" s="6">
        <f t="shared" ca="1" si="3"/>
        <v>614.63557914299406</v>
      </c>
      <c r="J67" s="9">
        <f t="shared" ca="1" si="4"/>
        <v>3.8251280000000043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46.587240000000001</v>
      </c>
      <c r="E68" s="5">
        <f t="shared" si="1"/>
        <v>8.3563599999999987</v>
      </c>
      <c r="F68" s="6">
        <f t="shared" ca="1" si="6"/>
        <v>74834.086597535847</v>
      </c>
      <c r="G68" s="6">
        <f t="shared" ca="1" si="2"/>
        <v>3486.3135525001862</v>
      </c>
      <c r="H68" s="6">
        <f t="shared" ca="1" si="3"/>
        <v>625.34056788018449</v>
      </c>
      <c r="J68" s="9">
        <f t="shared" ca="1" si="4"/>
        <v>3.8230880000000065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46.012680000000003</v>
      </c>
      <c r="E69" s="5">
        <f t="shared" si="1"/>
        <v>8.3563599999999987</v>
      </c>
      <c r="F69" s="6">
        <f t="shared" ca="1" si="6"/>
        <v>77695.059582155853</v>
      </c>
      <c r="G69" s="6">
        <f t="shared" ca="1" si="2"/>
        <v>3574.9579141346708</v>
      </c>
      <c r="H69" s="6">
        <f t="shared" ca="1" si="3"/>
        <v>649.24788808994379</v>
      </c>
      <c r="J69" s="9">
        <f t="shared" ca="1" si="4"/>
        <v>3.7656320000000081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45.581760000000003</v>
      </c>
      <c r="E70" s="5">
        <f t="shared" si="1"/>
        <v>8.3278400000000001</v>
      </c>
      <c r="F70" s="6">
        <f t="shared" ca="1" si="6"/>
        <v>80620.769608200586</v>
      </c>
      <c r="G70" s="6">
        <f t="shared" ca="1" si="2"/>
        <v>3674.8365712962932</v>
      </c>
      <c r="H70" s="6">
        <f t="shared" ca="1" si="3"/>
        <v>671.39686997395722</v>
      </c>
      <c r="J70" s="9">
        <f t="shared" ca="1" si="4"/>
        <v>3.7253919999999989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45.677520000000001</v>
      </c>
      <c r="E71" s="5">
        <f t="shared" si="1"/>
        <v>8.2422799999999992</v>
      </c>
      <c r="F71" s="6">
        <f t="shared" ca="1" si="6"/>
        <v>83624.209309522921</v>
      </c>
      <c r="G71" s="6">
        <f t="shared" ca="1" si="2"/>
        <v>3819.7464932199196</v>
      </c>
      <c r="H71" s="6">
        <f t="shared" ca="1" si="3"/>
        <v>689.25414790769457</v>
      </c>
      <c r="J71" s="9">
        <f t="shared" ca="1" si="4"/>
        <v>3.7435240000000083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45.533880000000003</v>
      </c>
      <c r="E72" s="5">
        <f t="shared" ref="E72:E121" si="8">C72*$E$6</f>
        <v>8.0996799999999993</v>
      </c>
      <c r="F72" s="6">
        <f t="shared" ca="1" si="6"/>
        <v>86754.701654835153</v>
      </c>
      <c r="G72" s="6">
        <f t="shared" ref="G72:G121" ca="1" si="9">F72*D72/1000</f>
        <v>3950.2781745870652</v>
      </c>
      <c r="H72" s="6">
        <f t="shared" ref="H72:H121" ca="1" si="10">E72*F72/1000</f>
        <v>702.68532189963514</v>
      </c>
      <c r="J72" s="9">
        <f t="shared" ref="J72:J121" ca="1" si="11">100 *(F73-F72) / F72</f>
        <v>3.743419999999988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45.342359999999999</v>
      </c>
      <c r="E73" s="5">
        <f t="shared" si="8"/>
        <v>7.8144800000000005</v>
      </c>
      <c r="F73" s="6">
        <f t="shared" ref="F73:F122" ca="1" si="13">F72+G72-H72+I72</f>
        <v>90002.294507522573</v>
      </c>
      <c r="G73" s="6">
        <f t="shared" ca="1" si="9"/>
        <v>4080.9164383861112</v>
      </c>
      <c r="H73" s="6">
        <f t="shared" ca="1" si="10"/>
        <v>703.32113038314503</v>
      </c>
      <c r="J73" s="9">
        <f t="shared" ca="1" si="11"/>
        <v>3.7527879999999905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45.007199999999997</v>
      </c>
      <c r="E74" s="5">
        <f t="shared" si="8"/>
        <v>7.3011200000000001</v>
      </c>
      <c r="F74" s="6">
        <f t="shared" ca="1" si="13"/>
        <v>93379.88981552553</v>
      </c>
      <c r="G74" s="6">
        <f t="shared" ca="1" si="9"/>
        <v>4202.7673769053199</v>
      </c>
      <c r="H74" s="6">
        <f t="shared" ca="1" si="10"/>
        <v>681.77778112992985</v>
      </c>
      <c r="J74" s="9">
        <f t="shared" ca="1" si="11"/>
        <v>3.7706079999999997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44.384760000000007</v>
      </c>
      <c r="E75" s="5">
        <f t="shared" si="8"/>
        <v>6.9303599999999994</v>
      </c>
      <c r="F75" s="6">
        <f t="shared" ca="1" si="13"/>
        <v>96900.879411300921</v>
      </c>
      <c r="G75" s="6">
        <f t="shared" ca="1" si="9"/>
        <v>4300.9222764595334</v>
      </c>
      <c r="H75" s="6">
        <f t="shared" ca="1" si="10"/>
        <v>671.55797863690339</v>
      </c>
      <c r="J75" s="9">
        <f t="shared" ca="1" si="11"/>
        <v>3.7454399999999977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43.522920000000006</v>
      </c>
      <c r="E76" s="5">
        <f t="shared" si="8"/>
        <v>6.6166400000000003</v>
      </c>
      <c r="F76" s="6">
        <f t="shared" ca="1" si="13"/>
        <v>100530.24370912355</v>
      </c>
      <c r="G76" s="6">
        <f t="shared" ca="1" si="9"/>
        <v>4375.3697545326886</v>
      </c>
      <c r="H76" s="6">
        <f t="shared" ca="1" si="10"/>
        <v>665.17243173553527</v>
      </c>
      <c r="J76" s="9">
        <f t="shared" ca="1" si="11"/>
        <v>3.6906279999999945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42.469560000000001</v>
      </c>
      <c r="E77" s="5">
        <f t="shared" si="8"/>
        <v>6.4169999999999998</v>
      </c>
      <c r="F77" s="6">
        <f t="shared" ca="1" si="13"/>
        <v>104240.44103192069</v>
      </c>
      <c r="G77" s="6">
        <f t="shared" ca="1" si="9"/>
        <v>4427.0456648316176</v>
      </c>
      <c r="H77" s="6">
        <f t="shared" ca="1" si="10"/>
        <v>668.91091010183504</v>
      </c>
      <c r="J77" s="9">
        <f t="shared" ca="1" si="11"/>
        <v>3.6052559999999949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41.559840000000001</v>
      </c>
      <c r="E78" s="5">
        <f t="shared" si="8"/>
        <v>6.1318000000000001</v>
      </c>
      <c r="F78" s="6">
        <f t="shared" ca="1" si="13"/>
        <v>107998.57578665047</v>
      </c>
      <c r="G78" s="6">
        <f t="shared" ca="1" si="9"/>
        <v>4488.4035299210682</v>
      </c>
      <c r="H78" s="6">
        <f t="shared" ca="1" si="10"/>
        <v>662.2256670085834</v>
      </c>
      <c r="J78" s="9">
        <f t="shared" ca="1" si="11"/>
        <v>3.5428040000000043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40.123440000000002</v>
      </c>
      <c r="E79" s="5">
        <f t="shared" si="8"/>
        <v>5.9321599999999997</v>
      </c>
      <c r="F79" s="6">
        <f t="shared" ca="1" si="13"/>
        <v>111824.75364956296</v>
      </c>
      <c r="G79" s="6">
        <f t="shared" ca="1" si="9"/>
        <v>4486.7937935730206</v>
      </c>
      <c r="H79" s="6">
        <f t="shared" ca="1" si="10"/>
        <v>663.36233060979134</v>
      </c>
      <c r="J79" s="9">
        <f t="shared" ca="1" si="11"/>
        <v>3.4191279999999993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38.782800000000002</v>
      </c>
      <c r="E80" s="5">
        <f t="shared" si="8"/>
        <v>5.7895600000000007</v>
      </c>
      <c r="F80" s="6">
        <f t="shared" ca="1" si="13"/>
        <v>115648.18511252619</v>
      </c>
      <c r="G80" s="6">
        <f t="shared" ca="1" si="9"/>
        <v>4485.1604335820803</v>
      </c>
      <c r="H80" s="6">
        <f t="shared" ca="1" si="10"/>
        <v>669.5521066000772</v>
      </c>
      <c r="J80" s="9">
        <f t="shared" ca="1" si="11"/>
        <v>3.2993239999999915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37.394280000000002</v>
      </c>
      <c r="E81" s="5">
        <f t="shared" si="8"/>
        <v>5.5613999999999999</v>
      </c>
      <c r="F81" s="6">
        <f t="shared" ca="1" si="13"/>
        <v>119463.79343950818</v>
      </c>
      <c r="G81" s="6">
        <f t="shared" ca="1" si="9"/>
        <v>4467.2625417391318</v>
      </c>
      <c r="H81" s="6">
        <f t="shared" ca="1" si="10"/>
        <v>664.38594083448083</v>
      </c>
      <c r="J81" s="9">
        <f t="shared" ca="1" si="11"/>
        <v>3.1832879999999886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36.819720000000004</v>
      </c>
      <c r="E82" s="5">
        <f t="shared" si="8"/>
        <v>5.2762000000000002</v>
      </c>
      <c r="F82" s="6">
        <f t="shared" ca="1" si="13"/>
        <v>123266.67004041282</v>
      </c>
      <c r="G82" s="6">
        <f t="shared" ca="1" si="9"/>
        <v>4538.6442762203897</v>
      </c>
      <c r="H82" s="6">
        <f t="shared" ca="1" si="10"/>
        <v>650.37960446722616</v>
      </c>
      <c r="J82" s="9">
        <f t="shared" ca="1" si="11"/>
        <v>3.15435200000001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36.436680000000003</v>
      </c>
      <c r="E83" s="5">
        <f t="shared" si="8"/>
        <v>5.1335999999999995</v>
      </c>
      <c r="F83" s="6">
        <f t="shared" ca="1" si="13"/>
        <v>127154.934712166</v>
      </c>
      <c r="G83" s="6">
        <f t="shared" ca="1" si="9"/>
        <v>4633.1036665280853</v>
      </c>
      <c r="H83" s="6">
        <f t="shared" ca="1" si="10"/>
        <v>652.76257283837538</v>
      </c>
      <c r="J83" s="9">
        <f t="shared" ca="1" si="11"/>
        <v>3.1303080000000141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36.293040000000005</v>
      </c>
      <c r="E84" s="5">
        <f t="shared" si="8"/>
        <v>5.01952</v>
      </c>
      <c r="F84" s="6">
        <f t="shared" ca="1" si="13"/>
        <v>131135.27580585572</v>
      </c>
      <c r="G84" s="6">
        <f t="shared" ca="1" si="9"/>
        <v>4759.2978102329553</v>
      </c>
      <c r="H84" s="6">
        <f t="shared" ca="1" si="10"/>
        <v>658.23613961300896</v>
      </c>
      <c r="J84" s="9">
        <f t="shared" ca="1" si="11"/>
        <v>3.1273520000000152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36.197279999999999</v>
      </c>
      <c r="E85" s="5">
        <f t="shared" si="8"/>
        <v>4.8769200000000001</v>
      </c>
      <c r="F85" s="6">
        <f t="shared" ca="1" si="13"/>
        <v>135236.33747647569</v>
      </c>
      <c r="G85" s="6">
        <f t="shared" ca="1" si="9"/>
        <v>4895.1875738104836</v>
      </c>
      <c r="H85" s="6">
        <f t="shared" ca="1" si="10"/>
        <v>659.53679896577376</v>
      </c>
      <c r="J85" s="9">
        <f t="shared" ca="1" si="11"/>
        <v>3.132036000000006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36.436680000000003</v>
      </c>
      <c r="E86" s="5">
        <f t="shared" si="8"/>
        <v>4.7343200000000003</v>
      </c>
      <c r="F86" s="6">
        <f t="shared" ca="1" si="13"/>
        <v>139471.98825132041</v>
      </c>
      <c r="G86" s="6">
        <f t="shared" ca="1" si="9"/>
        <v>5081.8962048771218</v>
      </c>
      <c r="H86" s="6">
        <f t="shared" ca="1" si="10"/>
        <v>660.30502341799126</v>
      </c>
      <c r="J86" s="9">
        <f t="shared" ca="1" si="11"/>
        <v>3.1702360000000058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36.1494</v>
      </c>
      <c r="E87" s="5">
        <f t="shared" si="8"/>
        <v>4.6487600000000002</v>
      </c>
      <c r="F87" s="6">
        <f t="shared" ca="1" si="13"/>
        <v>143893.57943277954</v>
      </c>
      <c r="G87" s="6">
        <f t="shared" ca="1" si="9"/>
        <v>5201.6665603473202</v>
      </c>
      <c r="H87" s="6">
        <f t="shared" ca="1" si="10"/>
        <v>668.9267163239283</v>
      </c>
      <c r="J87" s="9">
        <f t="shared" ca="1" si="11"/>
        <v>3.1500639999999818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35.574840000000002</v>
      </c>
      <c r="E88" s="5">
        <f t="shared" si="8"/>
        <v>4.5632000000000001</v>
      </c>
      <c r="F88" s="6">
        <f t="shared" ca="1" si="13"/>
        <v>148426.31927680291</v>
      </c>
      <c r="G88" s="6">
        <f t="shared" ca="1" si="9"/>
        <v>5280.2425600611787</v>
      </c>
      <c r="H88" s="6">
        <f t="shared" ca="1" si="10"/>
        <v>677.29898012390709</v>
      </c>
      <c r="J88" s="9">
        <f t="shared" ca="1" si="11"/>
        <v>3.1011640000000007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34.76088</v>
      </c>
      <c r="E89" s="5">
        <f t="shared" si="8"/>
        <v>4.5346799999999998</v>
      </c>
      <c r="F89" s="6">
        <f t="shared" ca="1" si="13"/>
        <v>153029.26285674018</v>
      </c>
      <c r="G89" s="6">
        <f t="shared" ca="1" si="9"/>
        <v>5319.4318426516029</v>
      </c>
      <c r="H89" s="6">
        <f t="shared" ca="1" si="10"/>
        <v>693.9387376912025</v>
      </c>
      <c r="J89" s="9">
        <f t="shared" ca="1" si="11"/>
        <v>3.0226199999999941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33.755400000000002</v>
      </c>
      <c r="E90" s="5">
        <f t="shared" si="8"/>
        <v>4.5632000000000001</v>
      </c>
      <c r="F90" s="6">
        <f t="shared" ca="1" si="13"/>
        <v>157654.75596170058</v>
      </c>
      <c r="G90" s="6">
        <f t="shared" ca="1" si="9"/>
        <v>5321.699349389588</v>
      </c>
      <c r="H90" s="6">
        <f t="shared" ca="1" si="10"/>
        <v>719.41018240443213</v>
      </c>
      <c r="J90" s="9">
        <f t="shared" ca="1" si="11"/>
        <v>2.9192200000000073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32.319000000000003</v>
      </c>
      <c r="E91" s="5">
        <f t="shared" si="8"/>
        <v>4.5917200000000005</v>
      </c>
      <c r="F91" s="6">
        <f t="shared" ca="1" si="13"/>
        <v>162257.04512868574</v>
      </c>
      <c r="G91" s="6">
        <f t="shared" ca="1" si="9"/>
        <v>5243.9854415139944</v>
      </c>
      <c r="H91" s="6">
        <f t="shared" ca="1" si="10"/>
        <v>745.03891925828896</v>
      </c>
      <c r="J91" s="9">
        <f t="shared" ca="1" si="11"/>
        <v>2.7727280000000083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31.026240000000001</v>
      </c>
      <c r="E92" s="5">
        <f t="shared" si="8"/>
        <v>4.6487600000000002</v>
      </c>
      <c r="F92" s="6">
        <f t="shared" ca="1" si="13"/>
        <v>166755.99165094146</v>
      </c>
      <c r="G92" s="6">
        <f t="shared" ca="1" si="9"/>
        <v>5173.811418400106</v>
      </c>
      <c r="H92" s="6">
        <f t="shared" ca="1" si="10"/>
        <v>775.2085837472307</v>
      </c>
      <c r="J92" s="9">
        <f t="shared" ca="1" si="11"/>
        <v>2.6377480000000006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29.589840000000002</v>
      </c>
      <c r="E93" s="5">
        <f t="shared" si="8"/>
        <v>4.6487600000000002</v>
      </c>
      <c r="F93" s="6">
        <f t="shared" ca="1" si="13"/>
        <v>171154.59448559434</v>
      </c>
      <c r="G93" s="6">
        <f t="shared" ca="1" si="9"/>
        <v>5064.4370660936193</v>
      </c>
      <c r="H93" s="6">
        <f t="shared" ca="1" si="10"/>
        <v>795.65663266085153</v>
      </c>
      <c r="J93" s="9">
        <f t="shared" ca="1" si="11"/>
        <v>2.4941079999999913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28.440719999999999</v>
      </c>
      <c r="E94" s="5">
        <f t="shared" si="8"/>
        <v>4.6202399999999999</v>
      </c>
      <c r="F94" s="6">
        <f t="shared" ca="1" si="13"/>
        <v>175423.37491902709</v>
      </c>
      <c r="G94" s="6">
        <f t="shared" ca="1" si="9"/>
        <v>4989.167087527072</v>
      </c>
      <c r="H94" s="6">
        <f t="shared" ca="1" si="10"/>
        <v>810.49809373588573</v>
      </c>
      <c r="J94" s="9">
        <f t="shared" ca="1" si="11"/>
        <v>2.3820480000000002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27.24372</v>
      </c>
      <c r="E95" s="5">
        <f t="shared" si="8"/>
        <v>4.5917200000000005</v>
      </c>
      <c r="F95" s="6">
        <f t="shared" ca="1" si="13"/>
        <v>179602.04391281828</v>
      </c>
      <c r="G95" s="6">
        <f t="shared" ca="1" si="9"/>
        <v>4893.0277957885255</v>
      </c>
      <c r="H95" s="6">
        <f t="shared" ca="1" si="10"/>
        <v>824.68229707536602</v>
      </c>
      <c r="J95" s="9">
        <f t="shared" ca="1" si="11"/>
        <v>2.2651999999999894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26.669160000000005</v>
      </c>
      <c r="E96" s="5">
        <f t="shared" si="8"/>
        <v>4.5061600000000004</v>
      </c>
      <c r="F96" s="6">
        <f t="shared" ca="1" si="13"/>
        <v>183670.38941153142</v>
      </c>
      <c r="G96" s="6">
        <f t="shared" ca="1" si="9"/>
        <v>4898.3350024784386</v>
      </c>
      <c r="H96" s="6">
        <f t="shared" ca="1" si="10"/>
        <v>827.64816195066646</v>
      </c>
      <c r="J96" s="9">
        <f t="shared" ca="1" si="11"/>
        <v>2.2163000000000039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26.190360000000002</v>
      </c>
      <c r="E97" s="5">
        <f t="shared" si="8"/>
        <v>4.4491199999999997</v>
      </c>
      <c r="F97" s="6">
        <f t="shared" ca="1" si="13"/>
        <v>187741.0762520592</v>
      </c>
      <c r="G97" s="6">
        <f t="shared" ca="1" si="9"/>
        <v>4917.0063738288818</v>
      </c>
      <c r="H97" s="6">
        <f t="shared" ca="1" si="10"/>
        <v>835.28257717456154</v>
      </c>
      <c r="J97" s="9">
        <f t="shared" ca="1" si="11"/>
        <v>2.1741239999999991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26.094600000000003</v>
      </c>
      <c r="E98" s="5">
        <f t="shared" si="8"/>
        <v>4.4206000000000003</v>
      </c>
      <c r="F98" s="6">
        <f t="shared" ca="1" si="13"/>
        <v>191822.80004871351</v>
      </c>
      <c r="G98" s="6">
        <f t="shared" ca="1" si="9"/>
        <v>5005.5392381511601</v>
      </c>
      <c r="H98" s="6">
        <f t="shared" ca="1" si="10"/>
        <v>847.97186989534293</v>
      </c>
      <c r="J98" s="9">
        <f t="shared" ca="1" si="11"/>
        <v>2.1673999999999976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25.567920000000004</v>
      </c>
      <c r="E99" s="5">
        <f t="shared" si="8"/>
        <v>4.39208</v>
      </c>
      <c r="F99" s="6">
        <f t="shared" ca="1" si="13"/>
        <v>195980.36741696933</v>
      </c>
      <c r="G99" s="6">
        <f t="shared" ca="1" si="9"/>
        <v>5010.8103556876786</v>
      </c>
      <c r="H99" s="6">
        <f t="shared" ca="1" si="10"/>
        <v>860.76145212472261</v>
      </c>
      <c r="J99" s="9">
        <f t="shared" ca="1" si="11"/>
        <v>2.1175840000000088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25.089120000000001</v>
      </c>
      <c r="E100" s="5">
        <f t="shared" si="8"/>
        <v>4.3635599999999997</v>
      </c>
      <c r="F100" s="6">
        <f t="shared" ca="1" si="13"/>
        <v>200130.4163205323</v>
      </c>
      <c r="G100" s="6">
        <f t="shared" ca="1" si="9"/>
        <v>5021.0960307157929</v>
      </c>
      <c r="H100" s="6">
        <f t="shared" ca="1" si="10"/>
        <v>873.28107943962186</v>
      </c>
      <c r="J100" s="9">
        <f t="shared" ca="1" si="11"/>
        <v>2.0725560000000014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24.562440000000002</v>
      </c>
      <c r="E101" s="5">
        <f t="shared" si="8"/>
        <v>4.3350400000000002</v>
      </c>
      <c r="F101" s="6">
        <f t="shared" ca="1" si="13"/>
        <v>204278.23127180847</v>
      </c>
      <c r="G101" s="6">
        <f t="shared" ca="1" si="9"/>
        <v>5017.5717989199202</v>
      </c>
      <c r="H101" s="6">
        <f t="shared" ca="1" si="10"/>
        <v>885.55430369254066</v>
      </c>
      <c r="J101" s="9">
        <f t="shared" ca="1" si="11"/>
        <v>2.0227400000000082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24.131520000000002</v>
      </c>
      <c r="E102" s="5">
        <f t="shared" si="8"/>
        <v>4.3350400000000002</v>
      </c>
      <c r="F102" s="6">
        <f t="shared" ca="1" si="13"/>
        <v>208410.24876703587</v>
      </c>
      <c r="G102" s="6">
        <f t="shared" ca="1" si="9"/>
        <v>5029.2560863267017</v>
      </c>
      <c r="H102" s="6">
        <f t="shared" ca="1" si="10"/>
        <v>903.46676481505119</v>
      </c>
      <c r="J102" s="9">
        <f t="shared" ca="1" si="11"/>
        <v>1.9796479999999925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23.652720000000002</v>
      </c>
      <c r="E103" s="5">
        <f t="shared" si="8"/>
        <v>4.3350400000000002</v>
      </c>
      <c r="F103" s="6">
        <f t="shared" ca="1" si="13"/>
        <v>212536.0380885475</v>
      </c>
      <c r="G103" s="6">
        <f t="shared" ca="1" si="9"/>
        <v>5027.0553988177498</v>
      </c>
      <c r="H103" s="6">
        <f t="shared" ca="1" si="10"/>
        <v>921.352226555377</v>
      </c>
      <c r="J103" s="9">
        <f t="shared" ca="1" si="11"/>
        <v>1.9317680000000035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23.221800000000002</v>
      </c>
      <c r="E104" s="5">
        <f t="shared" si="8"/>
        <v>4.3635599999999997</v>
      </c>
      <c r="F104" s="6">
        <f t="shared" ca="1" si="13"/>
        <v>216641.74126080988</v>
      </c>
      <c r="G104" s="6">
        <f t="shared" ca="1" si="9"/>
        <v>5030.8111872102745</v>
      </c>
      <c r="H104" s="6">
        <f t="shared" ca="1" si="10"/>
        <v>945.32923649601958</v>
      </c>
      <c r="J104" s="9">
        <f t="shared" ca="1" si="11"/>
        <v>1.8858239999999988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22.838760000000001</v>
      </c>
      <c r="E105" s="5">
        <f t="shared" si="8"/>
        <v>4.39208</v>
      </c>
      <c r="F105" s="6">
        <f t="shared" ca="1" si="13"/>
        <v>220727.22321152413</v>
      </c>
      <c r="G105" s="6">
        <f t="shared" ca="1" si="9"/>
        <v>5041.1360763944294</v>
      </c>
      <c r="H105" s="6">
        <f t="shared" ca="1" si="10"/>
        <v>969.45162252287093</v>
      </c>
      <c r="J105" s="9">
        <f t="shared" ca="1" si="11"/>
        <v>1.844668000000004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22.455719999999999</v>
      </c>
      <c r="E106" s="5">
        <f t="shared" si="8"/>
        <v>4.4206000000000003</v>
      </c>
      <c r="F106" s="6">
        <f t="shared" ca="1" si="13"/>
        <v>224798.9076653957</v>
      </c>
      <c r="G106" s="6">
        <f t="shared" ca="1" si="9"/>
        <v>5048.0213268399793</v>
      </c>
      <c r="H106" s="6">
        <f t="shared" ca="1" si="10"/>
        <v>993.74605122564822</v>
      </c>
      <c r="J106" s="9">
        <f t="shared" ca="1" si="11"/>
        <v>1.8035120000000062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22.072680000000002</v>
      </c>
      <c r="E107" s="5">
        <f t="shared" si="8"/>
        <v>4.4491199999999997</v>
      </c>
      <c r="F107" s="6">
        <f t="shared" ca="1" si="13"/>
        <v>228853.18294101005</v>
      </c>
      <c r="G107" s="6">
        <f t="shared" ca="1" si="9"/>
        <v>5051.4030740383741</v>
      </c>
      <c r="H107" s="6">
        <f t="shared" ca="1" si="10"/>
        <v>1018.1952732865066</v>
      </c>
      <c r="J107" s="9">
        <f t="shared" ca="1" si="11"/>
        <v>1.7623559999999896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21.689640000000001</v>
      </c>
      <c r="E108" s="5">
        <f t="shared" si="8"/>
        <v>4.5061600000000004</v>
      </c>
      <c r="F108" s="6">
        <f t="shared" ca="1" si="13"/>
        <v>232886.39074176189</v>
      </c>
      <c r="G108" s="6">
        <f t="shared" ca="1" si="9"/>
        <v>5051.2219760881489</v>
      </c>
      <c r="H108" s="6">
        <f t="shared" ca="1" si="10"/>
        <v>1049.4233385048979</v>
      </c>
      <c r="J108" s="9">
        <f t="shared" ca="1" si="11"/>
        <v>1.7183480000000082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21.354480000000002</v>
      </c>
      <c r="E109" s="5">
        <f t="shared" si="8"/>
        <v>4.5632000000000001</v>
      </c>
      <c r="F109" s="6">
        <f t="shared" ca="1" si="13"/>
        <v>236888.18937934516</v>
      </c>
      <c r="G109" s="6">
        <f t="shared" ca="1" si="9"/>
        <v>5058.6241023374396</v>
      </c>
      <c r="H109" s="6">
        <f t="shared" ca="1" si="10"/>
        <v>1080.9681857758278</v>
      </c>
      <c r="J109" s="9">
        <f t="shared" ca="1" si="11"/>
        <v>1.6791279999999977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20.971440000000001</v>
      </c>
      <c r="E110" s="5">
        <f t="shared" si="8"/>
        <v>4.6202399999999999</v>
      </c>
      <c r="F110" s="6">
        <f t="shared" ca="1" si="13"/>
        <v>240865.84529590677</v>
      </c>
      <c r="G110" s="6">
        <f t="shared" ca="1" si="9"/>
        <v>5051.3036226723907</v>
      </c>
      <c r="H110" s="6">
        <f t="shared" ca="1" si="10"/>
        <v>1112.8580130699602</v>
      </c>
      <c r="J110" s="9">
        <f t="shared" ca="1" si="11"/>
        <v>1.6351200000000026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20.540520000000001</v>
      </c>
      <c r="E111" s="5">
        <f t="shared" si="8"/>
        <v>4.6772800000000005</v>
      </c>
      <c r="F111" s="6">
        <f t="shared" ca="1" si="13"/>
        <v>244804.2909055092</v>
      </c>
      <c r="G111" s="6">
        <f t="shared" ca="1" si="9"/>
        <v>5028.4074334304305</v>
      </c>
      <c r="H111" s="6">
        <f t="shared" ca="1" si="10"/>
        <v>1145.0182137665201</v>
      </c>
      <c r="J111" s="9">
        <f t="shared" ca="1" si="11"/>
        <v>1.5863240000000045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20.253240000000002</v>
      </c>
      <c r="E112" s="5">
        <f t="shared" si="8"/>
        <v>4.7343200000000003</v>
      </c>
      <c r="F112" s="6">
        <f t="shared" ca="1" si="13"/>
        <v>248687.68012517312</v>
      </c>
      <c r="G112" s="6">
        <f t="shared" ca="1" si="9"/>
        <v>5036.7312706183611</v>
      </c>
      <c r="H112" s="6">
        <f t="shared" ca="1" si="10"/>
        <v>1177.3670577702096</v>
      </c>
      <c r="J112" s="9">
        <f t="shared" ca="1" si="11"/>
        <v>1.5518920000000029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20.1096</v>
      </c>
      <c r="E113" s="5">
        <f t="shared" si="8"/>
        <v>4.8198800000000004</v>
      </c>
      <c r="F113" s="6">
        <f t="shared" ca="1" si="13"/>
        <v>252547.04433802128</v>
      </c>
      <c r="G113" s="6">
        <f t="shared" ca="1" si="9"/>
        <v>5078.6200428198727</v>
      </c>
      <c r="H113" s="6">
        <f t="shared" ca="1" si="10"/>
        <v>1217.2464480639421</v>
      </c>
      <c r="J113" s="9">
        <f t="shared" ca="1" si="11"/>
        <v>1.5289720000000064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19.965959999999999</v>
      </c>
      <c r="E114" s="5">
        <f t="shared" si="8"/>
        <v>4.8198800000000004</v>
      </c>
      <c r="F114" s="6">
        <f t="shared" ca="1" si="13"/>
        <v>256408.41793277723</v>
      </c>
      <c r="G114" s="6">
        <f t="shared" ca="1" si="9"/>
        <v>5119.440216109113</v>
      </c>
      <c r="H114" s="6">
        <f t="shared" ca="1" si="10"/>
        <v>1235.8578054258344</v>
      </c>
      <c r="J114" s="9">
        <f t="shared" ca="1" si="11"/>
        <v>1.5146080000000093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19.774439999999998</v>
      </c>
      <c r="E115" s="5">
        <f t="shared" si="8"/>
        <v>4.8198800000000004</v>
      </c>
      <c r="F115" s="6">
        <f t="shared" ca="1" si="13"/>
        <v>260292.00034346053</v>
      </c>
      <c r="G115" s="6">
        <f t="shared" ca="1" si="9"/>
        <v>5147.1285432717386</v>
      </c>
      <c r="H115" s="6">
        <f t="shared" ca="1" si="10"/>
        <v>1254.5762066154387</v>
      </c>
      <c r="J115" s="9">
        <f t="shared" ca="1" si="11"/>
        <v>1.4954560000000048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19.582920000000001</v>
      </c>
      <c r="E116" s="5">
        <f t="shared" si="8"/>
        <v>4.8198800000000004</v>
      </c>
      <c r="F116" s="6">
        <f t="shared" ca="1" si="13"/>
        <v>264184.55268011685</v>
      </c>
      <c r="G116" s="6">
        <f t="shared" ca="1" si="9"/>
        <v>5173.5049603705147</v>
      </c>
      <c r="H116" s="6">
        <f t="shared" ca="1" si="10"/>
        <v>1273.3378417718418</v>
      </c>
      <c r="J116" s="9">
        <f t="shared" ca="1" si="11"/>
        <v>1.4763040000000132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19.343520000000002</v>
      </c>
      <c r="E117" s="5">
        <f t="shared" si="8"/>
        <v>4.8198800000000004</v>
      </c>
      <c r="F117" s="6">
        <f t="shared" ca="1" si="13"/>
        <v>268084.71979871555</v>
      </c>
      <c r="G117" s="6">
        <f t="shared" ca="1" si="9"/>
        <v>5185.7021391208509</v>
      </c>
      <c r="H117" s="6">
        <f t="shared" ca="1" si="10"/>
        <v>1292.1361792634332</v>
      </c>
      <c r="J117" s="9">
        <f t="shared" ca="1" si="11"/>
        <v>1.4523640000000038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19.104120000000002</v>
      </c>
      <c r="E118" s="5">
        <f t="shared" si="8"/>
        <v>4.8769200000000001</v>
      </c>
      <c r="F118" s="6">
        <f t="shared" ca="1" si="13"/>
        <v>271978.28575857298</v>
      </c>
      <c r="G118" s="6">
        <f t="shared" ca="1" si="9"/>
        <v>5195.9058085260694</v>
      </c>
      <c r="H118" s="6">
        <f t="shared" ca="1" si="10"/>
        <v>1326.4163413816998</v>
      </c>
      <c r="J118" s="9">
        <f t="shared" ca="1" si="11"/>
        <v>1.4227200000000186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18.864720000000002</v>
      </c>
      <c r="E119" s="5">
        <f t="shared" si="8"/>
        <v>4.9339599999999999</v>
      </c>
      <c r="F119" s="6">
        <f t="shared" ca="1" si="13"/>
        <v>275847.7752257174</v>
      </c>
      <c r="G119" s="6">
        <f t="shared" ca="1" si="9"/>
        <v>5203.7910422560963</v>
      </c>
      <c r="H119" s="6">
        <f t="shared" ca="1" si="10"/>
        <v>1361.0218890526808</v>
      </c>
      <c r="J119" s="9">
        <f t="shared" ca="1" si="11"/>
        <v>1.3930759999999973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18.625320000000002</v>
      </c>
      <c r="E120" s="5">
        <f t="shared" si="8"/>
        <v>5.01952</v>
      </c>
      <c r="F120" s="6">
        <f t="shared" ca="1" si="13"/>
        <v>279690.54437892081</v>
      </c>
      <c r="G120" s="6">
        <f t="shared" ca="1" si="9"/>
        <v>5209.3258900316023</v>
      </c>
      <c r="H120" s="6">
        <f t="shared" ca="1" si="10"/>
        <v>1403.9122813208805</v>
      </c>
      <c r="J120" s="9">
        <f t="shared" ca="1" si="11"/>
        <v>1.3605799999999886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18.433800000000002</v>
      </c>
      <c r="E121" s="5">
        <f t="shared" si="8"/>
        <v>5.1050800000000001</v>
      </c>
      <c r="F121" s="6">
        <f t="shared" ca="1" si="13"/>
        <v>283495.9579876315</v>
      </c>
      <c r="G121" s="6">
        <f t="shared" ca="1" si="9"/>
        <v>5225.9077903524021</v>
      </c>
      <c r="H121" s="6">
        <f t="shared" ca="1" si="10"/>
        <v>1447.269545203498</v>
      </c>
      <c r="J121" s="9">
        <f t="shared" ca="1" si="11"/>
        <v>1.3328720000000105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ca="1" si="13"/>
        <v>287274.59623278043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58" t="s">
        <v>22</v>
      </c>
      <c r="E126" s="58"/>
      <c r="F126" s="58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21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 ca="1">F16</f>
        <v>17670.503370909239</v>
      </c>
      <c r="E128" s="13">
        <f ca="1">OFFSET(INDIRECT(MID(_xlfn.FORMULATEXT(D128),2,255)),1,0)</f>
        <v>18034.381444524352</v>
      </c>
      <c r="F128" s="6">
        <f ca="1">D128*(E128/D128)^((C128-1)/365)</f>
        <v>18019.280954398353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 ca="1">F27</f>
        <v>22375.187847510653</v>
      </c>
      <c r="E129" s="13">
        <f t="shared" ref="E129:E134" ca="1" si="14">OFFSET(INDIRECT(MID(_xlfn.FORMULATEXT(D129),2,255)),1,0)</f>
        <v>22882.731393515845</v>
      </c>
      <c r="F129" s="6">
        <f t="shared" ref="F129:F134" ca="1" si="15">D129*(E129/D129)^((C129-1)/365)</f>
        <v>22382.063873054278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 ca="1">F29</f>
        <v>23415.097224076737</v>
      </c>
      <c r="E130" s="13">
        <f t="shared" ca="1" si="14"/>
        <v>23967.886458966073</v>
      </c>
      <c r="F130" s="6">
        <f t="shared" ca="1" si="15"/>
        <v>23439.059721823676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 ca="1">F49</f>
        <v>38589.939675242247</v>
      </c>
      <c r="E131" s="13">
        <f t="shared" ca="1" si="14"/>
        <v>39799.238789235656</v>
      </c>
      <c r="F131" s="6">
        <f t="shared" ca="1" si="15"/>
        <v>38635.638851153497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 ca="1">F60</f>
        <v>55560.78318524381</v>
      </c>
      <c r="E132" s="13">
        <f t="shared" ca="1" si="14"/>
        <v>57636.318469205762</v>
      </c>
      <c r="F132" s="6">
        <f t="shared" ca="1" si="15"/>
        <v>55638.996828728697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 ca="1">F69</f>
        <v>77695.059582155853</v>
      </c>
      <c r="E133" s="13">
        <f t="shared" ca="1" si="14"/>
        <v>80620.769608200586</v>
      </c>
      <c r="F133" s="6">
        <f t="shared" ca="1" si="15"/>
        <v>77821.056177823426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 ca="1">F79</f>
        <v>111824.75364956296</v>
      </c>
      <c r="E134" s="13">
        <f t="shared" ca="1" si="14"/>
        <v>115648.18511252619</v>
      </c>
      <c r="F134" s="6">
        <f t="shared" ca="1" si="15"/>
        <v>111938.11167520715</v>
      </c>
    </row>
    <row r="135" spans="1:6" x14ac:dyDescent="0.25">
      <c r="A135" s="12">
        <v>2020</v>
      </c>
      <c r="B135" s="2"/>
      <c r="C135" s="2"/>
      <c r="D135" s="2"/>
      <c r="E135" s="2"/>
      <c r="F135" s="6">
        <f ca="1">F110</f>
        <v>240865.84529590677</v>
      </c>
    </row>
    <row r="136" spans="1:6" x14ac:dyDescent="0.25">
      <c r="A136" s="12">
        <v>2030</v>
      </c>
      <c r="B136" s="2"/>
      <c r="C136" s="2"/>
      <c r="D136" s="2"/>
      <c r="E136" s="2"/>
      <c r="F136" s="6">
        <f ca="1">F120</f>
        <v>279690.54437892081</v>
      </c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55"/>
  <sheetViews>
    <sheetView topLeftCell="A88" workbookViewId="0">
      <selection activeCell="F137" sqref="F137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ht="21" x14ac:dyDescent="0.35">
      <c r="A1" s="38" t="s">
        <v>28</v>
      </c>
    </row>
    <row r="4" spans="1:12" x14ac:dyDescent="0.25">
      <c r="D4" s="57" t="s">
        <v>3</v>
      </c>
      <c r="E4" s="57"/>
      <c r="F4" s="57" t="s">
        <v>10</v>
      </c>
      <c r="G4" s="57"/>
      <c r="H4" s="57"/>
      <c r="I4" s="57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29</v>
      </c>
      <c r="B6" s="2"/>
      <c r="C6" s="2"/>
      <c r="D6" s="5">
        <v>40.760000000000005</v>
      </c>
      <c r="E6" s="5">
        <v>24.18</v>
      </c>
      <c r="F6" s="6">
        <v>18578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20.787600000000005</v>
      </c>
      <c r="E7" s="5">
        <f>C7*$E$6</f>
        <v>24.18</v>
      </c>
      <c r="F7" s="6">
        <f>F6 * RSFSR!F7 / RSFSR!F6</f>
        <v>18943.76029492509</v>
      </c>
      <c r="G7" s="6">
        <f>F7*D7/1000</f>
        <v>393.79531150678491</v>
      </c>
      <c r="H7" s="6">
        <f>E7*F7/1000</f>
        <v>458.06012393128867</v>
      </c>
      <c r="I7" s="19">
        <f ca="1" xml:space="preserve"> MR!F6 / RSFSR!F6 * INDIRECT("'RSFSR'!" &amp; ADDRESS(ROW(), COLUMN()))</f>
        <v>-11.241352262922582</v>
      </c>
      <c r="J7" s="9">
        <f ca="1">100 *(F8-F7) / F7</f>
        <v>-0.39858065934064496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24.456000000000003</v>
      </c>
      <c r="E8" s="5">
        <f t="shared" ref="E8:E71" si="1">C8*$E$6</f>
        <v>24.18</v>
      </c>
      <c r="F8" s="6">
        <f ca="1">F7+G7-H7+I7</f>
        <v>18868.254130237667</v>
      </c>
      <c r="G8" s="6">
        <f t="shared" ref="G8:G71" ca="1" si="2">F8*D8/1000</f>
        <v>461.44202300909245</v>
      </c>
      <c r="H8" s="6">
        <f t="shared" ref="H8:H71" ca="1" si="3">E8*F8/1000</f>
        <v>456.23438486914682</v>
      </c>
      <c r="I8" s="19">
        <f ca="1" xml:space="preserve"> MR!F6 / RSFSR!F6 * INDIRECT("'RSFSR'!" &amp; ADDRESS(ROW(), COLUMN()))</f>
        <v>-30.185112557847674</v>
      </c>
      <c r="J8" s="9">
        <f t="shared" ref="J8:J71" ca="1" si="4">100 *(F9-F8) / F8</f>
        <v>-0.13237830191121466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40.760000000000005</v>
      </c>
      <c r="E9" s="5">
        <f t="shared" si="1"/>
        <v>24.18</v>
      </c>
      <c r="F9" s="6">
        <f t="shared" ref="F9:F72" ca="1" si="6">F8+G8-H8+I8</f>
        <v>18843.276655819765</v>
      </c>
      <c r="G9" s="6">
        <f t="shared" ca="1" si="2"/>
        <v>768.05195649121379</v>
      </c>
      <c r="H9" s="6">
        <f t="shared" ca="1" si="3"/>
        <v>455.63042953772191</v>
      </c>
      <c r="I9" s="19">
        <f ca="1" xml:space="preserve"> MR!F6 / RSFSR!F6 * INDIRECT("'RSFSR'!" &amp; ADDRESS(ROW(), COLUMN()))</f>
        <v>301.85112557847674</v>
      </c>
      <c r="J9" s="9">
        <f t="shared" ca="1" si="4"/>
        <v>3.259903591885374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40.760000000000005</v>
      </c>
      <c r="E10" s="5">
        <f t="shared" si="1"/>
        <v>24.18</v>
      </c>
      <c r="F10" s="6">
        <f t="shared" ca="1" si="6"/>
        <v>19457.549308351732</v>
      </c>
      <c r="G10" s="6">
        <f t="shared" ca="1" si="2"/>
        <v>793.08970980841661</v>
      </c>
      <c r="H10" s="6">
        <f t="shared" ca="1" si="3"/>
        <v>470.4835422759449</v>
      </c>
      <c r="I10" s="19">
        <f ca="1" xml:space="preserve"> MR!F6 / RSFSR!F6 * INDIRECT("'RSFSR'!" &amp; ADDRESS(ROW(), COLUMN()))</f>
        <v>181.11067534708604</v>
      </c>
      <c r="J10" s="9">
        <f t="shared" ca="1" si="4"/>
        <v>2.588799004936075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40.760000000000005</v>
      </c>
      <c r="E11" s="5">
        <f t="shared" si="1"/>
        <v>24.18</v>
      </c>
      <c r="F11" s="6">
        <f t="shared" ca="1" si="6"/>
        <v>19961.266151231288</v>
      </c>
      <c r="G11" s="6">
        <f t="shared" ca="1" si="2"/>
        <v>813.62120832418748</v>
      </c>
      <c r="H11" s="6">
        <f t="shared" ca="1" si="3"/>
        <v>482.6634155367725</v>
      </c>
      <c r="I11" s="19">
        <f ca="1" xml:space="preserve"> MR!F6 / RSFSR!F6 * INDIRECT("'RSFSR'!" &amp; ADDRESS(ROW(), COLUMN()))</f>
        <v>120.7404502313907</v>
      </c>
      <c r="J11" s="9">
        <f t="shared" ca="1" si="4"/>
        <v>2.262873705488591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40.719240000000006</v>
      </c>
      <c r="E12" s="5">
        <f t="shared" si="1"/>
        <v>23.986560000000001</v>
      </c>
      <c r="F12" s="6">
        <f t="shared" ca="1" si="6"/>
        <v>20412.964394250095</v>
      </c>
      <c r="G12" s="6">
        <f t="shared" ca="1" si="2"/>
        <v>831.20039628092434</v>
      </c>
      <c r="H12" s="6">
        <f t="shared" ca="1" si="3"/>
        <v>489.63679522054355</v>
      </c>
      <c r="I12" s="19"/>
      <c r="J12" s="9">
        <f t="shared" ca="1" si="4"/>
        <v>1.6732680000000024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40.637720000000002</v>
      </c>
      <c r="E13" s="5">
        <f t="shared" si="1"/>
        <v>23.720579999999998</v>
      </c>
      <c r="F13" s="6">
        <f t="shared" ca="1" si="6"/>
        <v>20754.527995310476</v>
      </c>
      <c r="G13" s="6">
        <f t="shared" ca="1" si="2"/>
        <v>843.41669740558848</v>
      </c>
      <c r="H13" s="6">
        <f t="shared" ca="1" si="3"/>
        <v>492.30944167500178</v>
      </c>
      <c r="I13" s="19"/>
      <c r="J13" s="9">
        <f t="shared" ca="1" si="4"/>
        <v>1.6917139999999928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40.556200000000004</v>
      </c>
      <c r="E14" s="5">
        <f t="shared" si="1"/>
        <v>23.382059999999999</v>
      </c>
      <c r="F14" s="6">
        <f t="shared" ca="1" si="6"/>
        <v>21105.635251041062</v>
      </c>
      <c r="G14" s="6">
        <f t="shared" ca="1" si="2"/>
        <v>855.9643643682715</v>
      </c>
      <c r="H14" s="6">
        <f t="shared" ca="1" si="3"/>
        <v>493.49322977795714</v>
      </c>
      <c r="I14" s="19"/>
      <c r="J14" s="9">
        <f t="shared" ca="1" si="4"/>
        <v>1.7174140000000082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40.433920000000008</v>
      </c>
      <c r="E15" s="5">
        <f t="shared" si="1"/>
        <v>23.04354</v>
      </c>
      <c r="F15" s="6">
        <f t="shared" ca="1" si="6"/>
        <v>21468.106385631378</v>
      </c>
      <c r="G15" s="6">
        <f t="shared" ca="1" si="2"/>
        <v>868.03969614810842</v>
      </c>
      <c r="H15" s="6">
        <f t="shared" ca="1" si="3"/>
        <v>494.70116822155211</v>
      </c>
      <c r="I15" s="19"/>
      <c r="J15" s="9">
        <f t="shared" ca="1" si="4"/>
        <v>1.7390380000000023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40.352400000000003</v>
      </c>
      <c r="E16" s="5">
        <f t="shared" si="1"/>
        <v>22.729199999999999</v>
      </c>
      <c r="F16" s="6">
        <f t="shared" ca="1" si="6"/>
        <v>21841.444913557934</v>
      </c>
      <c r="G16" s="6">
        <f t="shared" ca="1" si="2"/>
        <v>881.35472172985533</v>
      </c>
      <c r="H16" s="6">
        <f t="shared" ca="1" si="3"/>
        <v>496.43856972924095</v>
      </c>
      <c r="I16" s="19"/>
      <c r="J16" s="9">
        <f t="shared" ca="1" si="4"/>
        <v>1.7623199999999937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40.230120000000007</v>
      </c>
      <c r="E17" s="5">
        <f t="shared" si="1"/>
        <v>22.414860000000001</v>
      </c>
      <c r="F17" s="6">
        <f t="shared" ca="1" si="6"/>
        <v>22226.361065558547</v>
      </c>
      <c r="G17" s="6">
        <f t="shared" ca="1" si="2"/>
        <v>894.16917283074838</v>
      </c>
      <c r="H17" s="6">
        <f t="shared" ca="1" si="3"/>
        <v>498.20077159394566</v>
      </c>
      <c r="I17" s="19"/>
      <c r="J17" s="9">
        <f t="shared" ca="1" si="4"/>
        <v>1.7815259999999955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40.148600000000002</v>
      </c>
      <c r="E18" s="5">
        <f t="shared" si="1"/>
        <v>22.100519999999999</v>
      </c>
      <c r="F18" s="6">
        <f t="shared" ca="1" si="6"/>
        <v>22622.329466795349</v>
      </c>
      <c r="G18" s="6">
        <f t="shared" ca="1" si="2"/>
        <v>908.2548568305798</v>
      </c>
      <c r="H18" s="6">
        <f t="shared" ca="1" si="3"/>
        <v>499.96524482749993</v>
      </c>
      <c r="I18" s="19"/>
      <c r="J18" s="9">
        <f t="shared" ca="1" si="4"/>
        <v>1.8048079999999931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40.026320000000005</v>
      </c>
      <c r="E19" s="5">
        <f t="shared" si="1"/>
        <v>21.786180000000002</v>
      </c>
      <c r="F19" s="6">
        <f t="shared" ca="1" si="6"/>
        <v>23030.619078798427</v>
      </c>
      <c r="G19" s="6">
        <f t="shared" ca="1" si="2"/>
        <v>921.83092904609111</v>
      </c>
      <c r="H19" s="6">
        <f t="shared" ca="1" si="3"/>
        <v>501.74921276213678</v>
      </c>
      <c r="I19" s="19"/>
      <c r="J19" s="9">
        <f t="shared" ca="1" si="4"/>
        <v>1.8240140000000062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39.944800000000001</v>
      </c>
      <c r="E20" s="5">
        <f t="shared" si="1"/>
        <v>21.447659999999999</v>
      </c>
      <c r="F20" s="6">
        <f t="shared" ca="1" si="6"/>
        <v>23450.700795082383</v>
      </c>
      <c r="G20" s="6">
        <f t="shared" ca="1" si="2"/>
        <v>936.73355311940679</v>
      </c>
      <c r="H20" s="6">
        <f t="shared" ca="1" si="3"/>
        <v>502.96265741465658</v>
      </c>
      <c r="I20" s="19"/>
      <c r="J20" s="9">
        <f t="shared" ca="1" si="4"/>
        <v>1.8497140000000025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39.944800000000001</v>
      </c>
      <c r="E21" s="5">
        <f t="shared" si="1"/>
        <v>21.133320000000001</v>
      </c>
      <c r="F21" s="6">
        <f t="shared" ca="1" si="6"/>
        <v>23884.471690787133</v>
      </c>
      <c r="G21" s="6">
        <f t="shared" ca="1" si="2"/>
        <v>954.06044479415391</v>
      </c>
      <c r="H21" s="6">
        <f t="shared" ca="1" si="3"/>
        <v>504.75818327234555</v>
      </c>
      <c r="I21" s="19"/>
      <c r="J21" s="9">
        <f t="shared" ca="1" si="4"/>
        <v>1.8811480000000094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39.863280000000003</v>
      </c>
      <c r="E22" s="5">
        <f t="shared" si="1"/>
        <v>20.867339999999999</v>
      </c>
      <c r="F22" s="6">
        <f t="shared" ca="1" si="6"/>
        <v>24333.773952308944</v>
      </c>
      <c r="G22" s="6">
        <f t="shared" ca="1" si="2"/>
        <v>970.0240445175981</v>
      </c>
      <c r="H22" s="6">
        <f t="shared" ca="1" si="3"/>
        <v>507.78113454597451</v>
      </c>
      <c r="I22" s="19"/>
      <c r="J22" s="9">
        <f t="shared" ca="1" si="4"/>
        <v>1.8995940000000042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39.741000000000007</v>
      </c>
      <c r="E23" s="5">
        <f t="shared" si="1"/>
        <v>20.770620000000001</v>
      </c>
      <c r="F23" s="6">
        <f t="shared" ca="1" si="6"/>
        <v>24796.016862280569</v>
      </c>
      <c r="G23" s="6">
        <f t="shared" ca="1" si="2"/>
        <v>985.41850612389226</v>
      </c>
      <c r="H23" s="6">
        <f t="shared" ca="1" si="3"/>
        <v>515.02864376002208</v>
      </c>
      <c r="I23" s="19"/>
      <c r="J23" s="9">
        <f t="shared" ca="1" si="4"/>
        <v>1.8970380000000024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39.618720000000003</v>
      </c>
      <c r="E24" s="5">
        <f t="shared" si="1"/>
        <v>20.577179999999998</v>
      </c>
      <c r="F24" s="6">
        <f t="shared" ca="1" si="6"/>
        <v>25266.406724644439</v>
      </c>
      <c r="G24" s="6">
        <f t="shared" ca="1" si="2"/>
        <v>1001.0226934298053</v>
      </c>
      <c r="H24" s="6">
        <f t="shared" ca="1" si="3"/>
        <v>519.91139912621907</v>
      </c>
      <c r="I24" s="19"/>
      <c r="J24" s="9">
        <f t="shared" ca="1" si="4"/>
        <v>1.9041539999999924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39.455680000000001</v>
      </c>
      <c r="E25" s="5">
        <f t="shared" si="1"/>
        <v>20.335380000000001</v>
      </c>
      <c r="F25" s="6">
        <f t="shared" ca="1" si="6"/>
        <v>25747.518018948023</v>
      </c>
      <c r="G25" s="6">
        <f t="shared" ca="1" si="2"/>
        <v>1015.8858317498472</v>
      </c>
      <c r="H25" s="6">
        <f t="shared" ca="1" si="3"/>
        <v>523.58556297215523</v>
      </c>
      <c r="I25" s="19"/>
      <c r="J25" s="9">
        <f t="shared" ca="1" si="4"/>
        <v>1.9120300000000059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38.966560000000001</v>
      </c>
      <c r="E26" s="5">
        <f t="shared" si="1"/>
        <v>20.04522</v>
      </c>
      <c r="F26" s="6">
        <f t="shared" ca="1" si="6"/>
        <v>26239.818287725717</v>
      </c>
      <c r="G26" s="6">
        <f t="shared" ca="1" si="2"/>
        <v>1022.4754536977614</v>
      </c>
      <c r="H26" s="6">
        <f t="shared" ca="1" si="3"/>
        <v>525.9829303374853</v>
      </c>
      <c r="I26" s="19"/>
      <c r="J26" s="9">
        <f t="shared" ca="1" si="4"/>
        <v>1.89213399999999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39.170360000000002</v>
      </c>
      <c r="E27" s="5">
        <f t="shared" si="1"/>
        <v>19.779239999999998</v>
      </c>
      <c r="F27" s="6">
        <f t="shared" ca="1" si="6"/>
        <v>26736.31081108599</v>
      </c>
      <c r="G27" s="6">
        <f t="shared" ca="1" si="2"/>
        <v>1047.2709195421303</v>
      </c>
      <c r="H27" s="6">
        <f t="shared" ca="1" si="3"/>
        <v>528.82390824706442</v>
      </c>
      <c r="I27" s="19"/>
      <c r="J27" s="9">
        <f t="shared" ca="1" si="4"/>
        <v>1.9391119999999999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39.374160000000003</v>
      </c>
      <c r="E28" s="5">
        <f t="shared" si="1"/>
        <v>19.489080000000001</v>
      </c>
      <c r="F28" s="6">
        <f t="shared" ca="1" si="6"/>
        <v>27254.757822381056</v>
      </c>
      <c r="G28" s="6">
        <f t="shared" ca="1" si="2"/>
        <v>1073.1331952596834</v>
      </c>
      <c r="H28" s="6">
        <f t="shared" ca="1" si="3"/>
        <v>531.17015558101025</v>
      </c>
      <c r="I28" s="19"/>
      <c r="J28" s="9">
        <f t="shared" ca="1" si="4"/>
        <v>1.9885080000000042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39.496440000000007</v>
      </c>
      <c r="E29" s="5">
        <f t="shared" si="1"/>
        <v>19.31982</v>
      </c>
      <c r="F29" s="6">
        <f t="shared" ca="1" si="6"/>
        <v>27796.72086205973</v>
      </c>
      <c r="G29" s="6">
        <f t="shared" ca="1" si="2"/>
        <v>1097.8715177250906</v>
      </c>
      <c r="H29" s="6">
        <f t="shared" ca="1" si="3"/>
        <v>537.02764364523887</v>
      </c>
      <c r="I29" s="19"/>
      <c r="J29" s="9">
        <f t="shared" ca="1" si="4"/>
        <v>2.0176620000000014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39.333400000000005</v>
      </c>
      <c r="E30" s="5">
        <f t="shared" si="1"/>
        <v>19.198920000000001</v>
      </c>
      <c r="F30" s="6">
        <f t="shared" ca="1" si="6"/>
        <v>28357.564736139582</v>
      </c>
      <c r="G30" s="6">
        <f t="shared" ca="1" si="2"/>
        <v>1115.3994367924729</v>
      </c>
      <c r="H30" s="6">
        <f t="shared" ca="1" si="3"/>
        <v>544.43461676396498</v>
      </c>
      <c r="I30" s="19"/>
      <c r="J30" s="9">
        <f t="shared" ca="1" si="4"/>
        <v>2.0134480000000021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39.333400000000005</v>
      </c>
      <c r="E31" s="5">
        <f t="shared" si="1"/>
        <v>19.24728</v>
      </c>
      <c r="F31" s="6">
        <f t="shared" ca="1" si="6"/>
        <v>28928.52955616809</v>
      </c>
      <c r="G31" s="6">
        <f t="shared" ca="1" si="2"/>
        <v>1137.8574244445822</v>
      </c>
      <c r="H31" s="6">
        <f t="shared" ca="1" si="3"/>
        <v>556.79550835584303</v>
      </c>
      <c r="I31" s="19"/>
      <c r="J31" s="9">
        <f t="shared" ca="1" si="4"/>
        <v>2.0086119999999905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39.211120000000001</v>
      </c>
      <c r="E32" s="5">
        <f t="shared" si="1"/>
        <v>19.223100000000002</v>
      </c>
      <c r="F32" s="6">
        <f t="shared" ca="1" si="6"/>
        <v>29509.591472256827</v>
      </c>
      <c r="G32" s="6">
        <f t="shared" ca="1" si="2"/>
        <v>1157.104132369639</v>
      </c>
      <c r="H32" s="6">
        <f t="shared" ca="1" si="3"/>
        <v>567.2658278303403</v>
      </c>
      <c r="I32" s="19">
        <f ca="1" xml:space="preserve"> MR!F6 / RSFSR!F6 * INDIRECT("'RSFSR'!" &amp; ADDRESS(ROW(), COLUMN()))</f>
        <v>-18.735587104870969</v>
      </c>
      <c r="J32" s="9">
        <f t="shared" ca="1" si="4"/>
        <v>1.9353121779789728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38.966560000000001</v>
      </c>
      <c r="E33" s="5">
        <f t="shared" si="1"/>
        <v>19.053840000000001</v>
      </c>
      <c r="F33" s="6">
        <f t="shared" ca="1" si="6"/>
        <v>30080.694189691258</v>
      </c>
      <c r="G33" s="6">
        <f t="shared" ca="1" si="2"/>
        <v>1172.1411749842557</v>
      </c>
      <c r="H33" s="6">
        <f t="shared" ca="1" si="3"/>
        <v>573.15273417930689</v>
      </c>
      <c r="I33" s="19">
        <f ca="1" xml:space="preserve"> MR!F6 / RSFSR!F6 * INDIRECT("'RSFSR'!" &amp; ADDRESS(ROW(), COLUMN()))</f>
        <v>-18.735587104870969</v>
      </c>
      <c r="J33" s="9">
        <f t="shared" ca="1" si="4"/>
        <v>1.928987576021203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38.722000000000001</v>
      </c>
      <c r="E34" s="5">
        <f t="shared" si="1"/>
        <v>18.570240000000002</v>
      </c>
      <c r="F34" s="6">
        <f t="shared" ca="1" si="6"/>
        <v>30660.947043391334</v>
      </c>
      <c r="G34" s="6">
        <f t="shared" ca="1" si="2"/>
        <v>1187.2531914141994</v>
      </c>
      <c r="H34" s="6">
        <f t="shared" ca="1" si="3"/>
        <v>569.38114522306751</v>
      </c>
      <c r="I34" s="19">
        <f ca="1" xml:space="preserve"> MR!F6 / RSFSR!F6 * INDIRECT("'RSFSR'!" &amp; ADDRESS(ROW(), COLUMN()))</f>
        <v>-18.735587104870969</v>
      </c>
      <c r="J34" s="9">
        <f t="shared" ca="1" si="4"/>
        <v>1.9540702974319879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38.355160000000005</v>
      </c>
      <c r="E35" s="5">
        <f t="shared" si="1"/>
        <v>17.941559999999999</v>
      </c>
      <c r="F35" s="6">
        <f t="shared" ca="1" si="6"/>
        <v>31260.083502477595</v>
      </c>
      <c r="G35" s="6">
        <f t="shared" ca="1" si="2"/>
        <v>1198.9855043508887</v>
      </c>
      <c r="H35" s="6">
        <f t="shared" ca="1" si="3"/>
        <v>560.85466376471197</v>
      </c>
      <c r="I35" s="19"/>
      <c r="J35" s="9">
        <f t="shared" ca="1" si="4"/>
        <v>2.0413599999999934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38.069840000000006</v>
      </c>
      <c r="E36" s="5">
        <f t="shared" si="1"/>
        <v>17.578859999999999</v>
      </c>
      <c r="F36" s="6">
        <f t="shared" ca="1" si="6"/>
        <v>31898.21434306377</v>
      </c>
      <c r="G36" s="6">
        <f t="shared" ca="1" si="2"/>
        <v>1214.3599163261431</v>
      </c>
      <c r="H36" s="6">
        <f t="shared" ca="1" si="3"/>
        <v>560.73424418670993</v>
      </c>
      <c r="J36" s="9">
        <f t="shared" ca="1" si="4"/>
        <v>2.0490979999999945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37.866040000000005</v>
      </c>
      <c r="E37" s="5">
        <f t="shared" si="1"/>
        <v>17.216159999999999</v>
      </c>
      <c r="F37" s="6">
        <f t="shared" ca="1" si="6"/>
        <v>32551.840015203201</v>
      </c>
      <c r="G37" s="6">
        <f t="shared" ca="1" si="2"/>
        <v>1232.6092760892852</v>
      </c>
      <c r="H37" s="6">
        <f t="shared" ca="1" si="3"/>
        <v>560.41768599614068</v>
      </c>
      <c r="J37" s="9">
        <f t="shared" ca="1" si="4"/>
        <v>2.0649880000000032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37.539960000000008</v>
      </c>
      <c r="E38" s="5">
        <f t="shared" si="1"/>
        <v>16.87764</v>
      </c>
      <c r="F38" s="6">
        <f t="shared" ca="1" si="6"/>
        <v>33224.031605296346</v>
      </c>
      <c r="G38" s="6">
        <f t="shared" ca="1" si="2"/>
        <v>1247.2288175015608</v>
      </c>
      <c r="H38" s="6">
        <f t="shared" ca="1" si="3"/>
        <v>560.7432447828138</v>
      </c>
      <c r="J38" s="9">
        <f t="shared" ca="1" si="4"/>
        <v>2.0662320000000194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38.029080000000008</v>
      </c>
      <c r="E39" s="5">
        <f t="shared" si="1"/>
        <v>16.829279999999997</v>
      </c>
      <c r="F39" s="6">
        <f t="shared" ca="1" si="6"/>
        <v>33910.517178015099</v>
      </c>
      <c r="G39" s="6">
        <f t="shared" ca="1" si="2"/>
        <v>1289.5857706041108</v>
      </c>
      <c r="H39" s="6">
        <f t="shared" ca="1" si="3"/>
        <v>570.68958853362585</v>
      </c>
      <c r="J39" s="9">
        <f t="shared" ca="1" si="4"/>
        <v>2.1199800000000053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38.395920000000004</v>
      </c>
      <c r="E40" s="5">
        <f t="shared" si="1"/>
        <v>16.853459999999998</v>
      </c>
      <c r="F40" s="6">
        <f t="shared" ca="1" si="6"/>
        <v>34629.413360085586</v>
      </c>
      <c r="G40" s="6">
        <f t="shared" ca="1" si="2"/>
        <v>1329.6281850207774</v>
      </c>
      <c r="H40" s="6">
        <f t="shared" ca="1" si="3"/>
        <v>583.6254328876679</v>
      </c>
      <c r="J40" s="9">
        <f t="shared" ca="1" si="4"/>
        <v>2.1542459999999926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38.640480000000004</v>
      </c>
      <c r="E41" s="5">
        <f t="shared" si="1"/>
        <v>16.780919999999998</v>
      </c>
      <c r="F41" s="6">
        <f t="shared" ca="1" si="6"/>
        <v>35375.416112218692</v>
      </c>
      <c r="G41" s="6">
        <f t="shared" ca="1" si="2"/>
        <v>1366.9230587758643</v>
      </c>
      <c r="H41" s="6">
        <f t="shared" ca="1" si="3"/>
        <v>593.63202774585284</v>
      </c>
      <c r="J41" s="9">
        <f t="shared" ca="1" si="4"/>
        <v>2.1859560000000076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38.844280000000005</v>
      </c>
      <c r="E42" s="5">
        <f t="shared" si="1"/>
        <v>16.635839999999998</v>
      </c>
      <c r="F42" s="6">
        <f t="shared" ca="1" si="6"/>
        <v>36148.707143248706</v>
      </c>
      <c r="G42" s="6">
        <f t="shared" ca="1" si="2"/>
        <v>1404.1705019103531</v>
      </c>
      <c r="H42" s="6">
        <f t="shared" ca="1" si="3"/>
        <v>601.36410824194252</v>
      </c>
      <c r="J42" s="9">
        <f t="shared" ca="1" si="4"/>
        <v>2.2208440000000049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39.00732</v>
      </c>
      <c r="E43" s="5">
        <f t="shared" si="1"/>
        <v>16.418220000000002</v>
      </c>
      <c r="F43" s="6">
        <f t="shared" ca="1" si="6"/>
        <v>36951.513536917118</v>
      </c>
      <c r="G43" s="6">
        <f t="shared" ca="1" si="2"/>
        <v>1441.379513018858</v>
      </c>
      <c r="H43" s="6">
        <f t="shared" ca="1" si="3"/>
        <v>606.67807858208346</v>
      </c>
      <c r="J43" s="9">
        <f t="shared" ca="1" si="4"/>
        <v>2.2589100000000095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39.088840000000005</v>
      </c>
      <c r="E44" s="5">
        <f t="shared" si="1"/>
        <v>16.17642</v>
      </c>
      <c r="F44" s="6">
        <f t="shared" ca="1" si="6"/>
        <v>37786.214971353897</v>
      </c>
      <c r="G44" s="6">
        <f t="shared" ca="1" si="2"/>
        <v>1477.0193112208574</v>
      </c>
      <c r="H44" s="6">
        <f t="shared" ca="1" si="3"/>
        <v>611.24568358690863</v>
      </c>
      <c r="J44" s="9">
        <f t="shared" ca="1" si="4"/>
        <v>2.2912420000000022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39.129600000000003</v>
      </c>
      <c r="E45" s="5">
        <f t="shared" si="1"/>
        <v>15.81372</v>
      </c>
      <c r="F45" s="6">
        <f t="shared" ca="1" si="6"/>
        <v>38651.988598987846</v>
      </c>
      <c r="G45" s="6">
        <f t="shared" ca="1" si="2"/>
        <v>1512.4368530829549</v>
      </c>
      <c r="H45" s="6">
        <f t="shared" ca="1" si="3"/>
        <v>611.23172514758608</v>
      </c>
      <c r="J45" s="9">
        <f t="shared" ca="1" si="4"/>
        <v>2.3315880000000009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39.251880000000007</v>
      </c>
      <c r="E46" s="5">
        <f t="shared" si="1"/>
        <v>15.112500000000001</v>
      </c>
      <c r="F46" s="6">
        <f t="shared" ca="1" si="6"/>
        <v>39553.193726923215</v>
      </c>
      <c r="G46" s="6">
        <f t="shared" ca="1" si="2"/>
        <v>1552.5372137859431</v>
      </c>
      <c r="H46" s="6">
        <f t="shared" ca="1" si="3"/>
        <v>597.7476401981271</v>
      </c>
      <c r="J46" s="9">
        <f t="shared" ca="1" si="4"/>
        <v>2.4139380000000088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39.333400000000005</v>
      </c>
      <c r="E47" s="5">
        <f t="shared" si="1"/>
        <v>14.242019999999998</v>
      </c>
      <c r="F47" s="6">
        <f t="shared" ca="1" si="6"/>
        <v>40507.983300511034</v>
      </c>
      <c r="G47" s="6">
        <f t="shared" ca="1" si="2"/>
        <v>1593.316710352321</v>
      </c>
      <c r="H47" s="6">
        <f t="shared" ca="1" si="3"/>
        <v>576.91550832554412</v>
      </c>
      <c r="J47" s="9">
        <f t="shared" ca="1" si="4"/>
        <v>2.5091379999999996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39.537200000000006</v>
      </c>
      <c r="E48" s="5">
        <f t="shared" si="1"/>
        <v>13.468260000000001</v>
      </c>
      <c r="F48" s="6">
        <f t="shared" ca="1" si="6"/>
        <v>41524.38450253781</v>
      </c>
      <c r="G48" s="6">
        <f t="shared" ca="1" si="2"/>
        <v>1641.7578949537383</v>
      </c>
      <c r="H48" s="6">
        <f t="shared" ca="1" si="3"/>
        <v>559.26120682014994</v>
      </c>
      <c r="J48" s="9">
        <f t="shared" ca="1" si="4"/>
        <v>2.6068940000000125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39.496440000000007</v>
      </c>
      <c r="E49" s="5">
        <f t="shared" si="1"/>
        <v>12.76704</v>
      </c>
      <c r="F49" s="6">
        <f t="shared" ca="1" si="6"/>
        <v>42606.881190671404</v>
      </c>
      <c r="G49" s="6">
        <f t="shared" ca="1" si="2"/>
        <v>1682.8201265344819</v>
      </c>
      <c r="H49" s="6">
        <f t="shared" ca="1" si="3"/>
        <v>543.96375643654949</v>
      </c>
      <c r="J49" s="9">
        <f t="shared" ca="1" si="4"/>
        <v>2.6729400000000081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39.251880000000007</v>
      </c>
      <c r="E50" s="5">
        <f t="shared" si="1"/>
        <v>12.573600000000001</v>
      </c>
      <c r="F50" s="6">
        <f t="shared" ca="1" si="6"/>
        <v>43745.737560769339</v>
      </c>
      <c r="G50" s="6">
        <f t="shared" ca="1" si="2"/>
        <v>1717.1024412468112</v>
      </c>
      <c r="H50" s="6">
        <f t="shared" ca="1" si="3"/>
        <v>550.04140579408943</v>
      </c>
      <c r="J50" s="9">
        <f t="shared" ca="1" si="4"/>
        <v>2.6678280000000045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39.251880000000007</v>
      </c>
      <c r="E51" s="5">
        <f t="shared" si="1"/>
        <v>12.23508</v>
      </c>
      <c r="F51" s="6">
        <f t="shared" ca="1" si="6"/>
        <v>44912.798596222063</v>
      </c>
      <c r="G51" s="6">
        <f t="shared" ca="1" si="2"/>
        <v>1762.9117809630773</v>
      </c>
      <c r="H51" s="6">
        <f t="shared" ca="1" si="3"/>
        <v>549.51168384866457</v>
      </c>
      <c r="J51" s="9">
        <f t="shared" ca="1" si="4"/>
        <v>2.7016800000000001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39.374160000000003</v>
      </c>
      <c r="E52" s="5">
        <f t="shared" si="1"/>
        <v>12.13836</v>
      </c>
      <c r="F52" s="6">
        <f t="shared" ca="1" si="6"/>
        <v>46126.198693336475</v>
      </c>
      <c r="G52" s="6">
        <f t="shared" ca="1" si="2"/>
        <v>1816.1803275432214</v>
      </c>
      <c r="H52" s="6">
        <f t="shared" ca="1" si="3"/>
        <v>559.89640517124781</v>
      </c>
      <c r="J52" s="9">
        <f t="shared" ca="1" si="4"/>
        <v>2.7235800000000103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39.414920000000002</v>
      </c>
      <c r="E53" s="5">
        <f t="shared" si="1"/>
        <v>11.92074</v>
      </c>
      <c r="F53" s="6">
        <f t="shared" ca="1" si="6"/>
        <v>47382.482615708454</v>
      </c>
      <c r="G53" s="6">
        <f t="shared" ca="1" si="2"/>
        <v>1867.5767616995397</v>
      </c>
      <c r="H53" s="6">
        <f t="shared" ca="1" si="3"/>
        <v>564.83425581638039</v>
      </c>
      <c r="J53" s="9">
        <f t="shared" ca="1" si="4"/>
        <v>2.7494179999999973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39.781760000000006</v>
      </c>
      <c r="E54" s="5">
        <f t="shared" si="1"/>
        <v>11.437139999999999</v>
      </c>
      <c r="F54" s="6">
        <f t="shared" ca="1" si="6"/>
        <v>48685.225121591611</v>
      </c>
      <c r="G54" s="6">
        <f t="shared" ca="1" si="2"/>
        <v>1936.7839413331285</v>
      </c>
      <c r="H54" s="6">
        <f t="shared" ca="1" si="3"/>
        <v>556.8197356471602</v>
      </c>
      <c r="J54" s="9">
        <f t="shared" ca="1" si="4"/>
        <v>2.8344620000000118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39.659480000000002</v>
      </c>
      <c r="E55" s="5">
        <f t="shared" si="1"/>
        <v>10.66338</v>
      </c>
      <c r="F55" s="6">
        <f t="shared" ca="1" si="6"/>
        <v>50065.189327277585</v>
      </c>
      <c r="G55" s="6">
        <f t="shared" ca="1" si="2"/>
        <v>1985.5593748213789</v>
      </c>
      <c r="H55" s="6">
        <f t="shared" ca="1" si="3"/>
        <v>533.86413856870524</v>
      </c>
      <c r="J55" s="9">
        <f t="shared" ca="1" si="4"/>
        <v>2.8996099999999965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40.026320000000005</v>
      </c>
      <c r="E56" s="5">
        <f t="shared" si="1"/>
        <v>10.179779999999999</v>
      </c>
      <c r="F56" s="6">
        <f t="shared" ca="1" si="6"/>
        <v>51516.884563530257</v>
      </c>
      <c r="G56" s="6">
        <f t="shared" ca="1" si="2"/>
        <v>2062.0313069429226</v>
      </c>
      <c r="H56" s="6">
        <f t="shared" ca="1" si="3"/>
        <v>524.43055114213405</v>
      </c>
      <c r="J56" s="9">
        <f t="shared" ca="1" si="4"/>
        <v>2.9846540000000057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40.352400000000003</v>
      </c>
      <c r="E57" s="5">
        <f t="shared" si="1"/>
        <v>9.62364</v>
      </c>
      <c r="F57" s="6">
        <f t="shared" ca="1" si="6"/>
        <v>53054.485319331048</v>
      </c>
      <c r="G57" s="6">
        <f t="shared" ca="1" si="2"/>
        <v>2140.8758133997744</v>
      </c>
      <c r="H57" s="6">
        <f t="shared" ca="1" si="3"/>
        <v>510.57726709852705</v>
      </c>
      <c r="J57" s="9">
        <f t="shared" ca="1" si="4"/>
        <v>3.0728760000000088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40.556200000000004</v>
      </c>
      <c r="E58" s="5">
        <f t="shared" si="1"/>
        <v>9.3818400000000004</v>
      </c>
      <c r="F58" s="6">
        <f t="shared" ca="1" si="6"/>
        <v>54684.7838656323</v>
      </c>
      <c r="G58" s="6">
        <f t="shared" ca="1" si="2"/>
        <v>2217.8070314113565</v>
      </c>
      <c r="H58" s="6">
        <f t="shared" ca="1" si="3"/>
        <v>513.04389266194369</v>
      </c>
      <c r="J58" s="9">
        <f t="shared" ca="1" si="4"/>
        <v>3.1174359999999965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40.800760000000004</v>
      </c>
      <c r="E59" s="5">
        <f t="shared" si="1"/>
        <v>9.0433199999999996</v>
      </c>
      <c r="F59" s="6">
        <f t="shared" ca="1" si="6"/>
        <v>56389.547004381711</v>
      </c>
      <c r="G59" s="6">
        <f t="shared" ca="1" si="2"/>
        <v>2300.7363738344975</v>
      </c>
      <c r="H59" s="6">
        <f t="shared" ca="1" si="3"/>
        <v>509.94871821566522</v>
      </c>
      <c r="J59" s="9">
        <f t="shared" ca="1" si="4"/>
        <v>3.1757439999999924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40.760000000000005</v>
      </c>
      <c r="E60" s="5">
        <f t="shared" si="1"/>
        <v>8.9224199999999989</v>
      </c>
      <c r="F60" s="6">
        <f t="shared" ca="1" si="6"/>
        <v>58180.334660000539</v>
      </c>
      <c r="G60" s="6">
        <f t="shared" ca="1" si="2"/>
        <v>2371.4304407416225</v>
      </c>
      <c r="H60" s="6">
        <f t="shared" ca="1" si="3"/>
        <v>519.10938157708188</v>
      </c>
      <c r="J60" s="9">
        <f t="shared" ca="1" si="4"/>
        <v>3.1837580000000005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40.596960000000003</v>
      </c>
      <c r="E61" s="5">
        <f t="shared" si="1"/>
        <v>8.5838999999999999</v>
      </c>
      <c r="F61" s="6">
        <f t="shared" ca="1" si="6"/>
        <v>60032.655719165079</v>
      </c>
      <c r="G61" s="6">
        <f t="shared" ca="1" si="2"/>
        <v>2437.1433229247159</v>
      </c>
      <c r="H61" s="6">
        <f t="shared" ca="1" si="3"/>
        <v>515.31431342774113</v>
      </c>
      <c r="J61" s="9">
        <f t="shared" ca="1" si="4"/>
        <v>3.2013060000000051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40.393160000000002</v>
      </c>
      <c r="E62" s="5">
        <f t="shared" si="1"/>
        <v>8.3662799999999997</v>
      </c>
      <c r="F62" s="6">
        <f t="shared" ca="1" si="6"/>
        <v>61954.484728662057</v>
      </c>
      <c r="G62" s="6">
        <f t="shared" ca="1" si="2"/>
        <v>2502.5374143624031</v>
      </c>
      <c r="H62" s="6">
        <f t="shared" ca="1" si="3"/>
        <v>518.32856649571079</v>
      </c>
      <c r="J62" s="9">
        <f t="shared" ca="1" si="4"/>
        <v>3.2026879999999993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40.311640000000004</v>
      </c>
      <c r="E63" s="5">
        <f t="shared" si="1"/>
        <v>7.9794</v>
      </c>
      <c r="F63" s="6">
        <f t="shared" ca="1" si="6"/>
        <v>63938.693576528749</v>
      </c>
      <c r="G63" s="6">
        <f t="shared" ca="1" si="2"/>
        <v>2577.4735975273397</v>
      </c>
      <c r="H63" s="6">
        <f t="shared" ca="1" si="3"/>
        <v>510.19241152455351</v>
      </c>
      <c r="J63" s="9">
        <f t="shared" ca="1" si="4"/>
        <v>3.2332240000000017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40.189360000000008</v>
      </c>
      <c r="E64" s="5">
        <f t="shared" si="1"/>
        <v>7.7376000000000005</v>
      </c>
      <c r="F64" s="6">
        <f t="shared" ca="1" si="6"/>
        <v>66005.974762531536</v>
      </c>
      <c r="G64" s="6">
        <f t="shared" ca="1" si="2"/>
        <v>2652.7378818822949</v>
      </c>
      <c r="H64" s="6">
        <f t="shared" ca="1" si="3"/>
        <v>510.72783032256405</v>
      </c>
      <c r="J64" s="9">
        <f t="shared" ca="1" si="4"/>
        <v>3.245175999999999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40.107840000000003</v>
      </c>
      <c r="E65" s="5">
        <f t="shared" si="1"/>
        <v>7.5683400000000001</v>
      </c>
      <c r="F65" s="6">
        <f t="shared" ca="1" si="6"/>
        <v>68147.984814091265</v>
      </c>
      <c r="G65" s="6">
        <f t="shared" ca="1" si="2"/>
        <v>2733.2684712460023</v>
      </c>
      <c r="H65" s="6">
        <f t="shared" ca="1" si="3"/>
        <v>515.76711938787946</v>
      </c>
      <c r="J65" s="9">
        <f t="shared" ca="1" si="4"/>
        <v>3.2539500000000041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40.107840000000003</v>
      </c>
      <c r="E66" s="5">
        <f t="shared" si="1"/>
        <v>7.3507199999999999</v>
      </c>
      <c r="F66" s="6">
        <f t="shared" ca="1" si="6"/>
        <v>70365.486165949391</v>
      </c>
      <c r="G66" s="6">
        <f t="shared" ca="1" si="2"/>
        <v>2822.2076606661117</v>
      </c>
      <c r="H66" s="6">
        <f t="shared" ca="1" si="3"/>
        <v>517.23698646976754</v>
      </c>
      <c r="J66" s="9">
        <f t="shared" ca="1" si="4"/>
        <v>3.2757120000000022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39.822520000000004</v>
      </c>
      <c r="E67" s="5">
        <f t="shared" si="1"/>
        <v>7.2298199999999992</v>
      </c>
      <c r="F67" s="6">
        <f t="shared" ca="1" si="6"/>
        <v>72670.456840145736</v>
      </c>
      <c r="G67" s="6">
        <f t="shared" ca="1" si="2"/>
        <v>2893.9207209258407</v>
      </c>
      <c r="H67" s="6">
        <f t="shared" ca="1" si="3"/>
        <v>525.39432227202235</v>
      </c>
      <c r="J67" s="9">
        <f t="shared" ca="1" si="4"/>
        <v>3.2592700000000021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39.659480000000002</v>
      </c>
      <c r="E68" s="5">
        <f t="shared" si="1"/>
        <v>7.0847399999999991</v>
      </c>
      <c r="F68" s="6">
        <f t="shared" ca="1" si="6"/>
        <v>75038.983238799556</v>
      </c>
      <c r="G68" s="6">
        <f t="shared" ca="1" si="2"/>
        <v>2976.0070549795064</v>
      </c>
      <c r="H68" s="6">
        <f t="shared" ca="1" si="3"/>
        <v>531.63168611125275</v>
      </c>
      <c r="J68" s="9">
        <f t="shared" ca="1" si="4"/>
        <v>3.2574739999999931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39.170360000000002</v>
      </c>
      <c r="E69" s="5">
        <f t="shared" si="1"/>
        <v>7.0847399999999991</v>
      </c>
      <c r="F69" s="6">
        <f t="shared" ca="1" si="6"/>
        <v>77483.358607667804</v>
      </c>
      <c r="G69" s="6">
        <f t="shared" ca="1" si="2"/>
        <v>3035.0510506714468</v>
      </c>
      <c r="H69" s="6">
        <f t="shared" ca="1" si="3"/>
        <v>548.94945006208832</v>
      </c>
      <c r="J69" s="9">
        <f t="shared" ca="1" si="4"/>
        <v>3.208561999999997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38.803520000000006</v>
      </c>
      <c r="E70" s="5">
        <f t="shared" si="1"/>
        <v>7.0605599999999997</v>
      </c>
      <c r="F70" s="6">
        <f t="shared" ca="1" si="6"/>
        <v>79969.46020827716</v>
      </c>
      <c r="G70" s="6">
        <f t="shared" ca="1" si="2"/>
        <v>3103.0965485810875</v>
      </c>
      <c r="H70" s="6">
        <f t="shared" ca="1" si="3"/>
        <v>564.62917196815329</v>
      </c>
      <c r="J70" s="9">
        <f t="shared" ca="1" si="4"/>
        <v>3.1742960000000102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38.885040000000004</v>
      </c>
      <c r="E71" s="5">
        <f t="shared" si="1"/>
        <v>6.9880199999999997</v>
      </c>
      <c r="F71" s="6">
        <f t="shared" ca="1" si="6"/>
        <v>82507.927584890102</v>
      </c>
      <c r="G71" s="6">
        <f t="shared" ca="1" si="2"/>
        <v>3208.3240644555553</v>
      </c>
      <c r="H71" s="6">
        <f t="shared" ca="1" si="3"/>
        <v>576.56704812176372</v>
      </c>
      <c r="J71" s="9">
        <f t="shared" ca="1" si="4"/>
        <v>3.1897019999999867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38.76276</v>
      </c>
      <c r="E72" s="5">
        <f t="shared" ref="E72:E121" si="8">C72*$E$6</f>
        <v>6.867119999999999</v>
      </c>
      <c r="F72" s="6">
        <f t="shared" ca="1" si="6"/>
        <v>85139.684601223882</v>
      </c>
      <c r="G72" s="6">
        <f t="shared" ref="G72:G121" ca="1" si="9">F72*D72/1000</f>
        <v>3300.2491606729373</v>
      </c>
      <c r="H72" s="6">
        <f t="shared" ref="H72:H121" ca="1" si="10">E72*F72/1000</f>
        <v>584.66443091875635</v>
      </c>
      <c r="J72" s="9">
        <f t="shared" ref="J72:J121" ca="1" si="11">100 *(F73-F72) / F72</f>
        <v>3.1895639999999958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38.599720000000005</v>
      </c>
      <c r="E73" s="5">
        <f t="shared" si="8"/>
        <v>6.6253200000000003</v>
      </c>
      <c r="F73" s="6">
        <f t="shared" ref="F73:F122" ca="1" si="13">F72+G72-H72+I72</f>
        <v>87855.269330978059</v>
      </c>
      <c r="G73" s="6">
        <f t="shared" ca="1" si="9"/>
        <v>3391.1887967003408</v>
      </c>
      <c r="H73" s="6">
        <f t="shared" ca="1" si="10"/>
        <v>582.06927300391555</v>
      </c>
      <c r="J73" s="9">
        <f t="shared" ca="1" si="11"/>
        <v>3.1974400000000021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38.314399999999999</v>
      </c>
      <c r="E74" s="5">
        <f t="shared" si="8"/>
        <v>6.19008</v>
      </c>
      <c r="F74" s="6">
        <f t="shared" ca="1" si="13"/>
        <v>90664.388854674486</v>
      </c>
      <c r="G74" s="6">
        <f t="shared" ca="1" si="9"/>
        <v>3473.7516603335398</v>
      </c>
      <c r="H74" s="6">
        <f t="shared" ca="1" si="10"/>
        <v>561.21982016154345</v>
      </c>
      <c r="J74" s="9">
        <f t="shared" ca="1" si="11"/>
        <v>3.2124320000000033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37.784520000000008</v>
      </c>
      <c r="E75" s="5">
        <f t="shared" si="8"/>
        <v>5.8757399999999995</v>
      </c>
      <c r="F75" s="6">
        <f t="shared" ca="1" si="13"/>
        <v>93576.920694846485</v>
      </c>
      <c r="G75" s="6">
        <f t="shared" ca="1" si="9"/>
        <v>3535.7590315328416</v>
      </c>
      <c r="H75" s="6">
        <f t="shared" ca="1" si="10"/>
        <v>549.83365600353727</v>
      </c>
      <c r="J75" s="9">
        <f t="shared" ca="1" si="11"/>
        <v>3.1908779999999992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37.050840000000008</v>
      </c>
      <c r="E76" s="5">
        <f t="shared" si="8"/>
        <v>5.6097600000000005</v>
      </c>
      <c r="F76" s="6">
        <f t="shared" ca="1" si="13"/>
        <v>96562.846070375788</v>
      </c>
      <c r="G76" s="6">
        <f t="shared" ca="1" si="9"/>
        <v>3577.7345596981231</v>
      </c>
      <c r="H76" s="6">
        <f t="shared" ca="1" si="10"/>
        <v>541.69439137175129</v>
      </c>
      <c r="J76" s="9">
        <f t="shared" ca="1" si="11"/>
        <v>3.1441079999999917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36.154120000000006</v>
      </c>
      <c r="E77" s="5">
        <f t="shared" si="8"/>
        <v>5.4405000000000001</v>
      </c>
      <c r="F77" s="6">
        <f t="shared" ca="1" si="13"/>
        <v>99598.886238702151</v>
      </c>
      <c r="G77" s="6">
        <f t="shared" ca="1" si="9"/>
        <v>3600.9100849403872</v>
      </c>
      <c r="H77" s="6">
        <f t="shared" ca="1" si="10"/>
        <v>541.86774058165906</v>
      </c>
      <c r="J77" s="9">
        <f t="shared" ca="1" si="11"/>
        <v>3.0713620000000081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35.379680000000008</v>
      </c>
      <c r="E78" s="5">
        <f t="shared" si="8"/>
        <v>5.1986999999999997</v>
      </c>
      <c r="F78" s="6">
        <f t="shared" ca="1" si="13"/>
        <v>102657.92858306089</v>
      </c>
      <c r="G78" s="6">
        <f t="shared" ca="1" si="9"/>
        <v>3632.0046627315483</v>
      </c>
      <c r="H78" s="6">
        <f t="shared" ca="1" si="10"/>
        <v>533.68777332475861</v>
      </c>
      <c r="J78" s="9">
        <f t="shared" ca="1" si="11"/>
        <v>3.0180980000000042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34.156880000000001</v>
      </c>
      <c r="E79" s="5">
        <f t="shared" si="8"/>
        <v>5.0294400000000001</v>
      </c>
      <c r="F79" s="6">
        <f t="shared" ca="1" si="13"/>
        <v>105756.24547246768</v>
      </c>
      <c r="G79" s="6">
        <f t="shared" ca="1" si="9"/>
        <v>3612.3033858536223</v>
      </c>
      <c r="H79" s="6">
        <f t="shared" ca="1" si="10"/>
        <v>531.89469122904779</v>
      </c>
      <c r="J79" s="9">
        <f t="shared" ca="1" si="11"/>
        <v>2.9127440000000062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33.015600000000006</v>
      </c>
      <c r="E80" s="5">
        <f t="shared" si="8"/>
        <v>4.9085400000000003</v>
      </c>
      <c r="F80" s="6">
        <f t="shared" ca="1" si="13"/>
        <v>108836.65416709226</v>
      </c>
      <c r="G80" s="6">
        <f t="shared" ca="1" si="9"/>
        <v>3593.3074393190518</v>
      </c>
      <c r="H80" s="6">
        <f t="shared" ca="1" si="10"/>
        <v>534.22907044533906</v>
      </c>
      <c r="J80" s="9">
        <f t="shared" ca="1" si="11"/>
        <v>2.8107060000000015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31.833560000000006</v>
      </c>
      <c r="E81" s="5">
        <f t="shared" si="8"/>
        <v>4.7151000000000005</v>
      </c>
      <c r="F81" s="6">
        <f t="shared" ca="1" si="13"/>
        <v>111895.73253596597</v>
      </c>
      <c r="G81" s="6">
        <f t="shared" ca="1" si="9"/>
        <v>3562.0395154276257</v>
      </c>
      <c r="H81" s="6">
        <f t="shared" ca="1" si="10"/>
        <v>527.59956848033323</v>
      </c>
      <c r="J81" s="9">
        <f t="shared" ca="1" si="11"/>
        <v>2.7118459999999938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31.344440000000006</v>
      </c>
      <c r="E82" s="5">
        <f t="shared" si="8"/>
        <v>4.4733000000000001</v>
      </c>
      <c r="F82" s="6">
        <f t="shared" ca="1" si="13"/>
        <v>114930.17248291326</v>
      </c>
      <c r="G82" s="6">
        <f t="shared" ca="1" si="9"/>
        <v>3602.4218955803262</v>
      </c>
      <c r="H82" s="6">
        <f t="shared" ca="1" si="10"/>
        <v>514.11714056781591</v>
      </c>
      <c r="J82" s="9">
        <f t="shared" ca="1" si="11"/>
        <v>2.6871139999999958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31.018360000000005</v>
      </c>
      <c r="E83" s="5">
        <f t="shared" si="8"/>
        <v>4.3523999999999994</v>
      </c>
      <c r="F83" s="6">
        <f t="shared" ca="1" si="13"/>
        <v>118018.47723792576</v>
      </c>
      <c r="G83" s="6">
        <f t="shared" ca="1" si="9"/>
        <v>3660.7396136177877</v>
      </c>
      <c r="H83" s="6">
        <f t="shared" ca="1" si="10"/>
        <v>513.66362033034807</v>
      </c>
      <c r="J83" s="9">
        <f t="shared" ca="1" si="11"/>
        <v>2.6665959999999971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30.896080000000005</v>
      </c>
      <c r="E84" s="5">
        <f t="shared" si="8"/>
        <v>4.2556799999999999</v>
      </c>
      <c r="F84" s="6">
        <f t="shared" ca="1" si="13"/>
        <v>121165.5532312132</v>
      </c>
      <c r="G84" s="6">
        <f t="shared" ca="1" si="9"/>
        <v>3743.5406258758221</v>
      </c>
      <c r="H84" s="6">
        <f t="shared" ca="1" si="10"/>
        <v>515.64182157500943</v>
      </c>
      <c r="J84" s="9">
        <f t="shared" ca="1" si="11"/>
        <v>2.6640399999999893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30.814560000000004</v>
      </c>
      <c r="E85" s="5">
        <f t="shared" si="8"/>
        <v>4.1347800000000001</v>
      </c>
      <c r="F85" s="6">
        <f t="shared" ca="1" si="13"/>
        <v>124393.452035514</v>
      </c>
      <c r="G85" s="6">
        <f t="shared" ca="1" si="9"/>
        <v>3833.1294913554684</v>
      </c>
      <c r="H85" s="6">
        <f t="shared" ca="1" si="10"/>
        <v>514.33955760740253</v>
      </c>
      <c r="J85" s="9">
        <f t="shared" ca="1" si="11"/>
        <v>2.6679780000000095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31.018360000000005</v>
      </c>
      <c r="E86" s="5">
        <f t="shared" si="8"/>
        <v>4.0138800000000003</v>
      </c>
      <c r="F86" s="6">
        <f t="shared" ca="1" si="13"/>
        <v>127712.24196926208</v>
      </c>
      <c r="G86" s="6">
        <f t="shared" ca="1" si="9"/>
        <v>3961.4242978096804</v>
      </c>
      <c r="H86" s="6">
        <f t="shared" ca="1" si="10"/>
        <v>512.62161379558165</v>
      </c>
      <c r="J86" s="9">
        <f t="shared" ca="1" si="11"/>
        <v>2.7004480000000091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30.773800000000005</v>
      </c>
      <c r="E87" s="5">
        <f t="shared" si="8"/>
        <v>3.9413400000000003</v>
      </c>
      <c r="F87" s="6">
        <f t="shared" ca="1" si="13"/>
        <v>131161.04465327619</v>
      </c>
      <c r="G87" s="6">
        <f t="shared" ca="1" si="9"/>
        <v>4036.3237559509917</v>
      </c>
      <c r="H87" s="6">
        <f t="shared" ca="1" si="10"/>
        <v>516.95027173374365</v>
      </c>
      <c r="J87" s="9">
        <f t="shared" ca="1" si="11"/>
        <v>2.683245999999996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30.284680000000005</v>
      </c>
      <c r="E88" s="5">
        <f t="shared" si="8"/>
        <v>3.8688000000000002</v>
      </c>
      <c r="F88" s="6">
        <f t="shared" ca="1" si="13"/>
        <v>134680.41813749343</v>
      </c>
      <c r="G88" s="6">
        <f t="shared" ca="1" si="9"/>
        <v>4078.7533655601851</v>
      </c>
      <c r="H88" s="6">
        <f t="shared" ca="1" si="10"/>
        <v>521.05160169033456</v>
      </c>
      <c r="J88" s="9">
        <f t="shared" ca="1" si="11"/>
        <v>2.6415879999999965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29.591760000000004</v>
      </c>
      <c r="E89" s="5">
        <f t="shared" si="8"/>
        <v>3.8446199999999999</v>
      </c>
      <c r="F89" s="6">
        <f t="shared" ca="1" si="13"/>
        <v>138238.11990136327</v>
      </c>
      <c r="G89" s="6">
        <f t="shared" ca="1" si="9"/>
        <v>4090.7092669723661</v>
      </c>
      <c r="H89" s="6">
        <f t="shared" ca="1" si="10"/>
        <v>531.47304053517917</v>
      </c>
      <c r="J89" s="9">
        <f t="shared" ca="1" si="11"/>
        <v>2.5747140000000139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28.735800000000001</v>
      </c>
      <c r="E90" s="5">
        <f t="shared" si="8"/>
        <v>3.8688000000000002</v>
      </c>
      <c r="F90" s="6">
        <f t="shared" ca="1" si="13"/>
        <v>141797.35612780048</v>
      </c>
      <c r="G90" s="6">
        <f t="shared" ca="1" si="9"/>
        <v>4074.660466217249</v>
      </c>
      <c r="H90" s="6">
        <f t="shared" ca="1" si="10"/>
        <v>548.58561138723451</v>
      </c>
      <c r="J90" s="9">
        <f t="shared" ca="1" si="11"/>
        <v>2.4867000000000026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27.513000000000005</v>
      </c>
      <c r="E91" s="5">
        <f t="shared" si="8"/>
        <v>3.8929800000000001</v>
      </c>
      <c r="F91" s="6">
        <f t="shared" ca="1" si="13"/>
        <v>145323.4309826305</v>
      </c>
      <c r="G91" s="6">
        <f t="shared" ca="1" si="9"/>
        <v>3998.2835566251138</v>
      </c>
      <c r="H91" s="6">
        <f t="shared" ca="1" si="10"/>
        <v>565.74121034676091</v>
      </c>
      <c r="J91" s="9">
        <f t="shared" ca="1" si="11"/>
        <v>2.3620019999999995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26.412480000000006</v>
      </c>
      <c r="E92" s="5">
        <f t="shared" si="8"/>
        <v>3.9413400000000003</v>
      </c>
      <c r="F92" s="6">
        <f t="shared" ca="1" si="13"/>
        <v>148755.97332890885</v>
      </c>
      <c r="G92" s="6">
        <f t="shared" ca="1" si="9"/>
        <v>3929.0141704303396</v>
      </c>
      <c r="H92" s="6">
        <f t="shared" ca="1" si="10"/>
        <v>586.29786792016171</v>
      </c>
      <c r="J92" s="9">
        <f t="shared" ca="1" si="11"/>
        <v>2.2471139999999998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25.189680000000003</v>
      </c>
      <c r="E93" s="5">
        <f t="shared" si="8"/>
        <v>3.9413400000000003</v>
      </c>
      <c r="F93" s="6">
        <f t="shared" ca="1" si="13"/>
        <v>152098.68963141902</v>
      </c>
      <c r="G93" s="6">
        <f t="shared" ca="1" si="9"/>
        <v>3831.3173202347634</v>
      </c>
      <c r="H93" s="6">
        <f t="shared" ca="1" si="10"/>
        <v>599.47264939189711</v>
      </c>
      <c r="J93" s="9">
        <f t="shared" ca="1" si="11"/>
        <v>2.1248340000000008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24.211440000000003</v>
      </c>
      <c r="E94" s="5">
        <f t="shared" si="8"/>
        <v>3.91716</v>
      </c>
      <c r="F94" s="6">
        <f t="shared" ca="1" si="13"/>
        <v>155330.53430226189</v>
      </c>
      <c r="G94" s="6">
        <f t="shared" ca="1" si="9"/>
        <v>3760.7759114271562</v>
      </c>
      <c r="H94" s="6">
        <f t="shared" ca="1" si="10"/>
        <v>608.45455574744824</v>
      </c>
      <c r="J94" s="9">
        <f t="shared" ca="1" si="11"/>
        <v>2.0294280000000033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23.192440000000001</v>
      </c>
      <c r="E95" s="5">
        <f t="shared" si="8"/>
        <v>3.8929800000000001</v>
      </c>
      <c r="F95" s="6">
        <f t="shared" ca="1" si="13"/>
        <v>158482.8556579416</v>
      </c>
      <c r="G95" s="6">
        <f t="shared" ca="1" si="9"/>
        <v>3675.6041208754714</v>
      </c>
      <c r="H95" s="6">
        <f t="shared" ca="1" si="10"/>
        <v>616.97058741925355</v>
      </c>
      <c r="J95" s="9">
        <f t="shared" ca="1" si="11"/>
        <v>1.9299459999999997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22.703320000000005</v>
      </c>
      <c r="E96" s="5">
        <f t="shared" si="8"/>
        <v>3.8204400000000001</v>
      </c>
      <c r="F96" s="6">
        <f t="shared" ca="1" si="13"/>
        <v>161541.48919139782</v>
      </c>
      <c r="G96" s="6">
        <f t="shared" ca="1" si="9"/>
        <v>3667.5281223888469</v>
      </c>
      <c r="H96" s="6">
        <f t="shared" ca="1" si="10"/>
        <v>617.15956696638398</v>
      </c>
      <c r="J96" s="9">
        <f t="shared" ca="1" si="11"/>
        <v>1.8882880000000017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22.295720000000003</v>
      </c>
      <c r="E97" s="5">
        <f t="shared" si="8"/>
        <v>3.7720799999999999</v>
      </c>
      <c r="F97" s="6">
        <f t="shared" ca="1" si="13"/>
        <v>164591.85774682029</v>
      </c>
      <c r="G97" s="6">
        <f t="shared" ca="1" si="9"/>
        <v>3669.6939746029361</v>
      </c>
      <c r="H97" s="6">
        <f t="shared" ca="1" si="10"/>
        <v>620.8536547696259</v>
      </c>
      <c r="J97" s="9">
        <f t="shared" ca="1" si="11"/>
        <v>1.8523640000000003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22.214200000000005</v>
      </c>
      <c r="E98" s="5">
        <f t="shared" si="8"/>
        <v>3.7479</v>
      </c>
      <c r="F98" s="6">
        <f t="shared" ca="1" si="13"/>
        <v>167640.6980666536</v>
      </c>
      <c r="G98" s="6">
        <f t="shared" ca="1" si="9"/>
        <v>3724.003994992257</v>
      </c>
      <c r="H98" s="6">
        <f t="shared" ca="1" si="10"/>
        <v>628.30057228401108</v>
      </c>
      <c r="J98" s="9">
        <f t="shared" ca="1" si="11"/>
        <v>1.84663000000001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21.765840000000004</v>
      </c>
      <c r="E99" s="5">
        <f t="shared" si="8"/>
        <v>3.7237199999999997</v>
      </c>
      <c r="F99" s="6">
        <f t="shared" ca="1" si="13"/>
        <v>170736.40148936186</v>
      </c>
      <c r="G99" s="6">
        <f t="shared" ca="1" si="9"/>
        <v>3716.2211969932127</v>
      </c>
      <c r="H99" s="6">
        <f t="shared" ca="1" si="10"/>
        <v>635.77455295396658</v>
      </c>
      <c r="J99" s="9">
        <f t="shared" ca="1" si="11"/>
        <v>1.8042120000000155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21.358240000000002</v>
      </c>
      <c r="E100" s="5">
        <f t="shared" si="8"/>
        <v>3.6995399999999998</v>
      </c>
      <c r="F100" s="6">
        <f t="shared" ca="1" si="13"/>
        <v>173816.84813340113</v>
      </c>
      <c r="G100" s="6">
        <f t="shared" ca="1" si="9"/>
        <v>3712.4219584767338</v>
      </c>
      <c r="H100" s="6">
        <f t="shared" ca="1" si="10"/>
        <v>643.0423823434428</v>
      </c>
      <c r="J100" s="9">
        <f t="shared" ca="1" si="11"/>
        <v>1.7658700000000067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20.909880000000005</v>
      </c>
      <c r="E101" s="5">
        <f t="shared" si="8"/>
        <v>3.67536</v>
      </c>
      <c r="F101" s="6">
        <f t="shared" ca="1" si="13"/>
        <v>176886.22770953443</v>
      </c>
      <c r="G101" s="6">
        <f t="shared" ca="1" si="9"/>
        <v>3698.6697950590406</v>
      </c>
      <c r="H101" s="6">
        <f t="shared" ca="1" si="10"/>
        <v>650.12056587451457</v>
      </c>
      <c r="J101" s="9">
        <f t="shared" ca="1" si="11"/>
        <v>1.7234520000000104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20.543040000000001</v>
      </c>
      <c r="E102" s="5">
        <f t="shared" si="8"/>
        <v>3.67536</v>
      </c>
      <c r="F102" s="6">
        <f t="shared" ca="1" si="13"/>
        <v>179934.77693871898</v>
      </c>
      <c r="G102" s="6">
        <f t="shared" ca="1" si="9"/>
        <v>3696.4073200431817</v>
      </c>
      <c r="H102" s="6">
        <f t="shared" ca="1" si="10"/>
        <v>661.32508176949011</v>
      </c>
      <c r="J102" s="9">
        <f t="shared" ca="1" si="11"/>
        <v>1.686768000000002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20.135440000000003</v>
      </c>
      <c r="E103" s="5">
        <f t="shared" si="8"/>
        <v>3.67536</v>
      </c>
      <c r="F103" s="6">
        <f t="shared" ca="1" si="13"/>
        <v>182969.85917699267</v>
      </c>
      <c r="G103" s="6">
        <f t="shared" ca="1" si="9"/>
        <v>3684.1786212667862</v>
      </c>
      <c r="H103" s="6">
        <f t="shared" ca="1" si="10"/>
        <v>672.4801016247518</v>
      </c>
      <c r="J103" s="9">
        <f t="shared" ca="1" si="11"/>
        <v>1.646007999999997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19.768600000000003</v>
      </c>
      <c r="E104" s="5">
        <f t="shared" si="8"/>
        <v>3.6995399999999998</v>
      </c>
      <c r="F104" s="6">
        <f t="shared" ca="1" si="13"/>
        <v>185981.5576966347</v>
      </c>
      <c r="G104" s="6">
        <f t="shared" ca="1" si="9"/>
        <v>3676.595021481693</v>
      </c>
      <c r="H104" s="6">
        <f t="shared" ca="1" si="10"/>
        <v>688.04621196100788</v>
      </c>
      <c r="J104" s="9">
        <f t="shared" ca="1" si="11"/>
        <v>1.6069059999999906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19.442520000000002</v>
      </c>
      <c r="E105" s="5">
        <f t="shared" si="8"/>
        <v>3.7237199999999997</v>
      </c>
      <c r="F105" s="6">
        <f t="shared" ca="1" si="13"/>
        <v>188970.10650615537</v>
      </c>
      <c r="G105" s="6">
        <f t="shared" ca="1" si="9"/>
        <v>3674.0550751480564</v>
      </c>
      <c r="H105" s="6">
        <f t="shared" ca="1" si="10"/>
        <v>703.67176499910079</v>
      </c>
      <c r="J105" s="9">
        <f t="shared" ca="1" si="11"/>
        <v>1.5718800000000017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19.116440000000001</v>
      </c>
      <c r="E106" s="5">
        <f t="shared" si="8"/>
        <v>3.7479</v>
      </c>
      <c r="F106" s="6">
        <f t="shared" ca="1" si="13"/>
        <v>191940.48981630433</v>
      </c>
      <c r="G106" s="6">
        <f t="shared" ca="1" si="9"/>
        <v>3669.2188571439929</v>
      </c>
      <c r="H106" s="6">
        <f t="shared" ca="1" si="10"/>
        <v>719.37376178252703</v>
      </c>
      <c r="J106" s="9">
        <f t="shared" ca="1" si="11"/>
        <v>1.5368540000000004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18.790360000000003</v>
      </c>
      <c r="E107" s="5">
        <f t="shared" si="8"/>
        <v>3.7720799999999999</v>
      </c>
      <c r="F107" s="6">
        <f t="shared" ca="1" si="13"/>
        <v>194890.33491166579</v>
      </c>
      <c r="G107" s="6">
        <f t="shared" ca="1" si="9"/>
        <v>3662.0595535107691</v>
      </c>
      <c r="H107" s="6">
        <f t="shared" ca="1" si="10"/>
        <v>735.1419345135962</v>
      </c>
      <c r="J107" s="9">
        <f t="shared" ca="1" si="11"/>
        <v>1.5018279999999948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18.464280000000002</v>
      </c>
      <c r="E108" s="5">
        <f t="shared" si="8"/>
        <v>3.8204400000000001</v>
      </c>
      <c r="F108" s="6">
        <f t="shared" ca="1" si="13"/>
        <v>197817.25253066295</v>
      </c>
      <c r="G108" s="6">
        <f t="shared" ca="1" si="9"/>
        <v>3652.5531395568701</v>
      </c>
      <c r="H108" s="6">
        <f t="shared" ca="1" si="10"/>
        <v>755.74894425824596</v>
      </c>
      <c r="J108" s="9">
        <f t="shared" ca="1" si="11"/>
        <v>1.464383999999993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18.178960000000004</v>
      </c>
      <c r="E109" s="5">
        <f t="shared" si="8"/>
        <v>3.8688000000000002</v>
      </c>
      <c r="F109" s="6">
        <f t="shared" ca="1" si="13"/>
        <v>200714.05672596156</v>
      </c>
      <c r="G109" s="6">
        <f t="shared" ca="1" si="9"/>
        <v>3648.7728086589868</v>
      </c>
      <c r="H109" s="6">
        <f t="shared" ca="1" si="10"/>
        <v>776.52254266140017</v>
      </c>
      <c r="J109" s="9">
        <f t="shared" ca="1" si="11"/>
        <v>1.4310159999999932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17.852880000000003</v>
      </c>
      <c r="E110" s="5">
        <f t="shared" si="8"/>
        <v>3.91716</v>
      </c>
      <c r="F110" s="6">
        <f t="shared" ca="1" si="13"/>
        <v>203586.30699195914</v>
      </c>
      <c r="G110" s="6">
        <f t="shared" ca="1" si="9"/>
        <v>3634.6019083706078</v>
      </c>
      <c r="H110" s="6">
        <f t="shared" ca="1" si="10"/>
        <v>797.48013829662261</v>
      </c>
      <c r="J110" s="9">
        <f t="shared" ca="1" si="11"/>
        <v>1.3935720000000118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17.486040000000003</v>
      </c>
      <c r="E111" s="5">
        <f t="shared" si="8"/>
        <v>3.9655200000000002</v>
      </c>
      <c r="F111" s="6">
        <f t="shared" ca="1" si="13"/>
        <v>206423.42876203315</v>
      </c>
      <c r="G111" s="6">
        <f t="shared" ca="1" si="9"/>
        <v>3609.5283322700625</v>
      </c>
      <c r="H111" s="6">
        <f t="shared" ca="1" si="10"/>
        <v>818.57623522441781</v>
      </c>
      <c r="J111" s="9">
        <f t="shared" ca="1" si="11"/>
        <v>1.35205200000001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17.241480000000003</v>
      </c>
      <c r="E112" s="5">
        <f t="shared" si="8"/>
        <v>4.0138800000000003</v>
      </c>
      <c r="F112" s="6">
        <f t="shared" ca="1" si="13"/>
        <v>209214.38085907881</v>
      </c>
      <c r="G112" s="6">
        <f t="shared" ca="1" si="9"/>
        <v>3607.1655632941911</v>
      </c>
      <c r="H112" s="6">
        <f t="shared" ca="1" si="10"/>
        <v>839.76141904263932</v>
      </c>
      <c r="J112" s="9">
        <f t="shared" ca="1" si="11"/>
        <v>1.3227600000000108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17.119200000000003</v>
      </c>
      <c r="E113" s="5">
        <f t="shared" si="8"/>
        <v>4.0864200000000004</v>
      </c>
      <c r="F113" s="6">
        <f t="shared" ca="1" si="13"/>
        <v>211981.78500333038</v>
      </c>
      <c r="G113" s="6">
        <f t="shared" ca="1" si="9"/>
        <v>3628.9585738290143</v>
      </c>
      <c r="H113" s="6">
        <f t="shared" ca="1" si="10"/>
        <v>866.24660587330948</v>
      </c>
      <c r="J113" s="9">
        <f t="shared" ca="1" si="11"/>
        <v>1.3032779999999946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16.996920000000003</v>
      </c>
      <c r="E114" s="5">
        <f t="shared" si="8"/>
        <v>4.0864200000000004</v>
      </c>
      <c r="F114" s="6">
        <f t="shared" ca="1" si="13"/>
        <v>214744.49697128608</v>
      </c>
      <c r="G114" s="6">
        <f t="shared" ca="1" si="9"/>
        <v>3649.9950354611924</v>
      </c>
      <c r="H114" s="6">
        <f t="shared" ca="1" si="10"/>
        <v>877.53620731340288</v>
      </c>
      <c r="J114" s="9">
        <f t="shared" ca="1" si="11"/>
        <v>1.2910499999999878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16.833880000000001</v>
      </c>
      <c r="E115" s="5">
        <f t="shared" si="8"/>
        <v>4.0864200000000004</v>
      </c>
      <c r="F115" s="6">
        <f t="shared" ca="1" si="13"/>
        <v>217516.95579943384</v>
      </c>
      <c r="G115" s="6">
        <f t="shared" ca="1" si="9"/>
        <v>3661.6543318929735</v>
      </c>
      <c r="H115" s="6">
        <f t="shared" ca="1" si="10"/>
        <v>888.86563851792243</v>
      </c>
      <c r="J115" s="9">
        <f t="shared" ca="1" si="11"/>
        <v>1.2747459999999957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16.670840000000002</v>
      </c>
      <c r="E116" s="5">
        <f t="shared" si="8"/>
        <v>4.0864200000000004</v>
      </c>
      <c r="F116" s="6">
        <f t="shared" ca="1" si="13"/>
        <v>220289.74449280888</v>
      </c>
      <c r="G116" s="6">
        <f t="shared" ca="1" si="9"/>
        <v>3672.4150840804982</v>
      </c>
      <c r="H116" s="6">
        <f t="shared" ca="1" si="10"/>
        <v>900.19641769030409</v>
      </c>
      <c r="J116" s="9">
        <f t="shared" ca="1" si="11"/>
        <v>1.2584420000000007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16.467040000000004</v>
      </c>
      <c r="E117" s="5">
        <f t="shared" si="8"/>
        <v>4.0864200000000004</v>
      </c>
      <c r="F117" s="6">
        <f t="shared" ca="1" si="13"/>
        <v>223061.96315919908</v>
      </c>
      <c r="G117" s="6">
        <f t="shared" ca="1" si="9"/>
        <v>3673.1702698210584</v>
      </c>
      <c r="H117" s="6">
        <f t="shared" ca="1" si="10"/>
        <v>911.52486749301443</v>
      </c>
      <c r="J117" s="9">
        <f t="shared" ca="1" si="11"/>
        <v>1.2380620000000044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16.263240000000003</v>
      </c>
      <c r="E118" s="5">
        <f t="shared" si="8"/>
        <v>4.1347800000000001</v>
      </c>
      <c r="F118" s="6">
        <f t="shared" ca="1" si="13"/>
        <v>225823.60856152713</v>
      </c>
      <c r="G118" s="6">
        <f t="shared" ca="1" si="9"/>
        <v>3672.623543702171</v>
      </c>
      <c r="H118" s="6">
        <f t="shared" ca="1" si="10"/>
        <v>933.73094020803126</v>
      </c>
      <c r="J118" s="9">
        <f t="shared" ca="1" si="11"/>
        <v>1.2128460000000001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16.059440000000002</v>
      </c>
      <c r="E119" s="5">
        <f t="shared" si="8"/>
        <v>4.1831399999999999</v>
      </c>
      <c r="F119" s="6">
        <f t="shared" ca="1" si="13"/>
        <v>228562.50116502127</v>
      </c>
      <c r="G119" s="6">
        <f t="shared" ca="1" si="9"/>
        <v>3670.5857737095898</v>
      </c>
      <c r="H119" s="6">
        <f t="shared" ca="1" si="10"/>
        <v>956.10894112344704</v>
      </c>
      <c r="J119" s="9">
        <f t="shared" ca="1" si="11"/>
        <v>1.1876299999999977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15.855640000000003</v>
      </c>
      <c r="E120" s="5">
        <f t="shared" si="8"/>
        <v>4.2556799999999999</v>
      </c>
      <c r="F120" s="6">
        <f t="shared" ca="1" si="13"/>
        <v>231276.97799760741</v>
      </c>
      <c r="G120" s="6">
        <f t="shared" ca="1" si="9"/>
        <v>3667.0445034179847</v>
      </c>
      <c r="H120" s="6">
        <f t="shared" ca="1" si="10"/>
        <v>984.24080972485797</v>
      </c>
      <c r="J120" s="9">
        <f t="shared" ca="1" si="11"/>
        <v>1.1599959999999896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15.692600000000002</v>
      </c>
      <c r="E121" s="5">
        <f t="shared" si="8"/>
        <v>4.32822</v>
      </c>
      <c r="F121" s="6">
        <f t="shared" ca="1" si="13"/>
        <v>233959.78169130051</v>
      </c>
      <c r="G121" s="6">
        <f t="shared" ca="1" si="9"/>
        <v>3671.4372701689026</v>
      </c>
      <c r="H121" s="6">
        <f t="shared" ca="1" si="10"/>
        <v>1012.6294063119208</v>
      </c>
      <c r="J121" s="9">
        <f t="shared" ca="1" si="11"/>
        <v>1.1364380000000018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ca="1" si="13"/>
        <v>236618.58955515749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58" t="s">
        <v>22</v>
      </c>
      <c r="E126" s="58"/>
      <c r="F126" s="58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21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 ca="1">F16</f>
        <v>21841.444913557934</v>
      </c>
      <c r="E128" s="13">
        <f ca="1">OFFSET(INDIRECT(MID(_xlfn.FORMULATEXT(D128),2,255)),1,0)</f>
        <v>22226.361065558547</v>
      </c>
      <c r="F128" s="6">
        <f ca="1">D128*(E128/D128)^((C128-1)/365)</f>
        <v>22210.409745857956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 ca="1">F27</f>
        <v>26736.31081108599</v>
      </c>
      <c r="E129" s="13">
        <f t="shared" ref="E129:E134" ca="1" si="14">OFFSET(INDIRECT(MID(_xlfn.FORMULATEXT(D129),2,255)),1,0)</f>
        <v>27254.757822381056</v>
      </c>
      <c r="F129" s="6">
        <f t="shared" ref="F129:F134" ca="1" si="15">D129*(E129/D129)^((C129-1)/365)</f>
        <v>26743.345769715615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 ca="1">F29</f>
        <v>27796.72086205973</v>
      </c>
      <c r="E130" s="13">
        <f t="shared" ca="1" si="14"/>
        <v>28357.564736139582</v>
      </c>
      <c r="F130" s="6">
        <f t="shared" ca="1" si="15"/>
        <v>27821.07172486337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 ca="1">F49</f>
        <v>42606.881190671404</v>
      </c>
      <c r="E131" s="13">
        <f t="shared" ca="1" si="14"/>
        <v>43745.737560769339</v>
      </c>
      <c r="F131" s="6">
        <f t="shared" ca="1" si="15"/>
        <v>42650.011568127789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 ca="1">F60</f>
        <v>58180.334660000539</v>
      </c>
      <c r="E132" s="13">
        <f t="shared" ca="1" si="14"/>
        <v>60032.655719165079</v>
      </c>
      <c r="F132" s="6">
        <f t="shared" ca="1" si="15"/>
        <v>58250.317096030019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 ca="1">F69</f>
        <v>77483.358607667804</v>
      </c>
      <c r="E133" s="13">
        <f t="shared" ca="1" si="14"/>
        <v>79969.46020827716</v>
      </c>
      <c r="F133" s="6">
        <f t="shared" ca="1" si="15"/>
        <v>77590.700867184496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 ca="1">F79</f>
        <v>105756.24547246768</v>
      </c>
      <c r="E134" s="13">
        <f t="shared" ca="1" si="14"/>
        <v>108836.65416709226</v>
      </c>
      <c r="F134" s="6">
        <f t="shared" ca="1" si="15"/>
        <v>105847.79298962053</v>
      </c>
    </row>
    <row r="135" spans="1:6" x14ac:dyDescent="0.25">
      <c r="A135" s="12">
        <v>2020</v>
      </c>
      <c r="B135" s="2"/>
      <c r="C135" s="2"/>
      <c r="D135" s="2"/>
      <c r="E135" s="2"/>
      <c r="F135" s="6">
        <f ca="1">F110</f>
        <v>203586.30699195914</v>
      </c>
    </row>
    <row r="136" spans="1:6" x14ac:dyDescent="0.25">
      <c r="A136" s="12">
        <v>2030</v>
      </c>
      <c r="B136" s="2"/>
      <c r="C136" s="2"/>
      <c r="D136" s="2"/>
      <c r="E136" s="2"/>
      <c r="F136" s="6">
        <f ca="1">F120</f>
        <v>231276.97799760741</v>
      </c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55"/>
  <sheetViews>
    <sheetView topLeftCell="A94" workbookViewId="0">
      <selection activeCell="F137" sqref="F137"/>
    </sheetView>
  </sheetViews>
  <sheetFormatPr defaultRowHeight="15" x14ac:dyDescent="0.25"/>
  <cols>
    <col min="1" max="3" width="9.140625" style="1"/>
    <col min="4" max="4" width="17.140625" style="1" customWidth="1"/>
    <col min="5" max="5" width="12.85546875" style="1" customWidth="1"/>
    <col min="6" max="6" width="24" style="1" customWidth="1"/>
    <col min="7" max="7" width="18.28515625" style="1" customWidth="1"/>
    <col min="8" max="8" width="15.140625" style="1" customWidth="1"/>
    <col min="9" max="9" width="18.140625" style="1" customWidth="1"/>
    <col min="10" max="10" width="40.28515625" style="1" customWidth="1"/>
    <col min="11" max="11" width="9.140625" style="1"/>
    <col min="12" max="12" width="29.7109375" style="1" customWidth="1"/>
    <col min="13" max="16384" width="9.140625" style="1"/>
  </cols>
  <sheetData>
    <row r="1" spans="1:12" ht="21" x14ac:dyDescent="0.35">
      <c r="A1" s="38" t="s">
        <v>27</v>
      </c>
    </row>
    <row r="4" spans="1:12" x14ac:dyDescent="0.25">
      <c r="D4" s="57" t="s">
        <v>3</v>
      </c>
      <c r="E4" s="57"/>
      <c r="F4" s="57" t="s">
        <v>10</v>
      </c>
      <c r="G4" s="57"/>
      <c r="H4" s="57"/>
      <c r="I4" s="57"/>
    </row>
    <row r="5" spans="1:12" x14ac:dyDescent="0.25">
      <c r="A5" s="15" t="s">
        <v>0</v>
      </c>
      <c r="B5" s="15" t="s">
        <v>1</v>
      </c>
      <c r="C5" s="15" t="s">
        <v>2</v>
      </c>
      <c r="D5" s="15" t="s">
        <v>4</v>
      </c>
      <c r="E5" s="15" t="s">
        <v>5</v>
      </c>
      <c r="F5" s="16" t="s">
        <v>6</v>
      </c>
      <c r="G5" s="16" t="s">
        <v>7</v>
      </c>
      <c r="H5" s="16" t="s">
        <v>8</v>
      </c>
      <c r="I5" s="16" t="s">
        <v>9</v>
      </c>
      <c r="J5" s="16" t="s">
        <v>11</v>
      </c>
      <c r="L5" s="16" t="s">
        <v>24</v>
      </c>
    </row>
    <row r="6" spans="1:12" x14ac:dyDescent="0.25">
      <c r="A6" s="2" t="s">
        <v>29</v>
      </c>
      <c r="B6" s="2"/>
      <c r="C6" s="2"/>
      <c r="D6" s="5">
        <v>41.04</v>
      </c>
      <c r="E6" s="5">
        <v>22.919999999999998</v>
      </c>
      <c r="F6" s="6">
        <v>10686</v>
      </c>
      <c r="L6" s="17" t="s">
        <v>23</v>
      </c>
    </row>
    <row r="7" spans="1:12" x14ac:dyDescent="0.25">
      <c r="A7" s="2">
        <v>1917</v>
      </c>
      <c r="B7" s="3">
        <v>0.51</v>
      </c>
      <c r="C7" s="3">
        <v>1</v>
      </c>
      <c r="D7" s="5">
        <f>B7*$D$6</f>
        <v>20.930399999999999</v>
      </c>
      <c r="E7" s="5">
        <f>C7*$E$6</f>
        <v>22.919999999999998</v>
      </c>
      <c r="F7" s="6">
        <f>F6 * RSFSR!F7 / RSFSR!F6</f>
        <v>10896.384030120009</v>
      </c>
      <c r="G7" s="6">
        <f>F7*D7/1000</f>
        <v>228.06567630402384</v>
      </c>
      <c r="H7" s="6">
        <f>E7*F7/1000</f>
        <v>249.7451219703506</v>
      </c>
      <c r="I7" s="19">
        <f ca="1" xml:space="preserve"> BR!F6 / RSFSR!F6 * INDIRECT("'RSFSR'!" &amp; ADDRESS(ROW(), COLUMN()))</f>
        <v>-6.4659861277635216</v>
      </c>
      <c r="J7" s="9">
        <f ca="1">100 *(F8-F7) / F7</f>
        <v>-0.25830065934065433</v>
      </c>
    </row>
    <row r="8" spans="1:12" x14ac:dyDescent="0.25">
      <c r="A8" s="2">
        <f>A7+1</f>
        <v>1918</v>
      </c>
      <c r="B8" s="3">
        <v>0.6</v>
      </c>
      <c r="C8" s="3">
        <v>1</v>
      </c>
      <c r="D8" s="5">
        <f t="shared" ref="D8:D71" si="0">B8*$D$6</f>
        <v>24.623999999999999</v>
      </c>
      <c r="E8" s="5">
        <f t="shared" ref="E8:E71" si="1">C8*$E$6</f>
        <v>22.919999999999998</v>
      </c>
      <c r="F8" s="6">
        <f ca="1">F7+G7-H7+I7</f>
        <v>10868.238598325919</v>
      </c>
      <c r="G8" s="6">
        <f t="shared" ref="G8:G71" ca="1" si="2">F8*D8/1000</f>
        <v>267.61950724517743</v>
      </c>
      <c r="H8" s="6">
        <f t="shared" ref="H8:H71" ca="1" si="3">E8*F8/1000</f>
        <v>249.10002867363002</v>
      </c>
      <c r="I8" s="19">
        <f ca="1" xml:space="preserve"> BR!F6 / RSFSR!F6 * INDIRECT("'RSFSR'!" &amp; ADDRESS(ROW(), COLUMN()))</f>
        <v>-17.362370157883532</v>
      </c>
      <c r="J8" s="9">
        <f t="shared" ref="J8:J71" ca="1" si="4">100 *(F9-F8) / F8</f>
        <v>1.0646696823911429E-2</v>
      </c>
    </row>
    <row r="9" spans="1:12" x14ac:dyDescent="0.25">
      <c r="A9" s="2">
        <f t="shared" ref="A9:A72" si="5">A8+1</f>
        <v>1919</v>
      </c>
      <c r="B9" s="3">
        <v>1</v>
      </c>
      <c r="C9" s="3">
        <v>1</v>
      </c>
      <c r="D9" s="5">
        <f t="shared" si="0"/>
        <v>41.04</v>
      </c>
      <c r="E9" s="5">
        <f t="shared" si="1"/>
        <v>22.919999999999998</v>
      </c>
      <c r="F9" s="6">
        <f t="shared" ref="F9:F72" ca="1" si="6">F8+G8-H8+I8</f>
        <v>10869.395706739582</v>
      </c>
      <c r="G9" s="6">
        <f t="shared" ca="1" si="2"/>
        <v>446.07999980459243</v>
      </c>
      <c r="H9" s="6">
        <f t="shared" ca="1" si="3"/>
        <v>249.1265495984712</v>
      </c>
      <c r="I9" s="19">
        <f ca="1" xml:space="preserve"> BR!F6 / RSFSR!F6 * INDIRECT("'RSFSR'!" &amp; ADDRESS(ROW(), COLUMN()))</f>
        <v>173.62370157883532</v>
      </c>
      <c r="J9" s="9">
        <f t="shared" ca="1" si="4"/>
        <v>3.4093629653687212</v>
      </c>
    </row>
    <row r="10" spans="1:12" x14ac:dyDescent="0.25">
      <c r="A10" s="2">
        <f t="shared" si="5"/>
        <v>1920</v>
      </c>
      <c r="B10" s="3">
        <v>1</v>
      </c>
      <c r="C10" s="3">
        <v>1</v>
      </c>
      <c r="D10" s="5">
        <f t="shared" si="0"/>
        <v>41.04</v>
      </c>
      <c r="E10" s="5">
        <f t="shared" si="1"/>
        <v>22.919999999999998</v>
      </c>
      <c r="F10" s="6">
        <f t="shared" ca="1" si="6"/>
        <v>11239.972858524539</v>
      </c>
      <c r="G10" s="6">
        <f t="shared" ca="1" si="2"/>
        <v>461.28848611384706</v>
      </c>
      <c r="H10" s="6">
        <f t="shared" ca="1" si="3"/>
        <v>257.62017791738242</v>
      </c>
      <c r="I10" s="19">
        <f ca="1" xml:space="preserve"> BR!F6 / RSFSR!F6 * INDIRECT("'RSFSR'!" &amp; ADDRESS(ROW(), COLUMN()))</f>
        <v>104.17422094730118</v>
      </c>
      <c r="J10" s="9">
        <f t="shared" ca="1" si="4"/>
        <v>2.7388191503531387</v>
      </c>
    </row>
    <row r="11" spans="1:12" x14ac:dyDescent="0.25">
      <c r="A11" s="2">
        <f t="shared" si="5"/>
        <v>1921</v>
      </c>
      <c r="B11" s="4">
        <v>1</v>
      </c>
      <c r="C11" s="4">
        <v>1</v>
      </c>
      <c r="D11" s="5">
        <f t="shared" si="0"/>
        <v>41.04</v>
      </c>
      <c r="E11" s="5">
        <f t="shared" si="1"/>
        <v>22.919999999999998</v>
      </c>
      <c r="F11" s="6">
        <f t="shared" ca="1" si="6"/>
        <v>11547.815387668305</v>
      </c>
      <c r="G11" s="6">
        <f t="shared" ca="1" si="2"/>
        <v>473.92234350990719</v>
      </c>
      <c r="H11" s="6">
        <f t="shared" ca="1" si="3"/>
        <v>264.67592868535752</v>
      </c>
      <c r="I11" s="19">
        <f ca="1" xml:space="preserve"> BR!F6 / RSFSR!F6 * INDIRECT("'RSFSR'!" &amp; ADDRESS(ROW(), COLUMN()))</f>
        <v>69.449480631534129</v>
      </c>
      <c r="J11" s="9">
        <f t="shared" ca="1" si="4"/>
        <v>2.4134079572634781</v>
      </c>
    </row>
    <row r="12" spans="1:12" x14ac:dyDescent="0.25">
      <c r="A12" s="2">
        <f t="shared" si="5"/>
        <v>1922</v>
      </c>
      <c r="B12" s="4">
        <v>0.999</v>
      </c>
      <c r="C12" s="4">
        <v>0.99199999999999999</v>
      </c>
      <c r="D12" s="5">
        <f t="shared" si="0"/>
        <v>40.998959999999997</v>
      </c>
      <c r="E12" s="5">
        <f t="shared" si="1"/>
        <v>22.736639999999998</v>
      </c>
      <c r="F12" s="6">
        <f t="shared" ca="1" si="6"/>
        <v>11826.511283124388</v>
      </c>
      <c r="G12" s="6">
        <f t="shared" ca="1" si="2"/>
        <v>484.8746630363654</v>
      </c>
      <c r="H12" s="6">
        <f t="shared" ca="1" si="3"/>
        <v>268.89512950033725</v>
      </c>
      <c r="I12" s="19"/>
      <c r="J12" s="9">
        <f t="shared" ca="1" si="4"/>
        <v>1.8262320000000036</v>
      </c>
    </row>
    <row r="13" spans="1:12" x14ac:dyDescent="0.25">
      <c r="A13" s="2">
        <f t="shared" si="5"/>
        <v>1923</v>
      </c>
      <c r="B13" s="4">
        <v>0.997</v>
      </c>
      <c r="C13" s="4">
        <v>0.98099999999999998</v>
      </c>
      <c r="D13" s="5">
        <f t="shared" si="0"/>
        <v>40.916879999999999</v>
      </c>
      <c r="E13" s="5">
        <f t="shared" si="1"/>
        <v>22.484519999999996</v>
      </c>
      <c r="F13" s="6">
        <f t="shared" ca="1" si="6"/>
        <v>12042.490816660416</v>
      </c>
      <c r="G13" s="6">
        <f t="shared" ca="1" si="2"/>
        <v>492.74115164639625</v>
      </c>
      <c r="H13" s="6">
        <f t="shared" ca="1" si="3"/>
        <v>270.76962561701743</v>
      </c>
      <c r="I13" s="19"/>
      <c r="J13" s="9">
        <f t="shared" ca="1" si="4"/>
        <v>1.8432360000000074</v>
      </c>
    </row>
    <row r="14" spans="1:12" x14ac:dyDescent="0.25">
      <c r="A14" s="2">
        <f t="shared" si="5"/>
        <v>1924</v>
      </c>
      <c r="B14" s="4">
        <v>0.995</v>
      </c>
      <c r="C14" s="4">
        <v>0.96699999999999997</v>
      </c>
      <c r="D14" s="5">
        <f t="shared" si="0"/>
        <v>40.834800000000001</v>
      </c>
      <c r="E14" s="5">
        <f t="shared" si="1"/>
        <v>22.163639999999997</v>
      </c>
      <c r="F14" s="6">
        <f t="shared" ca="1" si="6"/>
        <v>12264.462342689796</v>
      </c>
      <c r="G14" s="6">
        <f t="shared" ca="1" si="2"/>
        <v>500.81686687126933</v>
      </c>
      <c r="H14" s="6">
        <f t="shared" ca="1" si="3"/>
        <v>271.82512815693326</v>
      </c>
      <c r="I14" s="19"/>
      <c r="J14" s="9">
        <f t="shared" ca="1" si="4"/>
        <v>1.8671159999999996</v>
      </c>
    </row>
    <row r="15" spans="1:12" x14ac:dyDescent="0.25">
      <c r="A15" s="2">
        <f t="shared" si="5"/>
        <v>1925</v>
      </c>
      <c r="B15" s="4">
        <v>0.99199999999999999</v>
      </c>
      <c r="C15" s="4">
        <v>0.95299999999999996</v>
      </c>
      <c r="D15" s="5">
        <f t="shared" si="0"/>
        <v>40.711680000000001</v>
      </c>
      <c r="E15" s="5">
        <f t="shared" si="1"/>
        <v>21.842759999999998</v>
      </c>
      <c r="F15" s="6">
        <f t="shared" ca="1" si="6"/>
        <v>12493.454081404132</v>
      </c>
      <c r="G15" s="6">
        <f t="shared" ca="1" si="2"/>
        <v>508.62950465681899</v>
      </c>
      <c r="H15" s="6">
        <f t="shared" ca="1" si="3"/>
        <v>272.89151907113092</v>
      </c>
      <c r="I15" s="19"/>
      <c r="J15" s="9">
        <f t="shared" ca="1" si="4"/>
        <v>1.8868920000000067</v>
      </c>
    </row>
    <row r="16" spans="1:12" x14ac:dyDescent="0.25">
      <c r="A16" s="2">
        <f t="shared" si="5"/>
        <v>1926</v>
      </c>
      <c r="B16" s="4">
        <v>0.99</v>
      </c>
      <c r="C16" s="4">
        <v>0.94</v>
      </c>
      <c r="D16" s="5">
        <f t="shared" si="0"/>
        <v>40.629599999999996</v>
      </c>
      <c r="E16" s="5">
        <f t="shared" si="1"/>
        <v>21.544799999999999</v>
      </c>
      <c r="F16" s="6">
        <f t="shared" ca="1" si="6"/>
        <v>12729.192066989821</v>
      </c>
      <c r="G16" s="6">
        <f t="shared" ca="1" si="2"/>
        <v>517.18198200496954</v>
      </c>
      <c r="H16" s="6">
        <f t="shared" ca="1" si="3"/>
        <v>274.24789724488232</v>
      </c>
      <c r="I16" s="19"/>
      <c r="J16" s="9">
        <f t="shared" ca="1" si="4"/>
        <v>1.9084799999999973</v>
      </c>
    </row>
    <row r="17" spans="1:10" x14ac:dyDescent="0.25">
      <c r="A17" s="2">
        <f t="shared" si="5"/>
        <v>1927</v>
      </c>
      <c r="B17" s="4">
        <v>0.98699999999999999</v>
      </c>
      <c r="C17" s="4">
        <v>0.92700000000000005</v>
      </c>
      <c r="D17" s="5">
        <f t="shared" si="0"/>
        <v>40.506479999999996</v>
      </c>
      <c r="E17" s="5">
        <f t="shared" si="1"/>
        <v>21.246839999999999</v>
      </c>
      <c r="F17" s="6">
        <f t="shared" ca="1" si="6"/>
        <v>12972.126151749908</v>
      </c>
      <c r="G17" s="6">
        <f t="shared" ca="1" si="2"/>
        <v>525.45516852333458</v>
      </c>
      <c r="H17" s="6">
        <f t="shared" ca="1" si="3"/>
        <v>275.616688806046</v>
      </c>
      <c r="I17" s="19"/>
      <c r="J17" s="9">
        <f t="shared" ca="1" si="4"/>
        <v>1.925964000000006</v>
      </c>
    </row>
    <row r="18" spans="1:10" x14ac:dyDescent="0.25">
      <c r="A18" s="2">
        <f t="shared" si="5"/>
        <v>1928</v>
      </c>
      <c r="B18" s="4">
        <v>0.98499999999999999</v>
      </c>
      <c r="C18" s="4">
        <v>0.91400000000000003</v>
      </c>
      <c r="D18" s="5">
        <f t="shared" si="0"/>
        <v>40.424399999999999</v>
      </c>
      <c r="E18" s="5">
        <f t="shared" si="1"/>
        <v>20.948879999999999</v>
      </c>
      <c r="F18" s="6">
        <f t="shared" ca="1" si="6"/>
        <v>13221.964631467197</v>
      </c>
      <c r="G18" s="6">
        <f t="shared" ca="1" si="2"/>
        <v>534.4899870482825</v>
      </c>
      <c r="H18" s="6">
        <f t="shared" ca="1" si="3"/>
        <v>276.9853504288505</v>
      </c>
      <c r="I18" s="19"/>
      <c r="J18" s="9">
        <f t="shared" ca="1" si="4"/>
        <v>1.9475519999999926</v>
      </c>
    </row>
    <row r="19" spans="1:10" x14ac:dyDescent="0.25">
      <c r="A19" s="2">
        <f t="shared" si="5"/>
        <v>1929</v>
      </c>
      <c r="B19" s="4">
        <v>0.98199999999999998</v>
      </c>
      <c r="C19" s="4">
        <v>0.90100000000000002</v>
      </c>
      <c r="D19" s="5">
        <f t="shared" si="0"/>
        <v>40.301279999999998</v>
      </c>
      <c r="E19" s="5">
        <f t="shared" si="1"/>
        <v>20.650919999999999</v>
      </c>
      <c r="F19" s="6">
        <f t="shared" ca="1" si="6"/>
        <v>13479.469268086628</v>
      </c>
      <c r="G19" s="6">
        <f t="shared" ca="1" si="2"/>
        <v>543.23986522455425</v>
      </c>
      <c r="H19" s="6">
        <f t="shared" ca="1" si="3"/>
        <v>278.36344149771548</v>
      </c>
      <c r="I19" s="19"/>
      <c r="J19" s="9">
        <f t="shared" ca="1" si="4"/>
        <v>1.965036</v>
      </c>
    </row>
    <row r="20" spans="1:10" x14ac:dyDescent="0.25">
      <c r="A20" s="2">
        <f t="shared" si="5"/>
        <v>1930</v>
      </c>
      <c r="B20" s="4">
        <v>0.98</v>
      </c>
      <c r="C20" s="4">
        <v>0.88700000000000001</v>
      </c>
      <c r="D20" s="5">
        <f t="shared" si="0"/>
        <v>40.219200000000001</v>
      </c>
      <c r="E20" s="5">
        <f t="shared" si="1"/>
        <v>20.33004</v>
      </c>
      <c r="F20" s="6">
        <f t="shared" ca="1" si="6"/>
        <v>13744.345691813467</v>
      </c>
      <c r="G20" s="6">
        <f t="shared" ca="1" si="2"/>
        <v>552.78658824818422</v>
      </c>
      <c r="H20" s="6">
        <f t="shared" ca="1" si="3"/>
        <v>279.42309768839544</v>
      </c>
      <c r="I20" s="19"/>
      <c r="J20" s="9">
        <f t="shared" ca="1" si="4"/>
        <v>1.9889159999999966</v>
      </c>
    </row>
    <row r="21" spans="1:10" x14ac:dyDescent="0.25">
      <c r="A21" s="2">
        <f t="shared" si="5"/>
        <v>1931</v>
      </c>
      <c r="B21" s="4">
        <v>0.98</v>
      </c>
      <c r="C21" s="4">
        <v>0.874</v>
      </c>
      <c r="D21" s="5">
        <f t="shared" si="0"/>
        <v>40.219200000000001</v>
      </c>
      <c r="E21" s="5">
        <f t="shared" si="1"/>
        <v>20.032079999999997</v>
      </c>
      <c r="F21" s="6">
        <f t="shared" ca="1" si="6"/>
        <v>14017.709182373255</v>
      </c>
      <c r="G21" s="6">
        <f t="shared" ca="1" si="2"/>
        <v>563.78104914770643</v>
      </c>
      <c r="H21" s="6">
        <f t="shared" ca="1" si="3"/>
        <v>280.8038717580356</v>
      </c>
      <c r="I21" s="19"/>
      <c r="J21" s="9">
        <f t="shared" ca="1" si="4"/>
        <v>2.0187120000000074</v>
      </c>
    </row>
    <row r="22" spans="1:10" x14ac:dyDescent="0.25">
      <c r="A22" s="2">
        <f t="shared" si="5"/>
        <v>1932</v>
      </c>
      <c r="B22" s="4">
        <v>0.97799999999999998</v>
      </c>
      <c r="C22" s="4">
        <v>0.86299999999999999</v>
      </c>
      <c r="D22" s="5">
        <f t="shared" si="0"/>
        <v>40.137119999999996</v>
      </c>
      <c r="E22" s="5">
        <f t="shared" si="1"/>
        <v>19.779959999999999</v>
      </c>
      <c r="F22" s="6">
        <f t="shared" ca="1" si="6"/>
        <v>14300.686359762927</v>
      </c>
      <c r="G22" s="6">
        <f t="shared" ca="1" si="2"/>
        <v>573.98836450416775</v>
      </c>
      <c r="H22" s="6">
        <f t="shared" ca="1" si="3"/>
        <v>282.86700416865631</v>
      </c>
      <c r="I22" s="19"/>
      <c r="J22" s="9">
        <f t="shared" ca="1" si="4"/>
        <v>2.0357160000000021</v>
      </c>
    </row>
    <row r="23" spans="1:10" x14ac:dyDescent="0.25">
      <c r="A23" s="2">
        <f t="shared" si="5"/>
        <v>1933</v>
      </c>
      <c r="B23" s="4">
        <v>0.97499999999999998</v>
      </c>
      <c r="C23" s="4">
        <v>0.85899999999999999</v>
      </c>
      <c r="D23" s="5">
        <f t="shared" si="0"/>
        <v>40.013999999999996</v>
      </c>
      <c r="E23" s="5">
        <f t="shared" si="1"/>
        <v>19.688279999999999</v>
      </c>
      <c r="F23" s="6">
        <f t="shared" ca="1" si="6"/>
        <v>14591.807720098439</v>
      </c>
      <c r="G23" s="6">
        <f t="shared" ca="1" si="2"/>
        <v>583.87659411201878</v>
      </c>
      <c r="H23" s="6">
        <f t="shared" ca="1" si="3"/>
        <v>287.28759609945968</v>
      </c>
      <c r="I23" s="19"/>
      <c r="J23" s="9">
        <f t="shared" ca="1" si="4"/>
        <v>2.0325720000000009</v>
      </c>
    </row>
    <row r="24" spans="1:10" x14ac:dyDescent="0.25">
      <c r="A24" s="2">
        <f t="shared" si="5"/>
        <v>1934</v>
      </c>
      <c r="B24" s="4">
        <v>0.97199999999999998</v>
      </c>
      <c r="C24" s="4">
        <v>0.85099999999999998</v>
      </c>
      <c r="D24" s="5">
        <f t="shared" si="0"/>
        <v>39.890879999999996</v>
      </c>
      <c r="E24" s="5">
        <f t="shared" si="1"/>
        <v>19.504919999999998</v>
      </c>
      <c r="F24" s="6">
        <f t="shared" ca="1" si="6"/>
        <v>14888.396718110998</v>
      </c>
      <c r="G24" s="6">
        <f t="shared" ca="1" si="2"/>
        <v>593.91124687455954</v>
      </c>
      <c r="H24" s="6">
        <f t="shared" ca="1" si="3"/>
        <v>290.39698691501752</v>
      </c>
      <c r="I24" s="19"/>
      <c r="J24" s="9">
        <f t="shared" ca="1" si="4"/>
        <v>2.0385959999999992</v>
      </c>
    </row>
    <row r="25" spans="1:10" x14ac:dyDescent="0.25">
      <c r="A25" s="2">
        <f t="shared" si="5"/>
        <v>1935</v>
      </c>
      <c r="B25" s="4">
        <v>0.96799999999999997</v>
      </c>
      <c r="C25" s="4">
        <v>0.84099999999999997</v>
      </c>
      <c r="D25" s="5">
        <f t="shared" si="0"/>
        <v>39.72672</v>
      </c>
      <c r="E25" s="5">
        <f t="shared" si="1"/>
        <v>19.275719999999996</v>
      </c>
      <c r="F25" s="6">
        <f t="shared" ca="1" si="6"/>
        <v>15191.91097807054</v>
      </c>
      <c r="G25" s="6">
        <f t="shared" ca="1" si="2"/>
        <v>603.52479369073455</v>
      </c>
      <c r="H25" s="6">
        <f t="shared" ca="1" si="3"/>
        <v>292.83502227821384</v>
      </c>
      <c r="I25" s="19"/>
      <c r="J25" s="9">
        <f t="shared" ca="1" si="4"/>
        <v>2.0451000000000006</v>
      </c>
    </row>
    <row r="26" spans="1:10" x14ac:dyDescent="0.25">
      <c r="A26" s="2">
        <f t="shared" si="5"/>
        <v>1936</v>
      </c>
      <c r="B26" s="4">
        <v>0.95599999999999996</v>
      </c>
      <c r="C26" s="4">
        <v>0.82899999999999996</v>
      </c>
      <c r="D26" s="5">
        <f t="shared" si="0"/>
        <v>39.23424</v>
      </c>
      <c r="E26" s="5">
        <f t="shared" si="1"/>
        <v>19.000679999999999</v>
      </c>
      <c r="F26" s="6">
        <f t="shared" ca="1" si="6"/>
        <v>15502.600749483061</v>
      </c>
      <c r="G26" s="6">
        <f t="shared" ca="1" si="2"/>
        <v>608.23275842939825</v>
      </c>
      <c r="H26" s="6">
        <f t="shared" ca="1" si="3"/>
        <v>294.55995600868778</v>
      </c>
      <c r="I26" s="19"/>
      <c r="J26" s="9">
        <f t="shared" ca="1" si="4"/>
        <v>2.0233559999999939</v>
      </c>
    </row>
    <row r="27" spans="1:10" x14ac:dyDescent="0.25">
      <c r="A27" s="2">
        <f t="shared" si="5"/>
        <v>1937</v>
      </c>
      <c r="B27" s="4">
        <v>0.96099999999999997</v>
      </c>
      <c r="C27" s="4">
        <v>0.81799999999999995</v>
      </c>
      <c r="D27" s="5">
        <f t="shared" si="0"/>
        <v>39.439439999999998</v>
      </c>
      <c r="E27" s="5">
        <f t="shared" si="1"/>
        <v>18.748559999999998</v>
      </c>
      <c r="F27" s="6">
        <f t="shared" ca="1" si="6"/>
        <v>15816.273551903771</v>
      </c>
      <c r="G27" s="6">
        <f t="shared" ca="1" si="2"/>
        <v>623.78497177389556</v>
      </c>
      <c r="H27" s="6">
        <f t="shared" ca="1" si="3"/>
        <v>296.53235366428089</v>
      </c>
      <c r="I27" s="19"/>
      <c r="J27" s="9">
        <f t="shared" ca="1" si="4"/>
        <v>2.0690880000000105</v>
      </c>
    </row>
    <row r="28" spans="1:10" x14ac:dyDescent="0.25">
      <c r="A28" s="2">
        <f t="shared" si="5"/>
        <v>1938</v>
      </c>
      <c r="B28" s="4">
        <v>0.96599999999999997</v>
      </c>
      <c r="C28" s="4">
        <v>0.80600000000000005</v>
      </c>
      <c r="D28" s="5">
        <f t="shared" si="0"/>
        <v>39.644639999999995</v>
      </c>
      <c r="E28" s="5">
        <f t="shared" si="1"/>
        <v>18.473520000000001</v>
      </c>
      <c r="F28" s="6">
        <f t="shared" ca="1" si="6"/>
        <v>16143.526170013387</v>
      </c>
      <c r="G28" s="6">
        <f t="shared" ca="1" si="2"/>
        <v>640.00428334075946</v>
      </c>
      <c r="H28" s="6">
        <f t="shared" ca="1" si="3"/>
        <v>298.22775357226573</v>
      </c>
      <c r="I28" s="19"/>
      <c r="J28" s="9">
        <f t="shared" ca="1" si="4"/>
        <v>2.1171120000000045</v>
      </c>
    </row>
    <row r="29" spans="1:10" x14ac:dyDescent="0.25">
      <c r="A29" s="2">
        <f t="shared" si="5"/>
        <v>1939</v>
      </c>
      <c r="B29" s="4">
        <v>0.96899999999999997</v>
      </c>
      <c r="C29" s="4">
        <v>0.79900000000000004</v>
      </c>
      <c r="D29" s="5">
        <f t="shared" si="0"/>
        <v>39.767759999999996</v>
      </c>
      <c r="E29" s="5">
        <f t="shared" si="1"/>
        <v>18.313079999999999</v>
      </c>
      <c r="F29" s="6">
        <f t="shared" ca="1" si="6"/>
        <v>16485.302699781882</v>
      </c>
      <c r="G29" s="6">
        <f t="shared" ca="1" si="2"/>
        <v>655.58356129227786</v>
      </c>
      <c r="H29" s="6">
        <f t="shared" ca="1" si="3"/>
        <v>301.89666716532162</v>
      </c>
      <c r="I29" s="19"/>
      <c r="J29" s="9">
        <f t="shared" ca="1" si="4"/>
        <v>2.1454680000000024</v>
      </c>
    </row>
    <row r="30" spans="1:10" x14ac:dyDescent="0.25">
      <c r="A30" s="2">
        <f t="shared" si="5"/>
        <v>1940</v>
      </c>
      <c r="B30" s="4">
        <v>0.96499999999999997</v>
      </c>
      <c r="C30" s="4">
        <v>0.79400000000000004</v>
      </c>
      <c r="D30" s="5">
        <f t="shared" si="0"/>
        <v>39.6036</v>
      </c>
      <c r="E30" s="5">
        <f t="shared" si="1"/>
        <v>18.19848</v>
      </c>
      <c r="F30" s="6">
        <f t="shared" ca="1" si="6"/>
        <v>16838.989593908838</v>
      </c>
      <c r="G30" s="6">
        <f t="shared" ca="1" si="2"/>
        <v>666.88460828132816</v>
      </c>
      <c r="H30" s="6">
        <f t="shared" ca="1" si="3"/>
        <v>306.44401534495813</v>
      </c>
      <c r="I30" s="19"/>
      <c r="J30" s="9">
        <f t="shared" ca="1" si="4"/>
        <v>2.1405120000000069</v>
      </c>
    </row>
    <row r="31" spans="1:10" x14ac:dyDescent="0.25">
      <c r="A31" s="2">
        <f t="shared" si="5"/>
        <v>1941</v>
      </c>
      <c r="B31" s="4">
        <v>0.96499999999999997</v>
      </c>
      <c r="C31" s="4">
        <v>0.79600000000000004</v>
      </c>
      <c r="D31" s="5">
        <f t="shared" si="0"/>
        <v>39.6036</v>
      </c>
      <c r="E31" s="5">
        <f t="shared" si="1"/>
        <v>18.244319999999998</v>
      </c>
      <c r="F31" s="6">
        <f t="shared" ca="1" si="6"/>
        <v>17199.430186845209</v>
      </c>
      <c r="G31" s="6">
        <f t="shared" ca="1" si="2"/>
        <v>681.15935334774292</v>
      </c>
      <c r="H31" s="6">
        <f t="shared" ca="1" si="3"/>
        <v>313.79190814646375</v>
      </c>
      <c r="I31" s="19"/>
      <c r="J31" s="9">
        <f t="shared" ca="1" si="4"/>
        <v>2.1359279999999954</v>
      </c>
    </row>
    <row r="32" spans="1:10" x14ac:dyDescent="0.25">
      <c r="A32" s="2">
        <f t="shared" si="5"/>
        <v>1942</v>
      </c>
      <c r="B32" s="4">
        <v>0.96199999999999997</v>
      </c>
      <c r="C32" s="4">
        <v>0.79500000000000004</v>
      </c>
      <c r="D32" s="5">
        <f t="shared" si="0"/>
        <v>39.48048</v>
      </c>
      <c r="E32" s="5">
        <f t="shared" si="1"/>
        <v>18.221399999999999</v>
      </c>
      <c r="F32" s="6">
        <f t="shared" ca="1" si="6"/>
        <v>17566.797632046488</v>
      </c>
      <c r="G32" s="6">
        <f t="shared" ca="1" si="2"/>
        <v>693.54560257605874</v>
      </c>
      <c r="H32" s="6">
        <f t="shared" ca="1" si="3"/>
        <v>320.09164637257186</v>
      </c>
      <c r="I32" s="19">
        <f ca="1" xml:space="preserve"> BR!F6 / RSFSR!F6 * INDIRECT("'RSFSR'!" &amp; ADDRESS(ROW(), COLUMN()))</f>
        <v>-10.776643546272537</v>
      </c>
      <c r="J32" s="9">
        <f t="shared" ca="1" si="4"/>
        <v>2.0645613403981624</v>
      </c>
    </row>
    <row r="33" spans="1:10" x14ac:dyDescent="0.25">
      <c r="A33" s="2">
        <f t="shared" si="5"/>
        <v>1943</v>
      </c>
      <c r="B33" s="4">
        <v>0.95599999999999996</v>
      </c>
      <c r="C33" s="4">
        <v>0.78800000000000003</v>
      </c>
      <c r="D33" s="5">
        <f t="shared" si="0"/>
        <v>39.23424</v>
      </c>
      <c r="E33" s="5">
        <f t="shared" si="1"/>
        <v>18.060959999999998</v>
      </c>
      <c r="F33" s="6">
        <f t="shared" ca="1" si="6"/>
        <v>17929.474944703699</v>
      </c>
      <c r="G33" s="6">
        <f t="shared" ca="1" si="2"/>
        <v>703.44932305449163</v>
      </c>
      <c r="H33" s="6">
        <f t="shared" ca="1" si="3"/>
        <v>323.82352979729569</v>
      </c>
      <c r="I33" s="19">
        <f ca="1" xml:space="preserve"> BR!F6 / RSFSR!F6 * INDIRECT("'RSFSR'!" &amp; ADDRESS(ROW(), COLUMN()))</f>
        <v>-10.776643546272537</v>
      </c>
      <c r="J33" s="9">
        <f t="shared" ca="1" si="4"/>
        <v>2.0572222602641101</v>
      </c>
    </row>
    <row r="34" spans="1:10" x14ac:dyDescent="0.25">
      <c r="A34" s="2">
        <f t="shared" si="5"/>
        <v>1944</v>
      </c>
      <c r="B34" s="4">
        <v>0.95</v>
      </c>
      <c r="C34" s="4">
        <v>0.76800000000000002</v>
      </c>
      <c r="D34" s="5">
        <f t="shared" si="0"/>
        <v>38.988</v>
      </c>
      <c r="E34" s="5">
        <f t="shared" si="1"/>
        <v>17.60256</v>
      </c>
      <c r="F34" s="6">
        <f t="shared" ca="1" si="6"/>
        <v>18298.32409441462</v>
      </c>
      <c r="G34" s="6">
        <f t="shared" ca="1" si="2"/>
        <v>713.41505979303724</v>
      </c>
      <c r="H34" s="6">
        <f t="shared" ca="1" si="3"/>
        <v>322.09734777137908</v>
      </c>
      <c r="I34" s="19">
        <f ca="1" xml:space="preserve"> BR!F6 / RSFSR!F6 * INDIRECT("'RSFSR'!" &amp; ADDRESS(ROW(), COLUMN()))</f>
        <v>-10.776643546272537</v>
      </c>
      <c r="J34" s="9">
        <f t="shared" ca="1" si="4"/>
        <v>2.0796498439523443</v>
      </c>
    </row>
    <row r="35" spans="1:10" x14ac:dyDescent="0.25">
      <c r="A35" s="2">
        <f t="shared" si="5"/>
        <v>1945</v>
      </c>
      <c r="B35" s="4">
        <v>0.94099999999999995</v>
      </c>
      <c r="C35" s="4">
        <v>0.74199999999999999</v>
      </c>
      <c r="D35" s="5">
        <f t="shared" si="0"/>
        <v>38.618639999999999</v>
      </c>
      <c r="E35" s="5">
        <f t="shared" si="1"/>
        <v>17.006639999999997</v>
      </c>
      <c r="F35" s="6">
        <f t="shared" ca="1" si="6"/>
        <v>18678.865162890008</v>
      </c>
      <c r="G35" s="6">
        <f t="shared" ca="1" si="2"/>
        <v>721.3523693341906</v>
      </c>
      <c r="H35" s="6">
        <f t="shared" ca="1" si="3"/>
        <v>317.66473543381164</v>
      </c>
      <c r="J35" s="9">
        <f t="shared" ca="1" si="4"/>
        <v>2.1612000000000022</v>
      </c>
    </row>
    <row r="36" spans="1:10" x14ac:dyDescent="0.25">
      <c r="A36" s="2">
        <f t="shared" si="5"/>
        <v>1946</v>
      </c>
      <c r="B36" s="4">
        <v>0.93400000000000005</v>
      </c>
      <c r="C36" s="4">
        <v>0.72699999999999998</v>
      </c>
      <c r="D36" s="5">
        <f t="shared" si="0"/>
        <v>38.331360000000004</v>
      </c>
      <c r="E36" s="5">
        <f t="shared" si="1"/>
        <v>16.662839999999999</v>
      </c>
      <c r="F36" s="6">
        <f t="shared" ca="1" si="6"/>
        <v>19082.552796790387</v>
      </c>
      <c r="G36" s="6">
        <f t="shared" ca="1" si="2"/>
        <v>731.46020097277926</v>
      </c>
      <c r="H36" s="6">
        <f t="shared" ca="1" si="3"/>
        <v>317.96952404447075</v>
      </c>
      <c r="J36" s="9">
        <f t="shared" ca="1" si="4"/>
        <v>2.1668519999999973</v>
      </c>
    </row>
    <row r="37" spans="1:10" x14ac:dyDescent="0.25">
      <c r="A37" s="2">
        <f t="shared" si="5"/>
        <v>1947</v>
      </c>
      <c r="B37" s="4">
        <v>0.92900000000000005</v>
      </c>
      <c r="C37" s="4">
        <v>0.71199999999999997</v>
      </c>
      <c r="D37" s="5">
        <f t="shared" si="0"/>
        <v>38.126159999999999</v>
      </c>
      <c r="E37" s="5">
        <f t="shared" si="1"/>
        <v>16.319039999999998</v>
      </c>
      <c r="F37" s="6">
        <f t="shared" ca="1" si="6"/>
        <v>19496.043473718695</v>
      </c>
      <c r="G37" s="6">
        <f t="shared" ca="1" si="2"/>
        <v>743.30927284595475</v>
      </c>
      <c r="H37" s="6">
        <f t="shared" ca="1" si="3"/>
        <v>318.15671328935429</v>
      </c>
      <c r="J37" s="9">
        <f t="shared" ca="1" si="4"/>
        <v>2.1807120000000069</v>
      </c>
    </row>
    <row r="38" spans="1:10" x14ac:dyDescent="0.25">
      <c r="A38" s="2">
        <f t="shared" si="5"/>
        <v>1948</v>
      </c>
      <c r="B38" s="4">
        <v>0.92100000000000004</v>
      </c>
      <c r="C38" s="4">
        <v>0.69799999999999995</v>
      </c>
      <c r="D38" s="5">
        <f t="shared" si="0"/>
        <v>37.797840000000001</v>
      </c>
      <c r="E38" s="5">
        <f t="shared" si="1"/>
        <v>15.998159999999997</v>
      </c>
      <c r="F38" s="6">
        <f t="shared" ca="1" si="6"/>
        <v>19921.196033275297</v>
      </c>
      <c r="G38" s="6">
        <f t="shared" ca="1" si="2"/>
        <v>752.97818027437427</v>
      </c>
      <c r="H38" s="6">
        <f t="shared" ca="1" si="3"/>
        <v>318.70248153170343</v>
      </c>
      <c r="J38" s="9">
        <f t="shared" ca="1" si="4"/>
        <v>2.1799680000000099</v>
      </c>
    </row>
    <row r="39" spans="1:10" x14ac:dyDescent="0.25">
      <c r="A39" s="2">
        <f t="shared" si="5"/>
        <v>1949</v>
      </c>
      <c r="B39" s="4">
        <v>0.93300000000000005</v>
      </c>
      <c r="C39" s="4">
        <v>0.69599999999999995</v>
      </c>
      <c r="D39" s="5">
        <f t="shared" si="0"/>
        <v>38.290320000000001</v>
      </c>
      <c r="E39" s="5">
        <f t="shared" si="1"/>
        <v>15.952319999999999</v>
      </c>
      <c r="F39" s="6">
        <f t="shared" ca="1" si="6"/>
        <v>20355.47173201797</v>
      </c>
      <c r="G39" s="6">
        <f t="shared" ca="1" si="2"/>
        <v>779.41752636992237</v>
      </c>
      <c r="H39" s="6">
        <f t="shared" ca="1" si="3"/>
        <v>324.71699882010489</v>
      </c>
      <c r="J39" s="9">
        <f t="shared" ca="1" si="4"/>
        <v>2.2337999999999925</v>
      </c>
    </row>
    <row r="40" spans="1:10" x14ac:dyDescent="0.25">
      <c r="A40" s="2">
        <f t="shared" si="5"/>
        <v>1950</v>
      </c>
      <c r="B40" s="4">
        <v>0.94199999999999995</v>
      </c>
      <c r="C40" s="4">
        <v>0.69699999999999995</v>
      </c>
      <c r="D40" s="5">
        <f t="shared" si="0"/>
        <v>38.659679999999994</v>
      </c>
      <c r="E40" s="5">
        <f t="shared" si="1"/>
        <v>15.975239999999998</v>
      </c>
      <c r="F40" s="6">
        <f t="shared" ca="1" si="6"/>
        <v>20810.172259567786</v>
      </c>
      <c r="G40" s="6">
        <f t="shared" ca="1" si="2"/>
        <v>804.51460029976749</v>
      </c>
      <c r="H40" s="6">
        <f t="shared" ca="1" si="3"/>
        <v>332.44749628793761</v>
      </c>
      <c r="J40" s="9">
        <f t="shared" ca="1" si="4"/>
        <v>2.2684440000000117</v>
      </c>
    </row>
    <row r="41" spans="1:10" x14ac:dyDescent="0.25">
      <c r="A41" s="2">
        <f t="shared" si="5"/>
        <v>1951</v>
      </c>
      <c r="B41" s="4">
        <v>0.94799999999999995</v>
      </c>
      <c r="C41" s="4">
        <v>0.69399999999999995</v>
      </c>
      <c r="D41" s="5">
        <f t="shared" si="0"/>
        <v>38.905919999999995</v>
      </c>
      <c r="E41" s="5">
        <f t="shared" si="1"/>
        <v>15.906479999999998</v>
      </c>
      <c r="F41" s="6">
        <f t="shared" ca="1" si="6"/>
        <v>21282.239363579618</v>
      </c>
      <c r="G41" s="6">
        <f t="shared" ca="1" si="2"/>
        <v>828.00510210027937</v>
      </c>
      <c r="H41" s="6">
        <f t="shared" ca="1" si="3"/>
        <v>338.5255147919919</v>
      </c>
      <c r="J41" s="9">
        <f t="shared" ca="1" si="4"/>
        <v>2.299944</v>
      </c>
    </row>
    <row r="42" spans="1:10" x14ac:dyDescent="0.25">
      <c r="A42" s="2">
        <f t="shared" si="5"/>
        <v>1952</v>
      </c>
      <c r="B42" s="4">
        <v>0.95299999999999996</v>
      </c>
      <c r="C42" s="4">
        <v>0.68799999999999994</v>
      </c>
      <c r="D42" s="5">
        <f t="shared" si="0"/>
        <v>39.11112</v>
      </c>
      <c r="E42" s="5">
        <f t="shared" si="1"/>
        <v>15.768959999999998</v>
      </c>
      <c r="F42" s="6">
        <f t="shared" ca="1" si="6"/>
        <v>21771.718950887906</v>
      </c>
      <c r="G42" s="6">
        <f t="shared" ca="1" si="2"/>
        <v>851.51631249445097</v>
      </c>
      <c r="H42" s="6">
        <f t="shared" ca="1" si="3"/>
        <v>343.31736526779332</v>
      </c>
      <c r="J42" s="9">
        <f t="shared" ca="1" si="4"/>
        <v>2.3342160000000005</v>
      </c>
    </row>
    <row r="43" spans="1:10" x14ac:dyDescent="0.25">
      <c r="A43" s="2">
        <f t="shared" si="5"/>
        <v>1953</v>
      </c>
      <c r="B43" s="4">
        <v>0.95699999999999996</v>
      </c>
      <c r="C43" s="4">
        <v>0.67900000000000005</v>
      </c>
      <c r="D43" s="5">
        <f t="shared" si="0"/>
        <v>39.275279999999995</v>
      </c>
      <c r="E43" s="5">
        <f t="shared" si="1"/>
        <v>15.56268</v>
      </c>
      <c r="F43" s="6">
        <f t="shared" ca="1" si="6"/>
        <v>22279.917898114563</v>
      </c>
      <c r="G43" s="6">
        <f t="shared" ca="1" si="2"/>
        <v>875.05001382546084</v>
      </c>
      <c r="H43" s="6">
        <f t="shared" ca="1" si="3"/>
        <v>346.73523267462957</v>
      </c>
      <c r="J43" s="9">
        <f t="shared" ca="1" si="4"/>
        <v>2.3712600000000008</v>
      </c>
    </row>
    <row r="44" spans="1:10" x14ac:dyDescent="0.25">
      <c r="A44" s="2">
        <f t="shared" si="5"/>
        <v>1954</v>
      </c>
      <c r="B44" s="4">
        <v>0.95899999999999996</v>
      </c>
      <c r="C44" s="4">
        <v>0.66900000000000004</v>
      </c>
      <c r="D44" s="5">
        <f t="shared" si="0"/>
        <v>39.35736</v>
      </c>
      <c r="E44" s="5">
        <f t="shared" si="1"/>
        <v>15.33348</v>
      </c>
      <c r="F44" s="6">
        <f t="shared" ca="1" si="6"/>
        <v>22808.232679265395</v>
      </c>
      <c r="G44" s="6">
        <f t="shared" ca="1" si="2"/>
        <v>897.67182452161273</v>
      </c>
      <c r="H44" s="6">
        <f t="shared" ca="1" si="3"/>
        <v>349.72957962286233</v>
      </c>
      <c r="J44" s="9">
        <f t="shared" ca="1" si="4"/>
        <v>2.4023880000000135</v>
      </c>
    </row>
    <row r="45" spans="1:10" x14ac:dyDescent="0.25">
      <c r="A45" s="2">
        <f t="shared" si="5"/>
        <v>1955</v>
      </c>
      <c r="B45" s="4">
        <v>0.96</v>
      </c>
      <c r="C45" s="4">
        <v>0.65400000000000003</v>
      </c>
      <c r="D45" s="5">
        <f t="shared" si="0"/>
        <v>39.398399999999995</v>
      </c>
      <c r="E45" s="5">
        <f t="shared" si="1"/>
        <v>14.98968</v>
      </c>
      <c r="F45" s="6">
        <f t="shared" ca="1" si="6"/>
        <v>23356.174924164148</v>
      </c>
      <c r="G45" s="6">
        <f t="shared" ca="1" si="2"/>
        <v>920.19592213218868</v>
      </c>
      <c r="H45" s="6">
        <f t="shared" ca="1" si="3"/>
        <v>350.10158813724485</v>
      </c>
      <c r="J45" s="9">
        <f t="shared" ca="1" si="4"/>
        <v>2.4408720000000024</v>
      </c>
    </row>
    <row r="46" spans="1:10" x14ac:dyDescent="0.25">
      <c r="A46" s="2">
        <f t="shared" si="5"/>
        <v>1956</v>
      </c>
      <c r="B46" s="4">
        <v>0.96299999999999997</v>
      </c>
      <c r="C46" s="4">
        <v>0.625</v>
      </c>
      <c r="D46" s="5">
        <f t="shared" si="0"/>
        <v>39.521519999999995</v>
      </c>
      <c r="E46" s="5">
        <f t="shared" si="1"/>
        <v>14.324999999999999</v>
      </c>
      <c r="F46" s="6">
        <f t="shared" ca="1" si="6"/>
        <v>23926.269258159093</v>
      </c>
      <c r="G46" s="6">
        <f t="shared" ca="1" si="2"/>
        <v>945.60252901171964</v>
      </c>
      <c r="H46" s="6">
        <f t="shared" ca="1" si="3"/>
        <v>342.74380712312899</v>
      </c>
      <c r="J46" s="9">
        <f t="shared" ca="1" si="4"/>
        <v>2.5196520000000029</v>
      </c>
    </row>
    <row r="47" spans="1:10" x14ac:dyDescent="0.25">
      <c r="A47" s="2">
        <f t="shared" si="5"/>
        <v>1957</v>
      </c>
      <c r="B47" s="4">
        <v>0.96499999999999997</v>
      </c>
      <c r="C47" s="4">
        <v>0.58899999999999997</v>
      </c>
      <c r="D47" s="5">
        <f t="shared" si="0"/>
        <v>39.6036</v>
      </c>
      <c r="E47" s="5">
        <f t="shared" si="1"/>
        <v>13.499879999999997</v>
      </c>
      <c r="F47" s="6">
        <f t="shared" ca="1" si="6"/>
        <v>24529.127980047684</v>
      </c>
      <c r="G47" s="6">
        <f t="shared" ca="1" si="2"/>
        <v>971.44177287061655</v>
      </c>
      <c r="H47" s="6">
        <f t="shared" ca="1" si="3"/>
        <v>331.14028423528606</v>
      </c>
      <c r="J47" s="9">
        <f t="shared" ca="1" si="4"/>
        <v>2.6103719999999999</v>
      </c>
    </row>
    <row r="48" spans="1:10" x14ac:dyDescent="0.25">
      <c r="A48" s="2">
        <f t="shared" si="5"/>
        <v>1958</v>
      </c>
      <c r="B48" s="4">
        <v>0.97</v>
      </c>
      <c r="C48" s="4">
        <v>0.55700000000000005</v>
      </c>
      <c r="D48" s="5">
        <f t="shared" si="0"/>
        <v>39.808799999999998</v>
      </c>
      <c r="E48" s="5">
        <f t="shared" si="1"/>
        <v>12.766439999999999</v>
      </c>
      <c r="F48" s="6">
        <f t="shared" ca="1" si="6"/>
        <v>25169.429468683014</v>
      </c>
      <c r="G48" s="6">
        <f t="shared" ca="1" si="2"/>
        <v>1001.9647838329083</v>
      </c>
      <c r="H48" s="6">
        <f t="shared" ca="1" si="3"/>
        <v>321.32401114617358</v>
      </c>
      <c r="J48" s="9">
        <f t="shared" ca="1" si="4"/>
        <v>2.7042359999999923</v>
      </c>
    </row>
    <row r="49" spans="1:10" x14ac:dyDescent="0.25">
      <c r="A49" s="2">
        <f t="shared" si="5"/>
        <v>1959</v>
      </c>
      <c r="B49" s="4">
        <v>0.96899999999999997</v>
      </c>
      <c r="C49" s="4">
        <v>0.52800000000000002</v>
      </c>
      <c r="D49" s="5">
        <f t="shared" si="0"/>
        <v>39.767759999999996</v>
      </c>
      <c r="E49" s="5">
        <f t="shared" si="1"/>
        <v>12.101759999999999</v>
      </c>
      <c r="F49" s="6">
        <f t="shared" ca="1" si="6"/>
        <v>25850.070241369747</v>
      </c>
      <c r="G49" s="6">
        <f t="shared" ca="1" si="2"/>
        <v>1027.9993893419341</v>
      </c>
      <c r="H49" s="6">
        <f t="shared" ca="1" si="3"/>
        <v>312.83134604419871</v>
      </c>
      <c r="J49" s="9">
        <f t="shared" ca="1" si="4"/>
        <v>2.7665999999999933</v>
      </c>
    </row>
    <row r="50" spans="1:10" x14ac:dyDescent="0.25">
      <c r="A50" s="2">
        <f t="shared" si="5"/>
        <v>1960</v>
      </c>
      <c r="B50" s="4">
        <v>0.96299999999999997</v>
      </c>
      <c r="C50" s="4">
        <v>0.52</v>
      </c>
      <c r="D50" s="5">
        <f t="shared" si="0"/>
        <v>39.521519999999995</v>
      </c>
      <c r="E50" s="5">
        <f t="shared" si="1"/>
        <v>11.9184</v>
      </c>
      <c r="F50" s="6">
        <f t="shared" ca="1" si="6"/>
        <v>26565.238284667481</v>
      </c>
      <c r="G50" s="6">
        <f t="shared" ca="1" si="2"/>
        <v>1049.8985961722515</v>
      </c>
      <c r="H50" s="6">
        <f t="shared" ca="1" si="3"/>
        <v>316.61513597198092</v>
      </c>
      <c r="J50" s="9">
        <f t="shared" ca="1" si="4"/>
        <v>2.7603119999999954</v>
      </c>
    </row>
    <row r="51" spans="1:10" x14ac:dyDescent="0.25">
      <c r="A51" s="2">
        <f t="shared" si="5"/>
        <v>1961</v>
      </c>
      <c r="B51" s="4">
        <v>0.96299999999999997</v>
      </c>
      <c r="C51" s="4">
        <v>0.50600000000000001</v>
      </c>
      <c r="D51" s="5">
        <f t="shared" si="0"/>
        <v>39.521519999999995</v>
      </c>
      <c r="E51" s="5">
        <f t="shared" si="1"/>
        <v>11.597519999999999</v>
      </c>
      <c r="F51" s="6">
        <f t="shared" ca="1" si="6"/>
        <v>27298.52174486775</v>
      </c>
      <c r="G51" s="6">
        <f t="shared" ca="1" si="2"/>
        <v>1078.8790731102256</v>
      </c>
      <c r="H51" s="6">
        <f t="shared" ca="1" si="3"/>
        <v>316.59515190653866</v>
      </c>
      <c r="J51" s="9">
        <f t="shared" ca="1" si="4"/>
        <v>2.7924000000000064</v>
      </c>
    </row>
    <row r="52" spans="1:10" x14ac:dyDescent="0.25">
      <c r="A52" s="2">
        <f t="shared" si="5"/>
        <v>1962</v>
      </c>
      <c r="B52" s="4">
        <v>0.96599999999999997</v>
      </c>
      <c r="C52" s="4">
        <v>0.502</v>
      </c>
      <c r="D52" s="5">
        <f t="shared" si="0"/>
        <v>39.644639999999995</v>
      </c>
      <c r="E52" s="5">
        <f t="shared" si="1"/>
        <v>11.505839999999999</v>
      </c>
      <c r="F52" s="6">
        <f t="shared" ca="1" si="6"/>
        <v>28060.805666071439</v>
      </c>
      <c r="G52" s="6">
        <f t="shared" ca="1" si="2"/>
        <v>1112.4605387413624</v>
      </c>
      <c r="H52" s="6">
        <f t="shared" ca="1" si="3"/>
        <v>322.86314026491141</v>
      </c>
      <c r="J52" s="9">
        <f t="shared" ca="1" si="4"/>
        <v>2.8138799999999948</v>
      </c>
    </row>
    <row r="53" spans="1:10" x14ac:dyDescent="0.25">
      <c r="A53" s="2">
        <f t="shared" si="5"/>
        <v>1963</v>
      </c>
      <c r="B53" s="4">
        <v>0.96699999999999997</v>
      </c>
      <c r="C53" s="4">
        <v>0.49299999999999999</v>
      </c>
      <c r="D53" s="5">
        <f t="shared" si="0"/>
        <v>39.685679999999998</v>
      </c>
      <c r="E53" s="5">
        <f t="shared" si="1"/>
        <v>11.29956</v>
      </c>
      <c r="F53" s="6">
        <f t="shared" ca="1" si="6"/>
        <v>28850.403064547889</v>
      </c>
      <c r="G53" s="6">
        <f t="shared" ca="1" si="2"/>
        <v>1144.9478638906667</v>
      </c>
      <c r="H53" s="6">
        <f t="shared" ca="1" si="3"/>
        <v>325.99686045204271</v>
      </c>
      <c r="J53" s="9">
        <f t="shared" ca="1" si="4"/>
        <v>2.8386119999999933</v>
      </c>
    </row>
    <row r="54" spans="1:10" x14ac:dyDescent="0.25">
      <c r="A54" s="2">
        <f t="shared" si="5"/>
        <v>1964</v>
      </c>
      <c r="B54" s="4">
        <v>0.97599999999999998</v>
      </c>
      <c r="C54" s="4">
        <v>0.47299999999999998</v>
      </c>
      <c r="D54" s="5">
        <f t="shared" si="0"/>
        <v>40.055039999999998</v>
      </c>
      <c r="E54" s="5">
        <f t="shared" si="1"/>
        <v>10.841159999999999</v>
      </c>
      <c r="F54" s="6">
        <f t="shared" ca="1" si="6"/>
        <v>29669.354067986511</v>
      </c>
      <c r="G54" s="6">
        <f t="shared" ca="1" si="2"/>
        <v>1188.4071639673623</v>
      </c>
      <c r="H54" s="6">
        <f t="shared" ca="1" si="3"/>
        <v>321.6502145476926</v>
      </c>
      <c r="J54" s="9">
        <f t="shared" ca="1" si="4"/>
        <v>2.9213880000000088</v>
      </c>
    </row>
    <row r="55" spans="1:10" x14ac:dyDescent="0.25">
      <c r="A55" s="2">
        <f t="shared" si="5"/>
        <v>1965</v>
      </c>
      <c r="B55" s="4">
        <v>0.97299999999999998</v>
      </c>
      <c r="C55" s="4">
        <v>0.441</v>
      </c>
      <c r="D55" s="5">
        <f t="shared" si="0"/>
        <v>39.931919999999998</v>
      </c>
      <c r="E55" s="5">
        <f t="shared" si="1"/>
        <v>10.107719999999999</v>
      </c>
      <c r="F55" s="6">
        <f t="shared" ca="1" si="6"/>
        <v>30536.111017406183</v>
      </c>
      <c r="G55" s="6">
        <f t="shared" ca="1" si="2"/>
        <v>1219.3655422581824</v>
      </c>
      <c r="H55" s="6">
        <f t="shared" ca="1" si="3"/>
        <v>308.65046005285677</v>
      </c>
      <c r="J55" s="9">
        <f t="shared" ca="1" si="4"/>
        <v>2.982420000000003</v>
      </c>
    </row>
    <row r="56" spans="1:10" x14ac:dyDescent="0.25">
      <c r="A56" s="2">
        <f t="shared" si="5"/>
        <v>1966</v>
      </c>
      <c r="B56" s="4">
        <v>0.98199999999999998</v>
      </c>
      <c r="C56" s="4">
        <v>0.42099999999999999</v>
      </c>
      <c r="D56" s="5">
        <f t="shared" si="0"/>
        <v>40.301279999999998</v>
      </c>
      <c r="E56" s="5">
        <f t="shared" si="1"/>
        <v>9.6493199999999995</v>
      </c>
      <c r="F56" s="6">
        <f t="shared" ca="1" si="6"/>
        <v>31446.82609961151</v>
      </c>
      <c r="G56" s="6">
        <f t="shared" ca="1" si="2"/>
        <v>1267.3473437517514</v>
      </c>
      <c r="H56" s="6">
        <f t="shared" ca="1" si="3"/>
        <v>303.44048801950328</v>
      </c>
      <c r="J56" s="9">
        <f t="shared" ca="1" si="4"/>
        <v>3.065195999999994</v>
      </c>
    </row>
    <row r="57" spans="1:10" x14ac:dyDescent="0.25">
      <c r="A57" s="2">
        <f t="shared" si="5"/>
        <v>1967</v>
      </c>
      <c r="B57" s="4">
        <v>0.99</v>
      </c>
      <c r="C57" s="4">
        <v>0.39800000000000002</v>
      </c>
      <c r="D57" s="5">
        <f t="shared" si="0"/>
        <v>40.629599999999996</v>
      </c>
      <c r="E57" s="5">
        <f t="shared" si="1"/>
        <v>9.1221599999999992</v>
      </c>
      <c r="F57" s="6">
        <f t="shared" ca="1" si="6"/>
        <v>32410.732955343756</v>
      </c>
      <c r="G57" s="6">
        <f t="shared" ca="1" si="2"/>
        <v>1316.8351156824344</v>
      </c>
      <c r="H57" s="6">
        <f t="shared" ca="1" si="3"/>
        <v>295.6558917359186</v>
      </c>
      <c r="J57" s="9">
        <f t="shared" ca="1" si="4"/>
        <v>3.1507439999999822</v>
      </c>
    </row>
    <row r="58" spans="1:10" x14ac:dyDescent="0.25">
      <c r="A58" s="2">
        <f t="shared" si="5"/>
        <v>1968</v>
      </c>
      <c r="B58" s="4">
        <v>0.995</v>
      </c>
      <c r="C58" s="4">
        <v>0.38800000000000001</v>
      </c>
      <c r="D58" s="5">
        <f t="shared" si="0"/>
        <v>40.834800000000001</v>
      </c>
      <c r="E58" s="5">
        <f t="shared" si="1"/>
        <v>8.8929600000000004</v>
      </c>
      <c r="F58" s="6">
        <f t="shared" ca="1" si="6"/>
        <v>33431.912179290266</v>
      </c>
      <c r="G58" s="6">
        <f t="shared" ca="1" si="2"/>
        <v>1365.1854474588822</v>
      </c>
      <c r="H58" s="6">
        <f t="shared" ca="1" si="3"/>
        <v>297.30865773394117</v>
      </c>
      <c r="J58" s="9">
        <f t="shared" ca="1" si="4"/>
        <v>3.1941840000000021</v>
      </c>
    </row>
    <row r="59" spans="1:10" x14ac:dyDescent="0.25">
      <c r="A59" s="2">
        <f t="shared" si="5"/>
        <v>1969</v>
      </c>
      <c r="B59" s="4">
        <v>1.0009999999999999</v>
      </c>
      <c r="C59" s="4">
        <v>0.374</v>
      </c>
      <c r="D59" s="5">
        <f t="shared" si="0"/>
        <v>41.081039999999994</v>
      </c>
      <c r="E59" s="5">
        <f t="shared" si="1"/>
        <v>8.5720799999999997</v>
      </c>
      <c r="F59" s="6">
        <f t="shared" ca="1" si="6"/>
        <v>34499.788969015208</v>
      </c>
      <c r="G59" s="6">
        <f t="shared" ca="1" si="2"/>
        <v>1417.2872106276723</v>
      </c>
      <c r="H59" s="6">
        <f t="shared" ca="1" si="3"/>
        <v>295.73495102551584</v>
      </c>
      <c r="J59" s="9">
        <f t="shared" ca="1" si="4"/>
        <v>3.2508959999999942</v>
      </c>
    </row>
    <row r="60" spans="1:10" x14ac:dyDescent="0.25">
      <c r="A60" s="2">
        <f t="shared" si="5"/>
        <v>1970</v>
      </c>
      <c r="B60" s="4">
        <v>1</v>
      </c>
      <c r="C60" s="4">
        <v>0.36899999999999999</v>
      </c>
      <c r="D60" s="5">
        <f t="shared" si="0"/>
        <v>41.04</v>
      </c>
      <c r="E60" s="5">
        <f t="shared" si="1"/>
        <v>8.4574799999999986</v>
      </c>
      <c r="F60" s="6">
        <f t="shared" ca="1" si="6"/>
        <v>35621.341228617363</v>
      </c>
      <c r="G60" s="6">
        <f t="shared" ca="1" si="2"/>
        <v>1461.8998440224566</v>
      </c>
      <c r="H60" s="6">
        <f t="shared" ca="1" si="3"/>
        <v>301.26678101420669</v>
      </c>
      <c r="J60" s="9">
        <f t="shared" ca="1" si="4"/>
        <v>3.2582519999999859</v>
      </c>
    </row>
    <row r="61" spans="1:10" x14ac:dyDescent="0.25">
      <c r="A61" s="2">
        <f t="shared" si="5"/>
        <v>1971</v>
      </c>
      <c r="B61" s="4">
        <v>0.996</v>
      </c>
      <c r="C61" s="4">
        <v>0.35499999999999998</v>
      </c>
      <c r="D61" s="5">
        <f t="shared" si="0"/>
        <v>40.875839999999997</v>
      </c>
      <c r="E61" s="5">
        <f t="shared" si="1"/>
        <v>8.1365999999999996</v>
      </c>
      <c r="F61" s="6">
        <f t="shared" ca="1" si="6"/>
        <v>36781.974291625607</v>
      </c>
      <c r="G61" s="6">
        <f t="shared" ca="1" si="2"/>
        <v>1503.4940960286015</v>
      </c>
      <c r="H61" s="6">
        <f t="shared" ca="1" si="3"/>
        <v>299.28021202124091</v>
      </c>
      <c r="J61" s="9">
        <f t="shared" ca="1" si="4"/>
        <v>3.2739239999999987</v>
      </c>
    </row>
    <row r="62" spans="1:10" x14ac:dyDescent="0.25">
      <c r="A62" s="2">
        <f t="shared" si="5"/>
        <v>1972</v>
      </c>
      <c r="B62" s="4">
        <v>0.99099999999999999</v>
      </c>
      <c r="C62" s="4">
        <v>0.34599999999999997</v>
      </c>
      <c r="D62" s="5">
        <f t="shared" si="0"/>
        <v>40.670639999999999</v>
      </c>
      <c r="E62" s="5">
        <f t="shared" si="1"/>
        <v>7.9303199999999991</v>
      </c>
      <c r="F62" s="6">
        <f t="shared" ca="1" si="6"/>
        <v>37986.188175632968</v>
      </c>
      <c r="G62" s="6">
        <f t="shared" ca="1" si="2"/>
        <v>1544.9225842634251</v>
      </c>
      <c r="H62" s="6">
        <f t="shared" ca="1" si="3"/>
        <v>301.24262781298563</v>
      </c>
      <c r="J62" s="9">
        <f t="shared" ca="1" si="4"/>
        <v>3.2740320000000009</v>
      </c>
    </row>
    <row r="63" spans="1:10" x14ac:dyDescent="0.25">
      <c r="A63" s="2">
        <f t="shared" si="5"/>
        <v>1973</v>
      </c>
      <c r="B63" s="4">
        <v>0.98899999999999999</v>
      </c>
      <c r="C63" s="4">
        <v>0.33</v>
      </c>
      <c r="D63" s="5">
        <f t="shared" si="0"/>
        <v>40.588560000000001</v>
      </c>
      <c r="E63" s="5">
        <f t="shared" si="1"/>
        <v>7.5636000000000001</v>
      </c>
      <c r="F63" s="6">
        <f t="shared" ca="1" si="6"/>
        <v>39229.868132083408</v>
      </c>
      <c r="G63" s="6">
        <f t="shared" ca="1" si="2"/>
        <v>1592.2838564711553</v>
      </c>
      <c r="H63" s="6">
        <f t="shared" ca="1" si="3"/>
        <v>296.71903060382607</v>
      </c>
      <c r="J63" s="9">
        <f t="shared" ca="1" si="4"/>
        <v>3.3024960000000068</v>
      </c>
    </row>
    <row r="64" spans="1:10" x14ac:dyDescent="0.25">
      <c r="A64" s="2">
        <f t="shared" si="5"/>
        <v>1974</v>
      </c>
      <c r="B64" s="4">
        <v>0.98599999999999999</v>
      </c>
      <c r="C64" s="4">
        <v>0.32</v>
      </c>
      <c r="D64" s="5">
        <f t="shared" si="0"/>
        <v>40.465440000000001</v>
      </c>
      <c r="E64" s="5">
        <f t="shared" si="1"/>
        <v>7.3343999999999996</v>
      </c>
      <c r="F64" s="6">
        <f t="shared" ca="1" si="6"/>
        <v>40525.432957950739</v>
      </c>
      <c r="G64" s="6">
        <f t="shared" ca="1" si="2"/>
        <v>1639.8794758339782</v>
      </c>
      <c r="H64" s="6">
        <f t="shared" ca="1" si="3"/>
        <v>297.22973548679391</v>
      </c>
      <c r="J64" s="9">
        <f t="shared" ca="1" si="4"/>
        <v>3.3131040000000085</v>
      </c>
    </row>
    <row r="65" spans="1:10" x14ac:dyDescent="0.25">
      <c r="A65" s="2">
        <f t="shared" si="5"/>
        <v>1975</v>
      </c>
      <c r="B65" s="4">
        <v>0.98399999999999999</v>
      </c>
      <c r="C65" s="4">
        <v>0.313</v>
      </c>
      <c r="D65" s="5">
        <f t="shared" si="0"/>
        <v>40.383359999999996</v>
      </c>
      <c r="E65" s="5">
        <f t="shared" si="1"/>
        <v>7.1739599999999992</v>
      </c>
      <c r="F65" s="6">
        <f t="shared" ca="1" si="6"/>
        <v>41868.082698297927</v>
      </c>
      <c r="G65" s="6">
        <f t="shared" ca="1" si="2"/>
        <v>1690.7738561151364</v>
      </c>
      <c r="H65" s="6">
        <f t="shared" ca="1" si="3"/>
        <v>300.35995055428134</v>
      </c>
      <c r="J65" s="9">
        <f t="shared" ca="1" si="4"/>
        <v>3.3209399999999971</v>
      </c>
    </row>
    <row r="66" spans="1:10" x14ac:dyDescent="0.25">
      <c r="A66" s="2">
        <f t="shared" si="5"/>
        <v>1976</v>
      </c>
      <c r="B66" s="4">
        <v>0.98399999999999999</v>
      </c>
      <c r="C66" s="4">
        <v>0.30399999999999999</v>
      </c>
      <c r="D66" s="5">
        <f t="shared" si="0"/>
        <v>40.383359999999996</v>
      </c>
      <c r="E66" s="5">
        <f t="shared" si="1"/>
        <v>6.9676799999999997</v>
      </c>
      <c r="F66" s="6">
        <f t="shared" ca="1" si="6"/>
        <v>43258.496603858781</v>
      </c>
      <c r="G66" s="6">
        <f t="shared" ca="1" si="2"/>
        <v>1746.9234414124062</v>
      </c>
      <c r="H66" s="6">
        <f t="shared" ca="1" si="3"/>
        <v>301.41136161677474</v>
      </c>
      <c r="J66" s="9">
        <f t="shared" ca="1" si="4"/>
        <v>3.3415680000000036</v>
      </c>
    </row>
    <row r="67" spans="1:10" x14ac:dyDescent="0.25">
      <c r="A67" s="2">
        <f t="shared" si="5"/>
        <v>1977</v>
      </c>
      <c r="B67" s="4">
        <v>0.97699999999999998</v>
      </c>
      <c r="C67" s="4">
        <v>0.29899999999999999</v>
      </c>
      <c r="D67" s="5">
        <f t="shared" si="0"/>
        <v>40.096080000000001</v>
      </c>
      <c r="E67" s="5">
        <f t="shared" si="1"/>
        <v>6.8530799999999994</v>
      </c>
      <c r="F67" s="6">
        <f t="shared" ca="1" si="6"/>
        <v>44704.008683654414</v>
      </c>
      <c r="G67" s="6">
        <f t="shared" ca="1" si="2"/>
        <v>1792.4555085005022</v>
      </c>
      <c r="H67" s="6">
        <f t="shared" ca="1" si="3"/>
        <v>306.36014782977838</v>
      </c>
      <c r="J67" s="9">
        <f t="shared" ca="1" si="4"/>
        <v>3.3243000000000058</v>
      </c>
    </row>
    <row r="68" spans="1:10" x14ac:dyDescent="0.25">
      <c r="A68" s="2">
        <f t="shared" si="5"/>
        <v>1978</v>
      </c>
      <c r="B68" s="4">
        <v>0.97299999999999998</v>
      </c>
      <c r="C68" s="4">
        <v>0.29299999999999998</v>
      </c>
      <c r="D68" s="5">
        <f t="shared" si="0"/>
        <v>39.931919999999998</v>
      </c>
      <c r="E68" s="5">
        <f t="shared" si="1"/>
        <v>6.7155599999999991</v>
      </c>
      <c r="F68" s="6">
        <f t="shared" ca="1" si="6"/>
        <v>46190.10404432514</v>
      </c>
      <c r="G68" s="6">
        <f t="shared" ca="1" si="2"/>
        <v>1844.4595394896678</v>
      </c>
      <c r="H68" s="6">
        <f t="shared" ca="1" si="3"/>
        <v>310.19241511590809</v>
      </c>
      <c r="J68" s="9">
        <f t="shared" ca="1" si="4"/>
        <v>3.3216359999999936</v>
      </c>
    </row>
    <row r="69" spans="1:10" x14ac:dyDescent="0.25">
      <c r="A69" s="2">
        <f t="shared" si="5"/>
        <v>1979</v>
      </c>
      <c r="B69" s="4">
        <v>0.96099999999999997</v>
      </c>
      <c r="C69" s="4">
        <v>0.29299999999999998</v>
      </c>
      <c r="D69" s="5">
        <f t="shared" si="0"/>
        <v>39.439439999999998</v>
      </c>
      <c r="E69" s="5">
        <f t="shared" si="1"/>
        <v>6.7155599999999991</v>
      </c>
      <c r="F69" s="6">
        <f t="shared" ca="1" si="6"/>
        <v>47724.371168698897</v>
      </c>
      <c r="G69" s="6">
        <f t="shared" ca="1" si="2"/>
        <v>1882.2224732456298</v>
      </c>
      <c r="H69" s="6">
        <f t="shared" ca="1" si="3"/>
        <v>320.49587804566755</v>
      </c>
      <c r="J69" s="9">
        <f t="shared" ca="1" si="4"/>
        <v>3.2723880000000056</v>
      </c>
    </row>
    <row r="70" spans="1:10" x14ac:dyDescent="0.25">
      <c r="A70" s="2">
        <f t="shared" si="5"/>
        <v>1980</v>
      </c>
      <c r="B70" s="4">
        <v>0.95199999999999996</v>
      </c>
      <c r="C70" s="4">
        <v>0.29199999999999998</v>
      </c>
      <c r="D70" s="5">
        <f t="shared" si="0"/>
        <v>39.070079999999997</v>
      </c>
      <c r="E70" s="5">
        <f t="shared" si="1"/>
        <v>6.692639999999999</v>
      </c>
      <c r="F70" s="6">
        <f t="shared" ca="1" si="6"/>
        <v>49286.097763898862</v>
      </c>
      <c r="G70" s="6">
        <f t="shared" ca="1" si="2"/>
        <v>1925.6117825233496</v>
      </c>
      <c r="H70" s="6">
        <f t="shared" ca="1" si="3"/>
        <v>329.85410933858003</v>
      </c>
      <c r="J70" s="9">
        <f t="shared" ca="1" si="4"/>
        <v>3.2377440000000068</v>
      </c>
    </row>
    <row r="71" spans="1:10" x14ac:dyDescent="0.25">
      <c r="A71" s="2">
        <f t="shared" si="5"/>
        <v>1981</v>
      </c>
      <c r="B71" s="4">
        <v>0.95399999999999996</v>
      </c>
      <c r="C71" s="4">
        <v>0.28899999999999998</v>
      </c>
      <c r="D71" s="5">
        <f t="shared" si="0"/>
        <v>39.152159999999995</v>
      </c>
      <c r="E71" s="5">
        <f t="shared" si="1"/>
        <v>6.6238799999999989</v>
      </c>
      <c r="F71" s="6">
        <f t="shared" ca="1" si="6"/>
        <v>50881.855437083635</v>
      </c>
      <c r="G71" s="6">
        <f t="shared" ca="1" si="2"/>
        <v>1992.1345451695681</v>
      </c>
      <c r="H71" s="6">
        <f t="shared" ca="1" si="3"/>
        <v>337.03530459258951</v>
      </c>
      <c r="J71" s="9">
        <f t="shared" ca="1" si="4"/>
        <v>3.2528280000000009</v>
      </c>
    </row>
    <row r="72" spans="1:10" x14ac:dyDescent="0.25">
      <c r="A72" s="2">
        <f t="shared" si="5"/>
        <v>1982</v>
      </c>
      <c r="B72" s="4">
        <v>0.95099999999999996</v>
      </c>
      <c r="C72" s="4">
        <v>0.28399999999999997</v>
      </c>
      <c r="D72" s="5">
        <f t="shared" ref="D72:D121" si="7">B72*$D$6</f>
        <v>39.029039999999995</v>
      </c>
      <c r="E72" s="5">
        <f t="shared" ref="E72:E121" si="8">C72*$E$6</f>
        <v>6.5092799999999986</v>
      </c>
      <c r="F72" s="6">
        <f t="shared" ca="1" si="6"/>
        <v>52536.954677660615</v>
      </c>
      <c r="G72" s="6">
        <f t="shared" ref="G72:G121" ca="1" si="9">F72*D72/1000</f>
        <v>2050.4669055926029</v>
      </c>
      <c r="H72" s="6">
        <f t="shared" ref="H72:H121" ca="1" si="10">E72*F72/1000</f>
        <v>341.97774834420267</v>
      </c>
      <c r="J72" s="9">
        <f t="shared" ref="J72:J121" ca="1" si="11">100 *(F73-F72) / F72</f>
        <v>3.251976000000008</v>
      </c>
    </row>
    <row r="73" spans="1:10" x14ac:dyDescent="0.25">
      <c r="A73" s="2">
        <f t="shared" ref="A73:A122" si="12">A72+1</f>
        <v>1983</v>
      </c>
      <c r="B73" s="4">
        <v>0.94699999999999995</v>
      </c>
      <c r="C73" s="4">
        <v>0.27400000000000002</v>
      </c>
      <c r="D73" s="5">
        <f t="shared" si="7"/>
        <v>38.864879999999999</v>
      </c>
      <c r="E73" s="5">
        <f t="shared" si="8"/>
        <v>6.2800799999999999</v>
      </c>
      <c r="F73" s="6">
        <f t="shared" ref="F73:F122" ca="1" si="13">F72+G72-H72+I72</f>
        <v>54245.44383490902</v>
      </c>
      <c r="G73" s="6">
        <f t="shared" ca="1" si="9"/>
        <v>2108.2426651904789</v>
      </c>
      <c r="H73" s="6">
        <f t="shared" ca="1" si="10"/>
        <v>340.6657269187354</v>
      </c>
      <c r="J73" s="9">
        <f t="shared" ca="1" si="11"/>
        <v>3.2584800000000085</v>
      </c>
    </row>
    <row r="74" spans="1:10" x14ac:dyDescent="0.25">
      <c r="A74" s="2">
        <f t="shared" si="12"/>
        <v>1984</v>
      </c>
      <c r="B74" s="4">
        <v>0.94</v>
      </c>
      <c r="C74" s="4">
        <v>0.25600000000000001</v>
      </c>
      <c r="D74" s="5">
        <f t="shared" si="7"/>
        <v>38.577599999999997</v>
      </c>
      <c r="E74" s="5">
        <f t="shared" si="8"/>
        <v>5.8675199999999998</v>
      </c>
      <c r="F74" s="6">
        <f t="shared" ca="1" si="13"/>
        <v>56013.020773180768</v>
      </c>
      <c r="G74" s="6">
        <f t="shared" ca="1" si="9"/>
        <v>2160.8479101794583</v>
      </c>
      <c r="H74" s="6">
        <f t="shared" ca="1" si="10"/>
        <v>328.65751964705362</v>
      </c>
      <c r="J74" s="9">
        <f t="shared" ca="1" si="11"/>
        <v>3.2710080000000041</v>
      </c>
    </row>
    <row r="75" spans="1:10" x14ac:dyDescent="0.25">
      <c r="A75" s="2">
        <f t="shared" si="12"/>
        <v>1985</v>
      </c>
      <c r="B75" s="4">
        <v>0.92700000000000005</v>
      </c>
      <c r="C75" s="4">
        <v>0.24299999999999999</v>
      </c>
      <c r="D75" s="5">
        <f t="shared" si="7"/>
        <v>38.044080000000001</v>
      </c>
      <c r="E75" s="5">
        <f t="shared" si="8"/>
        <v>5.5695599999999992</v>
      </c>
      <c r="F75" s="6">
        <f t="shared" ca="1" si="13"/>
        <v>57845.211163713175</v>
      </c>
      <c r="G75" s="6">
        <f t="shared" ca="1" si="9"/>
        <v>2200.6678411291973</v>
      </c>
      <c r="H75" s="6">
        <f t="shared" ca="1" si="10"/>
        <v>322.17237428897033</v>
      </c>
      <c r="J75" s="9">
        <f t="shared" ca="1" si="11"/>
        <v>3.2474519999999893</v>
      </c>
    </row>
    <row r="76" spans="1:10" x14ac:dyDescent="0.25">
      <c r="A76" s="2">
        <f t="shared" si="12"/>
        <v>1986</v>
      </c>
      <c r="B76" s="4">
        <v>0.90900000000000003</v>
      </c>
      <c r="C76" s="4">
        <v>0.23200000000000001</v>
      </c>
      <c r="D76" s="5">
        <f t="shared" si="7"/>
        <v>37.30536</v>
      </c>
      <c r="E76" s="5">
        <f t="shared" si="8"/>
        <v>5.3174399999999995</v>
      </c>
      <c r="F76" s="6">
        <f t="shared" ca="1" si="13"/>
        <v>59723.706630553395</v>
      </c>
      <c r="G76" s="6">
        <f t="shared" ca="1" si="9"/>
        <v>2228.0143763871811</v>
      </c>
      <c r="H76" s="6">
        <f t="shared" ca="1" si="10"/>
        <v>317.5772265855698</v>
      </c>
      <c r="J76" s="9">
        <f t="shared" ca="1" si="11"/>
        <v>3.1987920000000001</v>
      </c>
    </row>
    <row r="77" spans="1:10" x14ac:dyDescent="0.25">
      <c r="A77" s="2">
        <f t="shared" si="12"/>
        <v>1987</v>
      </c>
      <c r="B77" s="4">
        <v>0.88700000000000001</v>
      </c>
      <c r="C77" s="4">
        <v>0.22500000000000001</v>
      </c>
      <c r="D77" s="5">
        <f t="shared" si="7"/>
        <v>36.402479999999997</v>
      </c>
      <c r="E77" s="5">
        <f t="shared" si="8"/>
        <v>5.157</v>
      </c>
      <c r="F77" s="6">
        <f t="shared" ca="1" si="13"/>
        <v>61634.143780355007</v>
      </c>
      <c r="G77" s="6">
        <f t="shared" ca="1" si="9"/>
        <v>2243.6356862814973</v>
      </c>
      <c r="H77" s="6">
        <f t="shared" ca="1" si="10"/>
        <v>317.8472794752908</v>
      </c>
      <c r="J77" s="9">
        <f t="shared" ca="1" si="11"/>
        <v>3.1245480000000088</v>
      </c>
    </row>
    <row r="78" spans="1:10" x14ac:dyDescent="0.25">
      <c r="A78" s="2">
        <f t="shared" si="12"/>
        <v>1988</v>
      </c>
      <c r="B78" s="4">
        <v>0.86799999999999999</v>
      </c>
      <c r="C78" s="4">
        <v>0.215</v>
      </c>
      <c r="D78" s="5">
        <f t="shared" si="7"/>
        <v>35.622720000000001</v>
      </c>
      <c r="E78" s="5">
        <f t="shared" si="8"/>
        <v>4.9277999999999995</v>
      </c>
      <c r="F78" s="6">
        <f t="shared" ca="1" si="13"/>
        <v>63559.932187161219</v>
      </c>
      <c r="G78" s="6">
        <f t="shared" ca="1" si="9"/>
        <v>2264.1776675222318</v>
      </c>
      <c r="H78" s="6">
        <f t="shared" ca="1" si="10"/>
        <v>313.21063383189306</v>
      </c>
      <c r="J78" s="9">
        <f t="shared" ca="1" si="11"/>
        <v>3.0694920000000079</v>
      </c>
    </row>
    <row r="79" spans="1:10" x14ac:dyDescent="0.25">
      <c r="A79" s="2">
        <f t="shared" si="12"/>
        <v>1989</v>
      </c>
      <c r="B79" s="4">
        <v>0.83799999999999997</v>
      </c>
      <c r="C79" s="4">
        <v>0.20799999999999999</v>
      </c>
      <c r="D79" s="5">
        <f t="shared" si="7"/>
        <v>34.39152</v>
      </c>
      <c r="E79" s="5">
        <f t="shared" si="8"/>
        <v>4.7673599999999992</v>
      </c>
      <c r="F79" s="6">
        <f t="shared" ca="1" si="13"/>
        <v>65510.899220851563</v>
      </c>
      <c r="G79" s="6">
        <f t="shared" ca="1" si="9"/>
        <v>2253.019400771901</v>
      </c>
      <c r="H79" s="6">
        <f t="shared" ca="1" si="10"/>
        <v>312.31404050951886</v>
      </c>
      <c r="J79" s="9">
        <f t="shared" ca="1" si="11"/>
        <v>2.9624160000000055</v>
      </c>
    </row>
    <row r="80" spans="1:10" x14ac:dyDescent="0.25">
      <c r="A80" s="2">
        <f t="shared" si="12"/>
        <v>1990</v>
      </c>
      <c r="B80" s="4">
        <v>0.81</v>
      </c>
      <c r="C80" s="4">
        <v>0.20300000000000001</v>
      </c>
      <c r="D80" s="5">
        <f t="shared" si="7"/>
        <v>33.242400000000004</v>
      </c>
      <c r="E80" s="5">
        <f t="shared" si="8"/>
        <v>4.6527599999999998</v>
      </c>
      <c r="F80" s="6">
        <f t="shared" ca="1" si="13"/>
        <v>67451.604581113948</v>
      </c>
      <c r="G80" s="6">
        <f t="shared" ca="1" si="9"/>
        <v>2242.2532201272224</v>
      </c>
      <c r="H80" s="6">
        <f t="shared" ca="1" si="10"/>
        <v>313.8361277308237</v>
      </c>
      <c r="J80" s="9">
        <f t="shared" ca="1" si="11"/>
        <v>2.8589639999999985</v>
      </c>
    </row>
    <row r="81" spans="1:10" x14ac:dyDescent="0.25">
      <c r="A81" s="2">
        <f t="shared" si="12"/>
        <v>1991</v>
      </c>
      <c r="B81" s="4">
        <v>0.78100000000000003</v>
      </c>
      <c r="C81" s="4">
        <v>0.19500000000000001</v>
      </c>
      <c r="D81" s="5">
        <f t="shared" si="7"/>
        <v>32.052239999999998</v>
      </c>
      <c r="E81" s="5">
        <f t="shared" si="8"/>
        <v>4.4693999999999994</v>
      </c>
      <c r="F81" s="6">
        <f t="shared" ca="1" si="13"/>
        <v>69380.021673510346</v>
      </c>
      <c r="G81" s="6">
        <f t="shared" ca="1" si="9"/>
        <v>2223.7851058845554</v>
      </c>
      <c r="H81" s="6">
        <f t="shared" ca="1" si="10"/>
        <v>310.08706886758705</v>
      </c>
      <c r="J81" s="9">
        <f t="shared" ca="1" si="11"/>
        <v>2.7582839999999913</v>
      </c>
    </row>
    <row r="82" spans="1:10" x14ac:dyDescent="0.25">
      <c r="A82" s="2">
        <f t="shared" si="12"/>
        <v>1992</v>
      </c>
      <c r="B82" s="4">
        <v>0.76900000000000002</v>
      </c>
      <c r="C82" s="4">
        <v>0.185</v>
      </c>
      <c r="D82" s="5">
        <f t="shared" si="7"/>
        <v>31.559760000000001</v>
      </c>
      <c r="E82" s="5">
        <f t="shared" si="8"/>
        <v>4.2401999999999997</v>
      </c>
      <c r="F82" s="6">
        <f t="shared" ca="1" si="13"/>
        <v>71293.719710527308</v>
      </c>
      <c r="G82" s="6">
        <f t="shared" ca="1" si="9"/>
        <v>2250.0126835715114</v>
      </c>
      <c r="H82" s="6">
        <f t="shared" ca="1" si="10"/>
        <v>302.29963031657786</v>
      </c>
      <c r="J82" s="9">
        <f t="shared" ca="1" si="11"/>
        <v>2.7319560000000016</v>
      </c>
    </row>
    <row r="83" spans="1:10" x14ac:dyDescent="0.25">
      <c r="A83" s="2">
        <f t="shared" si="12"/>
        <v>1993</v>
      </c>
      <c r="B83" s="4">
        <v>0.76100000000000001</v>
      </c>
      <c r="C83" s="4">
        <v>0.18</v>
      </c>
      <c r="D83" s="5">
        <f t="shared" si="7"/>
        <v>31.231439999999999</v>
      </c>
      <c r="E83" s="5">
        <f t="shared" si="8"/>
        <v>4.1255999999999995</v>
      </c>
      <c r="F83" s="6">
        <f t="shared" ca="1" si="13"/>
        <v>73241.432763782243</v>
      </c>
      <c r="G83" s="6">
        <f t="shared" ca="1" si="9"/>
        <v>2287.4354128760992</v>
      </c>
      <c r="H83" s="6">
        <f t="shared" ca="1" si="10"/>
        <v>302.16485501025994</v>
      </c>
      <c r="J83" s="9">
        <f t="shared" ca="1" si="11"/>
        <v>2.7105840000000141</v>
      </c>
    </row>
    <row r="84" spans="1:10" x14ac:dyDescent="0.25">
      <c r="A84" s="2">
        <f t="shared" si="12"/>
        <v>1994</v>
      </c>
      <c r="B84" s="4">
        <v>0.75800000000000001</v>
      </c>
      <c r="C84" s="4">
        <v>0.17599999999999999</v>
      </c>
      <c r="D84" s="5">
        <f t="shared" si="7"/>
        <v>31.108319999999999</v>
      </c>
      <c r="E84" s="5">
        <f t="shared" si="8"/>
        <v>4.0339199999999993</v>
      </c>
      <c r="F84" s="6">
        <f t="shared" ca="1" si="13"/>
        <v>75226.703321648092</v>
      </c>
      <c r="G84" s="6">
        <f t="shared" ca="1" si="9"/>
        <v>2340.1763594748918</v>
      </c>
      <c r="H84" s="6">
        <f t="shared" ca="1" si="10"/>
        <v>303.45850306326264</v>
      </c>
      <c r="J84" s="9">
        <f t="shared" ca="1" si="11"/>
        <v>2.707440000000005</v>
      </c>
    </row>
    <row r="85" spans="1:10" x14ac:dyDescent="0.25">
      <c r="A85" s="2">
        <f t="shared" si="12"/>
        <v>1995</v>
      </c>
      <c r="B85" s="4">
        <v>0.75600000000000001</v>
      </c>
      <c r="C85" s="4">
        <v>0.17100000000000001</v>
      </c>
      <c r="D85" s="5">
        <f t="shared" si="7"/>
        <v>31.026239999999998</v>
      </c>
      <c r="E85" s="5">
        <f t="shared" si="8"/>
        <v>3.9193199999999999</v>
      </c>
      <c r="F85" s="6">
        <f t="shared" ca="1" si="13"/>
        <v>77263.421178059725</v>
      </c>
      <c r="G85" s="6">
        <f t="shared" ca="1" si="9"/>
        <v>2397.1934486915638</v>
      </c>
      <c r="H85" s="6">
        <f t="shared" ca="1" si="10"/>
        <v>302.82007189159305</v>
      </c>
      <c r="J85" s="9">
        <f t="shared" ca="1" si="11"/>
        <v>2.7106920000000123</v>
      </c>
    </row>
    <row r="86" spans="1:10" x14ac:dyDescent="0.25">
      <c r="A86" s="2">
        <f t="shared" si="12"/>
        <v>1996</v>
      </c>
      <c r="B86" s="4">
        <v>0.76100000000000001</v>
      </c>
      <c r="C86" s="4">
        <v>0.16600000000000001</v>
      </c>
      <c r="D86" s="5">
        <f t="shared" si="7"/>
        <v>31.231439999999999</v>
      </c>
      <c r="E86" s="5">
        <f t="shared" si="8"/>
        <v>3.8047200000000001</v>
      </c>
      <c r="F86" s="6">
        <f t="shared" ca="1" si="13"/>
        <v>79357.794554859705</v>
      </c>
      <c r="G86" s="6">
        <f t="shared" ca="1" si="9"/>
        <v>2478.4581991724276</v>
      </c>
      <c r="H86" s="6">
        <f t="shared" ca="1" si="10"/>
        <v>301.93418809876584</v>
      </c>
      <c r="J86" s="9">
        <f t="shared" ca="1" si="11"/>
        <v>2.7426720000000016</v>
      </c>
    </row>
    <row r="87" spans="1:10" x14ac:dyDescent="0.25">
      <c r="A87" s="2">
        <f t="shared" si="12"/>
        <v>1997</v>
      </c>
      <c r="B87" s="4">
        <v>0.755</v>
      </c>
      <c r="C87" s="4">
        <v>0.16300000000000001</v>
      </c>
      <c r="D87" s="5">
        <f t="shared" si="7"/>
        <v>30.985199999999999</v>
      </c>
      <c r="E87" s="5">
        <f t="shared" si="8"/>
        <v>3.7359599999999999</v>
      </c>
      <c r="F87" s="6">
        <f t="shared" ca="1" si="13"/>
        <v>81534.318565933369</v>
      </c>
      <c r="G87" s="6">
        <f t="shared" ca="1" si="9"/>
        <v>2526.3571676291585</v>
      </c>
      <c r="H87" s="6">
        <f t="shared" ca="1" si="10"/>
        <v>304.60895278958441</v>
      </c>
      <c r="J87" s="9">
        <f t="shared" ca="1" si="11"/>
        <v>2.7249240000000063</v>
      </c>
    </row>
    <row r="88" spans="1:10" x14ac:dyDescent="0.25">
      <c r="A88" s="2">
        <f t="shared" si="12"/>
        <v>1998</v>
      </c>
      <c r="B88" s="4">
        <v>0.74299999999999999</v>
      </c>
      <c r="C88" s="4">
        <v>0.16</v>
      </c>
      <c r="D88" s="5">
        <f t="shared" si="7"/>
        <v>30.492719999999998</v>
      </c>
      <c r="E88" s="5">
        <f t="shared" si="8"/>
        <v>3.6671999999999998</v>
      </c>
      <c r="F88" s="6">
        <f t="shared" ca="1" si="13"/>
        <v>83756.066780772948</v>
      </c>
      <c r="G88" s="6">
        <f t="shared" ca="1" si="9"/>
        <v>2553.9502926474106</v>
      </c>
      <c r="H88" s="6">
        <f t="shared" ca="1" si="10"/>
        <v>307.15024809845056</v>
      </c>
      <c r="J88" s="9">
        <f t="shared" ca="1" si="11"/>
        <v>2.6825519999999994</v>
      </c>
    </row>
    <row r="89" spans="1:10" x14ac:dyDescent="0.25">
      <c r="A89" s="2">
        <f t="shared" si="12"/>
        <v>1999</v>
      </c>
      <c r="B89" s="4">
        <v>0.72599999999999998</v>
      </c>
      <c r="C89" s="4">
        <v>0.159</v>
      </c>
      <c r="D89" s="5">
        <f t="shared" si="7"/>
        <v>29.79504</v>
      </c>
      <c r="E89" s="5">
        <f t="shared" si="8"/>
        <v>3.6442799999999997</v>
      </c>
      <c r="F89" s="6">
        <f t="shared" ca="1" si="13"/>
        <v>86002.866825321908</v>
      </c>
      <c r="G89" s="6">
        <f t="shared" ca="1" si="9"/>
        <v>2562.4588571751392</v>
      </c>
      <c r="H89" s="6">
        <f t="shared" ca="1" si="10"/>
        <v>313.41852751418412</v>
      </c>
      <c r="J89" s="9">
        <f t="shared" ca="1" si="11"/>
        <v>2.6150760000000037</v>
      </c>
    </row>
    <row r="90" spans="1:10" x14ac:dyDescent="0.25">
      <c r="A90" s="2">
        <f t="shared" si="12"/>
        <v>2000</v>
      </c>
      <c r="B90" s="4">
        <v>0.70499999999999996</v>
      </c>
      <c r="C90" s="4">
        <v>0.16</v>
      </c>
      <c r="D90" s="5">
        <f t="shared" si="7"/>
        <v>28.933199999999999</v>
      </c>
      <c r="E90" s="5">
        <f t="shared" si="8"/>
        <v>3.6671999999999998</v>
      </c>
      <c r="F90" s="6">
        <f t="shared" ca="1" si="13"/>
        <v>88251.907154982866</v>
      </c>
      <c r="G90" s="6">
        <f t="shared" ca="1" si="9"/>
        <v>2553.4100800965502</v>
      </c>
      <c r="H90" s="6">
        <f t="shared" ca="1" si="10"/>
        <v>323.63739391875316</v>
      </c>
      <c r="J90" s="9">
        <f t="shared" ca="1" si="11"/>
        <v>2.5266000000000108</v>
      </c>
    </row>
    <row r="91" spans="1:10" x14ac:dyDescent="0.25">
      <c r="A91" s="2">
        <f t="shared" si="12"/>
        <v>2001</v>
      </c>
      <c r="B91" s="4">
        <v>0.67500000000000004</v>
      </c>
      <c r="C91" s="4">
        <v>0.161</v>
      </c>
      <c r="D91" s="5">
        <f t="shared" si="7"/>
        <v>27.702000000000002</v>
      </c>
      <c r="E91" s="5">
        <f t="shared" si="8"/>
        <v>3.6901199999999998</v>
      </c>
      <c r="F91" s="6">
        <f t="shared" ca="1" si="13"/>
        <v>90481.679841160672</v>
      </c>
      <c r="G91" s="6">
        <f t="shared" ca="1" si="9"/>
        <v>2506.523494959833</v>
      </c>
      <c r="H91" s="6">
        <f t="shared" ca="1" si="10"/>
        <v>333.88825641546379</v>
      </c>
      <c r="J91" s="9">
        <f t="shared" ca="1" si="11"/>
        <v>2.4011880000000065</v>
      </c>
    </row>
    <row r="92" spans="1:10" x14ac:dyDescent="0.25">
      <c r="A92" s="2">
        <f t="shared" si="12"/>
        <v>2002</v>
      </c>
      <c r="B92" s="4">
        <v>0.64800000000000002</v>
      </c>
      <c r="C92" s="4">
        <v>0.16300000000000001</v>
      </c>
      <c r="D92" s="5">
        <f t="shared" si="7"/>
        <v>26.593920000000001</v>
      </c>
      <c r="E92" s="5">
        <f t="shared" si="8"/>
        <v>3.7359599999999999</v>
      </c>
      <c r="F92" s="6">
        <f t="shared" ca="1" si="13"/>
        <v>92654.315079705048</v>
      </c>
      <c r="G92" s="6">
        <f t="shared" ca="1" si="9"/>
        <v>2464.0414428844697</v>
      </c>
      <c r="H92" s="6">
        <f t="shared" ca="1" si="10"/>
        <v>346.15281496517485</v>
      </c>
      <c r="J92" s="9">
        <f t="shared" ca="1" si="11"/>
        <v>2.2857960000000008</v>
      </c>
    </row>
    <row r="93" spans="1:10" x14ac:dyDescent="0.25">
      <c r="A93" s="2">
        <f t="shared" si="12"/>
        <v>2003</v>
      </c>
      <c r="B93" s="4">
        <v>0.61799999999999999</v>
      </c>
      <c r="C93" s="4">
        <v>0.16300000000000001</v>
      </c>
      <c r="D93" s="5">
        <f t="shared" si="7"/>
        <v>25.362719999999999</v>
      </c>
      <c r="E93" s="5">
        <f t="shared" si="8"/>
        <v>3.7359599999999999</v>
      </c>
      <c r="F93" s="6">
        <f t="shared" ca="1" si="13"/>
        <v>94772.203707624343</v>
      </c>
      <c r="G93" s="6">
        <f t="shared" ca="1" si="9"/>
        <v>2403.6808664194377</v>
      </c>
      <c r="H93" s="6">
        <f t="shared" ca="1" si="10"/>
        <v>354.06516216353623</v>
      </c>
      <c r="J93" s="9">
        <f t="shared" ca="1" si="11"/>
        <v>2.1626760000000047</v>
      </c>
    </row>
    <row r="94" spans="1:10" x14ac:dyDescent="0.25">
      <c r="A94" s="2">
        <f t="shared" si="12"/>
        <v>2004</v>
      </c>
      <c r="B94" s="4">
        <v>0.59399999999999997</v>
      </c>
      <c r="C94" s="4">
        <v>0.16200000000000001</v>
      </c>
      <c r="D94" s="5">
        <f t="shared" si="7"/>
        <v>24.377759999999999</v>
      </c>
      <c r="E94" s="5">
        <f t="shared" si="8"/>
        <v>3.7130399999999999</v>
      </c>
      <c r="F94" s="6">
        <f t="shared" ca="1" si="13"/>
        <v>96821.819411880249</v>
      </c>
      <c r="G94" s="6">
        <f t="shared" ca="1" si="9"/>
        <v>2360.299076386158</v>
      </c>
      <c r="H94" s="6">
        <f t="shared" ca="1" si="10"/>
        <v>359.50328834908782</v>
      </c>
      <c r="J94" s="9">
        <f t="shared" ca="1" si="11"/>
        <v>2.0664719999999965</v>
      </c>
    </row>
    <row r="95" spans="1:10" x14ac:dyDescent="0.25">
      <c r="A95" s="2">
        <f t="shared" si="12"/>
        <v>2005</v>
      </c>
      <c r="B95" s="4">
        <v>0.56899999999999995</v>
      </c>
      <c r="C95" s="4">
        <v>0.161</v>
      </c>
      <c r="D95" s="5">
        <f t="shared" si="7"/>
        <v>23.351759999999999</v>
      </c>
      <c r="E95" s="5">
        <f t="shared" si="8"/>
        <v>3.6901199999999998</v>
      </c>
      <c r="F95" s="6">
        <f t="shared" ca="1" si="13"/>
        <v>98822.615199917316</v>
      </c>
      <c r="G95" s="6">
        <f t="shared" ca="1" si="9"/>
        <v>2307.6819927208207</v>
      </c>
      <c r="H95" s="6">
        <f t="shared" ca="1" si="10"/>
        <v>364.66730880151886</v>
      </c>
      <c r="J95" s="9">
        <f t="shared" ca="1" si="11"/>
        <v>1.9661640000000016</v>
      </c>
    </row>
    <row r="96" spans="1:10" x14ac:dyDescent="0.25">
      <c r="A96" s="2">
        <f t="shared" si="12"/>
        <v>2006</v>
      </c>
      <c r="B96" s="4">
        <v>0.55700000000000005</v>
      </c>
      <c r="C96" s="4">
        <v>0.158</v>
      </c>
      <c r="D96" s="5">
        <f t="shared" si="7"/>
        <v>22.859280000000002</v>
      </c>
      <c r="E96" s="5">
        <f t="shared" si="8"/>
        <v>3.6213599999999997</v>
      </c>
      <c r="F96" s="6">
        <f t="shared" ca="1" si="13"/>
        <v>100765.62988383662</v>
      </c>
      <c r="G96" s="6">
        <f t="shared" ca="1" si="9"/>
        <v>2303.4297478909889</v>
      </c>
      <c r="H96" s="6">
        <f t="shared" ca="1" si="10"/>
        <v>364.90862143613055</v>
      </c>
      <c r="J96" s="9">
        <f t="shared" ca="1" si="11"/>
        <v>1.9237919999999979</v>
      </c>
    </row>
    <row r="97" spans="1:10" x14ac:dyDescent="0.25">
      <c r="A97" s="2">
        <f t="shared" si="12"/>
        <v>2007</v>
      </c>
      <c r="B97" s="4">
        <v>0.54700000000000004</v>
      </c>
      <c r="C97" s="4">
        <v>0.156</v>
      </c>
      <c r="D97" s="5">
        <f t="shared" si="7"/>
        <v>22.448880000000003</v>
      </c>
      <c r="E97" s="5">
        <f t="shared" si="8"/>
        <v>3.5755199999999996</v>
      </c>
      <c r="F97" s="6">
        <f t="shared" ca="1" si="13"/>
        <v>102704.15101029148</v>
      </c>
      <c r="G97" s="6">
        <f t="shared" ca="1" si="9"/>
        <v>2305.5931615319123</v>
      </c>
      <c r="H97" s="6">
        <f t="shared" ca="1" si="10"/>
        <v>367.22074602031734</v>
      </c>
      <c r="J97" s="9">
        <f t="shared" ca="1" si="11"/>
        <v>1.8873359999999977</v>
      </c>
    </row>
    <row r="98" spans="1:10" x14ac:dyDescent="0.25">
      <c r="A98" s="2">
        <f t="shared" si="12"/>
        <v>2008</v>
      </c>
      <c r="B98" s="4">
        <v>0.54500000000000004</v>
      </c>
      <c r="C98" s="4">
        <v>0.155</v>
      </c>
      <c r="D98" s="5">
        <f t="shared" si="7"/>
        <v>22.366800000000001</v>
      </c>
      <c r="E98" s="5">
        <f t="shared" si="8"/>
        <v>3.5525999999999995</v>
      </c>
      <c r="F98" s="6">
        <f t="shared" ca="1" si="13"/>
        <v>104642.52342580307</v>
      </c>
      <c r="G98" s="6">
        <f t="shared" ca="1" si="9"/>
        <v>2340.5183929602522</v>
      </c>
      <c r="H98" s="6">
        <f t="shared" ca="1" si="10"/>
        <v>371.75302872250796</v>
      </c>
      <c r="J98" s="9">
        <f t="shared" ca="1" si="11"/>
        <v>1.881419999999997</v>
      </c>
    </row>
    <row r="99" spans="1:10" x14ac:dyDescent="0.25">
      <c r="A99" s="2">
        <f t="shared" si="12"/>
        <v>2009</v>
      </c>
      <c r="B99" s="4">
        <v>0.53400000000000003</v>
      </c>
      <c r="C99" s="4">
        <v>0.154</v>
      </c>
      <c r="D99" s="5">
        <f t="shared" si="7"/>
        <v>21.91536</v>
      </c>
      <c r="E99" s="5">
        <f t="shared" si="8"/>
        <v>3.5296799999999995</v>
      </c>
      <c r="F99" s="6">
        <f t="shared" ca="1" si="13"/>
        <v>106611.28879004081</v>
      </c>
      <c r="G99" s="6">
        <f t="shared" ca="1" si="9"/>
        <v>2336.4247738977087</v>
      </c>
      <c r="H99" s="6">
        <f t="shared" ca="1" si="10"/>
        <v>376.30373381643119</v>
      </c>
      <c r="J99" s="9">
        <f t="shared" ca="1" si="11"/>
        <v>1.8385680000000071</v>
      </c>
    </row>
    <row r="100" spans="1:10" x14ac:dyDescent="0.25">
      <c r="A100" s="2">
        <f t="shared" si="12"/>
        <v>2010</v>
      </c>
      <c r="B100" s="4">
        <v>0.52400000000000002</v>
      </c>
      <c r="C100" s="4">
        <v>0.153</v>
      </c>
      <c r="D100" s="5">
        <f t="shared" si="7"/>
        <v>21.504960000000001</v>
      </c>
      <c r="E100" s="5">
        <f t="shared" si="8"/>
        <v>3.5067599999999994</v>
      </c>
      <c r="F100" s="6">
        <f t="shared" ca="1" si="13"/>
        <v>108571.40983012209</v>
      </c>
      <c r="G100" s="6">
        <f t="shared" ca="1" si="9"/>
        <v>2334.8238255403826</v>
      </c>
      <c r="H100" s="6">
        <f t="shared" ca="1" si="10"/>
        <v>380.73387713587891</v>
      </c>
      <c r="J100" s="9">
        <f t="shared" ca="1" si="11"/>
        <v>1.7998200000000038</v>
      </c>
    </row>
    <row r="101" spans="1:10" x14ac:dyDescent="0.25">
      <c r="A101" s="2">
        <f t="shared" si="12"/>
        <v>2011</v>
      </c>
      <c r="B101" s="4">
        <v>0.51300000000000001</v>
      </c>
      <c r="C101" s="4">
        <v>0.152</v>
      </c>
      <c r="D101" s="5">
        <f t="shared" si="7"/>
        <v>21.053519999999999</v>
      </c>
      <c r="E101" s="5">
        <f t="shared" si="8"/>
        <v>3.4838399999999998</v>
      </c>
      <c r="F101" s="6">
        <f t="shared" ca="1" si="13"/>
        <v>110525.4997785266</v>
      </c>
      <c r="G101" s="6">
        <f t="shared" ca="1" si="9"/>
        <v>2326.9508200972055</v>
      </c>
      <c r="H101" s="6">
        <f t="shared" ca="1" si="10"/>
        <v>385.05315714842209</v>
      </c>
      <c r="J101" s="9">
        <f t="shared" ca="1" si="11"/>
        <v>1.7569680000000043</v>
      </c>
    </row>
    <row r="102" spans="1:10" x14ac:dyDescent="0.25">
      <c r="A102" s="2">
        <f t="shared" si="12"/>
        <v>2012</v>
      </c>
      <c r="B102" s="4">
        <v>0.504</v>
      </c>
      <c r="C102" s="4">
        <v>0.152</v>
      </c>
      <c r="D102" s="5">
        <f t="shared" si="7"/>
        <v>20.684159999999999</v>
      </c>
      <c r="E102" s="5">
        <f t="shared" si="8"/>
        <v>3.4838399999999998</v>
      </c>
      <c r="F102" s="6">
        <f t="shared" ca="1" si="13"/>
        <v>112467.39744147539</v>
      </c>
      <c r="G102" s="6">
        <f t="shared" ca="1" si="9"/>
        <v>2326.2936434630674</v>
      </c>
      <c r="H102" s="6">
        <f t="shared" ca="1" si="10"/>
        <v>391.81841790250962</v>
      </c>
      <c r="J102" s="9">
        <f t="shared" ca="1" si="11"/>
        <v>1.7200319999999985</v>
      </c>
    </row>
    <row r="103" spans="1:10" x14ac:dyDescent="0.25">
      <c r="A103" s="2">
        <f t="shared" si="12"/>
        <v>2013</v>
      </c>
      <c r="B103" s="4">
        <v>0.49399999999999999</v>
      </c>
      <c r="C103" s="4">
        <v>0.152</v>
      </c>
      <c r="D103" s="5">
        <f t="shared" si="7"/>
        <v>20.273759999999999</v>
      </c>
      <c r="E103" s="5">
        <f t="shared" si="8"/>
        <v>3.4838399999999998</v>
      </c>
      <c r="F103" s="6">
        <f t="shared" ca="1" si="13"/>
        <v>114401.87266703595</v>
      </c>
      <c r="G103" s="6">
        <f t="shared" ca="1" si="9"/>
        <v>2319.3561100020465</v>
      </c>
      <c r="H103" s="6">
        <f t="shared" ca="1" si="10"/>
        <v>398.55782007232654</v>
      </c>
      <c r="J103" s="9">
        <f t="shared" ca="1" si="11"/>
        <v>1.678992</v>
      </c>
    </row>
    <row r="104" spans="1:10" x14ac:dyDescent="0.25">
      <c r="A104" s="2">
        <f t="shared" si="12"/>
        <v>2014</v>
      </c>
      <c r="B104" s="4">
        <v>0.48499999999999999</v>
      </c>
      <c r="C104" s="4">
        <v>0.153</v>
      </c>
      <c r="D104" s="5">
        <f t="shared" si="7"/>
        <v>19.904399999999999</v>
      </c>
      <c r="E104" s="5">
        <f t="shared" si="8"/>
        <v>3.5067599999999994</v>
      </c>
      <c r="F104" s="6">
        <f t="shared" ca="1" si="13"/>
        <v>116322.67095696567</v>
      </c>
      <c r="G104" s="6">
        <f t="shared" ca="1" si="9"/>
        <v>2315.3329717958272</v>
      </c>
      <c r="H104" s="6">
        <f t="shared" ca="1" si="10"/>
        <v>407.91568960504884</v>
      </c>
      <c r="J104" s="9">
        <f t="shared" ca="1" si="11"/>
        <v>1.6397639999999931</v>
      </c>
    </row>
    <row r="105" spans="1:10" x14ac:dyDescent="0.25">
      <c r="A105" s="2">
        <f t="shared" si="12"/>
        <v>2015</v>
      </c>
      <c r="B105" s="4">
        <v>0.47699999999999998</v>
      </c>
      <c r="C105" s="4">
        <v>0.154</v>
      </c>
      <c r="D105" s="5">
        <f t="shared" si="7"/>
        <v>19.576079999999997</v>
      </c>
      <c r="E105" s="5">
        <f t="shared" si="8"/>
        <v>3.5296799999999995</v>
      </c>
      <c r="F105" s="6">
        <f t="shared" ca="1" si="13"/>
        <v>118230.08823915644</v>
      </c>
      <c r="G105" s="6">
        <f t="shared" ca="1" si="9"/>
        <v>2314.4816657767856</v>
      </c>
      <c r="H105" s="6">
        <f t="shared" ca="1" si="10"/>
        <v>417.31437785598564</v>
      </c>
      <c r="J105" s="9">
        <f t="shared" ca="1" si="11"/>
        <v>1.6046399999999923</v>
      </c>
    </row>
    <row r="106" spans="1:10" x14ac:dyDescent="0.25">
      <c r="A106" s="2">
        <f t="shared" si="12"/>
        <v>2016</v>
      </c>
      <c r="B106" s="4">
        <v>0.46899999999999997</v>
      </c>
      <c r="C106" s="4">
        <v>0.155</v>
      </c>
      <c r="D106" s="5">
        <f t="shared" si="7"/>
        <v>19.24776</v>
      </c>
      <c r="E106" s="5">
        <f t="shared" si="8"/>
        <v>3.5525999999999995</v>
      </c>
      <c r="F106" s="6">
        <f t="shared" ca="1" si="13"/>
        <v>120127.25552707723</v>
      </c>
      <c r="G106" s="6">
        <f t="shared" ca="1" si="9"/>
        <v>2312.1805838438563</v>
      </c>
      <c r="H106" s="6">
        <f t="shared" ca="1" si="10"/>
        <v>426.76408798549454</v>
      </c>
      <c r="J106" s="9">
        <f t="shared" ca="1" si="11"/>
        <v>1.5695160000000083</v>
      </c>
    </row>
    <row r="107" spans="1:10" x14ac:dyDescent="0.25">
      <c r="A107" s="2">
        <f t="shared" si="12"/>
        <v>2017</v>
      </c>
      <c r="B107" s="4">
        <v>0.46100000000000002</v>
      </c>
      <c r="C107" s="4">
        <v>0.156</v>
      </c>
      <c r="D107" s="5">
        <f t="shared" si="7"/>
        <v>18.919440000000002</v>
      </c>
      <c r="E107" s="5">
        <f t="shared" si="8"/>
        <v>3.5755199999999996</v>
      </c>
      <c r="F107" s="6">
        <f t="shared" ca="1" si="13"/>
        <v>122012.6720229356</v>
      </c>
      <c r="G107" s="6">
        <f t="shared" ca="1" si="9"/>
        <v>2308.4114275776087</v>
      </c>
      <c r="H107" s="6">
        <f t="shared" ca="1" si="10"/>
        <v>436.25874907144663</v>
      </c>
      <c r="J107" s="9">
        <f t="shared" ca="1" si="11"/>
        <v>1.5343919999999966</v>
      </c>
    </row>
    <row r="108" spans="1:10" x14ac:dyDescent="0.25">
      <c r="A108" s="2">
        <f t="shared" si="12"/>
        <v>2018</v>
      </c>
      <c r="B108" s="4">
        <v>0.45300000000000001</v>
      </c>
      <c r="C108" s="4">
        <v>0.158</v>
      </c>
      <c r="D108" s="5">
        <f t="shared" si="7"/>
        <v>18.59112</v>
      </c>
      <c r="E108" s="5">
        <f t="shared" si="8"/>
        <v>3.6213599999999997</v>
      </c>
      <c r="F108" s="6">
        <f t="shared" ca="1" si="13"/>
        <v>123884.82470144176</v>
      </c>
      <c r="G108" s="6">
        <f t="shared" ca="1" si="9"/>
        <v>2303.1576422034677</v>
      </c>
      <c r="H108" s="6">
        <f t="shared" ca="1" si="10"/>
        <v>448.63154878081303</v>
      </c>
      <c r="J108" s="9">
        <f t="shared" ca="1" si="11"/>
        <v>1.496975999999999</v>
      </c>
    </row>
    <row r="109" spans="1:10" x14ac:dyDescent="0.25">
      <c r="A109" s="2">
        <f t="shared" si="12"/>
        <v>2019</v>
      </c>
      <c r="B109" s="4">
        <v>0.44600000000000001</v>
      </c>
      <c r="C109" s="4">
        <v>0.16</v>
      </c>
      <c r="D109" s="5">
        <f t="shared" si="7"/>
        <v>18.303840000000001</v>
      </c>
      <c r="E109" s="5">
        <f t="shared" si="8"/>
        <v>3.6671999999999998</v>
      </c>
      <c r="F109" s="6">
        <f t="shared" ca="1" si="13"/>
        <v>125739.35079486441</v>
      </c>
      <c r="G109" s="6">
        <f t="shared" ca="1" si="9"/>
        <v>2301.5129586530711</v>
      </c>
      <c r="H109" s="6">
        <f t="shared" ca="1" si="10"/>
        <v>461.11134723492677</v>
      </c>
      <c r="J109" s="9">
        <f t="shared" ca="1" si="11"/>
        <v>1.4636639999999992</v>
      </c>
    </row>
    <row r="110" spans="1:10" x14ac:dyDescent="0.25">
      <c r="A110" s="2">
        <f t="shared" si="12"/>
        <v>2020</v>
      </c>
      <c r="B110" s="4">
        <v>0.438</v>
      </c>
      <c r="C110" s="4">
        <v>0.16200000000000001</v>
      </c>
      <c r="D110" s="5">
        <f t="shared" si="7"/>
        <v>17.975519999999999</v>
      </c>
      <c r="E110" s="5">
        <f t="shared" si="8"/>
        <v>3.7130399999999999</v>
      </c>
      <c r="F110" s="6">
        <f t="shared" ca="1" si="13"/>
        <v>127579.75240628255</v>
      </c>
      <c r="G110" s="6">
        <f t="shared" ca="1" si="9"/>
        <v>2293.3123909741803</v>
      </c>
      <c r="H110" s="6">
        <f t="shared" ca="1" si="10"/>
        <v>473.70872387462339</v>
      </c>
      <c r="J110" s="9">
        <f t="shared" ca="1" si="11"/>
        <v>1.4262480000000082</v>
      </c>
    </row>
    <row r="111" spans="1:10" x14ac:dyDescent="0.25">
      <c r="A111" s="2">
        <f t="shared" si="12"/>
        <v>2021</v>
      </c>
      <c r="B111" s="4">
        <v>0.42899999999999999</v>
      </c>
      <c r="C111" s="4">
        <v>0.16400000000000001</v>
      </c>
      <c r="D111" s="5">
        <f t="shared" si="7"/>
        <v>17.606159999999999</v>
      </c>
      <c r="E111" s="5">
        <f t="shared" si="8"/>
        <v>3.75888</v>
      </c>
      <c r="F111" s="6">
        <f t="shared" ca="1" si="13"/>
        <v>129399.35607338212</v>
      </c>
      <c r="G111" s="6">
        <f t="shared" ca="1" si="9"/>
        <v>2278.225766924937</v>
      </c>
      <c r="H111" s="6">
        <f t="shared" ca="1" si="10"/>
        <v>486.39665155711464</v>
      </c>
      <c r="J111" s="9">
        <f t="shared" ca="1" si="11"/>
        <v>1.3847279999999824</v>
      </c>
    </row>
    <row r="112" spans="1:10" x14ac:dyDescent="0.25">
      <c r="A112" s="2">
        <f t="shared" si="12"/>
        <v>2022</v>
      </c>
      <c r="B112" s="4">
        <v>0.42299999999999999</v>
      </c>
      <c r="C112" s="4">
        <v>0.16600000000000001</v>
      </c>
      <c r="D112" s="5">
        <f t="shared" si="7"/>
        <v>17.359919999999999</v>
      </c>
      <c r="E112" s="5">
        <f t="shared" si="8"/>
        <v>3.8047200000000001</v>
      </c>
      <c r="F112" s="6">
        <f t="shared" ca="1" si="13"/>
        <v>131191.18518874992</v>
      </c>
      <c r="G112" s="6">
        <f t="shared" ca="1" si="9"/>
        <v>2277.468479581883</v>
      </c>
      <c r="H112" s="6">
        <f t="shared" ca="1" si="10"/>
        <v>499.14572611134065</v>
      </c>
      <c r="J112" s="9">
        <f t="shared" ca="1" si="11"/>
        <v>1.3555199999999952</v>
      </c>
    </row>
    <row r="113" spans="1:10" x14ac:dyDescent="0.25">
      <c r="A113" s="2">
        <f t="shared" si="12"/>
        <v>2023</v>
      </c>
      <c r="B113" s="4">
        <v>0.42</v>
      </c>
      <c r="C113" s="4">
        <v>0.16900000000000001</v>
      </c>
      <c r="D113" s="5">
        <f t="shared" si="7"/>
        <v>17.236799999999999</v>
      </c>
      <c r="E113" s="5">
        <f t="shared" si="8"/>
        <v>3.8734799999999998</v>
      </c>
      <c r="F113" s="6">
        <f t="shared" ca="1" si="13"/>
        <v>132969.50794222046</v>
      </c>
      <c r="G113" s="6">
        <f t="shared" ca="1" si="9"/>
        <v>2291.9688144984657</v>
      </c>
      <c r="H113" s="6">
        <f t="shared" ca="1" si="10"/>
        <v>515.05472962403212</v>
      </c>
      <c r="J113" s="9">
        <f t="shared" ca="1" si="11"/>
        <v>1.3363319999999852</v>
      </c>
    </row>
    <row r="114" spans="1:10" x14ac:dyDescent="0.25">
      <c r="A114" s="2">
        <f t="shared" si="12"/>
        <v>2024</v>
      </c>
      <c r="B114" s="4">
        <v>0.41699999999999998</v>
      </c>
      <c r="C114" s="4">
        <v>0.16900000000000001</v>
      </c>
      <c r="D114" s="5">
        <f t="shared" si="7"/>
        <v>17.113679999999999</v>
      </c>
      <c r="E114" s="5">
        <f t="shared" si="8"/>
        <v>3.8734799999999998</v>
      </c>
      <c r="F114" s="6">
        <f t="shared" ca="1" si="13"/>
        <v>134746.42202709487</v>
      </c>
      <c r="G114" s="6">
        <f t="shared" ca="1" si="9"/>
        <v>2306.0071477166525</v>
      </c>
      <c r="H114" s="6">
        <f t="shared" ca="1" si="10"/>
        <v>521.93757079351144</v>
      </c>
      <c r="J114" s="9">
        <f t="shared" ca="1" si="11"/>
        <v>1.3240199999999871</v>
      </c>
    </row>
    <row r="115" spans="1:10" x14ac:dyDescent="0.25">
      <c r="A115" s="2">
        <f t="shared" si="12"/>
        <v>2025</v>
      </c>
      <c r="B115" s="4">
        <v>0.41299999999999998</v>
      </c>
      <c r="C115" s="4">
        <v>0.16900000000000001</v>
      </c>
      <c r="D115" s="5">
        <f t="shared" si="7"/>
        <v>16.94952</v>
      </c>
      <c r="E115" s="5">
        <f t="shared" si="8"/>
        <v>3.8734799999999998</v>
      </c>
      <c r="F115" s="6">
        <f t="shared" ca="1" si="13"/>
        <v>136530.491604018</v>
      </c>
      <c r="G115" s="6">
        <f t="shared" ca="1" si="9"/>
        <v>2314.1262980521351</v>
      </c>
      <c r="H115" s="6">
        <f t="shared" ca="1" si="10"/>
        <v>528.84812861833166</v>
      </c>
      <c r="J115" s="9">
        <f t="shared" ca="1" si="11"/>
        <v>1.3076040000000115</v>
      </c>
    </row>
    <row r="116" spans="1:10" x14ac:dyDescent="0.25">
      <c r="A116" s="2">
        <f t="shared" si="12"/>
        <v>2026</v>
      </c>
      <c r="B116" s="4">
        <v>0.40899999999999997</v>
      </c>
      <c r="C116" s="4">
        <v>0.16900000000000001</v>
      </c>
      <c r="D116" s="5">
        <f t="shared" si="7"/>
        <v>16.785359999999997</v>
      </c>
      <c r="E116" s="5">
        <f t="shared" si="8"/>
        <v>3.8734799999999998</v>
      </c>
      <c r="F116" s="6">
        <f t="shared" ca="1" si="13"/>
        <v>138315.76977345182</v>
      </c>
      <c r="G116" s="6">
        <f t="shared" ca="1" si="9"/>
        <v>2321.679989324507</v>
      </c>
      <c r="H116" s="6">
        <f t="shared" ca="1" si="10"/>
        <v>535.76336790207017</v>
      </c>
      <c r="J116" s="9">
        <f t="shared" ca="1" si="11"/>
        <v>1.2911879999999907</v>
      </c>
    </row>
    <row r="117" spans="1:10" x14ac:dyDescent="0.25">
      <c r="A117" s="2">
        <f t="shared" si="12"/>
        <v>2027</v>
      </c>
      <c r="B117" s="4">
        <v>0.40400000000000003</v>
      </c>
      <c r="C117" s="4">
        <v>0.16900000000000001</v>
      </c>
      <c r="D117" s="5">
        <f t="shared" si="7"/>
        <v>16.580159999999999</v>
      </c>
      <c r="E117" s="5">
        <f t="shared" si="8"/>
        <v>3.8734799999999998</v>
      </c>
      <c r="F117" s="6">
        <f t="shared" ca="1" si="13"/>
        <v>140101.68639487424</v>
      </c>
      <c r="G117" s="6">
        <f t="shared" ca="1" si="9"/>
        <v>2322.9083766968379</v>
      </c>
      <c r="H117" s="6">
        <f t="shared" ca="1" si="10"/>
        <v>542.68108021681746</v>
      </c>
      <c r="J117" s="9">
        <f t="shared" ca="1" si="11"/>
        <v>1.270668000000011</v>
      </c>
    </row>
    <row r="118" spans="1:10" x14ac:dyDescent="0.25">
      <c r="A118" s="2">
        <f t="shared" si="12"/>
        <v>2028</v>
      </c>
      <c r="B118" s="4">
        <v>0.39900000000000002</v>
      </c>
      <c r="C118" s="4">
        <v>0.17100000000000001</v>
      </c>
      <c r="D118" s="5">
        <f t="shared" si="7"/>
        <v>16.374960000000002</v>
      </c>
      <c r="E118" s="5">
        <f t="shared" si="8"/>
        <v>3.9193199999999999</v>
      </c>
      <c r="F118" s="6">
        <f t="shared" ca="1" si="13"/>
        <v>141881.91369135428</v>
      </c>
      <c r="G118" s="6">
        <f t="shared" ca="1" si="9"/>
        <v>2323.3106614193784</v>
      </c>
      <c r="H118" s="6">
        <f t="shared" ca="1" si="10"/>
        <v>556.0806219687986</v>
      </c>
      <c r="J118" s="9">
        <f t="shared" ca="1" si="11"/>
        <v>1.245563999999995</v>
      </c>
    </row>
    <row r="119" spans="1:10" x14ac:dyDescent="0.25">
      <c r="A119" s="2">
        <f t="shared" si="12"/>
        <v>2029</v>
      </c>
      <c r="B119" s="4">
        <v>0.39400000000000002</v>
      </c>
      <c r="C119" s="4">
        <v>0.17299999999999999</v>
      </c>
      <c r="D119" s="5">
        <f t="shared" si="7"/>
        <v>16.16976</v>
      </c>
      <c r="E119" s="5">
        <f t="shared" si="8"/>
        <v>3.9651599999999996</v>
      </c>
      <c r="F119" s="6">
        <f t="shared" ca="1" si="13"/>
        <v>143649.14373080485</v>
      </c>
      <c r="G119" s="6">
        <f t="shared" ca="1" si="9"/>
        <v>2322.7721783326188</v>
      </c>
      <c r="H119" s="6">
        <f t="shared" ca="1" si="10"/>
        <v>569.59183875563815</v>
      </c>
      <c r="J119" s="9">
        <f t="shared" ca="1" si="11"/>
        <v>1.2204599999999908</v>
      </c>
    </row>
    <row r="120" spans="1:10" x14ac:dyDescent="0.25">
      <c r="A120" s="2">
        <f t="shared" si="12"/>
        <v>2030</v>
      </c>
      <c r="B120" s="4">
        <v>0.38900000000000001</v>
      </c>
      <c r="C120" s="4">
        <v>0.17599999999999999</v>
      </c>
      <c r="D120" s="5">
        <f t="shared" si="7"/>
        <v>15.964560000000001</v>
      </c>
      <c r="E120" s="5">
        <f t="shared" si="8"/>
        <v>4.0339199999999993</v>
      </c>
      <c r="F120" s="6">
        <f t="shared" ca="1" si="13"/>
        <v>145402.32407038182</v>
      </c>
      <c r="G120" s="6">
        <f t="shared" ca="1" si="9"/>
        <v>2321.2841267610547</v>
      </c>
      <c r="H120" s="6">
        <f t="shared" ca="1" si="10"/>
        <v>586.54134311399446</v>
      </c>
      <c r="J120" s="9">
        <f t="shared" ca="1" si="11"/>
        <v>1.1930639999999997</v>
      </c>
    </row>
    <row r="121" spans="1:10" x14ac:dyDescent="0.25">
      <c r="A121" s="2">
        <f t="shared" si="12"/>
        <v>2031</v>
      </c>
      <c r="B121" s="4">
        <v>0.38500000000000001</v>
      </c>
      <c r="C121" s="4">
        <v>0.17899999999999999</v>
      </c>
      <c r="D121" s="5">
        <f t="shared" si="7"/>
        <v>15.8004</v>
      </c>
      <c r="E121" s="5">
        <f t="shared" si="8"/>
        <v>4.1026799999999994</v>
      </c>
      <c r="F121" s="6">
        <f t="shared" ca="1" si="13"/>
        <v>147137.06685402888</v>
      </c>
      <c r="G121" s="6">
        <f t="shared" ca="1" si="9"/>
        <v>2324.8245111203978</v>
      </c>
      <c r="H121" s="6">
        <f t="shared" ca="1" si="10"/>
        <v>603.65630144068712</v>
      </c>
      <c r="J121" s="9">
        <f t="shared" ca="1" si="11"/>
        <v>1.1697719999999838</v>
      </c>
    </row>
    <row r="122" spans="1:10" x14ac:dyDescent="0.25">
      <c r="A122" s="2">
        <f t="shared" si="12"/>
        <v>2032</v>
      </c>
      <c r="B122" s="2"/>
      <c r="C122" s="2"/>
      <c r="D122" s="2"/>
      <c r="E122" s="2"/>
      <c r="F122" s="6">
        <f t="shared" ca="1" si="13"/>
        <v>148858.23506370856</v>
      </c>
      <c r="G122" s="6"/>
      <c r="H122" s="6"/>
      <c r="J122" s="6"/>
    </row>
    <row r="123" spans="1:10" x14ac:dyDescent="0.25">
      <c r="A123" s="2"/>
      <c r="B123" s="2"/>
      <c r="C123" s="2"/>
      <c r="D123" s="2"/>
      <c r="E123" s="2"/>
    </row>
    <row r="124" spans="1:10" x14ac:dyDescent="0.25">
      <c r="A124" s="8" t="s">
        <v>25</v>
      </c>
      <c r="B124" s="2"/>
      <c r="C124" s="2"/>
      <c r="D124" s="2"/>
      <c r="E124" s="2"/>
    </row>
    <row r="125" spans="1:10" x14ac:dyDescent="0.25">
      <c r="B125" s="2"/>
      <c r="C125" s="2"/>
      <c r="D125" s="2"/>
      <c r="E125" s="2"/>
    </row>
    <row r="126" spans="1:10" x14ac:dyDescent="0.25">
      <c r="A126" s="8"/>
      <c r="B126" s="8"/>
      <c r="C126" s="8"/>
      <c r="D126" s="58" t="s">
        <v>22</v>
      </c>
      <c r="E126" s="58"/>
      <c r="F126" s="58"/>
    </row>
    <row r="127" spans="1:10" x14ac:dyDescent="0.25">
      <c r="A127" s="14" t="s">
        <v>0</v>
      </c>
      <c r="B127" s="15" t="s">
        <v>12</v>
      </c>
      <c r="C127" s="15" t="s">
        <v>18</v>
      </c>
      <c r="D127" s="16" t="s">
        <v>19</v>
      </c>
      <c r="E127" s="16" t="s">
        <v>20</v>
      </c>
      <c r="F127" s="16" t="s">
        <v>21</v>
      </c>
    </row>
    <row r="128" spans="1:10" x14ac:dyDescent="0.25">
      <c r="A128" s="11">
        <v>1926</v>
      </c>
      <c r="B128" s="11" t="s">
        <v>13</v>
      </c>
      <c r="C128" s="2">
        <v>351</v>
      </c>
      <c r="D128" s="13">
        <f ca="1">F16</f>
        <v>12729.192066989821</v>
      </c>
      <c r="E128" s="13">
        <f ca="1">OFFSET(INDIRECT(MID(_xlfn.FORMULATEXT(D128),2,255)),1,0)</f>
        <v>12972.126151749908</v>
      </c>
      <c r="F128" s="6">
        <f ca="1">D128*(E128/D128)^((C128-1)/365)</f>
        <v>12962.051806097428</v>
      </c>
    </row>
    <row r="129" spans="1:6" x14ac:dyDescent="0.25">
      <c r="A129" s="11">
        <v>1937</v>
      </c>
      <c r="B129" s="11" t="s">
        <v>14</v>
      </c>
      <c r="C129" s="2">
        <v>6</v>
      </c>
      <c r="D129" s="13">
        <f ca="1">F27</f>
        <v>15816.273551903771</v>
      </c>
      <c r="E129" s="13">
        <f t="shared" ref="E129:E134" ca="1" si="14">OFFSET(INDIRECT(MID(_xlfn.FORMULATEXT(D129),2,255)),1,0)</f>
        <v>16143.526170013387</v>
      </c>
      <c r="F129" s="6">
        <f t="shared" ref="F129:F134" ca="1" si="15">D129*(E129/D129)^((C129-1)/365)</f>
        <v>15820.711339210739</v>
      </c>
    </row>
    <row r="130" spans="1:6" x14ac:dyDescent="0.25">
      <c r="A130" s="11">
        <v>1939</v>
      </c>
      <c r="B130" s="12" t="s">
        <v>15</v>
      </c>
      <c r="C130" s="2">
        <v>17</v>
      </c>
      <c r="D130" s="13">
        <f ca="1">F29</f>
        <v>16485.302699781882</v>
      </c>
      <c r="E130" s="13">
        <f t="shared" ca="1" si="14"/>
        <v>16838.989593908838</v>
      </c>
      <c r="F130" s="6">
        <f t="shared" ca="1" si="15"/>
        <v>16500.649945916142</v>
      </c>
    </row>
    <row r="131" spans="1:6" x14ac:dyDescent="0.25">
      <c r="A131" s="12">
        <v>1959</v>
      </c>
      <c r="B131" s="12" t="s">
        <v>16</v>
      </c>
      <c r="C131" s="10">
        <v>15</v>
      </c>
      <c r="D131" s="13">
        <f ca="1">F49</f>
        <v>25850.070241369747</v>
      </c>
      <c r="E131" s="13">
        <f t="shared" ca="1" si="14"/>
        <v>26565.238284667481</v>
      </c>
      <c r="F131" s="6">
        <f t="shared" ca="1" si="15"/>
        <v>25877.14291319147</v>
      </c>
    </row>
    <row r="132" spans="1:6" x14ac:dyDescent="0.25">
      <c r="A132" s="12">
        <v>1970</v>
      </c>
      <c r="B132" s="12" t="s">
        <v>16</v>
      </c>
      <c r="C132" s="10">
        <v>15</v>
      </c>
      <c r="D132" s="13">
        <f ca="1">F60</f>
        <v>35621.341228617363</v>
      </c>
      <c r="E132" s="13">
        <f t="shared" ca="1" si="14"/>
        <v>36781.974291625607</v>
      </c>
      <c r="F132" s="6">
        <f t="shared" ca="1" si="15"/>
        <v>35665.175743035215</v>
      </c>
    </row>
    <row r="133" spans="1:6" x14ac:dyDescent="0.25">
      <c r="A133" s="12">
        <v>1979</v>
      </c>
      <c r="B133" s="12" t="s">
        <v>15</v>
      </c>
      <c r="C133" s="10">
        <v>17</v>
      </c>
      <c r="D133" s="13">
        <f ca="1">F69</f>
        <v>47724.371168698897</v>
      </c>
      <c r="E133" s="13">
        <f t="shared" ca="1" si="14"/>
        <v>49286.097763898862</v>
      </c>
      <c r="F133" s="6">
        <f t="shared" ca="1" si="15"/>
        <v>47791.781706532427</v>
      </c>
    </row>
    <row r="134" spans="1:6" x14ac:dyDescent="0.25">
      <c r="A134" s="12">
        <v>1989</v>
      </c>
      <c r="B134" s="12" t="s">
        <v>17</v>
      </c>
      <c r="C134" s="10">
        <v>12</v>
      </c>
      <c r="D134" s="13">
        <f ca="1">F79</f>
        <v>65510.899220851563</v>
      </c>
      <c r="E134" s="13">
        <f t="shared" ca="1" si="14"/>
        <v>67451.604581113948</v>
      </c>
      <c r="F134" s="6">
        <f t="shared" ca="1" si="15"/>
        <v>65568.562017865115</v>
      </c>
    </row>
    <row r="135" spans="1:6" x14ac:dyDescent="0.25">
      <c r="A135" s="12">
        <v>2020</v>
      </c>
      <c r="B135" s="2"/>
      <c r="C135" s="2"/>
      <c r="D135" s="2"/>
      <c r="E135" s="2"/>
      <c r="F135" s="6">
        <f ca="1">F110</f>
        <v>127579.75240628255</v>
      </c>
    </row>
    <row r="136" spans="1:6" x14ac:dyDescent="0.25">
      <c r="A136" s="12">
        <v>2030</v>
      </c>
      <c r="B136" s="2"/>
      <c r="C136" s="2"/>
      <c r="D136" s="2"/>
      <c r="E136" s="2"/>
      <c r="F136" s="6">
        <f ca="1">F120</f>
        <v>145402.32407038182</v>
      </c>
    </row>
    <row r="137" spans="1:6" x14ac:dyDescent="0.25">
      <c r="A137" s="2"/>
      <c r="B137" s="2"/>
      <c r="C137" s="2"/>
      <c r="D137" s="2"/>
      <c r="E137" s="2"/>
    </row>
    <row r="138" spans="1:6" x14ac:dyDescent="0.25">
      <c r="A138" s="2"/>
      <c r="B138" s="2"/>
      <c r="C138" s="2"/>
      <c r="D138" s="2"/>
      <c r="E138" s="2"/>
    </row>
    <row r="139" spans="1:6" x14ac:dyDescent="0.25">
      <c r="A139" s="2"/>
      <c r="B139" s="2"/>
      <c r="C139" s="2"/>
      <c r="D139" s="2"/>
      <c r="E139" s="2"/>
    </row>
    <row r="140" spans="1:6" x14ac:dyDescent="0.25">
      <c r="A140" s="2"/>
      <c r="B140" s="2"/>
      <c r="C140" s="2"/>
      <c r="D140" s="2"/>
      <c r="E140" s="2"/>
    </row>
    <row r="141" spans="1:6" x14ac:dyDescent="0.25">
      <c r="A141" s="2"/>
      <c r="B141" s="2"/>
      <c r="C141" s="2"/>
      <c r="D141" s="2"/>
      <c r="E141" s="2"/>
    </row>
    <row r="142" spans="1:6" x14ac:dyDescent="0.25">
      <c r="A142" s="2"/>
      <c r="B142" s="2"/>
      <c r="C142" s="2"/>
      <c r="D142" s="2"/>
      <c r="E142" s="2"/>
    </row>
    <row r="143" spans="1:6" x14ac:dyDescent="0.25">
      <c r="A143" s="2"/>
      <c r="B143" s="2"/>
      <c r="C143" s="2"/>
      <c r="D143" s="2"/>
      <c r="E143" s="2"/>
    </row>
    <row r="144" spans="1:6" x14ac:dyDescent="0.25">
      <c r="A144" s="2"/>
      <c r="B144" s="2"/>
      <c r="C144" s="2"/>
      <c r="D144" s="2"/>
      <c r="E144" s="2"/>
    </row>
    <row r="145" spans="1:5" x14ac:dyDescent="0.25">
      <c r="A145" s="2"/>
      <c r="B145" s="2"/>
      <c r="C145" s="2"/>
      <c r="D145" s="2"/>
      <c r="E145" s="2"/>
    </row>
    <row r="146" spans="1:5" x14ac:dyDescent="0.25">
      <c r="A146" s="2"/>
      <c r="B146" s="2"/>
      <c r="C146" s="2"/>
      <c r="D146" s="2"/>
      <c r="E146" s="2"/>
    </row>
    <row r="147" spans="1:5" x14ac:dyDescent="0.25">
      <c r="A147" s="2"/>
      <c r="B147" s="2"/>
      <c r="C147" s="2"/>
      <c r="D147" s="2"/>
      <c r="E147" s="2"/>
    </row>
    <row r="148" spans="1:5" x14ac:dyDescent="0.25">
      <c r="A148" s="2"/>
      <c r="B148" s="2"/>
      <c r="C148" s="2"/>
      <c r="D148" s="2"/>
      <c r="E148" s="2"/>
    </row>
    <row r="149" spans="1:5" x14ac:dyDescent="0.25">
      <c r="A149" s="2"/>
      <c r="B149" s="2"/>
      <c r="C149" s="2"/>
      <c r="D149" s="2"/>
      <c r="E149" s="2"/>
    </row>
    <row r="150" spans="1:5" x14ac:dyDescent="0.25">
      <c r="A150" s="2"/>
      <c r="B150" s="2"/>
      <c r="C150" s="2"/>
      <c r="D150" s="2"/>
      <c r="E150" s="2"/>
    </row>
    <row r="151" spans="1:5" x14ac:dyDescent="0.25">
      <c r="A151" s="2"/>
      <c r="B151" s="2"/>
      <c r="C151" s="2"/>
      <c r="D151" s="2"/>
      <c r="E151" s="2"/>
    </row>
    <row r="152" spans="1:5" x14ac:dyDescent="0.25">
      <c r="A152" s="2"/>
      <c r="B152" s="2"/>
      <c r="C152" s="2"/>
      <c r="D152" s="2"/>
      <c r="E152" s="2"/>
    </row>
    <row r="153" spans="1:5" x14ac:dyDescent="0.25">
      <c r="A153" s="2"/>
      <c r="B153" s="2"/>
      <c r="C153" s="2"/>
      <c r="D153" s="2"/>
      <c r="E153" s="2"/>
    </row>
    <row r="154" spans="1:5" x14ac:dyDescent="0.25">
      <c r="A154" s="2"/>
      <c r="B154" s="2"/>
      <c r="C154" s="2"/>
      <c r="D154" s="2"/>
      <c r="E154" s="2"/>
    </row>
    <row r="155" spans="1:5" x14ac:dyDescent="0.25">
      <c r="A155" s="2"/>
      <c r="B155" s="2"/>
      <c r="C155" s="2"/>
      <c r="D155" s="2"/>
      <c r="E155" s="2"/>
    </row>
  </sheetData>
  <mergeCells count="3">
    <mergeCell ref="D4:E4"/>
    <mergeCell ref="F4:I4"/>
    <mergeCell ref="D126:F1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W107"/>
  <sheetViews>
    <sheetView tabSelected="1" workbookViewId="0">
      <selection activeCell="U29" sqref="U29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9" width="16.42578125" customWidth="1"/>
    <col min="23" max="23" width="10.42578125" customWidth="1"/>
  </cols>
  <sheetData>
    <row r="1" spans="1:23" ht="21" x14ac:dyDescent="0.35">
      <c r="A1" s="38" t="s">
        <v>137</v>
      </c>
    </row>
    <row r="4" spans="1:23" x14ac:dyDescent="0.25">
      <c r="A4" s="8" t="s">
        <v>36</v>
      </c>
    </row>
    <row r="5" spans="1:23" x14ac:dyDescent="0.25">
      <c r="U5" s="18"/>
      <c r="V5" s="18"/>
    </row>
    <row r="6" spans="1:23" ht="60" x14ac:dyDescent="0.25">
      <c r="A6" s="34" t="s">
        <v>0</v>
      </c>
      <c r="B6" s="35" t="s">
        <v>12</v>
      </c>
      <c r="C6" s="34" t="s">
        <v>35</v>
      </c>
      <c r="D6" s="34" t="s">
        <v>32</v>
      </c>
      <c r="E6" s="34" t="s">
        <v>33</v>
      </c>
      <c r="F6" s="34" t="s">
        <v>34</v>
      </c>
      <c r="G6" s="36" t="s">
        <v>38</v>
      </c>
      <c r="H6" s="36" t="s">
        <v>37</v>
      </c>
      <c r="I6" s="36" t="s">
        <v>39</v>
      </c>
      <c r="J6" s="36" t="s">
        <v>40</v>
      </c>
      <c r="K6" s="36" t="s">
        <v>41</v>
      </c>
      <c r="L6" s="36" t="s">
        <v>47</v>
      </c>
      <c r="M6" s="36" t="s">
        <v>42</v>
      </c>
      <c r="N6" s="36" t="s">
        <v>43</v>
      </c>
      <c r="O6" s="36" t="s">
        <v>44</v>
      </c>
      <c r="P6" s="36" t="s">
        <v>46</v>
      </c>
      <c r="Q6" s="36" t="s">
        <v>45</v>
      </c>
      <c r="R6" s="37" t="s">
        <v>73</v>
      </c>
      <c r="S6" s="37" t="s">
        <v>109</v>
      </c>
      <c r="T6" s="37" t="s">
        <v>102</v>
      </c>
      <c r="U6" s="37" t="s">
        <v>72</v>
      </c>
      <c r="V6" s="37" t="s">
        <v>75</v>
      </c>
      <c r="W6" s="37" t="s">
        <v>76</v>
      </c>
    </row>
    <row r="7" spans="1:23" x14ac:dyDescent="0.25">
      <c r="T7" s="21"/>
    </row>
    <row r="8" spans="1:23" x14ac:dyDescent="0.25">
      <c r="A8" s="23">
        <v>1926</v>
      </c>
      <c r="B8" s="23" t="s">
        <v>13</v>
      </c>
      <c r="C8" s="24">
        <f ca="1">RSFSR!F128</f>
        <v>106845.8166895476</v>
      </c>
      <c r="D8" s="24">
        <f ca="1">NR!F128</f>
        <v>18019.280954398353</v>
      </c>
      <c r="E8" s="24">
        <f ca="1">MR!F128</f>
        <v>22210.409745857956</v>
      </c>
      <c r="F8" s="24">
        <f ca="1">BR!F128</f>
        <v>12962.051806097428</v>
      </c>
      <c r="G8" s="29">
        <v>2315</v>
      </c>
      <c r="H8" s="29">
        <v>880</v>
      </c>
      <c r="I8" s="29">
        <v>2666</v>
      </c>
      <c r="J8" s="42"/>
      <c r="K8" s="42"/>
      <c r="L8" s="40">
        <v>6503</v>
      </c>
      <c r="M8" s="40">
        <v>993</v>
      </c>
      <c r="N8" s="41" t="s">
        <v>82</v>
      </c>
      <c r="O8" s="29">
        <v>1001</v>
      </c>
      <c r="P8" s="29">
        <v>5273</v>
      </c>
      <c r="Q8" s="42"/>
      <c r="R8" s="43"/>
      <c r="S8" s="44">
        <v>11400</v>
      </c>
      <c r="T8" s="25">
        <f ca="1">SUM(C8:R8) - S8</f>
        <v>168268.55919590133</v>
      </c>
      <c r="U8" s="39">
        <v>148530</v>
      </c>
      <c r="V8" s="27">
        <f t="shared" ref="V8:V13" ca="1" si="0">100 * (T8-U8) / T8</f>
        <v>11.730390567450771</v>
      </c>
      <c r="W8" s="25">
        <f t="shared" ref="W8:W13" ca="1" si="1">T8-U8</f>
        <v>19738.559195901325</v>
      </c>
    </row>
    <row r="9" spans="1:23" x14ac:dyDescent="0.25">
      <c r="A9" s="23">
        <v>1937</v>
      </c>
      <c r="B9" s="23" t="s">
        <v>14</v>
      </c>
      <c r="C9" s="24">
        <f ca="1">RSFSR!F129</f>
        <v>130704.49149186898</v>
      </c>
      <c r="D9" s="24">
        <f ca="1">NR!F129</f>
        <v>22382.063873054278</v>
      </c>
      <c r="E9" s="24">
        <f ca="1">MR!F129</f>
        <v>26743.345769715615</v>
      </c>
      <c r="F9" s="24">
        <f ca="1">BR!F129</f>
        <v>15820.711339210739</v>
      </c>
      <c r="G9" s="29">
        <v>3057</v>
      </c>
      <c r="H9" s="29">
        <v>1209</v>
      </c>
      <c r="I9" s="29">
        <v>3377</v>
      </c>
      <c r="J9" s="42"/>
      <c r="K9" s="42"/>
      <c r="L9" s="29">
        <v>5120</v>
      </c>
      <c r="M9" s="29">
        <v>1370</v>
      </c>
      <c r="N9" s="29">
        <v>1382</v>
      </c>
      <c r="O9" s="29">
        <v>1169</v>
      </c>
      <c r="P9" s="29">
        <v>5847</v>
      </c>
      <c r="Q9" s="42"/>
      <c r="R9" s="43"/>
      <c r="S9" s="44">
        <v>12700</v>
      </c>
      <c r="T9" s="25">
        <f t="shared" ref="T9:T16" ca="1" si="2">SUM(C9:R9) - S9</f>
        <v>205481.61247384961</v>
      </c>
      <c r="U9" s="39">
        <v>162039</v>
      </c>
      <c r="V9" s="27">
        <f t="shared" ca="1" si="0"/>
        <v>21.141849117705505</v>
      </c>
      <c r="W9" s="25">
        <f t="shared" ca="1" si="1"/>
        <v>43442.612473849615</v>
      </c>
    </row>
    <row r="10" spans="1:23" x14ac:dyDescent="0.25">
      <c r="A10" s="23">
        <v>1939</v>
      </c>
      <c r="B10" s="28" t="s">
        <v>15</v>
      </c>
      <c r="C10" s="24">
        <f ca="1">RSFSR!F130</f>
        <v>136512.00079842543</v>
      </c>
      <c r="D10" s="24">
        <f ca="1">NR!F130</f>
        <v>23439.059721823676</v>
      </c>
      <c r="E10" s="24">
        <f ca="1">MR!F130</f>
        <v>27821.07172486337</v>
      </c>
      <c r="F10" s="24">
        <f ca="1">BR!F130</f>
        <v>16500.649945916142</v>
      </c>
      <c r="G10" s="29">
        <v>3205.15</v>
      </c>
      <c r="H10" s="29">
        <v>1282.338</v>
      </c>
      <c r="I10" s="29">
        <v>3540.0230000000001</v>
      </c>
      <c r="J10" s="42"/>
      <c r="K10" s="42"/>
      <c r="L10" s="29">
        <v>6151.1019999999999</v>
      </c>
      <c r="M10" s="29">
        <v>1458.213</v>
      </c>
      <c r="N10" s="29">
        <v>1484.44</v>
      </c>
      <c r="O10" s="29">
        <v>1251.883</v>
      </c>
      <c r="P10" s="29">
        <v>6271.2690000000002</v>
      </c>
      <c r="Q10" s="42"/>
      <c r="R10" s="43"/>
      <c r="S10" s="44">
        <v>13000</v>
      </c>
      <c r="T10" s="25">
        <f t="shared" ca="1" si="2"/>
        <v>215917.20019102859</v>
      </c>
      <c r="U10" s="39">
        <v>167650</v>
      </c>
      <c r="V10" s="27">
        <f t="shared" ca="1" si="0"/>
        <v>22.35449521776177</v>
      </c>
      <c r="W10" s="25">
        <f t="shared" ca="1" si="1"/>
        <v>48267.200191028591</v>
      </c>
    </row>
    <row r="11" spans="1:23" x14ac:dyDescent="0.25">
      <c r="A11" s="28">
        <v>1959</v>
      </c>
      <c r="B11" s="28" t="s">
        <v>16</v>
      </c>
      <c r="C11" s="24">
        <f ca="1">RSFSR!F131</f>
        <v>220688.70840674659</v>
      </c>
      <c r="D11" s="24">
        <f ca="1">NR!F131</f>
        <v>38635.638851153497</v>
      </c>
      <c r="E11" s="24">
        <f ca="1">MR!F131</f>
        <v>42650.011568127789</v>
      </c>
      <c r="F11" s="24">
        <f ca="1">BR!F131</f>
        <v>25877.14291319147</v>
      </c>
      <c r="G11" s="29">
        <v>3697.7170000000001</v>
      </c>
      <c r="H11" s="29">
        <v>1763.048</v>
      </c>
      <c r="I11" s="29">
        <v>4044.0450000000001</v>
      </c>
      <c r="J11" s="29">
        <v>2093.4580000000001</v>
      </c>
      <c r="K11" s="29">
        <v>2711.4450000000002</v>
      </c>
      <c r="L11" s="29">
        <v>9309.8469999999998</v>
      </c>
      <c r="M11" s="29">
        <v>2065.837</v>
      </c>
      <c r="N11" s="29">
        <v>1979.8969999999999</v>
      </c>
      <c r="O11" s="29">
        <v>1516.375</v>
      </c>
      <c r="P11" s="29">
        <v>8105.7039999999997</v>
      </c>
      <c r="Q11" s="29">
        <v>1196.7909999999999</v>
      </c>
      <c r="R11" s="29">
        <f>H82</f>
        <v>6155</v>
      </c>
      <c r="S11" s="44"/>
      <c r="T11" s="25">
        <f t="shared" ca="1" si="2"/>
        <v>372490.6657392194</v>
      </c>
      <c r="U11" s="39">
        <v>208826.65</v>
      </c>
      <c r="V11" s="27">
        <f t="shared" ca="1" si="0"/>
        <v>43.937749531098461</v>
      </c>
      <c r="W11" s="25">
        <f t="shared" ca="1" si="1"/>
        <v>163664.01573921941</v>
      </c>
    </row>
    <row r="12" spans="1:23" x14ac:dyDescent="0.25">
      <c r="A12" s="28">
        <v>1970</v>
      </c>
      <c r="B12" s="28" t="s">
        <v>16</v>
      </c>
      <c r="C12" s="24">
        <f ca="1">RSFSR!F132</f>
        <v>317618.5255269864</v>
      </c>
      <c r="D12" s="24">
        <f ca="1">NR!F132</f>
        <v>55638.996828728697</v>
      </c>
      <c r="E12" s="24">
        <f ca="1">MR!F132</f>
        <v>58250.317096030019</v>
      </c>
      <c r="F12" s="24">
        <f ca="1">BR!F132</f>
        <v>35665.175743035215</v>
      </c>
      <c r="G12" s="29">
        <v>5117</v>
      </c>
      <c r="H12" s="29">
        <v>2492</v>
      </c>
      <c r="I12" s="30">
        <v>4686.3999999999996</v>
      </c>
      <c r="J12" s="30">
        <v>2364.1</v>
      </c>
      <c r="K12" s="30">
        <v>3128.2</v>
      </c>
      <c r="L12" s="30">
        <v>12848.6</v>
      </c>
      <c r="M12" s="30">
        <v>2932.8</v>
      </c>
      <c r="N12" s="30">
        <v>2899.6</v>
      </c>
      <c r="O12" s="30">
        <v>2158.9</v>
      </c>
      <c r="P12" s="30">
        <v>11959.6</v>
      </c>
      <c r="Q12" s="30">
        <v>1356.1</v>
      </c>
      <c r="R12" s="29">
        <f t="shared" ref="R12:R15" si="3">H83</f>
        <v>6964</v>
      </c>
      <c r="S12" s="44"/>
      <c r="T12" s="25">
        <f t="shared" ca="1" si="2"/>
        <v>526080.31519478024</v>
      </c>
      <c r="U12" s="39">
        <v>241720</v>
      </c>
      <c r="V12" s="27">
        <f t="shared" ca="1" si="0"/>
        <v>54.052643100606488</v>
      </c>
      <c r="W12" s="25">
        <f t="shared" ca="1" si="1"/>
        <v>284360.31519478024</v>
      </c>
    </row>
    <row r="13" spans="1:23" x14ac:dyDescent="0.25">
      <c r="A13" s="28">
        <v>1979</v>
      </c>
      <c r="B13" s="28" t="s">
        <v>15</v>
      </c>
      <c r="C13" s="24">
        <f ca="1">RSFSR!F133</f>
        <v>445922.55198754626</v>
      </c>
      <c r="D13" s="24">
        <f ca="1">NR!F133</f>
        <v>77821.056177823426</v>
      </c>
      <c r="E13" s="24">
        <f ca="1">MR!F133</f>
        <v>77590.700867184496</v>
      </c>
      <c r="F13" s="24">
        <f ca="1">BR!F133</f>
        <v>47791.781706532427</v>
      </c>
      <c r="G13" s="29">
        <v>6028</v>
      </c>
      <c r="H13" s="29">
        <v>3031</v>
      </c>
      <c r="I13" s="29">
        <v>5015</v>
      </c>
      <c r="J13" s="29">
        <v>2521</v>
      </c>
      <c r="K13" s="29">
        <v>3398</v>
      </c>
      <c r="L13" s="29">
        <v>14685</v>
      </c>
      <c r="M13" s="29">
        <v>3529</v>
      </c>
      <c r="N13" s="29">
        <v>3801</v>
      </c>
      <c r="O13" s="29">
        <v>2759</v>
      </c>
      <c r="P13" s="29">
        <v>15391</v>
      </c>
      <c r="Q13" s="29">
        <v>1466</v>
      </c>
      <c r="R13" s="29">
        <f t="shared" si="3"/>
        <v>7372</v>
      </c>
      <c r="S13" s="44"/>
      <c r="T13" s="25">
        <f t="shared" ca="1" si="2"/>
        <v>718122.09073908674</v>
      </c>
      <c r="U13" s="39">
        <v>262436</v>
      </c>
      <c r="V13" s="27">
        <f t="shared" ca="1" si="0"/>
        <v>63.455239243524382</v>
      </c>
      <c r="W13" s="25">
        <f t="shared" ca="1" si="1"/>
        <v>455686.09073908674</v>
      </c>
    </row>
    <row r="14" spans="1:23" x14ac:dyDescent="0.25">
      <c r="A14" s="28">
        <v>1989</v>
      </c>
      <c r="B14" s="28" t="s">
        <v>17</v>
      </c>
      <c r="C14" s="24">
        <f ca="1">RSFSR!F134</f>
        <v>644973.97216546303</v>
      </c>
      <c r="D14" s="24">
        <f ca="1">NR!F134</f>
        <v>111938.11167520715</v>
      </c>
      <c r="E14" s="24">
        <f ca="1">MR!F134</f>
        <v>105847.79298962053</v>
      </c>
      <c r="F14" s="24">
        <f ca="1">BR!F134</f>
        <v>65568.562017865115</v>
      </c>
      <c r="G14" s="29">
        <v>7038</v>
      </c>
      <c r="H14" s="29">
        <v>3288</v>
      </c>
      <c r="I14" s="29">
        <v>5443</v>
      </c>
      <c r="J14" s="29">
        <v>2680</v>
      </c>
      <c r="K14" s="29">
        <v>3690</v>
      </c>
      <c r="L14" s="29">
        <v>16537</v>
      </c>
      <c r="M14" s="29">
        <v>4290</v>
      </c>
      <c r="N14" s="29">
        <v>5109</v>
      </c>
      <c r="O14" s="29">
        <v>3534</v>
      </c>
      <c r="P14" s="29">
        <v>19905</v>
      </c>
      <c r="Q14" s="29">
        <v>1573</v>
      </c>
      <c r="R14" s="29">
        <f t="shared" si="3"/>
        <v>7839</v>
      </c>
      <c r="S14" s="44"/>
      <c r="T14" s="25">
        <f t="shared" ca="1" si="2"/>
        <v>1009254.4388481559</v>
      </c>
      <c r="U14" s="39">
        <v>286731</v>
      </c>
      <c r="V14" s="27">
        <f ca="1">100 * (T14-U14) / T14</f>
        <v>71.589820270967451</v>
      </c>
      <c r="W14" s="25">
        <f ca="1">T14-U14</f>
        <v>722523.4388481559</v>
      </c>
    </row>
    <row r="15" spans="1:23" x14ac:dyDescent="0.25">
      <c r="A15" s="28">
        <v>2020</v>
      </c>
      <c r="B15" s="55" t="s">
        <v>123</v>
      </c>
      <c r="C15" s="24">
        <f>RSFSR!F135</f>
        <v>1405423.5653519635</v>
      </c>
      <c r="D15" s="24">
        <f ca="1">NR!F135</f>
        <v>240865.84529590677</v>
      </c>
      <c r="E15" s="24">
        <f ca="1">MR!F135</f>
        <v>203586.30699195914</v>
      </c>
      <c r="F15" s="24">
        <f ca="1">BR!F135</f>
        <v>127579.75240628255</v>
      </c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9">
        <f t="shared" si="3"/>
        <v>6707.7018392093914</v>
      </c>
      <c r="S15" s="45"/>
      <c r="T15" s="25">
        <f t="shared" ca="1" si="2"/>
        <v>1984163.1718853214</v>
      </c>
      <c r="U15" s="25">
        <f>C97</f>
        <v>198061</v>
      </c>
      <c r="V15" s="27">
        <f ca="1">100 * (T15-U15) / T15</f>
        <v>90.017907659690835</v>
      </c>
      <c r="W15" s="25">
        <f ca="1">T15-U15</f>
        <v>1786102.1718853214</v>
      </c>
    </row>
    <row r="16" spans="1:23" x14ac:dyDescent="0.25">
      <c r="A16" s="28">
        <v>2030</v>
      </c>
      <c r="B16" s="55" t="s">
        <v>123</v>
      </c>
      <c r="C16" s="24">
        <f>RSFSR!F136</f>
        <v>1633084.1380099785</v>
      </c>
      <c r="D16" s="24">
        <f ca="1">NR!F136</f>
        <v>279690.54437892081</v>
      </c>
      <c r="E16" s="24">
        <f ca="1">MR!F136</f>
        <v>231276.97799760741</v>
      </c>
      <c r="F16" s="24">
        <f ca="1">BR!F136</f>
        <v>145402.32407038182</v>
      </c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44"/>
      <c r="S16" s="45"/>
      <c r="T16" s="25">
        <f t="shared" ca="1" si="2"/>
        <v>2289453.9844568889</v>
      </c>
      <c r="U16" s="25"/>
      <c r="V16" s="27"/>
      <c r="W16" s="25"/>
    </row>
    <row r="18" spans="1:4" x14ac:dyDescent="0.25">
      <c r="A18" t="s">
        <v>49</v>
      </c>
    </row>
    <row r="19" spans="1:4" x14ac:dyDescent="0.25">
      <c r="A19" t="s">
        <v>50</v>
      </c>
    </row>
    <row r="20" spans="1:4" x14ac:dyDescent="0.25">
      <c r="A20" t="s">
        <v>78</v>
      </c>
    </row>
    <row r="21" spans="1:4" x14ac:dyDescent="0.25">
      <c r="A21" t="s">
        <v>95</v>
      </c>
    </row>
    <row r="23" spans="1:4" x14ac:dyDescent="0.25">
      <c r="B23" s="7" t="s">
        <v>35</v>
      </c>
      <c r="D23" t="s">
        <v>70</v>
      </c>
    </row>
    <row r="24" spans="1:4" x14ac:dyDescent="0.25">
      <c r="B24" s="7"/>
    </row>
    <row r="25" spans="1:4" x14ac:dyDescent="0.25">
      <c r="B25" s="7" t="s">
        <v>68</v>
      </c>
      <c r="D25" t="s">
        <v>69</v>
      </c>
    </row>
    <row r="26" spans="1:4" x14ac:dyDescent="0.25">
      <c r="B26" s="7"/>
      <c r="D26" t="s">
        <v>94</v>
      </c>
    </row>
    <row r="27" spans="1:4" x14ac:dyDescent="0.25">
      <c r="B27" s="7"/>
    </row>
    <row r="28" spans="1:4" x14ac:dyDescent="0.25">
      <c r="B28" s="7" t="s">
        <v>74</v>
      </c>
      <c r="D28" t="s">
        <v>103</v>
      </c>
    </row>
    <row r="29" spans="1:4" x14ac:dyDescent="0.25">
      <c r="D29" t="s">
        <v>71</v>
      </c>
    </row>
    <row r="31" spans="1:4" x14ac:dyDescent="0.25">
      <c r="B31" s="7" t="s">
        <v>110</v>
      </c>
      <c r="D31" t="s">
        <v>101</v>
      </c>
    </row>
    <row r="32" spans="1:4" x14ac:dyDescent="0.25">
      <c r="B32" s="7"/>
    </row>
    <row r="33" spans="2:4" x14ac:dyDescent="0.25">
      <c r="B33" s="7"/>
      <c r="D33" t="s">
        <v>96</v>
      </c>
    </row>
    <row r="34" spans="2:4" x14ac:dyDescent="0.25">
      <c r="B34" s="7"/>
      <c r="D34" t="s">
        <v>97</v>
      </c>
    </row>
    <row r="35" spans="2:4" x14ac:dyDescent="0.25">
      <c r="B35" s="7"/>
    </row>
    <row r="36" spans="2:4" x14ac:dyDescent="0.25">
      <c r="B36" s="7"/>
      <c r="D36" t="s">
        <v>98</v>
      </c>
    </row>
    <row r="37" spans="2:4" x14ac:dyDescent="0.25">
      <c r="B37" s="7"/>
      <c r="D37" t="s">
        <v>48</v>
      </c>
    </row>
    <row r="38" spans="2:4" x14ac:dyDescent="0.25">
      <c r="B38" s="7"/>
      <c r="D38" t="s">
        <v>99</v>
      </c>
    </row>
    <row r="39" spans="2:4" x14ac:dyDescent="0.25">
      <c r="B39" s="7"/>
      <c r="D39" t="s">
        <v>100</v>
      </c>
    </row>
    <row r="40" spans="2:4" x14ac:dyDescent="0.25">
      <c r="B40" s="7"/>
    </row>
    <row r="41" spans="2:4" x14ac:dyDescent="0.25">
      <c r="B41" s="7"/>
      <c r="D41" t="s">
        <v>107</v>
      </c>
    </row>
    <row r="42" spans="2:4" x14ac:dyDescent="0.25">
      <c r="B42" s="7"/>
      <c r="D42" t="s">
        <v>108</v>
      </c>
    </row>
    <row r="43" spans="2:4" x14ac:dyDescent="0.25">
      <c r="B43" s="7"/>
      <c r="D43" t="s">
        <v>111</v>
      </c>
    </row>
    <row r="44" spans="2:4" x14ac:dyDescent="0.25">
      <c r="B44" s="7"/>
      <c r="D44" t="s">
        <v>112</v>
      </c>
    </row>
    <row r="45" spans="2:4" x14ac:dyDescent="0.25">
      <c r="B45" s="7"/>
    </row>
    <row r="46" spans="2:4" x14ac:dyDescent="0.25">
      <c r="B46" s="7"/>
    </row>
    <row r="47" spans="2:4" x14ac:dyDescent="0.25">
      <c r="B47" s="7"/>
    </row>
    <row r="48" spans="2:4" x14ac:dyDescent="0.25">
      <c r="B48" s="7"/>
    </row>
    <row r="49" spans="1:5" x14ac:dyDescent="0.25">
      <c r="B49" s="7"/>
    </row>
    <row r="50" spans="1:5" x14ac:dyDescent="0.25">
      <c r="B50" s="7" t="s">
        <v>104</v>
      </c>
      <c r="D50" t="s">
        <v>105</v>
      </c>
    </row>
    <row r="51" spans="1:5" x14ac:dyDescent="0.25">
      <c r="B51" s="7"/>
      <c r="D51" t="s">
        <v>106</v>
      </c>
    </row>
    <row r="53" spans="1:5" x14ac:dyDescent="0.25">
      <c r="A53" t="s">
        <v>54</v>
      </c>
    </row>
    <row r="55" spans="1:5" x14ac:dyDescent="0.25">
      <c r="B55" s="31">
        <v>1926</v>
      </c>
      <c r="E55" t="s">
        <v>77</v>
      </c>
    </row>
    <row r="56" spans="1:5" x14ac:dyDescent="0.25">
      <c r="B56" s="31"/>
      <c r="E56" t="s">
        <v>83</v>
      </c>
    </row>
    <row r="57" spans="1:5" x14ac:dyDescent="0.25">
      <c r="B57" s="31"/>
      <c r="E57" t="s">
        <v>79</v>
      </c>
    </row>
    <row r="58" spans="1:5" x14ac:dyDescent="0.25">
      <c r="B58" s="31"/>
      <c r="E58" t="s">
        <v>80</v>
      </c>
    </row>
    <row r="59" spans="1:5" x14ac:dyDescent="0.25">
      <c r="B59" s="31"/>
      <c r="E59" t="s">
        <v>81</v>
      </c>
    </row>
    <row r="60" spans="1:5" x14ac:dyDescent="0.25">
      <c r="B60" s="31"/>
      <c r="E60" t="s">
        <v>84</v>
      </c>
    </row>
    <row r="61" spans="1:5" x14ac:dyDescent="0.25">
      <c r="B61" s="31"/>
      <c r="E61" t="s">
        <v>87</v>
      </c>
    </row>
    <row r="63" spans="1:5" x14ac:dyDescent="0.25">
      <c r="B63" s="31">
        <v>1937</v>
      </c>
      <c r="E63" t="s">
        <v>53</v>
      </c>
    </row>
    <row r="65" spans="1:5" x14ac:dyDescent="0.25">
      <c r="B65" s="31">
        <v>1959</v>
      </c>
      <c r="E65" t="s">
        <v>52</v>
      </c>
    </row>
    <row r="67" spans="1:5" x14ac:dyDescent="0.25">
      <c r="B67" s="31">
        <v>1939</v>
      </c>
      <c r="E67" t="s">
        <v>51</v>
      </c>
    </row>
    <row r="68" spans="1:5" x14ac:dyDescent="0.25">
      <c r="B68" s="31"/>
      <c r="E68" t="s">
        <v>55</v>
      </c>
    </row>
    <row r="69" spans="1:5" x14ac:dyDescent="0.25">
      <c r="B69" s="31"/>
      <c r="E69" t="s">
        <v>85</v>
      </c>
    </row>
    <row r="70" spans="1:5" x14ac:dyDescent="0.25">
      <c r="B70" s="31"/>
      <c r="E70" t="s">
        <v>86</v>
      </c>
    </row>
    <row r="72" spans="1:5" x14ac:dyDescent="0.25">
      <c r="B72" s="7" t="s">
        <v>56</v>
      </c>
      <c r="E72" t="s">
        <v>51</v>
      </c>
    </row>
    <row r="73" spans="1:5" x14ac:dyDescent="0.25">
      <c r="B73" s="22"/>
    </row>
    <row r="74" spans="1:5" x14ac:dyDescent="0.25">
      <c r="A74" t="s">
        <v>57</v>
      </c>
      <c r="B74" s="22"/>
    </row>
    <row r="75" spans="1:5" x14ac:dyDescent="0.25">
      <c r="B75" s="22"/>
    </row>
    <row r="76" spans="1:5" x14ac:dyDescent="0.25">
      <c r="B76" s="22" t="s">
        <v>67</v>
      </c>
    </row>
    <row r="77" spans="1:5" x14ac:dyDescent="0.25">
      <c r="B77" s="22" t="s">
        <v>58</v>
      </c>
    </row>
    <row r="78" spans="1:5" x14ac:dyDescent="0.25">
      <c r="B78" s="22"/>
    </row>
    <row r="79" spans="1:5" x14ac:dyDescent="0.25">
      <c r="A79" t="s">
        <v>59</v>
      </c>
      <c r="B79" s="22"/>
    </row>
    <row r="80" spans="1:5" x14ac:dyDescent="0.25">
      <c r="B80" s="22"/>
    </row>
    <row r="81" spans="1:8" x14ac:dyDescent="0.25">
      <c r="B81" s="18" t="s">
        <v>60</v>
      </c>
      <c r="C81" s="18" t="s">
        <v>61</v>
      </c>
      <c r="D81" s="18" t="s">
        <v>62</v>
      </c>
      <c r="E81" s="18" t="s">
        <v>63</v>
      </c>
      <c r="F81" s="18" t="s">
        <v>64</v>
      </c>
      <c r="G81" s="18" t="s">
        <v>65</v>
      </c>
      <c r="H81" s="18" t="s">
        <v>66</v>
      </c>
    </row>
    <row r="82" spans="1:8" x14ac:dyDescent="0.25">
      <c r="A82" s="32">
        <v>1959</v>
      </c>
      <c r="B82" s="33">
        <v>2108</v>
      </c>
      <c r="C82" s="33">
        <v>1095</v>
      </c>
      <c r="D82" s="33">
        <v>920</v>
      </c>
      <c r="E82" s="33">
        <v>1086</v>
      </c>
      <c r="F82" s="33">
        <v>774</v>
      </c>
      <c r="G82" s="33">
        <v>172</v>
      </c>
      <c r="H82" s="33">
        <f t="shared" ref="H82:H84" si="4">SUM(B82:G82)</f>
        <v>6155</v>
      </c>
    </row>
    <row r="83" spans="1:8" x14ac:dyDescent="0.25">
      <c r="A83" s="32">
        <v>1970</v>
      </c>
      <c r="B83" s="33">
        <v>2429</v>
      </c>
      <c r="C83" s="33">
        <v>1249</v>
      </c>
      <c r="D83" s="33">
        <v>1057</v>
      </c>
      <c r="E83" s="33">
        <v>1153</v>
      </c>
      <c r="F83" s="33">
        <v>845</v>
      </c>
      <c r="G83" s="33">
        <v>231</v>
      </c>
      <c r="H83" s="33">
        <f t="shared" si="4"/>
        <v>6964</v>
      </c>
    </row>
    <row r="84" spans="1:8" x14ac:dyDescent="0.25">
      <c r="A84" s="32">
        <v>1979</v>
      </c>
      <c r="B84" s="33">
        <v>2569</v>
      </c>
      <c r="C84" s="33">
        <v>1327</v>
      </c>
      <c r="D84" s="33">
        <v>1156</v>
      </c>
      <c r="E84" s="33">
        <v>1162</v>
      </c>
      <c r="F84" s="33">
        <v>890</v>
      </c>
      <c r="G84" s="33">
        <v>268</v>
      </c>
      <c r="H84" s="33">
        <f t="shared" si="4"/>
        <v>7372</v>
      </c>
    </row>
    <row r="85" spans="1:8" x14ac:dyDescent="0.25">
      <c r="A85" s="32">
        <v>1989</v>
      </c>
      <c r="B85" s="33">
        <v>2748</v>
      </c>
      <c r="C85" s="33">
        <v>1423</v>
      </c>
      <c r="D85" s="33">
        <v>1252</v>
      </c>
      <c r="E85" s="33">
        <v>1169</v>
      </c>
      <c r="F85" s="33">
        <v>938</v>
      </c>
      <c r="G85" s="33">
        <v>309</v>
      </c>
      <c r="H85" s="33">
        <f>SUM(B85:G85)</f>
        <v>7839</v>
      </c>
    </row>
    <row r="86" spans="1:8" x14ac:dyDescent="0.25">
      <c r="A86" s="32">
        <v>2020</v>
      </c>
      <c r="B86" s="33">
        <f>B85*URK_2020_1989</f>
        <v>2328.574854468447</v>
      </c>
      <c r="C86" s="33">
        <f>C85*URK_2020_1989</f>
        <v>1205.8085945810044</v>
      </c>
      <c r="D86" s="33">
        <f>D85*URK_2020_1989</f>
        <v>1060.908194248361</v>
      </c>
      <c r="E86" s="33">
        <f>E85*URK_2020_1989</f>
        <v>990.57642098748715</v>
      </c>
      <c r="F86" s="33">
        <f>F85*URK_2020_1989</f>
        <v>794.83377492409147</v>
      </c>
      <c r="G86" s="33">
        <v>327</v>
      </c>
      <c r="H86" s="33">
        <f>SUM(B86:G86)</f>
        <v>6707.7018392093914</v>
      </c>
    </row>
    <row r="88" spans="1:8" x14ac:dyDescent="0.25">
      <c r="A88" t="s">
        <v>124</v>
      </c>
    </row>
    <row r="89" spans="1:8" x14ac:dyDescent="0.25">
      <c r="A89" t="s">
        <v>128</v>
      </c>
    </row>
    <row r="90" spans="1:8" x14ac:dyDescent="0.25">
      <c r="A90" t="s">
        <v>130</v>
      </c>
    </row>
    <row r="92" spans="1:8" x14ac:dyDescent="0.25">
      <c r="A92" t="s">
        <v>88</v>
      </c>
    </row>
    <row r="94" spans="1:8" x14ac:dyDescent="0.25">
      <c r="B94" t="s">
        <v>89</v>
      </c>
      <c r="C94" s="20">
        <v>146749</v>
      </c>
      <c r="E94" t="s">
        <v>92</v>
      </c>
    </row>
    <row r="95" spans="1:8" x14ac:dyDescent="0.25">
      <c r="B95" t="s">
        <v>90</v>
      </c>
      <c r="C95" s="20">
        <v>41902</v>
      </c>
      <c r="E95" t="s">
        <v>91</v>
      </c>
    </row>
    <row r="96" spans="1:8" x14ac:dyDescent="0.25">
      <c r="B96" t="s">
        <v>34</v>
      </c>
      <c r="C96" s="20">
        <v>9410</v>
      </c>
    </row>
    <row r="97" spans="1:5" x14ac:dyDescent="0.25">
      <c r="B97" t="s">
        <v>93</v>
      </c>
      <c r="C97" s="20">
        <f>SUM(C94:C96)</f>
        <v>198061</v>
      </c>
    </row>
    <row r="98" spans="1:5" x14ac:dyDescent="0.25">
      <c r="C98" s="20"/>
    </row>
    <row r="99" spans="1:5" x14ac:dyDescent="0.25">
      <c r="B99" t="s">
        <v>131</v>
      </c>
      <c r="C99" s="6">
        <v>1913</v>
      </c>
    </row>
    <row r="100" spans="1:5" x14ac:dyDescent="0.25">
      <c r="B100" t="s">
        <v>132</v>
      </c>
      <c r="C100" s="20">
        <v>51707</v>
      </c>
    </row>
    <row r="101" spans="1:5" x14ac:dyDescent="0.25">
      <c r="B101" t="s">
        <v>133</v>
      </c>
      <c r="C101" s="20">
        <f>C95+C99</f>
        <v>43815</v>
      </c>
      <c r="E101" t="s">
        <v>129</v>
      </c>
    </row>
    <row r="102" spans="1:5" x14ac:dyDescent="0.25">
      <c r="B102" t="s">
        <v>135</v>
      </c>
      <c r="C102" s="20"/>
      <c r="E102" s="56">
        <f>C101/C100</f>
        <v>0.84737076217920204</v>
      </c>
    </row>
    <row r="104" spans="1:5" x14ac:dyDescent="0.25">
      <c r="A104" t="s">
        <v>125</v>
      </c>
    </row>
    <row r="105" spans="1:5" x14ac:dyDescent="0.25">
      <c r="A105" t="s">
        <v>127</v>
      </c>
    </row>
    <row r="106" spans="1:5" x14ac:dyDescent="0.25">
      <c r="B106" t="s">
        <v>126</v>
      </c>
    </row>
    <row r="107" spans="1:5" x14ac:dyDescent="0.25">
      <c r="B107" t="s">
        <v>134</v>
      </c>
    </row>
  </sheetData>
  <pageMargins left="0.7" right="0.7" top="0.75" bottom="0.75" header="0.3" footer="0.3"/>
  <pageSetup orientation="portrait" r:id="rId1"/>
  <ignoredErrors>
    <ignoredError sqref="H82:H85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E137"/>
  <sheetViews>
    <sheetView topLeftCell="A105" workbookViewId="0">
      <selection activeCell="D27" sqref="D27:D137"/>
    </sheetView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5" ht="21" x14ac:dyDescent="0.35">
      <c r="A1" s="38" t="s">
        <v>113</v>
      </c>
    </row>
    <row r="2" spans="1:5" x14ac:dyDescent="0.25">
      <c r="A2" t="s">
        <v>114</v>
      </c>
    </row>
    <row r="3" spans="1:5" x14ac:dyDescent="0.25">
      <c r="A3" t="s">
        <v>138</v>
      </c>
    </row>
    <row r="4" spans="1:5" x14ac:dyDescent="0.25">
      <c r="A4" t="s">
        <v>115</v>
      </c>
    </row>
    <row r="5" spans="1:5" x14ac:dyDescent="0.25">
      <c r="A5" t="s">
        <v>122</v>
      </c>
    </row>
    <row r="10" spans="1:5" ht="15.75" thickBot="1" x14ac:dyDescent="0.3"/>
    <row r="11" spans="1:5" ht="15.75" thickBot="1" x14ac:dyDescent="0.3">
      <c r="A11" s="60" t="s">
        <v>0</v>
      </c>
      <c r="B11" s="59" t="s">
        <v>3</v>
      </c>
      <c r="C11" s="59"/>
      <c r="D11" s="59" t="s">
        <v>117</v>
      </c>
      <c r="E11" s="59"/>
    </row>
    <row r="12" spans="1:5" ht="45.75" thickBot="1" x14ac:dyDescent="0.3">
      <c r="A12" s="61"/>
      <c r="B12" s="53" t="s">
        <v>116</v>
      </c>
      <c r="C12" s="53" t="s">
        <v>5</v>
      </c>
      <c r="D12" s="54" t="s">
        <v>121</v>
      </c>
      <c r="E12" s="54" t="s">
        <v>120</v>
      </c>
    </row>
    <row r="13" spans="1:5" ht="15.75" thickBot="1" x14ac:dyDescent="0.3">
      <c r="A13" s="46">
        <v>1895</v>
      </c>
      <c r="B13" s="48">
        <v>46.6</v>
      </c>
      <c r="C13" s="48">
        <v>33.6</v>
      </c>
      <c r="D13" s="50"/>
      <c r="E13" s="50"/>
    </row>
    <row r="14" spans="1:5" ht="15.75" thickBot="1" x14ac:dyDescent="0.3">
      <c r="A14" s="47">
        <v>1896</v>
      </c>
      <c r="B14" s="49">
        <v>46.6</v>
      </c>
      <c r="C14" s="49">
        <v>33.6</v>
      </c>
      <c r="D14" s="51"/>
      <c r="E14" s="51"/>
    </row>
    <row r="15" spans="1:5" ht="15.75" thickBot="1" x14ac:dyDescent="0.3">
      <c r="A15" s="47">
        <v>1897</v>
      </c>
      <c r="B15" s="49">
        <v>46.6</v>
      </c>
      <c r="C15" s="49">
        <v>33.6</v>
      </c>
      <c r="D15" s="51"/>
      <c r="E15" s="51"/>
    </row>
    <row r="16" spans="1:5" ht="15.75" thickBot="1" x14ac:dyDescent="0.3">
      <c r="A16" s="47">
        <v>1898</v>
      </c>
      <c r="B16" s="49">
        <v>46.6</v>
      </c>
      <c r="C16" s="49">
        <v>33.6</v>
      </c>
      <c r="D16" s="51"/>
      <c r="E16" s="51"/>
    </row>
    <row r="17" spans="1:5" ht="15.75" thickBot="1" x14ac:dyDescent="0.3">
      <c r="A17" s="47">
        <v>1899</v>
      </c>
      <c r="B17" s="49">
        <v>46.6</v>
      </c>
      <c r="C17" s="49">
        <v>33.6</v>
      </c>
      <c r="D17" s="51"/>
      <c r="E17" s="51"/>
    </row>
    <row r="18" spans="1:5" ht="15.75" thickBot="1" x14ac:dyDescent="0.3">
      <c r="A18" s="47">
        <v>1900</v>
      </c>
      <c r="B18" s="49">
        <v>46.6</v>
      </c>
      <c r="C18" s="49">
        <v>33.6</v>
      </c>
      <c r="D18" s="51"/>
      <c r="E18" s="51"/>
    </row>
    <row r="19" spans="1:5" ht="15.75" thickBot="1" x14ac:dyDescent="0.3">
      <c r="A19" s="47">
        <v>1901</v>
      </c>
      <c r="B19" s="49">
        <v>46.6</v>
      </c>
      <c r="C19" s="49">
        <v>33.6</v>
      </c>
      <c r="D19" s="51"/>
      <c r="E19" s="51"/>
    </row>
    <row r="20" spans="1:5" ht="15.75" thickBot="1" x14ac:dyDescent="0.3">
      <c r="A20" s="47">
        <v>1902</v>
      </c>
      <c r="B20" s="49">
        <v>46.6</v>
      </c>
      <c r="C20" s="49">
        <v>33.6</v>
      </c>
      <c r="D20" s="51"/>
      <c r="E20" s="51"/>
    </row>
    <row r="21" spans="1:5" ht="15.75" thickBot="1" x14ac:dyDescent="0.3">
      <c r="A21" s="47">
        <v>1903</v>
      </c>
      <c r="B21" s="49">
        <v>46.6</v>
      </c>
      <c r="C21" s="49">
        <v>33.6</v>
      </c>
      <c r="D21" s="51"/>
      <c r="E21" s="51"/>
    </row>
    <row r="22" spans="1:5" ht="15.75" thickBot="1" x14ac:dyDescent="0.3">
      <c r="A22" s="47">
        <v>1904</v>
      </c>
      <c r="B22" s="49">
        <v>46.6</v>
      </c>
      <c r="C22" s="49">
        <v>33.6</v>
      </c>
      <c r="D22" s="51"/>
      <c r="E22" s="51"/>
    </row>
    <row r="23" spans="1:5" ht="15.75" thickBot="1" x14ac:dyDescent="0.3">
      <c r="A23" s="47">
        <v>1905</v>
      </c>
      <c r="B23" s="49">
        <v>46.6</v>
      </c>
      <c r="C23" s="49">
        <v>33.6</v>
      </c>
      <c r="D23" s="51"/>
      <c r="E23" s="51"/>
    </row>
    <row r="24" spans="1:5" ht="15.75" thickBot="1" x14ac:dyDescent="0.3">
      <c r="A24" s="47">
        <v>1906</v>
      </c>
      <c r="B24" s="49">
        <v>46.6</v>
      </c>
      <c r="C24" s="49">
        <v>33.6</v>
      </c>
      <c r="D24" s="51"/>
      <c r="E24" s="51"/>
    </row>
    <row r="25" spans="1:5" ht="15.75" thickBot="1" x14ac:dyDescent="0.3">
      <c r="A25" s="47">
        <v>1907</v>
      </c>
      <c r="B25" s="49">
        <v>46.6</v>
      </c>
      <c r="C25" s="49">
        <v>33.700000000000003</v>
      </c>
      <c r="D25" s="51"/>
      <c r="E25" s="51"/>
    </row>
    <row r="26" spans="1:5" ht="15.75" thickBot="1" x14ac:dyDescent="0.3">
      <c r="A26" s="47">
        <v>1908</v>
      </c>
      <c r="B26" s="49">
        <v>46.6</v>
      </c>
      <c r="C26" s="49">
        <v>33.6</v>
      </c>
      <c r="D26" s="51"/>
      <c r="E26" s="51"/>
    </row>
    <row r="27" spans="1:5" ht="15.75" thickBot="1" x14ac:dyDescent="0.3">
      <c r="A27" s="47">
        <v>1909</v>
      </c>
      <c r="B27" s="49">
        <v>46.5</v>
      </c>
      <c r="C27" s="49">
        <v>33.4</v>
      </c>
      <c r="D27" s="52">
        <v>1</v>
      </c>
      <c r="E27" s="52">
        <v>1</v>
      </c>
    </row>
    <row r="28" spans="1:5" ht="15.75" thickBot="1" x14ac:dyDescent="0.3">
      <c r="A28" s="47">
        <v>1910</v>
      </c>
      <c r="B28" s="49">
        <v>46.5</v>
      </c>
      <c r="C28" s="49">
        <v>33.200000000000003</v>
      </c>
      <c r="D28" s="52">
        <v>0.999</v>
      </c>
      <c r="E28" s="52">
        <v>0.99199999999999999</v>
      </c>
    </row>
    <row r="29" spans="1:5" ht="15.75" thickBot="1" x14ac:dyDescent="0.3">
      <c r="A29" s="47">
        <v>1911</v>
      </c>
      <c r="B29" s="49">
        <v>46.4</v>
      </c>
      <c r="C29" s="49">
        <v>32.799999999999997</v>
      </c>
      <c r="D29" s="52">
        <v>0.997</v>
      </c>
      <c r="E29" s="52">
        <v>0.98099999999999998</v>
      </c>
    </row>
    <row r="30" spans="1:5" ht="15.75" thickBot="1" x14ac:dyDescent="0.3">
      <c r="A30" s="47">
        <v>1912</v>
      </c>
      <c r="B30" s="49">
        <v>46.3</v>
      </c>
      <c r="C30" s="49">
        <v>32.299999999999997</v>
      </c>
      <c r="D30" s="52">
        <v>0.995</v>
      </c>
      <c r="E30" s="52">
        <v>0.96699999999999997</v>
      </c>
    </row>
    <row r="31" spans="1:5" ht="15.75" thickBot="1" x14ac:dyDescent="0.3">
      <c r="A31" s="47">
        <v>1913</v>
      </c>
      <c r="B31" s="49">
        <v>46.2</v>
      </c>
      <c r="C31" s="49">
        <v>31.9</v>
      </c>
      <c r="D31" s="52">
        <v>0.99199999999999999</v>
      </c>
      <c r="E31" s="52">
        <v>0.95299999999999996</v>
      </c>
    </row>
    <row r="32" spans="1:5" ht="15.75" thickBot="1" x14ac:dyDescent="0.3">
      <c r="A32" s="47">
        <v>1914</v>
      </c>
      <c r="B32" s="49">
        <v>46.1</v>
      </c>
      <c r="C32" s="49">
        <v>31.4</v>
      </c>
      <c r="D32" s="52">
        <v>0.99</v>
      </c>
      <c r="E32" s="52">
        <v>0.94</v>
      </c>
    </row>
    <row r="33" spans="1:5" ht="15.75" thickBot="1" x14ac:dyDescent="0.3">
      <c r="A33" s="47">
        <v>1915</v>
      </c>
      <c r="B33" s="49">
        <v>46</v>
      </c>
      <c r="C33" s="49">
        <v>31</v>
      </c>
      <c r="D33" s="52">
        <v>0.98699999999999999</v>
      </c>
      <c r="E33" s="52">
        <v>0.92700000000000005</v>
      </c>
    </row>
    <row r="34" spans="1:5" ht="15.75" thickBot="1" x14ac:dyDescent="0.3">
      <c r="A34" s="47">
        <v>1916</v>
      </c>
      <c r="B34" s="49">
        <v>45.8</v>
      </c>
      <c r="C34" s="49">
        <v>30.6</v>
      </c>
      <c r="D34" s="52">
        <v>0.98499999999999999</v>
      </c>
      <c r="E34" s="52">
        <v>0.91400000000000003</v>
      </c>
    </row>
    <row r="35" spans="1:5" ht="15.75" thickBot="1" x14ac:dyDescent="0.3">
      <c r="A35" s="47">
        <v>1917</v>
      </c>
      <c r="B35" s="49">
        <v>45.7</v>
      </c>
      <c r="C35" s="49">
        <v>30.1</v>
      </c>
      <c r="D35" s="52">
        <v>0.98199999999999998</v>
      </c>
      <c r="E35" s="52">
        <v>0.90100000000000002</v>
      </c>
    </row>
    <row r="36" spans="1:5" ht="15.75" thickBot="1" x14ac:dyDescent="0.3">
      <c r="A36" s="47">
        <v>1918</v>
      </c>
      <c r="B36" s="49">
        <v>45.6</v>
      </c>
      <c r="C36" s="49">
        <v>29.7</v>
      </c>
      <c r="D36" s="52">
        <v>0.98</v>
      </c>
      <c r="E36" s="52">
        <v>0.88700000000000001</v>
      </c>
    </row>
    <row r="37" spans="1:5" ht="15.75" thickBot="1" x14ac:dyDescent="0.3">
      <c r="A37" s="47">
        <v>1919</v>
      </c>
      <c r="B37" s="49">
        <v>45.6</v>
      </c>
      <c r="C37" s="49">
        <v>29.2</v>
      </c>
      <c r="D37" s="52">
        <v>0.98</v>
      </c>
      <c r="E37" s="52">
        <v>0.874</v>
      </c>
    </row>
    <row r="38" spans="1:5" ht="15.75" thickBot="1" x14ac:dyDescent="0.3">
      <c r="A38" s="47">
        <v>1920</v>
      </c>
      <c r="B38" s="49">
        <v>45.5</v>
      </c>
      <c r="C38" s="49">
        <v>28.8</v>
      </c>
      <c r="D38" s="52">
        <v>0.97799999999999998</v>
      </c>
      <c r="E38" s="52">
        <v>0.86299999999999999</v>
      </c>
    </row>
    <row r="39" spans="1:5" ht="15.75" thickBot="1" x14ac:dyDescent="0.3">
      <c r="A39" s="47">
        <v>1921</v>
      </c>
      <c r="B39" s="49">
        <v>45.4</v>
      </c>
      <c r="C39" s="49">
        <v>28.7</v>
      </c>
      <c r="D39" s="52">
        <v>0.97499999999999998</v>
      </c>
      <c r="E39" s="52">
        <v>0.85899999999999999</v>
      </c>
    </row>
    <row r="40" spans="1:5" ht="15.75" thickBot="1" x14ac:dyDescent="0.3">
      <c r="A40" s="47">
        <v>1922</v>
      </c>
      <c r="B40" s="49">
        <v>45.2</v>
      </c>
      <c r="C40" s="49">
        <v>28.5</v>
      </c>
      <c r="D40" s="52">
        <v>0.97199999999999998</v>
      </c>
      <c r="E40" s="52">
        <v>0.85099999999999998</v>
      </c>
    </row>
    <row r="41" spans="1:5" ht="15.75" thickBot="1" x14ac:dyDescent="0.3">
      <c r="A41" s="47">
        <v>1923</v>
      </c>
      <c r="B41" s="49">
        <v>45</v>
      </c>
      <c r="C41" s="49">
        <v>28.1</v>
      </c>
      <c r="D41" s="52">
        <v>0.96799999999999997</v>
      </c>
      <c r="E41" s="52">
        <v>0.84099999999999997</v>
      </c>
    </row>
    <row r="42" spans="1:5" ht="15.75" thickBot="1" x14ac:dyDescent="0.3">
      <c r="A42" s="47">
        <v>1924</v>
      </c>
      <c r="B42" s="49">
        <v>44.5</v>
      </c>
      <c r="C42" s="49">
        <v>27.7</v>
      </c>
      <c r="D42" s="52">
        <v>0.95599999999999996</v>
      </c>
      <c r="E42" s="52">
        <v>0.82899999999999996</v>
      </c>
    </row>
    <row r="43" spans="1:5" ht="15.75" thickBot="1" x14ac:dyDescent="0.3">
      <c r="A43" s="47">
        <v>1925</v>
      </c>
      <c r="B43" s="49">
        <v>44.7</v>
      </c>
      <c r="C43" s="49">
        <v>27.3</v>
      </c>
      <c r="D43" s="52">
        <v>0.96099999999999997</v>
      </c>
      <c r="E43" s="52">
        <v>0.81799999999999995</v>
      </c>
    </row>
    <row r="44" spans="1:5" ht="15.75" thickBot="1" x14ac:dyDescent="0.3">
      <c r="A44" s="47">
        <v>1926</v>
      </c>
      <c r="B44" s="49">
        <v>44.9</v>
      </c>
      <c r="C44" s="49">
        <v>26.9</v>
      </c>
      <c r="D44" s="52">
        <v>0.96599999999999997</v>
      </c>
      <c r="E44" s="52">
        <v>0.80600000000000005</v>
      </c>
    </row>
    <row r="45" spans="1:5" ht="15.75" thickBot="1" x14ac:dyDescent="0.3">
      <c r="A45" s="47">
        <v>1927</v>
      </c>
      <c r="B45" s="49">
        <v>45.1</v>
      </c>
      <c r="C45" s="49">
        <v>26.7</v>
      </c>
      <c r="D45" s="52">
        <v>0.96899999999999997</v>
      </c>
      <c r="E45" s="52">
        <v>0.79900000000000004</v>
      </c>
    </row>
    <row r="46" spans="1:5" ht="15.75" thickBot="1" x14ac:dyDescent="0.3">
      <c r="A46" s="47">
        <v>1928</v>
      </c>
      <c r="B46" s="49">
        <v>44.9</v>
      </c>
      <c r="C46" s="49">
        <v>26.5</v>
      </c>
      <c r="D46" s="52">
        <v>0.96499999999999997</v>
      </c>
      <c r="E46" s="52">
        <v>0.79400000000000004</v>
      </c>
    </row>
    <row r="47" spans="1:5" ht="15.75" thickBot="1" x14ac:dyDescent="0.3">
      <c r="A47" s="47">
        <v>1929</v>
      </c>
      <c r="B47" s="49">
        <v>44.9</v>
      </c>
      <c r="C47" s="49">
        <v>26.6</v>
      </c>
      <c r="D47" s="52">
        <v>0.96499999999999997</v>
      </c>
      <c r="E47" s="52">
        <v>0.79600000000000004</v>
      </c>
    </row>
    <row r="48" spans="1:5" ht="15.75" thickBot="1" x14ac:dyDescent="0.3">
      <c r="A48" s="47">
        <v>1930</v>
      </c>
      <c r="B48" s="49">
        <v>44.7</v>
      </c>
      <c r="C48" s="49">
        <v>26.6</v>
      </c>
      <c r="D48" s="52">
        <v>0.96199999999999997</v>
      </c>
      <c r="E48" s="52">
        <v>0.79500000000000004</v>
      </c>
    </row>
    <row r="49" spans="1:5" ht="15.75" thickBot="1" x14ac:dyDescent="0.3">
      <c r="A49" s="47">
        <v>1931</v>
      </c>
      <c r="B49" s="49">
        <v>44.5</v>
      </c>
      <c r="C49" s="49">
        <v>26.4</v>
      </c>
      <c r="D49" s="52">
        <v>0.95599999999999996</v>
      </c>
      <c r="E49" s="52">
        <v>0.78800000000000003</v>
      </c>
    </row>
    <row r="50" spans="1:5" ht="15.75" thickBot="1" x14ac:dyDescent="0.3">
      <c r="A50" s="47">
        <v>1932</v>
      </c>
      <c r="B50" s="49">
        <v>44.2</v>
      </c>
      <c r="C50" s="49">
        <v>25.7</v>
      </c>
      <c r="D50" s="52">
        <v>0.95</v>
      </c>
      <c r="E50" s="52">
        <v>0.76800000000000002</v>
      </c>
    </row>
    <row r="51" spans="1:5" ht="15.75" thickBot="1" x14ac:dyDescent="0.3">
      <c r="A51" s="47">
        <v>1933</v>
      </c>
      <c r="B51" s="49">
        <v>43.8</v>
      </c>
      <c r="C51" s="49">
        <v>24.8</v>
      </c>
      <c r="D51" s="52">
        <v>0.94099999999999995</v>
      </c>
      <c r="E51" s="52">
        <v>0.74199999999999999</v>
      </c>
    </row>
    <row r="52" spans="1:5" ht="15.75" thickBot="1" x14ac:dyDescent="0.3">
      <c r="A52" s="47">
        <v>1934</v>
      </c>
      <c r="B52" s="49">
        <v>43.5</v>
      </c>
      <c r="C52" s="49">
        <v>24.3</v>
      </c>
      <c r="D52" s="52">
        <v>0.93400000000000005</v>
      </c>
      <c r="E52" s="52">
        <v>0.72699999999999998</v>
      </c>
    </row>
    <row r="53" spans="1:5" ht="15.75" thickBot="1" x14ac:dyDescent="0.3">
      <c r="A53" s="47">
        <v>1935</v>
      </c>
      <c r="B53" s="49">
        <v>43.2</v>
      </c>
      <c r="C53" s="49">
        <v>23.8</v>
      </c>
      <c r="D53" s="52">
        <v>0.92900000000000005</v>
      </c>
      <c r="E53" s="52">
        <v>0.71199999999999997</v>
      </c>
    </row>
    <row r="54" spans="1:5" ht="15.75" thickBot="1" x14ac:dyDescent="0.3">
      <c r="A54" s="47">
        <v>1936</v>
      </c>
      <c r="B54" s="49">
        <v>42.8</v>
      </c>
      <c r="C54" s="49">
        <v>23.3</v>
      </c>
      <c r="D54" s="52">
        <v>0.92100000000000004</v>
      </c>
      <c r="E54" s="52">
        <v>0.69799999999999995</v>
      </c>
    </row>
    <row r="55" spans="1:5" ht="15.75" thickBot="1" x14ac:dyDescent="0.3">
      <c r="A55" s="47">
        <v>1937</v>
      </c>
      <c r="B55" s="49">
        <v>43.4</v>
      </c>
      <c r="C55" s="49">
        <v>23.3</v>
      </c>
      <c r="D55" s="52">
        <v>0.93300000000000005</v>
      </c>
      <c r="E55" s="52">
        <v>0.69599999999999995</v>
      </c>
    </row>
    <row r="56" spans="1:5" ht="15.75" thickBot="1" x14ac:dyDescent="0.3">
      <c r="A56" s="47">
        <v>1938</v>
      </c>
      <c r="B56" s="49">
        <v>43.8</v>
      </c>
      <c r="C56" s="49">
        <v>23.3</v>
      </c>
      <c r="D56" s="52">
        <v>0.94199999999999995</v>
      </c>
      <c r="E56" s="52">
        <v>0.69699999999999995</v>
      </c>
    </row>
    <row r="57" spans="1:5" ht="15.75" thickBot="1" x14ac:dyDescent="0.3">
      <c r="A57" s="47">
        <v>1939</v>
      </c>
      <c r="B57" s="49">
        <v>44.1</v>
      </c>
      <c r="C57" s="49">
        <v>23.2</v>
      </c>
      <c r="D57" s="52">
        <v>0.94799999999999995</v>
      </c>
      <c r="E57" s="52">
        <v>0.69399999999999995</v>
      </c>
    </row>
    <row r="58" spans="1:5" ht="15.75" thickBot="1" x14ac:dyDescent="0.3">
      <c r="A58" s="47">
        <v>1940</v>
      </c>
      <c r="B58" s="49">
        <v>44.3</v>
      </c>
      <c r="C58" s="49">
        <v>23</v>
      </c>
      <c r="D58" s="52">
        <v>0.95299999999999996</v>
      </c>
      <c r="E58" s="52">
        <v>0.68799999999999994</v>
      </c>
    </row>
    <row r="59" spans="1:5" ht="15.75" thickBot="1" x14ac:dyDescent="0.3">
      <c r="A59" s="47">
        <v>1941</v>
      </c>
      <c r="B59" s="49">
        <v>44.5</v>
      </c>
      <c r="C59" s="49">
        <v>22.7</v>
      </c>
      <c r="D59" s="52">
        <v>0.95699999999999996</v>
      </c>
      <c r="E59" s="52">
        <v>0.67900000000000005</v>
      </c>
    </row>
    <row r="60" spans="1:5" ht="15.75" thickBot="1" x14ac:dyDescent="0.3">
      <c r="A60" s="47">
        <v>1942</v>
      </c>
      <c r="B60" s="49">
        <v>44.6</v>
      </c>
      <c r="C60" s="49">
        <v>22.4</v>
      </c>
      <c r="D60" s="52">
        <v>0.95899999999999996</v>
      </c>
      <c r="E60" s="52">
        <v>0.66900000000000004</v>
      </c>
    </row>
    <row r="61" spans="1:5" ht="15.75" thickBot="1" x14ac:dyDescent="0.3">
      <c r="A61" s="47">
        <v>1943</v>
      </c>
      <c r="B61" s="49">
        <v>44.7</v>
      </c>
      <c r="C61" s="49">
        <v>21.9</v>
      </c>
      <c r="D61" s="52">
        <v>0.96</v>
      </c>
      <c r="E61" s="52">
        <v>0.65400000000000003</v>
      </c>
    </row>
    <row r="62" spans="1:5" ht="15.75" thickBot="1" x14ac:dyDescent="0.3">
      <c r="A62" s="47">
        <v>1944</v>
      </c>
      <c r="B62" s="49">
        <v>44.8</v>
      </c>
      <c r="C62" s="49">
        <v>20.9</v>
      </c>
      <c r="D62" s="52">
        <v>0.96299999999999997</v>
      </c>
      <c r="E62" s="52">
        <v>0.625</v>
      </c>
    </row>
    <row r="63" spans="1:5" ht="15.75" thickBot="1" x14ac:dyDescent="0.3">
      <c r="A63" s="47">
        <v>1945</v>
      </c>
      <c r="B63" s="49">
        <v>44.9</v>
      </c>
      <c r="C63" s="49">
        <v>19.7</v>
      </c>
      <c r="D63" s="52">
        <v>0.96499999999999997</v>
      </c>
      <c r="E63" s="52">
        <v>0.58899999999999997</v>
      </c>
    </row>
    <row r="64" spans="1:5" ht="15.75" thickBot="1" x14ac:dyDescent="0.3">
      <c r="A64" s="47">
        <v>1946</v>
      </c>
      <c r="B64" s="49">
        <v>45.1</v>
      </c>
      <c r="C64" s="49">
        <v>18.600000000000001</v>
      </c>
      <c r="D64" s="52">
        <v>0.97</v>
      </c>
      <c r="E64" s="52">
        <v>0.55700000000000005</v>
      </c>
    </row>
    <row r="65" spans="1:5" ht="15.75" thickBot="1" x14ac:dyDescent="0.3">
      <c r="A65" s="47">
        <v>1947</v>
      </c>
      <c r="B65" s="49">
        <v>45.1</v>
      </c>
      <c r="C65" s="49">
        <v>17.7</v>
      </c>
      <c r="D65" s="52">
        <v>0.96899999999999997</v>
      </c>
      <c r="E65" s="52">
        <v>0.52800000000000002</v>
      </c>
    </row>
    <row r="66" spans="1:5" ht="15.75" thickBot="1" x14ac:dyDescent="0.3">
      <c r="A66" s="47">
        <v>1948</v>
      </c>
      <c r="B66" s="49">
        <v>44.8</v>
      </c>
      <c r="C66" s="49">
        <v>17.399999999999999</v>
      </c>
      <c r="D66" s="52">
        <v>0.96299999999999997</v>
      </c>
      <c r="E66" s="52">
        <v>0.52</v>
      </c>
    </row>
    <row r="67" spans="1:5" ht="15.75" thickBot="1" x14ac:dyDescent="0.3">
      <c r="A67" s="47">
        <v>1949</v>
      </c>
      <c r="B67" s="49">
        <v>44.8</v>
      </c>
      <c r="C67" s="49">
        <v>16.899999999999999</v>
      </c>
      <c r="D67" s="52">
        <v>0.96299999999999997</v>
      </c>
      <c r="E67" s="52">
        <v>0.50600000000000001</v>
      </c>
    </row>
    <row r="68" spans="1:5" ht="15.75" thickBot="1" x14ac:dyDescent="0.3">
      <c r="A68" s="47">
        <v>1950</v>
      </c>
      <c r="B68" s="49">
        <v>45</v>
      </c>
      <c r="C68" s="49">
        <v>16.8</v>
      </c>
      <c r="D68" s="52">
        <v>0.96599999999999997</v>
      </c>
      <c r="E68" s="52">
        <v>0.502</v>
      </c>
    </row>
    <row r="69" spans="1:5" ht="15.75" thickBot="1" x14ac:dyDescent="0.3">
      <c r="A69" s="47">
        <v>1951</v>
      </c>
      <c r="B69" s="49">
        <v>45</v>
      </c>
      <c r="C69" s="49">
        <v>16.5</v>
      </c>
      <c r="D69" s="52">
        <v>0.96699999999999997</v>
      </c>
      <c r="E69" s="52">
        <v>0.49299999999999999</v>
      </c>
    </row>
    <row r="70" spans="1:5" ht="15.75" thickBot="1" x14ac:dyDescent="0.3">
      <c r="A70" s="47">
        <v>1952</v>
      </c>
      <c r="B70" s="49">
        <v>45.4</v>
      </c>
      <c r="C70" s="49">
        <v>15.8</v>
      </c>
      <c r="D70" s="52">
        <v>0.97599999999999998</v>
      </c>
      <c r="E70" s="52">
        <v>0.47299999999999998</v>
      </c>
    </row>
    <row r="71" spans="1:5" ht="15.75" thickBot="1" x14ac:dyDescent="0.3">
      <c r="A71" s="47">
        <v>1953</v>
      </c>
      <c r="B71" s="49">
        <v>45.3</v>
      </c>
      <c r="C71" s="49">
        <v>14.8</v>
      </c>
      <c r="D71" s="52">
        <v>0.97299999999999998</v>
      </c>
      <c r="E71" s="52">
        <v>0.441</v>
      </c>
    </row>
    <row r="72" spans="1:5" ht="15.75" thickBot="1" x14ac:dyDescent="0.3">
      <c r="A72" s="47">
        <v>1954</v>
      </c>
      <c r="B72" s="49">
        <v>45.7</v>
      </c>
      <c r="C72" s="49">
        <v>14.1</v>
      </c>
      <c r="D72" s="52">
        <v>0.98199999999999998</v>
      </c>
      <c r="E72" s="52">
        <v>0.42099999999999999</v>
      </c>
    </row>
    <row r="73" spans="1:5" ht="15.75" thickBot="1" x14ac:dyDescent="0.3">
      <c r="A73" s="47">
        <v>1955</v>
      </c>
      <c r="B73" s="49">
        <v>46.1</v>
      </c>
      <c r="C73" s="49">
        <v>13.3</v>
      </c>
      <c r="D73" s="52">
        <v>0.99</v>
      </c>
      <c r="E73" s="52">
        <v>0.39800000000000002</v>
      </c>
    </row>
    <row r="74" spans="1:5" ht="15.75" thickBot="1" x14ac:dyDescent="0.3">
      <c r="A74" s="47">
        <v>1956</v>
      </c>
      <c r="B74" s="49">
        <v>46.3</v>
      </c>
      <c r="C74" s="49">
        <v>13</v>
      </c>
      <c r="D74" s="52">
        <v>0.995</v>
      </c>
      <c r="E74" s="52">
        <v>0.38800000000000001</v>
      </c>
    </row>
    <row r="75" spans="1:5" ht="15.75" thickBot="1" x14ac:dyDescent="0.3">
      <c r="A75" s="47">
        <v>1957</v>
      </c>
      <c r="B75" s="49">
        <v>46.6</v>
      </c>
      <c r="C75" s="49">
        <v>12.5</v>
      </c>
      <c r="D75" s="52">
        <v>1.0009999999999999</v>
      </c>
      <c r="E75" s="52">
        <v>0.374</v>
      </c>
    </row>
    <row r="76" spans="1:5" ht="15.75" thickBot="1" x14ac:dyDescent="0.3">
      <c r="A76" s="47">
        <v>1958</v>
      </c>
      <c r="B76" s="49">
        <v>46.5</v>
      </c>
      <c r="C76" s="49">
        <v>12.4</v>
      </c>
      <c r="D76" s="52">
        <v>1</v>
      </c>
      <c r="E76" s="52">
        <v>0.36899999999999999</v>
      </c>
    </row>
    <row r="77" spans="1:5" ht="15.75" thickBot="1" x14ac:dyDescent="0.3">
      <c r="A77" s="47">
        <v>1959</v>
      </c>
      <c r="B77" s="49">
        <v>46.3</v>
      </c>
      <c r="C77" s="49">
        <v>11.9</v>
      </c>
      <c r="D77" s="52">
        <v>0.996</v>
      </c>
      <c r="E77" s="52">
        <v>0.35499999999999998</v>
      </c>
    </row>
    <row r="78" spans="1:5" ht="15.75" thickBot="1" x14ac:dyDescent="0.3">
      <c r="A78" s="47">
        <v>1960</v>
      </c>
      <c r="B78" s="49">
        <v>46.1</v>
      </c>
      <c r="C78" s="49">
        <v>11.6</v>
      </c>
      <c r="D78" s="52">
        <v>0.99099999999999999</v>
      </c>
      <c r="E78" s="52">
        <v>0.34599999999999997</v>
      </c>
    </row>
    <row r="79" spans="1:5" ht="15.75" thickBot="1" x14ac:dyDescent="0.3">
      <c r="A79" s="47">
        <v>1961</v>
      </c>
      <c r="B79" s="49">
        <v>46</v>
      </c>
      <c r="C79" s="49">
        <v>11</v>
      </c>
      <c r="D79" s="52">
        <v>0.98899999999999999</v>
      </c>
      <c r="E79" s="52">
        <v>0.33</v>
      </c>
    </row>
    <row r="80" spans="1:5" ht="15.75" thickBot="1" x14ac:dyDescent="0.3">
      <c r="A80" s="47">
        <v>1962</v>
      </c>
      <c r="B80" s="49">
        <v>45.9</v>
      </c>
      <c r="C80" s="49">
        <v>10.7</v>
      </c>
      <c r="D80" s="52">
        <v>0.98599999999999999</v>
      </c>
      <c r="E80" s="52">
        <v>0.32</v>
      </c>
    </row>
    <row r="81" spans="1:5" ht="15.75" thickBot="1" x14ac:dyDescent="0.3">
      <c r="A81" s="47">
        <v>1963</v>
      </c>
      <c r="B81" s="49">
        <v>45.8</v>
      </c>
      <c r="C81" s="49">
        <v>10.5</v>
      </c>
      <c r="D81" s="52">
        <v>0.98399999999999999</v>
      </c>
      <c r="E81" s="52">
        <v>0.313</v>
      </c>
    </row>
    <row r="82" spans="1:5" ht="15.75" thickBot="1" x14ac:dyDescent="0.3">
      <c r="A82" s="47">
        <v>1964</v>
      </c>
      <c r="B82" s="49">
        <v>45.8</v>
      </c>
      <c r="C82" s="49">
        <v>10.199999999999999</v>
      </c>
      <c r="D82" s="52">
        <v>0.98399999999999999</v>
      </c>
      <c r="E82" s="52">
        <v>0.30399999999999999</v>
      </c>
    </row>
    <row r="83" spans="1:5" ht="15.75" thickBot="1" x14ac:dyDescent="0.3">
      <c r="A83" s="47">
        <v>1965</v>
      </c>
      <c r="B83" s="49">
        <v>45.5</v>
      </c>
      <c r="C83" s="49">
        <v>10</v>
      </c>
      <c r="D83" s="52">
        <v>0.97699999999999998</v>
      </c>
      <c r="E83" s="52">
        <v>0.29899999999999999</v>
      </c>
    </row>
    <row r="84" spans="1:5" ht="15.75" thickBot="1" x14ac:dyDescent="0.3">
      <c r="A84" s="47">
        <v>1966</v>
      </c>
      <c r="B84" s="49">
        <v>45.3</v>
      </c>
      <c r="C84" s="49">
        <v>9.8000000000000007</v>
      </c>
      <c r="D84" s="52">
        <v>0.97299999999999998</v>
      </c>
      <c r="E84" s="52">
        <v>0.29299999999999998</v>
      </c>
    </row>
    <row r="85" spans="1:5" ht="15.75" thickBot="1" x14ac:dyDescent="0.3">
      <c r="A85" s="47">
        <v>1967</v>
      </c>
      <c r="B85" s="49">
        <v>44.7</v>
      </c>
      <c r="C85" s="49">
        <v>9.8000000000000007</v>
      </c>
      <c r="D85" s="52">
        <v>0.96099999999999997</v>
      </c>
      <c r="E85" s="52">
        <v>0.29299999999999998</v>
      </c>
    </row>
    <row r="86" spans="1:5" ht="15.75" thickBot="1" x14ac:dyDescent="0.3">
      <c r="A86" s="47">
        <v>1968</v>
      </c>
      <c r="B86" s="49">
        <v>44.3</v>
      </c>
      <c r="C86" s="49">
        <v>9.8000000000000007</v>
      </c>
      <c r="D86" s="52">
        <v>0.95199999999999996</v>
      </c>
      <c r="E86" s="52">
        <v>0.29199999999999998</v>
      </c>
    </row>
    <row r="87" spans="1:5" ht="15.75" thickBot="1" x14ac:dyDescent="0.3">
      <c r="A87" s="47">
        <v>1969</v>
      </c>
      <c r="B87" s="49">
        <v>44.4</v>
      </c>
      <c r="C87" s="49">
        <v>9.6999999999999993</v>
      </c>
      <c r="D87" s="52">
        <v>0.95399999999999996</v>
      </c>
      <c r="E87" s="52">
        <v>0.28899999999999998</v>
      </c>
    </row>
    <row r="88" spans="1:5" ht="15.75" thickBot="1" x14ac:dyDescent="0.3">
      <c r="A88" s="47">
        <v>1970</v>
      </c>
      <c r="B88" s="49">
        <v>44.3</v>
      </c>
      <c r="C88" s="49">
        <v>9.5</v>
      </c>
      <c r="D88" s="52">
        <v>0.95099999999999996</v>
      </c>
      <c r="E88" s="52">
        <v>0.28399999999999997</v>
      </c>
    </row>
    <row r="89" spans="1:5" ht="15.75" thickBot="1" x14ac:dyDescent="0.3">
      <c r="A89" s="47">
        <v>1971</v>
      </c>
      <c r="B89" s="49">
        <v>44.1</v>
      </c>
      <c r="C89" s="49">
        <v>9.1999999999999993</v>
      </c>
      <c r="D89" s="52">
        <v>0.94699999999999995</v>
      </c>
      <c r="E89" s="52">
        <v>0.27400000000000002</v>
      </c>
    </row>
    <row r="90" spans="1:5" ht="15.75" thickBot="1" x14ac:dyDescent="0.3">
      <c r="A90" s="47">
        <v>1972</v>
      </c>
      <c r="B90" s="49">
        <v>43.8</v>
      </c>
      <c r="C90" s="49">
        <v>8.6</v>
      </c>
      <c r="D90" s="52">
        <v>0.94</v>
      </c>
      <c r="E90" s="52">
        <v>0.25600000000000001</v>
      </c>
    </row>
    <row r="91" spans="1:5" ht="15.75" thickBot="1" x14ac:dyDescent="0.3">
      <c r="A91" s="47">
        <v>1973</v>
      </c>
      <c r="B91" s="49">
        <v>43.1</v>
      </c>
      <c r="C91" s="49">
        <v>8.1</v>
      </c>
      <c r="D91" s="52">
        <v>0.92700000000000005</v>
      </c>
      <c r="E91" s="52">
        <v>0.24299999999999999</v>
      </c>
    </row>
    <row r="92" spans="1:5" ht="15.75" thickBot="1" x14ac:dyDescent="0.3">
      <c r="A92" s="47">
        <v>1974</v>
      </c>
      <c r="B92" s="49">
        <v>42.3</v>
      </c>
      <c r="C92" s="49">
        <v>7.8</v>
      </c>
      <c r="D92" s="52">
        <v>0.90900000000000003</v>
      </c>
      <c r="E92" s="52">
        <v>0.23200000000000001</v>
      </c>
    </row>
    <row r="93" spans="1:5" ht="15.75" thickBot="1" x14ac:dyDescent="0.3">
      <c r="A93" s="47">
        <v>1975</v>
      </c>
      <c r="B93" s="49">
        <v>41.3</v>
      </c>
      <c r="C93" s="49">
        <v>7.5</v>
      </c>
      <c r="D93" s="52">
        <v>0.88700000000000001</v>
      </c>
      <c r="E93" s="52">
        <v>0.22500000000000001</v>
      </c>
    </row>
    <row r="94" spans="1:5" ht="15.75" thickBot="1" x14ac:dyDescent="0.3">
      <c r="A94" s="47">
        <v>1976</v>
      </c>
      <c r="B94" s="49">
        <v>40.4</v>
      </c>
      <c r="C94" s="49">
        <v>7.2</v>
      </c>
      <c r="D94" s="52">
        <v>0.86799999999999999</v>
      </c>
      <c r="E94" s="52">
        <v>0.215</v>
      </c>
    </row>
    <row r="95" spans="1:5" ht="15.75" thickBot="1" x14ac:dyDescent="0.3">
      <c r="A95" s="47">
        <v>1977</v>
      </c>
      <c r="B95" s="49">
        <v>39</v>
      </c>
      <c r="C95" s="49">
        <v>7</v>
      </c>
      <c r="D95" s="52">
        <v>0.83799999999999997</v>
      </c>
      <c r="E95" s="52">
        <v>0.20799999999999999</v>
      </c>
    </row>
    <row r="96" spans="1:5" ht="15.75" thickBot="1" x14ac:dyDescent="0.3">
      <c r="A96" s="47">
        <v>1978</v>
      </c>
      <c r="B96" s="49">
        <v>37.700000000000003</v>
      </c>
      <c r="C96" s="49">
        <v>6.8</v>
      </c>
      <c r="D96" s="52">
        <v>0.81</v>
      </c>
      <c r="E96" s="52">
        <v>0.20300000000000001</v>
      </c>
    </row>
    <row r="97" spans="1:5" ht="15.75" thickBot="1" x14ac:dyDescent="0.3">
      <c r="A97" s="47">
        <v>1979</v>
      </c>
      <c r="B97" s="49">
        <v>36.299999999999997</v>
      </c>
      <c r="C97" s="49">
        <v>6.5</v>
      </c>
      <c r="D97" s="52">
        <v>0.78100000000000003</v>
      </c>
      <c r="E97" s="52">
        <v>0.19500000000000001</v>
      </c>
    </row>
    <row r="98" spans="1:5" ht="15.75" thickBot="1" x14ac:dyDescent="0.3">
      <c r="A98" s="47">
        <v>1980</v>
      </c>
      <c r="B98" s="49">
        <v>35.799999999999997</v>
      </c>
      <c r="C98" s="49">
        <v>6.2</v>
      </c>
      <c r="D98" s="52">
        <v>0.76900000000000002</v>
      </c>
      <c r="E98" s="52">
        <v>0.185</v>
      </c>
    </row>
    <row r="99" spans="1:5" ht="15.75" thickBot="1" x14ac:dyDescent="0.3">
      <c r="A99" s="47">
        <v>1981</v>
      </c>
      <c r="B99" s="49">
        <v>35.4</v>
      </c>
      <c r="C99" s="49">
        <v>6</v>
      </c>
      <c r="D99" s="52">
        <v>0.76100000000000001</v>
      </c>
      <c r="E99" s="52">
        <v>0.18</v>
      </c>
    </row>
    <row r="100" spans="1:5" ht="15.75" thickBot="1" x14ac:dyDescent="0.3">
      <c r="A100" s="47">
        <v>1982</v>
      </c>
      <c r="B100" s="49">
        <v>35.299999999999997</v>
      </c>
      <c r="C100" s="49">
        <v>5.9</v>
      </c>
      <c r="D100" s="52">
        <v>0.75800000000000001</v>
      </c>
      <c r="E100" s="52">
        <v>0.17599999999999999</v>
      </c>
    </row>
    <row r="101" spans="1:5" ht="15.75" thickBot="1" x14ac:dyDescent="0.3">
      <c r="A101" s="47">
        <v>1983</v>
      </c>
      <c r="B101" s="49">
        <v>35.200000000000003</v>
      </c>
      <c r="C101" s="49">
        <v>5.7</v>
      </c>
      <c r="D101" s="52">
        <v>0.75600000000000001</v>
      </c>
      <c r="E101" s="52">
        <v>0.17100000000000001</v>
      </c>
    </row>
    <row r="102" spans="1:5" ht="15.75" thickBot="1" x14ac:dyDescent="0.3">
      <c r="A102" s="47">
        <v>1984</v>
      </c>
      <c r="B102" s="49">
        <v>35.4</v>
      </c>
      <c r="C102" s="49">
        <v>5.6</v>
      </c>
      <c r="D102" s="52">
        <v>0.76100000000000001</v>
      </c>
      <c r="E102" s="52">
        <v>0.16600000000000001</v>
      </c>
    </row>
    <row r="103" spans="1:5" ht="15.75" thickBot="1" x14ac:dyDescent="0.3">
      <c r="A103" s="47">
        <v>1985</v>
      </c>
      <c r="B103" s="49">
        <v>35.1</v>
      </c>
      <c r="C103" s="49">
        <v>5.4</v>
      </c>
      <c r="D103" s="52">
        <v>0.755</v>
      </c>
      <c r="E103" s="52">
        <v>0.16300000000000001</v>
      </c>
    </row>
    <row r="104" spans="1:5" ht="15.75" thickBot="1" x14ac:dyDescent="0.3">
      <c r="A104" s="47">
        <v>1986</v>
      </c>
      <c r="B104" s="49">
        <v>34.6</v>
      </c>
      <c r="C104" s="49">
        <v>5.3</v>
      </c>
      <c r="D104" s="52">
        <v>0.74299999999999999</v>
      </c>
      <c r="E104" s="52">
        <v>0.16</v>
      </c>
    </row>
    <row r="105" spans="1:5" ht="15.75" thickBot="1" x14ac:dyDescent="0.3">
      <c r="A105" s="47">
        <v>1987</v>
      </c>
      <c r="B105" s="49">
        <v>33.799999999999997</v>
      </c>
      <c r="C105" s="49">
        <v>5.3</v>
      </c>
      <c r="D105" s="52">
        <v>0.72599999999999998</v>
      </c>
      <c r="E105" s="52">
        <v>0.159</v>
      </c>
    </row>
    <row r="106" spans="1:5" ht="15.75" thickBot="1" x14ac:dyDescent="0.3">
      <c r="A106" s="47">
        <v>1988</v>
      </c>
      <c r="B106" s="49">
        <v>32.799999999999997</v>
      </c>
      <c r="C106" s="49">
        <v>5.3</v>
      </c>
      <c r="D106" s="52">
        <v>0.70499999999999996</v>
      </c>
      <c r="E106" s="52">
        <v>0.16</v>
      </c>
    </row>
    <row r="107" spans="1:5" ht="15.75" thickBot="1" x14ac:dyDescent="0.3">
      <c r="A107" s="47">
        <v>1989</v>
      </c>
      <c r="B107" s="49">
        <v>31.4</v>
      </c>
      <c r="C107" s="49">
        <v>5.4</v>
      </c>
      <c r="D107" s="52">
        <v>0.67500000000000004</v>
      </c>
      <c r="E107" s="52">
        <v>0.161</v>
      </c>
    </row>
    <row r="108" spans="1:5" ht="15.75" thickBot="1" x14ac:dyDescent="0.3">
      <c r="A108" s="47">
        <v>1990</v>
      </c>
      <c r="B108" s="49">
        <v>30.2</v>
      </c>
      <c r="C108" s="49">
        <v>5.4</v>
      </c>
      <c r="D108" s="52">
        <v>0.64800000000000002</v>
      </c>
      <c r="E108" s="52">
        <v>0.16300000000000001</v>
      </c>
    </row>
    <row r="109" spans="1:5" ht="15.75" thickBot="1" x14ac:dyDescent="0.3">
      <c r="A109" s="47">
        <v>1991</v>
      </c>
      <c r="B109" s="49">
        <v>28.8</v>
      </c>
      <c r="C109" s="49">
        <v>5.5</v>
      </c>
      <c r="D109" s="52">
        <v>0.61799999999999999</v>
      </c>
      <c r="E109" s="52">
        <v>0.16300000000000001</v>
      </c>
    </row>
    <row r="110" spans="1:5" ht="15.75" thickBot="1" x14ac:dyDescent="0.3">
      <c r="A110" s="47">
        <v>1992</v>
      </c>
      <c r="B110" s="49">
        <v>27.6</v>
      </c>
      <c r="C110" s="49">
        <v>5.4</v>
      </c>
      <c r="D110" s="52">
        <v>0.59399999999999997</v>
      </c>
      <c r="E110" s="52">
        <v>0.16200000000000001</v>
      </c>
    </row>
    <row r="111" spans="1:5" ht="15.75" thickBot="1" x14ac:dyDescent="0.3">
      <c r="A111" s="47">
        <v>1993</v>
      </c>
      <c r="B111" s="49">
        <v>26.5</v>
      </c>
      <c r="C111" s="49">
        <v>5.4</v>
      </c>
      <c r="D111" s="52">
        <v>0.56899999999999995</v>
      </c>
      <c r="E111" s="52">
        <v>0.161</v>
      </c>
    </row>
    <row r="112" spans="1:5" ht="15.75" thickBot="1" x14ac:dyDescent="0.3">
      <c r="A112" s="47">
        <v>1994</v>
      </c>
      <c r="B112" s="49">
        <v>25.9</v>
      </c>
      <c r="C112" s="49">
        <v>5.3</v>
      </c>
      <c r="D112" s="52">
        <v>0.55700000000000005</v>
      </c>
      <c r="E112" s="52">
        <v>0.158</v>
      </c>
    </row>
    <row r="113" spans="1:5" ht="15.75" thickBot="1" x14ac:dyDescent="0.3">
      <c r="A113" s="47">
        <v>1995</v>
      </c>
      <c r="B113" s="49">
        <v>25.5</v>
      </c>
      <c r="C113" s="49">
        <v>5.2</v>
      </c>
      <c r="D113" s="52">
        <v>0.54700000000000004</v>
      </c>
      <c r="E113" s="52">
        <v>0.156</v>
      </c>
    </row>
    <row r="114" spans="1:5" ht="15.75" thickBot="1" x14ac:dyDescent="0.3">
      <c r="A114" s="47">
        <v>1996</v>
      </c>
      <c r="B114" s="49">
        <v>25.3</v>
      </c>
      <c r="C114" s="49">
        <v>5.2</v>
      </c>
      <c r="D114" s="52">
        <v>0.54500000000000004</v>
      </c>
      <c r="E114" s="52">
        <v>0.155</v>
      </c>
    </row>
    <row r="115" spans="1:5" ht="15.75" thickBot="1" x14ac:dyDescent="0.3">
      <c r="A115" s="47">
        <v>1997</v>
      </c>
      <c r="B115" s="49">
        <v>24.9</v>
      </c>
      <c r="C115" s="49">
        <v>5.0999999999999996</v>
      </c>
      <c r="D115" s="52">
        <v>0.53400000000000003</v>
      </c>
      <c r="E115" s="52">
        <v>0.154</v>
      </c>
    </row>
    <row r="116" spans="1:5" ht="15.75" thickBot="1" x14ac:dyDescent="0.3">
      <c r="A116" s="47">
        <v>1998</v>
      </c>
      <c r="B116" s="49">
        <v>24.4</v>
      </c>
      <c r="C116" s="49">
        <v>5.0999999999999996</v>
      </c>
      <c r="D116" s="52">
        <v>0.52400000000000002</v>
      </c>
      <c r="E116" s="52">
        <v>0.153</v>
      </c>
    </row>
    <row r="117" spans="1:5" ht="15.75" thickBot="1" x14ac:dyDescent="0.3">
      <c r="A117" s="47">
        <v>1999</v>
      </c>
      <c r="B117" s="49">
        <v>23.9</v>
      </c>
      <c r="C117" s="49">
        <v>5.0999999999999996</v>
      </c>
      <c r="D117" s="52">
        <v>0.51300000000000001</v>
      </c>
      <c r="E117" s="52">
        <v>0.152</v>
      </c>
    </row>
    <row r="118" spans="1:5" ht="15.75" thickBot="1" x14ac:dyDescent="0.3">
      <c r="A118" s="47">
        <v>2000</v>
      </c>
      <c r="B118" s="49">
        <v>23.4</v>
      </c>
      <c r="C118" s="49">
        <v>5.0999999999999996</v>
      </c>
      <c r="D118" s="52">
        <v>0.504</v>
      </c>
      <c r="E118" s="52">
        <v>0.152</v>
      </c>
    </row>
    <row r="119" spans="1:5" ht="15.75" thickBot="1" x14ac:dyDescent="0.3">
      <c r="A119" s="47">
        <v>2001</v>
      </c>
      <c r="B119" s="49">
        <v>23</v>
      </c>
      <c r="C119" s="49">
        <v>5.0999999999999996</v>
      </c>
      <c r="D119" s="52">
        <v>0.49399999999999999</v>
      </c>
      <c r="E119" s="52">
        <v>0.152</v>
      </c>
    </row>
    <row r="120" spans="1:5" ht="15.75" thickBot="1" x14ac:dyDescent="0.3">
      <c r="A120" s="47">
        <v>2002</v>
      </c>
      <c r="B120" s="49">
        <v>22.6</v>
      </c>
      <c r="C120" s="49">
        <v>5.0999999999999996</v>
      </c>
      <c r="D120" s="52">
        <v>0.48499999999999999</v>
      </c>
      <c r="E120" s="52">
        <v>0.153</v>
      </c>
    </row>
    <row r="121" spans="1:5" ht="15.75" thickBot="1" x14ac:dyDescent="0.3">
      <c r="A121" s="47">
        <v>2003</v>
      </c>
      <c r="B121" s="49">
        <v>22.2</v>
      </c>
      <c r="C121" s="49">
        <v>5.0999999999999996</v>
      </c>
      <c r="D121" s="52">
        <v>0.47699999999999998</v>
      </c>
      <c r="E121" s="52">
        <v>0.154</v>
      </c>
    </row>
    <row r="122" spans="1:5" ht="15.75" thickBot="1" x14ac:dyDescent="0.3">
      <c r="A122" s="47">
        <v>2004</v>
      </c>
      <c r="B122" s="49">
        <v>21.8</v>
      </c>
      <c r="C122" s="49">
        <v>5.2</v>
      </c>
      <c r="D122" s="52">
        <v>0.46899999999999997</v>
      </c>
      <c r="E122" s="52">
        <v>0.155</v>
      </c>
    </row>
    <row r="123" spans="1:5" ht="15.75" thickBot="1" x14ac:dyDescent="0.3">
      <c r="A123" s="47">
        <v>2005</v>
      </c>
      <c r="B123" s="49">
        <v>21.5</v>
      </c>
      <c r="C123" s="49">
        <v>5.2</v>
      </c>
      <c r="D123" s="52">
        <v>0.46100000000000002</v>
      </c>
      <c r="E123" s="52">
        <v>0.156</v>
      </c>
    </row>
    <row r="124" spans="1:5" ht="15.75" thickBot="1" x14ac:dyDescent="0.3">
      <c r="A124" s="47">
        <v>2006</v>
      </c>
      <c r="B124" s="49">
        <v>21.1</v>
      </c>
      <c r="C124" s="49">
        <v>5.3</v>
      </c>
      <c r="D124" s="52">
        <v>0.45300000000000001</v>
      </c>
      <c r="E124" s="52">
        <v>0.158</v>
      </c>
    </row>
    <row r="125" spans="1:5" ht="15.75" thickBot="1" x14ac:dyDescent="0.3">
      <c r="A125" s="47">
        <v>2007</v>
      </c>
      <c r="B125" s="49">
        <v>20.7</v>
      </c>
      <c r="C125" s="49">
        <v>5.3</v>
      </c>
      <c r="D125" s="52">
        <v>0.44600000000000001</v>
      </c>
      <c r="E125" s="52">
        <v>0.16</v>
      </c>
    </row>
    <row r="126" spans="1:5" ht="15.75" thickBot="1" x14ac:dyDescent="0.3">
      <c r="A126" s="47">
        <v>2008</v>
      </c>
      <c r="B126" s="49">
        <v>20.399999999999999</v>
      </c>
      <c r="C126" s="49">
        <v>5.4</v>
      </c>
      <c r="D126" s="52">
        <v>0.438</v>
      </c>
      <c r="E126" s="52">
        <v>0.16200000000000001</v>
      </c>
    </row>
    <row r="127" spans="1:5" ht="15.75" thickBot="1" x14ac:dyDescent="0.3">
      <c r="A127" s="47">
        <v>2009</v>
      </c>
      <c r="B127" s="49">
        <v>20</v>
      </c>
      <c r="C127" s="49">
        <v>5.5</v>
      </c>
      <c r="D127" s="52">
        <v>0.42899999999999999</v>
      </c>
      <c r="E127" s="52">
        <v>0.16400000000000001</v>
      </c>
    </row>
    <row r="128" spans="1:5" ht="15.75" thickBot="1" x14ac:dyDescent="0.3">
      <c r="A128" s="47">
        <v>2010</v>
      </c>
      <c r="B128" s="49">
        <v>19.7</v>
      </c>
      <c r="C128" s="49">
        <v>5.6</v>
      </c>
      <c r="D128" s="52">
        <v>0.42299999999999999</v>
      </c>
      <c r="E128" s="52">
        <v>0.16600000000000001</v>
      </c>
    </row>
    <row r="129" spans="1:5" ht="15.75" thickBot="1" x14ac:dyDescent="0.3">
      <c r="A129" s="47">
        <v>2011</v>
      </c>
      <c r="B129" s="49">
        <v>19.5</v>
      </c>
      <c r="C129" s="49">
        <v>5.7</v>
      </c>
      <c r="D129" s="52">
        <v>0.42</v>
      </c>
      <c r="E129" s="52">
        <v>0.16900000000000001</v>
      </c>
    </row>
    <row r="130" spans="1:5" ht="15.75" thickBot="1" x14ac:dyDescent="0.3">
      <c r="A130" s="47">
        <v>2012</v>
      </c>
      <c r="B130" s="49">
        <v>19.399999999999999</v>
      </c>
      <c r="C130" s="49">
        <v>5.7</v>
      </c>
      <c r="D130" s="52">
        <v>0.41699999999999998</v>
      </c>
      <c r="E130" s="52">
        <v>0.16900000000000001</v>
      </c>
    </row>
    <row r="131" spans="1:5" ht="15.75" thickBot="1" x14ac:dyDescent="0.3">
      <c r="A131" s="47">
        <v>2013</v>
      </c>
      <c r="B131" s="49">
        <v>19.2</v>
      </c>
      <c r="C131" s="49">
        <v>5.7</v>
      </c>
      <c r="D131" s="52">
        <v>0.41299999999999998</v>
      </c>
      <c r="E131" s="52">
        <v>0.16900000000000001</v>
      </c>
    </row>
    <row r="132" spans="1:5" ht="15.75" thickBot="1" x14ac:dyDescent="0.3">
      <c r="A132" s="47">
        <v>2014</v>
      </c>
      <c r="B132" s="49">
        <v>19</v>
      </c>
      <c r="C132" s="49">
        <v>5.6</v>
      </c>
      <c r="D132" s="52">
        <v>0.40899999999999997</v>
      </c>
      <c r="E132" s="52">
        <v>0.16900000000000001</v>
      </c>
    </row>
    <row r="133" spans="1:5" ht="15.75" thickBot="1" x14ac:dyDescent="0.3">
      <c r="A133" s="47">
        <v>2015</v>
      </c>
      <c r="B133" s="49">
        <v>18.8</v>
      </c>
      <c r="C133" s="49">
        <v>5.7</v>
      </c>
      <c r="D133" s="52">
        <v>0.40400000000000003</v>
      </c>
      <c r="E133" s="52">
        <v>0.16900000000000001</v>
      </c>
    </row>
    <row r="134" spans="1:5" ht="15.75" thickBot="1" x14ac:dyDescent="0.3">
      <c r="A134" s="47">
        <v>2016</v>
      </c>
      <c r="B134" s="49">
        <v>18.600000000000001</v>
      </c>
      <c r="C134" s="49">
        <v>5.7</v>
      </c>
      <c r="D134" s="52">
        <v>0.39900000000000002</v>
      </c>
      <c r="E134" s="52">
        <v>0.17100000000000001</v>
      </c>
    </row>
    <row r="135" spans="1:5" ht="15.75" thickBot="1" x14ac:dyDescent="0.3">
      <c r="A135" s="47">
        <v>2017</v>
      </c>
      <c r="B135" s="49">
        <v>18.3</v>
      </c>
      <c r="C135" s="49">
        <v>5.8</v>
      </c>
      <c r="D135" s="52">
        <v>0.39400000000000002</v>
      </c>
      <c r="E135" s="52">
        <v>0.17299999999999999</v>
      </c>
    </row>
    <row r="136" spans="1:5" ht="15.75" thickBot="1" x14ac:dyDescent="0.3">
      <c r="A136" s="47">
        <v>2018</v>
      </c>
      <c r="B136" s="49">
        <v>18.100000000000001</v>
      </c>
      <c r="C136" s="49">
        <v>5.9</v>
      </c>
      <c r="D136" s="52">
        <v>0.38900000000000001</v>
      </c>
      <c r="E136" s="52">
        <v>0.17599999999999999</v>
      </c>
    </row>
    <row r="137" spans="1:5" ht="15.75" thickBot="1" x14ac:dyDescent="0.3">
      <c r="A137" s="47">
        <v>2019</v>
      </c>
      <c r="B137" s="49">
        <v>17.899999999999999</v>
      </c>
      <c r="C137" s="49">
        <v>6</v>
      </c>
      <c r="D137" s="52">
        <v>0.38500000000000001</v>
      </c>
      <c r="E137" s="52">
        <v>0.17899999999999999</v>
      </c>
    </row>
  </sheetData>
  <mergeCells count="3">
    <mergeCell ref="B11:C11"/>
    <mergeCell ref="D11:E11"/>
    <mergeCell ref="A11:A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RSFSR</vt:lpstr>
      <vt:lpstr>NR</vt:lpstr>
      <vt:lpstr>MR</vt:lpstr>
      <vt:lpstr>BR</vt:lpstr>
      <vt:lpstr>USSR</vt:lpstr>
      <vt:lpstr>RB-RD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2026-04-15T17:25:44Z</dcterms:modified>
</cp:coreProperties>
</file>