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"/>
    </mc:Choice>
  </mc:AlternateContent>
  <xr:revisionPtr revIDLastSave="0" documentId="13_ncr:1_{42B2AC3D-DB9D-498D-B9E7-75124105D7B1}" xr6:coauthVersionLast="45" xr6:coauthVersionMax="47" xr10:uidLastSave="{00000000-0000-0000-0000-000000000000}"/>
  <bookViews>
    <workbookView xWindow="-60" yWindow="-60" windowWidth="38520" windowHeight="23700" xr2:uid="{573FC42F-0BD4-4412-A5CF-D809ABCC1B4D}"/>
  </bookViews>
  <sheets>
    <sheet name="NOTES" sheetId="9" r:id="rId1"/>
    <sheet name="RSFSR" sheetId="1" r:id="rId2"/>
    <sheet name="NR" sheetId="2" r:id="rId3"/>
    <sheet name="MR" sheetId="4" r:id="rId4"/>
    <sheet name="BR" sheetId="3" r:id="rId5"/>
    <sheet name="USSR" sheetId="6" r:id="rId6"/>
    <sheet name="USSR-Simplified" sheetId="8" r:id="rId7"/>
    <sheet name="RB-RD" sheetId="7" r:id="rId8"/>
    <sheet name="Графики" sheetId="10" r:id="rId9"/>
  </sheets>
  <definedNames>
    <definedName name="URK_2020_1989">USSR!$E$94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35" i="1" l="1"/>
  <c r="S35" i="1"/>
  <c r="T34" i="1"/>
  <c r="S34" i="1"/>
  <c r="T33" i="1"/>
  <c r="S33" i="1"/>
  <c r="T32" i="1"/>
  <c r="S32" i="1"/>
  <c r="T31" i="1"/>
  <c r="S31" i="1"/>
  <c r="O36" i="1"/>
  <c r="N36" i="1" s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 l="1"/>
  <c r="T47" i="1"/>
  <c r="T46" i="1"/>
  <c r="T45" i="1"/>
  <c r="T44" i="1"/>
  <c r="T43" i="1"/>
  <c r="T42" i="1"/>
  <c r="T41" i="1"/>
  <c r="T40" i="1"/>
  <c r="T39" i="1"/>
  <c r="T38" i="1"/>
  <c r="T37" i="1"/>
  <c r="T36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O114" i="1" l="1"/>
  <c r="N114" i="1" s="1"/>
  <c r="O113" i="1"/>
  <c r="N113" i="1" s="1"/>
  <c r="O112" i="1"/>
  <c r="N112" i="1" s="1"/>
  <c r="O111" i="1"/>
  <c r="N111" i="1" s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I145" i="7" l="1"/>
  <c r="J145" i="7"/>
  <c r="I146" i="7"/>
  <c r="J146" i="7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A130" i="3"/>
  <c r="A129" i="3"/>
  <c r="A128" i="3"/>
  <c r="A127" i="3"/>
  <c r="A126" i="3"/>
  <c r="A125" i="3"/>
  <c r="A124" i="3"/>
  <c r="A123" i="3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A124" i="4"/>
  <c r="A125" i="4" s="1"/>
  <c r="A126" i="4" s="1"/>
  <c r="A127" i="4" s="1"/>
  <c r="A128" i="4" s="1"/>
  <c r="A129" i="4" s="1"/>
  <c r="A130" i="4" s="1"/>
  <c r="A123" i="4"/>
  <c r="R37" i="7" l="1"/>
  <c r="R36" i="7"/>
  <c r="S144" i="7"/>
  <c r="R144" i="7"/>
  <c r="S143" i="7"/>
  <c r="R143" i="7"/>
  <c r="S142" i="7"/>
  <c r="R142" i="7"/>
  <c r="S141" i="7"/>
  <c r="R141" i="7"/>
  <c r="S140" i="7"/>
  <c r="R140" i="7"/>
  <c r="S139" i="7"/>
  <c r="R139" i="7"/>
  <c r="S138" i="7"/>
  <c r="R138" i="7"/>
  <c r="S137" i="7"/>
  <c r="R137" i="7"/>
  <c r="S136" i="7"/>
  <c r="R136" i="7"/>
  <c r="S135" i="7"/>
  <c r="R135" i="7"/>
  <c r="S134" i="7"/>
  <c r="R134" i="7"/>
  <c r="S133" i="7"/>
  <c r="R133" i="7"/>
  <c r="S132" i="7"/>
  <c r="R132" i="7"/>
  <c r="S131" i="7"/>
  <c r="R131" i="7"/>
  <c r="S130" i="7"/>
  <c r="R130" i="7"/>
  <c r="S129" i="7"/>
  <c r="R129" i="7"/>
  <c r="S128" i="7"/>
  <c r="R128" i="7"/>
  <c r="S127" i="7"/>
  <c r="R127" i="7"/>
  <c r="S126" i="7"/>
  <c r="R126" i="7"/>
  <c r="S125" i="7"/>
  <c r="R125" i="7"/>
  <c r="S124" i="7"/>
  <c r="R124" i="7"/>
  <c r="S123" i="7"/>
  <c r="R123" i="7"/>
  <c r="S122" i="7"/>
  <c r="R122" i="7"/>
  <c r="S121" i="7"/>
  <c r="R121" i="7"/>
  <c r="S120" i="7"/>
  <c r="R120" i="7"/>
  <c r="S119" i="7"/>
  <c r="R119" i="7"/>
  <c r="S118" i="7"/>
  <c r="R118" i="7"/>
  <c r="S117" i="7"/>
  <c r="R117" i="7"/>
  <c r="S116" i="7"/>
  <c r="R116" i="7"/>
  <c r="S115" i="7"/>
  <c r="R115" i="7"/>
  <c r="S114" i="7"/>
  <c r="R114" i="7"/>
  <c r="S113" i="7"/>
  <c r="R113" i="7"/>
  <c r="S112" i="7"/>
  <c r="R112" i="7"/>
  <c r="S111" i="7"/>
  <c r="R111" i="7"/>
  <c r="S110" i="7"/>
  <c r="R110" i="7"/>
  <c r="S109" i="7"/>
  <c r="R109" i="7"/>
  <c r="S108" i="7"/>
  <c r="R108" i="7"/>
  <c r="S107" i="7"/>
  <c r="R107" i="7"/>
  <c r="S106" i="7"/>
  <c r="R106" i="7"/>
  <c r="S105" i="7"/>
  <c r="R105" i="7"/>
  <c r="S104" i="7"/>
  <c r="R104" i="7"/>
  <c r="S103" i="7"/>
  <c r="R103" i="7"/>
  <c r="S102" i="7"/>
  <c r="R102" i="7"/>
  <c r="S101" i="7"/>
  <c r="R101" i="7"/>
  <c r="S100" i="7"/>
  <c r="R100" i="7"/>
  <c r="S99" i="7"/>
  <c r="R99" i="7"/>
  <c r="S98" i="7"/>
  <c r="R98" i="7"/>
  <c r="S97" i="7"/>
  <c r="R97" i="7"/>
  <c r="S96" i="7"/>
  <c r="R96" i="7"/>
  <c r="S95" i="7"/>
  <c r="R95" i="7"/>
  <c r="S94" i="7"/>
  <c r="R94" i="7"/>
  <c r="S93" i="7"/>
  <c r="R93" i="7"/>
  <c r="S92" i="7"/>
  <c r="R92" i="7"/>
  <c r="S91" i="7"/>
  <c r="R91" i="7"/>
  <c r="S90" i="7"/>
  <c r="R90" i="7"/>
  <c r="S89" i="7"/>
  <c r="R89" i="7"/>
  <c r="S88" i="7"/>
  <c r="R88" i="7"/>
  <c r="S87" i="7"/>
  <c r="R87" i="7"/>
  <c r="S86" i="7"/>
  <c r="R86" i="7"/>
  <c r="S85" i="7"/>
  <c r="R85" i="7"/>
  <c r="S84" i="7"/>
  <c r="R84" i="7"/>
  <c r="S83" i="7"/>
  <c r="R83" i="7"/>
  <c r="S82" i="7"/>
  <c r="R82" i="7"/>
  <c r="S81" i="7"/>
  <c r="R81" i="7"/>
  <c r="S80" i="7"/>
  <c r="R80" i="7"/>
  <c r="S79" i="7"/>
  <c r="R79" i="7"/>
  <c r="S78" i="7"/>
  <c r="R78" i="7"/>
  <c r="S77" i="7"/>
  <c r="R77" i="7"/>
  <c r="S76" i="7"/>
  <c r="R76" i="7"/>
  <c r="S75" i="7"/>
  <c r="R75" i="7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S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K37" i="7"/>
  <c r="K36" i="7"/>
  <c r="K31" i="7"/>
  <c r="K30" i="7"/>
  <c r="L146" i="7"/>
  <c r="K146" i="7"/>
  <c r="L145" i="7"/>
  <c r="K145" i="7"/>
  <c r="L144" i="7"/>
  <c r="K144" i="7"/>
  <c r="L143" i="7"/>
  <c r="K143" i="7"/>
  <c r="L142" i="7"/>
  <c r="K142" i="7"/>
  <c r="L141" i="7"/>
  <c r="K141" i="7"/>
  <c r="L140" i="7"/>
  <c r="K140" i="7"/>
  <c r="L139" i="7"/>
  <c r="K139" i="7"/>
  <c r="L138" i="7"/>
  <c r="K138" i="7"/>
  <c r="L137" i="7"/>
  <c r="K137" i="7"/>
  <c r="L136" i="7"/>
  <c r="K136" i="7"/>
  <c r="L135" i="7"/>
  <c r="K135" i="7"/>
  <c r="L134" i="7"/>
  <c r="K134" i="7"/>
  <c r="L133" i="7"/>
  <c r="K133" i="7"/>
  <c r="L132" i="7"/>
  <c r="K132" i="7"/>
  <c r="L131" i="7"/>
  <c r="K131" i="7"/>
  <c r="L130" i="7"/>
  <c r="K130" i="7"/>
  <c r="L129" i="7"/>
  <c r="K129" i="7"/>
  <c r="L128" i="7"/>
  <c r="K128" i="7"/>
  <c r="L127" i="7"/>
  <c r="K127" i="7"/>
  <c r="L126" i="7"/>
  <c r="K126" i="7"/>
  <c r="L125" i="7"/>
  <c r="K125" i="7"/>
  <c r="L124" i="7"/>
  <c r="K124" i="7"/>
  <c r="L123" i="7"/>
  <c r="K123" i="7"/>
  <c r="L122" i="7"/>
  <c r="K122" i="7"/>
  <c r="L121" i="7"/>
  <c r="K121" i="7"/>
  <c r="L120" i="7"/>
  <c r="K120" i="7"/>
  <c r="L119" i="7"/>
  <c r="K119" i="7"/>
  <c r="L118" i="7"/>
  <c r="K118" i="7"/>
  <c r="L117" i="7"/>
  <c r="K117" i="7"/>
  <c r="L116" i="7"/>
  <c r="K116" i="7"/>
  <c r="L115" i="7"/>
  <c r="K115" i="7"/>
  <c r="L114" i="7"/>
  <c r="K114" i="7"/>
  <c r="L113" i="7"/>
  <c r="K113" i="7"/>
  <c r="L112" i="7"/>
  <c r="K112" i="7"/>
  <c r="L111" i="7"/>
  <c r="K111" i="7"/>
  <c r="L110" i="7"/>
  <c r="K110" i="7"/>
  <c r="L109" i="7"/>
  <c r="K109" i="7"/>
  <c r="L108" i="7"/>
  <c r="K108" i="7"/>
  <c r="L107" i="7"/>
  <c r="K107" i="7"/>
  <c r="L106" i="7"/>
  <c r="K106" i="7"/>
  <c r="L105" i="7"/>
  <c r="K105" i="7"/>
  <c r="L104" i="7"/>
  <c r="K104" i="7"/>
  <c r="L103" i="7"/>
  <c r="K103" i="7"/>
  <c r="L102" i="7"/>
  <c r="K102" i="7"/>
  <c r="L101" i="7"/>
  <c r="K101" i="7"/>
  <c r="L100" i="7"/>
  <c r="K100" i="7"/>
  <c r="L99" i="7"/>
  <c r="K99" i="7"/>
  <c r="L98" i="7"/>
  <c r="K98" i="7"/>
  <c r="L97" i="7"/>
  <c r="K97" i="7"/>
  <c r="L96" i="7"/>
  <c r="K96" i="7"/>
  <c r="L95" i="7"/>
  <c r="K95" i="7"/>
  <c r="L94" i="7"/>
  <c r="K94" i="7"/>
  <c r="L93" i="7"/>
  <c r="K93" i="7"/>
  <c r="L92" i="7"/>
  <c r="K92" i="7"/>
  <c r="L91" i="7"/>
  <c r="K91" i="7"/>
  <c r="L90" i="7"/>
  <c r="K90" i="7"/>
  <c r="L89" i="7"/>
  <c r="K89" i="7"/>
  <c r="L88" i="7"/>
  <c r="K88" i="7"/>
  <c r="L87" i="7"/>
  <c r="K87" i="7"/>
  <c r="L86" i="7"/>
  <c r="K86" i="7"/>
  <c r="L85" i="7"/>
  <c r="K85" i="7"/>
  <c r="L84" i="7"/>
  <c r="K84" i="7"/>
  <c r="L83" i="7"/>
  <c r="K83" i="7"/>
  <c r="L82" i="7"/>
  <c r="K82" i="7"/>
  <c r="L81" i="7"/>
  <c r="K81" i="7"/>
  <c r="L80" i="7"/>
  <c r="K80" i="7"/>
  <c r="L79" i="7"/>
  <c r="K79" i="7"/>
  <c r="L78" i="7"/>
  <c r="K78" i="7"/>
  <c r="L77" i="7"/>
  <c r="K77" i="7"/>
  <c r="L76" i="7"/>
  <c r="K76" i="7"/>
  <c r="L75" i="7"/>
  <c r="K75" i="7"/>
  <c r="L74" i="7"/>
  <c r="K74" i="7"/>
  <c r="L73" i="7"/>
  <c r="K73" i="7"/>
  <c r="L72" i="7"/>
  <c r="K72" i="7"/>
  <c r="L71" i="7"/>
  <c r="K71" i="7"/>
  <c r="L70" i="7"/>
  <c r="K70" i="7"/>
  <c r="L69" i="7"/>
  <c r="K69" i="7"/>
  <c r="L68" i="7"/>
  <c r="K68" i="7"/>
  <c r="L67" i="7"/>
  <c r="K67" i="7"/>
  <c r="L66" i="7"/>
  <c r="K66" i="7"/>
  <c r="L65" i="7"/>
  <c r="K65" i="7"/>
  <c r="L64" i="7"/>
  <c r="K64" i="7"/>
  <c r="L63" i="7"/>
  <c r="K63" i="7"/>
  <c r="L62" i="7"/>
  <c r="K62" i="7"/>
  <c r="L61" i="7"/>
  <c r="K61" i="7"/>
  <c r="L60" i="7"/>
  <c r="K60" i="7"/>
  <c r="L59" i="7"/>
  <c r="K59" i="7"/>
  <c r="L58" i="7"/>
  <c r="K58" i="7"/>
  <c r="L57" i="7"/>
  <c r="K57" i="7"/>
  <c r="L56" i="7"/>
  <c r="K56" i="7"/>
  <c r="L55" i="7"/>
  <c r="K55" i="7"/>
  <c r="L54" i="7"/>
  <c r="K54" i="7"/>
  <c r="L53" i="7"/>
  <c r="K53" i="7"/>
  <c r="L52" i="7"/>
  <c r="K52" i="7"/>
  <c r="L51" i="7"/>
  <c r="K51" i="7"/>
  <c r="L50" i="7"/>
  <c r="K50" i="7"/>
  <c r="L49" i="7"/>
  <c r="K49" i="7"/>
  <c r="L48" i="7"/>
  <c r="K48" i="7"/>
  <c r="L47" i="7"/>
  <c r="K47" i="7"/>
  <c r="L46" i="7"/>
  <c r="K46" i="7"/>
  <c r="L45" i="7"/>
  <c r="K45" i="7"/>
  <c r="L44" i="7"/>
  <c r="K44" i="7"/>
  <c r="L43" i="7"/>
  <c r="K43" i="7"/>
  <c r="L42" i="7"/>
  <c r="K42" i="7"/>
  <c r="L41" i="7"/>
  <c r="K41" i="7"/>
  <c r="L40" i="7"/>
  <c r="K40" i="7"/>
  <c r="L39" i="7"/>
  <c r="K39" i="7"/>
  <c r="L38" i="7"/>
  <c r="K38" i="7"/>
  <c r="L37" i="7"/>
  <c r="L36" i="7"/>
  <c r="L35" i="7"/>
  <c r="K35" i="7"/>
  <c r="L34" i="7"/>
  <c r="K34" i="7"/>
  <c r="L33" i="7"/>
  <c r="K33" i="7"/>
  <c r="L32" i="7"/>
  <c r="K32" i="7"/>
  <c r="L31" i="7"/>
  <c r="L30" i="7"/>
  <c r="C17" i="6"/>
  <c r="A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A123" i="2"/>
  <c r="A124" i="2" s="1"/>
  <c r="A125" i="2" s="1"/>
  <c r="A126" i="2" s="1"/>
  <c r="A127" i="2" s="1"/>
  <c r="A128" i="2" s="1"/>
  <c r="A129" i="2" s="1"/>
  <c r="A122" i="2"/>
  <c r="J129" i="1"/>
  <c r="J128" i="1"/>
  <c r="J127" i="1"/>
  <c r="J126" i="1"/>
  <c r="J125" i="1"/>
  <c r="J124" i="1"/>
  <c r="J123" i="1"/>
  <c r="J122" i="1"/>
  <c r="F148" i="1"/>
  <c r="F130" i="1"/>
  <c r="F122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A129" i="1"/>
  <c r="A124" i="1"/>
  <c r="A125" i="1" s="1"/>
  <c r="A126" i="1" s="1"/>
  <c r="A127" i="1" s="1"/>
  <c r="A128" i="1" s="1"/>
  <c r="A123" i="1"/>
  <c r="Q144" i="7"/>
  <c r="P144" i="7"/>
  <c r="Q143" i="7"/>
  <c r="P143" i="7"/>
  <c r="Q142" i="7"/>
  <c r="P142" i="7"/>
  <c r="Q141" i="7"/>
  <c r="P141" i="7"/>
  <c r="Q140" i="7"/>
  <c r="P140" i="7"/>
  <c r="Q139" i="7"/>
  <c r="P139" i="7"/>
  <c r="Q138" i="7"/>
  <c r="P138" i="7"/>
  <c r="Q137" i="7"/>
  <c r="P137" i="7"/>
  <c r="Q136" i="7"/>
  <c r="P136" i="7"/>
  <c r="Q135" i="7"/>
  <c r="P135" i="7"/>
  <c r="Q134" i="7"/>
  <c r="P134" i="7"/>
  <c r="Q133" i="7"/>
  <c r="P133" i="7"/>
  <c r="Q132" i="7"/>
  <c r="P132" i="7"/>
  <c r="Q131" i="7"/>
  <c r="P131" i="7"/>
  <c r="Q130" i="7"/>
  <c r="P130" i="7"/>
  <c r="Q129" i="7"/>
  <c r="P129" i="7"/>
  <c r="Q128" i="7"/>
  <c r="P128" i="7"/>
  <c r="Q127" i="7"/>
  <c r="P127" i="7"/>
  <c r="Q126" i="7"/>
  <c r="P126" i="7"/>
  <c r="Q125" i="7"/>
  <c r="P125" i="7"/>
  <c r="Q124" i="7"/>
  <c r="P124" i="7"/>
  <c r="Q123" i="7"/>
  <c r="P123" i="7"/>
  <c r="Q122" i="7"/>
  <c r="P122" i="7"/>
  <c r="Q121" i="7"/>
  <c r="P121" i="7"/>
  <c r="Q120" i="7"/>
  <c r="P120" i="7"/>
  <c r="Q119" i="7"/>
  <c r="P119" i="7"/>
  <c r="Q118" i="7"/>
  <c r="P118" i="7"/>
  <c r="Q117" i="7"/>
  <c r="P117" i="7"/>
  <c r="Q116" i="7"/>
  <c r="P116" i="7"/>
  <c r="Q115" i="7"/>
  <c r="P115" i="7"/>
  <c r="Q114" i="7"/>
  <c r="P114" i="7"/>
  <c r="Q113" i="7"/>
  <c r="P113" i="7"/>
  <c r="Q112" i="7"/>
  <c r="P112" i="7"/>
  <c r="Q111" i="7"/>
  <c r="P111" i="7"/>
  <c r="Q110" i="7"/>
  <c r="P110" i="7"/>
  <c r="Q109" i="7"/>
  <c r="P109" i="7"/>
  <c r="Q108" i="7"/>
  <c r="P108" i="7"/>
  <c r="Q107" i="7"/>
  <c r="P107" i="7"/>
  <c r="Q106" i="7"/>
  <c r="P106" i="7"/>
  <c r="Q105" i="7"/>
  <c r="P105" i="7"/>
  <c r="Q104" i="7"/>
  <c r="P104" i="7"/>
  <c r="Q103" i="7"/>
  <c r="P103" i="7"/>
  <c r="Q102" i="7"/>
  <c r="P102" i="7"/>
  <c r="Q101" i="7"/>
  <c r="P101" i="7"/>
  <c r="Q100" i="7"/>
  <c r="P100" i="7"/>
  <c r="Q99" i="7"/>
  <c r="P99" i="7"/>
  <c r="Q98" i="7"/>
  <c r="P98" i="7"/>
  <c r="Q97" i="7"/>
  <c r="P97" i="7"/>
  <c r="Q96" i="7"/>
  <c r="P96" i="7"/>
  <c r="Q95" i="7"/>
  <c r="P95" i="7"/>
  <c r="Q94" i="7"/>
  <c r="P94" i="7"/>
  <c r="Q93" i="7"/>
  <c r="P93" i="7"/>
  <c r="Q92" i="7"/>
  <c r="P92" i="7"/>
  <c r="Q91" i="7"/>
  <c r="P91" i="7"/>
  <c r="Q90" i="7"/>
  <c r="P90" i="7"/>
  <c r="Q89" i="7"/>
  <c r="P89" i="7"/>
  <c r="Q88" i="7"/>
  <c r="P88" i="7"/>
  <c r="Q87" i="7"/>
  <c r="P87" i="7"/>
  <c r="Q86" i="7"/>
  <c r="P86" i="7"/>
  <c r="Q85" i="7"/>
  <c r="P85" i="7"/>
  <c r="Q84" i="7"/>
  <c r="P84" i="7"/>
  <c r="Q83" i="7"/>
  <c r="P83" i="7"/>
  <c r="Q82" i="7"/>
  <c r="P82" i="7"/>
  <c r="Q81" i="7"/>
  <c r="P81" i="7"/>
  <c r="Q80" i="7"/>
  <c r="P80" i="7"/>
  <c r="Q79" i="7"/>
  <c r="P79" i="7"/>
  <c r="Q78" i="7"/>
  <c r="P78" i="7"/>
  <c r="Q77" i="7"/>
  <c r="P77" i="7"/>
  <c r="Q76" i="7"/>
  <c r="P76" i="7"/>
  <c r="Q75" i="7"/>
  <c r="P75" i="7"/>
  <c r="Q74" i="7"/>
  <c r="P74" i="7"/>
  <c r="Q73" i="7"/>
  <c r="P73" i="7"/>
  <c r="Q72" i="7"/>
  <c r="P72" i="7"/>
  <c r="Q71" i="7"/>
  <c r="P71" i="7"/>
  <c r="Q70" i="7"/>
  <c r="P70" i="7"/>
  <c r="Q69" i="7"/>
  <c r="P69" i="7"/>
  <c r="Q68" i="7"/>
  <c r="P68" i="7"/>
  <c r="Q67" i="7"/>
  <c r="P67" i="7"/>
  <c r="Q66" i="7"/>
  <c r="P66" i="7"/>
  <c r="Q65" i="7"/>
  <c r="P65" i="7"/>
  <c r="Q64" i="7"/>
  <c r="P64" i="7"/>
  <c r="Q63" i="7"/>
  <c r="P63" i="7"/>
  <c r="Q62" i="7"/>
  <c r="P62" i="7"/>
  <c r="Q61" i="7"/>
  <c r="P61" i="7"/>
  <c r="Q60" i="7"/>
  <c r="P60" i="7"/>
  <c r="Q59" i="7"/>
  <c r="P59" i="7"/>
  <c r="Q58" i="7"/>
  <c r="P58" i="7"/>
  <c r="Q57" i="7"/>
  <c r="P57" i="7"/>
  <c r="Q56" i="7"/>
  <c r="P56" i="7"/>
  <c r="Q55" i="7"/>
  <c r="P55" i="7"/>
  <c r="Q54" i="7"/>
  <c r="P54" i="7"/>
  <c r="Q53" i="7"/>
  <c r="P53" i="7"/>
  <c r="Q52" i="7"/>
  <c r="P52" i="7"/>
  <c r="Q51" i="7"/>
  <c r="P51" i="7"/>
  <c r="Q50" i="7"/>
  <c r="P50" i="7"/>
  <c r="Q49" i="7"/>
  <c r="P49" i="7"/>
  <c r="Q48" i="7"/>
  <c r="P48" i="7"/>
  <c r="Q47" i="7"/>
  <c r="P47" i="7"/>
  <c r="Q46" i="7"/>
  <c r="P46" i="7"/>
  <c r="Q45" i="7"/>
  <c r="P45" i="7"/>
  <c r="Q44" i="7"/>
  <c r="P44" i="7"/>
  <c r="Q43" i="7"/>
  <c r="P43" i="7"/>
  <c r="Q42" i="7"/>
  <c r="P42" i="7"/>
  <c r="Q41" i="7"/>
  <c r="P41" i="7"/>
  <c r="Q40" i="7"/>
  <c r="P40" i="7"/>
  <c r="Q39" i="7"/>
  <c r="P39" i="7"/>
  <c r="Q38" i="7"/>
  <c r="P38" i="7"/>
  <c r="Q37" i="7"/>
  <c r="P37" i="7"/>
  <c r="Q36" i="7"/>
  <c r="P36" i="7"/>
  <c r="Q35" i="7"/>
  <c r="P35" i="7"/>
  <c r="Q34" i="7"/>
  <c r="P34" i="7"/>
  <c r="Q33" i="7"/>
  <c r="P33" i="7"/>
  <c r="Q32" i="7"/>
  <c r="P32" i="7"/>
  <c r="Q31" i="7"/>
  <c r="P31" i="7"/>
  <c r="Q30" i="7"/>
  <c r="P30" i="7"/>
  <c r="Q29" i="7"/>
  <c r="P29" i="7"/>
  <c r="Q28" i="7"/>
  <c r="P28" i="7"/>
  <c r="O30" i="7"/>
  <c r="O31" i="7" s="1"/>
  <c r="O32" i="7" s="1"/>
  <c r="O33" i="7" s="1"/>
  <c r="O34" i="7" s="1"/>
  <c r="O35" i="7" s="1"/>
  <c r="O36" i="7" s="1"/>
  <c r="O37" i="7" s="1"/>
  <c r="O38" i="7" s="1"/>
  <c r="O39" i="7" s="1"/>
  <c r="O40" i="7" s="1"/>
  <c r="O41" i="7" s="1"/>
  <c r="O42" i="7" s="1"/>
  <c r="O43" i="7" s="1"/>
  <c r="O44" i="7" s="1"/>
  <c r="O45" i="7" s="1"/>
  <c r="O46" i="7" s="1"/>
  <c r="O47" i="7" s="1"/>
  <c r="O48" i="7" s="1"/>
  <c r="O49" i="7" s="1"/>
  <c r="O50" i="7" s="1"/>
  <c r="O51" i="7" s="1"/>
  <c r="O52" i="7" s="1"/>
  <c r="O53" i="7" s="1"/>
  <c r="O54" i="7" s="1"/>
  <c r="O55" i="7" s="1"/>
  <c r="O56" i="7" s="1"/>
  <c r="O57" i="7" s="1"/>
  <c r="O58" i="7" s="1"/>
  <c r="O59" i="7" s="1"/>
  <c r="O60" i="7" s="1"/>
  <c r="O61" i="7" s="1"/>
  <c r="O62" i="7" s="1"/>
  <c r="O63" i="7" s="1"/>
  <c r="O64" i="7" s="1"/>
  <c r="O65" i="7" s="1"/>
  <c r="O66" i="7" s="1"/>
  <c r="O67" i="7" s="1"/>
  <c r="O68" i="7" s="1"/>
  <c r="O69" i="7" s="1"/>
  <c r="O70" i="7" s="1"/>
  <c r="O71" i="7" s="1"/>
  <c r="O72" i="7" s="1"/>
  <c r="O73" i="7" s="1"/>
  <c r="O74" i="7" s="1"/>
  <c r="O75" i="7" s="1"/>
  <c r="O76" i="7" s="1"/>
  <c r="O77" i="7" s="1"/>
  <c r="O78" i="7" s="1"/>
  <c r="O79" i="7" s="1"/>
  <c r="O80" i="7" s="1"/>
  <c r="O81" i="7" s="1"/>
  <c r="O82" i="7" s="1"/>
  <c r="O83" i="7" s="1"/>
  <c r="O84" i="7" s="1"/>
  <c r="O85" i="7" s="1"/>
  <c r="O86" i="7" s="1"/>
  <c r="O87" i="7" s="1"/>
  <c r="O88" i="7" s="1"/>
  <c r="O89" i="7" s="1"/>
  <c r="O90" i="7" s="1"/>
  <c r="O91" i="7" s="1"/>
  <c r="O92" i="7" s="1"/>
  <c r="O93" i="7" s="1"/>
  <c r="O94" i="7" s="1"/>
  <c r="O95" i="7" s="1"/>
  <c r="O96" i="7" s="1"/>
  <c r="O97" i="7" s="1"/>
  <c r="O98" i="7" s="1"/>
  <c r="O99" i="7" s="1"/>
  <c r="O100" i="7" s="1"/>
  <c r="O101" i="7" s="1"/>
  <c r="O102" i="7" s="1"/>
  <c r="O103" i="7" s="1"/>
  <c r="O104" i="7" s="1"/>
  <c r="O105" i="7" s="1"/>
  <c r="O106" i="7" s="1"/>
  <c r="O107" i="7" s="1"/>
  <c r="O108" i="7" s="1"/>
  <c r="O109" i="7" s="1"/>
  <c r="O110" i="7" s="1"/>
  <c r="O111" i="7" s="1"/>
  <c r="O112" i="7" s="1"/>
  <c r="O113" i="7" s="1"/>
  <c r="O114" i="7" s="1"/>
  <c r="O115" i="7" s="1"/>
  <c r="O116" i="7" s="1"/>
  <c r="O117" i="7" s="1"/>
  <c r="O118" i="7" s="1"/>
  <c r="O119" i="7" s="1"/>
  <c r="O120" i="7" s="1"/>
  <c r="O121" i="7" s="1"/>
  <c r="O122" i="7" s="1"/>
  <c r="O123" i="7" s="1"/>
  <c r="O124" i="7" s="1"/>
  <c r="O125" i="7" s="1"/>
  <c r="O126" i="7" s="1"/>
  <c r="O127" i="7" s="1"/>
  <c r="O128" i="7" s="1"/>
  <c r="O129" i="7" s="1"/>
  <c r="O130" i="7" s="1"/>
  <c r="O131" i="7" s="1"/>
  <c r="O132" i="7" s="1"/>
  <c r="O133" i="7" s="1"/>
  <c r="O134" i="7" s="1"/>
  <c r="O135" i="7" s="1"/>
  <c r="O136" i="7" s="1"/>
  <c r="O137" i="7" s="1"/>
  <c r="O138" i="7" s="1"/>
  <c r="O139" i="7" s="1"/>
  <c r="O140" i="7" s="1"/>
  <c r="O141" i="7" s="1"/>
  <c r="O142" i="7" s="1"/>
  <c r="O143" i="7" s="1"/>
  <c r="O144" i="7" s="1"/>
  <c r="O29" i="7"/>
  <c r="J144" i="7"/>
  <c r="J143" i="7"/>
  <c r="J142" i="7"/>
  <c r="J141" i="7"/>
  <c r="J140" i="7"/>
  <c r="J139" i="7"/>
  <c r="J138" i="7"/>
  <c r="I144" i="7"/>
  <c r="I143" i="7"/>
  <c r="I142" i="7"/>
  <c r="I141" i="7"/>
  <c r="I140" i="7"/>
  <c r="I139" i="7"/>
  <c r="I138" i="7"/>
  <c r="H138" i="7"/>
  <c r="H139" i="7" s="1"/>
  <c r="H140" i="7" s="1"/>
  <c r="H141" i="7" s="1"/>
  <c r="H142" i="7" s="1"/>
  <c r="H143" i="7" s="1"/>
  <c r="H144" i="7" s="1"/>
  <c r="C17" i="8" a="1"/>
  <c r="B17" i="8" a="1"/>
  <c r="C17" i="8" l="1"/>
  <c r="B17" i="8"/>
  <c r="G122" i="1"/>
  <c r="F123" i="1" s="1"/>
  <c r="H122" i="1"/>
  <c r="J137" i="7"/>
  <c r="I137" i="7"/>
  <c r="J136" i="7"/>
  <c r="I136" i="7"/>
  <c r="J135" i="7"/>
  <c r="I135" i="7"/>
  <c r="J134" i="7"/>
  <c r="I134" i="7"/>
  <c r="J133" i="7"/>
  <c r="I133" i="7"/>
  <c r="J132" i="7"/>
  <c r="I132" i="7"/>
  <c r="J131" i="7"/>
  <c r="I131" i="7"/>
  <c r="J130" i="7"/>
  <c r="I130" i="7"/>
  <c r="J129" i="7"/>
  <c r="I129" i="7"/>
  <c r="J128" i="7"/>
  <c r="I128" i="7"/>
  <c r="J127" i="7"/>
  <c r="I127" i="7"/>
  <c r="J126" i="7"/>
  <c r="I126" i="7"/>
  <c r="J125" i="7"/>
  <c r="I125" i="7"/>
  <c r="J124" i="7"/>
  <c r="I124" i="7"/>
  <c r="J123" i="7"/>
  <c r="I123" i="7"/>
  <c r="J122" i="7"/>
  <c r="I122" i="7"/>
  <c r="J121" i="7"/>
  <c r="I121" i="7"/>
  <c r="J120" i="7"/>
  <c r="I120" i="7"/>
  <c r="J119" i="7"/>
  <c r="I119" i="7"/>
  <c r="J118" i="7"/>
  <c r="I118" i="7"/>
  <c r="J117" i="7"/>
  <c r="I117" i="7"/>
  <c r="J116" i="7"/>
  <c r="I116" i="7"/>
  <c r="J115" i="7"/>
  <c r="I115" i="7"/>
  <c r="J114" i="7"/>
  <c r="I114" i="7"/>
  <c r="J113" i="7"/>
  <c r="I113" i="7"/>
  <c r="J112" i="7"/>
  <c r="I112" i="7"/>
  <c r="J111" i="7"/>
  <c r="I111" i="7"/>
  <c r="J110" i="7"/>
  <c r="I110" i="7"/>
  <c r="J109" i="7"/>
  <c r="I109" i="7"/>
  <c r="J108" i="7"/>
  <c r="I108" i="7"/>
  <c r="J107" i="7"/>
  <c r="I107" i="7"/>
  <c r="J106" i="7"/>
  <c r="I106" i="7"/>
  <c r="J105" i="7"/>
  <c r="I105" i="7"/>
  <c r="J104" i="7"/>
  <c r="I104" i="7"/>
  <c r="J103" i="7"/>
  <c r="I103" i="7"/>
  <c r="J102" i="7"/>
  <c r="I102" i="7"/>
  <c r="J101" i="7"/>
  <c r="I101" i="7"/>
  <c r="J100" i="7"/>
  <c r="I100" i="7"/>
  <c r="J99" i="7"/>
  <c r="I99" i="7"/>
  <c r="J98" i="7"/>
  <c r="I98" i="7"/>
  <c r="J97" i="7"/>
  <c r="I97" i="7"/>
  <c r="J96" i="7"/>
  <c r="I96" i="7"/>
  <c r="J95" i="7"/>
  <c r="I95" i="7"/>
  <c r="J94" i="7"/>
  <c r="I94" i="7"/>
  <c r="J93" i="7"/>
  <c r="I93" i="7"/>
  <c r="J92" i="7"/>
  <c r="I92" i="7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J68" i="7"/>
  <c r="I68" i="7"/>
  <c r="J67" i="7"/>
  <c r="I67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H32" i="7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112" i="7" s="1"/>
  <c r="H113" i="7" s="1"/>
  <c r="H114" i="7" s="1"/>
  <c r="H115" i="7" s="1"/>
  <c r="H116" i="7" s="1"/>
  <c r="H117" i="7" s="1"/>
  <c r="H118" i="7" s="1"/>
  <c r="H119" i="7" s="1"/>
  <c r="H120" i="7" s="1"/>
  <c r="H121" i="7" s="1"/>
  <c r="H122" i="7" s="1"/>
  <c r="H123" i="7" s="1"/>
  <c r="H124" i="7" s="1"/>
  <c r="H125" i="7" s="1"/>
  <c r="H126" i="7" s="1"/>
  <c r="H127" i="7" s="1"/>
  <c r="H128" i="7" s="1"/>
  <c r="H129" i="7" s="1"/>
  <c r="H130" i="7" s="1"/>
  <c r="H131" i="7" s="1"/>
  <c r="H132" i="7" s="1"/>
  <c r="H133" i="7" s="1"/>
  <c r="H134" i="7" s="1"/>
  <c r="H135" i="7" s="1"/>
  <c r="H136" i="7" s="1"/>
  <c r="H137" i="7" s="1"/>
  <c r="H31" i="7"/>
  <c r="J30" i="7"/>
  <c r="I30" i="7"/>
  <c r="H123" i="1" l="1"/>
  <c r="G123" i="1"/>
  <c r="F124" i="1" s="1"/>
  <c r="H14" i="8"/>
  <c r="K15" i="8"/>
  <c r="K14" i="8"/>
  <c r="K13" i="8"/>
  <c r="K12" i="8"/>
  <c r="K11" i="8"/>
  <c r="K10" i="8"/>
  <c r="K9" i="8"/>
  <c r="K8" i="8"/>
  <c r="I14" i="8"/>
  <c r="I13" i="8"/>
  <c r="I12" i="8"/>
  <c r="I11" i="8"/>
  <c r="H13" i="8"/>
  <c r="H12" i="8"/>
  <c r="H11" i="8"/>
  <c r="H10" i="8"/>
  <c r="H9" i="8"/>
  <c r="H8" i="8"/>
  <c r="H124" i="1" l="1"/>
  <c r="G124" i="1"/>
  <c r="F125" i="1" s="1"/>
  <c r="C93" i="6"/>
  <c r="E94" i="6" s="1"/>
  <c r="B16" i="8" a="1"/>
  <c r="A13" i="8" a="1"/>
  <c r="A12" i="8" a="1"/>
  <c r="A9" i="8" a="1"/>
  <c r="B10" i="8" a="1"/>
  <c r="A10" i="8" a="1"/>
  <c r="A14" i="8" a="1"/>
  <c r="B8" i="8" a="1"/>
  <c r="B13" i="8" a="1"/>
  <c r="A8" i="8" a="1"/>
  <c r="A16" i="8" a="1"/>
  <c r="B14" i="8" a="1"/>
  <c r="B15" i="8" a="1"/>
  <c r="B9" i="8" a="1"/>
  <c r="B11" i="8" a="1"/>
  <c r="A15" i="8" a="1"/>
  <c r="A11" i="8" a="1"/>
  <c r="B12" i="8" a="1"/>
  <c r="H125" i="1" l="1"/>
  <c r="G125" i="1"/>
  <c r="F126" i="1" s="1"/>
  <c r="B16" i="8"/>
  <c r="B15" i="8"/>
  <c r="B14" i="8"/>
  <c r="B13" i="8"/>
  <c r="B12" i="8"/>
  <c r="B11" i="8"/>
  <c r="B10" i="8"/>
  <c r="B9" i="8"/>
  <c r="B8" i="8"/>
  <c r="A16" i="8"/>
  <c r="A15" i="8"/>
  <c r="A14" i="8"/>
  <c r="A13" i="8"/>
  <c r="A12" i="8"/>
  <c r="A11" i="8"/>
  <c r="A10" i="8"/>
  <c r="A9" i="8"/>
  <c r="A8" i="8"/>
  <c r="F78" i="6"/>
  <c r="E78" i="6"/>
  <c r="B78" i="6"/>
  <c r="D78" i="6"/>
  <c r="C78" i="6"/>
  <c r="C89" i="6"/>
  <c r="W15" i="6" s="1"/>
  <c r="H76" i="6"/>
  <c r="R13" i="6" s="1"/>
  <c r="H75" i="6"/>
  <c r="R12" i="6" s="1"/>
  <c r="H74" i="6"/>
  <c r="R11" i="6" s="1"/>
  <c r="H77" i="6"/>
  <c r="R14" i="6" s="1"/>
  <c r="G126" i="1" l="1"/>
  <c r="H126" i="1"/>
  <c r="F127" i="1"/>
  <c r="H78" i="6"/>
  <c r="R15" i="6" s="1"/>
  <c r="I15" i="8" s="1"/>
  <c r="F7" i="4"/>
  <c r="F7" i="3"/>
  <c r="F7" i="2"/>
  <c r="I34" i="3"/>
  <c r="I10" i="3"/>
  <c r="I7" i="3"/>
  <c r="I32" i="3"/>
  <c r="I10" i="4"/>
  <c r="I33" i="3"/>
  <c r="I8" i="3"/>
  <c r="I10" i="2"/>
  <c r="I33" i="4"/>
  <c r="I32" i="2"/>
  <c r="I8" i="4"/>
  <c r="I34" i="2"/>
  <c r="I11" i="4"/>
  <c r="I7" i="2"/>
  <c r="I9" i="2"/>
  <c r="I9" i="4"/>
  <c r="I34" i="4"/>
  <c r="I11" i="2"/>
  <c r="I8" i="2"/>
  <c r="I33" i="2"/>
  <c r="I32" i="4"/>
  <c r="I7" i="4"/>
  <c r="I11" i="3"/>
  <c r="I9" i="3"/>
  <c r="H127" i="1" l="1"/>
  <c r="G127" i="1"/>
  <c r="F128" i="1" s="1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E7" i="4"/>
  <c r="H7" i="4" s="1"/>
  <c r="D7" i="4"/>
  <c r="G7" i="4" s="1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E8" i="3"/>
  <c r="D8" i="3"/>
  <c r="A8" i="3"/>
  <c r="E7" i="3"/>
  <c r="H7" i="3" s="1"/>
  <c r="D7" i="3"/>
  <c r="G7" i="3" s="1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E7" i="2"/>
  <c r="H7" i="2" s="1"/>
  <c r="D7" i="2"/>
  <c r="G7" i="2" s="1"/>
  <c r="H128" i="1" l="1"/>
  <c r="G128" i="1"/>
  <c r="F129" i="1" s="1"/>
  <c r="F8" i="4"/>
  <c r="G8" i="4" s="1"/>
  <c r="F8" i="3"/>
  <c r="H8" i="3" s="1"/>
  <c r="F8" i="2"/>
  <c r="G8" i="2" s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H7" i="1" s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G7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H129" i="1" l="1"/>
  <c r="G129" i="1"/>
  <c r="H8" i="4"/>
  <c r="F9" i="4" s="1"/>
  <c r="G9" i="4" s="1"/>
  <c r="J7" i="4"/>
  <c r="J7" i="3"/>
  <c r="G8" i="3"/>
  <c r="F9" i="3" s="1"/>
  <c r="J8" i="3" s="1"/>
  <c r="H8" i="2"/>
  <c r="F9" i="2" s="1"/>
  <c r="J7" i="2"/>
  <c r="F8" i="1"/>
  <c r="H9" i="4" l="1"/>
  <c r="F10" i="4" s="1"/>
  <c r="H9" i="3"/>
  <c r="G9" i="3"/>
  <c r="J8" i="4"/>
  <c r="H9" i="2"/>
  <c r="J8" i="2"/>
  <c r="G9" i="2"/>
  <c r="G8" i="1"/>
  <c r="J7" i="1"/>
  <c r="H8" i="1"/>
  <c r="J9" i="4" l="1"/>
  <c r="H10" i="4"/>
  <c r="G10" i="4"/>
  <c r="F10" i="3"/>
  <c r="F10" i="2"/>
  <c r="H10" i="2" s="1"/>
  <c r="F9" i="1"/>
  <c r="F11" i="4" l="1"/>
  <c r="H11" i="4" s="1"/>
  <c r="G10" i="2"/>
  <c r="F11" i="2" s="1"/>
  <c r="H11" i="2" s="1"/>
  <c r="J9" i="2"/>
  <c r="J9" i="3"/>
  <c r="H10" i="3"/>
  <c r="G10" i="3"/>
  <c r="J8" i="1"/>
  <c r="H9" i="1"/>
  <c r="G9" i="1"/>
  <c r="F10" i="1" l="1"/>
  <c r="J9" i="1" s="1"/>
  <c r="G11" i="4"/>
  <c r="F12" i="4" s="1"/>
  <c r="J11" i="4" s="1"/>
  <c r="J10" i="4"/>
  <c r="F11" i="3"/>
  <c r="H11" i="3" s="1"/>
  <c r="G11" i="2"/>
  <c r="F12" i="2" s="1"/>
  <c r="J11" i="2" s="1"/>
  <c r="J10" i="2"/>
  <c r="H10" i="1" l="1"/>
  <c r="G10" i="1"/>
  <c r="G12" i="4"/>
  <c r="H12" i="4"/>
  <c r="J10" i="3"/>
  <c r="G11" i="3"/>
  <c r="F12" i="3" s="1"/>
  <c r="H12" i="2"/>
  <c r="G12" i="2"/>
  <c r="F11" i="1" l="1"/>
  <c r="G11" i="1" s="1"/>
  <c r="F13" i="4"/>
  <c r="H13" i="4" s="1"/>
  <c r="G12" i="3"/>
  <c r="H12" i="3"/>
  <c r="J11" i="3"/>
  <c r="F13" i="2"/>
  <c r="G13" i="2" s="1"/>
  <c r="J10" i="1" l="1"/>
  <c r="H11" i="1"/>
  <c r="F12" i="1" s="1"/>
  <c r="J11" i="1" s="1"/>
  <c r="J12" i="4"/>
  <c r="G13" i="4"/>
  <c r="F14" i="4" s="1"/>
  <c r="G14" i="4" s="1"/>
  <c r="J12" i="2"/>
  <c r="H13" i="2"/>
  <c r="F14" i="2" s="1"/>
  <c r="F13" i="3"/>
  <c r="J12" i="3" s="1"/>
  <c r="H12" i="1" l="1"/>
  <c r="G12" i="1"/>
  <c r="H14" i="4"/>
  <c r="F15" i="4" s="1"/>
  <c r="H15" i="4" s="1"/>
  <c r="J13" i="4"/>
  <c r="H13" i="3"/>
  <c r="G13" i="3"/>
  <c r="G14" i="2"/>
  <c r="J13" i="2"/>
  <c r="H14" i="2"/>
  <c r="F13" i="1" l="1"/>
  <c r="G13" i="1" s="1"/>
  <c r="J14" i="4"/>
  <c r="G15" i="4"/>
  <c r="F16" i="4" s="1"/>
  <c r="J15" i="4" s="1"/>
  <c r="F14" i="3"/>
  <c r="H14" i="3" s="1"/>
  <c r="F15" i="2"/>
  <c r="J12" i="1" l="1"/>
  <c r="H13" i="1"/>
  <c r="F14" i="1" s="1"/>
  <c r="J13" i="1" s="1"/>
  <c r="H16" i="4"/>
  <c r="G16" i="4"/>
  <c r="D139" i="4"/>
  <c r="G14" i="3"/>
  <c r="F15" i="3" s="1"/>
  <c r="G15" i="3" s="1"/>
  <c r="J13" i="3"/>
  <c r="H15" i="2"/>
  <c r="G15" i="2"/>
  <c r="J14" i="2"/>
  <c r="G14" i="1" l="1"/>
  <c r="H14" i="1"/>
  <c r="F17" i="4"/>
  <c r="J14" i="3"/>
  <c r="H15" i="3"/>
  <c r="F16" i="3" s="1"/>
  <c r="J15" i="3" s="1"/>
  <c r="F16" i="2"/>
  <c r="J15" i="2" s="1"/>
  <c r="E139" i="4"/>
  <c r="F15" i="1" l="1"/>
  <c r="J14" i="1" s="1"/>
  <c r="F139" i="4"/>
  <c r="E8" i="6" s="1"/>
  <c r="J16" i="4"/>
  <c r="H17" i="4"/>
  <c r="G17" i="4"/>
  <c r="G16" i="3"/>
  <c r="D139" i="3"/>
  <c r="H16" i="3"/>
  <c r="G16" i="2"/>
  <c r="D139" i="2"/>
  <c r="H16" i="2"/>
  <c r="E8" i="8" a="1"/>
  <c r="E8" i="8" l="1"/>
  <c r="T8" i="6"/>
  <c r="G15" i="1"/>
  <c r="H15" i="1"/>
  <c r="F18" i="4"/>
  <c r="J17" i="4" s="1"/>
  <c r="F17" i="3"/>
  <c r="J16" i="3" s="1"/>
  <c r="F17" i="2"/>
  <c r="H17" i="2" s="1"/>
  <c r="E139" i="3"/>
  <c r="E139" i="2"/>
  <c r="F16" i="1" l="1"/>
  <c r="D139" i="1" s="1"/>
  <c r="G18" i="4"/>
  <c r="H18" i="4"/>
  <c r="G17" i="3"/>
  <c r="H17" i="3"/>
  <c r="F139" i="3"/>
  <c r="F8" i="6" s="1"/>
  <c r="J16" i="2"/>
  <c r="G17" i="2"/>
  <c r="F18" i="2" s="1"/>
  <c r="F139" i="2"/>
  <c r="D8" i="6" s="1"/>
  <c r="D8" i="8" a="1"/>
  <c r="F8" i="8" a="1"/>
  <c r="F8" i="8" l="1"/>
  <c r="U8" i="6"/>
  <c r="D8" i="8"/>
  <c r="S8" i="6"/>
  <c r="G16" i="1"/>
  <c r="H16" i="1"/>
  <c r="J15" i="1"/>
  <c r="F19" i="4"/>
  <c r="J18" i="4" s="1"/>
  <c r="F18" i="3"/>
  <c r="J17" i="3" s="1"/>
  <c r="G18" i="2"/>
  <c r="H18" i="2"/>
  <c r="J17" i="2"/>
  <c r="G8" i="8" l="1"/>
  <c r="F17" i="1"/>
  <c r="J16" i="1" s="1"/>
  <c r="H18" i="3"/>
  <c r="G18" i="3"/>
  <c r="H19" i="4"/>
  <c r="G19" i="4"/>
  <c r="F19" i="2"/>
  <c r="J18" i="2" s="1"/>
  <c r="E139" i="1"/>
  <c r="H17" i="1" l="1"/>
  <c r="F139" i="1"/>
  <c r="C8" i="6" s="1"/>
  <c r="V8" i="6" s="1"/>
  <c r="G17" i="1"/>
  <c r="F19" i="3"/>
  <c r="G19" i="3" s="1"/>
  <c r="F20" i="4"/>
  <c r="G20" i="4" s="1"/>
  <c r="G19" i="2"/>
  <c r="H19" i="2"/>
  <c r="C8" i="8" a="1"/>
  <c r="C8" i="8" l="1"/>
  <c r="F18" i="1"/>
  <c r="J17" i="1" s="1"/>
  <c r="J18" i="3"/>
  <c r="H19" i="3"/>
  <c r="F20" i="3" s="1"/>
  <c r="G20" i="3" s="1"/>
  <c r="J19" i="4"/>
  <c r="H20" i="4"/>
  <c r="F21" i="4" s="1"/>
  <c r="H21" i="4" s="1"/>
  <c r="F20" i="2"/>
  <c r="X8" i="6" l="1"/>
  <c r="L8" i="8" s="1"/>
  <c r="J8" i="8"/>
  <c r="Y8" i="6"/>
  <c r="M8" i="8" s="1"/>
  <c r="G18" i="1"/>
  <c r="H18" i="1"/>
  <c r="J20" i="4"/>
  <c r="G21" i="4"/>
  <c r="F22" i="4" s="1"/>
  <c r="G22" i="4" s="1"/>
  <c r="H20" i="3"/>
  <c r="F21" i="3" s="1"/>
  <c r="J19" i="3"/>
  <c r="G20" i="2"/>
  <c r="J19" i="2"/>
  <c r="H20" i="2"/>
  <c r="F19" i="1" l="1"/>
  <c r="H19" i="1" s="1"/>
  <c r="J21" i="4"/>
  <c r="H22" i="4"/>
  <c r="F23" i="4" s="1"/>
  <c r="H23" i="4" s="1"/>
  <c r="J20" i="3"/>
  <c r="H21" i="3"/>
  <c r="G21" i="3"/>
  <c r="F21" i="2"/>
  <c r="G19" i="1" l="1"/>
  <c r="F20" i="1" s="1"/>
  <c r="G20" i="1" s="1"/>
  <c r="J18" i="1"/>
  <c r="G23" i="4"/>
  <c r="F24" i="4" s="1"/>
  <c r="H24" i="4" s="1"/>
  <c r="J22" i="4"/>
  <c r="F22" i="3"/>
  <c r="H22" i="3" s="1"/>
  <c r="J20" i="2"/>
  <c r="H21" i="2"/>
  <c r="G21" i="2"/>
  <c r="J19" i="1" l="1"/>
  <c r="H20" i="1"/>
  <c r="F21" i="1" s="1"/>
  <c r="G21" i="1" s="1"/>
  <c r="G24" i="4"/>
  <c r="F25" i="4" s="1"/>
  <c r="H25" i="4" s="1"/>
  <c r="J23" i="4"/>
  <c r="J21" i="3"/>
  <c r="G22" i="3"/>
  <c r="F23" i="3" s="1"/>
  <c r="J22" i="3" s="1"/>
  <c r="F22" i="2"/>
  <c r="J21" i="2" s="1"/>
  <c r="H21" i="1" l="1"/>
  <c r="F22" i="1" s="1"/>
  <c r="J20" i="1"/>
  <c r="J24" i="4"/>
  <c r="G25" i="4"/>
  <c r="F26" i="4" s="1"/>
  <c r="G26" i="4" s="1"/>
  <c r="G23" i="3"/>
  <c r="H23" i="3"/>
  <c r="H22" i="2"/>
  <c r="G22" i="2"/>
  <c r="J21" i="1" l="1"/>
  <c r="H22" i="1"/>
  <c r="G22" i="1"/>
  <c r="J25" i="4"/>
  <c r="H26" i="4"/>
  <c r="F27" i="4" s="1"/>
  <c r="H27" i="4" s="1"/>
  <c r="F24" i="3"/>
  <c r="J23" i="3" s="1"/>
  <c r="F23" i="2"/>
  <c r="F23" i="1" l="1"/>
  <c r="J22" i="1" s="1"/>
  <c r="G24" i="3"/>
  <c r="H24" i="3"/>
  <c r="D140" i="4"/>
  <c r="G27" i="4"/>
  <c r="F28" i="4" s="1"/>
  <c r="J26" i="4"/>
  <c r="G23" i="2"/>
  <c r="H23" i="2"/>
  <c r="J22" i="2"/>
  <c r="E140" i="4"/>
  <c r="G23" i="1" l="1"/>
  <c r="H23" i="1"/>
  <c r="F25" i="3"/>
  <c r="G25" i="3" s="1"/>
  <c r="F140" i="4"/>
  <c r="E9" i="6" s="1"/>
  <c r="J27" i="4"/>
  <c r="G28" i="4"/>
  <c r="H28" i="4"/>
  <c r="F24" i="2"/>
  <c r="G24" i="2" s="1"/>
  <c r="E9" i="8" a="1"/>
  <c r="E9" i="8" l="1"/>
  <c r="T9" i="6"/>
  <c r="F24" i="1"/>
  <c r="H24" i="1" s="1"/>
  <c r="H25" i="3"/>
  <c r="F26" i="3" s="1"/>
  <c r="J24" i="3"/>
  <c r="F29" i="4"/>
  <c r="J23" i="2"/>
  <c r="H24" i="2"/>
  <c r="F25" i="2" s="1"/>
  <c r="H25" i="2" s="1"/>
  <c r="J23" i="1" l="1"/>
  <c r="G24" i="1"/>
  <c r="F25" i="1" s="1"/>
  <c r="G25" i="1" s="1"/>
  <c r="H26" i="3"/>
  <c r="G26" i="3"/>
  <c r="J25" i="3"/>
  <c r="H29" i="4"/>
  <c r="G29" i="4"/>
  <c r="J28" i="4"/>
  <c r="D141" i="4"/>
  <c r="G25" i="2"/>
  <c r="F26" i="2" s="1"/>
  <c r="J25" i="2" s="1"/>
  <c r="J24" i="2"/>
  <c r="J24" i="1" l="1"/>
  <c r="H25" i="1"/>
  <c r="F26" i="1" s="1"/>
  <c r="J25" i="1" s="1"/>
  <c r="F27" i="3"/>
  <c r="J26" i="3" s="1"/>
  <c r="F30" i="4"/>
  <c r="G30" i="4" s="1"/>
  <c r="H26" i="2"/>
  <c r="G26" i="2"/>
  <c r="E141" i="4"/>
  <c r="H26" i="1" l="1"/>
  <c r="G26" i="1"/>
  <c r="D140" i="3"/>
  <c r="G27" i="3"/>
  <c r="H27" i="3"/>
  <c r="J29" i="4"/>
  <c r="H30" i="4"/>
  <c r="F31" i="4" s="1"/>
  <c r="F141" i="4"/>
  <c r="E10" i="6" s="1"/>
  <c r="F27" i="2"/>
  <c r="H27" i="2" s="1"/>
  <c r="E10" i="8" a="1"/>
  <c r="F27" i="1" l="1"/>
  <c r="J26" i="1"/>
  <c r="D140" i="1"/>
  <c r="H27" i="1"/>
  <c r="G27" i="1"/>
  <c r="E10" i="8"/>
  <c r="T10" i="6"/>
  <c r="F28" i="3"/>
  <c r="J30" i="4"/>
  <c r="H31" i="4"/>
  <c r="G31" i="4"/>
  <c r="G27" i="2"/>
  <c r="F28" i="2" s="1"/>
  <c r="J27" i="2" s="1"/>
  <c r="D140" i="2"/>
  <c r="J26" i="2"/>
  <c r="E140" i="2"/>
  <c r="E140" i="3"/>
  <c r="F28" i="1" l="1"/>
  <c r="J27" i="1"/>
  <c r="G28" i="1"/>
  <c r="H28" i="1"/>
  <c r="F140" i="3"/>
  <c r="F9" i="6" s="1"/>
  <c r="H28" i="3"/>
  <c r="G28" i="3"/>
  <c r="J27" i="3"/>
  <c r="G28" i="2"/>
  <c r="H28" i="2"/>
  <c r="F32" i="4"/>
  <c r="F140" i="2"/>
  <c r="D9" i="6" s="1"/>
  <c r="E140" i="1"/>
  <c r="F9" i="8" a="1"/>
  <c r="D9" i="8" a="1"/>
  <c r="F140" i="1" l="1"/>
  <c r="C9" i="6" s="1"/>
  <c r="D9" i="8"/>
  <c r="F9" i="8"/>
  <c r="S9" i="6"/>
  <c r="U9" i="6"/>
  <c r="F29" i="1"/>
  <c r="G29" i="1" s="1"/>
  <c r="F29" i="3"/>
  <c r="D141" i="3" s="1"/>
  <c r="F29" i="2"/>
  <c r="J28" i="2" s="1"/>
  <c r="H32" i="4"/>
  <c r="J31" i="4"/>
  <c r="G32" i="4"/>
  <c r="C9" i="8" a="1"/>
  <c r="C9" i="8" l="1"/>
  <c r="J28" i="1"/>
  <c r="H29" i="1"/>
  <c r="V9" i="6"/>
  <c r="J9" i="8" s="1"/>
  <c r="G9" i="8"/>
  <c r="D141" i="1"/>
  <c r="F30" i="1"/>
  <c r="G30" i="1" s="1"/>
  <c r="J28" i="3"/>
  <c r="G29" i="3"/>
  <c r="H29" i="3"/>
  <c r="G29" i="2"/>
  <c r="F33" i="4"/>
  <c r="J32" i="4" s="1"/>
  <c r="D141" i="2"/>
  <c r="H29" i="2"/>
  <c r="E141" i="1"/>
  <c r="X9" i="6" l="1"/>
  <c r="L9" i="8" s="1"/>
  <c r="Y9" i="6"/>
  <c r="M9" i="8" s="1"/>
  <c r="J29" i="1"/>
  <c r="H30" i="1"/>
  <c r="F31" i="1" s="1"/>
  <c r="J30" i="1" s="1"/>
  <c r="F141" i="1"/>
  <c r="C10" i="6" s="1"/>
  <c r="F30" i="3"/>
  <c r="G30" i="3" s="1"/>
  <c r="F30" i="2"/>
  <c r="H30" i="2" s="1"/>
  <c r="G33" i="4"/>
  <c r="H33" i="4"/>
  <c r="E141" i="2"/>
  <c r="C10" i="8" a="1"/>
  <c r="E141" i="3"/>
  <c r="C10" i="8" l="1"/>
  <c r="G31" i="1"/>
  <c r="H31" i="1"/>
  <c r="J29" i="3"/>
  <c r="F141" i="3"/>
  <c r="F10" i="6" s="1"/>
  <c r="H30" i="3"/>
  <c r="F31" i="3" s="1"/>
  <c r="F141" i="2"/>
  <c r="D10" i="6" s="1"/>
  <c r="F34" i="4"/>
  <c r="H34" i="4" s="1"/>
  <c r="J29" i="2"/>
  <c r="G30" i="2"/>
  <c r="F31" i="2" s="1"/>
  <c r="J30" i="2" s="1"/>
  <c r="F10" i="8" a="1"/>
  <c r="D10" i="8" a="1"/>
  <c r="D10" i="8" l="1"/>
  <c r="F10" i="8"/>
  <c r="S10" i="6"/>
  <c r="U10" i="6"/>
  <c r="F32" i="1"/>
  <c r="J31" i="1" s="1"/>
  <c r="H31" i="3"/>
  <c r="G31" i="3"/>
  <c r="J30" i="3"/>
  <c r="H31" i="2"/>
  <c r="G31" i="2"/>
  <c r="J33" i="4"/>
  <c r="G34" i="4"/>
  <c r="F35" i="4" s="1"/>
  <c r="H35" i="4" s="1"/>
  <c r="H32" i="1" l="1"/>
  <c r="G32" i="1"/>
  <c r="V10" i="6"/>
  <c r="X10" i="6" s="1"/>
  <c r="L10" i="8" s="1"/>
  <c r="G10" i="8"/>
  <c r="F33" i="1"/>
  <c r="H33" i="1" s="1"/>
  <c r="F32" i="3"/>
  <c r="G32" i="3" s="1"/>
  <c r="F32" i="2"/>
  <c r="H32" i="2" s="1"/>
  <c r="G35" i="4"/>
  <c r="F36" i="4" s="1"/>
  <c r="J35" i="4" s="1"/>
  <c r="J34" i="4"/>
  <c r="J32" i="1" l="1"/>
  <c r="G33" i="1"/>
  <c r="F34" i="1" s="1"/>
  <c r="Y10" i="6"/>
  <c r="M10" i="8" s="1"/>
  <c r="J10" i="8"/>
  <c r="H32" i="3"/>
  <c r="F33" i="3" s="1"/>
  <c r="J31" i="3"/>
  <c r="J31" i="2"/>
  <c r="G32" i="2"/>
  <c r="F33" i="2" s="1"/>
  <c r="H36" i="4"/>
  <c r="G36" i="4"/>
  <c r="G34" i="1" l="1"/>
  <c r="H34" i="1"/>
  <c r="J33" i="1"/>
  <c r="H33" i="3"/>
  <c r="J32" i="3"/>
  <c r="G33" i="3"/>
  <c r="G33" i="2"/>
  <c r="J32" i="2"/>
  <c r="H33" i="2"/>
  <c r="F37" i="4"/>
  <c r="F35" i="1" l="1"/>
  <c r="H35" i="1" s="1"/>
  <c r="F34" i="3"/>
  <c r="G34" i="3" s="1"/>
  <c r="F34" i="2"/>
  <c r="G34" i="2" s="1"/>
  <c r="G37" i="4"/>
  <c r="H37" i="4"/>
  <c r="J36" i="4"/>
  <c r="J34" i="1" l="1"/>
  <c r="G35" i="1"/>
  <c r="F36" i="1" s="1"/>
  <c r="G36" i="1" s="1"/>
  <c r="H34" i="3"/>
  <c r="F35" i="3" s="1"/>
  <c r="J33" i="3"/>
  <c r="H34" i="2"/>
  <c r="F35" i="2" s="1"/>
  <c r="H35" i="2" s="1"/>
  <c r="J33" i="2"/>
  <c r="F38" i="4"/>
  <c r="H38" i="4" s="1"/>
  <c r="J35" i="1" l="1"/>
  <c r="H36" i="1"/>
  <c r="F37" i="1" s="1"/>
  <c r="H37" i="1" s="1"/>
  <c r="H35" i="3"/>
  <c r="J34" i="3"/>
  <c r="G35" i="3"/>
  <c r="J34" i="2"/>
  <c r="G35" i="2"/>
  <c r="F36" i="2" s="1"/>
  <c r="J37" i="4"/>
  <c r="G38" i="4"/>
  <c r="F39" i="4" s="1"/>
  <c r="J36" i="1" l="1"/>
  <c r="G37" i="1"/>
  <c r="F38" i="1" s="1"/>
  <c r="G38" i="1" s="1"/>
  <c r="F36" i="3"/>
  <c r="G36" i="3" s="1"/>
  <c r="J35" i="2"/>
  <c r="H36" i="2"/>
  <c r="G36" i="2"/>
  <c r="J38" i="4"/>
  <c r="H39" i="4"/>
  <c r="G39" i="4"/>
  <c r="J37" i="1" l="1"/>
  <c r="H38" i="1"/>
  <c r="F39" i="1" s="1"/>
  <c r="G39" i="1" s="1"/>
  <c r="H36" i="3"/>
  <c r="F37" i="3" s="1"/>
  <c r="G37" i="3" s="1"/>
  <c r="J35" i="3"/>
  <c r="F37" i="2"/>
  <c r="G37" i="2" s="1"/>
  <c r="F40" i="4"/>
  <c r="H39" i="1" l="1"/>
  <c r="F40" i="1" s="1"/>
  <c r="H40" i="1" s="1"/>
  <c r="J38" i="1"/>
  <c r="J39" i="1"/>
  <c r="G40" i="1"/>
  <c r="F41" i="1" s="1"/>
  <c r="G41" i="1" s="1"/>
  <c r="J36" i="3"/>
  <c r="H37" i="3"/>
  <c r="F38" i="3" s="1"/>
  <c r="J37" i="3" s="1"/>
  <c r="H37" i="2"/>
  <c r="F38" i="2" s="1"/>
  <c r="J36" i="2"/>
  <c r="J39" i="4"/>
  <c r="G40" i="4"/>
  <c r="H40" i="4"/>
  <c r="J40" i="1" l="1"/>
  <c r="H41" i="1"/>
  <c r="F42" i="1" s="1"/>
  <c r="H42" i="1" s="1"/>
  <c r="G38" i="3"/>
  <c r="H38" i="3"/>
  <c r="H38" i="2"/>
  <c r="G38" i="2"/>
  <c r="J37" i="2"/>
  <c r="F41" i="4"/>
  <c r="H41" i="4" s="1"/>
  <c r="G42" i="1" l="1"/>
  <c r="J41" i="1"/>
  <c r="F43" i="1"/>
  <c r="J42" i="1" s="1"/>
  <c r="F39" i="3"/>
  <c r="H39" i="3" s="1"/>
  <c r="F39" i="2"/>
  <c r="J38" i="2" s="1"/>
  <c r="J40" i="4"/>
  <c r="G41" i="4"/>
  <c r="F42" i="4" s="1"/>
  <c r="J41" i="4" s="1"/>
  <c r="G43" i="1" l="1"/>
  <c r="H43" i="1"/>
  <c r="F44" i="1" s="1"/>
  <c r="J38" i="3"/>
  <c r="G39" i="3"/>
  <c r="F40" i="3" s="1"/>
  <c r="H40" i="3" s="1"/>
  <c r="G39" i="2"/>
  <c r="H39" i="2"/>
  <c r="H42" i="4"/>
  <c r="G42" i="4"/>
  <c r="H44" i="1" l="1"/>
  <c r="J43" i="1"/>
  <c r="G44" i="1"/>
  <c r="F45" i="1" s="1"/>
  <c r="G45" i="1" s="1"/>
  <c r="J39" i="3"/>
  <c r="G40" i="3"/>
  <c r="F41" i="3" s="1"/>
  <c r="H41" i="3" s="1"/>
  <c r="F40" i="2"/>
  <c r="G40" i="2" s="1"/>
  <c r="F43" i="4"/>
  <c r="J44" i="1" l="1"/>
  <c r="H45" i="1"/>
  <c r="F46" i="1" s="1"/>
  <c r="G46" i="1" s="1"/>
  <c r="J40" i="3"/>
  <c r="H40" i="2"/>
  <c r="F41" i="2" s="1"/>
  <c r="G41" i="2" s="1"/>
  <c r="J39" i="2"/>
  <c r="G41" i="3"/>
  <c r="F42" i="3" s="1"/>
  <c r="J41" i="3" s="1"/>
  <c r="J42" i="4"/>
  <c r="H43" i="4"/>
  <c r="G43" i="4"/>
  <c r="H46" i="1" l="1"/>
  <c r="F47" i="1" s="1"/>
  <c r="H47" i="1" s="1"/>
  <c r="J45" i="1"/>
  <c r="G47" i="1"/>
  <c r="F48" i="1" s="1"/>
  <c r="J47" i="1" s="1"/>
  <c r="J46" i="1"/>
  <c r="H42" i="3"/>
  <c r="H41" i="2"/>
  <c r="F42" i="2" s="1"/>
  <c r="H42" i="2" s="1"/>
  <c r="J40" i="2"/>
  <c r="G42" i="3"/>
  <c r="F44" i="4"/>
  <c r="H48" i="1" l="1"/>
  <c r="G48" i="1"/>
  <c r="F49" i="1" s="1"/>
  <c r="F43" i="3"/>
  <c r="H43" i="3" s="1"/>
  <c r="J41" i="2"/>
  <c r="G42" i="2"/>
  <c r="F43" i="2" s="1"/>
  <c r="J43" i="4"/>
  <c r="G44" i="4"/>
  <c r="H44" i="4"/>
  <c r="D142" i="1" l="1"/>
  <c r="G49" i="1"/>
  <c r="J48" i="1"/>
  <c r="H49" i="1"/>
  <c r="J42" i="3"/>
  <c r="G43" i="3"/>
  <c r="F44" i="3" s="1"/>
  <c r="J42" i="2"/>
  <c r="H43" i="2"/>
  <c r="G43" i="2"/>
  <c r="F45" i="4"/>
  <c r="H45" i="4" s="1"/>
  <c r="F50" i="1" l="1"/>
  <c r="J49" i="1"/>
  <c r="H50" i="1"/>
  <c r="G50" i="1"/>
  <c r="H44" i="3"/>
  <c r="J43" i="3"/>
  <c r="G44" i="3"/>
  <c r="F44" i="2"/>
  <c r="H44" i="2" s="1"/>
  <c r="J44" i="4"/>
  <c r="G45" i="4"/>
  <c r="F46" i="4" s="1"/>
  <c r="H46" i="4" s="1"/>
  <c r="E142" i="1"/>
  <c r="F142" i="1" l="1"/>
  <c r="C11" i="6" s="1"/>
  <c r="F51" i="1"/>
  <c r="G51" i="1" s="1"/>
  <c r="F45" i="3"/>
  <c r="G44" i="2"/>
  <c r="F45" i="2" s="1"/>
  <c r="J43" i="2"/>
  <c r="G46" i="4"/>
  <c r="F47" i="4" s="1"/>
  <c r="J45" i="4"/>
  <c r="C11" i="8" a="1"/>
  <c r="H51" i="1" l="1"/>
  <c r="F52" i="1" s="1"/>
  <c r="G52" i="1" s="1"/>
  <c r="J50" i="1"/>
  <c r="C11" i="8"/>
  <c r="H52" i="1"/>
  <c r="F53" i="1" s="1"/>
  <c r="J51" i="1"/>
  <c r="G45" i="3"/>
  <c r="H45" i="3"/>
  <c r="J44" i="3"/>
  <c r="H45" i="2"/>
  <c r="J44" i="2"/>
  <c r="G45" i="2"/>
  <c r="H47" i="4"/>
  <c r="G47" i="4"/>
  <c r="J46" i="4"/>
  <c r="G53" i="1" l="1"/>
  <c r="J52" i="1"/>
  <c r="H53" i="1"/>
  <c r="F46" i="3"/>
  <c r="G46" i="3" s="1"/>
  <c r="F46" i="2"/>
  <c r="F48" i="4"/>
  <c r="J47" i="4" s="1"/>
  <c r="F54" i="1" l="1"/>
  <c r="J45" i="3"/>
  <c r="H46" i="3"/>
  <c r="F47" i="3" s="1"/>
  <c r="J46" i="3" s="1"/>
  <c r="J45" i="2"/>
  <c r="G46" i="2"/>
  <c r="H46" i="2"/>
  <c r="H48" i="4"/>
  <c r="G48" i="4"/>
  <c r="G54" i="1" l="1"/>
  <c r="H54" i="1"/>
  <c r="F55" i="1" s="1"/>
  <c r="J53" i="1"/>
  <c r="H47" i="3"/>
  <c r="G47" i="3"/>
  <c r="F47" i="2"/>
  <c r="J46" i="2" s="1"/>
  <c r="F49" i="4"/>
  <c r="J48" i="4" s="1"/>
  <c r="H55" i="1" l="1"/>
  <c r="J54" i="1"/>
  <c r="G55" i="1"/>
  <c r="F56" i="1" s="1"/>
  <c r="F48" i="3"/>
  <c r="H48" i="3" s="1"/>
  <c r="H47" i="2"/>
  <c r="G47" i="2"/>
  <c r="D142" i="4"/>
  <c r="H49" i="4"/>
  <c r="G49" i="4"/>
  <c r="J55" i="1" l="1"/>
  <c r="H56" i="1"/>
  <c r="G56" i="1"/>
  <c r="J47" i="3"/>
  <c r="G48" i="3"/>
  <c r="F49" i="3" s="1"/>
  <c r="H49" i="3" s="1"/>
  <c r="F50" i="4"/>
  <c r="G50" i="4" s="1"/>
  <c r="F48" i="2"/>
  <c r="H48" i="2" s="1"/>
  <c r="E142" i="4"/>
  <c r="F57" i="1" l="1"/>
  <c r="G49" i="3"/>
  <c r="F50" i="3" s="1"/>
  <c r="D142" i="3"/>
  <c r="J48" i="3"/>
  <c r="J49" i="4"/>
  <c r="F142" i="4"/>
  <c r="E11" i="6" s="1"/>
  <c r="H50" i="4"/>
  <c r="F51" i="4" s="1"/>
  <c r="G48" i="2"/>
  <c r="F49" i="2" s="1"/>
  <c r="G49" i="2" s="1"/>
  <c r="J47" i="2"/>
  <c r="E142" i="3"/>
  <c r="E11" i="8" a="1"/>
  <c r="E11" i="8" l="1"/>
  <c r="H57" i="1"/>
  <c r="G57" i="1"/>
  <c r="F58" i="1" s="1"/>
  <c r="J56" i="1"/>
  <c r="H50" i="3"/>
  <c r="G50" i="3"/>
  <c r="J49" i="3"/>
  <c r="F142" i="3"/>
  <c r="F11" i="6" s="1"/>
  <c r="J50" i="4"/>
  <c r="G51" i="4"/>
  <c r="H51" i="4"/>
  <c r="D142" i="2"/>
  <c r="J48" i="2"/>
  <c r="H49" i="2"/>
  <c r="F50" i="2" s="1"/>
  <c r="H50" i="2" s="1"/>
  <c r="F11" i="8" a="1"/>
  <c r="E142" i="2"/>
  <c r="F11" i="8" l="1"/>
  <c r="G58" i="1"/>
  <c r="H58" i="1"/>
  <c r="J57" i="1"/>
  <c r="F51" i="3"/>
  <c r="G51" i="3" s="1"/>
  <c r="F52" i="4"/>
  <c r="H52" i="4" s="1"/>
  <c r="J49" i="2"/>
  <c r="G50" i="2"/>
  <c r="F51" i="2" s="1"/>
  <c r="H51" i="2" s="1"/>
  <c r="F142" i="2"/>
  <c r="D11" i="6" s="1"/>
  <c r="V11" i="6" s="1"/>
  <c r="D11" i="8" a="1"/>
  <c r="D11" i="8" l="1"/>
  <c r="F59" i="1"/>
  <c r="J50" i="3"/>
  <c r="H51" i="3"/>
  <c r="F52" i="3" s="1"/>
  <c r="J51" i="3" s="1"/>
  <c r="G52" i="4"/>
  <c r="F53" i="4" s="1"/>
  <c r="G53" i="4" s="1"/>
  <c r="J51" i="4"/>
  <c r="J50" i="2"/>
  <c r="G51" i="2"/>
  <c r="F52" i="2" s="1"/>
  <c r="H52" i="2" s="1"/>
  <c r="X11" i="6" l="1"/>
  <c r="L11" i="8" s="1"/>
  <c r="J11" i="8"/>
  <c r="Y11" i="6"/>
  <c r="M11" i="8" s="1"/>
  <c r="G59" i="1"/>
  <c r="J58" i="1"/>
  <c r="H59" i="1"/>
  <c r="G52" i="3"/>
  <c r="H52" i="3"/>
  <c r="J52" i="4"/>
  <c r="H53" i="4"/>
  <c r="F54" i="4" s="1"/>
  <c r="H54" i="4" s="1"/>
  <c r="J51" i="2"/>
  <c r="G52" i="2"/>
  <c r="F53" i="2" s="1"/>
  <c r="G53" i="2" s="1"/>
  <c r="F60" i="1" l="1"/>
  <c r="D143" i="1"/>
  <c r="G60" i="1"/>
  <c r="J59" i="1"/>
  <c r="H60" i="1"/>
  <c r="F53" i="3"/>
  <c r="G53" i="3" s="1"/>
  <c r="G54" i="4"/>
  <c r="F55" i="4" s="1"/>
  <c r="H55" i="4" s="1"/>
  <c r="J53" i="4"/>
  <c r="H53" i="2"/>
  <c r="F54" i="2" s="1"/>
  <c r="H54" i="2" s="1"/>
  <c r="J52" i="2"/>
  <c r="F61" i="1" l="1"/>
  <c r="J60" i="1" s="1"/>
  <c r="H53" i="3"/>
  <c r="F54" i="3" s="1"/>
  <c r="H54" i="3" s="1"/>
  <c r="J52" i="3"/>
  <c r="J54" i="4"/>
  <c r="G55" i="4"/>
  <c r="F56" i="4" s="1"/>
  <c r="G56" i="4" s="1"/>
  <c r="G54" i="2"/>
  <c r="F55" i="2" s="1"/>
  <c r="J54" i="2" s="1"/>
  <c r="J53" i="2"/>
  <c r="E143" i="1"/>
  <c r="G61" i="1" l="1"/>
  <c r="H61" i="1"/>
  <c r="F143" i="1"/>
  <c r="C12" i="6" s="1"/>
  <c r="J55" i="4"/>
  <c r="H56" i="4"/>
  <c r="F57" i="4" s="1"/>
  <c r="G57" i="4" s="1"/>
  <c r="G54" i="3"/>
  <c r="F55" i="3" s="1"/>
  <c r="G55" i="3" s="1"/>
  <c r="J53" i="3"/>
  <c r="G55" i="2"/>
  <c r="H55" i="2"/>
  <c r="C12" i="8" a="1"/>
  <c r="C12" i="8" l="1"/>
  <c r="F62" i="1"/>
  <c r="G62" i="1" s="1"/>
  <c r="J54" i="3"/>
  <c r="H55" i="3"/>
  <c r="F56" i="3" s="1"/>
  <c r="H56" i="3" s="1"/>
  <c r="F56" i="2"/>
  <c r="G56" i="2" s="1"/>
  <c r="J56" i="4"/>
  <c r="H57" i="4"/>
  <c r="F58" i="4" s="1"/>
  <c r="J57" i="4" s="1"/>
  <c r="J61" i="1" l="1"/>
  <c r="H62" i="1"/>
  <c r="F63" i="1" s="1"/>
  <c r="H63" i="1" s="1"/>
  <c r="G56" i="3"/>
  <c r="F57" i="3" s="1"/>
  <c r="H57" i="3" s="1"/>
  <c r="J55" i="3"/>
  <c r="J55" i="2"/>
  <c r="H56" i="2"/>
  <c r="F57" i="2" s="1"/>
  <c r="H57" i="2" s="1"/>
  <c r="H58" i="4"/>
  <c r="G58" i="4"/>
  <c r="J62" i="1" l="1"/>
  <c r="G63" i="1"/>
  <c r="F64" i="1" s="1"/>
  <c r="J63" i="1" s="1"/>
  <c r="G57" i="3"/>
  <c r="F58" i="3" s="1"/>
  <c r="H58" i="3" s="1"/>
  <c r="J56" i="3"/>
  <c r="G57" i="2"/>
  <c r="F58" i="2" s="1"/>
  <c r="J56" i="2"/>
  <c r="F59" i="4"/>
  <c r="H59" i="4" s="1"/>
  <c r="H64" i="1" l="1"/>
  <c r="G64" i="1"/>
  <c r="F65" i="1" s="1"/>
  <c r="G58" i="3"/>
  <c r="F59" i="3" s="1"/>
  <c r="J58" i="3" s="1"/>
  <c r="J57" i="3"/>
  <c r="G59" i="4"/>
  <c r="F60" i="4" s="1"/>
  <c r="D143" i="4" s="1"/>
  <c r="J58" i="4"/>
  <c r="G58" i="2"/>
  <c r="H58" i="2"/>
  <c r="J57" i="2"/>
  <c r="G65" i="1" l="1"/>
  <c r="H65" i="1"/>
  <c r="F66" i="1" s="1"/>
  <c r="J65" i="1" s="1"/>
  <c r="J64" i="1"/>
  <c r="G66" i="1"/>
  <c r="G59" i="3"/>
  <c r="H59" i="3"/>
  <c r="G60" i="4"/>
  <c r="J59" i="4"/>
  <c r="H60" i="4"/>
  <c r="F59" i="2"/>
  <c r="H59" i="2" s="1"/>
  <c r="H66" i="1" l="1"/>
  <c r="F67" i="1" s="1"/>
  <c r="F61" i="4"/>
  <c r="G61" i="4" s="1"/>
  <c r="F60" i="3"/>
  <c r="D143" i="3" s="1"/>
  <c r="J58" i="2"/>
  <c r="G59" i="2"/>
  <c r="F60" i="2" s="1"/>
  <c r="D143" i="2" s="1"/>
  <c r="E143" i="4"/>
  <c r="J66" i="1" l="1"/>
  <c r="H67" i="1"/>
  <c r="G67" i="1"/>
  <c r="J60" i="4"/>
  <c r="H61" i="4"/>
  <c r="F62" i="4" s="1"/>
  <c r="J61" i="4" s="1"/>
  <c r="F143" i="4"/>
  <c r="E12" i="6" s="1"/>
  <c r="J59" i="3"/>
  <c r="G60" i="3"/>
  <c r="H60" i="3"/>
  <c r="H60" i="2"/>
  <c r="J59" i="2"/>
  <c r="G60" i="2"/>
  <c r="E12" i="8" a="1"/>
  <c r="F68" i="1" l="1"/>
  <c r="E12" i="8"/>
  <c r="F61" i="3"/>
  <c r="J60" i="3" s="1"/>
  <c r="F61" i="2"/>
  <c r="G61" i="2" s="1"/>
  <c r="G62" i="4"/>
  <c r="H62" i="4"/>
  <c r="E143" i="2"/>
  <c r="E143" i="3"/>
  <c r="J67" i="1" l="1"/>
  <c r="G68" i="1"/>
  <c r="H68" i="1"/>
  <c r="H61" i="3"/>
  <c r="G61" i="3"/>
  <c r="F143" i="3"/>
  <c r="F12" i="6" s="1"/>
  <c r="H61" i="2"/>
  <c r="F62" i="2" s="1"/>
  <c r="J61" i="2" s="1"/>
  <c r="J60" i="2"/>
  <c r="F143" i="2"/>
  <c r="D12" i="6" s="1"/>
  <c r="F63" i="4"/>
  <c r="H63" i="4" s="1"/>
  <c r="F12" i="8" a="1"/>
  <c r="D12" i="8" a="1"/>
  <c r="F69" i="1" l="1"/>
  <c r="V12" i="6"/>
  <c r="F12" i="8"/>
  <c r="D12" i="8"/>
  <c r="F62" i="3"/>
  <c r="G62" i="3" s="1"/>
  <c r="G62" i="2"/>
  <c r="H62" i="2"/>
  <c r="J62" i="4"/>
  <c r="G63" i="4"/>
  <c r="F64" i="4" s="1"/>
  <c r="G69" i="1" l="1"/>
  <c r="D144" i="1"/>
  <c r="H69" i="1"/>
  <c r="J68" i="1"/>
  <c r="Y12" i="6"/>
  <c r="M12" i="8" s="1"/>
  <c r="J12" i="8"/>
  <c r="X12" i="6"/>
  <c r="L12" i="8" s="1"/>
  <c r="H62" i="3"/>
  <c r="F63" i="3" s="1"/>
  <c r="H63" i="3" s="1"/>
  <c r="J61" i="3"/>
  <c r="F63" i="2"/>
  <c r="G63" i="2" s="1"/>
  <c r="J63" i="4"/>
  <c r="G64" i="4"/>
  <c r="H64" i="4"/>
  <c r="F70" i="1" l="1"/>
  <c r="J62" i="3"/>
  <c r="G63" i="3"/>
  <c r="F64" i="3" s="1"/>
  <c r="G64" i="3" s="1"/>
  <c r="H63" i="2"/>
  <c r="F64" i="2" s="1"/>
  <c r="H64" i="2" s="1"/>
  <c r="J62" i="2"/>
  <c r="F65" i="4"/>
  <c r="G65" i="4" s="1"/>
  <c r="E144" i="1"/>
  <c r="F144" i="1" l="1"/>
  <c r="C13" i="6" s="1"/>
  <c r="G70" i="1"/>
  <c r="J69" i="1"/>
  <c r="H70" i="1"/>
  <c r="F71" i="1" s="1"/>
  <c r="H64" i="3"/>
  <c r="F65" i="3" s="1"/>
  <c r="J64" i="3" s="1"/>
  <c r="J63" i="3"/>
  <c r="G64" i="2"/>
  <c r="F65" i="2" s="1"/>
  <c r="J64" i="2" s="1"/>
  <c r="J63" i="2"/>
  <c r="J64" i="4"/>
  <c r="H65" i="4"/>
  <c r="F66" i="4" s="1"/>
  <c r="J65" i="4" s="1"/>
  <c r="C13" i="8" a="1"/>
  <c r="C13" i="8" l="1"/>
  <c r="J70" i="1"/>
  <c r="H71" i="1"/>
  <c r="G71" i="1"/>
  <c r="G65" i="3"/>
  <c r="H65" i="3"/>
  <c r="H65" i="2"/>
  <c r="G65" i="2"/>
  <c r="H66" i="4"/>
  <c r="G66" i="4"/>
  <c r="F72" i="1" l="1"/>
  <c r="J71" i="1"/>
  <c r="G72" i="1"/>
  <c r="H72" i="1"/>
  <c r="F66" i="3"/>
  <c r="G66" i="3" s="1"/>
  <c r="F66" i="2"/>
  <c r="H66" i="2" s="1"/>
  <c r="F67" i="4"/>
  <c r="G67" i="4" s="1"/>
  <c r="F73" i="1" l="1"/>
  <c r="J72" i="1" s="1"/>
  <c r="G73" i="1"/>
  <c r="H73" i="1"/>
  <c r="H66" i="3"/>
  <c r="F67" i="3" s="1"/>
  <c r="J66" i="3" s="1"/>
  <c r="J65" i="3"/>
  <c r="J65" i="2"/>
  <c r="G66" i="2"/>
  <c r="F67" i="2" s="1"/>
  <c r="H67" i="2" s="1"/>
  <c r="H67" i="4"/>
  <c r="F68" i="4" s="1"/>
  <c r="J67" i="4" s="1"/>
  <c r="J66" i="4"/>
  <c r="F74" i="1" l="1"/>
  <c r="G74" i="1" s="1"/>
  <c r="J73" i="1"/>
  <c r="H74" i="1"/>
  <c r="G67" i="3"/>
  <c r="H67" i="3"/>
  <c r="J66" i="2"/>
  <c r="G67" i="2"/>
  <c r="F68" i="2" s="1"/>
  <c r="J67" i="2" s="1"/>
  <c r="G68" i="4"/>
  <c r="H68" i="4"/>
  <c r="F75" i="1" l="1"/>
  <c r="F68" i="3"/>
  <c r="H68" i="3" s="1"/>
  <c r="H68" i="2"/>
  <c r="G68" i="2"/>
  <c r="F69" i="4"/>
  <c r="G69" i="4" s="1"/>
  <c r="J74" i="1" l="1"/>
  <c r="H75" i="1"/>
  <c r="G75" i="1"/>
  <c r="J67" i="3"/>
  <c r="G68" i="3"/>
  <c r="F69" i="3" s="1"/>
  <c r="G69" i="3" s="1"/>
  <c r="F69" i="2"/>
  <c r="D144" i="2" s="1"/>
  <c r="D144" i="4"/>
  <c r="H69" i="4"/>
  <c r="F70" i="4" s="1"/>
  <c r="H70" i="4" s="1"/>
  <c r="J68" i="4"/>
  <c r="E144" i="4"/>
  <c r="F76" i="1" l="1"/>
  <c r="G76" i="1"/>
  <c r="H76" i="1"/>
  <c r="F77" i="1" s="1"/>
  <c r="J75" i="1"/>
  <c r="D144" i="3"/>
  <c r="J68" i="3"/>
  <c r="H69" i="3"/>
  <c r="F70" i="3" s="1"/>
  <c r="G70" i="3" s="1"/>
  <c r="G69" i="2"/>
  <c r="J68" i="2"/>
  <c r="H69" i="2"/>
  <c r="J69" i="4"/>
  <c r="F144" i="4"/>
  <c r="E13" i="6" s="1"/>
  <c r="G70" i="4"/>
  <c r="F71" i="4" s="1"/>
  <c r="E13" i="8" a="1"/>
  <c r="E144" i="3"/>
  <c r="J76" i="1" l="1"/>
  <c r="H77" i="1"/>
  <c r="G77" i="1"/>
  <c r="E13" i="8"/>
  <c r="J69" i="3"/>
  <c r="F144" i="3"/>
  <c r="F13" i="6" s="1"/>
  <c r="H70" i="3"/>
  <c r="F71" i="3" s="1"/>
  <c r="F70" i="2"/>
  <c r="H70" i="2" s="1"/>
  <c r="H71" i="4"/>
  <c r="J70" i="4"/>
  <c r="G71" i="4"/>
  <c r="E144" i="2"/>
  <c r="F13" i="8" a="1"/>
  <c r="F78" i="1" l="1"/>
  <c r="H78" i="1" s="1"/>
  <c r="G78" i="1"/>
  <c r="J77" i="1"/>
  <c r="F13" i="8"/>
  <c r="H71" i="3"/>
  <c r="G71" i="3"/>
  <c r="J70" i="3"/>
  <c r="J69" i="2"/>
  <c r="F144" i="2"/>
  <c r="D13" i="6" s="1"/>
  <c r="V13" i="6" s="1"/>
  <c r="G70" i="2"/>
  <c r="F71" i="2" s="1"/>
  <c r="F72" i="4"/>
  <c r="J71" i="4" s="1"/>
  <c r="D13" i="8" a="1"/>
  <c r="F79" i="1" l="1"/>
  <c r="J78" i="1"/>
  <c r="D13" i="8"/>
  <c r="J13" i="8"/>
  <c r="F72" i="3"/>
  <c r="G72" i="3" s="1"/>
  <c r="Y13" i="6"/>
  <c r="M13" i="8" s="1"/>
  <c r="H71" i="2"/>
  <c r="J70" i="2"/>
  <c r="G71" i="2"/>
  <c r="G72" i="4"/>
  <c r="H72" i="4"/>
  <c r="D145" i="1" l="1"/>
  <c r="H79" i="1"/>
  <c r="G79" i="1"/>
  <c r="F80" i="1" s="1"/>
  <c r="J79" i="1" s="1"/>
  <c r="X13" i="6"/>
  <c r="L13" i="8" s="1"/>
  <c r="J71" i="3"/>
  <c r="H72" i="3"/>
  <c r="F73" i="3" s="1"/>
  <c r="J72" i="3" s="1"/>
  <c r="F72" i="2"/>
  <c r="H72" i="2" s="1"/>
  <c r="F73" i="4"/>
  <c r="J72" i="4" s="1"/>
  <c r="E145" i="1"/>
  <c r="H80" i="1" l="1"/>
  <c r="F145" i="1"/>
  <c r="C14" i="6" s="1"/>
  <c r="G80" i="1"/>
  <c r="F81" i="1" s="1"/>
  <c r="J80" i="1" s="1"/>
  <c r="H73" i="3"/>
  <c r="G73" i="3"/>
  <c r="G72" i="2"/>
  <c r="F73" i="2" s="1"/>
  <c r="H73" i="2" s="1"/>
  <c r="J71" i="2"/>
  <c r="H73" i="4"/>
  <c r="G73" i="4"/>
  <c r="C14" i="8" a="1"/>
  <c r="G81" i="1" l="1"/>
  <c r="H81" i="1"/>
  <c r="C14" i="8"/>
  <c r="G73" i="2"/>
  <c r="F74" i="2" s="1"/>
  <c r="G74" i="2" s="1"/>
  <c r="J72" i="2"/>
  <c r="F74" i="3"/>
  <c r="H74" i="3" s="1"/>
  <c r="F74" i="4"/>
  <c r="H74" i="4" s="1"/>
  <c r="F82" i="1" l="1"/>
  <c r="J73" i="3"/>
  <c r="G74" i="3"/>
  <c r="F75" i="3" s="1"/>
  <c r="J74" i="3" s="1"/>
  <c r="G74" i="4"/>
  <c r="F75" i="4" s="1"/>
  <c r="J74" i="4" s="1"/>
  <c r="J73" i="4"/>
  <c r="H74" i="2"/>
  <c r="F75" i="2" s="1"/>
  <c r="J73" i="2"/>
  <c r="J81" i="1" l="1"/>
  <c r="H82" i="1"/>
  <c r="G82" i="1"/>
  <c r="H75" i="3"/>
  <c r="G75" i="3"/>
  <c r="H75" i="4"/>
  <c r="G75" i="4"/>
  <c r="J74" i="2"/>
  <c r="H75" i="2"/>
  <c r="G75" i="2"/>
  <c r="F83" i="1" l="1"/>
  <c r="G83" i="1"/>
  <c r="H83" i="1"/>
  <c r="J82" i="1"/>
  <c r="F76" i="3"/>
  <c r="J75" i="3" s="1"/>
  <c r="F76" i="4"/>
  <c r="J75" i="4" s="1"/>
  <c r="F76" i="2"/>
  <c r="F84" i="1" l="1"/>
  <c r="H76" i="3"/>
  <c r="G76" i="3"/>
  <c r="H76" i="4"/>
  <c r="G76" i="4"/>
  <c r="H76" i="2"/>
  <c r="G76" i="2"/>
  <c r="J75" i="2"/>
  <c r="J83" i="1" l="1"/>
  <c r="H84" i="1"/>
  <c r="G84" i="1"/>
  <c r="F77" i="3"/>
  <c r="H77" i="3" s="1"/>
  <c r="F77" i="4"/>
  <c r="J76" i="4" s="1"/>
  <c r="F77" i="2"/>
  <c r="F85" i="1" l="1"/>
  <c r="H85" i="1"/>
  <c r="G77" i="3"/>
  <c r="F78" i="3" s="1"/>
  <c r="J76" i="3"/>
  <c r="H77" i="4"/>
  <c r="G77" i="4"/>
  <c r="H77" i="2"/>
  <c r="J76" i="2"/>
  <c r="G77" i="2"/>
  <c r="G85" i="1" l="1"/>
  <c r="F86" i="1" s="1"/>
  <c r="J84" i="1"/>
  <c r="F78" i="4"/>
  <c r="J77" i="4" s="1"/>
  <c r="G78" i="3"/>
  <c r="H78" i="3"/>
  <c r="J77" i="3"/>
  <c r="F78" i="2"/>
  <c r="J77" i="2" s="1"/>
  <c r="J85" i="1" l="1"/>
  <c r="H86" i="1"/>
  <c r="G86" i="1"/>
  <c r="H78" i="4"/>
  <c r="G78" i="4"/>
  <c r="F79" i="3"/>
  <c r="G79" i="3" s="1"/>
  <c r="G78" i="2"/>
  <c r="H78" i="2"/>
  <c r="F87" i="1" l="1"/>
  <c r="J78" i="3"/>
  <c r="F79" i="4"/>
  <c r="D145" i="4" s="1"/>
  <c r="H79" i="3"/>
  <c r="F80" i="3" s="1"/>
  <c r="G80" i="3" s="1"/>
  <c r="D145" i="3"/>
  <c r="F79" i="2"/>
  <c r="J78" i="2" s="1"/>
  <c r="E145" i="3"/>
  <c r="J86" i="1" l="1"/>
  <c r="G87" i="1"/>
  <c r="H87" i="1"/>
  <c r="J78" i="4"/>
  <c r="H79" i="4"/>
  <c r="G79" i="4"/>
  <c r="H80" i="3"/>
  <c r="F81" i="3" s="1"/>
  <c r="J79" i="3"/>
  <c r="F145" i="3"/>
  <c r="F14" i="6" s="1"/>
  <c r="G79" i="2"/>
  <c r="H79" i="2"/>
  <c r="D145" i="2"/>
  <c r="F14" i="8" a="1"/>
  <c r="F88" i="1" l="1"/>
  <c r="F80" i="4"/>
  <c r="H80" i="4" s="1"/>
  <c r="H88" i="1"/>
  <c r="G88" i="1"/>
  <c r="J87" i="1"/>
  <c r="F14" i="8"/>
  <c r="G81" i="3"/>
  <c r="J80" i="3"/>
  <c r="H81" i="3"/>
  <c r="J79" i="4"/>
  <c r="F80" i="2"/>
  <c r="E145" i="2"/>
  <c r="E145" i="4"/>
  <c r="F89" i="1" l="1"/>
  <c r="F145" i="4"/>
  <c r="E14" i="6" s="1"/>
  <c r="G80" i="4"/>
  <c r="F81" i="4" s="1"/>
  <c r="G89" i="1"/>
  <c r="J88" i="1"/>
  <c r="H89" i="1"/>
  <c r="F90" i="1" s="1"/>
  <c r="F82" i="3"/>
  <c r="H82" i="3" s="1"/>
  <c r="F145" i="2"/>
  <c r="D14" i="6" s="1"/>
  <c r="J79" i="2"/>
  <c r="H80" i="2"/>
  <c r="G80" i="2"/>
  <c r="E14" i="8" a="1"/>
  <c r="D14" i="8" a="1"/>
  <c r="V14" i="6" l="1"/>
  <c r="E14" i="8"/>
  <c r="H81" i="4"/>
  <c r="J80" i="4"/>
  <c r="G81" i="4"/>
  <c r="H90" i="1"/>
  <c r="J89" i="1"/>
  <c r="G90" i="1"/>
  <c r="F91" i="1" s="1"/>
  <c r="D14" i="8"/>
  <c r="G82" i="3"/>
  <c r="F83" i="3" s="1"/>
  <c r="J81" i="3"/>
  <c r="F81" i="2"/>
  <c r="J80" i="2" s="1"/>
  <c r="F82" i="4" l="1"/>
  <c r="J90" i="1"/>
  <c r="G91" i="1"/>
  <c r="H91" i="1"/>
  <c r="X14" i="6"/>
  <c r="L14" i="8" s="1"/>
  <c r="J14" i="8"/>
  <c r="Y14" i="6"/>
  <c r="M14" i="8" s="1"/>
  <c r="G83" i="3"/>
  <c r="J82" i="3"/>
  <c r="H83" i="3"/>
  <c r="G81" i="2"/>
  <c r="H81" i="2"/>
  <c r="F92" i="1" l="1"/>
  <c r="H82" i="4"/>
  <c r="G82" i="4"/>
  <c r="J81" i="4"/>
  <c r="H92" i="1"/>
  <c r="F84" i="3"/>
  <c r="F82" i="2"/>
  <c r="G82" i="2" s="1"/>
  <c r="J91" i="1" l="1"/>
  <c r="G92" i="1"/>
  <c r="F93" i="1" s="1"/>
  <c r="F83" i="4"/>
  <c r="H83" i="4" s="1"/>
  <c r="H84" i="3"/>
  <c r="G84" i="3"/>
  <c r="J83" i="3"/>
  <c r="H82" i="2"/>
  <c r="F83" i="2" s="1"/>
  <c r="G83" i="2" s="1"/>
  <c r="J81" i="2"/>
  <c r="J92" i="1" l="1"/>
  <c r="G93" i="1"/>
  <c r="H93" i="1"/>
  <c r="F94" i="1" s="1"/>
  <c r="G83" i="4"/>
  <c r="F84" i="4" s="1"/>
  <c r="H84" i="4" s="1"/>
  <c r="J82" i="4"/>
  <c r="F85" i="3"/>
  <c r="J84" i="3" s="1"/>
  <c r="J82" i="2"/>
  <c r="H83" i="2"/>
  <c r="F84" i="2" s="1"/>
  <c r="G84" i="2" s="1"/>
  <c r="G94" i="1" l="1"/>
  <c r="J93" i="1"/>
  <c r="H94" i="1"/>
  <c r="F95" i="1" s="1"/>
  <c r="J83" i="4"/>
  <c r="G84" i="4"/>
  <c r="F85" i="4" s="1"/>
  <c r="H85" i="3"/>
  <c r="G85" i="3"/>
  <c r="H84" i="2"/>
  <c r="F85" i="2" s="1"/>
  <c r="J83" i="2"/>
  <c r="J94" i="1" l="1"/>
  <c r="G95" i="1"/>
  <c r="H95" i="1"/>
  <c r="F96" i="1" s="1"/>
  <c r="H85" i="4"/>
  <c r="J84" i="4"/>
  <c r="G85" i="4"/>
  <c r="F86" i="3"/>
  <c r="J85" i="3" s="1"/>
  <c r="J84" i="2"/>
  <c r="G85" i="2"/>
  <c r="H85" i="2"/>
  <c r="F86" i="4" l="1"/>
  <c r="H86" i="4" s="1"/>
  <c r="G96" i="1"/>
  <c r="J95" i="1"/>
  <c r="H96" i="1"/>
  <c r="F97" i="1" s="1"/>
  <c r="G86" i="3"/>
  <c r="H86" i="3"/>
  <c r="F86" i="2"/>
  <c r="G86" i="4" l="1"/>
  <c r="F87" i="4" s="1"/>
  <c r="H87" i="4" s="1"/>
  <c r="J85" i="4"/>
  <c r="J96" i="1"/>
  <c r="G97" i="1"/>
  <c r="H97" i="1"/>
  <c r="F87" i="3"/>
  <c r="J86" i="3" s="1"/>
  <c r="H86" i="2"/>
  <c r="J85" i="2"/>
  <c r="G86" i="2"/>
  <c r="F98" i="1" l="1"/>
  <c r="J97" i="1"/>
  <c r="H98" i="1"/>
  <c r="G98" i="1"/>
  <c r="J86" i="4"/>
  <c r="G87" i="4"/>
  <c r="F88" i="4" s="1"/>
  <c r="H87" i="3"/>
  <c r="G87" i="3"/>
  <c r="F87" i="2"/>
  <c r="G87" i="2" s="1"/>
  <c r="F99" i="1" l="1"/>
  <c r="J87" i="4"/>
  <c r="G88" i="4"/>
  <c r="H88" i="4"/>
  <c r="F88" i="3"/>
  <c r="J87" i="3" s="1"/>
  <c r="J86" i="2"/>
  <c r="H87" i="2"/>
  <c r="F88" i="2" s="1"/>
  <c r="J87" i="2" s="1"/>
  <c r="F89" i="4" l="1"/>
  <c r="J88" i="4" s="1"/>
  <c r="J98" i="1"/>
  <c r="G99" i="1"/>
  <c r="H99" i="1"/>
  <c r="H88" i="3"/>
  <c r="G88" i="3"/>
  <c r="G88" i="2"/>
  <c r="H88" i="2"/>
  <c r="H89" i="4" l="1"/>
  <c r="G89" i="4"/>
  <c r="F100" i="1"/>
  <c r="G100" i="1"/>
  <c r="H100" i="1"/>
  <c r="F101" i="1" s="1"/>
  <c r="J99" i="1"/>
  <c r="F89" i="3"/>
  <c r="H89" i="3" s="1"/>
  <c r="F89" i="2"/>
  <c r="H89" i="2" s="1"/>
  <c r="F90" i="4" l="1"/>
  <c r="J89" i="4" s="1"/>
  <c r="J100" i="1"/>
  <c r="G101" i="1"/>
  <c r="H101" i="1"/>
  <c r="J88" i="3"/>
  <c r="G89" i="3"/>
  <c r="F90" i="3" s="1"/>
  <c r="J88" i="2"/>
  <c r="G89" i="2"/>
  <c r="F90" i="2" s="1"/>
  <c r="H90" i="2" s="1"/>
  <c r="G90" i="4" l="1"/>
  <c r="H90" i="4"/>
  <c r="F102" i="1"/>
  <c r="G102" i="1"/>
  <c r="J101" i="1"/>
  <c r="H102" i="1"/>
  <c r="F103" i="1"/>
  <c r="G90" i="3"/>
  <c r="J89" i="3"/>
  <c r="H90" i="3"/>
  <c r="G90" i="2"/>
  <c r="F91" i="2" s="1"/>
  <c r="J89" i="2"/>
  <c r="F91" i="4" l="1"/>
  <c r="J90" i="4" s="1"/>
  <c r="H103" i="1"/>
  <c r="J102" i="1"/>
  <c r="G103" i="1"/>
  <c r="F104" i="1"/>
  <c r="F91" i="3"/>
  <c r="G91" i="2"/>
  <c r="J90" i="2"/>
  <c r="H91" i="2"/>
  <c r="H91" i="4" l="1"/>
  <c r="G91" i="4"/>
  <c r="J103" i="1"/>
  <c r="G104" i="1"/>
  <c r="H104" i="1"/>
  <c r="F105" i="1" s="1"/>
  <c r="J90" i="3"/>
  <c r="G91" i="3"/>
  <c r="H91" i="3"/>
  <c r="F92" i="2"/>
  <c r="F92" i="4" l="1"/>
  <c r="H92" i="4" s="1"/>
  <c r="J104" i="1"/>
  <c r="G105" i="1"/>
  <c r="H105" i="1"/>
  <c r="F106" i="1"/>
  <c r="H106" i="1" s="1"/>
  <c r="F92" i="3"/>
  <c r="G92" i="3" s="1"/>
  <c r="J105" i="1"/>
  <c r="G106" i="1"/>
  <c r="F107" i="1" s="1"/>
  <c r="J106" i="1" s="1"/>
  <c r="J91" i="2"/>
  <c r="H92" i="2"/>
  <c r="G92" i="2"/>
  <c r="G92" i="4" l="1"/>
  <c r="F93" i="4" s="1"/>
  <c r="J91" i="4"/>
  <c r="G107" i="1"/>
  <c r="H107" i="1"/>
  <c r="J91" i="3"/>
  <c r="H92" i="3"/>
  <c r="F93" i="3" s="1"/>
  <c r="H93" i="3" s="1"/>
  <c r="F108" i="1"/>
  <c r="J107" i="1" s="1"/>
  <c r="F93" i="2"/>
  <c r="H93" i="2" s="1"/>
  <c r="G93" i="4" l="1"/>
  <c r="J92" i="4"/>
  <c r="H93" i="4"/>
  <c r="G93" i="3"/>
  <c r="F94" i="3" s="1"/>
  <c r="H94" i="3" s="1"/>
  <c r="J92" i="3"/>
  <c r="G108" i="1"/>
  <c r="H108" i="1"/>
  <c r="J92" i="2"/>
  <c r="G93" i="2"/>
  <c r="F94" i="2" s="1"/>
  <c r="F94" i="4" l="1"/>
  <c r="F109" i="1"/>
  <c r="H109" i="1" s="1"/>
  <c r="J93" i="3"/>
  <c r="G94" i="3"/>
  <c r="F95" i="3" s="1"/>
  <c r="J108" i="1"/>
  <c r="J93" i="2"/>
  <c r="H94" i="2"/>
  <c r="G94" i="2"/>
  <c r="G94" i="4" l="1"/>
  <c r="H94" i="4"/>
  <c r="J93" i="4"/>
  <c r="G109" i="1"/>
  <c r="F110" i="1" s="1"/>
  <c r="G95" i="3"/>
  <c r="H95" i="3"/>
  <c r="J94" i="3"/>
  <c r="F146" i="1"/>
  <c r="C15" i="6" s="1"/>
  <c r="G110" i="1"/>
  <c r="J109" i="1"/>
  <c r="H110" i="1"/>
  <c r="F95" i="2"/>
  <c r="J94" i="2" s="1"/>
  <c r="C15" i="8" a="1"/>
  <c r="F95" i="4" l="1"/>
  <c r="G95" i="4" s="1"/>
  <c r="F96" i="3"/>
  <c r="G96" i="3" s="1"/>
  <c r="C15" i="8"/>
  <c r="F111" i="1"/>
  <c r="G95" i="2"/>
  <c r="H95" i="2"/>
  <c r="H95" i="4" l="1"/>
  <c r="F96" i="4" s="1"/>
  <c r="G96" i="4" s="1"/>
  <c r="J94" i="4"/>
  <c r="J95" i="3"/>
  <c r="H96" i="3"/>
  <c r="F97" i="3" s="1"/>
  <c r="H97" i="3" s="1"/>
  <c r="J110" i="1"/>
  <c r="G111" i="1"/>
  <c r="H111" i="1"/>
  <c r="F96" i="2"/>
  <c r="H96" i="2" s="1"/>
  <c r="H96" i="4" l="1"/>
  <c r="F97" i="4" s="1"/>
  <c r="J95" i="4"/>
  <c r="G97" i="3"/>
  <c r="F98" i="3" s="1"/>
  <c r="G98" i="3" s="1"/>
  <c r="J96" i="3"/>
  <c r="G96" i="2"/>
  <c r="F97" i="2" s="1"/>
  <c r="J96" i="2" s="1"/>
  <c r="J95" i="2"/>
  <c r="F112" i="1"/>
  <c r="G97" i="4" l="1"/>
  <c r="H97" i="4"/>
  <c r="J96" i="4"/>
  <c r="J97" i="3"/>
  <c r="H98" i="3"/>
  <c r="F99" i="3" s="1"/>
  <c r="H97" i="2"/>
  <c r="G97" i="2"/>
  <c r="J111" i="1"/>
  <c r="H112" i="1"/>
  <c r="G112" i="1"/>
  <c r="F98" i="4" l="1"/>
  <c r="G98" i="4" s="1"/>
  <c r="J98" i="3"/>
  <c r="G99" i="3"/>
  <c r="H99" i="3"/>
  <c r="F98" i="2"/>
  <c r="H98" i="2" s="1"/>
  <c r="F113" i="1"/>
  <c r="H113" i="1" s="1"/>
  <c r="H98" i="4" l="1"/>
  <c r="F99" i="4" s="1"/>
  <c r="J98" i="4" s="1"/>
  <c r="J97" i="4"/>
  <c r="F100" i="3"/>
  <c r="H100" i="3" s="1"/>
  <c r="G98" i="2"/>
  <c r="F99" i="2" s="1"/>
  <c r="H99" i="2" s="1"/>
  <c r="J97" i="2"/>
  <c r="J112" i="1"/>
  <c r="G113" i="1"/>
  <c r="F114" i="1" s="1"/>
  <c r="G114" i="1" s="1"/>
  <c r="H99" i="4" l="1"/>
  <c r="G99" i="4"/>
  <c r="J113" i="1"/>
  <c r="J99" i="3"/>
  <c r="G100" i="3"/>
  <c r="F101" i="3" s="1"/>
  <c r="J100" i="3" s="1"/>
  <c r="G99" i="2"/>
  <c r="F100" i="2" s="1"/>
  <c r="J99" i="2" s="1"/>
  <c r="J98" i="2"/>
  <c r="H114" i="1"/>
  <c r="F115" i="1" s="1"/>
  <c r="G115" i="1" s="1"/>
  <c r="F100" i="4" l="1"/>
  <c r="H101" i="3"/>
  <c r="G101" i="3"/>
  <c r="G100" i="2"/>
  <c r="H100" i="2"/>
  <c r="H115" i="1"/>
  <c r="F116" i="1" s="1"/>
  <c r="G116" i="1" s="1"/>
  <c r="J114" i="1"/>
  <c r="G100" i="4" l="1"/>
  <c r="J99" i="4"/>
  <c r="H100" i="4"/>
  <c r="F102" i="3"/>
  <c r="H102" i="3" s="1"/>
  <c r="F101" i="2"/>
  <c r="J100" i="2" s="1"/>
  <c r="J115" i="1"/>
  <c r="H116" i="1"/>
  <c r="F117" i="1" s="1"/>
  <c r="H117" i="1" s="1"/>
  <c r="F101" i="4" l="1"/>
  <c r="H101" i="2"/>
  <c r="J101" i="3"/>
  <c r="G102" i="3"/>
  <c r="F103" i="3" s="1"/>
  <c r="J102" i="3" s="1"/>
  <c r="G101" i="2"/>
  <c r="J116" i="1"/>
  <c r="G117" i="1"/>
  <c r="F118" i="1" s="1"/>
  <c r="J117" i="1" s="1"/>
  <c r="G101" i="4" l="1"/>
  <c r="J100" i="4"/>
  <c r="H101" i="4"/>
  <c r="F102" i="2"/>
  <c r="G102" i="2" s="1"/>
  <c r="H103" i="3"/>
  <c r="G103" i="3"/>
  <c r="H118" i="1"/>
  <c r="G118" i="1"/>
  <c r="J101" i="2" l="1"/>
  <c r="H102" i="2"/>
  <c r="F103" i="2" s="1"/>
  <c r="G103" i="2" s="1"/>
  <c r="F102" i="4"/>
  <c r="J101" i="4" s="1"/>
  <c r="F104" i="3"/>
  <c r="J103" i="3" s="1"/>
  <c r="F119" i="1"/>
  <c r="G102" i="4" l="1"/>
  <c r="H102" i="4"/>
  <c r="H103" i="2"/>
  <c r="F104" i="2" s="1"/>
  <c r="H104" i="2" s="1"/>
  <c r="J102" i="2"/>
  <c r="F103" i="4"/>
  <c r="G104" i="3"/>
  <c r="H104" i="3"/>
  <c r="J118" i="1"/>
  <c r="G119" i="1"/>
  <c r="H119" i="1"/>
  <c r="G104" i="2" l="1"/>
  <c r="F105" i="2" s="1"/>
  <c r="J104" i="2" s="1"/>
  <c r="J103" i="2"/>
  <c r="H103" i="4"/>
  <c r="J102" i="4"/>
  <c r="G103" i="4"/>
  <c r="F105" i="3"/>
  <c r="G105" i="3" s="1"/>
  <c r="F120" i="1"/>
  <c r="F147" i="1" s="1"/>
  <c r="C16" i="6" s="1"/>
  <c r="C16" i="8" a="1"/>
  <c r="G105" i="2" l="1"/>
  <c r="H105" i="2"/>
  <c r="F104" i="4"/>
  <c r="G104" i="4" s="1"/>
  <c r="C16" i="8"/>
  <c r="J104" i="3"/>
  <c r="H105" i="3"/>
  <c r="F106" i="3" s="1"/>
  <c r="G106" i="3" s="1"/>
  <c r="J119" i="1"/>
  <c r="H120" i="1"/>
  <c r="G120" i="1"/>
  <c r="H104" i="4" l="1"/>
  <c r="F105" i="4" s="1"/>
  <c r="H105" i="4" s="1"/>
  <c r="F106" i="2"/>
  <c r="J105" i="2" s="1"/>
  <c r="J103" i="4"/>
  <c r="J105" i="3"/>
  <c r="H106" i="3"/>
  <c r="F107" i="3" s="1"/>
  <c r="J106" i="3" s="1"/>
  <c r="F121" i="1"/>
  <c r="G121" i="1" s="1"/>
  <c r="H106" i="2" l="1"/>
  <c r="G106" i="2"/>
  <c r="G105" i="4"/>
  <c r="F106" i="4" s="1"/>
  <c r="H106" i="4" s="1"/>
  <c r="J104" i="4"/>
  <c r="H121" i="1"/>
  <c r="H107" i="3"/>
  <c r="G107" i="3"/>
  <c r="J120" i="1"/>
  <c r="J121" i="1"/>
  <c r="F107" i="2" l="1"/>
  <c r="H107" i="2" s="1"/>
  <c r="J105" i="4"/>
  <c r="G106" i="4"/>
  <c r="F107" i="4" s="1"/>
  <c r="F108" i="3"/>
  <c r="H108" i="3" s="1"/>
  <c r="J106" i="2" l="1"/>
  <c r="G107" i="2"/>
  <c r="F108" i="2" s="1"/>
  <c r="H108" i="2" s="1"/>
  <c r="G107" i="4"/>
  <c r="H107" i="4"/>
  <c r="J106" i="4"/>
  <c r="J107" i="3"/>
  <c r="G108" i="3"/>
  <c r="F109" i="3" s="1"/>
  <c r="J108" i="3" s="1"/>
  <c r="G108" i="2" l="1"/>
  <c r="F109" i="2" s="1"/>
  <c r="H109" i="2" s="1"/>
  <c r="J107" i="2"/>
  <c r="F108" i="4"/>
  <c r="J107" i="4" s="1"/>
  <c r="J108" i="2"/>
  <c r="G109" i="2"/>
  <c r="F110" i="2" s="1"/>
  <c r="G110" i="2" s="1"/>
  <c r="H109" i="3"/>
  <c r="G109" i="3"/>
  <c r="H108" i="4" l="1"/>
  <c r="G108" i="4"/>
  <c r="F109" i="4" s="1"/>
  <c r="G109" i="4" s="1"/>
  <c r="F146" i="2"/>
  <c r="D15" i="6" s="1"/>
  <c r="H110" i="2"/>
  <c r="F111" i="2" s="1"/>
  <c r="H111" i="2" s="1"/>
  <c r="J109" i="2"/>
  <c r="F110" i="3"/>
  <c r="J109" i="3" s="1"/>
  <c r="D15" i="8" a="1"/>
  <c r="H109" i="4" l="1"/>
  <c r="F110" i="4" s="1"/>
  <c r="J109" i="4" s="1"/>
  <c r="J108" i="4"/>
  <c r="J110" i="2"/>
  <c r="G111" i="2"/>
  <c r="F112" i="2" s="1"/>
  <c r="G112" i="2" s="1"/>
  <c r="D15" i="8"/>
  <c r="G110" i="3"/>
  <c r="H110" i="3"/>
  <c r="F146" i="3"/>
  <c r="F15" i="6" s="1"/>
  <c r="F15" i="8" a="1"/>
  <c r="G110" i="4" l="1"/>
  <c r="H110" i="4"/>
  <c r="F111" i="4" s="1"/>
  <c r="J110" i="4" s="1"/>
  <c r="F146" i="4"/>
  <c r="E15" i="6" s="1"/>
  <c r="J111" i="2"/>
  <c r="H112" i="2"/>
  <c r="F113" i="2" s="1"/>
  <c r="H113" i="2" s="1"/>
  <c r="F111" i="3"/>
  <c r="G111" i="3" s="1"/>
  <c r="F15" i="8"/>
  <c r="E15" i="8" a="1"/>
  <c r="E15" i="8" l="1"/>
  <c r="V15" i="6"/>
  <c r="G111" i="4"/>
  <c r="H111" i="4"/>
  <c r="J112" i="2"/>
  <c r="G113" i="2"/>
  <c r="F114" i="2" s="1"/>
  <c r="G114" i="2" s="1"/>
  <c r="F112" i="4"/>
  <c r="J111" i="4" s="1"/>
  <c r="J110" i="3"/>
  <c r="H111" i="3"/>
  <c r="F112" i="3" s="1"/>
  <c r="G112" i="3" s="1"/>
  <c r="Y15" i="6" l="1"/>
  <c r="M15" i="8" s="1"/>
  <c r="J15" i="8"/>
  <c r="X15" i="6"/>
  <c r="L15" i="8" s="1"/>
  <c r="J113" i="2"/>
  <c r="H114" i="2"/>
  <c r="F115" i="2" s="1"/>
  <c r="G115" i="2" s="1"/>
  <c r="G112" i="4"/>
  <c r="H112" i="4"/>
  <c r="J111" i="3"/>
  <c r="H112" i="3"/>
  <c r="F113" i="3" s="1"/>
  <c r="G113" i="3" s="1"/>
  <c r="J114" i="2" l="1"/>
  <c r="H115" i="2"/>
  <c r="F116" i="2" s="1"/>
  <c r="F113" i="4"/>
  <c r="G113" i="4" s="1"/>
  <c r="H113" i="3"/>
  <c r="F114" i="3" s="1"/>
  <c r="J112" i="3"/>
  <c r="J115" i="2"/>
  <c r="G116" i="2"/>
  <c r="H116" i="2"/>
  <c r="H113" i="4" l="1"/>
  <c r="F114" i="4" s="1"/>
  <c r="J113" i="4" s="1"/>
  <c r="J112" i="4"/>
  <c r="H114" i="3"/>
  <c r="J113" i="3"/>
  <c r="G114" i="3"/>
  <c r="F117" i="2"/>
  <c r="G117" i="2" s="1"/>
  <c r="H114" i="4" l="1"/>
  <c r="G114" i="4"/>
  <c r="F115" i="3"/>
  <c r="H115" i="3" s="1"/>
  <c r="J116" i="2"/>
  <c r="H117" i="2"/>
  <c r="F118" i="2" s="1"/>
  <c r="G118" i="2" s="1"/>
  <c r="F115" i="4" l="1"/>
  <c r="G115" i="4" s="1"/>
  <c r="J114" i="3"/>
  <c r="G115" i="3"/>
  <c r="F116" i="3" s="1"/>
  <c r="J115" i="3" s="1"/>
  <c r="H118" i="2"/>
  <c r="F119" i="2" s="1"/>
  <c r="H119" i="2" s="1"/>
  <c r="J117" i="2"/>
  <c r="J114" i="4" l="1"/>
  <c r="H115" i="4"/>
  <c r="F116" i="4" s="1"/>
  <c r="H116" i="4" s="1"/>
  <c r="H116" i="3"/>
  <c r="G116" i="3"/>
  <c r="G119" i="2"/>
  <c r="F120" i="2" s="1"/>
  <c r="J118" i="2"/>
  <c r="G116" i="4" l="1"/>
  <c r="J115" i="4"/>
  <c r="F117" i="4"/>
  <c r="F147" i="2"/>
  <c r="D16" i="6" s="1"/>
  <c r="F117" i="3"/>
  <c r="H117" i="3" s="1"/>
  <c r="J119" i="2"/>
  <c r="H120" i="2"/>
  <c r="G120" i="2"/>
  <c r="D16" i="8" a="1"/>
  <c r="H117" i="4" l="1"/>
  <c r="J116" i="4"/>
  <c r="G117" i="4"/>
  <c r="F121" i="2"/>
  <c r="H121" i="2" s="1"/>
  <c r="D16" i="8"/>
  <c r="G117" i="3"/>
  <c r="F118" i="3" s="1"/>
  <c r="H118" i="3" s="1"/>
  <c r="J116" i="3"/>
  <c r="F118" i="4" l="1"/>
  <c r="G121" i="2"/>
  <c r="F122" i="2" s="1"/>
  <c r="J121" i="2" s="1"/>
  <c r="J117" i="3"/>
  <c r="G118" i="3"/>
  <c r="F119" i="3" s="1"/>
  <c r="H119" i="3" s="1"/>
  <c r="J120" i="2"/>
  <c r="H118" i="4" l="1"/>
  <c r="G118" i="4"/>
  <c r="J117" i="4"/>
  <c r="G122" i="2"/>
  <c r="H122" i="2"/>
  <c r="G119" i="3"/>
  <c r="F120" i="3" s="1"/>
  <c r="J119" i="3" s="1"/>
  <c r="J118" i="3"/>
  <c r="F119" i="4" l="1"/>
  <c r="J118" i="4" s="1"/>
  <c r="F123" i="2"/>
  <c r="J122" i="2" s="1"/>
  <c r="G120" i="3"/>
  <c r="H120" i="3"/>
  <c r="F147" i="3"/>
  <c r="F16" i="6" s="1"/>
  <c r="F16" i="8" a="1"/>
  <c r="H119" i="4" l="1"/>
  <c r="G119" i="4"/>
  <c r="H123" i="2"/>
  <c r="G123" i="2"/>
  <c r="F121" i="3"/>
  <c r="F16" i="8"/>
  <c r="F120" i="4" l="1"/>
  <c r="H120" i="4" s="1"/>
  <c r="H121" i="3"/>
  <c r="F124" i="2"/>
  <c r="J120" i="3"/>
  <c r="G121" i="3"/>
  <c r="F147" i="4" l="1"/>
  <c r="E16" i="6" s="1"/>
  <c r="G120" i="4"/>
  <c r="F121" i="4" s="1"/>
  <c r="H121" i="4" s="1"/>
  <c r="J119" i="4"/>
  <c r="F122" i="3"/>
  <c r="G124" i="2"/>
  <c r="J123" i="2"/>
  <c r="H124" i="2"/>
  <c r="E16" i="8" a="1"/>
  <c r="E16" i="8" l="1"/>
  <c r="G121" i="4"/>
  <c r="F122" i="4" s="1"/>
  <c r="J120" i="4"/>
  <c r="V16" i="6"/>
  <c r="J16" i="8" s="1"/>
  <c r="G122" i="3"/>
  <c r="H122" i="3"/>
  <c r="J121" i="3"/>
  <c r="F125" i="2"/>
  <c r="J121" i="4" l="1"/>
  <c r="H122" i="4"/>
  <c r="G122" i="4"/>
  <c r="F123" i="3"/>
  <c r="J122" i="3" s="1"/>
  <c r="J124" i="2"/>
  <c r="H125" i="2"/>
  <c r="G125" i="2"/>
  <c r="F123" i="4" l="1"/>
  <c r="H123" i="3"/>
  <c r="G123" i="3"/>
  <c r="F126" i="2"/>
  <c r="H126" i="2" s="1"/>
  <c r="J122" i="4" l="1"/>
  <c r="G123" i="4"/>
  <c r="H123" i="4"/>
  <c r="F124" i="3"/>
  <c r="J123" i="3" s="1"/>
  <c r="J125" i="2"/>
  <c r="G126" i="2"/>
  <c r="F127" i="2" s="1"/>
  <c r="F124" i="4" l="1"/>
  <c r="H124" i="3"/>
  <c r="G124" i="3"/>
  <c r="J123" i="4"/>
  <c r="G124" i="4"/>
  <c r="H124" i="4"/>
  <c r="F125" i="3"/>
  <c r="J124" i="3" s="1"/>
  <c r="J126" i="2"/>
  <c r="G127" i="2"/>
  <c r="H127" i="2"/>
  <c r="F125" i="4" l="1"/>
  <c r="H125" i="3"/>
  <c r="G125" i="3"/>
  <c r="F128" i="2"/>
  <c r="G128" i="2" s="1"/>
  <c r="F126" i="3" l="1"/>
  <c r="G125" i="4"/>
  <c r="J124" i="4"/>
  <c r="H125" i="4"/>
  <c r="J125" i="3"/>
  <c r="H126" i="3"/>
  <c r="G126" i="3"/>
  <c r="J127" i="2"/>
  <c r="H128" i="2"/>
  <c r="F129" i="2" s="1"/>
  <c r="F126" i="4" l="1"/>
  <c r="J125" i="4" s="1"/>
  <c r="F127" i="3"/>
  <c r="J126" i="3" s="1"/>
  <c r="G129" i="2"/>
  <c r="H129" i="2"/>
  <c r="J128" i="2"/>
  <c r="H126" i="4" l="1"/>
  <c r="G126" i="4"/>
  <c r="G127" i="3"/>
  <c r="H127" i="3"/>
  <c r="F130" i="2"/>
  <c r="F127" i="4" l="1"/>
  <c r="J126" i="4" s="1"/>
  <c r="F128" i="3"/>
  <c r="J127" i="3" s="1"/>
  <c r="F148" i="2"/>
  <c r="D17" i="6" s="1"/>
  <c r="J129" i="2"/>
  <c r="D17" i="8" a="1"/>
  <c r="G127" i="4" l="1"/>
  <c r="H127" i="4"/>
  <c r="F128" i="4" s="1"/>
  <c r="H128" i="4" s="1"/>
  <c r="G128" i="3"/>
  <c r="H128" i="3"/>
  <c r="D17" i="8"/>
  <c r="J127" i="4" l="1"/>
  <c r="G128" i="4"/>
  <c r="F129" i="4" s="1"/>
  <c r="G129" i="4" s="1"/>
  <c r="F129" i="3"/>
  <c r="G129" i="3" s="1"/>
  <c r="J128" i="4" l="1"/>
  <c r="H129" i="4"/>
  <c r="F130" i="4" s="1"/>
  <c r="F148" i="4" s="1"/>
  <c r="E17" i="6" s="1"/>
  <c r="H129" i="3"/>
  <c r="F130" i="3" s="1"/>
  <c r="J129" i="3" s="1"/>
  <c r="J128" i="3"/>
  <c r="E17" i="8" a="1"/>
  <c r="J129" i="4" l="1"/>
  <c r="E17" i="8"/>
  <c r="F148" i="3"/>
  <c r="F17" i="6" s="1"/>
  <c r="F17" i="8" a="1"/>
  <c r="F17" i="8" l="1"/>
  <c r="V17" i="6"/>
  <c r="J17" i="8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<sst xmlns="http://schemas.openxmlformats.org/spreadsheetml/2006/main" count="372" uniqueCount="222">
  <si>
    <t>год</t>
  </si>
  <si>
    <t>промилле</t>
  </si>
  <si>
    <t>рождаемость</t>
  </si>
  <si>
    <t>смертность</t>
  </si>
  <si>
    <t>население в начале года</t>
  </si>
  <si>
    <t>число рождений</t>
  </si>
  <si>
    <t>число смертей</t>
  </si>
  <si>
    <t>военная поправка</t>
  </si>
  <si>
    <t>тыс. чел.</t>
  </si>
  <si>
    <t>темп прироста, %</t>
  </si>
  <si>
    <t>дата</t>
  </si>
  <si>
    <t>17 дек</t>
  </si>
  <si>
    <t>6 янв</t>
  </si>
  <si>
    <t>17 янв</t>
  </si>
  <si>
    <t>15 янв</t>
  </si>
  <si>
    <t>12 янв</t>
  </si>
  <si>
    <t>дней</t>
  </si>
  <si>
    <t>начало года</t>
  </si>
  <si>
    <t>конец года</t>
  </si>
  <si>
    <t>дата переписи</t>
  </si>
  <si>
    <t>численность населения, тыс. чел</t>
  </si>
  <si>
    <t>население на начало 1914 года</t>
  </si>
  <si>
    <t>примечание</t>
  </si>
  <si>
    <t>Ожидаемая численность населеления на даты состоявшихся переписей населения</t>
  </si>
  <si>
    <t>Ретропрогноз динамики демографического перехода для населения территории Новороссии</t>
  </si>
  <si>
    <t>Ретропрогноз динамики демографического перехода для населения территории Белоруссии</t>
  </si>
  <si>
    <t>Ретропрогноз динамики демографического перехода для населения территории Малороссии</t>
  </si>
  <si>
    <t>1909-1913</t>
  </si>
  <si>
    <t>1910-1914</t>
  </si>
  <si>
    <t>на дату переписи</t>
  </si>
  <si>
    <t>Новороссия</t>
  </si>
  <si>
    <t>Малороссия</t>
  </si>
  <si>
    <t>Белоруссия</t>
  </si>
  <si>
    <t>РСФСР-1991</t>
  </si>
  <si>
    <t>Армения</t>
  </si>
  <si>
    <t>Азербайджан</t>
  </si>
  <si>
    <t>Грузия</t>
  </si>
  <si>
    <t>Латвия</t>
  </si>
  <si>
    <t>Литва</t>
  </si>
  <si>
    <t>Киргизия</t>
  </si>
  <si>
    <t>Таджикия</t>
  </si>
  <si>
    <t>Туркмения</t>
  </si>
  <si>
    <t>Эстония</t>
  </si>
  <si>
    <t>Узбек.</t>
  </si>
  <si>
    <t>Казак.</t>
  </si>
  <si>
    <t>Величины в полях с зелёным фоном вычислены ретропрогнозом динамики демографического перехода.</t>
  </si>
  <si>
    <t>Величины в полях с синим фоном представляют фактические значения по переписям населения.</t>
  </si>
  <si>
    <t>https://www.demoscope.ru/weekly/pril.php</t>
  </si>
  <si>
    <t>ЦСУ СССР, "Итоги Всесоюзной переписи населения 1959 года. СССР. Сводный том", М. : Госстатиздат, 1962, стр. 54</t>
  </si>
  <si>
    <t>В.Б. Жиромская, Ю.А. Поляков, "Всесоюзная перепись населения 1937 года. Общие итоги. Сборник документов и материалов", М. : РОССПЭН, 2007, стр. 32, 46-47, 52-55</t>
  </si>
  <si>
    <t>Источники сведений переписей:</t>
  </si>
  <si>
    <t>Значения для республик в 1939 взяты без коррекции на приписки, для всего СССР -- с поправкой по В.Б. Жиромской</t>
  </si>
  <si>
    <t>1970, 1979, 1989</t>
  </si>
  <si>
    <t>До 1914 года в состав России и соответственно Малороссии не входили:</t>
  </si>
  <si>
    <t>Почти полностью/основная часть не входила: Тернопольская (кроме северного Кременецкого уезда/части Волыни), Черновицкая (кроме Хотинского уезда/сев Бессарабии).</t>
  </si>
  <si>
    <t>Численность добавочных после 1939-1945 гг. территорий, по переписям 1959-1989 гг.:</t>
  </si>
  <si>
    <t>Львовская</t>
  </si>
  <si>
    <t>Ивано-Франковская</t>
  </si>
  <si>
    <t>Закарпатская</t>
  </si>
  <si>
    <t>Тернопольская</t>
  </si>
  <si>
    <t>Черновицкая</t>
  </si>
  <si>
    <t>Тува</t>
  </si>
  <si>
    <t>всего</t>
  </si>
  <si>
    <t>Львовская, Ивано-Франковская (до 1962 года -- Станиславская), Закарпатская области</t>
  </si>
  <si>
    <t xml:space="preserve">СССР фактич. </t>
  </si>
  <si>
    <t>фактическая численность населения СССР по переписям</t>
  </si>
  <si>
    <t>границы таксона не включают Туву</t>
  </si>
  <si>
    <t>и не входивших в состав России до 1914 года, и поэтому не входящих в состав таксонов РСФСР-1991, Новороссии, Малороссии и Белоруссии</t>
  </si>
  <si>
    <t>подавстрийские
земли
и Тува</t>
  </si>
  <si>
    <t>подавстрийские земли и Тува</t>
  </si>
  <si>
    <t>%
потерь</t>
  </si>
  <si>
    <t>величина
потерь</t>
  </si>
  <si>
    <t>ЦСУ СССР, "Всесоюзная перепись населения 1926 года", М. 1929, т. 17 отдел 1 (Союз СССР), стр. 2</t>
  </si>
  <si>
    <t>Серым цветом помечены земли не входившие на дату переписи в состав СССР.</t>
  </si>
  <si>
    <t>Киргизия в 1926 году входила в состав РСФСР, но не входит в состав таксона РСФСР-1991</t>
  </si>
  <si>
    <t>Казакская АССР в 1926 входила в состав РСФСР, но не входит в состав таксона РСФСР-1991</t>
  </si>
  <si>
    <t>Численность населения для Киргизии и Казахстана см. ЦСУ СССР, "Всесоюзная перепись населения 1926 года", т. 9 (РСФСР), М. 1929, стр. 24</t>
  </si>
  <si>
    <t>-</t>
  </si>
  <si>
    <t>Таджикистан в 1926 году входил в состав Узбекистана и учтён вместе с ним</t>
  </si>
  <si>
    <t>Население всего СССР по переписи = 147,028 тыс. чел., но после поправок на недоучёт = 148,530</t>
  </si>
  <si>
    <t>В.Б. Жиромская, “Численность населения России в 1939 г. : Поиск истины” // “Население России в 1920-1950-е годы: Численность, потери, миграции”, ИРИ РАН, М. 1994, стр. 32, 35, 38-40;</t>
  </si>
  <si>
    <t>тж. В.Б. Жиромская, Ю.А. Поляков и др., “Всесоюзная перепись населения 1939 года. Основные итоги. Россия”, М. : ИРИ РАН, 1999, стр. 10-11, 15-16.</t>
  </si>
  <si>
    <t>см. АДХ, "Население Советского Союза 1922-1991", М. : Наука, 1993, стр. 21</t>
  </si>
  <si>
    <t>Численность населения на 2020:</t>
  </si>
  <si>
    <t>Россия</t>
  </si>
  <si>
    <t>Украина</t>
  </si>
  <si>
    <t>включая Туву</t>
  </si>
  <si>
    <t xml:space="preserve">всего </t>
  </si>
  <si>
    <t>для 2020 г. указана суммарная численность населения РФ (включая Туву), Украины (с подавстрийскими землями) и Белоруссии</t>
  </si>
  <si>
    <t>Желтым цветом помечены земли входившие на дату переписи в административный состав других республик.</t>
  </si>
  <si>
    <t>части таксонов Новроссия, Малороссия, Белоруссия находившиеся в 1926-1939 гг. вне состава СССР</t>
  </si>
  <si>
    <t>фактическая численность (по переписям) территорий присоединённых в 1939-1945 гг.</t>
  </si>
  <si>
    <t>сумма без вне СССР</t>
  </si>
  <si>
    <t>сумма колонок от РСФСР-1991 по Эстонию минус "НР, МР, БР вне СССР"</t>
  </si>
  <si>
    <t>представляет ожидаемую численность населения территории в текущих (на момент переписи) границах СССР</t>
  </si>
  <si>
    <t>часть НР + МР + БР вне СССР</t>
  </si>
  <si>
    <t>Модель скоростей спадания смертности и рождаемости в ходе демографического перехода</t>
  </si>
  <si>
    <t>по примеру Мексики.</t>
  </si>
  <si>
    <t>роджаемость</t>
  </si>
  <si>
    <t>относительно 1909</t>
  </si>
  <si>
    <t>RB</t>
  </si>
  <si>
    <t>RD</t>
  </si>
  <si>
    <t>смертность
(RD)</t>
  </si>
  <si>
    <t>рождаемость
(RB)</t>
  </si>
  <si>
    <t>Значения относительных величин (RB и RD) сглажены фильтром Савицкого-Голея с шириной окна 13 лет для рождаемости и 9 лет для смертности.</t>
  </si>
  <si>
    <t>1 янв</t>
  </si>
  <si>
    <t>Население Тувы (2020) = Росстат, "Российский статистический ежегодник 2020", стр. 62</t>
  </si>
  <si>
    <t>Последняя перепись населения на Украине прошла в 2001 году</t>
  </si>
  <si>
    <t>Держстат України: Population (by estimate) as of January 1, 2020. Average annual populations January-December 2019</t>
  </si>
  <si>
    <t>Оценка численности населения Украины на 2020 год:</t>
  </si>
  <si>
    <t>Крым 2020</t>
  </si>
  <si>
    <t>УССР 1989</t>
  </si>
  <si>
    <t>УССР 2020</t>
  </si>
  <si>
    <t>https://web.archive.org/web/20200219072131/http://ukrstat.gov.ua/express/expr2020/02/18.pdf</t>
  </si>
  <si>
    <t>УССР 2020/1989</t>
  </si>
  <si>
    <t>Ретропрогноз динамики демографического перехода для населения территории РСФСР-1991 (без Тувы)</t>
  </si>
  <si>
    <t>Ретропрогноз динамики демографического перехода для населения территории СССР</t>
  </si>
  <si>
    <t>Численные значения из приложения М1 к РТСС.</t>
  </si>
  <si>
    <t>На момент переписей 1926, 1937 и 1939 гг. в состав СССР не входили:</t>
  </si>
  <si>
    <t>– Бессарабская губерния, население которой в 1914 году составляло 16.8% всего населения Новороссии</t>
  </si>
  <si>
    <t>– Гродненская губерния, население которой в 1914 году составляло 17.9% всего населения Белоруссии</t>
  </si>
  <si>
    <t>– западная часть Волынской губернии, а именно Владимир-Волынский, Дубенский, Ковельский, Кременецкий, Луцкий, Острожский и Ровенский уезды</t>
  </si>
  <si>
    <t>по переписи 1897 года составлявшие 53.5% населения губернии;</t>
  </si>
  <si>
    <t>сама же губерния в 1914 году составла 20.9% населения Малороссии,</t>
  </si>
  <si>
    <t>таким образом 11.2% населения Малороссии в 1926-1939 гг оказались вне границ СССР</t>
  </si>
  <si>
    <t>части Новороссии, Малороссии и 
Белоруссии вне границ СССР</t>
  </si>
  <si>
    <t>НР</t>
  </si>
  <si>
    <t>МР</t>
  </si>
  <si>
    <t>БР</t>
  </si>
  <si>
    <t>Ретропрогноз динамики демографического перехода для населения территории СССР, упрощённая таблица</t>
  </si>
  <si>
    <t>части Новороссии, Малороссии 
и Белоруссии вне границ СССР</t>
  </si>
  <si>
    <t>ожидаемое</t>
  </si>
  <si>
    <t>фактическое</t>
  </si>
  <si>
    <t>население в текущих
границах СССР</t>
  </si>
  <si>
    <t>нерусские этнические
образования в составе СССР</t>
  </si>
  <si>
    <t>Ожидаемая численность населения текущей территории СССР на даты состоявшихся переписей населения СССР, тыс. чел.</t>
  </si>
  <si>
    <t>ожидаемая численность</t>
  </si>
  <si>
    <t>фактическая численность</t>
  </si>
  <si>
    <t>Для переписей 1926 и 1939 использованы поправки на недоучёт (1926) и приписки (1939) по АДХ и В.Б. Жиромской.</t>
  </si>
  <si>
    <t>Численность украинских областей в 2020 году оценена пропорционально их численности по переписи 1989 года, общей численности населения УССР в 1989 году</t>
  </si>
  <si>
    <t>и общей численности населения территории бывш. УССР в 2020 году</t>
  </si>
  <si>
    <t>Украина + Крым</t>
  </si>
  <si>
    <t>включая подавстрийские земли, но не Крым</t>
  </si>
  <si>
    <t>Кривые RB и RD для РСФСР-1991 и Новороссии</t>
  </si>
  <si>
    <t>Кривые RB и RD для Малороссии</t>
  </si>
  <si>
    <t>N</t>
  </si>
  <si>
    <t>Кривые RB и RD для Белоруссии</t>
  </si>
  <si>
    <t>1908 -&gt; 1911, третий элемент становится начальным</t>
  </si>
  <si>
    <t>1910 -&gt; 1911, первый элемент становится начальным</t>
  </si>
  <si>
    <t>экстраполяция RB и RD</t>
  </si>
  <si>
    <t>Для 2020, 2030 и 2040 подсчёт не по СССР, а по России + Украине + Белоруссии.</t>
  </si>
  <si>
    <t>прилагать в 1917 году начиная с N = 6</t>
  </si>
  <si>
    <t>RB и RD 
c военными 
поправками
для 1917-1918</t>
  </si>
  <si>
    <t>воен.
попр.
RB</t>
  </si>
  <si>
    <t>приложение 1909 -&gt; 1921 (РСФСР) или 1920 (Новороссия)</t>
  </si>
  <si>
    <t>Значения в полях с голубым фоном экстраполированы</t>
  </si>
  <si>
    <t>население СССР
(текущая территория)</t>
  </si>
  <si>
    <t>ожидаемое:
сумма 
без частей
НР, БР, МР
вне СССР</t>
  </si>
  <si>
    <t>Для Малороссии и Белоруссии динамика падения рождаемости и роста смертности в 2026-2039 гг. экстраполирована по участку 2000-2025.</t>
  </si>
  <si>
    <t>Для РСФСР экстраполирован 2039 год, для Новороссии 2038-2039 гг., по предшествуюшим годам.</t>
  </si>
  <si>
    <t>фактическое население РСФСР
(1927-1959 по АДХ, далее по Росстату),
с 1946 года с Тувой</t>
  </si>
  <si>
    <t>относительная
рождаемость 
и смертность</t>
  </si>
  <si>
    <t>р</t>
  </si>
  <si>
    <t>с</t>
  </si>
  <si>
    <t>фактическая
vs ожидаемая</t>
  </si>
  <si>
    <t>ожидаемые</t>
  </si>
  <si>
    <t>1959-2023 по Росстату</t>
  </si>
  <si>
    <t>фактическая
рождаемость и
смертность</t>
  </si>
  <si>
    <t>среднее факт/ожид за 1929-1939</t>
  </si>
  <si>
    <t>среднее факт/ожид за 1946-1958</t>
  </si>
  <si>
    <t>1927-1958 (кроме 1941-1945) по АДХ</t>
  </si>
  <si>
    <t>1941-1945 по нашему расчёту в РТСС = RTSS/ww2-losses/cdbr-194x.html</t>
  </si>
  <si>
    <t>При вычислении относительных рождаемости и смертности (RB и RD) уровень 1909 года принят за 1.0.</t>
  </si>
  <si>
    <t>ожидаемая рождаемость</t>
  </si>
  <si>
    <t>ожидаемая смертность</t>
  </si>
  <si>
    <t>фактическая рождаемость</t>
  </si>
  <si>
    <t>фактическая смертность</t>
  </si>
  <si>
    <t>Ожидаемые и фактические значения рождаемости и смертности для РСФСР-1991</t>
  </si>
  <si>
    <t>Фактические значения рождаемости и смертности в Мексике и в РСФСР-1991, синхронно по годам</t>
  </si>
  <si>
    <t>RU-смертность</t>
  </si>
  <si>
    <t>RU-рождаемость</t>
  </si>
  <si>
    <t>MX-рождаемость</t>
  </si>
  <si>
    <t>MX-смертность</t>
  </si>
  <si>
    <t>на начало года</t>
  </si>
  <si>
    <t>Страницы RSFSR, NR, MR, BR проводят исчисление для территорий РСФСР-1991 (без Тувы), Новороссии, Малороссии и Белоруссии.</t>
  </si>
  <si>
    <t>Страница USSR сводит их итоги в исчисление для территории СССР в текущих границах на даты переписей населения.</t>
  </si>
  <si>
    <t>Страница USSR-Simplifed даёт сокращённый вариант итогов со страницы USSR.</t>
  </si>
  <si>
    <t xml:space="preserve">Листы NR, MR и BR структурно повторяют расчёт для территории РСФСР-1991. </t>
  </si>
  <si>
    <t xml:space="preserve">Их отличие состоит только в величине исходного населения на январь 1917 года, </t>
  </si>
  <si>
    <t xml:space="preserve">в базовых значениях рождаемости и смертности, </t>
  </si>
  <si>
    <t xml:space="preserve">а также в положении той точки модельных кривых RB/RD, которая принимается за опорную для соответствующей территории. </t>
  </si>
  <si>
    <t xml:space="preserve">Тем самым сохраняется единый принцип расчёта, </t>
  </si>
  <si>
    <t xml:space="preserve">а территориальные различия учитываются не через изменение самой модели, </t>
  </si>
  <si>
    <t>а через изменение её начальных условий и фазового сдвига по траектории демографического перехода.</t>
  </si>
  <si>
    <t xml:space="preserve">Главная таблица на странице USSR представляет собой сводный расчёт ожидаемой численности населения территории СССР по датам переписей и для нескольких последующих контрольных дат. </t>
  </si>
  <si>
    <t>В отличие от погодовых таблиц для РСФСР-1991, Новороссии, Малороссии и Белоруссии, она не производит самостоятельного год за годом исчисления</t>
  </si>
  <si>
    <t>демографической динамики, а сводит в единую систему уже полученные для этих четырёх территорий ретропрогнозные величины. Для каждой даты переписи в</t>
  </si>
  <si>
    <t>таблицу вносятся ожидаемые величины населения РСФСР-1991, Новороссии, Малороссии и Белоруссии, полученные по отдельным расчётам, после чего к ним</t>
  </si>
  <si>
    <t>добавляется фактическая численность тех частей СССР, для которых контрфактическое моделирование в настоящей работе не производится. Тем самым образуется</t>
  </si>
  <si>
    <t>составная ожидаемая численность населения СССР, но лишь после специальной территориальной корректировки: для переписей 1926-1939 гг. из суммы вычитается</t>
  </si>
  <si>
    <t xml:space="preserve">расчётные таксоны к реальным границам СССР на дату данной переписи и делает итоговое сопоставление территориально корректным. </t>
  </si>
  <si>
    <t>население тех частей Новороссии, Малороссии и Белоруссии, которые на соответствующий момент ещё не входили в состав СССР. Эта операция приводит</t>
  </si>
  <si>
    <t>Иными словами, ожидаемая численность населения СССР в таблице определяется как сумма контрфактических величин для четырёх моделируемых восточнославянских</t>
  </si>
  <si>
    <t>территорий и фактической численности прочих республик и областей, входивших в состав СССР на соответствующую дату, за вычетом тех частей моделируемых</t>
  </si>
  <si>
    <t>территорий, которые тогда ещё находились вне его государственных границ. Для переписей 1959-1989 гг. к этой сумме уже добавляется фактическое население</t>
  </si>
  <si>
    <t>бывших подавстрийских земель, включённых в СССР в 1939-1945 гг., а также Тувы. Полученная итоговая величина сопоставляется с фактической численностью</t>
  </si>
  <si>
    <t>населения СССР в тех же границах, после чего исчисляются абсолютная величина демографического дефицита и его относительный размер. Тем самым таблица USSR</t>
  </si>
  <si>
    <t>служит не самостоятельной моделью для всего СССР как однородного целого, а инструментом территориально корректного сведения частичных ретропрогнозов в</t>
  </si>
  <si>
    <t>единую консервативную оценку населения СССР в его текущих на каждую дату границах.</t>
  </si>
  <si>
    <t>Страница USSR сводит в одну таблицу контрфактические расчёты для РСФСР-1991, Новороссии, Малороссии и Белоруссии, добавляя к ним фактическую численность</t>
  </si>
  <si>
    <t>остальных частей СССР по переписям. Для ранних переписей из суммы вычитается население тех частей Новороссии, Малороссии и Белоруссии, которые на</t>
  </si>
  <si>
    <t>соответствующий момент ещё не входили в состав СССР; для поздних переписей, напротив, добавляется фактическое население территорий, включённых в СССР в</t>
  </si>
  <si>
    <t>1939-1945 гг., а также Тувы. В результате таблица даёт ожидаемую численность населения СССР в его реальных на каждую дату границах и позволяет напрямую</t>
  </si>
  <si>
    <t>сопоставить её с фактической переписной численностью, исчислив абсолютные и относительные размеры демографического дефицита.</t>
  </si>
  <si>
    <t>Страница USSR-Simplified даёт компактное представление тех же итогов, что и страница USSR, но без промежуточных сводных колонок. Она служит сокращённой</t>
  </si>
  <si>
    <t>таблицей результатов, в которой для каждой даты непосредственно сопоставляются ожидаемая и фактическая численность населения СССР в соответствующих</t>
  </si>
  <si>
    <t>границах, а также исчисленные на этой основе абсолютные и относительные размеры демографического дефицита.</t>
  </si>
  <si>
    <t>Ретропрогноз динамики демографического перехода для населения территории РСФСР-1991 (без Тувы),</t>
  </si>
  <si>
    <t>и территорий Новороссии, Малороссии, Белоруссии и СССР</t>
  </si>
  <si>
    <t>Фактическая рождаемость и смертность в РСФСР (источники):</t>
  </si>
  <si>
    <t>!!! Белоруссия без Смоленской</t>
  </si>
  <si>
    <t>!!! Также Вайнштейн стр. 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</si>
</sst>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7" borderId="0" applyNumberFormat="0" applyBorder="0" applyAlignment="0" applyProtection="0"/>
  </cellStyleXfs>
  <cellXfs count="98">
    <xf numFmtId="0" fontId="0" fillId="0" borderId="0" xfId="0"/>
    <xf numFmtId="164" fontId="0" fillId="0" borderId="0" xfId="0" applyNumberFormat="1"/>
    <xf numFmtId="164" fontId="2" fillId="0" borderId="0" xfId="0" applyNumberFormat="1" applyFont="1" applyAlignment="1">
      <alignment horizontal="right" vertical="center"/>
    </xf>
    <xf numFmtId="165" fontId="0" fillId="0" borderId="0" xfId="0" applyNumberFormat="1"/>
    <xf numFmtId="3" fontId="0" fillId="0" borderId="0" xfId="0" applyNumberFormat="1"/>
    <xf numFmtId="0" fontId="1" fillId="0" borderId="0" xfId="0" applyFont="1"/>
    <xf numFmtId="166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3" fontId="0" fillId="4" borderId="1" xfId="0" applyNumberFormat="1" applyFill="1" applyBorder="1"/>
    <xf numFmtId="3" fontId="0" fillId="0" borderId="1" xfId="0" applyNumberFormat="1" applyBorder="1"/>
    <xf numFmtId="0" fontId="0" fillId="0" borderId="1" xfId="0" applyBorder="1"/>
    <xf numFmtId="3" fontId="0" fillId="2" borderId="1" xfId="0" applyNumberFormat="1" applyFill="1" applyBorder="1"/>
    <xf numFmtId="3" fontId="0" fillId="3" borderId="1" xfId="0" applyNumberFormat="1" applyFill="1" applyBorder="1"/>
    <xf numFmtId="3" fontId="0" fillId="3" borderId="1" xfId="0" applyNumberFormat="1" applyFill="1" applyBorder="1" applyAlignment="1">
      <alignment vertical="center" wrapText="1"/>
    </xf>
    <xf numFmtId="0" fontId="1" fillId="0" borderId="0" xfId="0" applyFont="1" applyAlignment="1">
      <alignment horizontal="left"/>
    </xf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0" fillId="3" borderId="2" xfId="0" applyNumberFormat="1" applyFill="1" applyBorder="1"/>
    <xf numFmtId="3" fontId="0" fillId="5" borderId="1" xfId="0" applyNumberFormat="1" applyFill="1" applyBorder="1"/>
    <xf numFmtId="3" fontId="0" fillId="5" borderId="1" xfId="0" applyNumberFormat="1" applyFill="1" applyBorder="1" applyAlignment="1">
      <alignment horizontal="center"/>
    </xf>
    <xf numFmtId="3" fontId="0" fillId="6" borderId="1" xfId="0" applyNumberFormat="1" applyFill="1" applyBorder="1"/>
    <xf numFmtId="0" fontId="0" fillId="6" borderId="1" xfId="0" applyFill="1" applyBorder="1"/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/>
    </xf>
    <xf numFmtId="165" fontId="2" fillId="0" borderId="6" xfId="0" applyNumberFormat="1" applyFont="1" applyBorder="1" applyAlignment="1">
      <alignment horizontal="right" vertical="center"/>
    </xf>
    <xf numFmtId="164" fontId="2" fillId="0" borderId="6" xfId="0" applyNumberFormat="1" applyFont="1" applyBorder="1" applyAlignment="1">
      <alignment horizontal="right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3" fontId="0" fillId="4" borderId="1" xfId="0" applyNumberFormat="1" applyFill="1" applyBorder="1" applyAlignment="1">
      <alignment horizontal="right"/>
    </xf>
    <xf numFmtId="0" fontId="1" fillId="0" borderId="0" xfId="0" applyFont="1" applyAlignment="1">
      <alignment horizontal="left" vertical="top"/>
    </xf>
    <xf numFmtId="164" fontId="0" fillId="0" borderId="4" xfId="0" applyNumberFormat="1" applyFont="1" applyBorder="1" applyAlignment="1">
      <alignment vertical="center"/>
    </xf>
    <xf numFmtId="164" fontId="0" fillId="0" borderId="6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horizontal="right" vertical="center"/>
    </xf>
    <xf numFmtId="165" fontId="2" fillId="0" borderId="5" xfId="0" applyNumberFormat="1" applyFont="1" applyBorder="1" applyAlignment="1">
      <alignment horizontal="right"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164" fontId="2" fillId="0" borderId="5" xfId="0" applyNumberFormat="1" applyFont="1" applyBorder="1" applyAlignment="1">
      <alignment horizontal="right" vertical="center"/>
    </xf>
    <xf numFmtId="164" fontId="0" fillId="0" borderId="1" xfId="0" applyNumberFormat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/>
    <xf numFmtId="0" fontId="0" fillId="3" borderId="2" xfId="0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0" fontId="1" fillId="0" borderId="0" xfId="0" applyFont="1" applyAlignment="1">
      <alignment horizontal="center" wrapText="1"/>
    </xf>
    <xf numFmtId="164" fontId="2" fillId="3" borderId="0" xfId="0" applyNumberFormat="1" applyFont="1" applyFill="1" applyBorder="1" applyAlignment="1">
      <alignment horizontal="right" vertical="center"/>
    </xf>
    <xf numFmtId="164" fontId="0" fillId="3" borderId="0" xfId="0" applyNumberFormat="1" applyFill="1"/>
    <xf numFmtId="164" fontId="2" fillId="3" borderId="0" xfId="0" applyNumberFormat="1" applyFont="1" applyFill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right" vertical="center"/>
    </xf>
    <xf numFmtId="164" fontId="0" fillId="3" borderId="1" xfId="0" applyNumberFormat="1" applyFill="1" applyBorder="1"/>
    <xf numFmtId="164" fontId="2" fillId="3" borderId="3" xfId="0" applyNumberFormat="1" applyFont="1" applyFill="1" applyBorder="1" applyAlignment="1">
      <alignment horizontal="right" vertical="center"/>
    </xf>
    <xf numFmtId="0" fontId="0" fillId="0" borderId="8" xfId="0" applyBorder="1"/>
    <xf numFmtId="0" fontId="0" fillId="3" borderId="0" xfId="0" applyFill="1"/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5" borderId="0" xfId="0" applyFill="1"/>
    <xf numFmtId="164" fontId="0" fillId="5" borderId="0" xfId="0" applyNumberFormat="1" applyFill="1"/>
    <xf numFmtId="0" fontId="1" fillId="0" borderId="0" xfId="0" applyFont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9" xfId="0" applyNumberFormat="1" applyBorder="1"/>
    <xf numFmtId="165" fontId="2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Font="1" applyBorder="1" applyAlignment="1">
      <alignment horizontal="center" vertical="center" wrapText="1"/>
    </xf>
    <xf numFmtId="165" fontId="7" fillId="0" borderId="0" xfId="1" applyNumberFormat="1" applyFont="1" applyFill="1"/>
    <xf numFmtId="165" fontId="2" fillId="0" borderId="0" xfId="0" applyNumberFormat="1" applyFont="1" applyBorder="1" applyAlignment="1">
      <alignment horizontal="center" vertical="center" wrapText="1"/>
    </xf>
    <xf numFmtId="165" fontId="0" fillId="0" borderId="0" xfId="0" applyNumberFormat="1" applyFont="1" applyBorder="1" applyAlignment="1">
      <alignment horizontal="center" vertical="center" wrapText="1"/>
    </xf>
    <xf numFmtId="0" fontId="8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9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Графики!$B$4</c:f>
              <c:strCache>
                <c:ptCount val="1"/>
                <c:pt idx="0">
                  <c:v>ожидаемая 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Графики!$A$5:$A$101</c:f>
              <c:numCache>
                <c:formatCode>General</c:formatCode>
                <c:ptCount val="97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  <c:pt idx="95">
                  <c:v>2022</c:v>
                </c:pt>
                <c:pt idx="96">
                  <c:v>2023</c:v>
                </c:pt>
              </c:numCache>
            </c:numRef>
          </c:xVal>
          <c:yVal>
            <c:numRef>
              <c:f>Графики!$B$5:$B$101</c:f>
              <c:numCache>
                <c:formatCode>0.0</c:formatCode>
                <c:ptCount val="97"/>
                <c:pt idx="0">
                  <c:v>48.856499999999997</c:v>
                </c:pt>
                <c:pt idx="1">
                  <c:v>48.7575</c:v>
                </c:pt>
                <c:pt idx="2">
                  <c:v>48.609000000000002</c:v>
                </c:pt>
                <c:pt idx="3">
                  <c:v>48.51</c:v>
                </c:pt>
                <c:pt idx="4">
                  <c:v>48.51</c:v>
                </c:pt>
                <c:pt idx="5">
                  <c:v>48.411000000000001</c:v>
                </c:pt>
                <c:pt idx="6">
                  <c:v>48.262499999999996</c:v>
                </c:pt>
                <c:pt idx="7">
                  <c:v>48.113999999999997</c:v>
                </c:pt>
                <c:pt idx="8">
                  <c:v>47.915999999999997</c:v>
                </c:pt>
                <c:pt idx="9">
                  <c:v>47.321999999999996</c:v>
                </c:pt>
                <c:pt idx="10">
                  <c:v>47.569499999999998</c:v>
                </c:pt>
                <c:pt idx="11">
                  <c:v>47.817</c:v>
                </c:pt>
                <c:pt idx="12">
                  <c:v>47.965499999999999</c:v>
                </c:pt>
                <c:pt idx="13">
                  <c:v>47.767499999999998</c:v>
                </c:pt>
                <c:pt idx="14">
                  <c:v>47.767499999999998</c:v>
                </c:pt>
                <c:pt idx="15">
                  <c:v>47.619</c:v>
                </c:pt>
                <c:pt idx="16">
                  <c:v>47.321999999999996</c:v>
                </c:pt>
                <c:pt idx="17">
                  <c:v>47.024999999999999</c:v>
                </c:pt>
                <c:pt idx="18">
                  <c:v>46.579499999999996</c:v>
                </c:pt>
                <c:pt idx="19">
                  <c:v>46.233000000000004</c:v>
                </c:pt>
                <c:pt idx="20">
                  <c:v>45.985500000000002</c:v>
                </c:pt>
                <c:pt idx="21">
                  <c:v>45.589500000000001</c:v>
                </c:pt>
                <c:pt idx="22">
                  <c:v>46.183500000000002</c:v>
                </c:pt>
                <c:pt idx="23">
                  <c:v>46.628999999999998</c:v>
                </c:pt>
                <c:pt idx="24">
                  <c:v>46.925999999999995</c:v>
                </c:pt>
                <c:pt idx="25">
                  <c:v>47.173499999999997</c:v>
                </c:pt>
                <c:pt idx="26">
                  <c:v>47.371499999999997</c:v>
                </c:pt>
                <c:pt idx="27">
                  <c:v>47.470500000000001</c:v>
                </c:pt>
                <c:pt idx="28">
                  <c:v>47.519999999999996</c:v>
                </c:pt>
                <c:pt idx="29">
                  <c:v>47.668500000000002</c:v>
                </c:pt>
                <c:pt idx="30">
                  <c:v>47.767499999999998</c:v>
                </c:pt>
                <c:pt idx="31">
                  <c:v>48.015000000000001</c:v>
                </c:pt>
                <c:pt idx="32">
                  <c:v>47.965499999999999</c:v>
                </c:pt>
                <c:pt idx="33">
                  <c:v>47.668500000000002</c:v>
                </c:pt>
                <c:pt idx="34">
                  <c:v>47.668500000000002</c:v>
                </c:pt>
                <c:pt idx="35">
                  <c:v>47.817</c:v>
                </c:pt>
                <c:pt idx="36">
                  <c:v>47.866500000000002</c:v>
                </c:pt>
                <c:pt idx="37">
                  <c:v>48.311999999999998</c:v>
                </c:pt>
                <c:pt idx="38">
                  <c:v>48.163499999999999</c:v>
                </c:pt>
                <c:pt idx="39">
                  <c:v>48.609000000000002</c:v>
                </c:pt>
                <c:pt idx="40">
                  <c:v>49.005000000000003</c:v>
                </c:pt>
                <c:pt idx="41">
                  <c:v>49.252499999999998</c:v>
                </c:pt>
                <c:pt idx="42">
                  <c:v>49.549499999999995</c:v>
                </c:pt>
                <c:pt idx="43">
                  <c:v>49.5</c:v>
                </c:pt>
                <c:pt idx="44">
                  <c:v>49.302</c:v>
                </c:pt>
                <c:pt idx="45">
                  <c:v>49.054499999999997</c:v>
                </c:pt>
                <c:pt idx="46">
                  <c:v>48.955500000000001</c:v>
                </c:pt>
                <c:pt idx="47">
                  <c:v>48.807000000000002</c:v>
                </c:pt>
                <c:pt idx="48">
                  <c:v>48.707999999999998</c:v>
                </c:pt>
                <c:pt idx="49">
                  <c:v>48.707999999999998</c:v>
                </c:pt>
                <c:pt idx="50">
                  <c:v>48.361499999999999</c:v>
                </c:pt>
                <c:pt idx="51">
                  <c:v>48.163499999999999</c:v>
                </c:pt>
                <c:pt idx="52">
                  <c:v>47.569499999999998</c:v>
                </c:pt>
                <c:pt idx="53">
                  <c:v>47.123999999999995</c:v>
                </c:pt>
                <c:pt idx="54">
                  <c:v>47.222999999999999</c:v>
                </c:pt>
                <c:pt idx="55">
                  <c:v>47.0745</c:v>
                </c:pt>
                <c:pt idx="56">
                  <c:v>46.8765</c:v>
                </c:pt>
                <c:pt idx="57">
                  <c:v>46.529999999999994</c:v>
                </c:pt>
                <c:pt idx="58">
                  <c:v>45.886500000000005</c:v>
                </c:pt>
                <c:pt idx="59">
                  <c:v>44.9955</c:v>
                </c:pt>
                <c:pt idx="60">
                  <c:v>43.906500000000001</c:v>
                </c:pt>
                <c:pt idx="61">
                  <c:v>42.966000000000001</c:v>
                </c:pt>
                <c:pt idx="62">
                  <c:v>41.481000000000002</c:v>
                </c:pt>
                <c:pt idx="63">
                  <c:v>40.095000000000006</c:v>
                </c:pt>
                <c:pt idx="64">
                  <c:v>38.659500000000001</c:v>
                </c:pt>
                <c:pt idx="65">
                  <c:v>38.0655</c:v>
                </c:pt>
                <c:pt idx="66">
                  <c:v>37.669499999999999</c:v>
                </c:pt>
                <c:pt idx="67">
                  <c:v>37.521000000000001</c:v>
                </c:pt>
                <c:pt idx="68">
                  <c:v>37.421999999999997</c:v>
                </c:pt>
                <c:pt idx="69">
                  <c:v>37.669499999999999</c:v>
                </c:pt>
                <c:pt idx="70">
                  <c:v>37.372500000000002</c:v>
                </c:pt>
                <c:pt idx="71">
                  <c:v>36.778500000000001</c:v>
                </c:pt>
                <c:pt idx="72">
                  <c:v>35.936999999999998</c:v>
                </c:pt>
                <c:pt idx="73">
                  <c:v>34.897500000000001</c:v>
                </c:pt>
                <c:pt idx="74">
                  <c:v>33.412500000000001</c:v>
                </c:pt>
                <c:pt idx="75">
                  <c:v>32.076000000000001</c:v>
                </c:pt>
                <c:pt idx="76">
                  <c:v>30.591000000000001</c:v>
                </c:pt>
                <c:pt idx="77">
                  <c:v>29.402999999999999</c:v>
                </c:pt>
                <c:pt idx="78">
                  <c:v>28.165499999999998</c:v>
                </c:pt>
                <c:pt idx="79">
                  <c:v>27.571500000000004</c:v>
                </c:pt>
                <c:pt idx="80">
                  <c:v>27.076500000000003</c:v>
                </c:pt>
                <c:pt idx="81">
                  <c:v>26.977500000000003</c:v>
                </c:pt>
                <c:pt idx="82">
                  <c:v>26.433</c:v>
                </c:pt>
                <c:pt idx="83">
                  <c:v>25.938000000000002</c:v>
                </c:pt>
                <c:pt idx="84">
                  <c:v>25.3935</c:v>
                </c:pt>
                <c:pt idx="85">
                  <c:v>24.948</c:v>
                </c:pt>
                <c:pt idx="86">
                  <c:v>24.452999999999999</c:v>
                </c:pt>
                <c:pt idx="87">
                  <c:v>24.0075</c:v>
                </c:pt>
                <c:pt idx="88">
                  <c:v>23.611499999999999</c:v>
                </c:pt>
                <c:pt idx="89">
                  <c:v>23.215499999999999</c:v>
                </c:pt>
                <c:pt idx="90">
                  <c:v>22.819500000000001</c:v>
                </c:pt>
                <c:pt idx="91">
                  <c:v>22.423500000000001</c:v>
                </c:pt>
                <c:pt idx="92">
                  <c:v>22.077000000000002</c:v>
                </c:pt>
                <c:pt idx="93">
                  <c:v>21.681000000000001</c:v>
                </c:pt>
                <c:pt idx="94">
                  <c:v>21.334499999999998</c:v>
                </c:pt>
                <c:pt idx="95">
                  <c:v>21.037499999999998</c:v>
                </c:pt>
                <c:pt idx="96">
                  <c:v>20.740500000000001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AD-42A7-B290-9DCD450D9F97}"/>
            </c:ext>
          </c:extLst>
        </c:ser>
        <c:ser>
          <c:idx val="1"/>
          <c:order val="1"/>
          <c:tx>
            <c:strRef>
              <c:f>Графики!$C$4</c:f>
              <c:strCache>
                <c:ptCount val="1"/>
                <c:pt idx="0">
                  <c:v>ожидаемая 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Графики!$A$5:$A$101</c:f>
              <c:numCache>
                <c:formatCode>General</c:formatCode>
                <c:ptCount val="97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  <c:pt idx="95">
                  <c:v>2022</c:v>
                </c:pt>
                <c:pt idx="96">
                  <c:v>2023</c:v>
                </c:pt>
              </c:numCache>
            </c:numRef>
          </c:xVal>
          <c:yVal>
            <c:numRef>
              <c:f>Графики!$C$5:$C$101</c:f>
              <c:numCache>
                <c:formatCode>0.0</c:formatCode>
                <c:ptCount val="97"/>
                <c:pt idx="0">
                  <c:v>29.756700000000002</c:v>
                </c:pt>
                <c:pt idx="1">
                  <c:v>29.339400000000001</c:v>
                </c:pt>
                <c:pt idx="2">
                  <c:v>28.9221</c:v>
                </c:pt>
                <c:pt idx="3">
                  <c:v>28.472700000000003</c:v>
                </c:pt>
                <c:pt idx="4">
                  <c:v>28.055400000000002</c:v>
                </c:pt>
                <c:pt idx="5">
                  <c:v>27.702300000000001</c:v>
                </c:pt>
                <c:pt idx="6">
                  <c:v>27.573900000000002</c:v>
                </c:pt>
                <c:pt idx="7">
                  <c:v>27.3171</c:v>
                </c:pt>
                <c:pt idx="8">
                  <c:v>26.996100000000002</c:v>
                </c:pt>
                <c:pt idx="9">
                  <c:v>26.610900000000001</c:v>
                </c:pt>
                <c:pt idx="10">
                  <c:v>26.2578</c:v>
                </c:pt>
                <c:pt idx="11">
                  <c:v>25.872600000000002</c:v>
                </c:pt>
                <c:pt idx="12">
                  <c:v>25.647900000000003</c:v>
                </c:pt>
                <c:pt idx="13">
                  <c:v>25.487400000000001</c:v>
                </c:pt>
                <c:pt idx="14">
                  <c:v>25.551600000000004</c:v>
                </c:pt>
                <c:pt idx="15">
                  <c:v>25.519500000000001</c:v>
                </c:pt>
                <c:pt idx="16">
                  <c:v>25.294800000000002</c:v>
                </c:pt>
                <c:pt idx="17">
                  <c:v>24.652800000000003</c:v>
                </c:pt>
                <c:pt idx="18">
                  <c:v>23.818200000000001</c:v>
                </c:pt>
                <c:pt idx="19">
                  <c:v>23.3367</c:v>
                </c:pt>
                <c:pt idx="20">
                  <c:v>22.8552</c:v>
                </c:pt>
                <c:pt idx="21">
                  <c:v>22.405799999999999</c:v>
                </c:pt>
                <c:pt idx="22">
                  <c:v>22.3416</c:v>
                </c:pt>
                <c:pt idx="23">
                  <c:v>22.373699999999999</c:v>
                </c:pt>
                <c:pt idx="24">
                  <c:v>22.2774</c:v>
                </c:pt>
                <c:pt idx="25">
                  <c:v>22.084799999999998</c:v>
                </c:pt>
                <c:pt idx="26">
                  <c:v>21.795900000000003</c:v>
                </c:pt>
                <c:pt idx="27">
                  <c:v>21.474900000000002</c:v>
                </c:pt>
                <c:pt idx="28">
                  <c:v>20.993400000000001</c:v>
                </c:pt>
                <c:pt idx="29">
                  <c:v>20.0625</c:v>
                </c:pt>
                <c:pt idx="30">
                  <c:v>18.9069</c:v>
                </c:pt>
                <c:pt idx="31">
                  <c:v>17.879700000000003</c:v>
                </c:pt>
                <c:pt idx="32">
                  <c:v>16.948800000000002</c:v>
                </c:pt>
                <c:pt idx="33">
                  <c:v>16.692</c:v>
                </c:pt>
                <c:pt idx="34">
                  <c:v>16.242599999999999</c:v>
                </c:pt>
                <c:pt idx="35">
                  <c:v>16.1142</c:v>
                </c:pt>
                <c:pt idx="36">
                  <c:v>15.8253</c:v>
                </c:pt>
                <c:pt idx="37">
                  <c:v>15.183299999999999</c:v>
                </c:pt>
                <c:pt idx="38">
                  <c:v>14.1561</c:v>
                </c:pt>
                <c:pt idx="39">
                  <c:v>13.514100000000001</c:v>
                </c:pt>
                <c:pt idx="40">
                  <c:v>12.775800000000002</c:v>
                </c:pt>
                <c:pt idx="41">
                  <c:v>12.454800000000001</c:v>
                </c:pt>
                <c:pt idx="42">
                  <c:v>12.0054</c:v>
                </c:pt>
                <c:pt idx="43">
                  <c:v>11.844900000000001</c:v>
                </c:pt>
                <c:pt idx="44">
                  <c:v>11.3955</c:v>
                </c:pt>
                <c:pt idx="45">
                  <c:v>11.1066</c:v>
                </c:pt>
                <c:pt idx="46">
                  <c:v>10.593000000000002</c:v>
                </c:pt>
                <c:pt idx="47">
                  <c:v>10.272</c:v>
                </c:pt>
                <c:pt idx="48">
                  <c:v>10.0473</c:v>
                </c:pt>
                <c:pt idx="49">
                  <c:v>9.7584</c:v>
                </c:pt>
                <c:pt idx="50">
                  <c:v>9.5978999999999992</c:v>
                </c:pt>
                <c:pt idx="51">
                  <c:v>9.4053000000000004</c:v>
                </c:pt>
                <c:pt idx="52">
                  <c:v>9.4053000000000004</c:v>
                </c:pt>
                <c:pt idx="53">
                  <c:v>9.3732000000000006</c:v>
                </c:pt>
                <c:pt idx="54">
                  <c:v>9.2768999999999995</c:v>
                </c:pt>
                <c:pt idx="55">
                  <c:v>9.1163999999999987</c:v>
                </c:pt>
                <c:pt idx="56">
                  <c:v>8.7954000000000008</c:v>
                </c:pt>
                <c:pt idx="57">
                  <c:v>8.2176000000000009</c:v>
                </c:pt>
                <c:pt idx="58">
                  <c:v>7.8003</c:v>
                </c:pt>
                <c:pt idx="59">
                  <c:v>7.4472000000000005</c:v>
                </c:pt>
                <c:pt idx="60">
                  <c:v>7.2225000000000001</c:v>
                </c:pt>
                <c:pt idx="61">
                  <c:v>6.9015000000000004</c:v>
                </c:pt>
                <c:pt idx="62">
                  <c:v>6.6768000000000001</c:v>
                </c:pt>
                <c:pt idx="63">
                  <c:v>6.5163000000000011</c:v>
                </c:pt>
                <c:pt idx="64">
                  <c:v>6.2595000000000001</c:v>
                </c:pt>
                <c:pt idx="65">
                  <c:v>5.9385000000000003</c:v>
                </c:pt>
                <c:pt idx="66">
                  <c:v>5.7780000000000005</c:v>
                </c:pt>
                <c:pt idx="67">
                  <c:v>5.6495999999999995</c:v>
                </c:pt>
                <c:pt idx="68">
                  <c:v>5.4891000000000005</c:v>
                </c:pt>
                <c:pt idx="69">
                  <c:v>5.3286000000000007</c:v>
                </c:pt>
                <c:pt idx="70">
                  <c:v>5.2323000000000004</c:v>
                </c:pt>
                <c:pt idx="71">
                  <c:v>5.1360000000000001</c:v>
                </c:pt>
                <c:pt idx="72">
                  <c:v>5.1039000000000003</c:v>
                </c:pt>
                <c:pt idx="73">
                  <c:v>5.1360000000000001</c:v>
                </c:pt>
                <c:pt idx="74">
                  <c:v>5.1681000000000008</c:v>
                </c:pt>
                <c:pt idx="75">
                  <c:v>5.2323000000000004</c:v>
                </c:pt>
                <c:pt idx="76">
                  <c:v>5.2323000000000004</c:v>
                </c:pt>
                <c:pt idx="77">
                  <c:v>5.2002000000000006</c:v>
                </c:pt>
                <c:pt idx="78">
                  <c:v>5.1681000000000008</c:v>
                </c:pt>
                <c:pt idx="79">
                  <c:v>5.0718000000000005</c:v>
                </c:pt>
                <c:pt idx="80">
                  <c:v>5.0076000000000001</c:v>
                </c:pt>
                <c:pt idx="81">
                  <c:v>4.9755000000000003</c:v>
                </c:pt>
                <c:pt idx="82">
                  <c:v>4.9434000000000005</c:v>
                </c:pt>
                <c:pt idx="83">
                  <c:v>4.9112999999999998</c:v>
                </c:pt>
                <c:pt idx="84">
                  <c:v>4.8792</c:v>
                </c:pt>
                <c:pt idx="85">
                  <c:v>4.8792</c:v>
                </c:pt>
                <c:pt idx="86">
                  <c:v>4.8792</c:v>
                </c:pt>
                <c:pt idx="87">
                  <c:v>4.9112999999999998</c:v>
                </c:pt>
                <c:pt idx="88">
                  <c:v>4.9434000000000005</c:v>
                </c:pt>
                <c:pt idx="89">
                  <c:v>4.9755000000000003</c:v>
                </c:pt>
                <c:pt idx="90">
                  <c:v>5.0076000000000001</c:v>
                </c:pt>
                <c:pt idx="91">
                  <c:v>5.0718000000000005</c:v>
                </c:pt>
                <c:pt idx="92">
                  <c:v>5.1360000000000001</c:v>
                </c:pt>
                <c:pt idx="93">
                  <c:v>5.2002000000000006</c:v>
                </c:pt>
                <c:pt idx="94">
                  <c:v>5.2644000000000002</c:v>
                </c:pt>
                <c:pt idx="95">
                  <c:v>5.3286000000000007</c:v>
                </c:pt>
                <c:pt idx="96">
                  <c:v>5.3928000000000003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AD-42A7-B290-9DCD450D9F97}"/>
            </c:ext>
          </c:extLst>
        </c:ser>
        <c:ser>
          <c:idx val="2"/>
          <c:order val="2"/>
          <c:tx>
            <c:strRef>
              <c:f>Графики!$D$4</c:f>
              <c:strCache>
                <c:ptCount val="1"/>
                <c:pt idx="0">
                  <c:v>фактическая рождаемость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Графики!$A$5:$A$101</c:f>
              <c:numCache>
                <c:formatCode>General</c:formatCode>
                <c:ptCount val="97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  <c:pt idx="95">
                  <c:v>2022</c:v>
                </c:pt>
                <c:pt idx="96">
                  <c:v>2023</c:v>
                </c:pt>
              </c:numCache>
            </c:numRef>
          </c:xVal>
          <c:yVal>
            <c:numRef>
              <c:f>Графики!$D$5:$D$101</c:f>
              <c:numCache>
                <c:formatCode>0.0</c:formatCode>
                <c:ptCount val="97"/>
                <c:pt idx="0">
                  <c:v>49.6</c:v>
                </c:pt>
                <c:pt idx="1">
                  <c:v>48.9</c:v>
                </c:pt>
                <c:pt idx="2">
                  <c:v>47</c:v>
                </c:pt>
                <c:pt idx="3">
                  <c:v>43.9</c:v>
                </c:pt>
                <c:pt idx="4">
                  <c:v>43.3</c:v>
                </c:pt>
                <c:pt idx="5">
                  <c:v>39.299999999999997</c:v>
                </c:pt>
                <c:pt idx="6">
                  <c:v>32.299999999999997</c:v>
                </c:pt>
                <c:pt idx="7">
                  <c:v>28.7</c:v>
                </c:pt>
                <c:pt idx="8">
                  <c:v>34.799999999999997</c:v>
                </c:pt>
                <c:pt idx="9">
                  <c:v>37.5</c:v>
                </c:pt>
                <c:pt idx="10">
                  <c:v>41.5</c:v>
                </c:pt>
                <c:pt idx="11">
                  <c:v>40.9</c:v>
                </c:pt>
                <c:pt idx="12">
                  <c:v>39.799999999999997</c:v>
                </c:pt>
                <c:pt idx="13">
                  <c:v>34.6</c:v>
                </c:pt>
                <c:pt idx="14">
                  <c:v>32.799999999999997</c:v>
                </c:pt>
                <c:pt idx="15">
                  <c:v>21.3</c:v>
                </c:pt>
                <c:pt idx="16">
                  <c:v>12.9</c:v>
                </c:pt>
                <c:pt idx="17">
                  <c:v>13.7</c:v>
                </c:pt>
                <c:pt idx="18">
                  <c:v>15.1</c:v>
                </c:pt>
                <c:pt idx="19">
                  <c:v>26</c:v>
                </c:pt>
                <c:pt idx="20">
                  <c:v>27.5</c:v>
                </c:pt>
                <c:pt idx="21">
                  <c:v>25.2</c:v>
                </c:pt>
                <c:pt idx="22">
                  <c:v>30.5</c:v>
                </c:pt>
                <c:pt idx="23">
                  <c:v>27.8</c:v>
                </c:pt>
                <c:pt idx="24">
                  <c:v>28.1</c:v>
                </c:pt>
                <c:pt idx="25">
                  <c:v>27.6</c:v>
                </c:pt>
                <c:pt idx="26">
                  <c:v>26.2</c:v>
                </c:pt>
                <c:pt idx="27">
                  <c:v>27.8</c:v>
                </c:pt>
                <c:pt idx="28">
                  <c:v>26.4</c:v>
                </c:pt>
                <c:pt idx="29">
                  <c:v>24.9</c:v>
                </c:pt>
                <c:pt idx="30">
                  <c:v>25</c:v>
                </c:pt>
                <c:pt idx="31">
                  <c:v>24.5</c:v>
                </c:pt>
                <c:pt idx="32">
                  <c:v>23.7</c:v>
                </c:pt>
                <c:pt idx="33">
                  <c:v>23.2</c:v>
                </c:pt>
                <c:pt idx="34">
                  <c:v>21.9</c:v>
                </c:pt>
                <c:pt idx="35">
                  <c:v>20.2</c:v>
                </c:pt>
                <c:pt idx="36">
                  <c:v>18.8</c:v>
                </c:pt>
                <c:pt idx="37">
                  <c:v>16.899999999999999</c:v>
                </c:pt>
                <c:pt idx="38">
                  <c:v>15.7</c:v>
                </c:pt>
                <c:pt idx="39">
                  <c:v>15.3</c:v>
                </c:pt>
                <c:pt idx="40">
                  <c:v>14.4</c:v>
                </c:pt>
                <c:pt idx="41">
                  <c:v>14.1</c:v>
                </c:pt>
                <c:pt idx="42">
                  <c:v>14.2</c:v>
                </c:pt>
                <c:pt idx="43">
                  <c:v>14.6</c:v>
                </c:pt>
                <c:pt idx="44">
                  <c:v>15.1</c:v>
                </c:pt>
                <c:pt idx="45">
                  <c:v>15.3</c:v>
                </c:pt>
                <c:pt idx="46">
                  <c:v>15.1</c:v>
                </c:pt>
                <c:pt idx="47">
                  <c:v>15.6</c:v>
                </c:pt>
                <c:pt idx="48">
                  <c:v>15.7</c:v>
                </c:pt>
                <c:pt idx="49">
                  <c:v>15.9</c:v>
                </c:pt>
                <c:pt idx="50">
                  <c:v>15.8</c:v>
                </c:pt>
                <c:pt idx="51">
                  <c:v>15.9</c:v>
                </c:pt>
                <c:pt idx="52">
                  <c:v>15.8</c:v>
                </c:pt>
                <c:pt idx="53">
                  <c:v>15.9</c:v>
                </c:pt>
                <c:pt idx="54">
                  <c:v>16</c:v>
                </c:pt>
                <c:pt idx="55">
                  <c:v>16.600000000000001</c:v>
                </c:pt>
                <c:pt idx="56">
                  <c:v>17.5</c:v>
                </c:pt>
                <c:pt idx="57">
                  <c:v>16.899999999999999</c:v>
                </c:pt>
                <c:pt idx="58">
                  <c:v>16.600000000000001</c:v>
                </c:pt>
                <c:pt idx="59">
                  <c:v>17.2</c:v>
                </c:pt>
                <c:pt idx="60">
                  <c:v>17.2</c:v>
                </c:pt>
                <c:pt idx="61">
                  <c:v>16</c:v>
                </c:pt>
                <c:pt idx="62">
                  <c:v>14.6</c:v>
                </c:pt>
                <c:pt idx="63">
                  <c:v>13.4</c:v>
                </c:pt>
                <c:pt idx="64">
                  <c:v>12.1</c:v>
                </c:pt>
                <c:pt idx="65">
                  <c:v>10.7</c:v>
                </c:pt>
                <c:pt idx="66">
                  <c:v>9.4</c:v>
                </c:pt>
                <c:pt idx="67">
                  <c:v>9.6</c:v>
                </c:pt>
                <c:pt idx="68">
                  <c:v>9.3000000000000007</c:v>
                </c:pt>
                <c:pt idx="69">
                  <c:v>8.9</c:v>
                </c:pt>
                <c:pt idx="70">
                  <c:v>8.6</c:v>
                </c:pt>
                <c:pt idx="71">
                  <c:v>8.8000000000000007</c:v>
                </c:pt>
                <c:pt idx="72">
                  <c:v>8.3000000000000007</c:v>
                </c:pt>
                <c:pt idx="73">
                  <c:v>8.6999999999999993</c:v>
                </c:pt>
                <c:pt idx="74">
                  <c:v>9</c:v>
                </c:pt>
                <c:pt idx="75">
                  <c:v>9.6999999999999993</c:v>
                </c:pt>
                <c:pt idx="76">
                  <c:v>10.199999999999999</c:v>
                </c:pt>
                <c:pt idx="77">
                  <c:v>10.4</c:v>
                </c:pt>
                <c:pt idx="78">
                  <c:v>10.199999999999999</c:v>
                </c:pt>
                <c:pt idx="79">
                  <c:v>10.3</c:v>
                </c:pt>
                <c:pt idx="80">
                  <c:v>11.3</c:v>
                </c:pt>
                <c:pt idx="81">
                  <c:v>12</c:v>
                </c:pt>
                <c:pt idx="82">
                  <c:v>12.3</c:v>
                </c:pt>
                <c:pt idx="83">
                  <c:v>12.5</c:v>
                </c:pt>
                <c:pt idx="84">
                  <c:v>12.6</c:v>
                </c:pt>
                <c:pt idx="85">
                  <c:v>13.3</c:v>
                </c:pt>
                <c:pt idx="86">
                  <c:v>13.2</c:v>
                </c:pt>
                <c:pt idx="87">
                  <c:v>13.3</c:v>
                </c:pt>
                <c:pt idx="88">
                  <c:v>13.3</c:v>
                </c:pt>
                <c:pt idx="89">
                  <c:v>12.9</c:v>
                </c:pt>
                <c:pt idx="90">
                  <c:v>11.5</c:v>
                </c:pt>
                <c:pt idx="91">
                  <c:v>10.9</c:v>
                </c:pt>
                <c:pt idx="92">
                  <c:v>10.1</c:v>
                </c:pt>
                <c:pt idx="93">
                  <c:v>9.8000000000000007</c:v>
                </c:pt>
                <c:pt idx="94">
                  <c:v>9.4</c:v>
                </c:pt>
                <c:pt idx="95">
                  <c:v>8.8000000000000007</c:v>
                </c:pt>
                <c:pt idx="96">
                  <c:v>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AD-42A7-B290-9DCD450D9F97}"/>
            </c:ext>
          </c:extLst>
        </c:ser>
        <c:ser>
          <c:idx val="3"/>
          <c:order val="3"/>
          <c:tx>
            <c:strRef>
              <c:f>Графики!$E$4</c:f>
              <c:strCache>
                <c:ptCount val="1"/>
                <c:pt idx="0">
                  <c:v>фактическая смертность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Графики!$A$5:$A$101</c:f>
              <c:numCache>
                <c:formatCode>General</c:formatCode>
                <c:ptCount val="97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  <c:pt idx="95">
                  <c:v>2022</c:v>
                </c:pt>
                <c:pt idx="96">
                  <c:v>2023</c:v>
                </c:pt>
              </c:numCache>
            </c:numRef>
          </c:xVal>
          <c:yVal>
            <c:numRef>
              <c:f>Графики!$E$5:$E$101</c:f>
              <c:numCache>
                <c:formatCode>0.0</c:formatCode>
                <c:ptCount val="97"/>
                <c:pt idx="0">
                  <c:v>28.6</c:v>
                </c:pt>
                <c:pt idx="1">
                  <c:v>26.8</c:v>
                </c:pt>
                <c:pt idx="2">
                  <c:v>28.6</c:v>
                </c:pt>
                <c:pt idx="3">
                  <c:v>27.3</c:v>
                </c:pt>
                <c:pt idx="4">
                  <c:v>30.3</c:v>
                </c:pt>
                <c:pt idx="5">
                  <c:v>29.8</c:v>
                </c:pt>
                <c:pt idx="6">
                  <c:v>51</c:v>
                </c:pt>
                <c:pt idx="7">
                  <c:v>26.1</c:v>
                </c:pt>
                <c:pt idx="8">
                  <c:v>23.6</c:v>
                </c:pt>
                <c:pt idx="9">
                  <c:v>26.2</c:v>
                </c:pt>
                <c:pt idx="10">
                  <c:v>26.2</c:v>
                </c:pt>
                <c:pt idx="11">
                  <c:v>25.6</c:v>
                </c:pt>
                <c:pt idx="12">
                  <c:v>23.9</c:v>
                </c:pt>
                <c:pt idx="13">
                  <c:v>23.2</c:v>
                </c:pt>
                <c:pt idx="14">
                  <c:v>51.7</c:v>
                </c:pt>
                <c:pt idx="15">
                  <c:v>67.900000000000006</c:v>
                </c:pt>
                <c:pt idx="16">
                  <c:v>51.5</c:v>
                </c:pt>
                <c:pt idx="17">
                  <c:v>40.9</c:v>
                </c:pt>
                <c:pt idx="18">
                  <c:v>25</c:v>
                </c:pt>
                <c:pt idx="19">
                  <c:v>12.3</c:v>
                </c:pt>
                <c:pt idx="20">
                  <c:v>17</c:v>
                </c:pt>
                <c:pt idx="21">
                  <c:v>13.1</c:v>
                </c:pt>
                <c:pt idx="22">
                  <c:v>11.7</c:v>
                </c:pt>
                <c:pt idx="23">
                  <c:v>11.5</c:v>
                </c:pt>
                <c:pt idx="24">
                  <c:v>11.6</c:v>
                </c:pt>
                <c:pt idx="25">
                  <c:v>10.7</c:v>
                </c:pt>
                <c:pt idx="26">
                  <c:v>10.4</c:v>
                </c:pt>
                <c:pt idx="27">
                  <c:v>10.3</c:v>
                </c:pt>
                <c:pt idx="28">
                  <c:v>9.3000000000000007</c:v>
                </c:pt>
                <c:pt idx="29">
                  <c:v>8.4</c:v>
                </c:pt>
                <c:pt idx="30">
                  <c:v>8.8000000000000007</c:v>
                </c:pt>
                <c:pt idx="31">
                  <c:v>8</c:v>
                </c:pt>
                <c:pt idx="32">
                  <c:v>7.8</c:v>
                </c:pt>
                <c:pt idx="33">
                  <c:v>7.4</c:v>
                </c:pt>
                <c:pt idx="34">
                  <c:v>7.4</c:v>
                </c:pt>
                <c:pt idx="35">
                  <c:v>7.7</c:v>
                </c:pt>
                <c:pt idx="36">
                  <c:v>7.5</c:v>
                </c:pt>
                <c:pt idx="37">
                  <c:v>7.2</c:v>
                </c:pt>
                <c:pt idx="38">
                  <c:v>7.6</c:v>
                </c:pt>
                <c:pt idx="39">
                  <c:v>7.6</c:v>
                </c:pt>
                <c:pt idx="40">
                  <c:v>7.9</c:v>
                </c:pt>
                <c:pt idx="41">
                  <c:v>8.1</c:v>
                </c:pt>
                <c:pt idx="42">
                  <c:v>8.5</c:v>
                </c:pt>
                <c:pt idx="43">
                  <c:v>8.6999999999999993</c:v>
                </c:pt>
                <c:pt idx="44">
                  <c:v>8.6999999999999993</c:v>
                </c:pt>
                <c:pt idx="45">
                  <c:v>9</c:v>
                </c:pt>
                <c:pt idx="46">
                  <c:v>9.1999999999999993</c:v>
                </c:pt>
                <c:pt idx="47">
                  <c:v>9.1999999999999993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10.3</c:v>
                </c:pt>
                <c:pt idx="52">
                  <c:v>10.8</c:v>
                </c:pt>
                <c:pt idx="53">
                  <c:v>11</c:v>
                </c:pt>
                <c:pt idx="54">
                  <c:v>10.9</c:v>
                </c:pt>
                <c:pt idx="55">
                  <c:v>10.7</c:v>
                </c:pt>
                <c:pt idx="56">
                  <c:v>11</c:v>
                </c:pt>
                <c:pt idx="57">
                  <c:v>11.6</c:v>
                </c:pt>
                <c:pt idx="58">
                  <c:v>11.3</c:v>
                </c:pt>
                <c:pt idx="59">
                  <c:v>10.4</c:v>
                </c:pt>
                <c:pt idx="60">
                  <c:v>10.5</c:v>
                </c:pt>
                <c:pt idx="61">
                  <c:v>10.7</c:v>
                </c:pt>
                <c:pt idx="62">
                  <c:v>10.7</c:v>
                </c:pt>
                <c:pt idx="63">
                  <c:v>11.2</c:v>
                </c:pt>
                <c:pt idx="64">
                  <c:v>11.4</c:v>
                </c:pt>
                <c:pt idx="65">
                  <c:v>12.2</c:v>
                </c:pt>
                <c:pt idx="66">
                  <c:v>14.5</c:v>
                </c:pt>
                <c:pt idx="67">
                  <c:v>15.7</c:v>
                </c:pt>
                <c:pt idx="68">
                  <c:v>15</c:v>
                </c:pt>
                <c:pt idx="69">
                  <c:v>14.2</c:v>
                </c:pt>
                <c:pt idx="70">
                  <c:v>13.7</c:v>
                </c:pt>
                <c:pt idx="71">
                  <c:v>13.6</c:v>
                </c:pt>
                <c:pt idx="72">
                  <c:v>14.7</c:v>
                </c:pt>
                <c:pt idx="73">
                  <c:v>15.3</c:v>
                </c:pt>
                <c:pt idx="74">
                  <c:v>15.6</c:v>
                </c:pt>
                <c:pt idx="75">
                  <c:v>16.2</c:v>
                </c:pt>
                <c:pt idx="76">
                  <c:v>16.399999999999999</c:v>
                </c:pt>
                <c:pt idx="77">
                  <c:v>15.9</c:v>
                </c:pt>
                <c:pt idx="78">
                  <c:v>16.100000000000001</c:v>
                </c:pt>
                <c:pt idx="79">
                  <c:v>15.1</c:v>
                </c:pt>
                <c:pt idx="80">
                  <c:v>14.6</c:v>
                </c:pt>
                <c:pt idx="81">
                  <c:v>14.5</c:v>
                </c:pt>
                <c:pt idx="82">
                  <c:v>14.1</c:v>
                </c:pt>
                <c:pt idx="83">
                  <c:v>14.2</c:v>
                </c:pt>
                <c:pt idx="84">
                  <c:v>13.5</c:v>
                </c:pt>
                <c:pt idx="85">
                  <c:v>13.3</c:v>
                </c:pt>
                <c:pt idx="86">
                  <c:v>13</c:v>
                </c:pt>
                <c:pt idx="87">
                  <c:v>13.1</c:v>
                </c:pt>
                <c:pt idx="88">
                  <c:v>13</c:v>
                </c:pt>
                <c:pt idx="89">
                  <c:v>12.9</c:v>
                </c:pt>
                <c:pt idx="90">
                  <c:v>12.4</c:v>
                </c:pt>
                <c:pt idx="91">
                  <c:v>12.5</c:v>
                </c:pt>
                <c:pt idx="92">
                  <c:v>12.3</c:v>
                </c:pt>
                <c:pt idx="93">
                  <c:v>14.6</c:v>
                </c:pt>
                <c:pt idx="94">
                  <c:v>17.3</c:v>
                </c:pt>
                <c:pt idx="95">
                  <c:v>13.8</c:v>
                </c:pt>
                <c:pt idx="96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AD-42A7-B290-9DCD450D9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049088"/>
        <c:axId val="736048432"/>
      </c:scatterChart>
      <c:valAx>
        <c:axId val="736049088"/>
        <c:scaling>
          <c:orientation val="minMax"/>
          <c:max val="2025"/>
          <c:min val="19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048432"/>
        <c:crosses val="autoZero"/>
        <c:crossBetween val="midCat"/>
        <c:majorUnit val="5"/>
      </c:valAx>
      <c:valAx>
        <c:axId val="736048432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049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Графики!$B$106</c:f>
              <c:strCache>
                <c:ptCount val="1"/>
                <c:pt idx="0">
                  <c:v>MX-рождаемость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Графики!$A$107:$A$203</c:f>
              <c:numCache>
                <c:formatCode>General</c:formatCode>
                <c:ptCount val="97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  <c:pt idx="95">
                  <c:v>2022</c:v>
                </c:pt>
                <c:pt idx="96">
                  <c:v>2023</c:v>
                </c:pt>
              </c:numCache>
            </c:numRef>
          </c:xVal>
          <c:yVal>
            <c:numRef>
              <c:f>Графики!$B$107:$B$203</c:f>
              <c:numCache>
                <c:formatCode>0.0</c:formatCode>
                <c:ptCount val="97"/>
                <c:pt idx="0">
                  <c:v>44.3</c:v>
                </c:pt>
                <c:pt idx="1">
                  <c:v>44.3</c:v>
                </c:pt>
                <c:pt idx="2">
                  <c:v>44.3</c:v>
                </c:pt>
                <c:pt idx="3">
                  <c:v>49.4</c:v>
                </c:pt>
                <c:pt idx="4">
                  <c:v>43.8</c:v>
                </c:pt>
                <c:pt idx="5">
                  <c:v>43.3</c:v>
                </c:pt>
                <c:pt idx="6">
                  <c:v>42.2</c:v>
                </c:pt>
                <c:pt idx="7">
                  <c:v>44.3</c:v>
                </c:pt>
                <c:pt idx="8">
                  <c:v>42.3</c:v>
                </c:pt>
                <c:pt idx="9">
                  <c:v>43</c:v>
                </c:pt>
                <c:pt idx="10">
                  <c:v>44.1</c:v>
                </c:pt>
                <c:pt idx="11">
                  <c:v>43.5</c:v>
                </c:pt>
                <c:pt idx="12">
                  <c:v>44.6</c:v>
                </c:pt>
                <c:pt idx="13">
                  <c:v>44.3</c:v>
                </c:pt>
                <c:pt idx="14">
                  <c:v>43.5</c:v>
                </c:pt>
                <c:pt idx="15">
                  <c:v>45.5</c:v>
                </c:pt>
                <c:pt idx="16">
                  <c:v>45.5</c:v>
                </c:pt>
                <c:pt idx="17">
                  <c:v>44.2</c:v>
                </c:pt>
                <c:pt idx="18">
                  <c:v>44.9</c:v>
                </c:pt>
                <c:pt idx="19">
                  <c:v>43.7</c:v>
                </c:pt>
                <c:pt idx="20">
                  <c:v>46.1</c:v>
                </c:pt>
                <c:pt idx="21">
                  <c:v>45.2</c:v>
                </c:pt>
                <c:pt idx="22">
                  <c:v>45.2</c:v>
                </c:pt>
                <c:pt idx="23">
                  <c:v>45.5</c:v>
                </c:pt>
                <c:pt idx="24">
                  <c:v>44.6</c:v>
                </c:pt>
                <c:pt idx="25">
                  <c:v>43.8</c:v>
                </c:pt>
                <c:pt idx="26">
                  <c:v>45</c:v>
                </c:pt>
                <c:pt idx="27">
                  <c:v>46.4</c:v>
                </c:pt>
                <c:pt idx="28">
                  <c:v>46.4</c:v>
                </c:pt>
                <c:pt idx="29">
                  <c:v>46.8</c:v>
                </c:pt>
                <c:pt idx="30">
                  <c:v>47.3</c:v>
                </c:pt>
                <c:pt idx="31">
                  <c:v>44.8</c:v>
                </c:pt>
                <c:pt idx="32">
                  <c:v>47.7</c:v>
                </c:pt>
                <c:pt idx="33">
                  <c:v>46</c:v>
                </c:pt>
                <c:pt idx="34">
                  <c:v>45.5</c:v>
                </c:pt>
                <c:pt idx="35">
                  <c:v>45.6</c:v>
                </c:pt>
                <c:pt idx="36">
                  <c:v>45.4</c:v>
                </c:pt>
                <c:pt idx="37">
                  <c:v>46.3</c:v>
                </c:pt>
                <c:pt idx="38">
                  <c:v>45.7</c:v>
                </c:pt>
                <c:pt idx="39">
                  <c:v>45.7</c:v>
                </c:pt>
                <c:pt idx="40">
                  <c:v>44.8</c:v>
                </c:pt>
                <c:pt idx="41">
                  <c:v>44.5</c:v>
                </c:pt>
                <c:pt idx="42">
                  <c:v>44.1</c:v>
                </c:pt>
                <c:pt idx="43">
                  <c:v>43.4</c:v>
                </c:pt>
                <c:pt idx="44">
                  <c:v>42.5</c:v>
                </c:pt>
                <c:pt idx="45">
                  <c:v>43.2</c:v>
                </c:pt>
                <c:pt idx="46">
                  <c:v>45.8</c:v>
                </c:pt>
                <c:pt idx="47">
                  <c:v>44.9</c:v>
                </c:pt>
                <c:pt idx="48">
                  <c:v>40.4</c:v>
                </c:pt>
                <c:pt idx="49">
                  <c:v>39.299999999999997</c:v>
                </c:pt>
                <c:pt idx="50">
                  <c:v>38.5</c:v>
                </c:pt>
                <c:pt idx="51">
                  <c:v>36.4</c:v>
                </c:pt>
                <c:pt idx="52">
                  <c:v>36.9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33.6</c:v>
                </c:pt>
                <c:pt idx="56">
                  <c:v>36</c:v>
                </c:pt>
                <c:pt idx="57">
                  <c:v>34.1</c:v>
                </c:pt>
                <c:pt idx="58">
                  <c:v>35.5</c:v>
                </c:pt>
                <c:pt idx="59">
                  <c:v>33.9</c:v>
                </c:pt>
                <c:pt idx="60">
                  <c:v>36.200000000000003</c:v>
                </c:pt>
                <c:pt idx="61">
                  <c:v>33.5</c:v>
                </c:pt>
                <c:pt idx="62">
                  <c:v>32.9</c:v>
                </c:pt>
                <c:pt idx="63">
                  <c:v>27.9</c:v>
                </c:pt>
                <c:pt idx="64">
                  <c:v>27.5</c:v>
                </c:pt>
                <c:pt idx="65">
                  <c:v>27.1</c:v>
                </c:pt>
                <c:pt idx="66">
                  <c:v>26.8</c:v>
                </c:pt>
                <c:pt idx="67">
                  <c:v>26.3</c:v>
                </c:pt>
                <c:pt idx="68">
                  <c:v>25.9</c:v>
                </c:pt>
                <c:pt idx="69">
                  <c:v>25.4</c:v>
                </c:pt>
                <c:pt idx="70">
                  <c:v>24.8</c:v>
                </c:pt>
                <c:pt idx="71">
                  <c:v>24.3</c:v>
                </c:pt>
                <c:pt idx="72">
                  <c:v>23.9</c:v>
                </c:pt>
                <c:pt idx="73">
                  <c:v>23.4</c:v>
                </c:pt>
                <c:pt idx="74">
                  <c:v>23</c:v>
                </c:pt>
                <c:pt idx="75">
                  <c:v>22.6</c:v>
                </c:pt>
                <c:pt idx="76">
                  <c:v>22.2</c:v>
                </c:pt>
                <c:pt idx="77">
                  <c:v>21.8</c:v>
                </c:pt>
                <c:pt idx="78">
                  <c:v>21.5</c:v>
                </c:pt>
                <c:pt idx="79">
                  <c:v>21.1</c:v>
                </c:pt>
                <c:pt idx="80">
                  <c:v>20.8</c:v>
                </c:pt>
                <c:pt idx="81">
                  <c:v>20.399999999999999</c:v>
                </c:pt>
                <c:pt idx="82">
                  <c:v>20.100000000000001</c:v>
                </c:pt>
                <c:pt idx="83">
                  <c:v>19.7</c:v>
                </c:pt>
                <c:pt idx="84">
                  <c:v>19.399999999999999</c:v>
                </c:pt>
                <c:pt idx="85">
                  <c:v>19.2</c:v>
                </c:pt>
                <c:pt idx="86">
                  <c:v>19</c:v>
                </c:pt>
                <c:pt idx="87">
                  <c:v>18.7</c:v>
                </c:pt>
                <c:pt idx="88">
                  <c:v>18.5</c:v>
                </c:pt>
                <c:pt idx="89">
                  <c:v>18.100000000000001</c:v>
                </c:pt>
                <c:pt idx="90">
                  <c:v>17.8</c:v>
                </c:pt>
                <c:pt idx="91">
                  <c:v>17.5</c:v>
                </c:pt>
                <c:pt idx="92">
                  <c:v>17.100000000000001</c:v>
                </c:pt>
                <c:pt idx="93">
                  <c:v>16.8</c:v>
                </c:pt>
                <c:pt idx="94">
                  <c:v>16.3</c:v>
                </c:pt>
                <c:pt idx="95">
                  <c:v>16.100000000000001</c:v>
                </c:pt>
                <c:pt idx="96">
                  <c:v>15.8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C3-470E-9766-DF4365DF915B}"/>
            </c:ext>
          </c:extLst>
        </c:ser>
        <c:ser>
          <c:idx val="1"/>
          <c:order val="1"/>
          <c:tx>
            <c:strRef>
              <c:f>Графики!$C$106</c:f>
              <c:strCache>
                <c:ptCount val="1"/>
                <c:pt idx="0">
                  <c:v>MX-смертность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Графики!$A$107:$A$203</c:f>
              <c:numCache>
                <c:formatCode>General</c:formatCode>
                <c:ptCount val="97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  <c:pt idx="95">
                  <c:v>2022</c:v>
                </c:pt>
                <c:pt idx="96">
                  <c:v>2023</c:v>
                </c:pt>
              </c:numCache>
            </c:numRef>
          </c:xVal>
          <c:yVal>
            <c:numRef>
              <c:f>Графики!$C$107:$C$203</c:f>
              <c:numCache>
                <c:formatCode>0.0</c:formatCode>
                <c:ptCount val="97"/>
                <c:pt idx="0">
                  <c:v>26.7</c:v>
                </c:pt>
                <c:pt idx="1">
                  <c:v>26.7</c:v>
                </c:pt>
                <c:pt idx="2">
                  <c:v>26.7</c:v>
                </c:pt>
                <c:pt idx="3">
                  <c:v>26.6</c:v>
                </c:pt>
                <c:pt idx="4">
                  <c:v>25.9</c:v>
                </c:pt>
                <c:pt idx="5">
                  <c:v>26.1</c:v>
                </c:pt>
                <c:pt idx="6">
                  <c:v>25.7</c:v>
                </c:pt>
                <c:pt idx="7">
                  <c:v>23.8</c:v>
                </c:pt>
                <c:pt idx="8">
                  <c:v>22.6</c:v>
                </c:pt>
                <c:pt idx="9">
                  <c:v>23.5</c:v>
                </c:pt>
                <c:pt idx="10">
                  <c:v>24.4</c:v>
                </c:pt>
                <c:pt idx="11">
                  <c:v>22.9</c:v>
                </c:pt>
                <c:pt idx="12">
                  <c:v>23</c:v>
                </c:pt>
                <c:pt idx="13">
                  <c:v>23.2</c:v>
                </c:pt>
                <c:pt idx="14">
                  <c:v>22.1</c:v>
                </c:pt>
                <c:pt idx="15">
                  <c:v>22.8</c:v>
                </c:pt>
                <c:pt idx="16">
                  <c:v>22.4</c:v>
                </c:pt>
                <c:pt idx="17">
                  <c:v>20.6</c:v>
                </c:pt>
                <c:pt idx="18">
                  <c:v>19.5</c:v>
                </c:pt>
                <c:pt idx="19">
                  <c:v>19.399999999999999</c:v>
                </c:pt>
                <c:pt idx="20">
                  <c:v>16.600000000000001</c:v>
                </c:pt>
                <c:pt idx="21">
                  <c:v>16.899999999999999</c:v>
                </c:pt>
                <c:pt idx="22">
                  <c:v>17.899999999999999</c:v>
                </c:pt>
                <c:pt idx="23">
                  <c:v>16.2</c:v>
                </c:pt>
                <c:pt idx="24">
                  <c:v>17.3</c:v>
                </c:pt>
                <c:pt idx="25">
                  <c:v>15</c:v>
                </c:pt>
                <c:pt idx="26">
                  <c:v>15.9</c:v>
                </c:pt>
                <c:pt idx="27">
                  <c:v>13.1</c:v>
                </c:pt>
                <c:pt idx="28">
                  <c:v>13.7</c:v>
                </c:pt>
                <c:pt idx="29">
                  <c:v>12.1</c:v>
                </c:pt>
                <c:pt idx="30">
                  <c:v>13.2</c:v>
                </c:pt>
                <c:pt idx="31">
                  <c:v>12.5</c:v>
                </c:pt>
                <c:pt idx="32">
                  <c:v>11.9</c:v>
                </c:pt>
                <c:pt idx="33">
                  <c:v>11.5</c:v>
                </c:pt>
                <c:pt idx="34">
                  <c:v>10.7</c:v>
                </c:pt>
                <c:pt idx="35">
                  <c:v>10.8</c:v>
                </c:pt>
                <c:pt idx="36">
                  <c:v>10.7</c:v>
                </c:pt>
                <c:pt idx="37">
                  <c:v>10.199999999999999</c:v>
                </c:pt>
                <c:pt idx="38">
                  <c:v>9.8000000000000007</c:v>
                </c:pt>
                <c:pt idx="39">
                  <c:v>9.9</c:v>
                </c:pt>
                <c:pt idx="40">
                  <c:v>9.5</c:v>
                </c:pt>
                <c:pt idx="41">
                  <c:v>9.9</c:v>
                </c:pt>
                <c:pt idx="42">
                  <c:v>9.6999999999999993</c:v>
                </c:pt>
                <c:pt idx="43">
                  <c:v>9.9</c:v>
                </c:pt>
                <c:pt idx="44">
                  <c:v>8.6999999999999993</c:v>
                </c:pt>
                <c:pt idx="45">
                  <c:v>8.8000000000000007</c:v>
                </c:pt>
                <c:pt idx="46">
                  <c:v>8.1999999999999993</c:v>
                </c:pt>
                <c:pt idx="47">
                  <c:v>7.5</c:v>
                </c:pt>
                <c:pt idx="48">
                  <c:v>7.2</c:v>
                </c:pt>
                <c:pt idx="49">
                  <c:v>7.6</c:v>
                </c:pt>
                <c:pt idx="50">
                  <c:v>7.2</c:v>
                </c:pt>
                <c:pt idx="51">
                  <c:v>6.5</c:v>
                </c:pt>
                <c:pt idx="52">
                  <c:v>6.4</c:v>
                </c:pt>
                <c:pt idx="53">
                  <c:v>6.3</c:v>
                </c:pt>
                <c:pt idx="54">
                  <c:v>6.1</c:v>
                </c:pt>
                <c:pt idx="55">
                  <c:v>5.8</c:v>
                </c:pt>
                <c:pt idx="56">
                  <c:v>5.7</c:v>
                </c:pt>
                <c:pt idx="57">
                  <c:v>5.6</c:v>
                </c:pt>
                <c:pt idx="58">
                  <c:v>5.5</c:v>
                </c:pt>
                <c:pt idx="59">
                  <c:v>5.3</c:v>
                </c:pt>
                <c:pt idx="60">
                  <c:v>5.3</c:v>
                </c:pt>
                <c:pt idx="61">
                  <c:v>5.3</c:v>
                </c:pt>
                <c:pt idx="62">
                  <c:v>5.3</c:v>
                </c:pt>
                <c:pt idx="63">
                  <c:v>5.6</c:v>
                </c:pt>
                <c:pt idx="64">
                  <c:v>5.5</c:v>
                </c:pt>
                <c:pt idx="65">
                  <c:v>5.4</c:v>
                </c:pt>
                <c:pt idx="66">
                  <c:v>5.3</c:v>
                </c:pt>
                <c:pt idx="67">
                  <c:v>5.3</c:v>
                </c:pt>
                <c:pt idx="68">
                  <c:v>5.2</c:v>
                </c:pt>
                <c:pt idx="69">
                  <c:v>5.2</c:v>
                </c:pt>
                <c:pt idx="70">
                  <c:v>5.0999999999999996</c:v>
                </c:pt>
                <c:pt idx="71">
                  <c:v>5.0999999999999996</c:v>
                </c:pt>
                <c:pt idx="72">
                  <c:v>5.0999999999999996</c:v>
                </c:pt>
                <c:pt idx="73">
                  <c:v>5.0999999999999996</c:v>
                </c:pt>
                <c:pt idx="74">
                  <c:v>5.0999999999999996</c:v>
                </c:pt>
                <c:pt idx="75">
                  <c:v>5.0999999999999996</c:v>
                </c:pt>
                <c:pt idx="76">
                  <c:v>5.0999999999999996</c:v>
                </c:pt>
                <c:pt idx="77">
                  <c:v>5.2</c:v>
                </c:pt>
                <c:pt idx="78">
                  <c:v>5.2</c:v>
                </c:pt>
                <c:pt idx="79">
                  <c:v>5.3</c:v>
                </c:pt>
                <c:pt idx="80">
                  <c:v>5.3</c:v>
                </c:pt>
                <c:pt idx="81">
                  <c:v>5.4</c:v>
                </c:pt>
                <c:pt idx="82">
                  <c:v>5.5</c:v>
                </c:pt>
                <c:pt idx="83">
                  <c:v>5.6</c:v>
                </c:pt>
                <c:pt idx="84">
                  <c:v>5.6</c:v>
                </c:pt>
                <c:pt idx="85">
                  <c:v>5.7</c:v>
                </c:pt>
                <c:pt idx="86">
                  <c:v>5.7</c:v>
                </c:pt>
                <c:pt idx="87">
                  <c:v>5.7</c:v>
                </c:pt>
                <c:pt idx="88">
                  <c:v>5.8</c:v>
                </c:pt>
                <c:pt idx="89">
                  <c:v>5.8</c:v>
                </c:pt>
                <c:pt idx="90">
                  <c:v>5.9</c:v>
                </c:pt>
                <c:pt idx="91">
                  <c:v>6</c:v>
                </c:pt>
                <c:pt idx="92">
                  <c:v>6</c:v>
                </c:pt>
                <c:pt idx="93">
                  <c:v>6.1</c:v>
                </c:pt>
                <c:pt idx="94">
                  <c:v>9.5</c:v>
                </c:pt>
                <c:pt idx="95">
                  <c:v>6.1</c:v>
                </c:pt>
                <c:pt idx="96">
                  <c:v>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C3-470E-9766-DF4365DF915B}"/>
            </c:ext>
          </c:extLst>
        </c:ser>
        <c:ser>
          <c:idx val="2"/>
          <c:order val="2"/>
          <c:tx>
            <c:strRef>
              <c:f>Графики!$D$106</c:f>
              <c:strCache>
                <c:ptCount val="1"/>
                <c:pt idx="0">
                  <c:v>RU-рождаемость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Графики!$A$107:$A$203</c:f>
              <c:numCache>
                <c:formatCode>General</c:formatCode>
                <c:ptCount val="97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  <c:pt idx="95">
                  <c:v>2022</c:v>
                </c:pt>
                <c:pt idx="96">
                  <c:v>2023</c:v>
                </c:pt>
              </c:numCache>
            </c:numRef>
          </c:xVal>
          <c:yVal>
            <c:numRef>
              <c:f>Графики!$D$107:$D$203</c:f>
              <c:numCache>
                <c:formatCode>0.0</c:formatCode>
                <c:ptCount val="97"/>
                <c:pt idx="0">
                  <c:v>49.6</c:v>
                </c:pt>
                <c:pt idx="1">
                  <c:v>48.9</c:v>
                </c:pt>
                <c:pt idx="2">
                  <c:v>47</c:v>
                </c:pt>
                <c:pt idx="3">
                  <c:v>43.9</c:v>
                </c:pt>
                <c:pt idx="4">
                  <c:v>43.3</c:v>
                </c:pt>
                <c:pt idx="5">
                  <c:v>39.299999999999997</c:v>
                </c:pt>
                <c:pt idx="6">
                  <c:v>32.299999999999997</c:v>
                </c:pt>
                <c:pt idx="7">
                  <c:v>28.7</c:v>
                </c:pt>
                <c:pt idx="8">
                  <c:v>34.799999999999997</c:v>
                </c:pt>
                <c:pt idx="9">
                  <c:v>37.5</c:v>
                </c:pt>
                <c:pt idx="10">
                  <c:v>41.5</c:v>
                </c:pt>
                <c:pt idx="11">
                  <c:v>40.9</c:v>
                </c:pt>
                <c:pt idx="12">
                  <c:v>39.799999999999997</c:v>
                </c:pt>
                <c:pt idx="13">
                  <c:v>34.6</c:v>
                </c:pt>
                <c:pt idx="14">
                  <c:v>32.799999999999997</c:v>
                </c:pt>
                <c:pt idx="15">
                  <c:v>21.3</c:v>
                </c:pt>
                <c:pt idx="16">
                  <c:v>12.9</c:v>
                </c:pt>
                <c:pt idx="17">
                  <c:v>13.7</c:v>
                </c:pt>
                <c:pt idx="18">
                  <c:v>15.1</c:v>
                </c:pt>
                <c:pt idx="19">
                  <c:v>26</c:v>
                </c:pt>
                <c:pt idx="20">
                  <c:v>27.5</c:v>
                </c:pt>
                <c:pt idx="21">
                  <c:v>25.2</c:v>
                </c:pt>
                <c:pt idx="22">
                  <c:v>30.5</c:v>
                </c:pt>
                <c:pt idx="23">
                  <c:v>27.8</c:v>
                </c:pt>
                <c:pt idx="24">
                  <c:v>28.1</c:v>
                </c:pt>
                <c:pt idx="25">
                  <c:v>27.6</c:v>
                </c:pt>
                <c:pt idx="26">
                  <c:v>26.2</c:v>
                </c:pt>
                <c:pt idx="27">
                  <c:v>27.8</c:v>
                </c:pt>
                <c:pt idx="28">
                  <c:v>26.4</c:v>
                </c:pt>
                <c:pt idx="29">
                  <c:v>24.9</c:v>
                </c:pt>
                <c:pt idx="30">
                  <c:v>25</c:v>
                </c:pt>
                <c:pt idx="31">
                  <c:v>24.5</c:v>
                </c:pt>
                <c:pt idx="32">
                  <c:v>23.7</c:v>
                </c:pt>
                <c:pt idx="33">
                  <c:v>23.2</c:v>
                </c:pt>
                <c:pt idx="34">
                  <c:v>21.9</c:v>
                </c:pt>
                <c:pt idx="35">
                  <c:v>20.2</c:v>
                </c:pt>
                <c:pt idx="36">
                  <c:v>18.8</c:v>
                </c:pt>
                <c:pt idx="37">
                  <c:v>16.899999999999999</c:v>
                </c:pt>
                <c:pt idx="38">
                  <c:v>15.7</c:v>
                </c:pt>
                <c:pt idx="39">
                  <c:v>15.3</c:v>
                </c:pt>
                <c:pt idx="40">
                  <c:v>14.4</c:v>
                </c:pt>
                <c:pt idx="41">
                  <c:v>14.1</c:v>
                </c:pt>
                <c:pt idx="42">
                  <c:v>14.2</c:v>
                </c:pt>
                <c:pt idx="43">
                  <c:v>14.6</c:v>
                </c:pt>
                <c:pt idx="44">
                  <c:v>15.1</c:v>
                </c:pt>
                <c:pt idx="45">
                  <c:v>15.3</c:v>
                </c:pt>
                <c:pt idx="46">
                  <c:v>15.1</c:v>
                </c:pt>
                <c:pt idx="47">
                  <c:v>15.6</c:v>
                </c:pt>
                <c:pt idx="48">
                  <c:v>15.7</c:v>
                </c:pt>
                <c:pt idx="49">
                  <c:v>15.9</c:v>
                </c:pt>
                <c:pt idx="50">
                  <c:v>15.8</c:v>
                </c:pt>
                <c:pt idx="51">
                  <c:v>15.9</c:v>
                </c:pt>
                <c:pt idx="52">
                  <c:v>15.8</c:v>
                </c:pt>
                <c:pt idx="53">
                  <c:v>15.9</c:v>
                </c:pt>
                <c:pt idx="54">
                  <c:v>16</c:v>
                </c:pt>
                <c:pt idx="55">
                  <c:v>16.600000000000001</c:v>
                </c:pt>
                <c:pt idx="56">
                  <c:v>17.5</c:v>
                </c:pt>
                <c:pt idx="57">
                  <c:v>16.899999999999999</c:v>
                </c:pt>
                <c:pt idx="58">
                  <c:v>16.600000000000001</c:v>
                </c:pt>
                <c:pt idx="59">
                  <c:v>17.2</c:v>
                </c:pt>
                <c:pt idx="60">
                  <c:v>17.2</c:v>
                </c:pt>
                <c:pt idx="61">
                  <c:v>16</c:v>
                </c:pt>
                <c:pt idx="62">
                  <c:v>14.6</c:v>
                </c:pt>
                <c:pt idx="63">
                  <c:v>13.4</c:v>
                </c:pt>
                <c:pt idx="64">
                  <c:v>12.1</c:v>
                </c:pt>
                <c:pt idx="65">
                  <c:v>10.7</c:v>
                </c:pt>
                <c:pt idx="66">
                  <c:v>9.4</c:v>
                </c:pt>
                <c:pt idx="67">
                  <c:v>9.6</c:v>
                </c:pt>
                <c:pt idx="68">
                  <c:v>9.3000000000000007</c:v>
                </c:pt>
                <c:pt idx="69">
                  <c:v>8.9</c:v>
                </c:pt>
                <c:pt idx="70">
                  <c:v>8.6</c:v>
                </c:pt>
                <c:pt idx="71">
                  <c:v>8.8000000000000007</c:v>
                </c:pt>
                <c:pt idx="72">
                  <c:v>8.3000000000000007</c:v>
                </c:pt>
                <c:pt idx="73">
                  <c:v>8.6999999999999993</c:v>
                </c:pt>
                <c:pt idx="74">
                  <c:v>9</c:v>
                </c:pt>
                <c:pt idx="75">
                  <c:v>9.6999999999999993</c:v>
                </c:pt>
                <c:pt idx="76">
                  <c:v>10.199999999999999</c:v>
                </c:pt>
                <c:pt idx="77">
                  <c:v>10.4</c:v>
                </c:pt>
                <c:pt idx="78">
                  <c:v>10.199999999999999</c:v>
                </c:pt>
                <c:pt idx="79">
                  <c:v>10.3</c:v>
                </c:pt>
                <c:pt idx="80">
                  <c:v>11.3</c:v>
                </c:pt>
                <c:pt idx="81">
                  <c:v>12</c:v>
                </c:pt>
                <c:pt idx="82">
                  <c:v>12.3</c:v>
                </c:pt>
                <c:pt idx="83">
                  <c:v>12.5</c:v>
                </c:pt>
                <c:pt idx="84">
                  <c:v>12.6</c:v>
                </c:pt>
                <c:pt idx="85">
                  <c:v>13.3</c:v>
                </c:pt>
                <c:pt idx="86">
                  <c:v>13.2</c:v>
                </c:pt>
                <c:pt idx="87">
                  <c:v>13.3</c:v>
                </c:pt>
                <c:pt idx="88">
                  <c:v>13.3</c:v>
                </c:pt>
                <c:pt idx="89">
                  <c:v>12.9</c:v>
                </c:pt>
                <c:pt idx="90">
                  <c:v>11.5</c:v>
                </c:pt>
                <c:pt idx="91">
                  <c:v>10.9</c:v>
                </c:pt>
                <c:pt idx="92">
                  <c:v>10.1</c:v>
                </c:pt>
                <c:pt idx="93">
                  <c:v>9.8000000000000007</c:v>
                </c:pt>
                <c:pt idx="94">
                  <c:v>9.4</c:v>
                </c:pt>
                <c:pt idx="95">
                  <c:v>8.8000000000000007</c:v>
                </c:pt>
                <c:pt idx="96">
                  <c:v>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C3-470E-9766-DF4365DF915B}"/>
            </c:ext>
          </c:extLst>
        </c:ser>
        <c:ser>
          <c:idx val="3"/>
          <c:order val="3"/>
          <c:tx>
            <c:strRef>
              <c:f>Графики!$E$106</c:f>
              <c:strCache>
                <c:ptCount val="1"/>
                <c:pt idx="0">
                  <c:v>RU-смертность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Графики!$A$107:$A$203</c:f>
              <c:numCache>
                <c:formatCode>General</c:formatCode>
                <c:ptCount val="97"/>
                <c:pt idx="0">
                  <c:v>1927</c:v>
                </c:pt>
                <c:pt idx="1">
                  <c:v>1928</c:v>
                </c:pt>
                <c:pt idx="2">
                  <c:v>1929</c:v>
                </c:pt>
                <c:pt idx="3">
                  <c:v>1930</c:v>
                </c:pt>
                <c:pt idx="4">
                  <c:v>1931</c:v>
                </c:pt>
                <c:pt idx="5">
                  <c:v>1932</c:v>
                </c:pt>
                <c:pt idx="6">
                  <c:v>1933</c:v>
                </c:pt>
                <c:pt idx="7">
                  <c:v>1934</c:v>
                </c:pt>
                <c:pt idx="8">
                  <c:v>1935</c:v>
                </c:pt>
                <c:pt idx="9">
                  <c:v>1936</c:v>
                </c:pt>
                <c:pt idx="10">
                  <c:v>1937</c:v>
                </c:pt>
                <c:pt idx="11">
                  <c:v>1938</c:v>
                </c:pt>
                <c:pt idx="12">
                  <c:v>1939</c:v>
                </c:pt>
                <c:pt idx="13">
                  <c:v>1940</c:v>
                </c:pt>
                <c:pt idx="14">
                  <c:v>1941</c:v>
                </c:pt>
                <c:pt idx="15">
                  <c:v>1942</c:v>
                </c:pt>
                <c:pt idx="16">
                  <c:v>1943</c:v>
                </c:pt>
                <c:pt idx="17">
                  <c:v>1944</c:v>
                </c:pt>
                <c:pt idx="18">
                  <c:v>1945</c:v>
                </c:pt>
                <c:pt idx="19">
                  <c:v>1946</c:v>
                </c:pt>
                <c:pt idx="20">
                  <c:v>1947</c:v>
                </c:pt>
                <c:pt idx="21">
                  <c:v>1948</c:v>
                </c:pt>
                <c:pt idx="22">
                  <c:v>1949</c:v>
                </c:pt>
                <c:pt idx="23">
                  <c:v>1950</c:v>
                </c:pt>
                <c:pt idx="24">
                  <c:v>1951</c:v>
                </c:pt>
                <c:pt idx="25">
                  <c:v>1952</c:v>
                </c:pt>
                <c:pt idx="26">
                  <c:v>1953</c:v>
                </c:pt>
                <c:pt idx="27">
                  <c:v>1954</c:v>
                </c:pt>
                <c:pt idx="28">
                  <c:v>1955</c:v>
                </c:pt>
                <c:pt idx="29">
                  <c:v>1956</c:v>
                </c:pt>
                <c:pt idx="30">
                  <c:v>1957</c:v>
                </c:pt>
                <c:pt idx="31">
                  <c:v>1958</c:v>
                </c:pt>
                <c:pt idx="32">
                  <c:v>1959</c:v>
                </c:pt>
                <c:pt idx="33">
                  <c:v>1960</c:v>
                </c:pt>
                <c:pt idx="34">
                  <c:v>1961</c:v>
                </c:pt>
                <c:pt idx="35">
                  <c:v>1962</c:v>
                </c:pt>
                <c:pt idx="36">
                  <c:v>1963</c:v>
                </c:pt>
                <c:pt idx="37">
                  <c:v>1964</c:v>
                </c:pt>
                <c:pt idx="38">
                  <c:v>1965</c:v>
                </c:pt>
                <c:pt idx="39">
                  <c:v>1966</c:v>
                </c:pt>
                <c:pt idx="40">
                  <c:v>1967</c:v>
                </c:pt>
                <c:pt idx="41">
                  <c:v>1968</c:v>
                </c:pt>
                <c:pt idx="42">
                  <c:v>1969</c:v>
                </c:pt>
                <c:pt idx="43">
                  <c:v>1970</c:v>
                </c:pt>
                <c:pt idx="44">
                  <c:v>1971</c:v>
                </c:pt>
                <c:pt idx="45">
                  <c:v>1972</c:v>
                </c:pt>
                <c:pt idx="46">
                  <c:v>1973</c:v>
                </c:pt>
                <c:pt idx="47">
                  <c:v>1974</c:v>
                </c:pt>
                <c:pt idx="48">
                  <c:v>1975</c:v>
                </c:pt>
                <c:pt idx="49">
                  <c:v>1976</c:v>
                </c:pt>
                <c:pt idx="50">
                  <c:v>1977</c:v>
                </c:pt>
                <c:pt idx="51">
                  <c:v>1978</c:v>
                </c:pt>
                <c:pt idx="52">
                  <c:v>1979</c:v>
                </c:pt>
                <c:pt idx="53">
                  <c:v>1980</c:v>
                </c:pt>
                <c:pt idx="54">
                  <c:v>1981</c:v>
                </c:pt>
                <c:pt idx="55">
                  <c:v>1982</c:v>
                </c:pt>
                <c:pt idx="56">
                  <c:v>1983</c:v>
                </c:pt>
                <c:pt idx="57">
                  <c:v>1984</c:v>
                </c:pt>
                <c:pt idx="58">
                  <c:v>1985</c:v>
                </c:pt>
                <c:pt idx="59">
                  <c:v>1986</c:v>
                </c:pt>
                <c:pt idx="60">
                  <c:v>1987</c:v>
                </c:pt>
                <c:pt idx="61">
                  <c:v>1988</c:v>
                </c:pt>
                <c:pt idx="62">
                  <c:v>1989</c:v>
                </c:pt>
                <c:pt idx="63">
                  <c:v>1990</c:v>
                </c:pt>
                <c:pt idx="64">
                  <c:v>1991</c:v>
                </c:pt>
                <c:pt idx="65">
                  <c:v>1992</c:v>
                </c:pt>
                <c:pt idx="66">
                  <c:v>1993</c:v>
                </c:pt>
                <c:pt idx="67">
                  <c:v>1994</c:v>
                </c:pt>
                <c:pt idx="68">
                  <c:v>1995</c:v>
                </c:pt>
                <c:pt idx="69">
                  <c:v>1996</c:v>
                </c:pt>
                <c:pt idx="70">
                  <c:v>1997</c:v>
                </c:pt>
                <c:pt idx="71">
                  <c:v>1998</c:v>
                </c:pt>
                <c:pt idx="72">
                  <c:v>1999</c:v>
                </c:pt>
                <c:pt idx="73">
                  <c:v>2000</c:v>
                </c:pt>
                <c:pt idx="74">
                  <c:v>2001</c:v>
                </c:pt>
                <c:pt idx="75">
                  <c:v>2002</c:v>
                </c:pt>
                <c:pt idx="76">
                  <c:v>2003</c:v>
                </c:pt>
                <c:pt idx="77">
                  <c:v>2004</c:v>
                </c:pt>
                <c:pt idx="78">
                  <c:v>2005</c:v>
                </c:pt>
                <c:pt idx="79">
                  <c:v>2006</c:v>
                </c:pt>
                <c:pt idx="80">
                  <c:v>2007</c:v>
                </c:pt>
                <c:pt idx="81">
                  <c:v>2008</c:v>
                </c:pt>
                <c:pt idx="82">
                  <c:v>2009</c:v>
                </c:pt>
                <c:pt idx="83">
                  <c:v>2010</c:v>
                </c:pt>
                <c:pt idx="84">
                  <c:v>2011</c:v>
                </c:pt>
                <c:pt idx="85">
                  <c:v>2012</c:v>
                </c:pt>
                <c:pt idx="86">
                  <c:v>2013</c:v>
                </c:pt>
                <c:pt idx="87">
                  <c:v>2014</c:v>
                </c:pt>
                <c:pt idx="88">
                  <c:v>2015</c:v>
                </c:pt>
                <c:pt idx="89">
                  <c:v>2016</c:v>
                </c:pt>
                <c:pt idx="90">
                  <c:v>2017</c:v>
                </c:pt>
                <c:pt idx="91">
                  <c:v>2018</c:v>
                </c:pt>
                <c:pt idx="92">
                  <c:v>2019</c:v>
                </c:pt>
                <c:pt idx="93">
                  <c:v>2020</c:v>
                </c:pt>
                <c:pt idx="94">
                  <c:v>2021</c:v>
                </c:pt>
                <c:pt idx="95">
                  <c:v>2022</c:v>
                </c:pt>
                <c:pt idx="96">
                  <c:v>2023</c:v>
                </c:pt>
              </c:numCache>
            </c:numRef>
          </c:xVal>
          <c:yVal>
            <c:numRef>
              <c:f>Графики!$E$107:$E$203</c:f>
              <c:numCache>
                <c:formatCode>0.0</c:formatCode>
                <c:ptCount val="97"/>
                <c:pt idx="0">
                  <c:v>28.6</c:v>
                </c:pt>
                <c:pt idx="1">
                  <c:v>26.8</c:v>
                </c:pt>
                <c:pt idx="2">
                  <c:v>28.6</c:v>
                </c:pt>
                <c:pt idx="3">
                  <c:v>27.3</c:v>
                </c:pt>
                <c:pt idx="4">
                  <c:v>30.3</c:v>
                </c:pt>
                <c:pt idx="5">
                  <c:v>29.8</c:v>
                </c:pt>
                <c:pt idx="6">
                  <c:v>51</c:v>
                </c:pt>
                <c:pt idx="7">
                  <c:v>26.1</c:v>
                </c:pt>
                <c:pt idx="8">
                  <c:v>23.6</c:v>
                </c:pt>
                <c:pt idx="9">
                  <c:v>26.2</c:v>
                </c:pt>
                <c:pt idx="10">
                  <c:v>26.2</c:v>
                </c:pt>
                <c:pt idx="11">
                  <c:v>25.6</c:v>
                </c:pt>
                <c:pt idx="12">
                  <c:v>23.9</c:v>
                </c:pt>
                <c:pt idx="13">
                  <c:v>23.2</c:v>
                </c:pt>
                <c:pt idx="14">
                  <c:v>51.7</c:v>
                </c:pt>
                <c:pt idx="15">
                  <c:v>67.900000000000006</c:v>
                </c:pt>
                <c:pt idx="16">
                  <c:v>51.5</c:v>
                </c:pt>
                <c:pt idx="17">
                  <c:v>40.9</c:v>
                </c:pt>
                <c:pt idx="18">
                  <c:v>25</c:v>
                </c:pt>
                <c:pt idx="19">
                  <c:v>12.3</c:v>
                </c:pt>
                <c:pt idx="20">
                  <c:v>17</c:v>
                </c:pt>
                <c:pt idx="21">
                  <c:v>13.1</c:v>
                </c:pt>
                <c:pt idx="22">
                  <c:v>11.7</c:v>
                </c:pt>
                <c:pt idx="23">
                  <c:v>11.5</c:v>
                </c:pt>
                <c:pt idx="24">
                  <c:v>11.6</c:v>
                </c:pt>
                <c:pt idx="25">
                  <c:v>10.7</c:v>
                </c:pt>
                <c:pt idx="26">
                  <c:v>10.4</c:v>
                </c:pt>
                <c:pt idx="27">
                  <c:v>10.3</c:v>
                </c:pt>
                <c:pt idx="28">
                  <c:v>9.3000000000000007</c:v>
                </c:pt>
                <c:pt idx="29">
                  <c:v>8.4</c:v>
                </c:pt>
                <c:pt idx="30">
                  <c:v>8.8000000000000007</c:v>
                </c:pt>
                <c:pt idx="31">
                  <c:v>8</c:v>
                </c:pt>
                <c:pt idx="32">
                  <c:v>7.8</c:v>
                </c:pt>
                <c:pt idx="33">
                  <c:v>7.4</c:v>
                </c:pt>
                <c:pt idx="34">
                  <c:v>7.4</c:v>
                </c:pt>
                <c:pt idx="35">
                  <c:v>7.7</c:v>
                </c:pt>
                <c:pt idx="36">
                  <c:v>7.5</c:v>
                </c:pt>
                <c:pt idx="37">
                  <c:v>7.2</c:v>
                </c:pt>
                <c:pt idx="38">
                  <c:v>7.6</c:v>
                </c:pt>
                <c:pt idx="39">
                  <c:v>7.6</c:v>
                </c:pt>
                <c:pt idx="40">
                  <c:v>7.9</c:v>
                </c:pt>
                <c:pt idx="41">
                  <c:v>8.1</c:v>
                </c:pt>
                <c:pt idx="42">
                  <c:v>8.5</c:v>
                </c:pt>
                <c:pt idx="43">
                  <c:v>8.6999999999999993</c:v>
                </c:pt>
                <c:pt idx="44">
                  <c:v>8.6999999999999993</c:v>
                </c:pt>
                <c:pt idx="45">
                  <c:v>9</c:v>
                </c:pt>
                <c:pt idx="46">
                  <c:v>9.1999999999999993</c:v>
                </c:pt>
                <c:pt idx="47">
                  <c:v>9.1999999999999993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10.3</c:v>
                </c:pt>
                <c:pt idx="52">
                  <c:v>10.8</c:v>
                </c:pt>
                <c:pt idx="53">
                  <c:v>11</c:v>
                </c:pt>
                <c:pt idx="54">
                  <c:v>10.9</c:v>
                </c:pt>
                <c:pt idx="55">
                  <c:v>10.7</c:v>
                </c:pt>
                <c:pt idx="56">
                  <c:v>11</c:v>
                </c:pt>
                <c:pt idx="57">
                  <c:v>11.6</c:v>
                </c:pt>
                <c:pt idx="58">
                  <c:v>11.3</c:v>
                </c:pt>
                <c:pt idx="59">
                  <c:v>10.4</c:v>
                </c:pt>
                <c:pt idx="60">
                  <c:v>10.5</c:v>
                </c:pt>
                <c:pt idx="61">
                  <c:v>10.7</c:v>
                </c:pt>
                <c:pt idx="62">
                  <c:v>10.7</c:v>
                </c:pt>
                <c:pt idx="63">
                  <c:v>11.2</c:v>
                </c:pt>
                <c:pt idx="64">
                  <c:v>11.4</c:v>
                </c:pt>
                <c:pt idx="65">
                  <c:v>12.2</c:v>
                </c:pt>
                <c:pt idx="66">
                  <c:v>14.5</c:v>
                </c:pt>
                <c:pt idx="67">
                  <c:v>15.7</c:v>
                </c:pt>
                <c:pt idx="68">
                  <c:v>15</c:v>
                </c:pt>
                <c:pt idx="69">
                  <c:v>14.2</c:v>
                </c:pt>
                <c:pt idx="70">
                  <c:v>13.7</c:v>
                </c:pt>
                <c:pt idx="71">
                  <c:v>13.6</c:v>
                </c:pt>
                <c:pt idx="72">
                  <c:v>14.7</c:v>
                </c:pt>
                <c:pt idx="73">
                  <c:v>15.3</c:v>
                </c:pt>
                <c:pt idx="74">
                  <c:v>15.6</c:v>
                </c:pt>
                <c:pt idx="75">
                  <c:v>16.2</c:v>
                </c:pt>
                <c:pt idx="76">
                  <c:v>16.399999999999999</c:v>
                </c:pt>
                <c:pt idx="77">
                  <c:v>15.9</c:v>
                </c:pt>
                <c:pt idx="78">
                  <c:v>16.100000000000001</c:v>
                </c:pt>
                <c:pt idx="79">
                  <c:v>15.1</c:v>
                </c:pt>
                <c:pt idx="80">
                  <c:v>14.6</c:v>
                </c:pt>
                <c:pt idx="81">
                  <c:v>14.5</c:v>
                </c:pt>
                <c:pt idx="82">
                  <c:v>14.1</c:v>
                </c:pt>
                <c:pt idx="83">
                  <c:v>14.2</c:v>
                </c:pt>
                <c:pt idx="84">
                  <c:v>13.5</c:v>
                </c:pt>
                <c:pt idx="85">
                  <c:v>13.3</c:v>
                </c:pt>
                <c:pt idx="86">
                  <c:v>13</c:v>
                </c:pt>
                <c:pt idx="87">
                  <c:v>13.1</c:v>
                </c:pt>
                <c:pt idx="88">
                  <c:v>13</c:v>
                </c:pt>
                <c:pt idx="89">
                  <c:v>12.9</c:v>
                </c:pt>
                <c:pt idx="90">
                  <c:v>12.4</c:v>
                </c:pt>
                <c:pt idx="91">
                  <c:v>12.5</c:v>
                </c:pt>
                <c:pt idx="92">
                  <c:v>12.3</c:v>
                </c:pt>
                <c:pt idx="93">
                  <c:v>14.6</c:v>
                </c:pt>
                <c:pt idx="94">
                  <c:v>17.3</c:v>
                </c:pt>
                <c:pt idx="95">
                  <c:v>13.8</c:v>
                </c:pt>
                <c:pt idx="96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C3-470E-9766-DF4365DF9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418920"/>
        <c:axId val="905419904"/>
      </c:scatterChart>
      <c:valAx>
        <c:axId val="905418920"/>
        <c:scaling>
          <c:orientation val="minMax"/>
          <c:max val="2025"/>
          <c:min val="19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5419904"/>
        <c:crosses val="autoZero"/>
        <c:crossBetween val="midCat"/>
        <c:majorUnit val="5"/>
      </c:valAx>
      <c:valAx>
        <c:axId val="905419904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5418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3</xdr:row>
      <xdr:rowOff>4761</xdr:rowOff>
    </xdr:from>
    <xdr:to>
      <xdr:col>29</xdr:col>
      <xdr:colOff>590550</xdr:colOff>
      <xdr:row>54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2B1E0-DAD1-4458-9DE2-47857215B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</xdr:colOff>
      <xdr:row>105</xdr:row>
      <xdr:rowOff>4762</xdr:rowOff>
    </xdr:from>
    <xdr:to>
      <xdr:col>27</xdr:col>
      <xdr:colOff>590550</xdr:colOff>
      <xdr:row>163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B56A8B-3C8F-4AF1-A4DB-0D1AEE324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E9CE-51C0-4757-B29D-171216549950}">
  <dimension ref="A1:B54"/>
  <sheetViews>
    <sheetView tabSelected="1" workbookViewId="0">
      <selection activeCell="A54" sqref="A54"/>
    </sheetView>
  </sheetViews>
  <sheetFormatPr defaultRowHeight="15" x14ac:dyDescent="0.25"/>
  <sheetData>
    <row r="1" spans="1:2" ht="21" x14ac:dyDescent="0.35">
      <c r="A1" s="37" t="s">
        <v>217</v>
      </c>
    </row>
    <row r="2" spans="1:2" ht="21" x14ac:dyDescent="0.35">
      <c r="A2" s="37" t="s">
        <v>218</v>
      </c>
    </row>
    <row r="4" spans="1:2" x14ac:dyDescent="0.25">
      <c r="A4" s="5" t="s">
        <v>184</v>
      </c>
    </row>
    <row r="6" spans="1:2" x14ac:dyDescent="0.25">
      <c r="B6" t="s">
        <v>187</v>
      </c>
    </row>
    <row r="7" spans="1:2" x14ac:dyDescent="0.25">
      <c r="B7" t="s">
        <v>188</v>
      </c>
    </row>
    <row r="8" spans="1:2" x14ac:dyDescent="0.25">
      <c r="B8" t="s">
        <v>189</v>
      </c>
    </row>
    <row r="9" spans="1:2" x14ac:dyDescent="0.25">
      <c r="B9" t="s">
        <v>190</v>
      </c>
    </row>
    <row r="10" spans="1:2" x14ac:dyDescent="0.25">
      <c r="B10" t="s">
        <v>191</v>
      </c>
    </row>
    <row r="11" spans="1:2" x14ac:dyDescent="0.25">
      <c r="B11" t="s">
        <v>192</v>
      </c>
    </row>
    <row r="12" spans="1:2" x14ac:dyDescent="0.25">
      <c r="B12" t="s">
        <v>193</v>
      </c>
    </row>
    <row r="14" spans="1:2" x14ac:dyDescent="0.25">
      <c r="A14" s="5" t="s">
        <v>185</v>
      </c>
    </row>
    <row r="16" spans="1:2" x14ac:dyDescent="0.25">
      <c r="B16" t="s">
        <v>194</v>
      </c>
    </row>
    <row r="17" spans="2:2" x14ac:dyDescent="0.25">
      <c r="B17" t="s">
        <v>195</v>
      </c>
    </row>
    <row r="18" spans="2:2" x14ac:dyDescent="0.25">
      <c r="B18" t="s">
        <v>196</v>
      </c>
    </row>
    <row r="19" spans="2:2" x14ac:dyDescent="0.25">
      <c r="B19" t="s">
        <v>197</v>
      </c>
    </row>
    <row r="20" spans="2:2" x14ac:dyDescent="0.25">
      <c r="B20" t="s">
        <v>198</v>
      </c>
    </row>
    <row r="21" spans="2:2" x14ac:dyDescent="0.25">
      <c r="B21" t="s">
        <v>199</v>
      </c>
    </row>
    <row r="22" spans="2:2" x14ac:dyDescent="0.25">
      <c r="B22" t="s">
        <v>201</v>
      </c>
    </row>
    <row r="23" spans="2:2" x14ac:dyDescent="0.25">
      <c r="B23" t="s">
        <v>200</v>
      </c>
    </row>
    <row r="25" spans="2:2" x14ac:dyDescent="0.25">
      <c r="B25" t="s">
        <v>202</v>
      </c>
    </row>
    <row r="26" spans="2:2" x14ac:dyDescent="0.25">
      <c r="B26" t="s">
        <v>203</v>
      </c>
    </row>
    <row r="27" spans="2:2" x14ac:dyDescent="0.25">
      <c r="B27" t="s">
        <v>204</v>
      </c>
    </row>
    <row r="28" spans="2:2" x14ac:dyDescent="0.25">
      <c r="B28" t="s">
        <v>205</v>
      </c>
    </row>
    <row r="29" spans="2:2" x14ac:dyDescent="0.25">
      <c r="B29" t="s">
        <v>206</v>
      </c>
    </row>
    <row r="30" spans="2:2" x14ac:dyDescent="0.25">
      <c r="B30" t="s">
        <v>207</v>
      </c>
    </row>
    <row r="31" spans="2:2" x14ac:dyDescent="0.25">
      <c r="B31" t="s">
        <v>208</v>
      </c>
    </row>
    <row r="33" spans="1:2" x14ac:dyDescent="0.25">
      <c r="B33" t="s">
        <v>209</v>
      </c>
    </row>
    <row r="34" spans="1:2" x14ac:dyDescent="0.25">
      <c r="B34" t="s">
        <v>210</v>
      </c>
    </row>
    <row r="35" spans="1:2" x14ac:dyDescent="0.25">
      <c r="B35" t="s">
        <v>211</v>
      </c>
    </row>
    <row r="36" spans="1:2" x14ac:dyDescent="0.25">
      <c r="B36" t="s">
        <v>212</v>
      </c>
    </row>
    <row r="37" spans="1:2" x14ac:dyDescent="0.25">
      <c r="B37" t="s">
        <v>213</v>
      </c>
    </row>
    <row r="39" spans="1:2" x14ac:dyDescent="0.25">
      <c r="A39" s="5" t="s">
        <v>186</v>
      </c>
    </row>
    <row r="41" spans="1:2" x14ac:dyDescent="0.25">
      <c r="B41" t="s">
        <v>214</v>
      </c>
    </row>
    <row r="42" spans="1:2" x14ac:dyDescent="0.25">
      <c r="B42" t="s">
        <v>215</v>
      </c>
    </row>
    <row r="43" spans="1:2" x14ac:dyDescent="0.25">
      <c r="B43" t="s">
        <v>216</v>
      </c>
    </row>
    <row r="45" spans="1:2" x14ac:dyDescent="0.25">
      <c r="A45" s="5" t="s">
        <v>219</v>
      </c>
    </row>
    <row r="46" spans="1:2" x14ac:dyDescent="0.25">
      <c r="B46" t="s">
        <v>170</v>
      </c>
    </row>
    <row r="47" spans="1:2" x14ac:dyDescent="0.25">
      <c r="B47" t="s">
        <v>171</v>
      </c>
    </row>
    <row r="48" spans="1:2" x14ac:dyDescent="0.25">
      <c r="B48" t="s">
        <v>166</v>
      </c>
    </row>
    <row r="51" spans="1:1" ht="26.25" x14ac:dyDescent="0.4">
      <c r="A51" s="84" t="s">
        <v>220</v>
      </c>
    </row>
    <row r="54" spans="1:1" x14ac:dyDescent="0.25">
      <c r="A54" s="97" t="s">
        <v>221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00B7-B2D0-432D-B154-E5245457325E}">
  <dimension ref="A1:X148"/>
  <sheetViews>
    <sheetView workbookViewId="0"/>
  </sheetViews>
  <sheetFormatPr defaultColWidth="9.140625" defaultRowHeight="15" x14ac:dyDescent="0.25"/>
  <cols>
    <col min="4" max="4" width="17.140625" customWidth="1"/>
    <col min="5" max="5" width="12.85546875" customWidth="1"/>
    <col min="6" max="6" width="24" customWidth="1"/>
    <col min="7" max="7" width="18.28515625" customWidth="1"/>
    <col min="8" max="8" width="15.140625" customWidth="1"/>
    <col min="9" max="9" width="18.140625" customWidth="1"/>
    <col min="10" max="10" width="40.28515625" customWidth="1"/>
    <col min="12" max="12" width="29.7109375" customWidth="1"/>
    <col min="13" max="13" width="40.140625" customWidth="1"/>
    <col min="15" max="15" width="10.5703125" customWidth="1"/>
  </cols>
  <sheetData>
    <row r="1" spans="1:20" ht="21" x14ac:dyDescent="0.35">
      <c r="A1" s="37" t="s">
        <v>115</v>
      </c>
    </row>
    <row r="3" spans="1:20" x14ac:dyDescent="0.25">
      <c r="B3" s="86" t="s">
        <v>161</v>
      </c>
      <c r="C3" s="85"/>
      <c r="D3" s="85" t="s">
        <v>165</v>
      </c>
      <c r="E3" s="85"/>
      <c r="F3" s="85"/>
      <c r="G3" s="85"/>
      <c r="H3" s="85"/>
      <c r="I3" s="85"/>
      <c r="J3" s="85"/>
    </row>
    <row r="4" spans="1:20" ht="40.5" customHeight="1" x14ac:dyDescent="0.25">
      <c r="B4" s="85"/>
      <c r="C4" s="85"/>
      <c r="D4" s="89" t="s">
        <v>1</v>
      </c>
      <c r="E4" s="89"/>
      <c r="F4" s="89" t="s">
        <v>8</v>
      </c>
      <c r="G4" s="89"/>
      <c r="H4" s="89"/>
      <c r="I4" s="89"/>
      <c r="M4" s="89" t="s">
        <v>183</v>
      </c>
      <c r="N4" s="89"/>
      <c r="O4" s="89"/>
      <c r="Q4" s="87" t="s">
        <v>167</v>
      </c>
      <c r="R4" s="87"/>
      <c r="S4" s="88" t="s">
        <v>164</v>
      </c>
      <c r="T4" s="88"/>
    </row>
    <row r="5" spans="1:20" ht="45" x14ac:dyDescent="0.25">
      <c r="A5" s="8" t="s">
        <v>0</v>
      </c>
      <c r="B5" s="8" t="s">
        <v>100</v>
      </c>
      <c r="C5" s="8" t="s">
        <v>101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9</v>
      </c>
      <c r="L5" s="8" t="s">
        <v>22</v>
      </c>
      <c r="M5" s="56" t="s">
        <v>160</v>
      </c>
      <c r="N5" s="23" t="s">
        <v>70</v>
      </c>
      <c r="O5" s="23" t="s">
        <v>71</v>
      </c>
      <c r="Q5" s="72" t="s">
        <v>162</v>
      </c>
      <c r="R5" s="72" t="s">
        <v>163</v>
      </c>
      <c r="S5" s="72" t="s">
        <v>162</v>
      </c>
      <c r="T5" s="72" t="s">
        <v>163</v>
      </c>
    </row>
    <row r="6" spans="1:20" x14ac:dyDescent="0.25">
      <c r="A6" t="s">
        <v>28</v>
      </c>
      <c r="D6" s="3">
        <v>49.5</v>
      </c>
      <c r="E6" s="3">
        <v>32.1</v>
      </c>
      <c r="F6" s="4">
        <v>89243</v>
      </c>
      <c r="L6" s="9" t="s">
        <v>21</v>
      </c>
    </row>
    <row r="7" spans="1:20" x14ac:dyDescent="0.25">
      <c r="A7">
        <v>1917</v>
      </c>
      <c r="B7" s="1">
        <v>0.51</v>
      </c>
      <c r="C7" s="1">
        <v>1</v>
      </c>
      <c r="D7" s="3">
        <f>B7*$D$6</f>
        <v>25.245000000000001</v>
      </c>
      <c r="E7" s="3">
        <f>C7*$E$6</f>
        <v>32.1</v>
      </c>
      <c r="F7" s="4">
        <v>91000</v>
      </c>
      <c r="G7" s="4">
        <f>F7*D7/1000</f>
        <v>2297.2950000000001</v>
      </c>
      <c r="H7" s="4">
        <f>E7*F7/1000</f>
        <v>2921.1</v>
      </c>
      <c r="I7">
        <v>-54</v>
      </c>
      <c r="J7" s="6">
        <f>100 *(F8-F7) / F7</f>
        <v>-0.74484065934066768</v>
      </c>
    </row>
    <row r="8" spans="1:20" x14ac:dyDescent="0.25">
      <c r="A8">
        <f>A7+1</f>
        <v>1918</v>
      </c>
      <c r="B8" s="1">
        <v>0.6</v>
      </c>
      <c r="C8" s="1">
        <v>1</v>
      </c>
      <c r="D8" s="3">
        <f t="shared" ref="D8:D71" si="0">B8*$D$6</f>
        <v>29.7</v>
      </c>
      <c r="E8" s="3">
        <f t="shared" ref="E8:E71" si="1">C8*$E$6</f>
        <v>32.1</v>
      </c>
      <c r="F8" s="4">
        <f>F7+G7-H7+I7</f>
        <v>90322.194999999992</v>
      </c>
      <c r="G8" s="4">
        <f t="shared" ref="G8:G71" si="2">F8*D8/1000</f>
        <v>2682.5691914999998</v>
      </c>
      <c r="H8" s="4">
        <f t="shared" ref="H8:H71" si="3">E8*F8/1000</f>
        <v>2899.3424594999997</v>
      </c>
      <c r="I8">
        <v>-145</v>
      </c>
      <c r="J8" s="6">
        <f t="shared" ref="J8:J71" si="4">100 *(F9-F8) / F8</f>
        <v>-0.40053639971879551</v>
      </c>
    </row>
    <row r="9" spans="1:20" x14ac:dyDescent="0.25">
      <c r="A9">
        <f t="shared" ref="A9:A72" si="5">A8+1</f>
        <v>1919</v>
      </c>
      <c r="B9" s="1">
        <v>1</v>
      </c>
      <c r="C9" s="1">
        <v>1</v>
      </c>
      <c r="D9" s="3">
        <f t="shared" si="0"/>
        <v>49.5</v>
      </c>
      <c r="E9" s="3">
        <f t="shared" si="1"/>
        <v>32.1</v>
      </c>
      <c r="F9" s="4">
        <f t="shared" ref="F9:F72" si="6">F8+G8-H8+I8</f>
        <v>89960.421732000003</v>
      </c>
      <c r="G9" s="4">
        <f t="shared" si="2"/>
        <v>4453.0408757340001</v>
      </c>
      <c r="H9" s="4">
        <f t="shared" si="3"/>
        <v>2887.7295375972003</v>
      </c>
      <c r="I9">
        <v>1450</v>
      </c>
      <c r="J9" s="6">
        <f t="shared" si="4"/>
        <v>3.3518199226763068</v>
      </c>
    </row>
    <row r="10" spans="1:20" x14ac:dyDescent="0.25">
      <c r="A10">
        <f t="shared" si="5"/>
        <v>1920</v>
      </c>
      <c r="B10" s="1">
        <v>1</v>
      </c>
      <c r="C10" s="1">
        <v>1</v>
      </c>
      <c r="D10" s="3">
        <f t="shared" si="0"/>
        <v>49.5</v>
      </c>
      <c r="E10" s="3">
        <f t="shared" si="1"/>
        <v>32.1</v>
      </c>
      <c r="F10" s="4">
        <f t="shared" si="6"/>
        <v>92975.733070136805</v>
      </c>
      <c r="G10" s="4">
        <f t="shared" si="2"/>
        <v>4602.2987869717717</v>
      </c>
      <c r="H10" s="4">
        <f t="shared" si="3"/>
        <v>2984.5210315513914</v>
      </c>
      <c r="I10">
        <v>870</v>
      </c>
      <c r="J10" s="6">
        <f t="shared" si="4"/>
        <v>2.6757280349096129</v>
      </c>
    </row>
    <row r="11" spans="1:20" x14ac:dyDescent="0.25">
      <c r="A11">
        <f t="shared" si="5"/>
        <v>1921</v>
      </c>
      <c r="B11" s="2">
        <v>1</v>
      </c>
      <c r="C11" s="2">
        <v>1</v>
      </c>
      <c r="D11" s="3">
        <f t="shared" si="0"/>
        <v>49.5</v>
      </c>
      <c r="E11" s="3">
        <f t="shared" si="1"/>
        <v>32.1</v>
      </c>
      <c r="F11" s="4">
        <f t="shared" si="6"/>
        <v>95463.510825557183</v>
      </c>
      <c r="G11" s="4">
        <f t="shared" si="2"/>
        <v>4725.4437858650808</v>
      </c>
      <c r="H11" s="4">
        <f t="shared" si="3"/>
        <v>3064.3786975003859</v>
      </c>
      <c r="I11">
        <v>580</v>
      </c>
      <c r="J11" s="6">
        <f t="shared" si="4"/>
        <v>2.3475619836147046</v>
      </c>
    </row>
    <row r="12" spans="1:20" x14ac:dyDescent="0.25">
      <c r="A12">
        <f t="shared" si="5"/>
        <v>1922</v>
      </c>
      <c r="B12" s="2">
        <v>0.999</v>
      </c>
      <c r="C12" s="2">
        <v>0.99199999999999999</v>
      </c>
      <c r="D12" s="3">
        <f t="shared" si="0"/>
        <v>49.450499999999998</v>
      </c>
      <c r="E12" s="3">
        <f t="shared" si="1"/>
        <v>31.8432</v>
      </c>
      <c r="F12" s="4">
        <f t="shared" si="6"/>
        <v>97704.575913921872</v>
      </c>
      <c r="G12" s="4">
        <f t="shared" si="2"/>
        <v>4831.5401312313934</v>
      </c>
      <c r="H12" s="4">
        <f t="shared" si="3"/>
        <v>3111.226351742197</v>
      </c>
      <c r="J12" s="6">
        <f t="shared" si="4"/>
        <v>1.7607299999999988</v>
      </c>
    </row>
    <row r="13" spans="1:20" x14ac:dyDescent="0.25">
      <c r="A13">
        <f t="shared" si="5"/>
        <v>1923</v>
      </c>
      <c r="B13" s="2">
        <v>0.997</v>
      </c>
      <c r="C13" s="2">
        <v>0.98099999999999998</v>
      </c>
      <c r="D13" s="3">
        <f t="shared" si="0"/>
        <v>49.351500000000001</v>
      </c>
      <c r="E13" s="3">
        <f t="shared" si="1"/>
        <v>31.490100000000002</v>
      </c>
      <c r="F13" s="4">
        <f t="shared" si="6"/>
        <v>99424.889693411067</v>
      </c>
      <c r="G13" s="4">
        <f t="shared" si="2"/>
        <v>4906.7674437043761</v>
      </c>
      <c r="H13" s="4">
        <f t="shared" si="3"/>
        <v>3130.8997189344836</v>
      </c>
      <c r="J13" s="6">
        <f t="shared" si="4"/>
        <v>1.7861400000000018</v>
      </c>
    </row>
    <row r="14" spans="1:20" x14ac:dyDescent="0.25">
      <c r="A14">
        <f t="shared" si="5"/>
        <v>1924</v>
      </c>
      <c r="B14" s="2">
        <v>0.995</v>
      </c>
      <c r="C14" s="2">
        <v>0.96699999999999997</v>
      </c>
      <c r="D14" s="3">
        <f t="shared" si="0"/>
        <v>49.252499999999998</v>
      </c>
      <c r="E14" s="3">
        <f t="shared" si="1"/>
        <v>31.040700000000001</v>
      </c>
      <c r="F14" s="4">
        <f t="shared" si="6"/>
        <v>101200.75741818096</v>
      </c>
      <c r="G14" s="4">
        <f t="shared" si="2"/>
        <v>4984.3903047389576</v>
      </c>
      <c r="H14" s="4">
        <f t="shared" si="3"/>
        <v>3141.34235079053</v>
      </c>
      <c r="J14" s="6">
        <f t="shared" si="4"/>
        <v>1.8211800000000087</v>
      </c>
    </row>
    <row r="15" spans="1:20" x14ac:dyDescent="0.25">
      <c r="A15">
        <f t="shared" si="5"/>
        <v>1925</v>
      </c>
      <c r="B15" s="2">
        <v>0.99199999999999999</v>
      </c>
      <c r="C15" s="2">
        <v>0.95299999999999996</v>
      </c>
      <c r="D15" s="3">
        <f t="shared" si="0"/>
        <v>49.103999999999999</v>
      </c>
      <c r="E15" s="3">
        <f t="shared" si="1"/>
        <v>30.5913</v>
      </c>
      <c r="F15" s="4">
        <f t="shared" si="6"/>
        <v>103043.8053721294</v>
      </c>
      <c r="G15" s="4">
        <f t="shared" si="2"/>
        <v>5059.8630189930418</v>
      </c>
      <c r="H15" s="4">
        <f t="shared" si="3"/>
        <v>3152.2439632804221</v>
      </c>
      <c r="J15" s="6">
        <f t="shared" si="4"/>
        <v>1.8512700000000046</v>
      </c>
    </row>
    <row r="16" spans="1:20" x14ac:dyDescent="0.25">
      <c r="A16">
        <f t="shared" si="5"/>
        <v>1926</v>
      </c>
      <c r="B16" s="2">
        <v>0.99</v>
      </c>
      <c r="C16" s="2">
        <v>0.94</v>
      </c>
      <c r="D16" s="3">
        <f t="shared" si="0"/>
        <v>49.005000000000003</v>
      </c>
      <c r="E16" s="3">
        <f t="shared" si="1"/>
        <v>30.173999999999999</v>
      </c>
      <c r="F16" s="4">
        <f t="shared" si="6"/>
        <v>104951.42442784202</v>
      </c>
      <c r="G16" s="4">
        <f t="shared" si="2"/>
        <v>5143.1445540863988</v>
      </c>
      <c r="H16" s="4">
        <f t="shared" si="3"/>
        <v>3166.8042806857052</v>
      </c>
      <c r="J16" s="6">
        <f t="shared" si="4"/>
        <v>1.8830999999999887</v>
      </c>
    </row>
    <row r="17" spans="1:20" x14ac:dyDescent="0.25">
      <c r="A17">
        <f t="shared" si="5"/>
        <v>1927</v>
      </c>
      <c r="B17" s="2">
        <v>0.98699999999999999</v>
      </c>
      <c r="C17" s="2">
        <v>0.92700000000000005</v>
      </c>
      <c r="D17" s="3">
        <f t="shared" si="0"/>
        <v>48.856499999999997</v>
      </c>
      <c r="E17" s="3">
        <f t="shared" si="1"/>
        <v>29.756700000000002</v>
      </c>
      <c r="F17" s="4">
        <f t="shared" si="6"/>
        <v>106927.7647012427</v>
      </c>
      <c r="G17" s="4">
        <f t="shared" si="2"/>
        <v>5224.1163361262643</v>
      </c>
      <c r="H17" s="4">
        <f t="shared" si="3"/>
        <v>3181.817415885469</v>
      </c>
      <c r="J17" s="6">
        <f t="shared" si="4"/>
        <v>1.9099799999999965</v>
      </c>
      <c r="M17" s="4">
        <v>93604</v>
      </c>
      <c r="N17" s="70">
        <f>100*O17/F17</f>
        <v>12.460528599348768</v>
      </c>
      <c r="O17" s="4">
        <f>F17-M17</f>
        <v>13323.764701242704</v>
      </c>
      <c r="Q17" s="73">
        <v>49.6</v>
      </c>
      <c r="R17" s="73">
        <v>28.6</v>
      </c>
      <c r="S17" s="49">
        <f>Q17/D17</f>
        <v>1.0152180364946324</v>
      </c>
      <c r="T17" s="49">
        <f>R17/E17</f>
        <v>0.96112808207899392</v>
      </c>
    </row>
    <row r="18" spans="1:20" x14ac:dyDescent="0.25">
      <c r="A18">
        <f t="shared" si="5"/>
        <v>1928</v>
      </c>
      <c r="B18" s="2">
        <v>0.98499999999999999</v>
      </c>
      <c r="C18" s="2">
        <v>0.91400000000000003</v>
      </c>
      <c r="D18" s="3">
        <f t="shared" si="0"/>
        <v>48.7575</v>
      </c>
      <c r="E18" s="3">
        <f t="shared" si="1"/>
        <v>29.339400000000001</v>
      </c>
      <c r="F18" s="4">
        <f t="shared" si="6"/>
        <v>108970.0636214835</v>
      </c>
      <c r="G18" s="4">
        <f t="shared" si="2"/>
        <v>5313.1078770244821</v>
      </c>
      <c r="H18" s="4">
        <f t="shared" si="3"/>
        <v>3197.1162846161533</v>
      </c>
      <c r="J18" s="6">
        <f t="shared" si="4"/>
        <v>1.9418099999999903</v>
      </c>
      <c r="M18" s="4">
        <v>95587</v>
      </c>
      <c r="N18" s="70">
        <f t="shared" ref="N18:N31" si="7">100*O18/F18</f>
        <v>12.281413056681945</v>
      </c>
      <c r="O18" s="4">
        <f t="shared" ref="O18:O31" si="8">F18-M18</f>
        <v>13383.063621483496</v>
      </c>
      <c r="Q18" s="73">
        <v>48.9</v>
      </c>
      <c r="R18" s="73">
        <v>26.8</v>
      </c>
      <c r="S18" s="49">
        <f t="shared" ref="S18:S30" si="9">Q18/D18</f>
        <v>1.0029226272881095</v>
      </c>
      <c r="T18" s="49">
        <f t="shared" ref="T18:T30" si="10">R18/E18</f>
        <v>0.91344744609637551</v>
      </c>
    </row>
    <row r="19" spans="1:20" x14ac:dyDescent="0.25">
      <c r="A19">
        <f t="shared" si="5"/>
        <v>1929</v>
      </c>
      <c r="B19" s="2">
        <v>0.98199999999999998</v>
      </c>
      <c r="C19" s="2">
        <v>0.90100000000000002</v>
      </c>
      <c r="D19" s="3">
        <f t="shared" si="0"/>
        <v>48.609000000000002</v>
      </c>
      <c r="E19" s="3">
        <f t="shared" si="1"/>
        <v>28.9221</v>
      </c>
      <c r="F19" s="4">
        <f t="shared" si="6"/>
        <v>111086.05521389181</v>
      </c>
      <c r="G19" s="4">
        <f t="shared" si="2"/>
        <v>5399.7820578920673</v>
      </c>
      <c r="H19" s="4">
        <f t="shared" si="3"/>
        <v>3212.8419975017005</v>
      </c>
      <c r="J19" s="6">
        <f t="shared" si="4"/>
        <v>1.9686899999999967</v>
      </c>
      <c r="M19" s="4">
        <v>97721</v>
      </c>
      <c r="N19" s="70">
        <f t="shared" si="7"/>
        <v>12.031262779255171</v>
      </c>
      <c r="O19" s="4">
        <f t="shared" si="8"/>
        <v>13365.055213891814</v>
      </c>
      <c r="Q19" s="73">
        <v>47</v>
      </c>
      <c r="R19" s="73">
        <v>28.6</v>
      </c>
      <c r="S19" s="49">
        <f t="shared" si="9"/>
        <v>0.96689913390524385</v>
      </c>
      <c r="T19" s="49">
        <f t="shared" si="10"/>
        <v>0.9888631876661792</v>
      </c>
    </row>
    <row r="20" spans="1:20" x14ac:dyDescent="0.25">
      <c r="A20">
        <f t="shared" si="5"/>
        <v>1930</v>
      </c>
      <c r="B20" s="2">
        <v>0.98</v>
      </c>
      <c r="C20" s="2">
        <v>0.88700000000000001</v>
      </c>
      <c r="D20" s="3">
        <f t="shared" si="0"/>
        <v>48.51</v>
      </c>
      <c r="E20" s="3">
        <f t="shared" si="1"/>
        <v>28.472700000000003</v>
      </c>
      <c r="F20" s="4">
        <f t="shared" si="6"/>
        <v>113272.99527428218</v>
      </c>
      <c r="G20" s="4">
        <f t="shared" si="2"/>
        <v>5494.8730007554286</v>
      </c>
      <c r="H20" s="4">
        <f t="shared" si="3"/>
        <v>3225.1880125460548</v>
      </c>
      <c r="J20" s="6">
        <f t="shared" si="4"/>
        <v>2.0037299999999933</v>
      </c>
      <c r="M20" s="4">
        <v>99566</v>
      </c>
      <c r="N20" s="70">
        <f t="shared" si="7"/>
        <v>12.100850022630462</v>
      </c>
      <c r="O20" s="4">
        <f t="shared" si="8"/>
        <v>13706.995274282177</v>
      </c>
      <c r="Q20" s="73">
        <v>43.9</v>
      </c>
      <c r="R20" s="73">
        <v>27.3</v>
      </c>
      <c r="S20" s="49">
        <f t="shared" si="9"/>
        <v>0.90496804782519069</v>
      </c>
      <c r="T20" s="49">
        <f t="shared" si="10"/>
        <v>0.95881317893982654</v>
      </c>
    </row>
    <row r="21" spans="1:20" x14ac:dyDescent="0.25">
      <c r="A21">
        <f t="shared" si="5"/>
        <v>1931</v>
      </c>
      <c r="B21" s="2">
        <v>0.98</v>
      </c>
      <c r="C21" s="2">
        <v>0.874</v>
      </c>
      <c r="D21" s="3">
        <f t="shared" si="0"/>
        <v>48.51</v>
      </c>
      <c r="E21" s="3">
        <f t="shared" si="1"/>
        <v>28.055400000000002</v>
      </c>
      <c r="F21" s="4">
        <f t="shared" si="6"/>
        <v>115542.68026249154</v>
      </c>
      <c r="G21" s="4">
        <f t="shared" si="2"/>
        <v>5604.9754195334644</v>
      </c>
      <c r="H21" s="4">
        <f t="shared" si="3"/>
        <v>3241.5961118363052</v>
      </c>
      <c r="J21" s="6">
        <f t="shared" si="4"/>
        <v>2.0454600000000034</v>
      </c>
      <c r="M21" s="4">
        <v>101272</v>
      </c>
      <c r="N21" s="70">
        <f t="shared" si="7"/>
        <v>12.351003308968776</v>
      </c>
      <c r="O21" s="4">
        <f t="shared" si="8"/>
        <v>14270.680262491544</v>
      </c>
      <c r="Q21" s="73">
        <v>43.3</v>
      </c>
      <c r="R21" s="73">
        <v>30.3</v>
      </c>
      <c r="S21" s="49">
        <f t="shared" si="9"/>
        <v>0.89259946402803547</v>
      </c>
      <c r="T21" s="49">
        <f t="shared" si="10"/>
        <v>1.0800059881520134</v>
      </c>
    </row>
    <row r="22" spans="1:20" x14ac:dyDescent="0.25">
      <c r="A22">
        <f t="shared" si="5"/>
        <v>1932</v>
      </c>
      <c r="B22" s="2">
        <v>0.97799999999999998</v>
      </c>
      <c r="C22" s="2">
        <v>0.86299999999999999</v>
      </c>
      <c r="D22" s="3">
        <f t="shared" si="0"/>
        <v>48.411000000000001</v>
      </c>
      <c r="E22" s="3">
        <f t="shared" si="1"/>
        <v>27.702300000000001</v>
      </c>
      <c r="F22" s="4">
        <f t="shared" si="6"/>
        <v>117906.05957018871</v>
      </c>
      <c r="G22" s="4">
        <f t="shared" si="2"/>
        <v>5707.9502498524062</v>
      </c>
      <c r="H22" s="4">
        <f t="shared" si="3"/>
        <v>3266.2690340312388</v>
      </c>
      <c r="J22" s="6">
        <f t="shared" si="4"/>
        <v>2.0708700000000015</v>
      </c>
      <c r="M22" s="4">
        <v>102625</v>
      </c>
      <c r="N22" s="70">
        <f t="shared" si="7"/>
        <v>12.960368301590124</v>
      </c>
      <c r="O22" s="4">
        <f t="shared" si="8"/>
        <v>15281.059570188707</v>
      </c>
      <c r="Q22" s="73">
        <v>39.299999999999997</v>
      </c>
      <c r="R22" s="73">
        <v>29.8</v>
      </c>
      <c r="S22" s="49">
        <f t="shared" si="9"/>
        <v>0.81179897130817369</v>
      </c>
      <c r="T22" s="49">
        <f t="shared" si="10"/>
        <v>1.0757229544117275</v>
      </c>
    </row>
    <row r="23" spans="1:20" x14ac:dyDescent="0.25">
      <c r="A23">
        <f t="shared" si="5"/>
        <v>1933</v>
      </c>
      <c r="B23" s="2">
        <v>0.97499999999999998</v>
      </c>
      <c r="C23" s="2">
        <v>0.85899999999999999</v>
      </c>
      <c r="D23" s="3">
        <f t="shared" si="0"/>
        <v>48.262499999999996</v>
      </c>
      <c r="E23" s="3">
        <f t="shared" si="1"/>
        <v>27.573900000000002</v>
      </c>
      <c r="F23" s="4">
        <f t="shared" si="6"/>
        <v>120347.74078600988</v>
      </c>
      <c r="G23" s="4">
        <f t="shared" si="2"/>
        <v>5808.2828396848008</v>
      </c>
      <c r="H23" s="4">
        <f t="shared" si="3"/>
        <v>3318.4565696593577</v>
      </c>
      <c r="J23" s="6">
        <f t="shared" si="4"/>
        <v>2.0688599999999981</v>
      </c>
      <c r="M23" s="4">
        <v>103648</v>
      </c>
      <c r="N23" s="70">
        <f t="shared" si="7"/>
        <v>13.876239534652884</v>
      </c>
      <c r="O23" s="4">
        <f t="shared" si="8"/>
        <v>16699.740786009876</v>
      </c>
      <c r="Q23" s="73">
        <v>32.299999999999997</v>
      </c>
      <c r="R23" s="73">
        <v>51</v>
      </c>
      <c r="S23" s="49">
        <f t="shared" si="9"/>
        <v>0.66925666925666927</v>
      </c>
      <c r="T23" s="49">
        <f t="shared" si="10"/>
        <v>1.8495751417100952</v>
      </c>
    </row>
    <row r="24" spans="1:20" x14ac:dyDescent="0.25">
      <c r="A24">
        <f t="shared" si="5"/>
        <v>1934</v>
      </c>
      <c r="B24" s="2">
        <v>0.97199999999999998</v>
      </c>
      <c r="C24" s="2">
        <v>0.85099999999999998</v>
      </c>
      <c r="D24" s="3">
        <f t="shared" si="0"/>
        <v>48.113999999999997</v>
      </c>
      <c r="E24" s="3">
        <f t="shared" si="1"/>
        <v>27.3171</v>
      </c>
      <c r="F24" s="4">
        <f t="shared" si="6"/>
        <v>122837.56705603532</v>
      </c>
      <c r="G24" s="4">
        <f t="shared" si="2"/>
        <v>5910.2067013340829</v>
      </c>
      <c r="H24" s="4">
        <f t="shared" si="3"/>
        <v>3355.5661030264223</v>
      </c>
      <c r="J24" s="6">
        <f t="shared" si="4"/>
        <v>2.0796900000000069</v>
      </c>
      <c r="M24" s="4">
        <v>101763</v>
      </c>
      <c r="N24" s="70">
        <f t="shared" si="7"/>
        <v>17.156451044346753</v>
      </c>
      <c r="O24" s="4">
        <f t="shared" si="8"/>
        <v>21074.567056035317</v>
      </c>
      <c r="Q24" s="73">
        <v>28.7</v>
      </c>
      <c r="R24" s="73">
        <v>26.1</v>
      </c>
      <c r="S24" s="49">
        <f t="shared" si="9"/>
        <v>0.5964999792160286</v>
      </c>
      <c r="T24" s="49">
        <f t="shared" si="10"/>
        <v>0.95544549018746505</v>
      </c>
    </row>
    <row r="25" spans="1:20" x14ac:dyDescent="0.25">
      <c r="A25">
        <f t="shared" si="5"/>
        <v>1935</v>
      </c>
      <c r="B25" s="2">
        <v>0.96799999999999997</v>
      </c>
      <c r="C25" s="2">
        <v>0.84099999999999997</v>
      </c>
      <c r="D25" s="3">
        <f t="shared" si="0"/>
        <v>47.915999999999997</v>
      </c>
      <c r="E25" s="3">
        <f t="shared" si="1"/>
        <v>26.996100000000002</v>
      </c>
      <c r="F25" s="4">
        <f t="shared" si="6"/>
        <v>125392.20765434299</v>
      </c>
      <c r="G25" s="4">
        <f t="shared" si="2"/>
        <v>6008.2930219654982</v>
      </c>
      <c r="H25" s="4">
        <f t="shared" si="3"/>
        <v>3385.1005770574093</v>
      </c>
      <c r="J25" s="6">
        <f t="shared" si="4"/>
        <v>2.0919900000000067</v>
      </c>
      <c r="M25" s="4">
        <v>102080</v>
      </c>
      <c r="N25" s="70">
        <f t="shared" si="7"/>
        <v>18.591432506400697</v>
      </c>
      <c r="O25" s="4">
        <f t="shared" si="8"/>
        <v>23312.207654342987</v>
      </c>
      <c r="Q25" s="73">
        <v>34.799999999999997</v>
      </c>
      <c r="R25" s="73">
        <v>23.6</v>
      </c>
      <c r="S25" s="49">
        <f t="shared" si="9"/>
        <v>0.72627097420485853</v>
      </c>
      <c r="T25" s="49">
        <f t="shared" si="10"/>
        <v>0.87420034745759567</v>
      </c>
    </row>
    <row r="26" spans="1:20" x14ac:dyDescent="0.25">
      <c r="A26">
        <f t="shared" si="5"/>
        <v>1936</v>
      </c>
      <c r="B26" s="2">
        <v>0.95599999999999996</v>
      </c>
      <c r="C26" s="2">
        <v>0.82899999999999996</v>
      </c>
      <c r="D26" s="3">
        <f t="shared" si="0"/>
        <v>47.321999999999996</v>
      </c>
      <c r="E26" s="3">
        <f t="shared" si="1"/>
        <v>26.610900000000001</v>
      </c>
      <c r="F26" s="4">
        <f t="shared" si="6"/>
        <v>128015.40009925108</v>
      </c>
      <c r="G26" s="4">
        <f t="shared" si="2"/>
        <v>6057.9447634967592</v>
      </c>
      <c r="H26" s="4">
        <f t="shared" si="3"/>
        <v>3406.6050105011609</v>
      </c>
      <c r="J26" s="6">
        <f t="shared" si="4"/>
        <v>2.0711099999999991</v>
      </c>
      <c r="M26" s="4">
        <v>103288</v>
      </c>
      <c r="N26" s="70">
        <f t="shared" si="7"/>
        <v>19.315957361442283</v>
      </c>
      <c r="O26" s="4">
        <f t="shared" si="8"/>
        <v>24727.400099251085</v>
      </c>
      <c r="Q26" s="73">
        <v>37.5</v>
      </c>
      <c r="R26" s="73">
        <v>26.2</v>
      </c>
      <c r="S26" s="49">
        <f t="shared" si="9"/>
        <v>0.79244326106250795</v>
      </c>
      <c r="T26" s="49">
        <f t="shared" si="10"/>
        <v>0.98455895892284739</v>
      </c>
    </row>
    <row r="27" spans="1:20" x14ac:dyDescent="0.25">
      <c r="A27">
        <f t="shared" si="5"/>
        <v>1937</v>
      </c>
      <c r="B27" s="2">
        <v>0.96099999999999997</v>
      </c>
      <c r="C27" s="2">
        <v>0.81799999999999995</v>
      </c>
      <c r="D27" s="3">
        <f t="shared" si="0"/>
        <v>47.569499999999998</v>
      </c>
      <c r="E27" s="3">
        <f t="shared" si="1"/>
        <v>26.2578</v>
      </c>
      <c r="F27" s="4">
        <f t="shared" si="6"/>
        <v>130666.73985224668</v>
      </c>
      <c r="G27" s="4">
        <f t="shared" si="2"/>
        <v>6215.7514814014485</v>
      </c>
      <c r="H27" s="4">
        <f t="shared" si="3"/>
        <v>3431.021121692323</v>
      </c>
      <c r="J27" s="6">
        <f t="shared" si="4"/>
        <v>2.1311699999999982</v>
      </c>
      <c r="M27" s="4">
        <v>104520</v>
      </c>
      <c r="N27" s="70">
        <f t="shared" si="7"/>
        <v>20.010248883390286</v>
      </c>
      <c r="O27" s="4">
        <f t="shared" si="8"/>
        <v>26146.739852246683</v>
      </c>
      <c r="Q27" s="73">
        <v>41.5</v>
      </c>
      <c r="R27" s="73">
        <v>26.2</v>
      </c>
      <c r="S27" s="49">
        <f t="shared" si="9"/>
        <v>0.87240774025373402</v>
      </c>
      <c r="T27" s="49">
        <f t="shared" si="10"/>
        <v>0.99779874932401036</v>
      </c>
    </row>
    <row r="28" spans="1:20" x14ac:dyDescent="0.25">
      <c r="A28">
        <f t="shared" si="5"/>
        <v>1938</v>
      </c>
      <c r="B28" s="2">
        <v>0.96599999999999997</v>
      </c>
      <c r="C28" s="2">
        <v>0.80600000000000005</v>
      </c>
      <c r="D28" s="3">
        <f t="shared" si="0"/>
        <v>47.817</v>
      </c>
      <c r="E28" s="3">
        <f t="shared" si="1"/>
        <v>25.872600000000002</v>
      </c>
      <c r="F28" s="4">
        <f t="shared" si="6"/>
        <v>133451.47021195581</v>
      </c>
      <c r="G28" s="4">
        <f t="shared" si="2"/>
        <v>6381.2489511250906</v>
      </c>
      <c r="H28" s="4">
        <f t="shared" si="3"/>
        <v>3452.7365082058482</v>
      </c>
      <c r="J28" s="6">
        <f t="shared" si="4"/>
        <v>2.1944400000000059</v>
      </c>
      <c r="M28" s="4">
        <v>106195</v>
      </c>
      <c r="N28" s="70">
        <f t="shared" si="7"/>
        <v>20.424256224877411</v>
      </c>
      <c r="O28" s="4">
        <f t="shared" si="8"/>
        <v>27256.470211955806</v>
      </c>
      <c r="Q28" s="73">
        <v>40.9</v>
      </c>
      <c r="R28" s="73">
        <v>25.6</v>
      </c>
      <c r="S28" s="49">
        <f t="shared" si="9"/>
        <v>0.85534433360520312</v>
      </c>
      <c r="T28" s="49">
        <f t="shared" si="10"/>
        <v>0.98946375702480616</v>
      </c>
    </row>
    <row r="29" spans="1:20" x14ac:dyDescent="0.25">
      <c r="A29">
        <f t="shared" si="5"/>
        <v>1939</v>
      </c>
      <c r="B29" s="2">
        <v>0.96899999999999997</v>
      </c>
      <c r="C29" s="2">
        <v>0.79900000000000004</v>
      </c>
      <c r="D29" s="3">
        <f t="shared" si="0"/>
        <v>47.965499999999999</v>
      </c>
      <c r="E29" s="3">
        <f t="shared" si="1"/>
        <v>25.647900000000003</v>
      </c>
      <c r="F29" s="4">
        <f t="shared" si="6"/>
        <v>136379.98265487506</v>
      </c>
      <c r="G29" s="4">
        <f t="shared" si="2"/>
        <v>6541.5340580324091</v>
      </c>
      <c r="H29" s="4">
        <f t="shared" si="3"/>
        <v>3497.8601571339705</v>
      </c>
      <c r="J29" s="6">
        <f t="shared" si="4"/>
        <v>2.2317599999999929</v>
      </c>
      <c r="M29" s="4">
        <v>107893</v>
      </c>
      <c r="N29" s="70">
        <f t="shared" si="7"/>
        <v>20.887950049799155</v>
      </c>
      <c r="O29" s="4">
        <f t="shared" si="8"/>
        <v>28486.982654875057</v>
      </c>
      <c r="Q29" s="73">
        <v>39.799999999999997</v>
      </c>
      <c r="R29" s="73">
        <v>23.9</v>
      </c>
      <c r="S29" s="49">
        <f t="shared" si="9"/>
        <v>0.82976305886522606</v>
      </c>
      <c r="T29" s="49">
        <f t="shared" si="10"/>
        <v>0.93185017096916301</v>
      </c>
    </row>
    <row r="30" spans="1:20" x14ac:dyDescent="0.25">
      <c r="A30">
        <f t="shared" si="5"/>
        <v>1940</v>
      </c>
      <c r="B30" s="2">
        <v>0.96499999999999997</v>
      </c>
      <c r="C30" s="2">
        <v>0.79400000000000004</v>
      </c>
      <c r="D30" s="3">
        <f t="shared" si="0"/>
        <v>47.767499999999998</v>
      </c>
      <c r="E30" s="3">
        <f t="shared" si="1"/>
        <v>25.487400000000001</v>
      </c>
      <c r="F30" s="4">
        <f t="shared" si="6"/>
        <v>139423.65655577349</v>
      </c>
      <c r="G30" s="4">
        <f t="shared" si="2"/>
        <v>6659.9195145279091</v>
      </c>
      <c r="H30" s="4">
        <f t="shared" si="3"/>
        <v>3553.5465040996214</v>
      </c>
      <c r="J30" s="6">
        <f t="shared" si="4"/>
        <v>2.2280100000000096</v>
      </c>
      <c r="M30" s="4">
        <v>109678</v>
      </c>
      <c r="N30" s="70">
        <f t="shared" si="7"/>
        <v>21.334727040295608</v>
      </c>
      <c r="O30" s="4">
        <f t="shared" si="8"/>
        <v>29745.656555773487</v>
      </c>
      <c r="Q30" s="73">
        <v>34.6</v>
      </c>
      <c r="R30" s="73">
        <v>23.2</v>
      </c>
      <c r="S30" s="49">
        <f t="shared" si="9"/>
        <v>0.72434186423823732</v>
      </c>
      <c r="T30" s="49">
        <f t="shared" si="10"/>
        <v>0.91025369398212441</v>
      </c>
    </row>
    <row r="31" spans="1:20" x14ac:dyDescent="0.25">
      <c r="A31">
        <f t="shared" si="5"/>
        <v>1941</v>
      </c>
      <c r="B31" s="2">
        <v>0.96499999999999997</v>
      </c>
      <c r="C31" s="2">
        <v>0.79600000000000004</v>
      </c>
      <c r="D31" s="3">
        <f t="shared" si="0"/>
        <v>47.767499999999998</v>
      </c>
      <c r="E31" s="3">
        <f t="shared" si="1"/>
        <v>25.551600000000004</v>
      </c>
      <c r="F31" s="4">
        <f t="shared" si="6"/>
        <v>142530.02956620179</v>
      </c>
      <c r="G31" s="4">
        <f t="shared" si="2"/>
        <v>6808.3031873035443</v>
      </c>
      <c r="H31" s="4">
        <f t="shared" si="3"/>
        <v>3641.870303463762</v>
      </c>
      <c r="J31" s="6">
        <f t="shared" si="4"/>
        <v>2.2215899999999866</v>
      </c>
      <c r="M31" s="4">
        <v>110988</v>
      </c>
      <c r="N31" s="70">
        <f t="shared" si="7"/>
        <v>22.130094031553732</v>
      </c>
      <c r="O31" s="4">
        <f t="shared" si="8"/>
        <v>31542.029566201789</v>
      </c>
      <c r="Q31" s="73">
        <v>32.799999999999997</v>
      </c>
      <c r="R31" s="73">
        <v>51.7</v>
      </c>
      <c r="S31" s="49">
        <f t="shared" ref="S31:S35" si="11">Q31/D31</f>
        <v>0.68665933950908042</v>
      </c>
      <c r="T31" s="49">
        <f t="shared" ref="T31:T35" si="12">R31/E31</f>
        <v>2.0233566586828222</v>
      </c>
    </row>
    <row r="32" spans="1:20" x14ac:dyDescent="0.25">
      <c r="A32">
        <f t="shared" si="5"/>
        <v>1942</v>
      </c>
      <c r="B32" s="2">
        <v>0.96199999999999997</v>
      </c>
      <c r="C32" s="2">
        <v>0.79500000000000004</v>
      </c>
      <c r="D32" s="3">
        <f t="shared" si="0"/>
        <v>47.619</v>
      </c>
      <c r="E32" s="3">
        <f t="shared" si="1"/>
        <v>25.519500000000001</v>
      </c>
      <c r="F32" s="4">
        <f t="shared" si="6"/>
        <v>145696.46245004155</v>
      </c>
      <c r="G32" s="4">
        <f t="shared" si="2"/>
        <v>6937.919845408529</v>
      </c>
      <c r="H32" s="4">
        <f t="shared" si="3"/>
        <v>3718.1008734938355</v>
      </c>
      <c r="I32">
        <v>-90</v>
      </c>
      <c r="J32" s="6">
        <f t="shared" si="4"/>
        <v>2.1481777383496192</v>
      </c>
      <c r="M32" s="4"/>
      <c r="N32" s="70"/>
      <c r="Q32" s="73">
        <v>21.3</v>
      </c>
      <c r="R32" s="73">
        <v>67.900000000000006</v>
      </c>
      <c r="S32" s="49">
        <f t="shared" si="11"/>
        <v>0.44730044730044732</v>
      </c>
      <c r="T32" s="49">
        <f t="shared" si="12"/>
        <v>2.6607104371167147</v>
      </c>
    </row>
    <row r="33" spans="1:24" x14ac:dyDescent="0.25">
      <c r="A33">
        <f t="shared" si="5"/>
        <v>1943</v>
      </c>
      <c r="B33" s="2">
        <v>0.95599999999999996</v>
      </c>
      <c r="C33" s="2">
        <v>0.78800000000000003</v>
      </c>
      <c r="D33" s="3">
        <f t="shared" si="0"/>
        <v>47.321999999999996</v>
      </c>
      <c r="E33" s="3">
        <f t="shared" si="1"/>
        <v>25.294800000000002</v>
      </c>
      <c r="F33" s="4">
        <f t="shared" si="6"/>
        <v>148826.28142195626</v>
      </c>
      <c r="G33" s="4">
        <f t="shared" si="2"/>
        <v>7042.7572894498135</v>
      </c>
      <c r="H33" s="4">
        <f t="shared" si="3"/>
        <v>3764.5310233120995</v>
      </c>
      <c r="I33">
        <v>-90</v>
      </c>
      <c r="J33" s="6">
        <f t="shared" si="4"/>
        <v>2.1422468099558021</v>
      </c>
      <c r="M33" s="4"/>
      <c r="N33" s="70"/>
      <c r="Q33" s="73">
        <v>12.9</v>
      </c>
      <c r="R33" s="73">
        <v>51.5</v>
      </c>
      <c r="S33" s="49">
        <f t="shared" si="11"/>
        <v>0.27260048180550278</v>
      </c>
      <c r="T33" s="49">
        <f t="shared" si="12"/>
        <v>2.0359915872036938</v>
      </c>
      <c r="V33" s="74" t="s">
        <v>168</v>
      </c>
      <c r="W33" s="74"/>
      <c r="X33" s="74"/>
    </row>
    <row r="34" spans="1:24" x14ac:dyDescent="0.25">
      <c r="A34">
        <f t="shared" si="5"/>
        <v>1944</v>
      </c>
      <c r="B34" s="2">
        <v>0.95</v>
      </c>
      <c r="C34" s="2">
        <v>0.76800000000000002</v>
      </c>
      <c r="D34" s="3">
        <f t="shared" si="0"/>
        <v>47.024999999999999</v>
      </c>
      <c r="E34" s="3">
        <f t="shared" si="1"/>
        <v>24.652800000000003</v>
      </c>
      <c r="F34" s="4">
        <f t="shared" si="6"/>
        <v>152014.50768809396</v>
      </c>
      <c r="G34" s="4">
        <f t="shared" si="2"/>
        <v>7148.4822240326184</v>
      </c>
      <c r="H34" s="4">
        <f t="shared" si="3"/>
        <v>3747.5832551330432</v>
      </c>
      <c r="I34">
        <v>-90</v>
      </c>
      <c r="J34" s="6">
        <f t="shared" si="4"/>
        <v>2.1780151245122958</v>
      </c>
      <c r="M34" s="4"/>
      <c r="N34" s="70"/>
      <c r="Q34" s="73">
        <v>13.7</v>
      </c>
      <c r="R34" s="73">
        <v>40.9</v>
      </c>
      <c r="S34" s="49">
        <f t="shared" si="11"/>
        <v>0.2913343965975545</v>
      </c>
      <c r="T34" s="49">
        <f t="shared" si="12"/>
        <v>1.6590407580477671</v>
      </c>
      <c r="V34" s="75">
        <v>0.80354945814742573</v>
      </c>
      <c r="W34" s="75">
        <v>1.0497126348956545</v>
      </c>
    </row>
    <row r="35" spans="1:24" x14ac:dyDescent="0.25">
      <c r="A35">
        <f t="shared" si="5"/>
        <v>1945</v>
      </c>
      <c r="B35" s="2">
        <v>0.94099999999999995</v>
      </c>
      <c r="C35" s="2">
        <v>0.74199999999999999</v>
      </c>
      <c r="D35" s="3">
        <f t="shared" si="0"/>
        <v>46.579499999999996</v>
      </c>
      <c r="E35" s="3">
        <f t="shared" si="1"/>
        <v>23.818200000000001</v>
      </c>
      <c r="F35" s="4">
        <f t="shared" si="6"/>
        <v>155325.40665699355</v>
      </c>
      <c r="G35" s="4">
        <f t="shared" si="2"/>
        <v>7234.9797793794305</v>
      </c>
      <c r="H35" s="4">
        <f t="shared" si="3"/>
        <v>3699.5716008376044</v>
      </c>
      <c r="J35" s="6">
        <f t="shared" si="4"/>
        <v>2.2761300000000073</v>
      </c>
      <c r="M35" s="4"/>
      <c r="N35" s="70"/>
      <c r="Q35" s="73">
        <v>15.1</v>
      </c>
      <c r="R35" s="73">
        <v>25</v>
      </c>
      <c r="S35" s="49">
        <f t="shared" si="11"/>
        <v>0.32417694479331038</v>
      </c>
      <c r="T35" s="49">
        <f t="shared" si="12"/>
        <v>1.0496175193759394</v>
      </c>
    </row>
    <row r="36" spans="1:24" x14ac:dyDescent="0.25">
      <c r="A36">
        <f t="shared" si="5"/>
        <v>1946</v>
      </c>
      <c r="B36" s="2">
        <v>0.93400000000000005</v>
      </c>
      <c r="C36" s="2">
        <v>0.72699999999999998</v>
      </c>
      <c r="D36" s="3">
        <f t="shared" si="0"/>
        <v>46.233000000000004</v>
      </c>
      <c r="E36" s="3">
        <f t="shared" si="1"/>
        <v>23.3367</v>
      </c>
      <c r="F36" s="4">
        <f t="shared" si="6"/>
        <v>158860.81483553539</v>
      </c>
      <c r="G36" s="4">
        <f t="shared" si="2"/>
        <v>7344.6120522913088</v>
      </c>
      <c r="H36" s="4">
        <f t="shared" si="3"/>
        <v>3707.2871775724388</v>
      </c>
      <c r="J36" s="6">
        <f t="shared" si="4"/>
        <v>2.2896300000000052</v>
      </c>
      <c r="M36" s="4">
        <v>97548</v>
      </c>
      <c r="N36" s="70">
        <f t="shared" ref="N36:N99" si="13">100*O36/F36</f>
        <v>38.595304259902612</v>
      </c>
      <c r="O36" s="4">
        <f t="shared" ref="O36:O99" si="14">F36-M36</f>
        <v>61312.814835535391</v>
      </c>
      <c r="Q36" s="73">
        <v>26</v>
      </c>
      <c r="R36" s="73">
        <v>12.3</v>
      </c>
      <c r="S36" s="49">
        <f t="shared" ref="S36:S48" si="15">Q36/D36</f>
        <v>0.56236887072004837</v>
      </c>
      <c r="T36" s="49">
        <f t="shared" ref="T36:T48" si="16">R36/E36</f>
        <v>0.52706680893185409</v>
      </c>
    </row>
    <row r="37" spans="1:24" x14ac:dyDescent="0.25">
      <c r="A37">
        <f t="shared" si="5"/>
        <v>1947</v>
      </c>
      <c r="B37" s="2">
        <v>0.92900000000000005</v>
      </c>
      <c r="C37" s="2">
        <v>0.71199999999999997</v>
      </c>
      <c r="D37" s="3">
        <f t="shared" si="0"/>
        <v>45.985500000000002</v>
      </c>
      <c r="E37" s="3">
        <f t="shared" si="1"/>
        <v>22.8552</v>
      </c>
      <c r="F37" s="4">
        <f t="shared" si="6"/>
        <v>162498.13971025427</v>
      </c>
      <c r="G37" s="4">
        <f t="shared" si="2"/>
        <v>7472.5582036458982</v>
      </c>
      <c r="H37" s="4">
        <f t="shared" si="3"/>
        <v>3713.9274827058034</v>
      </c>
      <c r="J37" s="6">
        <f t="shared" si="4"/>
        <v>2.3130300000000026</v>
      </c>
      <c r="M37" s="4">
        <v>98509</v>
      </c>
      <c r="N37" s="70">
        <f t="shared" si="13"/>
        <v>39.378382930630131</v>
      </c>
      <c r="O37" s="4">
        <f t="shared" si="14"/>
        <v>63989.139710254269</v>
      </c>
      <c r="Q37" s="73">
        <v>27.5</v>
      </c>
      <c r="R37" s="73">
        <v>17</v>
      </c>
      <c r="S37" s="49">
        <f t="shared" si="15"/>
        <v>0.59801459155603398</v>
      </c>
      <c r="T37" s="49">
        <f t="shared" si="16"/>
        <v>0.7438132241240506</v>
      </c>
    </row>
    <row r="38" spans="1:24" x14ac:dyDescent="0.25">
      <c r="A38">
        <f t="shared" si="5"/>
        <v>1948</v>
      </c>
      <c r="B38" s="2">
        <v>0.92100000000000004</v>
      </c>
      <c r="C38" s="2">
        <v>0.69799999999999995</v>
      </c>
      <c r="D38" s="3">
        <f t="shared" si="0"/>
        <v>45.589500000000001</v>
      </c>
      <c r="E38" s="3">
        <f t="shared" si="1"/>
        <v>22.405799999999999</v>
      </c>
      <c r="F38" s="4">
        <f t="shared" si="6"/>
        <v>166256.77043119437</v>
      </c>
      <c r="G38" s="4">
        <f t="shared" si="2"/>
        <v>7579.5630355729354</v>
      </c>
      <c r="H38" s="4">
        <f t="shared" si="3"/>
        <v>3725.1159469272548</v>
      </c>
      <c r="J38" s="6">
        <f t="shared" si="4"/>
        <v>2.3183700000000016</v>
      </c>
      <c r="M38" s="4">
        <v>99159</v>
      </c>
      <c r="N38" s="70">
        <f t="shared" si="13"/>
        <v>40.35791760971496</v>
      </c>
      <c r="O38" s="4">
        <f t="shared" si="14"/>
        <v>67097.770431194367</v>
      </c>
      <c r="Q38" s="73">
        <v>25.2</v>
      </c>
      <c r="R38" s="73">
        <v>13.1</v>
      </c>
      <c r="S38" s="49">
        <f t="shared" si="15"/>
        <v>0.55275885894778398</v>
      </c>
      <c r="T38" s="49">
        <f t="shared" si="16"/>
        <v>0.58467004079300899</v>
      </c>
    </row>
    <row r="39" spans="1:24" x14ac:dyDescent="0.25">
      <c r="A39">
        <f t="shared" si="5"/>
        <v>1949</v>
      </c>
      <c r="B39" s="2">
        <v>0.93300000000000005</v>
      </c>
      <c r="C39" s="2">
        <v>0.69599999999999995</v>
      </c>
      <c r="D39" s="3">
        <f t="shared" si="0"/>
        <v>46.183500000000002</v>
      </c>
      <c r="E39" s="3">
        <f t="shared" si="1"/>
        <v>22.3416</v>
      </c>
      <c r="F39" s="4">
        <f t="shared" si="6"/>
        <v>170111.21751984005</v>
      </c>
      <c r="G39" s="4">
        <f t="shared" si="2"/>
        <v>7856.3314143275329</v>
      </c>
      <c r="H39" s="4">
        <f t="shared" si="3"/>
        <v>3800.5567773412581</v>
      </c>
      <c r="J39" s="6">
        <f t="shared" si="4"/>
        <v>2.3841899999999905</v>
      </c>
      <c r="M39" s="4">
        <v>100252</v>
      </c>
      <c r="N39" s="70">
        <f t="shared" si="13"/>
        <v>41.066790619902754</v>
      </c>
      <c r="O39" s="4">
        <f t="shared" si="14"/>
        <v>69859.217519840051</v>
      </c>
      <c r="Q39" s="73">
        <v>30.5</v>
      </c>
      <c r="R39" s="73">
        <v>11.7</v>
      </c>
      <c r="S39" s="49">
        <f t="shared" si="15"/>
        <v>0.66040902053763784</v>
      </c>
      <c r="T39" s="49">
        <f t="shared" si="16"/>
        <v>0.52368675475346438</v>
      </c>
    </row>
    <row r="40" spans="1:24" x14ac:dyDescent="0.25">
      <c r="A40">
        <f t="shared" si="5"/>
        <v>1950</v>
      </c>
      <c r="B40" s="2">
        <v>0.94199999999999995</v>
      </c>
      <c r="C40" s="2">
        <v>0.69699999999999995</v>
      </c>
      <c r="D40" s="3">
        <f t="shared" si="0"/>
        <v>46.628999999999998</v>
      </c>
      <c r="E40" s="3">
        <f t="shared" si="1"/>
        <v>22.373699999999999</v>
      </c>
      <c r="F40" s="4">
        <f t="shared" si="6"/>
        <v>174166.99215682631</v>
      </c>
      <c r="G40" s="4">
        <f t="shared" si="2"/>
        <v>8121.2326772806537</v>
      </c>
      <c r="H40" s="4">
        <f t="shared" si="3"/>
        <v>3896.7600324191849</v>
      </c>
      <c r="J40" s="6">
        <f t="shared" si="4"/>
        <v>2.4255299999999989</v>
      </c>
      <c r="M40" s="4">
        <v>102067</v>
      </c>
      <c r="N40" s="70">
        <f t="shared" si="13"/>
        <v>41.397047318762247</v>
      </c>
      <c r="O40" s="4">
        <f t="shared" si="14"/>
        <v>72099.992156826309</v>
      </c>
      <c r="Q40" s="73">
        <v>27.8</v>
      </c>
      <c r="R40" s="73">
        <v>11.5</v>
      </c>
      <c r="S40" s="49">
        <f t="shared" si="15"/>
        <v>0.59619550065409943</v>
      </c>
      <c r="T40" s="49">
        <f t="shared" si="16"/>
        <v>0.51399634392165805</v>
      </c>
    </row>
    <row r="41" spans="1:24" x14ac:dyDescent="0.25">
      <c r="A41">
        <f t="shared" si="5"/>
        <v>1951</v>
      </c>
      <c r="B41" s="2">
        <v>0.94799999999999995</v>
      </c>
      <c r="C41" s="2">
        <v>0.69399999999999995</v>
      </c>
      <c r="D41" s="3">
        <f t="shared" si="0"/>
        <v>46.925999999999995</v>
      </c>
      <c r="E41" s="3">
        <f t="shared" si="1"/>
        <v>22.2774</v>
      </c>
      <c r="F41" s="4">
        <f t="shared" si="6"/>
        <v>178391.46480168778</v>
      </c>
      <c r="G41" s="4">
        <f t="shared" si="2"/>
        <v>8371.1978772839993</v>
      </c>
      <c r="H41" s="4">
        <f t="shared" si="3"/>
        <v>3974.0980179731196</v>
      </c>
      <c r="J41" s="6">
        <f t="shared" si="4"/>
        <v>2.4648599999999918</v>
      </c>
      <c r="M41" s="4">
        <v>103599</v>
      </c>
      <c r="N41" s="70">
        <f t="shared" si="13"/>
        <v>41.926033224085145</v>
      </c>
      <c r="O41" s="4">
        <f t="shared" si="14"/>
        <v>74792.464801687776</v>
      </c>
      <c r="Q41" s="73">
        <v>28.1</v>
      </c>
      <c r="R41" s="73">
        <v>11.6</v>
      </c>
      <c r="S41" s="49">
        <f t="shared" si="15"/>
        <v>0.59881515577718114</v>
      </c>
      <c r="T41" s="49">
        <f t="shared" si="16"/>
        <v>0.52070708430965906</v>
      </c>
    </row>
    <row r="42" spans="1:24" x14ac:dyDescent="0.25">
      <c r="A42">
        <f t="shared" si="5"/>
        <v>1952</v>
      </c>
      <c r="B42" s="2">
        <v>0.95299999999999996</v>
      </c>
      <c r="C42" s="2">
        <v>0.68799999999999994</v>
      </c>
      <c r="D42" s="3">
        <f t="shared" si="0"/>
        <v>47.173499999999997</v>
      </c>
      <c r="E42" s="3">
        <f t="shared" si="1"/>
        <v>22.084799999999998</v>
      </c>
      <c r="F42" s="4">
        <f t="shared" si="6"/>
        <v>182788.56466099864</v>
      </c>
      <c r="G42" s="4">
        <f t="shared" si="2"/>
        <v>8622.7763550356194</v>
      </c>
      <c r="H42" s="4">
        <f t="shared" si="3"/>
        <v>4036.8488928252227</v>
      </c>
      <c r="J42" s="6">
        <f t="shared" si="4"/>
        <v>2.5088700000000088</v>
      </c>
      <c r="M42" s="4">
        <v>105278</v>
      </c>
      <c r="N42" s="70">
        <f t="shared" si="13"/>
        <v>42.404493303369634</v>
      </c>
      <c r="O42" s="4">
        <f t="shared" si="14"/>
        <v>77510.564660998643</v>
      </c>
      <c r="Q42" s="73">
        <v>27.6</v>
      </c>
      <c r="R42" s="73">
        <v>10.7</v>
      </c>
      <c r="S42" s="49">
        <f t="shared" si="15"/>
        <v>0.58507424719386947</v>
      </c>
      <c r="T42" s="49">
        <f t="shared" si="16"/>
        <v>0.48449612403100778</v>
      </c>
    </row>
    <row r="43" spans="1:24" x14ac:dyDescent="0.25">
      <c r="A43">
        <f t="shared" si="5"/>
        <v>1953</v>
      </c>
      <c r="B43" s="2">
        <v>0.95699999999999996</v>
      </c>
      <c r="C43" s="2">
        <v>0.67900000000000005</v>
      </c>
      <c r="D43" s="3">
        <f t="shared" si="0"/>
        <v>47.371499999999997</v>
      </c>
      <c r="E43" s="3">
        <f t="shared" si="1"/>
        <v>21.795900000000003</v>
      </c>
      <c r="F43" s="4">
        <f t="shared" si="6"/>
        <v>187374.49212320906</v>
      </c>
      <c r="G43" s="4">
        <f t="shared" si="2"/>
        <v>8876.2107536145977</v>
      </c>
      <c r="H43" s="4">
        <f t="shared" si="3"/>
        <v>4083.9956928682527</v>
      </c>
      <c r="J43" s="6">
        <f t="shared" si="4"/>
        <v>2.5575600000000054</v>
      </c>
      <c r="M43" s="4">
        <v>107049</v>
      </c>
      <c r="N43" s="70">
        <f t="shared" si="13"/>
        <v>42.868957889097636</v>
      </c>
      <c r="O43" s="4">
        <f t="shared" si="14"/>
        <v>80325.492123209056</v>
      </c>
      <c r="Q43" s="73">
        <v>26.2</v>
      </c>
      <c r="R43" s="73">
        <v>10.4</v>
      </c>
      <c r="S43" s="49">
        <f t="shared" si="15"/>
        <v>0.5530751612256315</v>
      </c>
      <c r="T43" s="49">
        <f t="shared" si="16"/>
        <v>0.47715396014846823</v>
      </c>
    </row>
    <row r="44" spans="1:24" x14ac:dyDescent="0.25">
      <c r="A44">
        <f t="shared" si="5"/>
        <v>1954</v>
      </c>
      <c r="B44" s="2">
        <v>0.95899999999999996</v>
      </c>
      <c r="C44" s="2">
        <v>0.66900000000000004</v>
      </c>
      <c r="D44" s="3">
        <f t="shared" si="0"/>
        <v>47.470500000000001</v>
      </c>
      <c r="E44" s="3">
        <f t="shared" si="1"/>
        <v>21.474900000000002</v>
      </c>
      <c r="F44" s="4">
        <f t="shared" si="6"/>
        <v>192166.70718395541</v>
      </c>
      <c r="G44" s="4">
        <f t="shared" si="2"/>
        <v>9122.2496733759544</v>
      </c>
      <c r="H44" s="4">
        <f t="shared" si="3"/>
        <v>4126.7608201047242</v>
      </c>
      <c r="J44" s="6">
        <f t="shared" si="4"/>
        <v>2.5995600000000021</v>
      </c>
      <c r="M44" s="4">
        <v>108607</v>
      </c>
      <c r="N44" s="70">
        <f t="shared" si="13"/>
        <v>43.482926053349196</v>
      </c>
      <c r="O44" s="4">
        <f t="shared" si="14"/>
        <v>83559.707183955412</v>
      </c>
      <c r="Q44" s="73">
        <v>27.8</v>
      </c>
      <c r="R44" s="73">
        <v>10.3</v>
      </c>
      <c r="S44" s="49">
        <f t="shared" si="15"/>
        <v>0.58562686299912581</v>
      </c>
      <c r="T44" s="49">
        <f t="shared" si="16"/>
        <v>0.47962970723961462</v>
      </c>
    </row>
    <row r="45" spans="1:24" x14ac:dyDescent="0.25">
      <c r="A45">
        <f t="shared" si="5"/>
        <v>1955</v>
      </c>
      <c r="B45" s="2">
        <v>0.96</v>
      </c>
      <c r="C45" s="2">
        <v>0.65400000000000003</v>
      </c>
      <c r="D45" s="3">
        <f t="shared" si="0"/>
        <v>47.519999999999996</v>
      </c>
      <c r="E45" s="3">
        <f t="shared" si="1"/>
        <v>20.993400000000001</v>
      </c>
      <c r="F45" s="4">
        <f t="shared" si="6"/>
        <v>197162.19603722665</v>
      </c>
      <c r="G45" s="4">
        <f t="shared" si="2"/>
        <v>9369.1475556890091</v>
      </c>
      <c r="H45" s="4">
        <f t="shared" si="3"/>
        <v>4139.1048462879144</v>
      </c>
      <c r="J45" s="6">
        <f t="shared" si="4"/>
        <v>2.652659999999992</v>
      </c>
      <c r="M45" s="4">
        <v>110678</v>
      </c>
      <c r="N45" s="70">
        <f t="shared" si="13"/>
        <v>43.864492167097474</v>
      </c>
      <c r="O45" s="4">
        <f t="shared" si="14"/>
        <v>86484.196037226648</v>
      </c>
      <c r="Q45" s="73">
        <v>26.4</v>
      </c>
      <c r="R45" s="73">
        <v>9.3000000000000007</v>
      </c>
      <c r="S45" s="49">
        <f t="shared" si="15"/>
        <v>0.55555555555555558</v>
      </c>
      <c r="T45" s="49">
        <f t="shared" si="16"/>
        <v>0.44299637028780475</v>
      </c>
    </row>
    <row r="46" spans="1:24" x14ac:dyDescent="0.25">
      <c r="A46">
        <f t="shared" si="5"/>
        <v>1956</v>
      </c>
      <c r="B46" s="2">
        <v>0.96299999999999997</v>
      </c>
      <c r="C46" s="2">
        <v>0.625</v>
      </c>
      <c r="D46" s="3">
        <f t="shared" si="0"/>
        <v>47.668500000000002</v>
      </c>
      <c r="E46" s="3">
        <f t="shared" si="1"/>
        <v>20.0625</v>
      </c>
      <c r="F46" s="4">
        <f t="shared" si="6"/>
        <v>202392.23874662773</v>
      </c>
      <c r="G46" s="4">
        <f t="shared" si="2"/>
        <v>9647.7344326936254</v>
      </c>
      <c r="H46" s="4">
        <f t="shared" si="3"/>
        <v>4060.4942898542186</v>
      </c>
      <c r="J46" s="6">
        <f t="shared" si="4"/>
        <v>2.7606000000000015</v>
      </c>
      <c r="M46" s="4">
        <v>112465</v>
      </c>
      <c r="N46" s="70">
        <f t="shared" si="13"/>
        <v>44.432157726762689</v>
      </c>
      <c r="O46" s="4">
        <f t="shared" si="14"/>
        <v>89927.238746627729</v>
      </c>
      <c r="Q46" s="73">
        <v>24.9</v>
      </c>
      <c r="R46" s="73">
        <v>8.4</v>
      </c>
      <c r="S46" s="49">
        <f t="shared" si="15"/>
        <v>0.52235753170332599</v>
      </c>
      <c r="T46" s="49">
        <f t="shared" si="16"/>
        <v>0.41869158878504675</v>
      </c>
    </row>
    <row r="47" spans="1:24" x14ac:dyDescent="0.25">
      <c r="A47">
        <f t="shared" si="5"/>
        <v>1957</v>
      </c>
      <c r="B47" s="2">
        <v>0.96499999999999997</v>
      </c>
      <c r="C47" s="2">
        <v>0.58899999999999997</v>
      </c>
      <c r="D47" s="3">
        <f t="shared" si="0"/>
        <v>47.767499999999998</v>
      </c>
      <c r="E47" s="3">
        <f t="shared" si="1"/>
        <v>18.9069</v>
      </c>
      <c r="F47" s="4">
        <f t="shared" si="6"/>
        <v>207979.47888946714</v>
      </c>
      <c r="G47" s="4">
        <f t="shared" si="2"/>
        <v>9934.6597578526216</v>
      </c>
      <c r="H47" s="4">
        <f t="shared" si="3"/>
        <v>3932.2472094152663</v>
      </c>
      <c r="J47" s="6">
        <f t="shared" si="4"/>
        <v>2.8860599999999907</v>
      </c>
      <c r="M47" s="4">
        <v>114189</v>
      </c>
      <c r="N47" s="70">
        <f t="shared" si="13"/>
        <v>45.096025526303521</v>
      </c>
      <c r="O47" s="4">
        <f t="shared" si="14"/>
        <v>93790.478889467136</v>
      </c>
      <c r="Q47" s="73">
        <v>25</v>
      </c>
      <c r="R47" s="73">
        <v>8.8000000000000007</v>
      </c>
      <c r="S47" s="49">
        <f t="shared" si="15"/>
        <v>0.52336839901606746</v>
      </c>
      <c r="T47" s="49">
        <f t="shared" si="16"/>
        <v>0.46543854360048453</v>
      </c>
    </row>
    <row r="48" spans="1:24" x14ac:dyDescent="0.25">
      <c r="A48">
        <f t="shared" si="5"/>
        <v>1958</v>
      </c>
      <c r="B48" s="2">
        <v>0.97</v>
      </c>
      <c r="C48" s="2">
        <v>0.55700000000000005</v>
      </c>
      <c r="D48" s="3">
        <f t="shared" si="0"/>
        <v>48.015000000000001</v>
      </c>
      <c r="E48" s="3">
        <f t="shared" si="1"/>
        <v>17.879700000000003</v>
      </c>
      <c r="F48" s="4">
        <f t="shared" si="6"/>
        <v>213981.89143790447</v>
      </c>
      <c r="G48" s="4">
        <f t="shared" si="2"/>
        <v>10274.340517390983</v>
      </c>
      <c r="H48" s="4">
        <f t="shared" si="3"/>
        <v>3825.9320243423012</v>
      </c>
      <c r="J48" s="6">
        <f t="shared" si="4"/>
        <v>3.0135300000000016</v>
      </c>
      <c r="M48" s="4">
        <v>115881</v>
      </c>
      <c r="N48" s="70">
        <f t="shared" si="13"/>
        <v>45.845417469063001</v>
      </c>
      <c r="O48" s="4">
        <f t="shared" si="14"/>
        <v>98100.891437904473</v>
      </c>
      <c r="Q48" s="77">
        <v>24.5</v>
      </c>
      <c r="R48" s="77">
        <v>8</v>
      </c>
      <c r="S48" s="78">
        <f t="shared" si="15"/>
        <v>0.51025721128813917</v>
      </c>
      <c r="T48" s="78">
        <f t="shared" si="16"/>
        <v>0.44743480036018496</v>
      </c>
    </row>
    <row r="49" spans="1:24" x14ac:dyDescent="0.25">
      <c r="A49">
        <f t="shared" si="5"/>
        <v>1959</v>
      </c>
      <c r="B49" s="2">
        <v>0.96899999999999997</v>
      </c>
      <c r="C49" s="2">
        <v>0.52800000000000002</v>
      </c>
      <c r="D49" s="3">
        <f t="shared" si="0"/>
        <v>47.965499999999999</v>
      </c>
      <c r="E49" s="3">
        <f t="shared" si="1"/>
        <v>16.948800000000002</v>
      </c>
      <c r="F49" s="4">
        <f t="shared" si="6"/>
        <v>220430.29993095316</v>
      </c>
      <c r="G49" s="4">
        <f t="shared" si="2"/>
        <v>10573.049551338134</v>
      </c>
      <c r="H49" s="4">
        <f t="shared" si="3"/>
        <v>3736.0290674697394</v>
      </c>
      <c r="J49" s="6">
        <f t="shared" si="4"/>
        <v>3.1016700000000026</v>
      </c>
      <c r="M49" s="4">
        <v>117616</v>
      </c>
      <c r="N49" s="70">
        <f t="shared" si="13"/>
        <v>46.642544134430864</v>
      </c>
      <c r="O49" s="4">
        <f t="shared" si="14"/>
        <v>102814.29993095316</v>
      </c>
      <c r="Q49" s="79">
        <v>23.7</v>
      </c>
      <c r="R49" s="79">
        <v>7.8</v>
      </c>
      <c r="S49" s="49">
        <f t="shared" ref="S49:S112" si="17">Q49/D49</f>
        <v>0.49410513806798634</v>
      </c>
      <c r="T49" s="49">
        <f t="shared" ref="T49:T112" si="18">R49/E49</f>
        <v>0.46020957235910498</v>
      </c>
    </row>
    <row r="50" spans="1:24" x14ac:dyDescent="0.25">
      <c r="A50">
        <f t="shared" si="5"/>
        <v>1960</v>
      </c>
      <c r="B50" s="2">
        <v>0.96299999999999997</v>
      </c>
      <c r="C50" s="2">
        <v>0.52</v>
      </c>
      <c r="D50" s="3">
        <f t="shared" si="0"/>
        <v>47.668500000000002</v>
      </c>
      <c r="E50" s="3">
        <f t="shared" si="1"/>
        <v>16.692</v>
      </c>
      <c r="F50" s="4">
        <f t="shared" si="6"/>
        <v>227267.32041482156</v>
      </c>
      <c r="G50" s="4">
        <f t="shared" si="2"/>
        <v>10833.492263193923</v>
      </c>
      <c r="H50" s="4">
        <f t="shared" si="3"/>
        <v>3793.5461123642012</v>
      </c>
      <c r="J50" s="6">
        <f t="shared" si="4"/>
        <v>3.097650000000002</v>
      </c>
      <c r="M50" s="4">
        <v>119046</v>
      </c>
      <c r="N50" s="70">
        <f t="shared" si="13"/>
        <v>47.618513835288638</v>
      </c>
      <c r="O50" s="4">
        <f t="shared" si="14"/>
        <v>108221.32041482156</v>
      </c>
      <c r="Q50" s="79">
        <v>23.2</v>
      </c>
      <c r="R50" s="79">
        <v>7.4</v>
      </c>
      <c r="S50" s="49">
        <f t="shared" si="17"/>
        <v>0.48669456769145242</v>
      </c>
      <c r="T50" s="49">
        <f t="shared" si="18"/>
        <v>0.4433261442607237</v>
      </c>
      <c r="V50" s="74" t="s">
        <v>169</v>
      </c>
      <c r="W50" s="74"/>
      <c r="X50" s="74"/>
    </row>
    <row r="51" spans="1:24" x14ac:dyDescent="0.25">
      <c r="A51">
        <f t="shared" si="5"/>
        <v>1961</v>
      </c>
      <c r="B51" s="2">
        <v>0.96299999999999997</v>
      </c>
      <c r="C51" s="2">
        <v>0.50600000000000001</v>
      </c>
      <c r="D51" s="3">
        <f t="shared" si="0"/>
        <v>47.668500000000002</v>
      </c>
      <c r="E51" s="3">
        <f t="shared" si="1"/>
        <v>16.242599999999999</v>
      </c>
      <c r="F51" s="4">
        <f t="shared" si="6"/>
        <v>234307.26656565128</v>
      </c>
      <c r="G51" s="4">
        <f t="shared" si="2"/>
        <v>11169.075936284749</v>
      </c>
      <c r="H51" s="4">
        <f t="shared" si="3"/>
        <v>3805.7592079192473</v>
      </c>
      <c r="J51" s="6">
        <f t="shared" si="4"/>
        <v>3.1425900000000082</v>
      </c>
      <c r="M51" s="4">
        <v>120766</v>
      </c>
      <c r="N51" s="70">
        <f t="shared" si="13"/>
        <v>48.458277982530177</v>
      </c>
      <c r="O51" s="4">
        <f t="shared" si="14"/>
        <v>113541.26656565128</v>
      </c>
      <c r="Q51" s="79">
        <v>21.9</v>
      </c>
      <c r="R51" s="79">
        <v>7.4</v>
      </c>
      <c r="S51" s="49">
        <f t="shared" si="17"/>
        <v>0.45942288932943132</v>
      </c>
      <c r="T51" s="49">
        <f t="shared" si="18"/>
        <v>0.45559208501102044</v>
      </c>
      <c r="V51" s="75">
        <v>0.56952899747496155</v>
      </c>
      <c r="W51" s="75">
        <v>0.50998318086817729</v>
      </c>
    </row>
    <row r="52" spans="1:24" x14ac:dyDescent="0.25">
      <c r="A52">
        <f t="shared" si="5"/>
        <v>1962</v>
      </c>
      <c r="B52" s="2">
        <v>0.96599999999999997</v>
      </c>
      <c r="C52" s="2">
        <v>0.502</v>
      </c>
      <c r="D52" s="3">
        <f t="shared" si="0"/>
        <v>47.817</v>
      </c>
      <c r="E52" s="3">
        <f t="shared" si="1"/>
        <v>16.1142</v>
      </c>
      <c r="F52" s="4">
        <f t="shared" si="6"/>
        <v>241670.5832940168</v>
      </c>
      <c r="G52" s="4">
        <f t="shared" si="2"/>
        <v>11555.962281370001</v>
      </c>
      <c r="H52" s="4">
        <f t="shared" si="3"/>
        <v>3894.3281133164455</v>
      </c>
      <c r="J52" s="6">
        <f t="shared" si="4"/>
        <v>3.1702800000000058</v>
      </c>
      <c r="M52" s="4">
        <v>122407</v>
      </c>
      <c r="N52" s="70">
        <f t="shared" si="13"/>
        <v>49.349648462974308</v>
      </c>
      <c r="O52" s="4">
        <f t="shared" si="14"/>
        <v>119263.5832940168</v>
      </c>
      <c r="Q52" s="79">
        <v>20.2</v>
      </c>
      <c r="R52" s="79">
        <v>7.7</v>
      </c>
      <c r="S52" s="49">
        <f t="shared" si="17"/>
        <v>0.42244390070477028</v>
      </c>
      <c r="T52" s="49">
        <f t="shared" si="18"/>
        <v>0.47783942113167271</v>
      </c>
    </row>
    <row r="53" spans="1:24" x14ac:dyDescent="0.25">
      <c r="A53">
        <f t="shared" si="5"/>
        <v>1963</v>
      </c>
      <c r="B53" s="2">
        <v>0.96699999999999997</v>
      </c>
      <c r="C53" s="2">
        <v>0.49299999999999999</v>
      </c>
      <c r="D53" s="3">
        <f t="shared" si="0"/>
        <v>47.866500000000002</v>
      </c>
      <c r="E53" s="3">
        <f t="shared" si="1"/>
        <v>15.8253</v>
      </c>
      <c r="F53" s="4">
        <f t="shared" si="6"/>
        <v>249332.21746207037</v>
      </c>
      <c r="G53" s="4">
        <f t="shared" si="2"/>
        <v>11934.660587148192</v>
      </c>
      <c r="H53" s="4">
        <f t="shared" si="3"/>
        <v>3945.7571410025021</v>
      </c>
      <c r="J53" s="6">
        <f t="shared" si="4"/>
        <v>3.2041199999999948</v>
      </c>
      <c r="M53" s="4">
        <v>123848</v>
      </c>
      <c r="N53" s="70">
        <f t="shared" si="13"/>
        <v>50.32811994348851</v>
      </c>
      <c r="O53" s="4">
        <f t="shared" si="14"/>
        <v>125484.21746207037</v>
      </c>
      <c r="Q53" s="79">
        <v>18.8</v>
      </c>
      <c r="R53" s="79">
        <v>7.5</v>
      </c>
      <c r="S53" s="49">
        <f t="shared" si="17"/>
        <v>0.39275902771249205</v>
      </c>
      <c r="T53" s="49">
        <f t="shared" si="18"/>
        <v>0.47392466493526186</v>
      </c>
    </row>
    <row r="54" spans="1:24" x14ac:dyDescent="0.25">
      <c r="A54">
        <f t="shared" si="5"/>
        <v>1964</v>
      </c>
      <c r="B54" s="2">
        <v>0.97599999999999998</v>
      </c>
      <c r="C54" s="2">
        <v>0.47299999999999998</v>
      </c>
      <c r="D54" s="3">
        <f t="shared" si="0"/>
        <v>48.311999999999998</v>
      </c>
      <c r="E54" s="3">
        <f t="shared" si="1"/>
        <v>15.183299999999999</v>
      </c>
      <c r="F54" s="4">
        <f t="shared" si="6"/>
        <v>257321.12090821605</v>
      </c>
      <c r="G54" s="4">
        <f t="shared" si="2"/>
        <v>12431.697993317732</v>
      </c>
      <c r="H54" s="4">
        <f t="shared" si="3"/>
        <v>3906.9837750857164</v>
      </c>
      <c r="J54" s="6">
        <f t="shared" si="4"/>
        <v>3.3128700000000029</v>
      </c>
      <c r="M54" s="4">
        <v>125179</v>
      </c>
      <c r="N54" s="70">
        <f t="shared" si="13"/>
        <v>51.353002210553043</v>
      </c>
      <c r="O54" s="4">
        <f t="shared" si="14"/>
        <v>132142.12090821605</v>
      </c>
      <c r="Q54" s="79">
        <v>16.899999999999999</v>
      </c>
      <c r="R54" s="79">
        <v>7.2</v>
      </c>
      <c r="S54" s="49">
        <f t="shared" si="17"/>
        <v>0.34980957112104649</v>
      </c>
      <c r="T54" s="49">
        <f t="shared" si="18"/>
        <v>0.47420521230562529</v>
      </c>
    </row>
    <row r="55" spans="1:24" x14ac:dyDescent="0.25">
      <c r="A55">
        <f t="shared" si="5"/>
        <v>1965</v>
      </c>
      <c r="B55" s="2">
        <v>0.97299999999999998</v>
      </c>
      <c r="C55" s="2">
        <v>0.441</v>
      </c>
      <c r="D55" s="3">
        <f t="shared" si="0"/>
        <v>48.163499999999999</v>
      </c>
      <c r="E55" s="3">
        <f t="shared" si="1"/>
        <v>14.1561</v>
      </c>
      <c r="F55" s="4">
        <f t="shared" si="6"/>
        <v>265845.83512644807</v>
      </c>
      <c r="G55" s="4">
        <f t="shared" si="2"/>
        <v>12804.065880112681</v>
      </c>
      <c r="H55" s="4">
        <f t="shared" si="3"/>
        <v>3763.3402266335115</v>
      </c>
      <c r="J55" s="6">
        <f t="shared" si="4"/>
        <v>3.4007399999999985</v>
      </c>
      <c r="M55" s="4">
        <v>126309</v>
      </c>
      <c r="N55" s="70">
        <f t="shared" si="13"/>
        <v>52.487877066074084</v>
      </c>
      <c r="O55" s="4">
        <f t="shared" si="14"/>
        <v>139536.83512644807</v>
      </c>
      <c r="Q55" s="79">
        <v>15.7</v>
      </c>
      <c r="R55" s="79">
        <v>7.6</v>
      </c>
      <c r="S55" s="49">
        <f t="shared" si="17"/>
        <v>0.32597298784349144</v>
      </c>
      <c r="T55" s="49">
        <f t="shared" si="18"/>
        <v>0.53687103086302013</v>
      </c>
    </row>
    <row r="56" spans="1:24" x14ac:dyDescent="0.25">
      <c r="A56">
        <f t="shared" si="5"/>
        <v>1966</v>
      </c>
      <c r="B56" s="2">
        <v>0.98199999999999998</v>
      </c>
      <c r="C56" s="2">
        <v>0.42099999999999999</v>
      </c>
      <c r="D56" s="3">
        <f t="shared" si="0"/>
        <v>48.609000000000002</v>
      </c>
      <c r="E56" s="3">
        <f t="shared" si="1"/>
        <v>13.514100000000001</v>
      </c>
      <c r="F56" s="4">
        <f t="shared" si="6"/>
        <v>274886.56077992724</v>
      </c>
      <c r="G56" s="4">
        <f t="shared" si="2"/>
        <v>13361.960832951485</v>
      </c>
      <c r="H56" s="4">
        <f t="shared" si="3"/>
        <v>3714.844471036015</v>
      </c>
      <c r="J56" s="6">
        <f t="shared" si="4"/>
        <v>3.5094900000000053</v>
      </c>
      <c r="M56" s="4">
        <v>127189</v>
      </c>
      <c r="N56" s="70">
        <f t="shared" si="13"/>
        <v>53.730368032860341</v>
      </c>
      <c r="O56" s="4">
        <f t="shared" si="14"/>
        <v>147697.56077992724</v>
      </c>
      <c r="Q56" s="79">
        <v>15.3</v>
      </c>
      <c r="R56" s="79">
        <v>7.6</v>
      </c>
      <c r="S56" s="49">
        <f t="shared" si="17"/>
        <v>0.31475652656915387</v>
      </c>
      <c r="T56" s="49">
        <f t="shared" si="18"/>
        <v>0.56237559289926808</v>
      </c>
    </row>
    <row r="57" spans="1:24" x14ac:dyDescent="0.25">
      <c r="A57">
        <f t="shared" si="5"/>
        <v>1967</v>
      </c>
      <c r="B57" s="2">
        <v>0.99</v>
      </c>
      <c r="C57" s="2">
        <v>0.39800000000000002</v>
      </c>
      <c r="D57" s="3">
        <f t="shared" si="0"/>
        <v>49.005000000000003</v>
      </c>
      <c r="E57" s="3">
        <f t="shared" si="1"/>
        <v>12.775800000000002</v>
      </c>
      <c r="F57" s="4">
        <f t="shared" si="6"/>
        <v>284533.67714184272</v>
      </c>
      <c r="G57" s="4">
        <f t="shared" si="2"/>
        <v>13943.572848336004</v>
      </c>
      <c r="H57" s="4">
        <f t="shared" si="3"/>
        <v>3635.1453524287549</v>
      </c>
      <c r="J57" s="6">
        <f t="shared" si="4"/>
        <v>3.6229199999999953</v>
      </c>
      <c r="M57" s="4">
        <v>128026</v>
      </c>
      <c r="N57" s="70">
        <f t="shared" si="13"/>
        <v>55.004974705972039</v>
      </c>
      <c r="O57" s="4">
        <f t="shared" si="14"/>
        <v>156507.67714184272</v>
      </c>
      <c r="Q57" s="79">
        <v>14.4</v>
      </c>
      <c r="R57" s="79">
        <v>7.9</v>
      </c>
      <c r="S57" s="49">
        <f t="shared" si="17"/>
        <v>0.29384756657483929</v>
      </c>
      <c r="T57" s="49">
        <f t="shared" si="18"/>
        <v>0.61835658040983732</v>
      </c>
    </row>
    <row r="58" spans="1:24" x14ac:dyDescent="0.25">
      <c r="A58">
        <f t="shared" si="5"/>
        <v>1968</v>
      </c>
      <c r="B58" s="2">
        <v>0.995</v>
      </c>
      <c r="C58" s="2">
        <v>0.38800000000000001</v>
      </c>
      <c r="D58" s="3">
        <f t="shared" si="0"/>
        <v>49.252499999999998</v>
      </c>
      <c r="E58" s="3">
        <f t="shared" si="1"/>
        <v>12.454800000000001</v>
      </c>
      <c r="F58" s="4">
        <f t="shared" si="6"/>
        <v>294842.10463774996</v>
      </c>
      <c r="G58" s="4">
        <f t="shared" si="2"/>
        <v>14521.710758670779</v>
      </c>
      <c r="H58" s="4">
        <f t="shared" si="3"/>
        <v>3672.1994448422483</v>
      </c>
      <c r="J58" s="6">
        <f t="shared" si="4"/>
        <v>3.6797699999999973</v>
      </c>
      <c r="M58" s="4">
        <v>128696</v>
      </c>
      <c r="N58" s="70">
        <f t="shared" si="13"/>
        <v>56.350874595024692</v>
      </c>
      <c r="O58" s="4">
        <f t="shared" si="14"/>
        <v>166146.10463774996</v>
      </c>
      <c r="Q58" s="79">
        <v>14.1</v>
      </c>
      <c r="R58" s="79">
        <v>8.1</v>
      </c>
      <c r="S58" s="49">
        <f t="shared" si="17"/>
        <v>0.28627988426983403</v>
      </c>
      <c r="T58" s="49">
        <f t="shared" si="18"/>
        <v>0.65035167164466701</v>
      </c>
    </row>
    <row r="59" spans="1:24" x14ac:dyDescent="0.25">
      <c r="A59">
        <f t="shared" si="5"/>
        <v>1969</v>
      </c>
      <c r="B59" s="2">
        <v>1.0009999999999999</v>
      </c>
      <c r="C59" s="2">
        <v>0.374</v>
      </c>
      <c r="D59" s="3">
        <f t="shared" si="0"/>
        <v>49.549499999999995</v>
      </c>
      <c r="E59" s="3">
        <f t="shared" si="1"/>
        <v>12.0054</v>
      </c>
      <c r="F59" s="4">
        <f t="shared" si="6"/>
        <v>305691.61595157848</v>
      </c>
      <c r="G59" s="4">
        <f t="shared" si="2"/>
        <v>15146.866724592735</v>
      </c>
      <c r="H59" s="4">
        <f t="shared" si="3"/>
        <v>3669.95012614508</v>
      </c>
      <c r="J59" s="6">
        <f t="shared" si="4"/>
        <v>3.7544099999999996</v>
      </c>
      <c r="M59" s="4">
        <v>129379</v>
      </c>
      <c r="N59" s="70">
        <f t="shared" si="13"/>
        <v>57.67662793195688</v>
      </c>
      <c r="O59" s="4">
        <f t="shared" si="14"/>
        <v>176312.61595157848</v>
      </c>
      <c r="Q59" s="79">
        <v>14.2</v>
      </c>
      <c r="R59" s="79">
        <v>8.5</v>
      </c>
      <c r="S59" s="49">
        <f t="shared" si="17"/>
        <v>0.28658210476392298</v>
      </c>
      <c r="T59" s="49">
        <f t="shared" si="18"/>
        <v>0.70801472670631549</v>
      </c>
    </row>
    <row r="60" spans="1:24" x14ac:dyDescent="0.25">
      <c r="A60">
        <f t="shared" si="5"/>
        <v>1970</v>
      </c>
      <c r="B60" s="2">
        <v>1</v>
      </c>
      <c r="C60" s="2">
        <v>0.36899999999999999</v>
      </c>
      <c r="D60" s="3">
        <f t="shared" si="0"/>
        <v>49.5</v>
      </c>
      <c r="E60" s="3">
        <f t="shared" si="1"/>
        <v>11.844900000000001</v>
      </c>
      <c r="F60" s="4">
        <f t="shared" si="6"/>
        <v>317168.53255002614</v>
      </c>
      <c r="G60" s="4">
        <f t="shared" si="2"/>
        <v>15699.842361226294</v>
      </c>
      <c r="H60" s="4">
        <f t="shared" si="3"/>
        <v>3756.8295512018049</v>
      </c>
      <c r="J60" s="6">
        <f t="shared" si="4"/>
        <v>3.7655100000000004</v>
      </c>
      <c r="M60" s="4">
        <v>129941</v>
      </c>
      <c r="N60" s="70">
        <f t="shared" si="13"/>
        <v>59.03092940674852</v>
      </c>
      <c r="O60" s="4">
        <f t="shared" si="14"/>
        <v>187227.53255002614</v>
      </c>
      <c r="Q60" s="79">
        <v>14.6</v>
      </c>
      <c r="R60" s="79">
        <v>8.6999999999999993</v>
      </c>
      <c r="S60" s="49">
        <f t="shared" si="17"/>
        <v>0.29494949494949496</v>
      </c>
      <c r="T60" s="49">
        <f t="shared" si="18"/>
        <v>0.73449332624167352</v>
      </c>
    </row>
    <row r="61" spans="1:24" x14ac:dyDescent="0.25">
      <c r="A61">
        <f t="shared" si="5"/>
        <v>1971</v>
      </c>
      <c r="B61" s="2">
        <v>0.996</v>
      </c>
      <c r="C61" s="2">
        <v>0.35499999999999998</v>
      </c>
      <c r="D61" s="3">
        <f t="shared" si="0"/>
        <v>49.302</v>
      </c>
      <c r="E61" s="3">
        <f t="shared" si="1"/>
        <v>11.3955</v>
      </c>
      <c r="F61" s="4">
        <f t="shared" si="6"/>
        <v>329111.54536005063</v>
      </c>
      <c r="G61" s="4">
        <f t="shared" si="2"/>
        <v>16225.857409341215</v>
      </c>
      <c r="H61" s="4">
        <f t="shared" si="3"/>
        <v>3750.3906151504566</v>
      </c>
      <c r="J61" s="6">
        <f t="shared" si="4"/>
        <v>3.7906499999999985</v>
      </c>
      <c r="M61" s="4">
        <v>130563</v>
      </c>
      <c r="N61" s="70">
        <f t="shared" si="13"/>
        <v>60.328647888313057</v>
      </c>
      <c r="O61" s="4">
        <f t="shared" si="14"/>
        <v>198548.54536005063</v>
      </c>
      <c r="Q61" s="79">
        <v>15.1</v>
      </c>
      <c r="R61" s="79">
        <v>8.6999999999999993</v>
      </c>
      <c r="S61" s="49">
        <f t="shared" si="17"/>
        <v>0.30627560748042676</v>
      </c>
      <c r="T61" s="49">
        <f t="shared" si="18"/>
        <v>0.76345926023430299</v>
      </c>
    </row>
    <row r="62" spans="1:24" x14ac:dyDescent="0.25">
      <c r="A62">
        <f t="shared" si="5"/>
        <v>1972</v>
      </c>
      <c r="B62" s="2">
        <v>0.99099999999999999</v>
      </c>
      <c r="C62" s="2">
        <v>0.34599999999999997</v>
      </c>
      <c r="D62" s="3">
        <f t="shared" si="0"/>
        <v>49.054499999999997</v>
      </c>
      <c r="E62" s="3">
        <f t="shared" si="1"/>
        <v>11.1066</v>
      </c>
      <c r="F62" s="4">
        <f t="shared" si="6"/>
        <v>341587.01215424138</v>
      </c>
      <c r="G62" s="4">
        <f t="shared" si="2"/>
        <v>16756.380087720234</v>
      </c>
      <c r="H62" s="4">
        <f t="shared" si="3"/>
        <v>3793.8703091922976</v>
      </c>
      <c r="J62" s="6">
        <f t="shared" si="4"/>
        <v>3.7947900000000039</v>
      </c>
      <c r="M62" s="4">
        <v>131304</v>
      </c>
      <c r="N62" s="70">
        <f t="shared" si="13"/>
        <v>61.560599399865204</v>
      </c>
      <c r="O62" s="4">
        <f t="shared" si="14"/>
        <v>210283.01215424138</v>
      </c>
      <c r="Q62" s="79">
        <v>15.3</v>
      </c>
      <c r="R62" s="79">
        <v>9</v>
      </c>
      <c r="S62" s="49">
        <f t="shared" si="17"/>
        <v>0.3118979910099991</v>
      </c>
      <c r="T62" s="49">
        <f t="shared" si="18"/>
        <v>0.81032899357138999</v>
      </c>
    </row>
    <row r="63" spans="1:24" x14ac:dyDescent="0.25">
      <c r="A63">
        <f t="shared" si="5"/>
        <v>1973</v>
      </c>
      <c r="B63" s="2">
        <v>0.98899999999999999</v>
      </c>
      <c r="C63" s="2">
        <v>0.33</v>
      </c>
      <c r="D63" s="3">
        <f t="shared" si="0"/>
        <v>48.955500000000001</v>
      </c>
      <c r="E63" s="3">
        <f t="shared" si="1"/>
        <v>10.593000000000002</v>
      </c>
      <c r="F63" s="4">
        <f t="shared" si="6"/>
        <v>354549.52193276933</v>
      </c>
      <c r="G63" s="4">
        <f t="shared" si="2"/>
        <v>17357.149120979688</v>
      </c>
      <c r="H63" s="4">
        <f t="shared" si="3"/>
        <v>3755.7430858338262</v>
      </c>
      <c r="J63" s="6">
        <f t="shared" si="4"/>
        <v>3.8362499999999993</v>
      </c>
      <c r="M63" s="4">
        <v>132069</v>
      </c>
      <c r="N63" s="70">
        <f t="shared" si="13"/>
        <v>62.75019656491223</v>
      </c>
      <c r="O63" s="4">
        <f t="shared" si="14"/>
        <v>222480.52193276933</v>
      </c>
      <c r="Q63" s="79">
        <v>15.1</v>
      </c>
      <c r="R63" s="79">
        <v>9.1999999999999993</v>
      </c>
      <c r="S63" s="49">
        <f t="shared" si="17"/>
        <v>0.30844338225531348</v>
      </c>
      <c r="T63" s="49">
        <f t="shared" si="18"/>
        <v>0.86849806475974678</v>
      </c>
    </row>
    <row r="64" spans="1:24" x14ac:dyDescent="0.25">
      <c r="A64">
        <f t="shared" si="5"/>
        <v>1974</v>
      </c>
      <c r="B64" s="2">
        <v>0.98599999999999999</v>
      </c>
      <c r="C64" s="2">
        <v>0.32</v>
      </c>
      <c r="D64" s="3">
        <f t="shared" si="0"/>
        <v>48.807000000000002</v>
      </c>
      <c r="E64" s="3">
        <f t="shared" si="1"/>
        <v>10.272</v>
      </c>
      <c r="F64" s="4">
        <f t="shared" si="6"/>
        <v>368150.9279679152</v>
      </c>
      <c r="G64" s="4">
        <f t="shared" si="2"/>
        <v>17968.342341330037</v>
      </c>
      <c r="H64" s="4">
        <f t="shared" si="3"/>
        <v>3781.646332086425</v>
      </c>
      <c r="J64" s="6">
        <f t="shared" si="4"/>
        <v>3.8534999999999981</v>
      </c>
      <c r="M64" s="4">
        <v>132799</v>
      </c>
      <c r="N64" s="70">
        <f t="shared" si="13"/>
        <v>63.928109394423799</v>
      </c>
      <c r="O64" s="4">
        <f t="shared" si="14"/>
        <v>235351.9279679152</v>
      </c>
      <c r="Q64" s="79">
        <v>15.6</v>
      </c>
      <c r="R64" s="79">
        <v>9.1999999999999993</v>
      </c>
      <c r="S64" s="49">
        <f t="shared" si="17"/>
        <v>0.31962628311512692</v>
      </c>
      <c r="T64" s="49">
        <f t="shared" si="18"/>
        <v>0.89563862928348903</v>
      </c>
    </row>
    <row r="65" spans="1:20" x14ac:dyDescent="0.25">
      <c r="A65">
        <f t="shared" si="5"/>
        <v>1975</v>
      </c>
      <c r="B65" s="2">
        <v>0.98399999999999999</v>
      </c>
      <c r="C65" s="2">
        <v>0.313</v>
      </c>
      <c r="D65" s="3">
        <f t="shared" si="0"/>
        <v>48.707999999999998</v>
      </c>
      <c r="E65" s="3">
        <f t="shared" si="1"/>
        <v>10.0473</v>
      </c>
      <c r="F65" s="4">
        <f t="shared" si="6"/>
        <v>382337.6239771588</v>
      </c>
      <c r="G65" s="4">
        <f t="shared" si="2"/>
        <v>18622.900988679448</v>
      </c>
      <c r="H65" s="4">
        <f t="shared" si="3"/>
        <v>3841.4608093857078</v>
      </c>
      <c r="J65" s="6">
        <f t="shared" si="4"/>
        <v>3.8660699999999997</v>
      </c>
      <c r="M65" s="4">
        <v>133634</v>
      </c>
      <c r="N65" s="70">
        <f t="shared" si="13"/>
        <v>65.048169047578895</v>
      </c>
      <c r="O65" s="4">
        <f t="shared" si="14"/>
        <v>248703.6239771588</v>
      </c>
      <c r="Q65" s="79">
        <v>15.7</v>
      </c>
      <c r="R65" s="79">
        <v>9.8000000000000007</v>
      </c>
      <c r="S65" s="49">
        <f t="shared" si="17"/>
        <v>0.32232898086556622</v>
      </c>
      <c r="T65" s="49">
        <f t="shared" si="18"/>
        <v>0.97538642222288585</v>
      </c>
    </row>
    <row r="66" spans="1:20" x14ac:dyDescent="0.25">
      <c r="A66">
        <f t="shared" si="5"/>
        <v>1976</v>
      </c>
      <c r="B66" s="2">
        <v>0.98399999999999999</v>
      </c>
      <c r="C66" s="2">
        <v>0.30399999999999999</v>
      </c>
      <c r="D66" s="3">
        <f t="shared" si="0"/>
        <v>48.707999999999998</v>
      </c>
      <c r="E66" s="3">
        <f t="shared" si="1"/>
        <v>9.7584</v>
      </c>
      <c r="F66" s="4">
        <f t="shared" si="6"/>
        <v>397119.06415645254</v>
      </c>
      <c r="G66" s="4">
        <f t="shared" si="2"/>
        <v>19342.87537693249</v>
      </c>
      <c r="H66" s="4">
        <f t="shared" si="3"/>
        <v>3875.2466756643266</v>
      </c>
      <c r="J66" s="6">
        <f t="shared" si="4"/>
        <v>3.894960000000002</v>
      </c>
      <c r="M66" s="4">
        <v>134549</v>
      </c>
      <c r="N66" s="70">
        <f t="shared" si="13"/>
        <v>66.118725555066305</v>
      </c>
      <c r="O66" s="4">
        <f t="shared" si="14"/>
        <v>262570.06415645254</v>
      </c>
      <c r="Q66" s="79">
        <v>15.9</v>
      </c>
      <c r="R66" s="79">
        <v>10</v>
      </c>
      <c r="S66" s="49">
        <f t="shared" si="17"/>
        <v>0.32643508253264353</v>
      </c>
      <c r="T66" s="49">
        <f t="shared" si="18"/>
        <v>1.0247581570749302</v>
      </c>
    </row>
    <row r="67" spans="1:20" x14ac:dyDescent="0.25">
      <c r="A67">
        <f t="shared" si="5"/>
        <v>1977</v>
      </c>
      <c r="B67" s="2">
        <v>0.97699999999999998</v>
      </c>
      <c r="C67" s="2">
        <v>0.29899999999999999</v>
      </c>
      <c r="D67" s="3">
        <f t="shared" si="0"/>
        <v>48.361499999999999</v>
      </c>
      <c r="E67" s="3">
        <f t="shared" si="1"/>
        <v>9.5978999999999992</v>
      </c>
      <c r="F67" s="4">
        <f t="shared" si="6"/>
        <v>412586.69285772071</v>
      </c>
      <c r="G67" s="4">
        <f t="shared" si="2"/>
        <v>19953.31134663866</v>
      </c>
      <c r="H67" s="4">
        <f t="shared" si="3"/>
        <v>3959.9658193791174</v>
      </c>
      <c r="J67" s="6">
        <f t="shared" si="4"/>
        <v>3.8763599999999938</v>
      </c>
      <c r="M67" s="4">
        <v>135504</v>
      </c>
      <c r="N67" s="70">
        <f t="shared" si="13"/>
        <v>67.157447793225813</v>
      </c>
      <c r="O67" s="4">
        <f t="shared" si="14"/>
        <v>277082.69285772071</v>
      </c>
      <c r="Q67" s="79">
        <v>15.8</v>
      </c>
      <c r="R67" s="79">
        <v>10.199999999999999</v>
      </c>
      <c r="S67" s="49">
        <f t="shared" si="17"/>
        <v>0.32670616089244547</v>
      </c>
      <c r="T67" s="49">
        <f t="shared" si="18"/>
        <v>1.0627324727284093</v>
      </c>
    </row>
    <row r="68" spans="1:20" x14ac:dyDescent="0.25">
      <c r="A68">
        <f t="shared" si="5"/>
        <v>1978</v>
      </c>
      <c r="B68" s="2">
        <v>0.97299999999999998</v>
      </c>
      <c r="C68" s="2">
        <v>0.29299999999999998</v>
      </c>
      <c r="D68" s="3">
        <f t="shared" si="0"/>
        <v>48.163499999999999</v>
      </c>
      <c r="E68" s="3">
        <f t="shared" si="1"/>
        <v>9.4053000000000004</v>
      </c>
      <c r="F68" s="4">
        <f t="shared" si="6"/>
        <v>428580.03838498023</v>
      </c>
      <c r="G68" s="4">
        <f t="shared" si="2"/>
        <v>20641.914678754998</v>
      </c>
      <c r="H68" s="4">
        <f t="shared" si="3"/>
        <v>4030.9238350222549</v>
      </c>
      <c r="J68" s="6">
        <f t="shared" si="4"/>
        <v>3.8758199999999965</v>
      </c>
      <c r="M68" s="4">
        <v>136455</v>
      </c>
      <c r="N68" s="70">
        <f t="shared" si="13"/>
        <v>68.161139628853476</v>
      </c>
      <c r="O68" s="4">
        <f t="shared" si="14"/>
        <v>292125.03838498023</v>
      </c>
      <c r="Q68" s="79">
        <v>15.9</v>
      </c>
      <c r="R68" s="79">
        <v>10.3</v>
      </c>
      <c r="S68" s="49">
        <f t="shared" si="17"/>
        <v>0.3301255099816251</v>
      </c>
      <c r="T68" s="49">
        <f t="shared" si="18"/>
        <v>1.0951272155061509</v>
      </c>
    </row>
    <row r="69" spans="1:20" x14ac:dyDescent="0.25">
      <c r="A69">
        <f t="shared" si="5"/>
        <v>1979</v>
      </c>
      <c r="B69" s="2">
        <v>0.96099999999999997</v>
      </c>
      <c r="C69" s="2">
        <v>0.29299999999999998</v>
      </c>
      <c r="D69" s="3">
        <f t="shared" si="0"/>
        <v>47.569499999999998</v>
      </c>
      <c r="E69" s="3">
        <f t="shared" si="1"/>
        <v>9.4053000000000004</v>
      </c>
      <c r="F69" s="4">
        <f t="shared" si="6"/>
        <v>445191.02922871296</v>
      </c>
      <c r="G69" s="4">
        <f t="shared" si="2"/>
        <v>21177.514664895258</v>
      </c>
      <c r="H69" s="4">
        <f t="shared" si="3"/>
        <v>4187.155187204814</v>
      </c>
      <c r="J69" s="6">
        <f t="shared" si="4"/>
        <v>3.8164199999999942</v>
      </c>
      <c r="M69" s="4">
        <v>137410</v>
      </c>
      <c r="N69" s="70">
        <f t="shared" si="13"/>
        <v>69.13459818854372</v>
      </c>
      <c r="O69" s="4">
        <f t="shared" si="14"/>
        <v>307781.02922871296</v>
      </c>
      <c r="Q69" s="79">
        <v>15.8</v>
      </c>
      <c r="R69" s="79">
        <v>10.8</v>
      </c>
      <c r="S69" s="49">
        <f t="shared" si="17"/>
        <v>0.33214559749419276</v>
      </c>
      <c r="T69" s="49">
        <f t="shared" si="18"/>
        <v>1.1482887308219833</v>
      </c>
    </row>
    <row r="70" spans="1:20" x14ac:dyDescent="0.25">
      <c r="A70">
        <f t="shared" si="5"/>
        <v>1980</v>
      </c>
      <c r="B70" s="2">
        <v>0.95199999999999996</v>
      </c>
      <c r="C70" s="2">
        <v>0.29199999999999998</v>
      </c>
      <c r="D70" s="3">
        <f t="shared" si="0"/>
        <v>47.123999999999995</v>
      </c>
      <c r="E70" s="3">
        <f t="shared" si="1"/>
        <v>9.3732000000000006</v>
      </c>
      <c r="F70" s="4">
        <f t="shared" si="6"/>
        <v>462181.38870640338</v>
      </c>
      <c r="G70" s="4">
        <f t="shared" si="2"/>
        <v>21779.835761400551</v>
      </c>
      <c r="H70" s="4">
        <f t="shared" si="3"/>
        <v>4332.11859262286</v>
      </c>
      <c r="J70" s="6">
        <f t="shared" si="4"/>
        <v>3.7750800000000049</v>
      </c>
      <c r="M70" s="4">
        <v>138127</v>
      </c>
      <c r="N70" s="70">
        <f t="shared" si="13"/>
        <v>70.114114636549346</v>
      </c>
      <c r="O70" s="4">
        <f t="shared" si="14"/>
        <v>324054.38870640338</v>
      </c>
      <c r="Q70" s="79">
        <v>15.9</v>
      </c>
      <c r="R70" s="79">
        <v>11</v>
      </c>
      <c r="S70" s="49">
        <f t="shared" si="17"/>
        <v>0.33740769034886686</v>
      </c>
      <c r="T70" s="49">
        <f t="shared" si="18"/>
        <v>1.1735586565953995</v>
      </c>
    </row>
    <row r="71" spans="1:20" x14ac:dyDescent="0.25">
      <c r="A71">
        <f t="shared" si="5"/>
        <v>1981</v>
      </c>
      <c r="B71" s="2">
        <v>0.95399999999999996</v>
      </c>
      <c r="C71" s="2">
        <v>0.28899999999999998</v>
      </c>
      <c r="D71" s="3">
        <f t="shared" si="0"/>
        <v>47.222999999999999</v>
      </c>
      <c r="E71" s="3">
        <f t="shared" si="1"/>
        <v>9.2768999999999995</v>
      </c>
      <c r="F71" s="4">
        <f t="shared" si="6"/>
        <v>479629.10587518109</v>
      </c>
      <c r="G71" s="4">
        <f t="shared" si="2"/>
        <v>22649.525266743676</v>
      </c>
      <c r="H71" s="4">
        <f t="shared" si="3"/>
        <v>4449.4712522934678</v>
      </c>
      <c r="J71" s="6">
        <f t="shared" si="4"/>
        <v>3.7946100000000045</v>
      </c>
      <c r="M71" s="4">
        <v>138839</v>
      </c>
      <c r="N71" s="70">
        <f t="shared" si="13"/>
        <v>71.052840976641747</v>
      </c>
      <c r="O71" s="4">
        <f t="shared" si="14"/>
        <v>340790.10587518109</v>
      </c>
      <c r="Q71" s="79">
        <v>16</v>
      </c>
      <c r="R71" s="79">
        <v>10.9</v>
      </c>
      <c r="S71" s="49">
        <f t="shared" si="17"/>
        <v>0.33881794888084199</v>
      </c>
      <c r="T71" s="49">
        <f t="shared" si="18"/>
        <v>1.1749614634198926</v>
      </c>
    </row>
    <row r="72" spans="1:20" x14ac:dyDescent="0.25">
      <c r="A72">
        <f t="shared" si="5"/>
        <v>1982</v>
      </c>
      <c r="B72" s="2">
        <v>0.95099999999999996</v>
      </c>
      <c r="C72" s="2">
        <v>0.28399999999999997</v>
      </c>
      <c r="D72" s="3">
        <f t="shared" ref="D72:D121" si="19">B72*$D$6</f>
        <v>47.0745</v>
      </c>
      <c r="E72" s="3">
        <f t="shared" ref="E72:E121" si="20">C72*$E$6</f>
        <v>9.1163999999999987</v>
      </c>
      <c r="F72" s="4">
        <f t="shared" si="6"/>
        <v>497829.15988963132</v>
      </c>
      <c r="G72" s="4">
        <f t="shared" ref="G72:G121" si="21">F72*D72/1000</f>
        <v>23435.05878722445</v>
      </c>
      <c r="H72" s="4">
        <f t="shared" ref="H72:H121" si="22">E72*F72/1000</f>
        <v>4538.4097532178339</v>
      </c>
      <c r="J72" s="6">
        <f t="shared" ref="J72:J129" si="23">100 *(F73-F72) / F72</f>
        <v>3.7958100000000048</v>
      </c>
      <c r="M72" s="4">
        <v>139604</v>
      </c>
      <c r="N72" s="70">
        <f t="shared" si="13"/>
        <v>71.957448207543692</v>
      </c>
      <c r="O72" s="4">
        <f t="shared" si="14"/>
        <v>358225.15988963132</v>
      </c>
      <c r="Q72" s="79">
        <v>16.600000000000001</v>
      </c>
      <c r="R72" s="79">
        <v>10.7</v>
      </c>
      <c r="S72" s="49">
        <f t="shared" si="17"/>
        <v>0.35263252928868072</v>
      </c>
      <c r="T72" s="49">
        <f t="shared" si="18"/>
        <v>1.1737089201877935</v>
      </c>
    </row>
    <row r="73" spans="1:20" x14ac:dyDescent="0.25">
      <c r="A73">
        <f t="shared" ref="A73:A122" si="24">A72+1</f>
        <v>1983</v>
      </c>
      <c r="B73" s="2">
        <v>0.94699999999999995</v>
      </c>
      <c r="C73" s="2">
        <v>0.27400000000000002</v>
      </c>
      <c r="D73" s="3">
        <f t="shared" si="19"/>
        <v>46.8765</v>
      </c>
      <c r="E73" s="3">
        <f t="shared" si="20"/>
        <v>8.7954000000000008</v>
      </c>
      <c r="F73" s="4">
        <f t="shared" ref="F73:F121" si="25">F72+G72-H72+I72</f>
        <v>516725.80892363796</v>
      </c>
      <c r="G73" s="4">
        <f t="shared" si="21"/>
        <v>24222.297382008914</v>
      </c>
      <c r="H73" s="4">
        <f t="shared" si="22"/>
        <v>4544.8101798069656</v>
      </c>
      <c r="J73" s="6">
        <f t="shared" si="23"/>
        <v>3.8081099999999815</v>
      </c>
      <c r="M73" s="4">
        <v>140530</v>
      </c>
      <c r="N73" s="70">
        <f t="shared" si="13"/>
        <v>72.803758284740979</v>
      </c>
      <c r="O73" s="4">
        <f t="shared" si="14"/>
        <v>376195.80892363796</v>
      </c>
      <c r="Q73" s="79">
        <v>17.5</v>
      </c>
      <c r="R73" s="79">
        <v>11</v>
      </c>
      <c r="S73" s="49">
        <f t="shared" si="17"/>
        <v>0.37332138704894774</v>
      </c>
      <c r="T73" s="49">
        <f t="shared" si="18"/>
        <v>1.2506537508242943</v>
      </c>
    </row>
    <row r="74" spans="1:20" x14ac:dyDescent="0.25">
      <c r="A74">
        <f t="shared" si="24"/>
        <v>1984</v>
      </c>
      <c r="B74" s="2">
        <v>0.94</v>
      </c>
      <c r="C74" s="2">
        <v>0.25600000000000001</v>
      </c>
      <c r="D74" s="3">
        <f t="shared" si="19"/>
        <v>46.529999999999994</v>
      </c>
      <c r="E74" s="3">
        <f t="shared" si="20"/>
        <v>8.2176000000000009</v>
      </c>
      <c r="F74" s="4">
        <f t="shared" si="25"/>
        <v>536403.29612583981</v>
      </c>
      <c r="G74" s="4">
        <f t="shared" si="21"/>
        <v>24958.845368735325</v>
      </c>
      <c r="H74" s="4">
        <f t="shared" si="22"/>
        <v>4407.9477262437022</v>
      </c>
      <c r="J74" s="6">
        <f t="shared" si="23"/>
        <v>3.8312399999999989</v>
      </c>
      <c r="M74" s="4">
        <v>141583</v>
      </c>
      <c r="N74" s="70">
        <f t="shared" si="13"/>
        <v>73.605121179795148</v>
      </c>
      <c r="O74" s="4">
        <f t="shared" si="14"/>
        <v>394820.29612583981</v>
      </c>
      <c r="Q74" s="79">
        <v>16.899999999999999</v>
      </c>
      <c r="R74" s="79">
        <v>11.6</v>
      </c>
      <c r="S74" s="49">
        <f t="shared" si="17"/>
        <v>0.36320653341929937</v>
      </c>
      <c r="T74" s="49">
        <f t="shared" si="18"/>
        <v>1.4116043613707163</v>
      </c>
    </row>
    <row r="75" spans="1:20" x14ac:dyDescent="0.25">
      <c r="A75">
        <f t="shared" si="24"/>
        <v>1985</v>
      </c>
      <c r="B75" s="2">
        <v>0.92700000000000005</v>
      </c>
      <c r="C75" s="2">
        <v>0.24299999999999999</v>
      </c>
      <c r="D75" s="3">
        <f t="shared" si="19"/>
        <v>45.886500000000005</v>
      </c>
      <c r="E75" s="3">
        <f t="shared" si="20"/>
        <v>7.8003</v>
      </c>
      <c r="F75" s="4">
        <f t="shared" si="25"/>
        <v>556954.19376833143</v>
      </c>
      <c r="G75" s="4">
        <f t="shared" si="21"/>
        <v>25556.678612350541</v>
      </c>
      <c r="H75" s="4">
        <f t="shared" si="22"/>
        <v>4344.4097976511157</v>
      </c>
      <c r="J75" s="6">
        <f t="shared" si="23"/>
        <v>3.808619999999991</v>
      </c>
      <c r="M75" s="4">
        <v>142539</v>
      </c>
      <c r="N75" s="70">
        <f t="shared" si="13"/>
        <v>74.407410592317035</v>
      </c>
      <c r="O75" s="4">
        <f t="shared" si="14"/>
        <v>414415.19376833143</v>
      </c>
      <c r="Q75" s="79">
        <v>16.600000000000001</v>
      </c>
      <c r="R75" s="79">
        <v>11.3</v>
      </c>
      <c r="S75" s="49">
        <f t="shared" si="17"/>
        <v>0.36176217405990868</v>
      </c>
      <c r="T75" s="49">
        <f t="shared" si="18"/>
        <v>1.4486622309398358</v>
      </c>
    </row>
    <row r="76" spans="1:20" x14ac:dyDescent="0.25">
      <c r="A76">
        <f t="shared" si="24"/>
        <v>1986</v>
      </c>
      <c r="B76" s="2">
        <v>0.90900000000000003</v>
      </c>
      <c r="C76" s="2">
        <v>0.23200000000000001</v>
      </c>
      <c r="D76" s="3">
        <f t="shared" si="19"/>
        <v>44.9955</v>
      </c>
      <c r="E76" s="3">
        <f t="shared" si="20"/>
        <v>7.4472000000000005</v>
      </c>
      <c r="F76" s="4">
        <f t="shared" si="25"/>
        <v>578166.46258303081</v>
      </c>
      <c r="G76" s="4">
        <f t="shared" si="21"/>
        <v>26014.88906715476</v>
      </c>
      <c r="H76" s="4">
        <f t="shared" si="22"/>
        <v>4305.7212801483465</v>
      </c>
      <c r="J76" s="6">
        <f t="shared" si="23"/>
        <v>3.7548299999999899</v>
      </c>
      <c r="M76" s="4">
        <v>143528</v>
      </c>
      <c r="N76" s="70">
        <f t="shared" si="13"/>
        <v>75.175315538232582</v>
      </c>
      <c r="O76" s="4">
        <f t="shared" si="14"/>
        <v>434638.46258303081</v>
      </c>
      <c r="Q76" s="79">
        <v>17.2</v>
      </c>
      <c r="R76" s="79">
        <v>10.4</v>
      </c>
      <c r="S76" s="49">
        <f t="shared" si="17"/>
        <v>0.38226044826704891</v>
      </c>
      <c r="T76" s="49">
        <f t="shared" si="18"/>
        <v>1.396498012675905</v>
      </c>
    </row>
    <row r="77" spans="1:20" x14ac:dyDescent="0.25">
      <c r="A77">
        <f t="shared" si="24"/>
        <v>1987</v>
      </c>
      <c r="B77" s="2">
        <v>0.88700000000000001</v>
      </c>
      <c r="C77" s="2">
        <v>0.22500000000000001</v>
      </c>
      <c r="D77" s="3">
        <f t="shared" si="19"/>
        <v>43.906500000000001</v>
      </c>
      <c r="E77" s="3">
        <f t="shared" si="20"/>
        <v>7.2225000000000001</v>
      </c>
      <c r="F77" s="4">
        <f t="shared" si="25"/>
        <v>599875.63037003716</v>
      </c>
      <c r="G77" s="4">
        <f t="shared" si="21"/>
        <v>26338.439364842037</v>
      </c>
      <c r="H77" s="4">
        <f t="shared" si="22"/>
        <v>4332.6017403475935</v>
      </c>
      <c r="J77" s="6">
        <f t="shared" si="23"/>
        <v>3.6684000000000014</v>
      </c>
      <c r="M77" s="4">
        <v>144784</v>
      </c>
      <c r="N77" s="70">
        <f t="shared" si="13"/>
        <v>75.864330426177006</v>
      </c>
      <c r="O77" s="4">
        <f t="shared" si="14"/>
        <v>455091.63037003716</v>
      </c>
      <c r="Q77" s="79">
        <v>17.2</v>
      </c>
      <c r="R77" s="79">
        <v>10.5</v>
      </c>
      <c r="S77" s="49">
        <f t="shared" si="17"/>
        <v>0.39174154168517189</v>
      </c>
      <c r="T77" s="49">
        <f t="shared" si="18"/>
        <v>1.4537902388369677</v>
      </c>
    </row>
    <row r="78" spans="1:20" x14ac:dyDescent="0.25">
      <c r="A78">
        <f t="shared" si="24"/>
        <v>1988</v>
      </c>
      <c r="B78" s="2">
        <v>0.86799999999999999</v>
      </c>
      <c r="C78" s="2">
        <v>0.215</v>
      </c>
      <c r="D78" s="3">
        <f t="shared" si="19"/>
        <v>42.966000000000001</v>
      </c>
      <c r="E78" s="3">
        <f t="shared" si="20"/>
        <v>6.9015000000000004</v>
      </c>
      <c r="F78" s="4">
        <f t="shared" si="25"/>
        <v>621881.46799453162</v>
      </c>
      <c r="G78" s="4">
        <f t="shared" si="21"/>
        <v>26719.759153853047</v>
      </c>
      <c r="H78" s="4">
        <f t="shared" si="22"/>
        <v>4291.9149513642606</v>
      </c>
      <c r="J78" s="6">
        <f t="shared" si="23"/>
        <v>3.6064499999999988</v>
      </c>
      <c r="M78" s="4">
        <v>145988</v>
      </c>
      <c r="N78" s="70">
        <f t="shared" si="13"/>
        <v>76.52478687445246</v>
      </c>
      <c r="O78" s="4">
        <f t="shared" si="14"/>
        <v>475893.46799453162</v>
      </c>
      <c r="Q78" s="79">
        <v>16</v>
      </c>
      <c r="R78" s="79">
        <v>10.7</v>
      </c>
      <c r="S78" s="49">
        <f t="shared" si="17"/>
        <v>0.37238746916166271</v>
      </c>
      <c r="T78" s="49">
        <f t="shared" si="18"/>
        <v>1.5503875968992247</v>
      </c>
    </row>
    <row r="79" spans="1:20" x14ac:dyDescent="0.25">
      <c r="A79">
        <f t="shared" si="24"/>
        <v>1989</v>
      </c>
      <c r="B79" s="2">
        <v>0.83799999999999997</v>
      </c>
      <c r="C79" s="2">
        <v>0.20799999999999999</v>
      </c>
      <c r="D79" s="3">
        <f t="shared" si="19"/>
        <v>41.481000000000002</v>
      </c>
      <c r="E79" s="3">
        <f t="shared" si="20"/>
        <v>6.6768000000000001</v>
      </c>
      <c r="F79" s="4">
        <f t="shared" si="25"/>
        <v>644309.31219702039</v>
      </c>
      <c r="G79" s="4">
        <f t="shared" si="21"/>
        <v>26726.594579244604</v>
      </c>
      <c r="H79" s="4">
        <f t="shared" si="22"/>
        <v>4301.9244156770656</v>
      </c>
      <c r="J79" s="6">
        <f t="shared" si="23"/>
        <v>3.4804199999999983</v>
      </c>
      <c r="M79" s="4">
        <v>147022</v>
      </c>
      <c r="N79" s="70">
        <f t="shared" si="13"/>
        <v>77.181456605264344</v>
      </c>
      <c r="O79" s="4">
        <f t="shared" si="14"/>
        <v>497287.31219702039</v>
      </c>
      <c r="Q79" s="79">
        <v>14.6</v>
      </c>
      <c r="R79" s="79">
        <v>10.7</v>
      </c>
      <c r="S79" s="49">
        <f t="shared" si="17"/>
        <v>0.35196837106144979</v>
      </c>
      <c r="T79" s="49">
        <f t="shared" si="18"/>
        <v>1.6025641025641024</v>
      </c>
    </row>
    <row r="80" spans="1:20" x14ac:dyDescent="0.25">
      <c r="A80">
        <f t="shared" si="24"/>
        <v>1990</v>
      </c>
      <c r="B80" s="2">
        <v>0.81</v>
      </c>
      <c r="C80" s="2">
        <v>0.20300000000000001</v>
      </c>
      <c r="D80" s="3">
        <f t="shared" si="19"/>
        <v>40.095000000000006</v>
      </c>
      <c r="E80" s="3">
        <f t="shared" si="20"/>
        <v>6.5163000000000011</v>
      </c>
      <c r="F80" s="4">
        <f t="shared" si="25"/>
        <v>666733.98236058792</v>
      </c>
      <c r="G80" s="4">
        <f t="shared" si="21"/>
        <v>26732.699022747776</v>
      </c>
      <c r="H80" s="4">
        <f t="shared" si="22"/>
        <v>4344.6386492563006</v>
      </c>
      <c r="J80" s="6">
        <f t="shared" si="23"/>
        <v>3.3578700000000028</v>
      </c>
      <c r="M80" s="4">
        <v>147662</v>
      </c>
      <c r="N80" s="70">
        <f t="shared" si="13"/>
        <v>77.852936267445216</v>
      </c>
      <c r="O80" s="4">
        <f t="shared" si="14"/>
        <v>519071.98236058792</v>
      </c>
      <c r="Q80" s="79">
        <v>13.4</v>
      </c>
      <c r="R80" s="79">
        <v>11.2</v>
      </c>
      <c r="S80" s="49">
        <f t="shared" si="17"/>
        <v>0.33420626013218602</v>
      </c>
      <c r="T80" s="49">
        <f t="shared" si="18"/>
        <v>1.7187667848318828</v>
      </c>
    </row>
    <row r="81" spans="1:20" x14ac:dyDescent="0.25">
      <c r="A81">
        <f t="shared" si="24"/>
        <v>1991</v>
      </c>
      <c r="B81" s="2">
        <v>0.78100000000000003</v>
      </c>
      <c r="C81" s="2">
        <v>0.19500000000000001</v>
      </c>
      <c r="D81" s="3">
        <f t="shared" si="19"/>
        <v>38.659500000000001</v>
      </c>
      <c r="E81" s="3">
        <f t="shared" si="20"/>
        <v>6.2595000000000001</v>
      </c>
      <c r="F81" s="4">
        <f t="shared" si="25"/>
        <v>689122.04273407941</v>
      </c>
      <c r="G81" s="4">
        <f t="shared" si="21"/>
        <v>26641.113611078144</v>
      </c>
      <c r="H81" s="4">
        <f t="shared" si="22"/>
        <v>4313.55942649397</v>
      </c>
      <c r="J81" s="6">
        <f t="shared" si="23"/>
        <v>3.2400000000000011</v>
      </c>
      <c r="M81" s="4">
        <v>148164</v>
      </c>
      <c r="N81" s="70">
        <f t="shared" si="13"/>
        <v>78.499599372534661</v>
      </c>
      <c r="O81" s="4">
        <f t="shared" si="14"/>
        <v>540958.04273407941</v>
      </c>
      <c r="Q81" s="80">
        <v>12.1</v>
      </c>
      <c r="R81" s="80">
        <v>11.4</v>
      </c>
      <c r="S81" s="49">
        <f t="shared" si="17"/>
        <v>0.31298904538341155</v>
      </c>
      <c r="T81" s="49">
        <f t="shared" si="18"/>
        <v>1.8212317277737839</v>
      </c>
    </row>
    <row r="82" spans="1:20" x14ac:dyDescent="0.25">
      <c r="A82">
        <f t="shared" si="24"/>
        <v>1992</v>
      </c>
      <c r="B82" s="2">
        <v>0.76900000000000002</v>
      </c>
      <c r="C82" s="2">
        <v>0.185</v>
      </c>
      <c r="D82" s="3">
        <f t="shared" si="19"/>
        <v>38.0655</v>
      </c>
      <c r="E82" s="3">
        <f t="shared" si="20"/>
        <v>5.9385000000000003</v>
      </c>
      <c r="F82" s="4">
        <f t="shared" si="25"/>
        <v>711449.59691866359</v>
      </c>
      <c r="G82" s="4">
        <f t="shared" si="21"/>
        <v>27081.684631507389</v>
      </c>
      <c r="H82" s="4">
        <f t="shared" si="22"/>
        <v>4224.9434313014835</v>
      </c>
      <c r="J82" s="6">
        <f t="shared" si="23"/>
        <v>3.212699999999995</v>
      </c>
      <c r="M82" s="4">
        <v>148326</v>
      </c>
      <c r="N82" s="70">
        <f t="shared" si="13"/>
        <v>79.151580007577493</v>
      </c>
      <c r="O82" s="4">
        <f t="shared" si="14"/>
        <v>563123.59691866359</v>
      </c>
      <c r="Q82" s="80">
        <v>10.7</v>
      </c>
      <c r="R82" s="80">
        <v>12.2</v>
      </c>
      <c r="S82" s="49">
        <f t="shared" si="17"/>
        <v>0.28109442933890266</v>
      </c>
      <c r="T82" s="49">
        <f t="shared" si="18"/>
        <v>2.0543908394375681</v>
      </c>
    </row>
    <row r="83" spans="1:20" x14ac:dyDescent="0.25">
      <c r="A83">
        <f t="shared" si="24"/>
        <v>1993</v>
      </c>
      <c r="B83" s="2">
        <v>0.76100000000000001</v>
      </c>
      <c r="C83" s="2">
        <v>0.18</v>
      </c>
      <c r="D83" s="3">
        <f t="shared" si="19"/>
        <v>37.669499999999999</v>
      </c>
      <c r="E83" s="3">
        <f t="shared" si="20"/>
        <v>5.7780000000000005</v>
      </c>
      <c r="F83" s="4">
        <f t="shared" si="25"/>
        <v>734306.33811886946</v>
      </c>
      <c r="G83" s="4">
        <f t="shared" si="21"/>
        <v>27660.95260376875</v>
      </c>
      <c r="H83" s="4">
        <f t="shared" si="22"/>
        <v>4242.822021650828</v>
      </c>
      <c r="J83" s="6">
        <f t="shared" si="23"/>
        <v>3.1891500000000019</v>
      </c>
      <c r="M83" s="4">
        <v>148295</v>
      </c>
      <c r="N83" s="70">
        <f t="shared" si="13"/>
        <v>79.804750101994344</v>
      </c>
      <c r="O83" s="4">
        <f t="shared" si="14"/>
        <v>586011.33811886946</v>
      </c>
      <c r="Q83" s="80">
        <v>9.4</v>
      </c>
      <c r="R83" s="80">
        <v>14.5</v>
      </c>
      <c r="S83" s="49">
        <f t="shared" si="17"/>
        <v>0.2495387515098422</v>
      </c>
      <c r="T83" s="49">
        <f t="shared" si="18"/>
        <v>2.5095188646590514</v>
      </c>
    </row>
    <row r="84" spans="1:20" x14ac:dyDescent="0.25">
      <c r="A84">
        <f t="shared" si="24"/>
        <v>1994</v>
      </c>
      <c r="B84" s="2">
        <v>0.75800000000000001</v>
      </c>
      <c r="C84" s="2">
        <v>0.17599999999999999</v>
      </c>
      <c r="D84" s="3">
        <f t="shared" si="19"/>
        <v>37.521000000000001</v>
      </c>
      <c r="E84" s="3">
        <f t="shared" si="20"/>
        <v>5.6495999999999995</v>
      </c>
      <c r="F84" s="4">
        <f t="shared" si="25"/>
        <v>757724.4687009874</v>
      </c>
      <c r="G84" s="4">
        <f t="shared" si="21"/>
        <v>28430.579790129748</v>
      </c>
      <c r="H84" s="4">
        <f t="shared" si="22"/>
        <v>4280.8401583730974</v>
      </c>
      <c r="J84" s="6">
        <f t="shared" si="23"/>
        <v>3.1871400000000034</v>
      </c>
      <c r="M84" s="4">
        <v>147997</v>
      </c>
      <c r="N84" s="70">
        <f t="shared" si="13"/>
        <v>80.468230060760717</v>
      </c>
      <c r="O84" s="4">
        <f t="shared" si="14"/>
        <v>609727.4687009874</v>
      </c>
      <c r="Q84" s="80">
        <v>9.6</v>
      </c>
      <c r="R84" s="80">
        <v>15.7</v>
      </c>
      <c r="S84" s="49">
        <f t="shared" si="17"/>
        <v>0.25585672023666745</v>
      </c>
      <c r="T84" s="49">
        <f t="shared" si="18"/>
        <v>2.7789578023222883</v>
      </c>
    </row>
    <row r="85" spans="1:20" x14ac:dyDescent="0.25">
      <c r="A85">
        <f t="shared" si="24"/>
        <v>1995</v>
      </c>
      <c r="B85" s="2">
        <v>0.75600000000000001</v>
      </c>
      <c r="C85" s="2">
        <v>0.17100000000000001</v>
      </c>
      <c r="D85" s="3">
        <f t="shared" si="19"/>
        <v>37.421999999999997</v>
      </c>
      <c r="E85" s="3">
        <f t="shared" si="20"/>
        <v>5.4891000000000005</v>
      </c>
      <c r="F85" s="4">
        <f t="shared" si="25"/>
        <v>781874.20833274408</v>
      </c>
      <c r="G85" s="4">
        <f t="shared" si="21"/>
        <v>29259.296624227944</v>
      </c>
      <c r="H85" s="4">
        <f t="shared" si="22"/>
        <v>4291.7857169592662</v>
      </c>
      <c r="J85" s="6">
        <f t="shared" si="23"/>
        <v>3.1932899999999917</v>
      </c>
      <c r="M85" s="4">
        <v>147938</v>
      </c>
      <c r="N85" s="70">
        <f t="shared" si="13"/>
        <v>81.079053583892915</v>
      </c>
      <c r="O85" s="4">
        <f t="shared" si="14"/>
        <v>633936.20833274408</v>
      </c>
      <c r="Q85" s="80">
        <v>9.3000000000000007</v>
      </c>
      <c r="R85" s="80">
        <v>15</v>
      </c>
      <c r="S85" s="49">
        <f t="shared" si="17"/>
        <v>0.24851691518358188</v>
      </c>
      <c r="T85" s="49">
        <f t="shared" si="18"/>
        <v>2.7326884188664806</v>
      </c>
    </row>
    <row r="86" spans="1:20" x14ac:dyDescent="0.25">
      <c r="A86">
        <f t="shared" si="24"/>
        <v>1996</v>
      </c>
      <c r="B86" s="2">
        <v>0.76100000000000001</v>
      </c>
      <c r="C86" s="2">
        <v>0.16600000000000001</v>
      </c>
      <c r="D86" s="3">
        <f t="shared" si="19"/>
        <v>37.669499999999999</v>
      </c>
      <c r="E86" s="3">
        <f t="shared" si="20"/>
        <v>5.3286000000000007</v>
      </c>
      <c r="F86" s="4">
        <f t="shared" si="25"/>
        <v>806841.7192400127</v>
      </c>
      <c r="G86" s="4">
        <f t="shared" si="21"/>
        <v>30393.324142911657</v>
      </c>
      <c r="H86" s="4">
        <f t="shared" si="22"/>
        <v>4299.3367851423327</v>
      </c>
      <c r="J86" s="6">
        <f t="shared" si="23"/>
        <v>3.2340900000000086</v>
      </c>
      <c r="M86" s="4">
        <v>147609</v>
      </c>
      <c r="N86" s="70">
        <f t="shared" si="13"/>
        <v>81.705333712907517</v>
      </c>
      <c r="O86" s="4">
        <f t="shared" si="14"/>
        <v>659232.7192400127</v>
      </c>
      <c r="Q86" s="80">
        <v>8.9</v>
      </c>
      <c r="R86" s="80">
        <v>14.2</v>
      </c>
      <c r="S86" s="49">
        <f t="shared" si="17"/>
        <v>0.23626541366357398</v>
      </c>
      <c r="T86" s="49">
        <f t="shared" si="18"/>
        <v>2.6648650677476255</v>
      </c>
    </row>
    <row r="87" spans="1:20" x14ac:dyDescent="0.25">
      <c r="A87">
        <f t="shared" si="24"/>
        <v>1997</v>
      </c>
      <c r="B87" s="2">
        <v>0.755</v>
      </c>
      <c r="C87" s="2">
        <v>0.16300000000000001</v>
      </c>
      <c r="D87" s="3">
        <f t="shared" si="19"/>
        <v>37.372500000000002</v>
      </c>
      <c r="E87" s="3">
        <f t="shared" si="20"/>
        <v>5.2323000000000004</v>
      </c>
      <c r="F87" s="4">
        <f t="shared" si="25"/>
        <v>832935.70659778209</v>
      </c>
      <c r="G87" s="4">
        <f t="shared" si="21"/>
        <v>31128.889694825612</v>
      </c>
      <c r="H87" s="4">
        <f t="shared" si="22"/>
        <v>4358.1694976315757</v>
      </c>
      <c r="J87" s="6">
        <f t="shared" si="23"/>
        <v>3.2140199999999983</v>
      </c>
      <c r="M87" s="4">
        <v>147137</v>
      </c>
      <c r="N87" s="70">
        <f t="shared" si="13"/>
        <v>82.335131171048317</v>
      </c>
      <c r="O87" s="4">
        <f t="shared" si="14"/>
        <v>685798.70659778209</v>
      </c>
      <c r="Q87" s="80">
        <v>8.6</v>
      </c>
      <c r="R87" s="80">
        <v>13.7</v>
      </c>
      <c r="S87" s="49">
        <f t="shared" si="17"/>
        <v>0.23011572680446851</v>
      </c>
      <c r="T87" s="49">
        <f t="shared" si="18"/>
        <v>2.6183513942243368</v>
      </c>
    </row>
    <row r="88" spans="1:20" x14ac:dyDescent="0.25">
      <c r="A88">
        <f t="shared" si="24"/>
        <v>1998</v>
      </c>
      <c r="B88" s="2">
        <v>0.74299999999999999</v>
      </c>
      <c r="C88" s="2">
        <v>0.16</v>
      </c>
      <c r="D88" s="3">
        <f t="shared" si="19"/>
        <v>36.778500000000001</v>
      </c>
      <c r="E88" s="3">
        <f t="shared" si="20"/>
        <v>5.1360000000000001</v>
      </c>
      <c r="F88" s="4">
        <f t="shared" si="25"/>
        <v>859706.42679497611</v>
      </c>
      <c r="G88" s="4">
        <f t="shared" si="21"/>
        <v>31618.71281787903</v>
      </c>
      <c r="H88" s="4">
        <f t="shared" si="22"/>
        <v>4415.4522080189981</v>
      </c>
      <c r="J88" s="6">
        <f t="shared" si="23"/>
        <v>3.164250000000004</v>
      </c>
      <c r="M88" s="4">
        <v>147802.1</v>
      </c>
      <c r="N88" s="70">
        <f t="shared" si="13"/>
        <v>82.807840514696068</v>
      </c>
      <c r="O88" s="4">
        <f t="shared" si="14"/>
        <v>711904.32679497614</v>
      </c>
      <c r="Q88" s="80">
        <v>8.8000000000000007</v>
      </c>
      <c r="R88" s="80">
        <v>13.6</v>
      </c>
      <c r="S88" s="49">
        <f t="shared" si="17"/>
        <v>0.23927022581127563</v>
      </c>
      <c r="T88" s="49">
        <f t="shared" si="18"/>
        <v>2.64797507788162</v>
      </c>
    </row>
    <row r="89" spans="1:20" x14ac:dyDescent="0.25">
      <c r="A89">
        <f t="shared" si="24"/>
        <v>1999</v>
      </c>
      <c r="B89" s="2">
        <v>0.72599999999999998</v>
      </c>
      <c r="C89" s="2">
        <v>0.159</v>
      </c>
      <c r="D89" s="3">
        <f t="shared" si="19"/>
        <v>35.936999999999998</v>
      </c>
      <c r="E89" s="3">
        <f t="shared" si="20"/>
        <v>5.1039000000000003</v>
      </c>
      <c r="F89" s="4">
        <f t="shared" si="25"/>
        <v>886909.68740483618</v>
      </c>
      <c r="G89" s="4">
        <f t="shared" si="21"/>
        <v>31872.873436267597</v>
      </c>
      <c r="H89" s="4">
        <f t="shared" si="22"/>
        <v>4526.6983535455438</v>
      </c>
      <c r="J89" s="6">
        <f t="shared" si="23"/>
        <v>3.0833100000000049</v>
      </c>
      <c r="M89" s="4">
        <v>147539.4</v>
      </c>
      <c r="N89" s="70">
        <f t="shared" si="13"/>
        <v>83.36477748577633</v>
      </c>
      <c r="O89" s="4">
        <f t="shared" si="14"/>
        <v>739370.28740483616</v>
      </c>
      <c r="Q89" s="80">
        <v>8.3000000000000007</v>
      </c>
      <c r="R89" s="80">
        <v>14.7</v>
      </c>
      <c r="S89" s="49">
        <f t="shared" si="17"/>
        <v>0.23095973509196654</v>
      </c>
      <c r="T89" s="49">
        <f t="shared" si="18"/>
        <v>2.8801504731675776</v>
      </c>
    </row>
    <row r="90" spans="1:20" x14ac:dyDescent="0.25">
      <c r="A90">
        <f t="shared" si="24"/>
        <v>2000</v>
      </c>
      <c r="B90" s="2">
        <v>0.70499999999999996</v>
      </c>
      <c r="C90" s="2">
        <v>0.16</v>
      </c>
      <c r="D90" s="3">
        <f t="shared" si="19"/>
        <v>34.897500000000001</v>
      </c>
      <c r="E90" s="3">
        <f t="shared" si="20"/>
        <v>5.1360000000000001</v>
      </c>
      <c r="F90" s="4">
        <f t="shared" si="25"/>
        <v>914255.86248755828</v>
      </c>
      <c r="G90" s="4">
        <f t="shared" si="21"/>
        <v>31905.243961159566</v>
      </c>
      <c r="H90" s="4">
        <f t="shared" si="22"/>
        <v>4695.6181097360995</v>
      </c>
      <c r="J90" s="6">
        <f t="shared" si="23"/>
        <v>2.9761500000000014</v>
      </c>
      <c r="M90" s="4">
        <v>146890.1</v>
      </c>
      <c r="N90" s="70">
        <f t="shared" si="13"/>
        <v>83.933370730559687</v>
      </c>
      <c r="O90" s="4">
        <f t="shared" si="14"/>
        <v>767365.7624875583</v>
      </c>
      <c r="Q90" s="80">
        <v>8.6999999999999993</v>
      </c>
      <c r="R90" s="80">
        <v>15.3</v>
      </c>
      <c r="S90" s="49">
        <f t="shared" si="17"/>
        <v>0.24930152589727056</v>
      </c>
      <c r="T90" s="49">
        <f t="shared" si="18"/>
        <v>2.9789719626168223</v>
      </c>
    </row>
    <row r="91" spans="1:20" x14ac:dyDescent="0.25">
      <c r="A91">
        <f t="shared" si="24"/>
        <v>2001</v>
      </c>
      <c r="B91" s="2">
        <v>0.67500000000000004</v>
      </c>
      <c r="C91" s="2">
        <v>0.161</v>
      </c>
      <c r="D91" s="3">
        <f t="shared" si="19"/>
        <v>33.412500000000001</v>
      </c>
      <c r="E91" s="3">
        <f t="shared" si="20"/>
        <v>5.1681000000000008</v>
      </c>
      <c r="F91" s="4">
        <f t="shared" si="25"/>
        <v>941465.48833898176</v>
      </c>
      <c r="G91" s="4">
        <f t="shared" si="21"/>
        <v>31456.715629126229</v>
      </c>
      <c r="H91" s="4">
        <f t="shared" si="22"/>
        <v>4865.5877902846923</v>
      </c>
      <c r="J91" s="6">
        <f t="shared" si="23"/>
        <v>2.8244399999999987</v>
      </c>
      <c r="M91" s="4">
        <v>146303.6</v>
      </c>
      <c r="N91" s="70">
        <f t="shared" si="13"/>
        <v>84.460014539872091</v>
      </c>
      <c r="O91" s="4">
        <f t="shared" si="14"/>
        <v>795161.88833898178</v>
      </c>
      <c r="Q91" s="80">
        <v>9</v>
      </c>
      <c r="R91" s="80">
        <v>15.6</v>
      </c>
      <c r="S91" s="49">
        <f t="shared" si="17"/>
        <v>0.26936026936026936</v>
      </c>
      <c r="T91" s="49">
        <f t="shared" si="18"/>
        <v>3.0185174435479185</v>
      </c>
    </row>
    <row r="92" spans="1:20" x14ac:dyDescent="0.25">
      <c r="A92">
        <f t="shared" si="24"/>
        <v>2002</v>
      </c>
      <c r="B92" s="2">
        <v>0.64800000000000002</v>
      </c>
      <c r="C92" s="2">
        <v>0.16300000000000001</v>
      </c>
      <c r="D92" s="3">
        <f t="shared" si="19"/>
        <v>32.076000000000001</v>
      </c>
      <c r="E92" s="3">
        <f t="shared" si="20"/>
        <v>5.2323000000000004</v>
      </c>
      <c r="F92" s="4">
        <f t="shared" si="25"/>
        <v>968056.61617782328</v>
      </c>
      <c r="G92" s="4">
        <f t="shared" si="21"/>
        <v>31051.384020519861</v>
      </c>
      <c r="H92" s="4">
        <f t="shared" si="22"/>
        <v>5065.162632827225</v>
      </c>
      <c r="J92" s="6">
        <f t="shared" si="23"/>
        <v>2.6843700000000097</v>
      </c>
      <c r="M92" s="4">
        <v>145649.29999999999</v>
      </c>
      <c r="N92" s="70">
        <f t="shared" si="13"/>
        <v>84.954464690808393</v>
      </c>
      <c r="O92" s="4">
        <f t="shared" si="14"/>
        <v>822407.31617782335</v>
      </c>
      <c r="Q92" s="80">
        <v>9.6999999999999993</v>
      </c>
      <c r="R92" s="80">
        <v>16.2</v>
      </c>
      <c r="S92" s="49">
        <f t="shared" si="17"/>
        <v>0.30240678388826536</v>
      </c>
      <c r="T92" s="49">
        <f t="shared" si="18"/>
        <v>3.0961527435353475</v>
      </c>
    </row>
    <row r="93" spans="1:20" x14ac:dyDescent="0.25">
      <c r="A93">
        <f t="shared" si="24"/>
        <v>2003</v>
      </c>
      <c r="B93" s="2">
        <v>0.61799999999999999</v>
      </c>
      <c r="C93" s="2">
        <v>0.16300000000000001</v>
      </c>
      <c r="D93" s="3">
        <f t="shared" si="19"/>
        <v>30.591000000000001</v>
      </c>
      <c r="E93" s="3">
        <f t="shared" si="20"/>
        <v>5.2323000000000004</v>
      </c>
      <c r="F93" s="4">
        <f t="shared" si="25"/>
        <v>994042.83756551601</v>
      </c>
      <c r="G93" s="4">
        <f t="shared" si="21"/>
        <v>30408.764443966702</v>
      </c>
      <c r="H93" s="4">
        <f t="shared" si="22"/>
        <v>5201.1303389940495</v>
      </c>
      <c r="J93" s="6">
        <f t="shared" si="23"/>
        <v>2.5358699999999939</v>
      </c>
      <c r="M93" s="4">
        <v>144963.6</v>
      </c>
      <c r="N93" s="70">
        <f t="shared" si="13"/>
        <v>85.416765302084315</v>
      </c>
      <c r="O93" s="4">
        <f t="shared" si="14"/>
        <v>849079.23756551603</v>
      </c>
      <c r="Q93" s="80">
        <v>10.199999999999999</v>
      </c>
      <c r="R93" s="80">
        <v>16.399999999999999</v>
      </c>
      <c r="S93" s="49">
        <f t="shared" si="17"/>
        <v>0.33343140139256638</v>
      </c>
      <c r="T93" s="49">
        <f t="shared" si="18"/>
        <v>3.1343768514802282</v>
      </c>
    </row>
    <row r="94" spans="1:20" x14ac:dyDescent="0.25">
      <c r="A94">
        <f t="shared" si="24"/>
        <v>2004</v>
      </c>
      <c r="B94" s="2">
        <v>0.59399999999999997</v>
      </c>
      <c r="C94" s="2">
        <v>0.16200000000000001</v>
      </c>
      <c r="D94" s="3">
        <f t="shared" si="19"/>
        <v>29.402999999999999</v>
      </c>
      <c r="E94" s="3">
        <f t="shared" si="20"/>
        <v>5.2002000000000006</v>
      </c>
      <c r="F94" s="4">
        <f t="shared" si="25"/>
        <v>1019250.4716704886</v>
      </c>
      <c r="G94" s="4">
        <f t="shared" si="21"/>
        <v>29969.021618527375</v>
      </c>
      <c r="H94" s="4">
        <f t="shared" si="22"/>
        <v>5300.3063027808748</v>
      </c>
      <c r="J94" s="6">
        <f t="shared" si="23"/>
        <v>2.4202799999999991</v>
      </c>
      <c r="M94" s="4">
        <v>144333.6</v>
      </c>
      <c r="N94" s="70">
        <f t="shared" si="13"/>
        <v>85.839241284485638</v>
      </c>
      <c r="O94" s="4">
        <f t="shared" si="14"/>
        <v>874916.87167048862</v>
      </c>
      <c r="Q94" s="80">
        <v>10.4</v>
      </c>
      <c r="R94" s="80">
        <v>15.9</v>
      </c>
      <c r="S94" s="49">
        <f t="shared" si="17"/>
        <v>0.35370540421045477</v>
      </c>
      <c r="T94" s="49">
        <f t="shared" si="18"/>
        <v>3.0575747086650509</v>
      </c>
    </row>
    <row r="95" spans="1:20" x14ac:dyDescent="0.25">
      <c r="A95">
        <f t="shared" si="24"/>
        <v>2005</v>
      </c>
      <c r="B95" s="2">
        <v>0.56899999999999995</v>
      </c>
      <c r="C95" s="2">
        <v>0.161</v>
      </c>
      <c r="D95" s="3">
        <f t="shared" si="19"/>
        <v>28.165499999999998</v>
      </c>
      <c r="E95" s="3">
        <f t="shared" si="20"/>
        <v>5.1681000000000008</v>
      </c>
      <c r="F95" s="4">
        <f t="shared" si="25"/>
        <v>1043919.1869862351</v>
      </c>
      <c r="G95" s="4">
        <f t="shared" si="21"/>
        <v>29402.505861060803</v>
      </c>
      <c r="H95" s="4">
        <f t="shared" si="22"/>
        <v>5395.0787502635621</v>
      </c>
      <c r="J95" s="6">
        <f t="shared" si="23"/>
        <v>2.2997399999999906</v>
      </c>
      <c r="M95" s="4">
        <v>143801</v>
      </c>
      <c r="N95" s="70">
        <f t="shared" si="13"/>
        <v>86.224891563191846</v>
      </c>
      <c r="O95" s="4">
        <f t="shared" si="14"/>
        <v>900118.18698623509</v>
      </c>
      <c r="Q95" s="80">
        <v>10.199999999999999</v>
      </c>
      <c r="R95" s="80">
        <v>16.100000000000001</v>
      </c>
      <c r="S95" s="49">
        <f t="shared" si="17"/>
        <v>0.36214517761090698</v>
      </c>
      <c r="T95" s="49">
        <f t="shared" si="18"/>
        <v>3.1152647975077881</v>
      </c>
    </row>
    <row r="96" spans="1:20" x14ac:dyDescent="0.25">
      <c r="A96">
        <f t="shared" si="24"/>
        <v>2006</v>
      </c>
      <c r="B96" s="2">
        <v>0.55700000000000005</v>
      </c>
      <c r="C96" s="2">
        <v>0.158</v>
      </c>
      <c r="D96" s="3">
        <f t="shared" si="19"/>
        <v>27.571500000000004</v>
      </c>
      <c r="E96" s="3">
        <f t="shared" si="20"/>
        <v>5.0718000000000005</v>
      </c>
      <c r="F96" s="4">
        <f t="shared" si="25"/>
        <v>1067926.6140970322</v>
      </c>
      <c r="G96" s="4">
        <f t="shared" si="21"/>
        <v>29444.33864057633</v>
      </c>
      <c r="H96" s="4">
        <f t="shared" si="22"/>
        <v>5416.3102013773287</v>
      </c>
      <c r="J96" s="6">
        <f t="shared" si="23"/>
        <v>2.2499699999999865</v>
      </c>
      <c r="M96" s="4">
        <v>143236.6</v>
      </c>
      <c r="N96" s="70">
        <f t="shared" si="13"/>
        <v>86.587411708892432</v>
      </c>
      <c r="O96" s="4">
        <f t="shared" si="14"/>
        <v>924690.01409703225</v>
      </c>
      <c r="Q96" s="80">
        <v>10.3</v>
      </c>
      <c r="R96" s="80">
        <v>15.1</v>
      </c>
      <c r="S96" s="49">
        <f t="shared" si="17"/>
        <v>0.3735741617249696</v>
      </c>
      <c r="T96" s="49">
        <f t="shared" si="18"/>
        <v>2.9772467368587088</v>
      </c>
    </row>
    <row r="97" spans="1:20" x14ac:dyDescent="0.25">
      <c r="A97">
        <f t="shared" si="24"/>
        <v>2007</v>
      </c>
      <c r="B97" s="2">
        <v>0.54700000000000004</v>
      </c>
      <c r="C97" s="2">
        <v>0.156</v>
      </c>
      <c r="D97" s="3">
        <f t="shared" si="19"/>
        <v>27.076500000000003</v>
      </c>
      <c r="E97" s="3">
        <f t="shared" si="20"/>
        <v>5.0076000000000001</v>
      </c>
      <c r="F97" s="4">
        <f t="shared" si="25"/>
        <v>1091954.6425362311</v>
      </c>
      <c r="G97" s="4">
        <f t="shared" si="21"/>
        <v>29566.309878632263</v>
      </c>
      <c r="H97" s="4">
        <f t="shared" si="22"/>
        <v>5468.072067964431</v>
      </c>
      <c r="J97" s="6">
        <f t="shared" si="23"/>
        <v>2.2068900000000005</v>
      </c>
      <c r="M97" s="4">
        <v>142862.70000000001</v>
      </c>
      <c r="N97" s="70">
        <f t="shared" si="13"/>
        <v>86.916791738878501</v>
      </c>
      <c r="O97" s="4">
        <f t="shared" si="14"/>
        <v>949091.94253623113</v>
      </c>
      <c r="Q97" s="80">
        <v>11.3</v>
      </c>
      <c r="R97" s="80">
        <v>14.6</v>
      </c>
      <c r="S97" s="49">
        <f t="shared" si="17"/>
        <v>0.41733606633058185</v>
      </c>
      <c r="T97" s="49">
        <f t="shared" si="18"/>
        <v>2.9155683361290836</v>
      </c>
    </row>
    <row r="98" spans="1:20" x14ac:dyDescent="0.25">
      <c r="A98">
        <f t="shared" si="24"/>
        <v>2008</v>
      </c>
      <c r="B98" s="2">
        <v>0.54500000000000004</v>
      </c>
      <c r="C98" s="2">
        <v>0.155</v>
      </c>
      <c r="D98" s="3">
        <f t="shared" si="19"/>
        <v>26.977500000000003</v>
      </c>
      <c r="E98" s="3">
        <f t="shared" si="20"/>
        <v>4.9755000000000003</v>
      </c>
      <c r="F98" s="4">
        <f t="shared" si="25"/>
        <v>1116052.8803468989</v>
      </c>
      <c r="G98" s="4">
        <f t="shared" si="21"/>
        <v>30108.316579558468</v>
      </c>
      <c r="H98" s="4">
        <f t="shared" si="22"/>
        <v>5552.9211061659962</v>
      </c>
      <c r="J98" s="6">
        <f t="shared" si="23"/>
        <v>2.2001999999999979</v>
      </c>
      <c r="M98" s="4">
        <v>142747.5</v>
      </c>
      <c r="N98" s="70">
        <f t="shared" si="13"/>
        <v>87.209611433856935</v>
      </c>
      <c r="O98" s="4">
        <f t="shared" si="14"/>
        <v>973305.38034689892</v>
      </c>
      <c r="Q98" s="80">
        <v>12</v>
      </c>
      <c r="R98" s="80">
        <v>14.5</v>
      </c>
      <c r="S98" s="49">
        <f t="shared" si="17"/>
        <v>0.44481512371420623</v>
      </c>
      <c r="T98" s="49">
        <f t="shared" si="18"/>
        <v>2.9142799718621242</v>
      </c>
    </row>
    <row r="99" spans="1:20" x14ac:dyDescent="0.25">
      <c r="A99">
        <f t="shared" si="24"/>
        <v>2009</v>
      </c>
      <c r="B99" s="2">
        <v>0.53400000000000003</v>
      </c>
      <c r="C99" s="2">
        <v>0.154</v>
      </c>
      <c r="D99" s="3">
        <f t="shared" si="19"/>
        <v>26.433</v>
      </c>
      <c r="E99" s="3">
        <f t="shared" si="20"/>
        <v>4.9434000000000005</v>
      </c>
      <c r="F99" s="4">
        <f t="shared" si="25"/>
        <v>1140608.2758202914</v>
      </c>
      <c r="G99" s="4">
        <f t="shared" si="21"/>
        <v>30149.698554757764</v>
      </c>
      <c r="H99" s="4">
        <f t="shared" si="22"/>
        <v>5638.4829506900296</v>
      </c>
      <c r="J99" s="6">
        <f t="shared" si="23"/>
        <v>2.1489600000000042</v>
      </c>
      <c r="M99" s="4">
        <v>142737.20000000001</v>
      </c>
      <c r="N99" s="70">
        <f t="shared" si="13"/>
        <v>87.485870212773293</v>
      </c>
      <c r="O99" s="4">
        <f t="shared" si="14"/>
        <v>997871.07582029141</v>
      </c>
      <c r="Q99" s="80">
        <v>12.3</v>
      </c>
      <c r="R99" s="80">
        <v>14.1</v>
      </c>
      <c r="S99" s="49">
        <f t="shared" si="17"/>
        <v>0.46532743161956647</v>
      </c>
      <c r="T99" s="49">
        <f t="shared" si="18"/>
        <v>2.8522878990168707</v>
      </c>
    </row>
    <row r="100" spans="1:20" x14ac:dyDescent="0.25">
      <c r="A100">
        <f t="shared" si="24"/>
        <v>2010</v>
      </c>
      <c r="B100" s="2">
        <v>0.52400000000000002</v>
      </c>
      <c r="C100" s="2">
        <v>0.153</v>
      </c>
      <c r="D100" s="3">
        <f t="shared" si="19"/>
        <v>25.938000000000002</v>
      </c>
      <c r="E100" s="3">
        <f t="shared" si="20"/>
        <v>4.9112999999999998</v>
      </c>
      <c r="F100" s="4">
        <f t="shared" si="25"/>
        <v>1165119.4914243591</v>
      </c>
      <c r="G100" s="4">
        <f t="shared" si="21"/>
        <v>30220.869368565029</v>
      </c>
      <c r="H100" s="4">
        <f t="shared" si="22"/>
        <v>5722.2513582324545</v>
      </c>
      <c r="J100" s="6">
        <f t="shared" si="23"/>
        <v>2.1026700000000003</v>
      </c>
      <c r="M100" s="4">
        <v>142833.5</v>
      </c>
      <c r="N100" s="70">
        <f t="shared" ref="N100:N110" si="26">100*O100/F100</f>
        <v>87.740871125125025</v>
      </c>
      <c r="O100" s="4">
        <f t="shared" ref="O100:O110" si="27">F100-M100</f>
        <v>1022285.9914243591</v>
      </c>
      <c r="Q100" s="80">
        <v>12.5</v>
      </c>
      <c r="R100" s="80">
        <v>14.2</v>
      </c>
      <c r="S100" s="49">
        <f t="shared" si="17"/>
        <v>0.48191842084971853</v>
      </c>
      <c r="T100" s="49">
        <f t="shared" si="18"/>
        <v>2.8912915114124571</v>
      </c>
    </row>
    <row r="101" spans="1:20" x14ac:dyDescent="0.25">
      <c r="A101">
        <f t="shared" si="24"/>
        <v>2011</v>
      </c>
      <c r="B101" s="2">
        <v>0.51300000000000001</v>
      </c>
      <c r="C101" s="2">
        <v>0.152</v>
      </c>
      <c r="D101" s="3">
        <f t="shared" si="19"/>
        <v>25.3935</v>
      </c>
      <c r="E101" s="3">
        <f t="shared" si="20"/>
        <v>4.8792</v>
      </c>
      <c r="F101" s="4">
        <f t="shared" si="25"/>
        <v>1189618.1094346917</v>
      </c>
      <c r="G101" s="4">
        <f t="shared" si="21"/>
        <v>30208.567461929844</v>
      </c>
      <c r="H101" s="4">
        <f t="shared" si="22"/>
        <v>5804.3846795537484</v>
      </c>
      <c r="J101" s="6">
        <f t="shared" si="23"/>
        <v>2.0514299999999879</v>
      </c>
      <c r="M101" s="4">
        <v>142865.4</v>
      </c>
      <c r="N101" s="70">
        <f t="shared" si="26"/>
        <v>87.990650203880136</v>
      </c>
      <c r="O101" s="4">
        <f t="shared" si="27"/>
        <v>1046752.7094346917</v>
      </c>
      <c r="Q101" s="80">
        <v>12.6</v>
      </c>
      <c r="R101" s="80">
        <v>13.5</v>
      </c>
      <c r="S101" s="49">
        <f t="shared" si="17"/>
        <v>0.4961899698741804</v>
      </c>
      <c r="T101" s="49">
        <f t="shared" si="18"/>
        <v>2.766847024102312</v>
      </c>
    </row>
    <row r="102" spans="1:20" x14ac:dyDescent="0.25">
      <c r="A102">
        <f t="shared" si="24"/>
        <v>2012</v>
      </c>
      <c r="B102" s="2">
        <v>0.504</v>
      </c>
      <c r="C102" s="2">
        <v>0.152</v>
      </c>
      <c r="D102" s="3">
        <f t="shared" si="19"/>
        <v>24.948</v>
      </c>
      <c r="E102" s="3">
        <f t="shared" si="20"/>
        <v>4.8792</v>
      </c>
      <c r="F102" s="4">
        <f t="shared" si="25"/>
        <v>1214022.2922170677</v>
      </c>
      <c r="G102" s="4">
        <f t="shared" si="21"/>
        <v>30287.428146231407</v>
      </c>
      <c r="H102" s="4">
        <f t="shared" si="22"/>
        <v>5923.4575681855167</v>
      </c>
      <c r="J102" s="6">
        <f t="shared" si="23"/>
        <v>2.0068800000000135</v>
      </c>
      <c r="M102" s="4">
        <v>143056.4</v>
      </c>
      <c r="N102" s="70">
        <f t="shared" si="26"/>
        <v>88.216328405407779</v>
      </c>
      <c r="O102" s="4">
        <f t="shared" si="27"/>
        <v>1070965.8922170678</v>
      </c>
      <c r="Q102" s="80">
        <v>13.3</v>
      </c>
      <c r="R102" s="80">
        <v>13.3</v>
      </c>
      <c r="S102" s="49">
        <f t="shared" si="17"/>
        <v>0.53310886644219979</v>
      </c>
      <c r="T102" s="49">
        <f t="shared" si="18"/>
        <v>2.7258566978193146</v>
      </c>
    </row>
    <row r="103" spans="1:20" x14ac:dyDescent="0.25">
      <c r="A103">
        <f t="shared" si="24"/>
        <v>2013</v>
      </c>
      <c r="B103" s="2">
        <v>0.49399999999999999</v>
      </c>
      <c r="C103" s="2">
        <v>0.152</v>
      </c>
      <c r="D103" s="3">
        <f t="shared" si="19"/>
        <v>24.452999999999999</v>
      </c>
      <c r="E103" s="3">
        <f t="shared" si="20"/>
        <v>4.8792</v>
      </c>
      <c r="F103" s="4">
        <f t="shared" si="25"/>
        <v>1238386.2627951137</v>
      </c>
      <c r="G103" s="4">
        <f t="shared" si="21"/>
        <v>30282.259284128915</v>
      </c>
      <c r="H103" s="4">
        <f t="shared" si="22"/>
        <v>6042.3342534299181</v>
      </c>
      <c r="J103" s="6">
        <f t="shared" si="23"/>
        <v>1.9573800000000001</v>
      </c>
      <c r="M103" s="4">
        <v>143347.1</v>
      </c>
      <c r="N103" s="70">
        <f t="shared" si="26"/>
        <v>88.424685874950129</v>
      </c>
      <c r="O103" s="4">
        <f t="shared" si="27"/>
        <v>1095039.1627951136</v>
      </c>
      <c r="Q103" s="80">
        <v>13.2</v>
      </c>
      <c r="R103" s="80">
        <v>13</v>
      </c>
      <c r="S103" s="49">
        <f t="shared" si="17"/>
        <v>0.53981106612685559</v>
      </c>
      <c r="T103" s="49">
        <f t="shared" si="18"/>
        <v>2.6643712083948188</v>
      </c>
    </row>
    <row r="104" spans="1:20" x14ac:dyDescent="0.25">
      <c r="A104">
        <f t="shared" si="24"/>
        <v>2014</v>
      </c>
      <c r="B104" s="2">
        <v>0.48499999999999999</v>
      </c>
      <c r="C104" s="2">
        <v>0.153</v>
      </c>
      <c r="D104" s="3">
        <f t="shared" si="19"/>
        <v>24.0075</v>
      </c>
      <c r="E104" s="3">
        <f t="shared" si="20"/>
        <v>4.9112999999999998</v>
      </c>
      <c r="F104" s="4">
        <f t="shared" si="25"/>
        <v>1262626.1878258127</v>
      </c>
      <c r="G104" s="4">
        <f t="shared" si="21"/>
        <v>30312.498204228199</v>
      </c>
      <c r="H104" s="4">
        <f t="shared" si="22"/>
        <v>6201.1359962689139</v>
      </c>
      <c r="J104" s="6">
        <f t="shared" si="23"/>
        <v>1.9096200000000096</v>
      </c>
      <c r="M104" s="4">
        <v>143666.9</v>
      </c>
      <c r="N104" s="70">
        <f t="shared" si="26"/>
        <v>88.621580845920192</v>
      </c>
      <c r="O104" s="4">
        <f t="shared" si="27"/>
        <v>1118959.2878258128</v>
      </c>
      <c r="Q104" s="80">
        <v>13.3</v>
      </c>
      <c r="R104" s="80">
        <v>13.1</v>
      </c>
      <c r="S104" s="49">
        <f t="shared" si="17"/>
        <v>0.55399354368426534</v>
      </c>
      <c r="T104" s="49">
        <f t="shared" si="18"/>
        <v>2.6673182253171257</v>
      </c>
    </row>
    <row r="105" spans="1:20" x14ac:dyDescent="0.25">
      <c r="A105">
        <f t="shared" si="24"/>
        <v>2015</v>
      </c>
      <c r="B105" s="2">
        <v>0.47699999999999998</v>
      </c>
      <c r="C105" s="2">
        <v>0.154</v>
      </c>
      <c r="D105" s="3">
        <f t="shared" si="19"/>
        <v>23.611499999999999</v>
      </c>
      <c r="E105" s="3">
        <f t="shared" si="20"/>
        <v>4.9434000000000005</v>
      </c>
      <c r="F105" s="4">
        <f t="shared" si="25"/>
        <v>1286737.5500337721</v>
      </c>
      <c r="G105" s="4">
        <f t="shared" si="21"/>
        <v>30381.803662622409</v>
      </c>
      <c r="H105" s="4">
        <f t="shared" si="22"/>
        <v>6360.8584048369503</v>
      </c>
      <c r="J105" s="6">
        <f t="shared" si="23"/>
        <v>1.8668100000000027</v>
      </c>
      <c r="M105" s="4">
        <v>146267.29999999999</v>
      </c>
      <c r="N105" s="70">
        <f t="shared" si="26"/>
        <v>88.632701361970746</v>
      </c>
      <c r="O105" s="4">
        <f t="shared" si="27"/>
        <v>1140470.2500337721</v>
      </c>
      <c r="Q105" s="80">
        <v>13.3</v>
      </c>
      <c r="R105" s="80">
        <v>13</v>
      </c>
      <c r="S105" s="49">
        <f t="shared" si="17"/>
        <v>0.56328484001439982</v>
      </c>
      <c r="T105" s="49">
        <f t="shared" si="18"/>
        <v>2.6297689849091714</v>
      </c>
    </row>
    <row r="106" spans="1:20" x14ac:dyDescent="0.25">
      <c r="A106">
        <f t="shared" si="24"/>
        <v>2016</v>
      </c>
      <c r="B106" s="2">
        <v>0.46899999999999997</v>
      </c>
      <c r="C106" s="2">
        <v>0.155</v>
      </c>
      <c r="D106" s="3">
        <f t="shared" si="19"/>
        <v>23.215499999999999</v>
      </c>
      <c r="E106" s="3">
        <f t="shared" si="20"/>
        <v>4.9755000000000003</v>
      </c>
      <c r="F106" s="4">
        <f t="shared" si="25"/>
        <v>1310758.4952915576</v>
      </c>
      <c r="G106" s="4">
        <f t="shared" si="21"/>
        <v>30429.913847441156</v>
      </c>
      <c r="H106" s="4">
        <f t="shared" si="22"/>
        <v>6521.6788933231446</v>
      </c>
      <c r="J106" s="6">
        <f t="shared" si="23"/>
        <v>1.8240000000000014</v>
      </c>
      <c r="M106" s="4">
        <v>146544.70000000001</v>
      </c>
      <c r="N106" s="70">
        <f t="shared" si="26"/>
        <v>88.819855028488419</v>
      </c>
      <c r="O106" s="4">
        <f t="shared" si="27"/>
        <v>1164213.7952915577</v>
      </c>
      <c r="Q106" s="80">
        <v>12.9</v>
      </c>
      <c r="R106" s="80">
        <v>12.9</v>
      </c>
      <c r="S106" s="49">
        <f t="shared" si="17"/>
        <v>0.55566324223040642</v>
      </c>
      <c r="T106" s="49">
        <f t="shared" si="18"/>
        <v>2.5927042508290623</v>
      </c>
    </row>
    <row r="107" spans="1:20" x14ac:dyDescent="0.25">
      <c r="A107">
        <f t="shared" si="24"/>
        <v>2017</v>
      </c>
      <c r="B107" s="2">
        <v>0.46100000000000002</v>
      </c>
      <c r="C107" s="2">
        <v>0.156</v>
      </c>
      <c r="D107" s="3">
        <f t="shared" si="19"/>
        <v>22.819500000000001</v>
      </c>
      <c r="E107" s="3">
        <f t="shared" si="20"/>
        <v>5.0076000000000001</v>
      </c>
      <c r="F107" s="4">
        <f t="shared" si="25"/>
        <v>1334666.7302456757</v>
      </c>
      <c r="G107" s="4">
        <f t="shared" si="21"/>
        <v>30456.427450841195</v>
      </c>
      <c r="H107" s="4">
        <f t="shared" si="22"/>
        <v>6683.477118378245</v>
      </c>
      <c r="J107" s="6">
        <f t="shared" si="23"/>
        <v>1.7811900000000052</v>
      </c>
      <c r="M107" s="4">
        <v>146804.4</v>
      </c>
      <c r="N107" s="70">
        <f t="shared" si="26"/>
        <v>89.00066985464025</v>
      </c>
      <c r="O107" s="4">
        <f t="shared" si="27"/>
        <v>1187862.3302456758</v>
      </c>
      <c r="Q107" s="80">
        <v>11.5</v>
      </c>
      <c r="R107" s="80">
        <v>12.4</v>
      </c>
      <c r="S107" s="49">
        <f t="shared" si="17"/>
        <v>0.5039549508096145</v>
      </c>
      <c r="T107" s="49">
        <f t="shared" si="18"/>
        <v>2.4762361210959343</v>
      </c>
    </row>
    <row r="108" spans="1:20" x14ac:dyDescent="0.25">
      <c r="A108">
        <f t="shared" si="24"/>
        <v>2018</v>
      </c>
      <c r="B108" s="2">
        <v>0.45300000000000001</v>
      </c>
      <c r="C108" s="2">
        <v>0.158</v>
      </c>
      <c r="D108" s="3">
        <f t="shared" si="19"/>
        <v>22.423500000000001</v>
      </c>
      <c r="E108" s="3">
        <f t="shared" si="20"/>
        <v>5.0718000000000005</v>
      </c>
      <c r="F108" s="4">
        <f t="shared" si="25"/>
        <v>1358439.6805781387</v>
      </c>
      <c r="G108" s="4">
        <f t="shared" si="21"/>
        <v>30460.972177443891</v>
      </c>
      <c r="H108" s="4">
        <f t="shared" si="22"/>
        <v>6889.7343719562041</v>
      </c>
      <c r="J108" s="6">
        <f t="shared" si="23"/>
        <v>1.7351699999999926</v>
      </c>
      <c r="M108" s="4">
        <v>146880.4</v>
      </c>
      <c r="N108" s="70">
        <f t="shared" si="26"/>
        <v>89.187565550390204</v>
      </c>
      <c r="O108" s="4">
        <f t="shared" si="27"/>
        <v>1211559.2805781388</v>
      </c>
      <c r="Q108" s="80">
        <v>10.9</v>
      </c>
      <c r="R108" s="80">
        <v>12.5</v>
      </c>
      <c r="S108" s="49">
        <f t="shared" si="17"/>
        <v>0.4860971748388967</v>
      </c>
      <c r="T108" s="49">
        <f t="shared" si="18"/>
        <v>2.4646082258764146</v>
      </c>
    </row>
    <row r="109" spans="1:20" x14ac:dyDescent="0.25">
      <c r="A109">
        <f t="shared" si="24"/>
        <v>2019</v>
      </c>
      <c r="B109" s="2">
        <v>0.44600000000000001</v>
      </c>
      <c r="C109" s="2">
        <v>0.16</v>
      </c>
      <c r="D109" s="3">
        <f t="shared" si="19"/>
        <v>22.077000000000002</v>
      </c>
      <c r="E109" s="3">
        <f t="shared" si="20"/>
        <v>5.1360000000000001</v>
      </c>
      <c r="F109" s="4">
        <f t="shared" si="25"/>
        <v>1382010.9183836263</v>
      </c>
      <c r="G109" s="4">
        <f t="shared" si="21"/>
        <v>30510.655045155319</v>
      </c>
      <c r="H109" s="4">
        <f t="shared" si="22"/>
        <v>7098.0080768183052</v>
      </c>
      <c r="J109" s="6">
        <f t="shared" si="23"/>
        <v>1.6941000000000166</v>
      </c>
      <c r="M109" s="4">
        <v>146780.70000000001</v>
      </c>
      <c r="N109" s="70">
        <f t="shared" si="26"/>
        <v>89.379193894381686</v>
      </c>
      <c r="O109" s="4">
        <f t="shared" si="27"/>
        <v>1235230.2183836263</v>
      </c>
      <c r="Q109" s="80">
        <v>10.1</v>
      </c>
      <c r="R109" s="80">
        <v>12.3</v>
      </c>
      <c r="S109" s="49">
        <f t="shared" si="17"/>
        <v>0.45748969515785654</v>
      </c>
      <c r="T109" s="49">
        <f t="shared" si="18"/>
        <v>2.3948598130841123</v>
      </c>
    </row>
    <row r="110" spans="1:20" x14ac:dyDescent="0.25">
      <c r="A110">
        <f t="shared" si="24"/>
        <v>2020</v>
      </c>
      <c r="B110" s="2">
        <v>0.438</v>
      </c>
      <c r="C110" s="2">
        <v>0.16200000000000001</v>
      </c>
      <c r="D110" s="3">
        <f t="shared" si="19"/>
        <v>21.681000000000001</v>
      </c>
      <c r="E110" s="3">
        <f t="shared" si="20"/>
        <v>5.2002000000000006</v>
      </c>
      <c r="F110" s="4">
        <f t="shared" si="25"/>
        <v>1405423.5653519635</v>
      </c>
      <c r="G110" s="4">
        <f t="shared" si="21"/>
        <v>30470.988320395922</v>
      </c>
      <c r="H110" s="4">
        <f t="shared" si="22"/>
        <v>7308.4836245432816</v>
      </c>
      <c r="J110" s="6">
        <f t="shared" si="23"/>
        <v>1.6480799999999916</v>
      </c>
      <c r="M110" s="4">
        <v>146748.6</v>
      </c>
      <c r="N110" s="70">
        <f t="shared" si="26"/>
        <v>89.558407613348251</v>
      </c>
      <c r="O110" s="4">
        <f t="shared" si="27"/>
        <v>1258674.9653519634</v>
      </c>
      <c r="Q110" s="80">
        <v>9.8000000000000007</v>
      </c>
      <c r="R110" s="80">
        <v>14.6</v>
      </c>
      <c r="S110" s="49">
        <f t="shared" si="17"/>
        <v>0.45200867118675342</v>
      </c>
      <c r="T110" s="49">
        <f t="shared" si="18"/>
        <v>2.8075843236798579</v>
      </c>
    </row>
    <row r="111" spans="1:20" x14ac:dyDescent="0.25">
      <c r="A111">
        <f t="shared" si="24"/>
        <v>2021</v>
      </c>
      <c r="B111" s="2">
        <v>0.43099999999999999</v>
      </c>
      <c r="C111" s="2">
        <v>0.16400000000000001</v>
      </c>
      <c r="D111" s="3">
        <f t="shared" si="19"/>
        <v>21.334499999999998</v>
      </c>
      <c r="E111" s="3">
        <f t="shared" si="20"/>
        <v>5.2644000000000002</v>
      </c>
      <c r="F111" s="4">
        <f t="shared" si="25"/>
        <v>1428586.070047816</v>
      </c>
      <c r="G111" s="4">
        <f t="shared" si="21"/>
        <v>30478.169511435128</v>
      </c>
      <c r="H111" s="4">
        <f t="shared" si="22"/>
        <v>7520.6485071597226</v>
      </c>
      <c r="J111" s="6">
        <f t="shared" si="23"/>
        <v>1.6070100000000007</v>
      </c>
      <c r="M111" s="4">
        <v>147455.70000000001</v>
      </c>
      <c r="N111" s="70">
        <f t="shared" ref="N111:N114" si="28">100*O111/F111</f>
        <v>89.678206788404111</v>
      </c>
      <c r="O111" s="4">
        <f t="shared" ref="O111:O114" si="29">F111-M111</f>
        <v>1281130.3700478161</v>
      </c>
      <c r="Q111" s="80">
        <v>9.4</v>
      </c>
      <c r="R111" s="80">
        <v>17.3</v>
      </c>
      <c r="S111" s="49">
        <f t="shared" si="17"/>
        <v>0.44060090463802765</v>
      </c>
      <c r="T111" s="49">
        <f t="shared" si="18"/>
        <v>3.2862244510295571</v>
      </c>
    </row>
    <row r="112" spans="1:20" x14ac:dyDescent="0.25">
      <c r="A112">
        <f t="shared" si="24"/>
        <v>2022</v>
      </c>
      <c r="B112" s="2">
        <v>0.42499999999999999</v>
      </c>
      <c r="C112" s="2">
        <v>0.16600000000000001</v>
      </c>
      <c r="D112" s="3">
        <f t="shared" si="19"/>
        <v>21.037499999999998</v>
      </c>
      <c r="E112" s="3">
        <f t="shared" si="20"/>
        <v>5.3286000000000007</v>
      </c>
      <c r="F112" s="4">
        <f t="shared" si="25"/>
        <v>1451543.5910520914</v>
      </c>
      <c r="G112" s="4">
        <f t="shared" si="21"/>
        <v>30536.848296758373</v>
      </c>
      <c r="H112" s="4">
        <f t="shared" si="22"/>
        <v>7734.6951792801756</v>
      </c>
      <c r="J112" s="6">
        <f t="shared" si="23"/>
        <v>1.570890000000011</v>
      </c>
      <c r="M112" s="4">
        <v>146980.1</v>
      </c>
      <c r="N112" s="70">
        <f t="shared" si="28"/>
        <v>89.874220732601799</v>
      </c>
      <c r="O112" s="4">
        <f t="shared" si="29"/>
        <v>1304563.4910520914</v>
      </c>
      <c r="Q112" s="80">
        <v>8.8000000000000007</v>
      </c>
      <c r="R112" s="80">
        <v>13.8</v>
      </c>
      <c r="S112" s="49">
        <f t="shared" si="17"/>
        <v>0.41830065359477131</v>
      </c>
      <c r="T112" s="49">
        <f t="shared" si="18"/>
        <v>2.5897984461209322</v>
      </c>
    </row>
    <row r="113" spans="1:20" x14ac:dyDescent="0.25">
      <c r="A113">
        <f t="shared" si="24"/>
        <v>2023</v>
      </c>
      <c r="B113" s="2">
        <v>0.41899999999999998</v>
      </c>
      <c r="C113" s="2">
        <v>0.16800000000000001</v>
      </c>
      <c r="D113" s="3">
        <f t="shared" si="19"/>
        <v>20.740500000000001</v>
      </c>
      <c r="E113" s="3">
        <f t="shared" si="20"/>
        <v>5.3928000000000003</v>
      </c>
      <c r="F113" s="4">
        <f t="shared" si="25"/>
        <v>1474345.7441695698</v>
      </c>
      <c r="G113" s="4">
        <f t="shared" si="21"/>
        <v>30578.667906948966</v>
      </c>
      <c r="H113" s="4">
        <f t="shared" si="22"/>
        <v>7950.8517291576563</v>
      </c>
      <c r="J113" s="6">
        <f t="shared" si="23"/>
        <v>1.5347700000000097</v>
      </c>
      <c r="M113" s="4">
        <v>146447.4</v>
      </c>
      <c r="N113" s="70">
        <f t="shared" si="28"/>
        <v>90.06695677868376</v>
      </c>
      <c r="O113" s="4">
        <f t="shared" si="29"/>
        <v>1327898.3441695699</v>
      </c>
      <c r="Q113" s="80">
        <v>8.6</v>
      </c>
      <c r="R113" s="80">
        <v>13</v>
      </c>
      <c r="S113" s="49">
        <f t="shared" ref="S113" si="30">Q113/D113</f>
        <v>0.41464767001759839</v>
      </c>
      <c r="T113" s="49">
        <f t="shared" ref="T113" si="31">R113/E113</f>
        <v>2.4106215695000741</v>
      </c>
    </row>
    <row r="114" spans="1:20" x14ac:dyDescent="0.25">
      <c r="A114">
        <f t="shared" si="24"/>
        <v>2024</v>
      </c>
      <c r="B114" s="2">
        <v>0.41299999999999998</v>
      </c>
      <c r="C114" s="2">
        <v>0.17</v>
      </c>
      <c r="D114" s="3">
        <f t="shared" si="19"/>
        <v>20.4435</v>
      </c>
      <c r="E114" s="3">
        <f t="shared" si="20"/>
        <v>5.4570000000000007</v>
      </c>
      <c r="F114" s="4">
        <f t="shared" si="25"/>
        <v>1496973.5603473613</v>
      </c>
      <c r="G114" s="4">
        <f t="shared" si="21"/>
        <v>30603.378980961283</v>
      </c>
      <c r="H114" s="4">
        <f t="shared" si="22"/>
        <v>8168.9847188155509</v>
      </c>
      <c r="J114" s="6">
        <f t="shared" si="23"/>
        <v>1.4986500000000007</v>
      </c>
      <c r="M114" s="4">
        <v>146150.79999999999</v>
      </c>
      <c r="N114" s="70">
        <f t="shared" si="28"/>
        <v>90.236915075100811</v>
      </c>
      <c r="O114" s="4">
        <f t="shared" si="29"/>
        <v>1350822.7603473612</v>
      </c>
    </row>
    <row r="115" spans="1:20" x14ac:dyDescent="0.25">
      <c r="A115">
        <f t="shared" si="24"/>
        <v>2025</v>
      </c>
      <c r="B115" s="2">
        <v>0.40699999999999997</v>
      </c>
      <c r="C115" s="2">
        <v>0.17</v>
      </c>
      <c r="D115" s="3">
        <f t="shared" si="19"/>
        <v>20.1465</v>
      </c>
      <c r="E115" s="3">
        <f t="shared" si="20"/>
        <v>5.4570000000000007</v>
      </c>
      <c r="F115" s="4">
        <f t="shared" si="25"/>
        <v>1519407.954609507</v>
      </c>
      <c r="G115" s="4">
        <f t="shared" si="21"/>
        <v>30610.752357540434</v>
      </c>
      <c r="H115" s="4">
        <f t="shared" si="22"/>
        <v>8291.4092083040814</v>
      </c>
      <c r="J115" s="6">
        <f t="shared" si="23"/>
        <v>1.4689500000000033</v>
      </c>
    </row>
    <row r="116" spans="1:20" x14ac:dyDescent="0.25">
      <c r="A116">
        <f t="shared" si="24"/>
        <v>2026</v>
      </c>
      <c r="B116" s="2">
        <v>0.40100000000000002</v>
      </c>
      <c r="C116" s="2">
        <v>0.17100000000000001</v>
      </c>
      <c r="D116" s="3">
        <f t="shared" si="19"/>
        <v>19.849500000000003</v>
      </c>
      <c r="E116" s="3">
        <f t="shared" si="20"/>
        <v>5.4891000000000005</v>
      </c>
      <c r="F116" s="4">
        <f t="shared" si="25"/>
        <v>1541727.2977587434</v>
      </c>
      <c r="G116" s="4">
        <f t="shared" si="21"/>
        <v>30602.515996862181</v>
      </c>
      <c r="H116" s="4">
        <f t="shared" si="22"/>
        <v>8462.6953101275194</v>
      </c>
      <c r="J116" s="6">
        <f t="shared" si="23"/>
        <v>1.4360400000000058</v>
      </c>
    </row>
    <row r="117" spans="1:20" x14ac:dyDescent="0.25">
      <c r="A117">
        <f t="shared" si="24"/>
        <v>2027</v>
      </c>
      <c r="B117" s="2">
        <v>0.39600000000000002</v>
      </c>
      <c r="C117" s="2">
        <v>0.17299999999999999</v>
      </c>
      <c r="D117" s="3">
        <f t="shared" si="19"/>
        <v>19.602</v>
      </c>
      <c r="E117" s="3">
        <f t="shared" si="20"/>
        <v>5.5533000000000001</v>
      </c>
      <c r="F117" s="4">
        <f t="shared" si="25"/>
        <v>1563867.1184454781</v>
      </c>
      <c r="G117" s="4">
        <f t="shared" si="21"/>
        <v>30654.923255768263</v>
      </c>
      <c r="H117" s="4">
        <f t="shared" si="22"/>
        <v>8684.6232688632736</v>
      </c>
      <c r="J117" s="6">
        <f t="shared" si="23"/>
        <v>1.4048700000000125</v>
      </c>
    </row>
    <row r="118" spans="1:20" x14ac:dyDescent="0.25">
      <c r="A118">
        <f t="shared" si="24"/>
        <v>2028</v>
      </c>
      <c r="B118" s="2">
        <v>0.38900000000000001</v>
      </c>
      <c r="C118" s="2">
        <v>0.17399999999999999</v>
      </c>
      <c r="D118" s="3">
        <f t="shared" si="19"/>
        <v>19.255500000000001</v>
      </c>
      <c r="E118" s="3">
        <f t="shared" si="20"/>
        <v>5.5853999999999999</v>
      </c>
      <c r="F118" s="4">
        <f t="shared" si="25"/>
        <v>1585837.4184323833</v>
      </c>
      <c r="G118" s="4">
        <f t="shared" si="21"/>
        <v>30536.092410624762</v>
      </c>
      <c r="H118" s="4">
        <f t="shared" si="22"/>
        <v>8857.5363169122338</v>
      </c>
      <c r="J118" s="6">
        <f t="shared" si="23"/>
        <v>1.3670100000000029</v>
      </c>
    </row>
    <row r="119" spans="1:20" x14ac:dyDescent="0.25">
      <c r="A119">
        <f t="shared" si="24"/>
        <v>2029</v>
      </c>
      <c r="B119" s="2">
        <v>0.38300000000000001</v>
      </c>
      <c r="C119" s="2">
        <v>0.17599999999999999</v>
      </c>
      <c r="D119" s="3">
        <f t="shared" si="19"/>
        <v>18.958500000000001</v>
      </c>
      <c r="E119" s="3">
        <f t="shared" si="20"/>
        <v>5.6495999999999995</v>
      </c>
      <c r="F119" s="4">
        <f t="shared" si="25"/>
        <v>1607515.9745260959</v>
      </c>
      <c r="G119" s="4">
        <f t="shared" si="21"/>
        <v>30476.091603052988</v>
      </c>
      <c r="H119" s="4">
        <f t="shared" si="22"/>
        <v>9081.8222496826311</v>
      </c>
      <c r="J119" s="6">
        <f t="shared" si="23"/>
        <v>1.3308900000000035</v>
      </c>
    </row>
    <row r="120" spans="1:20" x14ac:dyDescent="0.25">
      <c r="A120">
        <f t="shared" si="24"/>
        <v>2030</v>
      </c>
      <c r="B120" s="2">
        <v>0.375</v>
      </c>
      <c r="C120" s="2">
        <v>0.17899999999999999</v>
      </c>
      <c r="D120" s="3">
        <f t="shared" si="19"/>
        <v>18.5625</v>
      </c>
      <c r="E120" s="3">
        <f t="shared" si="20"/>
        <v>5.7458999999999998</v>
      </c>
      <c r="F120" s="4">
        <f t="shared" si="25"/>
        <v>1628910.2438794663</v>
      </c>
      <c r="G120" s="4">
        <f t="shared" si="21"/>
        <v>30236.646402012593</v>
      </c>
      <c r="H120" s="4">
        <f t="shared" si="22"/>
        <v>9359.5553703070254</v>
      </c>
      <c r="J120" s="6">
        <f t="shared" si="23"/>
        <v>1.2816599999999956</v>
      </c>
    </row>
    <row r="121" spans="1:20" x14ac:dyDescent="0.25">
      <c r="A121">
        <f t="shared" si="24"/>
        <v>2031</v>
      </c>
      <c r="B121" s="2">
        <v>0.36799999999999999</v>
      </c>
      <c r="C121" s="2">
        <v>0.18</v>
      </c>
      <c r="D121" s="3">
        <f t="shared" si="19"/>
        <v>18.216000000000001</v>
      </c>
      <c r="E121" s="3">
        <f t="shared" si="20"/>
        <v>5.7780000000000005</v>
      </c>
      <c r="F121" s="4">
        <f t="shared" si="25"/>
        <v>1649787.3349111718</v>
      </c>
      <c r="G121" s="4">
        <f t="shared" si="21"/>
        <v>30052.526092741908</v>
      </c>
      <c r="H121" s="4">
        <f t="shared" si="22"/>
        <v>9532.4712211167516</v>
      </c>
      <c r="J121" s="6">
        <f t="shared" si="23"/>
        <v>1.2437999999999927</v>
      </c>
    </row>
    <row r="122" spans="1:20" x14ac:dyDescent="0.25">
      <c r="A122">
        <f t="shared" si="24"/>
        <v>2032</v>
      </c>
      <c r="B122" s="1">
        <v>0.36</v>
      </c>
      <c r="C122" s="1">
        <v>0.18099999999999999</v>
      </c>
      <c r="D122" s="3">
        <f t="shared" ref="D122:D129" si="32">B122*$D$6</f>
        <v>17.82</v>
      </c>
      <c r="E122" s="3">
        <f t="shared" ref="E122:E129" si="33">C122*$E$6</f>
        <v>5.8101000000000003</v>
      </c>
      <c r="F122" s="4">
        <f t="shared" ref="F122:F130" si="34">F121+G121-H121+I121</f>
        <v>1670307.3897827968</v>
      </c>
      <c r="G122" s="4">
        <f t="shared" ref="G122:G129" si="35">F122*D122/1000</f>
        <v>29764.877685929441</v>
      </c>
      <c r="H122" s="4">
        <f t="shared" ref="H122:H129" si="36">E122*F122/1000</f>
        <v>9704.6529653770285</v>
      </c>
      <c r="J122" s="6">
        <f t="shared" si="23"/>
        <v>1.2009899999999951</v>
      </c>
    </row>
    <row r="123" spans="1:20" x14ac:dyDescent="0.25">
      <c r="A123">
        <f>A122+1</f>
        <v>2033</v>
      </c>
      <c r="B123" s="1">
        <v>0.35299999999999998</v>
      </c>
      <c r="C123" s="1">
        <v>0.182</v>
      </c>
      <c r="D123" s="3">
        <f t="shared" si="32"/>
        <v>17.473499999999998</v>
      </c>
      <c r="E123" s="3">
        <f t="shared" si="33"/>
        <v>5.8422000000000001</v>
      </c>
      <c r="F123" s="4">
        <f t="shared" si="34"/>
        <v>1690367.6145033492</v>
      </c>
      <c r="G123" s="4">
        <f t="shared" si="35"/>
        <v>29536.63851202427</v>
      </c>
      <c r="H123" s="4">
        <f t="shared" si="36"/>
        <v>9875.4656774514679</v>
      </c>
      <c r="J123" s="6">
        <f t="shared" si="23"/>
        <v>1.1631299999999887</v>
      </c>
    </row>
    <row r="124" spans="1:20" x14ac:dyDescent="0.25">
      <c r="A124">
        <f t="shared" ref="A124:A129" si="37">A123+1</f>
        <v>2034</v>
      </c>
      <c r="B124" s="1">
        <v>0.34599999999999997</v>
      </c>
      <c r="C124" s="1">
        <v>0.183</v>
      </c>
      <c r="D124" s="3">
        <f t="shared" si="32"/>
        <v>17.126999999999999</v>
      </c>
      <c r="E124" s="3">
        <f t="shared" si="33"/>
        <v>5.8742999999999999</v>
      </c>
      <c r="F124" s="4">
        <f t="shared" si="34"/>
        <v>1710028.7873379218</v>
      </c>
      <c r="G124" s="4">
        <f t="shared" si="35"/>
        <v>29287.663040736585</v>
      </c>
      <c r="H124" s="4">
        <f t="shared" si="36"/>
        <v>10045.222105459154</v>
      </c>
      <c r="J124" s="6">
        <f t="shared" si="23"/>
        <v>1.1252700000000107</v>
      </c>
    </row>
    <row r="125" spans="1:20" x14ac:dyDescent="0.25">
      <c r="A125">
        <f t="shared" si="37"/>
        <v>2035</v>
      </c>
      <c r="B125" s="1">
        <v>0.33900000000000002</v>
      </c>
      <c r="C125" s="1">
        <v>0.184</v>
      </c>
      <c r="D125" s="3">
        <f t="shared" si="32"/>
        <v>16.7805</v>
      </c>
      <c r="E125" s="3">
        <f t="shared" si="33"/>
        <v>5.9064000000000005</v>
      </c>
      <c r="F125" s="4">
        <f t="shared" si="34"/>
        <v>1729271.2282731994</v>
      </c>
      <c r="G125" s="4">
        <f t="shared" si="35"/>
        <v>29018.035846038423</v>
      </c>
      <c r="H125" s="4">
        <f t="shared" si="36"/>
        <v>10213.767582672825</v>
      </c>
      <c r="J125" s="6">
        <f t="shared" si="23"/>
        <v>1.0874100000000007</v>
      </c>
    </row>
    <row r="126" spans="1:20" x14ac:dyDescent="0.25">
      <c r="A126">
        <f t="shared" si="37"/>
        <v>2036</v>
      </c>
      <c r="B126" s="1">
        <v>0.33200000000000002</v>
      </c>
      <c r="C126" s="1">
        <v>0.186</v>
      </c>
      <c r="D126" s="3">
        <f t="shared" si="32"/>
        <v>16.434000000000001</v>
      </c>
      <c r="E126" s="3">
        <f t="shared" si="33"/>
        <v>5.9706000000000001</v>
      </c>
      <c r="F126" s="4">
        <f t="shared" si="34"/>
        <v>1748075.496536565</v>
      </c>
      <c r="G126" s="4">
        <f t="shared" si="35"/>
        <v>28727.872710081912</v>
      </c>
      <c r="H126" s="4">
        <f t="shared" si="36"/>
        <v>10437.059559621215</v>
      </c>
      <c r="J126" s="6">
        <f t="shared" si="23"/>
        <v>1.0463400000000078</v>
      </c>
    </row>
    <row r="127" spans="1:20" x14ac:dyDescent="0.25">
      <c r="A127">
        <f t="shared" si="37"/>
        <v>2037</v>
      </c>
      <c r="B127" s="1">
        <v>0.32500000000000001</v>
      </c>
      <c r="C127" s="1">
        <v>0.187</v>
      </c>
      <c r="D127" s="3">
        <f t="shared" si="32"/>
        <v>16.087500000000002</v>
      </c>
      <c r="E127" s="3">
        <f t="shared" si="33"/>
        <v>6.0026999999999999</v>
      </c>
      <c r="F127" s="4">
        <f t="shared" si="34"/>
        <v>1766366.3096870258</v>
      </c>
      <c r="G127" s="4">
        <f t="shared" si="35"/>
        <v>28416.418007090033</v>
      </c>
      <c r="H127" s="4">
        <f t="shared" si="36"/>
        <v>10602.96704715831</v>
      </c>
      <c r="J127" s="6">
        <f t="shared" si="23"/>
        <v>1.0084799999999929</v>
      </c>
    </row>
    <row r="128" spans="1:20" x14ac:dyDescent="0.25">
      <c r="A128">
        <f t="shared" si="37"/>
        <v>2038</v>
      </c>
      <c r="B128" s="1">
        <v>0.318</v>
      </c>
      <c r="C128" s="1">
        <v>0.189</v>
      </c>
      <c r="D128" s="3">
        <f t="shared" si="32"/>
        <v>15.741</v>
      </c>
      <c r="E128" s="3">
        <f t="shared" si="33"/>
        <v>6.0669000000000004</v>
      </c>
      <c r="F128" s="4">
        <f t="shared" si="34"/>
        <v>1784179.7606469574</v>
      </c>
      <c r="G128" s="4">
        <f t="shared" si="35"/>
        <v>28084.773612343753</v>
      </c>
      <c r="H128" s="4">
        <f t="shared" si="36"/>
        <v>10824.440189869028</v>
      </c>
      <c r="J128" s="6">
        <f t="shared" si="23"/>
        <v>0.96740999999999056</v>
      </c>
    </row>
    <row r="129" spans="1:10" x14ac:dyDescent="0.25">
      <c r="A129">
        <f t="shared" si="37"/>
        <v>2039</v>
      </c>
      <c r="B129" s="57">
        <v>0.311</v>
      </c>
      <c r="C129" s="57">
        <v>0.19</v>
      </c>
      <c r="D129" s="3">
        <f t="shared" si="32"/>
        <v>15.394500000000001</v>
      </c>
      <c r="E129" s="3">
        <f t="shared" si="33"/>
        <v>6.0990000000000002</v>
      </c>
      <c r="F129" s="4">
        <f t="shared" si="34"/>
        <v>1801440.094069432</v>
      </c>
      <c r="G129" s="4">
        <f t="shared" si="35"/>
        <v>27732.269528151872</v>
      </c>
      <c r="H129" s="4">
        <f t="shared" si="36"/>
        <v>10986.983133729465</v>
      </c>
      <c r="J129" s="6">
        <f t="shared" si="23"/>
        <v>0.92955000000000021</v>
      </c>
    </row>
    <row r="130" spans="1:10" x14ac:dyDescent="0.25">
      <c r="A130">
        <v>2040</v>
      </c>
      <c r="B130" s="1"/>
      <c r="C130" s="1"/>
      <c r="F130" s="4">
        <f t="shared" si="34"/>
        <v>1818185.3804638544</v>
      </c>
      <c r="G130" s="4"/>
      <c r="H130" s="4"/>
      <c r="J130" s="4"/>
    </row>
    <row r="131" spans="1:10" x14ac:dyDescent="0.25">
      <c r="F131" s="4"/>
      <c r="G131" s="4"/>
      <c r="H131" s="4"/>
      <c r="J131" s="4"/>
    </row>
    <row r="132" spans="1:10" x14ac:dyDescent="0.25">
      <c r="A132" t="s">
        <v>155</v>
      </c>
      <c r="F132" s="4"/>
      <c r="G132" s="4"/>
      <c r="H132" s="4"/>
      <c r="J132" s="4"/>
    </row>
    <row r="133" spans="1:10" x14ac:dyDescent="0.25">
      <c r="F133" s="4"/>
      <c r="G133" s="4"/>
      <c r="H133" s="4"/>
      <c r="J133" s="4"/>
    </row>
    <row r="135" spans="1:10" x14ac:dyDescent="0.25">
      <c r="A135" s="38" t="s">
        <v>23</v>
      </c>
    </row>
    <row r="137" spans="1:10" x14ac:dyDescent="0.25">
      <c r="A137" s="5"/>
      <c r="B137" s="5"/>
      <c r="C137" s="5"/>
      <c r="D137" s="85" t="s">
        <v>20</v>
      </c>
      <c r="E137" s="85"/>
      <c r="F137" s="85"/>
    </row>
    <row r="138" spans="1:10" x14ac:dyDescent="0.25">
      <c r="A138" s="8" t="s">
        <v>0</v>
      </c>
      <c r="B138" s="8" t="s">
        <v>10</v>
      </c>
      <c r="C138" s="8" t="s">
        <v>16</v>
      </c>
      <c r="D138" s="8" t="s">
        <v>17</v>
      </c>
      <c r="E138" s="8" t="s">
        <v>18</v>
      </c>
      <c r="F138" s="8" t="s">
        <v>29</v>
      </c>
    </row>
    <row r="139" spans="1:10" x14ac:dyDescent="0.25">
      <c r="A139" s="7">
        <v>1926</v>
      </c>
      <c r="B139" s="7" t="s">
        <v>11</v>
      </c>
      <c r="C139">
        <v>351</v>
      </c>
      <c r="D139" s="4">
        <f>F16</f>
        <v>104951.42442784202</v>
      </c>
      <c r="E139" s="4">
        <f ca="1">OFFSET(INDIRECT(MID(_xlfn.FORMULATEXT(D139),2,255)),1,0)</f>
        <v>106927.7647012427</v>
      </c>
      <c r="F139" s="4">
        <f ca="1">D139*(E139/D139)^((C139-1)/365)</f>
        <v>106845.8166895476</v>
      </c>
    </row>
    <row r="140" spans="1:10" x14ac:dyDescent="0.25">
      <c r="A140" s="7">
        <v>1937</v>
      </c>
      <c r="B140" s="7" t="s">
        <v>12</v>
      </c>
      <c r="C140">
        <v>6</v>
      </c>
      <c r="D140" s="4">
        <f>F27</f>
        <v>130666.73985224668</v>
      </c>
      <c r="E140" s="4">
        <f t="shared" ref="E140:E145" ca="1" si="38">OFFSET(INDIRECT(MID(_xlfn.FORMULATEXT(D140),2,255)),1,0)</f>
        <v>133451.47021195581</v>
      </c>
      <c r="F140" s="4">
        <f t="shared" ref="F140:F145" ca="1" si="39">D140*(E140/D140)^((C140-1)/365)</f>
        <v>130704.49149186898</v>
      </c>
    </row>
    <row r="141" spans="1:10" x14ac:dyDescent="0.25">
      <c r="A141" s="7">
        <v>1939</v>
      </c>
      <c r="B141" s="7" t="s">
        <v>13</v>
      </c>
      <c r="C141">
        <v>17</v>
      </c>
      <c r="D141" s="4">
        <f>F29</f>
        <v>136379.98265487506</v>
      </c>
      <c r="E141" s="4">
        <f t="shared" ca="1" si="38"/>
        <v>139423.65655577349</v>
      </c>
      <c r="F141" s="4">
        <f t="shared" ca="1" si="39"/>
        <v>136512.00079842543</v>
      </c>
    </row>
    <row r="142" spans="1:10" x14ac:dyDescent="0.25">
      <c r="A142" s="7">
        <v>1959</v>
      </c>
      <c r="B142" s="7" t="s">
        <v>14</v>
      </c>
      <c r="C142">
        <v>15</v>
      </c>
      <c r="D142" s="4">
        <f>F49</f>
        <v>220430.29993095316</v>
      </c>
      <c r="E142" s="4">
        <f t="shared" ca="1" si="38"/>
        <v>227267.32041482156</v>
      </c>
      <c r="F142" s="4">
        <f t="shared" ca="1" si="39"/>
        <v>220688.70840674659</v>
      </c>
    </row>
    <row r="143" spans="1:10" x14ac:dyDescent="0.25">
      <c r="A143" s="7">
        <v>1970</v>
      </c>
      <c r="B143" s="7" t="s">
        <v>14</v>
      </c>
      <c r="C143">
        <v>15</v>
      </c>
      <c r="D143" s="4">
        <f>F60</f>
        <v>317168.53255002614</v>
      </c>
      <c r="E143" s="4">
        <f t="shared" ca="1" si="38"/>
        <v>329111.54536005063</v>
      </c>
      <c r="F143" s="4">
        <f t="shared" ca="1" si="39"/>
        <v>317618.5255269864</v>
      </c>
    </row>
    <row r="144" spans="1:10" x14ac:dyDescent="0.25">
      <c r="A144" s="7">
        <v>1979</v>
      </c>
      <c r="B144" s="7" t="s">
        <v>13</v>
      </c>
      <c r="C144">
        <v>17</v>
      </c>
      <c r="D144" s="4">
        <f>F69</f>
        <v>445191.02922871296</v>
      </c>
      <c r="E144" s="4">
        <f t="shared" ca="1" si="38"/>
        <v>462181.38870640338</v>
      </c>
      <c r="F144" s="4">
        <f t="shared" ca="1" si="39"/>
        <v>445922.55198754626</v>
      </c>
    </row>
    <row r="145" spans="1:6" x14ac:dyDescent="0.25">
      <c r="A145" s="7">
        <v>1989</v>
      </c>
      <c r="B145" s="7" t="s">
        <v>15</v>
      </c>
      <c r="C145">
        <v>12</v>
      </c>
      <c r="D145" s="4">
        <f>F79</f>
        <v>644309.31219702039</v>
      </c>
      <c r="E145" s="4">
        <f t="shared" ca="1" si="38"/>
        <v>666733.98236058792</v>
      </c>
      <c r="F145" s="4">
        <f t="shared" ca="1" si="39"/>
        <v>644973.97216546303</v>
      </c>
    </row>
    <row r="146" spans="1:6" x14ac:dyDescent="0.25">
      <c r="A146" s="7">
        <v>2020</v>
      </c>
      <c r="B146" s="7" t="s">
        <v>105</v>
      </c>
      <c r="F146" s="4">
        <f>F110</f>
        <v>1405423.5653519635</v>
      </c>
    </row>
    <row r="147" spans="1:6" x14ac:dyDescent="0.25">
      <c r="A147" s="7">
        <v>2030</v>
      </c>
      <c r="B147" s="7" t="s">
        <v>105</v>
      </c>
      <c r="F147" s="4">
        <f>F120</f>
        <v>1628910.2438794663</v>
      </c>
    </row>
    <row r="148" spans="1:6" x14ac:dyDescent="0.25">
      <c r="A148" s="7">
        <v>2040</v>
      </c>
      <c r="B148" s="7" t="s">
        <v>105</v>
      </c>
      <c r="F148" s="4">
        <f>F130</f>
        <v>1818185.3804638544</v>
      </c>
    </row>
  </sheetData>
  <mergeCells count="8">
    <mergeCell ref="D137:F137"/>
    <mergeCell ref="B3:C4"/>
    <mergeCell ref="Q4:R4"/>
    <mergeCell ref="S4:T4"/>
    <mergeCell ref="D3:J3"/>
    <mergeCell ref="D4:E4"/>
    <mergeCell ref="F4:I4"/>
    <mergeCell ref="M4:O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E948-52DF-4E05-A92A-64F6931F000B}">
  <dimension ref="A1:L148"/>
  <sheetViews>
    <sheetView topLeftCell="A85" workbookViewId="0">
      <selection activeCell="A133" sqref="A133"/>
    </sheetView>
  </sheetViews>
  <sheetFormatPr defaultColWidth="9.140625" defaultRowHeight="15" x14ac:dyDescent="0.25"/>
  <cols>
    <col min="4" max="4" width="17.140625" customWidth="1"/>
    <col min="5" max="5" width="12.85546875" customWidth="1"/>
    <col min="6" max="6" width="24" customWidth="1"/>
    <col min="7" max="7" width="18.28515625" customWidth="1"/>
    <col min="8" max="8" width="15.140625" customWidth="1"/>
    <col min="9" max="9" width="18.140625" customWidth="1"/>
    <col min="10" max="10" width="40.28515625" customWidth="1"/>
    <col min="12" max="12" width="29.7109375" customWidth="1"/>
  </cols>
  <sheetData>
    <row r="1" spans="1:12" ht="21" x14ac:dyDescent="0.35">
      <c r="A1" s="37" t="s">
        <v>24</v>
      </c>
    </row>
    <row r="4" spans="1:12" x14ac:dyDescent="0.25">
      <c r="D4" s="85" t="s">
        <v>1</v>
      </c>
      <c r="E4" s="85"/>
      <c r="F4" s="85" t="s">
        <v>8</v>
      </c>
      <c r="G4" s="85"/>
      <c r="H4" s="85"/>
      <c r="I4" s="85"/>
    </row>
    <row r="5" spans="1:12" x14ac:dyDescent="0.25">
      <c r="A5" s="8" t="s">
        <v>0</v>
      </c>
      <c r="B5" s="8" t="s">
        <v>100</v>
      </c>
      <c r="C5" s="8" t="s">
        <v>101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9</v>
      </c>
      <c r="L5" s="8" t="s">
        <v>22</v>
      </c>
    </row>
    <row r="6" spans="1:12" x14ac:dyDescent="0.25">
      <c r="A6" t="s">
        <v>27</v>
      </c>
      <c r="D6" s="3">
        <v>47.88</v>
      </c>
      <c r="E6" s="3">
        <v>28.52</v>
      </c>
      <c r="F6" s="4">
        <v>14754</v>
      </c>
      <c r="L6" s="9" t="s">
        <v>21</v>
      </c>
    </row>
    <row r="7" spans="1:12" x14ac:dyDescent="0.25">
      <c r="A7">
        <v>1917</v>
      </c>
      <c r="B7" s="1">
        <v>0.51</v>
      </c>
      <c r="C7" s="1">
        <v>1</v>
      </c>
      <c r="D7" s="3">
        <f>B7*$D$6</f>
        <v>24.418800000000001</v>
      </c>
      <c r="E7" s="3">
        <f>C7*$E$6</f>
        <v>28.52</v>
      </c>
      <c r="F7" s="4">
        <f>F6 * RSFSR!F7 / RSFSR!F6</f>
        <v>15044.474076398148</v>
      </c>
      <c r="G7" s="4">
        <f>F7*D7/1000</f>
        <v>367.36800357675111</v>
      </c>
      <c r="H7" s="4">
        <f>E7*F7/1000</f>
        <v>429.06840065887519</v>
      </c>
      <c r="I7" s="4">
        <f ca="1" xml:space="preserve"> NR!F6 / RSFSR!F6 * INDIRECT("'RSFSR'!" &amp; ADDRESS(ROW(), COLUMN()))</f>
        <v>-8.9274901112692309</v>
      </c>
      <c r="J7" s="6">
        <f ca="1">100 *(F8-F7) / F7</f>
        <v>-0.46946065934064973</v>
      </c>
    </row>
    <row r="8" spans="1:12" x14ac:dyDescent="0.25">
      <c r="A8">
        <f>A7+1</f>
        <v>1918</v>
      </c>
      <c r="B8" s="1">
        <v>0.6</v>
      </c>
      <c r="C8" s="1">
        <v>1</v>
      </c>
      <c r="D8" s="3">
        <f t="shared" ref="D8:D71" si="0">B8*$D$6</f>
        <v>28.728000000000002</v>
      </c>
      <c r="E8" s="3">
        <f t="shared" ref="E8:E71" si="1">C8*$E$6</f>
        <v>28.52</v>
      </c>
      <c r="F8" s="4">
        <f ca="1">F7+G7-H7+I7</f>
        <v>14973.846189204756</v>
      </c>
      <c r="G8" s="4">
        <f t="shared" ref="G8:G71" ca="1" si="2">F8*D8/1000</f>
        <v>430.1686533234743</v>
      </c>
      <c r="H8" s="4">
        <f t="shared" ref="H8:H71" ca="1" si="3">E8*F8/1000</f>
        <v>427.05409331611963</v>
      </c>
      <c r="I8" s="4">
        <f ca="1" xml:space="preserve"> NR!F6 / RSFSR!F6 * INDIRECT("'RSFSR'!" &amp; ADDRESS(ROW(), COLUMN()))</f>
        <v>-23.971964187667378</v>
      </c>
      <c r="J8" s="6">
        <f t="shared" ref="J8:J71" ca="1" si="4">100 *(F9-F8) / F8</f>
        <v>-0.13929222937623209</v>
      </c>
    </row>
    <row r="9" spans="1:12" x14ac:dyDescent="0.25">
      <c r="A9">
        <f t="shared" ref="A9:A72" si="5">A8+1</f>
        <v>1919</v>
      </c>
      <c r="B9" s="1">
        <v>1</v>
      </c>
      <c r="C9" s="1">
        <v>1</v>
      </c>
      <c r="D9" s="3">
        <f t="shared" si="0"/>
        <v>47.88</v>
      </c>
      <c r="E9" s="3">
        <f t="shared" si="1"/>
        <v>28.52</v>
      </c>
      <c r="F9" s="4">
        <f t="shared" ref="F9:F72" ca="1" si="6">F8+G8-H8+I8</f>
        <v>14952.988785024445</v>
      </c>
      <c r="G9" s="4">
        <f t="shared" ca="1" si="2"/>
        <v>715.94910302697042</v>
      </c>
      <c r="H9" s="4">
        <f t="shared" ca="1" si="3"/>
        <v>426.45924014889715</v>
      </c>
      <c r="I9" s="4">
        <f ca="1" xml:space="preserve"> NR!F6 / RSFSR!F6 * INDIRECT("'RSFSR'!" &amp; ADDRESS(ROW(), COLUMN()))</f>
        <v>239.71964187667379</v>
      </c>
      <c r="J9" s="6">
        <f t="shared" ca="1" si="4"/>
        <v>3.5391553646101599</v>
      </c>
    </row>
    <row r="10" spans="1:12" x14ac:dyDescent="0.25">
      <c r="A10">
        <f t="shared" si="5"/>
        <v>1920</v>
      </c>
      <c r="B10" s="1">
        <v>1</v>
      </c>
      <c r="C10" s="1">
        <v>1</v>
      </c>
      <c r="D10" s="3">
        <f t="shared" si="0"/>
        <v>47.88</v>
      </c>
      <c r="E10" s="3">
        <f t="shared" si="1"/>
        <v>28.52</v>
      </c>
      <c r="F10" s="4">
        <f t="shared" ca="1" si="6"/>
        <v>15482.198289779193</v>
      </c>
      <c r="G10" s="4">
        <f t="shared" ca="1" si="2"/>
        <v>741.28765411462791</v>
      </c>
      <c r="H10" s="4">
        <f t="shared" ca="1" si="3"/>
        <v>441.55229522450259</v>
      </c>
      <c r="I10" s="4">
        <f ca="1" xml:space="preserve"> NR!F6 / RSFSR!F6 * INDIRECT("'RSFSR'!" &amp; ADDRESS(ROW(), COLUMN()))</f>
        <v>143.83178512600426</v>
      </c>
      <c r="J10" s="6">
        <f t="shared" ca="1" si="4"/>
        <v>2.8650139709743745</v>
      </c>
    </row>
    <row r="11" spans="1:12" x14ac:dyDescent="0.25">
      <c r="A11">
        <f t="shared" si="5"/>
        <v>1921</v>
      </c>
      <c r="B11" s="1">
        <v>0.999</v>
      </c>
      <c r="C11" s="1">
        <v>0.99199999999999999</v>
      </c>
      <c r="D11" s="3">
        <f t="shared" si="0"/>
        <v>47.832120000000003</v>
      </c>
      <c r="E11" s="3">
        <f t="shared" si="1"/>
        <v>28.291840000000001</v>
      </c>
      <c r="F11" s="4">
        <f t="shared" ca="1" si="6"/>
        <v>15925.765433795323</v>
      </c>
      <c r="G11" s="4">
        <f t="shared" ca="1" si="2"/>
        <v>761.76312332114992</v>
      </c>
      <c r="H11" s="4">
        <f t="shared" ca="1" si="3"/>
        <v>450.56920753046791</v>
      </c>
      <c r="I11" s="4">
        <f ca="1" xml:space="preserve"> NR!F6 / RSFSR!F6 * INDIRECT("'RSFSR'!" &amp; ADDRESS(ROW(), COLUMN()))</f>
        <v>95.887856750669513</v>
      </c>
      <c r="J11" s="6">
        <f t="shared" ca="1" si="4"/>
        <v>2.5561206099237137</v>
      </c>
    </row>
    <row r="12" spans="1:12" x14ac:dyDescent="0.25">
      <c r="A12">
        <f t="shared" si="5"/>
        <v>1922</v>
      </c>
      <c r="B12" s="1">
        <v>0.997</v>
      </c>
      <c r="C12" s="1">
        <v>0.98099999999999998</v>
      </c>
      <c r="D12" s="3">
        <f t="shared" si="0"/>
        <v>47.736360000000005</v>
      </c>
      <c r="E12" s="3">
        <f t="shared" si="1"/>
        <v>27.978120000000001</v>
      </c>
      <c r="F12" s="4">
        <f t="shared" ca="1" si="6"/>
        <v>16332.847206336672</v>
      </c>
      <c r="G12" s="4">
        <f t="shared" ca="1" si="2"/>
        <v>779.67067406668173</v>
      </c>
      <c r="H12" s="4">
        <f t="shared" ca="1" si="3"/>
        <v>456.96235908055218</v>
      </c>
      <c r="J12" s="6">
        <f t="shared" ca="1" si="4"/>
        <v>1.9758239999999925</v>
      </c>
    </row>
    <row r="13" spans="1:12" x14ac:dyDescent="0.25">
      <c r="A13">
        <f t="shared" si="5"/>
        <v>1923</v>
      </c>
      <c r="B13" s="1">
        <v>0.995</v>
      </c>
      <c r="C13" s="1">
        <v>0.96699999999999997</v>
      </c>
      <c r="D13" s="3">
        <f t="shared" si="0"/>
        <v>47.640599999999999</v>
      </c>
      <c r="E13" s="3">
        <f t="shared" si="1"/>
        <v>27.57884</v>
      </c>
      <c r="F13" s="4">
        <f t="shared" ca="1" si="6"/>
        <v>16655.5555213228</v>
      </c>
      <c r="G13" s="4">
        <f t="shared" ca="1" si="2"/>
        <v>793.48065836913088</v>
      </c>
      <c r="H13" s="4">
        <f t="shared" ca="1" si="3"/>
        <v>459.34090083367806</v>
      </c>
      <c r="J13" s="6">
        <f t="shared" ca="1" si="4"/>
        <v>2.0061760000000013</v>
      </c>
    </row>
    <row r="14" spans="1:12" x14ac:dyDescent="0.25">
      <c r="A14">
        <f t="shared" si="5"/>
        <v>1924</v>
      </c>
      <c r="B14" s="1">
        <v>0.99199999999999999</v>
      </c>
      <c r="C14" s="1">
        <v>0.95299999999999996</v>
      </c>
      <c r="D14" s="3">
        <f t="shared" si="0"/>
        <v>47.496960000000001</v>
      </c>
      <c r="E14" s="3">
        <f t="shared" si="1"/>
        <v>27.179559999999999</v>
      </c>
      <c r="F14" s="4">
        <f t="shared" ca="1" si="6"/>
        <v>16989.695278858253</v>
      </c>
      <c r="G14" s="4">
        <f t="shared" ca="1" si="2"/>
        <v>806.95887707211932</v>
      </c>
      <c r="H14" s="4">
        <f t="shared" ca="1" si="3"/>
        <v>461.77244221344461</v>
      </c>
      <c r="J14" s="6">
        <f t="shared" ca="1" si="4"/>
        <v>2.0317400000000023</v>
      </c>
    </row>
    <row r="15" spans="1:12" x14ac:dyDescent="0.25">
      <c r="A15">
        <f t="shared" si="5"/>
        <v>1925</v>
      </c>
      <c r="B15" s="1">
        <v>0.99</v>
      </c>
      <c r="C15" s="1">
        <v>0.94</v>
      </c>
      <c r="D15" s="3">
        <f t="shared" si="0"/>
        <v>47.401200000000003</v>
      </c>
      <c r="E15" s="3">
        <f t="shared" si="1"/>
        <v>26.808799999999998</v>
      </c>
      <c r="F15" s="4">
        <f t="shared" ca="1" si="6"/>
        <v>17334.881713716928</v>
      </c>
      <c r="G15" s="4">
        <f t="shared" ca="1" si="2"/>
        <v>821.69419508823887</v>
      </c>
      <c r="H15" s="4">
        <f t="shared" ca="1" si="3"/>
        <v>464.72737688669434</v>
      </c>
      <c r="J15" s="6">
        <f t="shared" ca="1" si="4"/>
        <v>2.0592400000000022</v>
      </c>
    </row>
    <row r="16" spans="1:12" x14ac:dyDescent="0.25">
      <c r="A16">
        <f t="shared" si="5"/>
        <v>1926</v>
      </c>
      <c r="B16" s="1">
        <v>0.98699999999999999</v>
      </c>
      <c r="C16" s="1">
        <v>0.92700000000000005</v>
      </c>
      <c r="D16" s="3">
        <f t="shared" si="0"/>
        <v>47.257560000000005</v>
      </c>
      <c r="E16" s="3">
        <f t="shared" si="1"/>
        <v>26.438040000000001</v>
      </c>
      <c r="F16" s="4">
        <f t="shared" ca="1" si="6"/>
        <v>17691.848531918473</v>
      </c>
      <c r="G16" s="4">
        <f t="shared" ca="1" si="2"/>
        <v>836.07359350804927</v>
      </c>
      <c r="H16" s="4">
        <f t="shared" ca="1" si="3"/>
        <v>467.73779916080184</v>
      </c>
      <c r="J16" s="6">
        <f t="shared" ca="1" si="4"/>
        <v>2.0819520000000007</v>
      </c>
    </row>
    <row r="17" spans="1:10" x14ac:dyDescent="0.25">
      <c r="A17">
        <f t="shared" si="5"/>
        <v>1927</v>
      </c>
      <c r="B17" s="1">
        <v>0.98499999999999999</v>
      </c>
      <c r="C17" s="1">
        <v>0.91400000000000003</v>
      </c>
      <c r="D17" s="3">
        <f t="shared" si="0"/>
        <v>47.161799999999999</v>
      </c>
      <c r="E17" s="3">
        <f t="shared" si="1"/>
        <v>26.06728</v>
      </c>
      <c r="F17" s="4">
        <f t="shared" ca="1" si="6"/>
        <v>18060.18432626572</v>
      </c>
      <c r="G17" s="4">
        <f t="shared" ca="1" si="2"/>
        <v>851.75080115847857</v>
      </c>
      <c r="H17" s="4">
        <f t="shared" ca="1" si="3"/>
        <v>470.77988168437986</v>
      </c>
      <c r="J17" s="6">
        <f t="shared" ca="1" si="4"/>
        <v>2.1094520000000112</v>
      </c>
    </row>
    <row r="18" spans="1:10" x14ac:dyDescent="0.25">
      <c r="A18">
        <f t="shared" si="5"/>
        <v>1928</v>
      </c>
      <c r="B18" s="1">
        <v>0.98199999999999998</v>
      </c>
      <c r="C18" s="1">
        <v>0.90100000000000002</v>
      </c>
      <c r="D18" s="3">
        <f t="shared" si="0"/>
        <v>47.018160000000002</v>
      </c>
      <c r="E18" s="3">
        <f t="shared" si="1"/>
        <v>25.69652</v>
      </c>
      <c r="F18" s="4">
        <f t="shared" ca="1" si="6"/>
        <v>18441.155245739821</v>
      </c>
      <c r="G18" s="4">
        <f t="shared" ca="1" si="2"/>
        <v>867.06918792903423</v>
      </c>
      <c r="H18" s="4">
        <f t="shared" ca="1" si="3"/>
        <v>473.8735145952582</v>
      </c>
      <c r="J18" s="6">
        <f t="shared" ca="1" si="4"/>
        <v>2.1321639999999982</v>
      </c>
    </row>
    <row r="19" spans="1:10" x14ac:dyDescent="0.25">
      <c r="A19">
        <f t="shared" si="5"/>
        <v>1929</v>
      </c>
      <c r="B19" s="1">
        <v>0.98</v>
      </c>
      <c r="C19" s="1">
        <v>0.88700000000000001</v>
      </c>
      <c r="D19" s="3">
        <f t="shared" si="0"/>
        <v>46.922400000000003</v>
      </c>
      <c r="E19" s="3">
        <f t="shared" si="1"/>
        <v>25.297239999999999</v>
      </c>
      <c r="F19" s="4">
        <f t="shared" ca="1" si="6"/>
        <v>18834.350919073597</v>
      </c>
      <c r="G19" s="4">
        <f t="shared" ca="1" si="2"/>
        <v>883.75294756513904</v>
      </c>
      <c r="H19" s="4">
        <f t="shared" ca="1" si="3"/>
        <v>476.45709544402536</v>
      </c>
      <c r="J19" s="6">
        <f t="shared" ca="1" si="4"/>
        <v>2.1625160000000068</v>
      </c>
    </row>
    <row r="20" spans="1:10" x14ac:dyDescent="0.25">
      <c r="A20">
        <f t="shared" si="5"/>
        <v>1930</v>
      </c>
      <c r="B20" s="1">
        <v>0.98</v>
      </c>
      <c r="C20" s="1">
        <v>0.874</v>
      </c>
      <c r="D20" s="3">
        <f t="shared" si="0"/>
        <v>46.922400000000003</v>
      </c>
      <c r="E20" s="3">
        <f t="shared" si="1"/>
        <v>24.926479999999998</v>
      </c>
      <c r="F20" s="4">
        <f t="shared" ca="1" si="6"/>
        <v>19241.646771194712</v>
      </c>
      <c r="G20" s="4">
        <f t="shared" ca="1" si="2"/>
        <v>902.86424645670672</v>
      </c>
      <c r="H20" s="4">
        <f t="shared" ca="1" si="3"/>
        <v>479.6265234092495</v>
      </c>
      <c r="J20" s="6">
        <f t="shared" ca="1" si="4"/>
        <v>2.1995919999999929</v>
      </c>
    </row>
    <row r="21" spans="1:10" x14ac:dyDescent="0.25">
      <c r="A21">
        <f t="shared" si="5"/>
        <v>1931</v>
      </c>
      <c r="B21" s="1">
        <v>0.97799999999999998</v>
      </c>
      <c r="C21" s="1">
        <v>0.86299999999999999</v>
      </c>
      <c r="D21" s="3">
        <f t="shared" si="0"/>
        <v>46.826640000000005</v>
      </c>
      <c r="E21" s="3">
        <f t="shared" si="1"/>
        <v>24.612759999999998</v>
      </c>
      <c r="F21" s="4">
        <f t="shared" ca="1" si="6"/>
        <v>19664.884494242167</v>
      </c>
      <c r="G21" s="4">
        <f t="shared" ca="1" si="2"/>
        <v>920.84046685346016</v>
      </c>
      <c r="H21" s="4">
        <f t="shared" ca="1" si="3"/>
        <v>484.00708248450383</v>
      </c>
      <c r="J21" s="6">
        <f t="shared" ca="1" si="4"/>
        <v>2.2213880000000086</v>
      </c>
    </row>
    <row r="22" spans="1:10" x14ac:dyDescent="0.25">
      <c r="A22">
        <f t="shared" si="5"/>
        <v>1932</v>
      </c>
      <c r="B22" s="1">
        <v>0.97499999999999998</v>
      </c>
      <c r="C22" s="1">
        <v>0.85899999999999999</v>
      </c>
      <c r="D22" s="3">
        <f t="shared" si="0"/>
        <v>46.683</v>
      </c>
      <c r="E22" s="3">
        <f t="shared" si="1"/>
        <v>24.49868</v>
      </c>
      <c r="F22" s="4">
        <f t="shared" ca="1" si="6"/>
        <v>20101.717878611125</v>
      </c>
      <c r="G22" s="4">
        <f t="shared" ca="1" si="2"/>
        <v>938.40849572720322</v>
      </c>
      <c r="H22" s="4">
        <f t="shared" ca="1" si="3"/>
        <v>492.46555375837278</v>
      </c>
      <c r="J22" s="6">
        <f t="shared" ca="1" si="4"/>
        <v>2.2184320000000048</v>
      </c>
    </row>
    <row r="23" spans="1:10" x14ac:dyDescent="0.25">
      <c r="A23">
        <f t="shared" si="5"/>
        <v>1933</v>
      </c>
      <c r="B23" s="1">
        <v>0.97199999999999998</v>
      </c>
      <c r="C23" s="1">
        <v>0.85099999999999998</v>
      </c>
      <c r="D23" s="3">
        <f t="shared" si="0"/>
        <v>46.539360000000002</v>
      </c>
      <c r="E23" s="3">
        <f t="shared" si="1"/>
        <v>24.270519999999998</v>
      </c>
      <c r="F23" s="4">
        <f t="shared" ca="1" si="6"/>
        <v>20547.660820579957</v>
      </c>
      <c r="G23" s="4">
        <f t="shared" ca="1" si="2"/>
        <v>956.27498408686597</v>
      </c>
      <c r="H23" s="4">
        <f t="shared" ca="1" si="3"/>
        <v>498.70241289910223</v>
      </c>
      <c r="J23" s="6">
        <f t="shared" ca="1" si="4"/>
        <v>2.226884000000001</v>
      </c>
    </row>
    <row r="24" spans="1:10" x14ac:dyDescent="0.25">
      <c r="A24">
        <f t="shared" si="5"/>
        <v>1934</v>
      </c>
      <c r="B24" s="1">
        <v>0.96799999999999997</v>
      </c>
      <c r="C24" s="1">
        <v>0.84099999999999997</v>
      </c>
      <c r="D24" s="3">
        <f t="shared" si="0"/>
        <v>46.347839999999998</v>
      </c>
      <c r="E24" s="3">
        <f t="shared" si="1"/>
        <v>23.985319999999998</v>
      </c>
      <c r="F24" s="4">
        <f t="shared" ca="1" si="6"/>
        <v>21005.233391767721</v>
      </c>
      <c r="G24" s="4">
        <f t="shared" ca="1" si="2"/>
        <v>973.54719640430767</v>
      </c>
      <c r="H24" s="4">
        <f t="shared" ca="1" si="3"/>
        <v>503.81724457623409</v>
      </c>
      <c r="J24" s="6">
        <f t="shared" ca="1" si="4"/>
        <v>2.2362519999999866</v>
      </c>
    </row>
    <row r="25" spans="1:10" x14ac:dyDescent="0.25">
      <c r="A25">
        <f t="shared" si="5"/>
        <v>1935</v>
      </c>
      <c r="B25" s="1">
        <v>0.95599999999999996</v>
      </c>
      <c r="C25" s="1">
        <v>0.82899999999999996</v>
      </c>
      <c r="D25" s="3">
        <f t="shared" si="0"/>
        <v>45.77328</v>
      </c>
      <c r="E25" s="3">
        <f t="shared" si="1"/>
        <v>23.643079999999998</v>
      </c>
      <c r="F25" s="4">
        <f t="shared" ca="1" si="6"/>
        <v>21474.963343595791</v>
      </c>
      <c r="G25" s="4">
        <f t="shared" ca="1" si="2"/>
        <v>982.97951011614634</v>
      </c>
      <c r="H25" s="4">
        <f t="shared" ca="1" si="3"/>
        <v>507.73427632970277</v>
      </c>
      <c r="J25" s="6">
        <f t="shared" ca="1" si="4"/>
        <v>2.2130200000000073</v>
      </c>
    </row>
    <row r="26" spans="1:10" x14ac:dyDescent="0.25">
      <c r="A26">
        <f t="shared" si="5"/>
        <v>1936</v>
      </c>
      <c r="B26" s="1">
        <v>0.96099999999999997</v>
      </c>
      <c r="C26" s="1">
        <v>0.81799999999999995</v>
      </c>
      <c r="D26" s="3">
        <f t="shared" si="0"/>
        <v>46.012680000000003</v>
      </c>
      <c r="E26" s="3">
        <f t="shared" si="1"/>
        <v>23.329359999999998</v>
      </c>
      <c r="F26" s="4">
        <f t="shared" ca="1" si="6"/>
        <v>21950.208577382236</v>
      </c>
      <c r="G26" s="4">
        <f t="shared" ca="1" si="2"/>
        <v>1009.9879232043442</v>
      </c>
      <c r="H26" s="4">
        <f t="shared" ca="1" si="3"/>
        <v>512.08431797683795</v>
      </c>
      <c r="J26" s="6">
        <f t="shared" ca="1" si="4"/>
        <v>2.268332000000008</v>
      </c>
    </row>
    <row r="27" spans="1:10" x14ac:dyDescent="0.25">
      <c r="A27">
        <f t="shared" si="5"/>
        <v>1937</v>
      </c>
      <c r="B27" s="1">
        <v>0.96599999999999997</v>
      </c>
      <c r="C27" s="1">
        <v>0.80600000000000005</v>
      </c>
      <c r="D27" s="3">
        <f t="shared" si="0"/>
        <v>46.252079999999999</v>
      </c>
      <c r="E27" s="3">
        <f t="shared" si="1"/>
        <v>22.987120000000001</v>
      </c>
      <c r="F27" s="4">
        <f t="shared" ca="1" si="6"/>
        <v>22448.112182609744</v>
      </c>
      <c r="G27" s="4">
        <f t="shared" ca="1" si="2"/>
        <v>1038.2718805190405</v>
      </c>
      <c r="H27" s="4">
        <f t="shared" ca="1" si="3"/>
        <v>516.01744851511205</v>
      </c>
      <c r="J27" s="6">
        <f t="shared" ca="1" si="4"/>
        <v>2.3264960000000094</v>
      </c>
    </row>
    <row r="28" spans="1:10" x14ac:dyDescent="0.25">
      <c r="A28">
        <f t="shared" si="5"/>
        <v>1938</v>
      </c>
      <c r="B28" s="1">
        <v>0.96899999999999997</v>
      </c>
      <c r="C28" s="1">
        <v>0.79900000000000004</v>
      </c>
      <c r="D28" s="3">
        <f t="shared" si="0"/>
        <v>46.395720000000004</v>
      </c>
      <c r="E28" s="3">
        <f t="shared" si="1"/>
        <v>22.787480000000002</v>
      </c>
      <c r="F28" s="4">
        <f t="shared" ca="1" si="6"/>
        <v>22970.366614613675</v>
      </c>
      <c r="G28" s="4">
        <f t="shared" ca="1" si="2"/>
        <v>1065.7266977489639</v>
      </c>
      <c r="H28" s="4">
        <f t="shared" ca="1" si="3"/>
        <v>523.43676982317686</v>
      </c>
      <c r="J28" s="6">
        <f t="shared" ca="1" si="4"/>
        <v>2.360824</v>
      </c>
    </row>
    <row r="29" spans="1:10" x14ac:dyDescent="0.25">
      <c r="A29">
        <f t="shared" si="5"/>
        <v>1939</v>
      </c>
      <c r="B29" s="1">
        <v>0.96499999999999997</v>
      </c>
      <c r="C29" s="1">
        <v>0.79400000000000004</v>
      </c>
      <c r="D29" s="3">
        <f t="shared" si="0"/>
        <v>46.2042</v>
      </c>
      <c r="E29" s="3">
        <f t="shared" si="1"/>
        <v>22.644880000000001</v>
      </c>
      <c r="F29" s="4">
        <f t="shared" ca="1" si="6"/>
        <v>23512.656542539462</v>
      </c>
      <c r="G29" s="4">
        <f t="shared" ca="1" si="2"/>
        <v>1086.3834854228019</v>
      </c>
      <c r="H29" s="4">
        <f t="shared" ca="1" si="3"/>
        <v>532.44128588702097</v>
      </c>
      <c r="J29" s="6">
        <f t="shared" ca="1" si="4"/>
        <v>2.3559319999999997</v>
      </c>
    </row>
    <row r="30" spans="1:10" x14ac:dyDescent="0.25">
      <c r="A30">
        <f t="shared" si="5"/>
        <v>1940</v>
      </c>
      <c r="B30" s="1">
        <v>0.96499999999999997</v>
      </c>
      <c r="C30" s="1">
        <v>0.79600000000000004</v>
      </c>
      <c r="D30" s="3">
        <f t="shared" si="0"/>
        <v>46.2042</v>
      </c>
      <c r="E30" s="3">
        <f t="shared" si="1"/>
        <v>22.701920000000001</v>
      </c>
      <c r="F30" s="4">
        <f t="shared" ca="1" si="6"/>
        <v>24066.598742075243</v>
      </c>
      <c r="G30" s="4">
        <f t="shared" ca="1" si="2"/>
        <v>1111.9779415985931</v>
      </c>
      <c r="H30" s="4">
        <f t="shared" ca="1" si="3"/>
        <v>546.35799931469285</v>
      </c>
      <c r="J30" s="6">
        <f t="shared" ca="1" si="4"/>
        <v>2.3502280000000066</v>
      </c>
    </row>
    <row r="31" spans="1:10" x14ac:dyDescent="0.25">
      <c r="A31">
        <f t="shared" si="5"/>
        <v>1941</v>
      </c>
      <c r="B31" s="1">
        <v>0.96199999999999997</v>
      </c>
      <c r="C31" s="1">
        <v>0.79500000000000004</v>
      </c>
      <c r="D31" s="3">
        <f t="shared" si="0"/>
        <v>46.060560000000002</v>
      </c>
      <c r="E31" s="3">
        <f t="shared" si="1"/>
        <v>22.673400000000001</v>
      </c>
      <c r="F31" s="4">
        <f t="shared" ca="1" si="6"/>
        <v>24632.218684359144</v>
      </c>
      <c r="G31" s="4">
        <f t="shared" ca="1" si="2"/>
        <v>1134.5737866440454</v>
      </c>
      <c r="H31" s="4">
        <f t="shared" ca="1" si="3"/>
        <v>558.49614711794868</v>
      </c>
      <c r="J31" s="6">
        <f t="shared" ca="1" si="4"/>
        <v>2.3387160000000056</v>
      </c>
    </row>
    <row r="32" spans="1:10" x14ac:dyDescent="0.25">
      <c r="A32">
        <f t="shared" si="5"/>
        <v>1942</v>
      </c>
      <c r="B32" s="1">
        <v>0.95599999999999996</v>
      </c>
      <c r="C32" s="1">
        <v>0.78800000000000003</v>
      </c>
      <c r="D32" s="3">
        <f t="shared" si="0"/>
        <v>45.77328</v>
      </c>
      <c r="E32" s="3">
        <f t="shared" si="1"/>
        <v>22.473760000000002</v>
      </c>
      <c r="F32" s="4">
        <f t="shared" ca="1" si="6"/>
        <v>25208.296323885243</v>
      </c>
      <c r="G32" s="4">
        <f t="shared" ca="1" si="2"/>
        <v>1153.8664059561697</v>
      </c>
      <c r="H32" s="4">
        <f t="shared" ca="1" si="3"/>
        <v>566.52520159187929</v>
      </c>
      <c r="I32" s="10">
        <f ca="1" xml:space="preserve"> NR!F6 / RSFSR!F6 * INDIRECT("'RSFSR'!" &amp; ADDRESS(ROW(), COLUMN()))</f>
        <v>-14.879150185448719</v>
      </c>
      <c r="J32" s="6">
        <f t="shared" ca="1" si="4"/>
        <v>2.2709271853347195</v>
      </c>
    </row>
    <row r="33" spans="1:10" x14ac:dyDescent="0.25">
      <c r="A33">
        <f t="shared" si="5"/>
        <v>1943</v>
      </c>
      <c r="B33" s="1">
        <v>0.95</v>
      </c>
      <c r="C33" s="1">
        <v>0.76800000000000002</v>
      </c>
      <c r="D33" s="3">
        <f t="shared" si="0"/>
        <v>45.485999999999997</v>
      </c>
      <c r="E33" s="3">
        <f t="shared" si="1"/>
        <v>21.903359999999999</v>
      </c>
      <c r="F33" s="4">
        <f t="shared" ca="1" si="6"/>
        <v>25780.758378064085</v>
      </c>
      <c r="G33" s="4">
        <f t="shared" ca="1" si="2"/>
        <v>1172.6635755846228</v>
      </c>
      <c r="H33" s="4">
        <f t="shared" ca="1" si="3"/>
        <v>564.68523182775368</v>
      </c>
      <c r="I33" s="10">
        <f ca="1" xml:space="preserve"> NR!F6 / RSFSR!F6 * INDIRECT("'RSFSR'!" &amp; ADDRESS(ROW(), COLUMN()))</f>
        <v>-14.879150185448719</v>
      </c>
      <c r="J33" s="6">
        <f t="shared" ca="1" si="4"/>
        <v>2.300549832064156</v>
      </c>
    </row>
    <row r="34" spans="1:10" x14ac:dyDescent="0.25">
      <c r="A34">
        <f t="shared" si="5"/>
        <v>1944</v>
      </c>
      <c r="B34" s="1">
        <v>0.94099999999999995</v>
      </c>
      <c r="C34" s="1">
        <v>0.74199999999999999</v>
      </c>
      <c r="D34" s="3">
        <f t="shared" si="0"/>
        <v>45.055079999999997</v>
      </c>
      <c r="E34" s="3">
        <f t="shared" si="1"/>
        <v>21.161839999999998</v>
      </c>
      <c r="F34" s="4">
        <f t="shared" ca="1" si="6"/>
        <v>26373.857571635504</v>
      </c>
      <c r="G34" s="4">
        <f t="shared" ca="1" si="2"/>
        <v>1188.2762627986433</v>
      </c>
      <c r="H34" s="4">
        <f t="shared" ca="1" si="3"/>
        <v>558.11935411373895</v>
      </c>
      <c r="I34" s="10">
        <f ca="1" xml:space="preserve"> NR!F6 / RSFSR!F6 * INDIRECT("'RSFSR'!" &amp; ADDRESS(ROW(), COLUMN()))</f>
        <v>-14.879150185448719</v>
      </c>
      <c r="J34" s="6">
        <f t="shared" ca="1" si="4"/>
        <v>2.3329077167731889</v>
      </c>
    </row>
    <row r="35" spans="1:10" x14ac:dyDescent="0.25">
      <c r="A35">
        <f t="shared" si="5"/>
        <v>1945</v>
      </c>
      <c r="B35" s="1">
        <v>0.93400000000000005</v>
      </c>
      <c r="C35" s="1">
        <v>0.72699999999999998</v>
      </c>
      <c r="D35" s="3">
        <f t="shared" si="0"/>
        <v>44.719920000000002</v>
      </c>
      <c r="E35" s="3">
        <f t="shared" si="1"/>
        <v>20.73404</v>
      </c>
      <c r="F35" s="4">
        <f t="shared" ca="1" si="6"/>
        <v>26989.135330134959</v>
      </c>
      <c r="G35" s="4">
        <f t="shared" ca="1" si="2"/>
        <v>1206.9519728328089</v>
      </c>
      <c r="H35" s="4">
        <f t="shared" ca="1" si="3"/>
        <v>559.59381150043146</v>
      </c>
      <c r="J35" s="6">
        <f t="shared" ca="1" si="4"/>
        <v>2.3985879999999971</v>
      </c>
    </row>
    <row r="36" spans="1:10" x14ac:dyDescent="0.25">
      <c r="A36">
        <f t="shared" si="5"/>
        <v>1946</v>
      </c>
      <c r="B36" s="1">
        <v>0.92900000000000005</v>
      </c>
      <c r="C36" s="1">
        <v>0.71199999999999997</v>
      </c>
      <c r="D36" s="3">
        <f t="shared" si="0"/>
        <v>44.480520000000006</v>
      </c>
      <c r="E36" s="3">
        <f t="shared" si="1"/>
        <v>20.306239999999999</v>
      </c>
      <c r="F36" s="4">
        <f t="shared" ca="1" si="6"/>
        <v>27636.493491467336</v>
      </c>
      <c r="G36" s="4">
        <f t="shared" ca="1" si="2"/>
        <v>1229.2856014770828</v>
      </c>
      <c r="H36" s="4">
        <f t="shared" ca="1" si="3"/>
        <v>561.19326959617365</v>
      </c>
      <c r="J36" s="6">
        <f t="shared" ca="1" si="4"/>
        <v>2.4174280000000072</v>
      </c>
    </row>
    <row r="37" spans="1:10" x14ac:dyDescent="0.25">
      <c r="A37">
        <f t="shared" si="5"/>
        <v>1947</v>
      </c>
      <c r="B37" s="1">
        <v>0.92100000000000004</v>
      </c>
      <c r="C37" s="1">
        <v>0.69799999999999995</v>
      </c>
      <c r="D37" s="3">
        <f t="shared" si="0"/>
        <v>44.097480000000004</v>
      </c>
      <c r="E37" s="3">
        <f t="shared" si="1"/>
        <v>19.906959999999998</v>
      </c>
      <c r="F37" s="4">
        <f t="shared" ca="1" si="6"/>
        <v>28304.585823348247</v>
      </c>
      <c r="G37" s="4">
        <f t="shared" ca="1" si="2"/>
        <v>1248.1609072533829</v>
      </c>
      <c r="H37" s="4">
        <f t="shared" ca="1" si="3"/>
        <v>563.4582578019606</v>
      </c>
      <c r="J37" s="6">
        <f t="shared" ca="1" si="4"/>
        <v>2.4190519999999962</v>
      </c>
    </row>
    <row r="38" spans="1:10" x14ac:dyDescent="0.25">
      <c r="A38">
        <f t="shared" si="5"/>
        <v>1948</v>
      </c>
      <c r="B38" s="1">
        <v>0.93300000000000005</v>
      </c>
      <c r="C38" s="1">
        <v>0.69599999999999995</v>
      </c>
      <c r="D38" s="3">
        <f t="shared" si="0"/>
        <v>44.672040000000003</v>
      </c>
      <c r="E38" s="3">
        <f t="shared" si="1"/>
        <v>19.849919999999997</v>
      </c>
      <c r="F38" s="4">
        <f t="shared" ca="1" si="6"/>
        <v>28989.288472799668</v>
      </c>
      <c r="G38" s="4">
        <f t="shared" ca="1" si="2"/>
        <v>1295.0106542284459</v>
      </c>
      <c r="H38" s="4">
        <f t="shared" ca="1" si="3"/>
        <v>575.43505704199549</v>
      </c>
      <c r="J38" s="6">
        <f t="shared" ca="1" si="4"/>
        <v>2.482211999999997</v>
      </c>
    </row>
    <row r="39" spans="1:10" x14ac:dyDescent="0.25">
      <c r="A39">
        <f t="shared" si="5"/>
        <v>1949</v>
      </c>
      <c r="B39" s="1">
        <v>0.94199999999999995</v>
      </c>
      <c r="C39" s="1">
        <v>0.69699999999999995</v>
      </c>
      <c r="D39" s="3">
        <f t="shared" si="0"/>
        <v>45.102960000000003</v>
      </c>
      <c r="E39" s="3">
        <f t="shared" si="1"/>
        <v>19.878439999999998</v>
      </c>
      <c r="F39" s="4">
        <f t="shared" ca="1" si="6"/>
        <v>29708.864069986117</v>
      </c>
      <c r="G39" s="4">
        <f t="shared" ca="1" si="2"/>
        <v>1339.9577077940212</v>
      </c>
      <c r="H39" s="4">
        <f t="shared" ca="1" si="3"/>
        <v>590.56587188337471</v>
      </c>
      <c r="J39" s="6">
        <f t="shared" ca="1" si="4"/>
        <v>2.5224520000000132</v>
      </c>
    </row>
    <row r="40" spans="1:10" x14ac:dyDescent="0.25">
      <c r="A40">
        <f t="shared" si="5"/>
        <v>1950</v>
      </c>
      <c r="B40" s="1">
        <v>0.94799999999999995</v>
      </c>
      <c r="C40" s="1">
        <v>0.69399999999999995</v>
      </c>
      <c r="D40" s="3">
        <f t="shared" si="0"/>
        <v>45.390239999999999</v>
      </c>
      <c r="E40" s="3">
        <f t="shared" si="1"/>
        <v>19.792879999999997</v>
      </c>
      <c r="F40" s="4">
        <f t="shared" ca="1" si="6"/>
        <v>30458.255905896767</v>
      </c>
      <c r="G40" s="4">
        <f t="shared" ca="1" si="2"/>
        <v>1382.5075455500717</v>
      </c>
      <c r="H40" s="4">
        <f t="shared" ca="1" si="3"/>
        <v>602.85660415470591</v>
      </c>
      <c r="J40" s="6">
        <f t="shared" ca="1" si="4"/>
        <v>2.559735999999996</v>
      </c>
    </row>
    <row r="41" spans="1:10" x14ac:dyDescent="0.25">
      <c r="A41">
        <f t="shared" si="5"/>
        <v>1951</v>
      </c>
      <c r="B41" s="1">
        <v>0.95299999999999996</v>
      </c>
      <c r="C41" s="1">
        <v>0.68799999999999994</v>
      </c>
      <c r="D41" s="3">
        <f t="shared" si="0"/>
        <v>45.629640000000002</v>
      </c>
      <c r="E41" s="3">
        <f t="shared" si="1"/>
        <v>19.621759999999998</v>
      </c>
      <c r="F41" s="4">
        <f t="shared" ca="1" si="6"/>
        <v>31237.906847292132</v>
      </c>
      <c r="G41" s="4">
        <f t="shared" ca="1" si="2"/>
        <v>1425.3744437954749</v>
      </c>
      <c r="H41" s="4">
        <f t="shared" ca="1" si="3"/>
        <v>612.94271105992277</v>
      </c>
      <c r="J41" s="6">
        <f t="shared" ca="1" si="4"/>
        <v>2.6007879999999912</v>
      </c>
    </row>
    <row r="42" spans="1:10" x14ac:dyDescent="0.25">
      <c r="A42">
        <f t="shared" si="5"/>
        <v>1952</v>
      </c>
      <c r="B42" s="1">
        <v>0.95699999999999996</v>
      </c>
      <c r="C42" s="1">
        <v>0.67900000000000005</v>
      </c>
      <c r="D42" s="3">
        <f t="shared" si="0"/>
        <v>45.821159999999999</v>
      </c>
      <c r="E42" s="3">
        <f t="shared" si="1"/>
        <v>19.365080000000003</v>
      </c>
      <c r="F42" s="4">
        <f t="shared" ca="1" si="6"/>
        <v>32050.338580027681</v>
      </c>
      <c r="G42" s="4">
        <f t="shared" ca="1" si="2"/>
        <v>1468.5836921296211</v>
      </c>
      <c r="H42" s="4">
        <f t="shared" ca="1" si="3"/>
        <v>620.65737062932249</v>
      </c>
      <c r="J42" s="6">
        <f t="shared" ca="1" si="4"/>
        <v>2.6456080000000073</v>
      </c>
    </row>
    <row r="43" spans="1:10" x14ac:dyDescent="0.25">
      <c r="A43">
        <f t="shared" si="5"/>
        <v>1953</v>
      </c>
      <c r="B43" s="1">
        <v>0.95899999999999996</v>
      </c>
      <c r="C43" s="1">
        <v>0.66900000000000004</v>
      </c>
      <c r="D43" s="3">
        <f t="shared" si="0"/>
        <v>45.916919999999998</v>
      </c>
      <c r="E43" s="3">
        <f t="shared" si="1"/>
        <v>19.079879999999999</v>
      </c>
      <c r="F43" s="4">
        <f t="shared" ca="1" si="6"/>
        <v>32898.264901527982</v>
      </c>
      <c r="G43" s="4">
        <f t="shared" ca="1" si="2"/>
        <v>1510.586997622268</v>
      </c>
      <c r="H43" s="4">
        <f t="shared" ca="1" si="3"/>
        <v>627.69494652936578</v>
      </c>
      <c r="J43" s="6">
        <f t="shared" ca="1" si="4"/>
        <v>2.6837039999999983</v>
      </c>
    </row>
    <row r="44" spans="1:10" x14ac:dyDescent="0.25">
      <c r="A44">
        <f t="shared" si="5"/>
        <v>1954</v>
      </c>
      <c r="B44" s="1">
        <v>0.96</v>
      </c>
      <c r="C44" s="1">
        <v>0.65400000000000003</v>
      </c>
      <c r="D44" s="3">
        <f t="shared" si="0"/>
        <v>45.964800000000004</v>
      </c>
      <c r="E44" s="3">
        <f t="shared" si="1"/>
        <v>18.652080000000002</v>
      </c>
      <c r="F44" s="4">
        <f t="shared" ca="1" si="6"/>
        <v>33781.156952620884</v>
      </c>
      <c r="G44" s="4">
        <f t="shared" ca="1" si="2"/>
        <v>1552.7441230958286</v>
      </c>
      <c r="H44" s="4">
        <f t="shared" ca="1" si="3"/>
        <v>630.0888419728409</v>
      </c>
      <c r="J44" s="6">
        <f t="shared" ca="1" si="4"/>
        <v>2.7312719999999922</v>
      </c>
    </row>
    <row r="45" spans="1:10" x14ac:dyDescent="0.25">
      <c r="A45">
        <f t="shared" si="5"/>
        <v>1955</v>
      </c>
      <c r="B45" s="1">
        <v>0.96299999999999997</v>
      </c>
      <c r="C45" s="1">
        <v>0.625</v>
      </c>
      <c r="D45" s="3">
        <f t="shared" si="0"/>
        <v>46.108440000000002</v>
      </c>
      <c r="E45" s="3">
        <f t="shared" si="1"/>
        <v>17.824999999999999</v>
      </c>
      <c r="F45" s="4">
        <f t="shared" ca="1" si="6"/>
        <v>34703.812233743869</v>
      </c>
      <c r="G45" s="4">
        <f t="shared" ca="1" si="2"/>
        <v>1600.1386441508453</v>
      </c>
      <c r="H45" s="4">
        <f t="shared" ca="1" si="3"/>
        <v>618.59545306648442</v>
      </c>
      <c r="J45" s="6">
        <f t="shared" ca="1" si="4"/>
        <v>2.8283440000000031</v>
      </c>
    </row>
    <row r="46" spans="1:10" x14ac:dyDescent="0.25">
      <c r="A46">
        <f t="shared" si="5"/>
        <v>1956</v>
      </c>
      <c r="B46" s="1">
        <v>0.96499999999999997</v>
      </c>
      <c r="C46" s="1">
        <v>0.58899999999999997</v>
      </c>
      <c r="D46" s="3">
        <f t="shared" si="0"/>
        <v>46.2042</v>
      </c>
      <c r="E46" s="3">
        <f t="shared" si="1"/>
        <v>16.798279999999998</v>
      </c>
      <c r="F46" s="4">
        <f t="shared" ca="1" si="6"/>
        <v>35685.355424828231</v>
      </c>
      <c r="G46" s="4">
        <f t="shared" ca="1" si="2"/>
        <v>1648.8132991198486</v>
      </c>
      <c r="H46" s="4">
        <f t="shared" ca="1" si="3"/>
        <v>599.4525923257836</v>
      </c>
      <c r="J46" s="6">
        <f t="shared" ca="1" si="4"/>
        <v>2.9405920000000094</v>
      </c>
    </row>
    <row r="47" spans="1:10" x14ac:dyDescent="0.25">
      <c r="A47">
        <f t="shared" si="5"/>
        <v>1957</v>
      </c>
      <c r="B47" s="1">
        <v>0.97</v>
      </c>
      <c r="C47" s="1">
        <v>0.55700000000000005</v>
      </c>
      <c r="D47" s="3">
        <f t="shared" si="0"/>
        <v>46.443600000000004</v>
      </c>
      <c r="E47" s="3">
        <f t="shared" si="1"/>
        <v>15.88564</v>
      </c>
      <c r="F47" s="4">
        <f t="shared" ca="1" si="6"/>
        <v>36734.716131622299</v>
      </c>
      <c r="G47" s="4">
        <f t="shared" ca="1" si="2"/>
        <v>1706.0924621306135</v>
      </c>
      <c r="H47" s="4">
        <f t="shared" ca="1" si="3"/>
        <v>583.55447596914451</v>
      </c>
      <c r="J47" s="6">
        <f t="shared" ca="1" si="4"/>
        <v>3.0557959999999857</v>
      </c>
    </row>
    <row r="48" spans="1:10" x14ac:dyDescent="0.25">
      <c r="A48">
        <f t="shared" si="5"/>
        <v>1958</v>
      </c>
      <c r="B48" s="1">
        <v>0.96899999999999997</v>
      </c>
      <c r="C48" s="1">
        <v>0.52800000000000002</v>
      </c>
      <c r="D48" s="3">
        <f t="shared" si="0"/>
        <v>46.395720000000004</v>
      </c>
      <c r="E48" s="3">
        <f t="shared" si="1"/>
        <v>15.05856</v>
      </c>
      <c r="F48" s="4">
        <f t="shared" ca="1" si="6"/>
        <v>37857.254117783763</v>
      </c>
      <c r="G48" s="4">
        <f t="shared" ca="1" si="2"/>
        <v>1756.4145620175425</v>
      </c>
      <c r="H48" s="4">
        <f t="shared" ca="1" si="3"/>
        <v>570.07573256789385</v>
      </c>
      <c r="J48" s="6">
        <f t="shared" ca="1" si="4"/>
        <v>3.1337159999999962</v>
      </c>
    </row>
    <row r="49" spans="1:10" x14ac:dyDescent="0.25">
      <c r="A49">
        <f t="shared" si="5"/>
        <v>1959</v>
      </c>
      <c r="B49" s="1">
        <v>0.96299999999999997</v>
      </c>
      <c r="C49" s="1">
        <v>0.52</v>
      </c>
      <c r="D49" s="3">
        <f t="shared" si="0"/>
        <v>46.108440000000002</v>
      </c>
      <c r="E49" s="3">
        <f t="shared" si="1"/>
        <v>14.830400000000001</v>
      </c>
      <c r="F49" s="4">
        <f t="shared" ca="1" si="6"/>
        <v>39043.59294723341</v>
      </c>
      <c r="G49" s="4">
        <f t="shared" ca="1" si="2"/>
        <v>1800.2391627919351</v>
      </c>
      <c r="H49" s="4">
        <f t="shared" ca="1" si="3"/>
        <v>579.03210084465036</v>
      </c>
      <c r="J49" s="6">
        <f t="shared" ca="1" si="4"/>
        <v>3.1278040000000065</v>
      </c>
    </row>
    <row r="50" spans="1:10" x14ac:dyDescent="0.25">
      <c r="A50">
        <f t="shared" si="5"/>
        <v>1960</v>
      </c>
      <c r="B50" s="1">
        <v>0.96299999999999997</v>
      </c>
      <c r="C50" s="1">
        <v>0.50600000000000001</v>
      </c>
      <c r="D50" s="3">
        <f t="shared" si="0"/>
        <v>46.108440000000002</v>
      </c>
      <c r="E50" s="3">
        <f t="shared" si="1"/>
        <v>14.43112</v>
      </c>
      <c r="F50" s="4">
        <f t="shared" ca="1" si="6"/>
        <v>40264.800009180697</v>
      </c>
      <c r="G50" s="4">
        <f t="shared" ca="1" si="2"/>
        <v>1856.5471153353078</v>
      </c>
      <c r="H50" s="4">
        <f t="shared" ca="1" si="3"/>
        <v>581.0661607084877</v>
      </c>
      <c r="J50" s="6">
        <f t="shared" ca="1" si="4"/>
        <v>3.1677319999999884</v>
      </c>
    </row>
    <row r="51" spans="1:10" x14ac:dyDescent="0.25">
      <c r="A51">
        <f t="shared" si="5"/>
        <v>1961</v>
      </c>
      <c r="B51" s="1">
        <v>0.96599999999999997</v>
      </c>
      <c r="C51" s="1">
        <v>0.502</v>
      </c>
      <c r="D51" s="3">
        <f t="shared" si="0"/>
        <v>46.252079999999999</v>
      </c>
      <c r="E51" s="3">
        <f t="shared" si="1"/>
        <v>14.31704</v>
      </c>
      <c r="F51" s="4">
        <f t="shared" ca="1" si="6"/>
        <v>41540.280963807512</v>
      </c>
      <c r="G51" s="4">
        <f t="shared" ca="1" si="2"/>
        <v>1921.3243983605023</v>
      </c>
      <c r="H51" s="4">
        <f t="shared" ca="1" si="3"/>
        <v>594.73386417007077</v>
      </c>
      <c r="J51" s="6">
        <f t="shared" ca="1" si="4"/>
        <v>3.1935039999999941</v>
      </c>
    </row>
    <row r="52" spans="1:10" x14ac:dyDescent="0.25">
      <c r="A52">
        <f t="shared" si="5"/>
        <v>1962</v>
      </c>
      <c r="B52" s="1">
        <v>0.96699999999999997</v>
      </c>
      <c r="C52" s="1">
        <v>0.49299999999999999</v>
      </c>
      <c r="D52" s="3">
        <f t="shared" si="0"/>
        <v>46.299959999999999</v>
      </c>
      <c r="E52" s="3">
        <f t="shared" si="1"/>
        <v>14.060359999999999</v>
      </c>
      <c r="F52" s="4">
        <f t="shared" ca="1" si="6"/>
        <v>42866.871497997941</v>
      </c>
      <c r="G52" s="4">
        <f t="shared" ca="1" si="2"/>
        <v>1984.7344356824447</v>
      </c>
      <c r="H52" s="4">
        <f t="shared" ca="1" si="3"/>
        <v>602.72364533559039</v>
      </c>
      <c r="J52" s="6">
        <f t="shared" ca="1" si="4"/>
        <v>3.2239600000000124</v>
      </c>
    </row>
    <row r="53" spans="1:10" x14ac:dyDescent="0.25">
      <c r="A53">
        <f t="shared" si="5"/>
        <v>1963</v>
      </c>
      <c r="B53" s="1">
        <v>0.97599999999999998</v>
      </c>
      <c r="C53" s="1">
        <v>0.47299999999999998</v>
      </c>
      <c r="D53" s="3">
        <f t="shared" si="0"/>
        <v>46.730879999999999</v>
      </c>
      <c r="E53" s="3">
        <f t="shared" si="1"/>
        <v>13.48996</v>
      </c>
      <c r="F53" s="4">
        <f t="shared" ca="1" si="6"/>
        <v>44248.882288344801</v>
      </c>
      <c r="G53" s="4">
        <f t="shared" ca="1" si="2"/>
        <v>2067.7892083507663</v>
      </c>
      <c r="H53" s="4">
        <f t="shared" ca="1" si="3"/>
        <v>596.91565211447983</v>
      </c>
      <c r="J53" s="6">
        <f t="shared" ca="1" si="4"/>
        <v>3.3240919999999976</v>
      </c>
    </row>
    <row r="54" spans="1:10" x14ac:dyDescent="0.25">
      <c r="A54">
        <f t="shared" si="5"/>
        <v>1964</v>
      </c>
      <c r="B54" s="1">
        <v>0.97299999999999998</v>
      </c>
      <c r="C54" s="1">
        <v>0.441</v>
      </c>
      <c r="D54" s="3">
        <f t="shared" si="0"/>
        <v>46.587240000000001</v>
      </c>
      <c r="E54" s="3">
        <f t="shared" si="1"/>
        <v>12.57732</v>
      </c>
      <c r="F54" s="4">
        <f t="shared" ca="1" si="6"/>
        <v>45719.755844581086</v>
      </c>
      <c r="G54" s="4">
        <f t="shared" ca="1" si="2"/>
        <v>2129.9572382729016</v>
      </c>
      <c r="H54" s="4">
        <f t="shared" ca="1" si="3"/>
        <v>575.03199957916661</v>
      </c>
      <c r="J54" s="6">
        <f t="shared" ca="1" si="4"/>
        <v>3.4009920000000036</v>
      </c>
    </row>
    <row r="55" spans="1:10" x14ac:dyDescent="0.25">
      <c r="A55">
        <f t="shared" si="5"/>
        <v>1965</v>
      </c>
      <c r="B55" s="1">
        <v>0.98199999999999998</v>
      </c>
      <c r="C55" s="1">
        <v>0.42099999999999999</v>
      </c>
      <c r="D55" s="3">
        <f t="shared" si="0"/>
        <v>47.018160000000002</v>
      </c>
      <c r="E55" s="3">
        <f t="shared" si="1"/>
        <v>12.006919999999999</v>
      </c>
      <c r="F55" s="4">
        <f t="shared" ca="1" si="6"/>
        <v>47274.681083274823</v>
      </c>
      <c r="G55" s="4">
        <f t="shared" ca="1" si="2"/>
        <v>2222.7685191223891</v>
      </c>
      <c r="H55" s="4">
        <f t="shared" ca="1" si="3"/>
        <v>567.62331379239413</v>
      </c>
      <c r="J55" s="6">
        <f t="shared" ca="1" si="4"/>
        <v>3.5011239999999995</v>
      </c>
    </row>
    <row r="56" spans="1:10" x14ac:dyDescent="0.25">
      <c r="A56">
        <f t="shared" si="5"/>
        <v>1966</v>
      </c>
      <c r="B56" s="1">
        <v>0.99</v>
      </c>
      <c r="C56" s="1">
        <v>0.39800000000000002</v>
      </c>
      <c r="D56" s="3">
        <f t="shared" si="0"/>
        <v>47.401200000000003</v>
      </c>
      <c r="E56" s="3">
        <f t="shared" si="1"/>
        <v>11.350960000000001</v>
      </c>
      <c r="F56" s="4">
        <f t="shared" ca="1" si="6"/>
        <v>48929.826288604818</v>
      </c>
      <c r="G56" s="4">
        <f t="shared" ca="1" si="2"/>
        <v>2319.332481871415</v>
      </c>
      <c r="H56" s="4">
        <f t="shared" ca="1" si="3"/>
        <v>555.40050100890176</v>
      </c>
      <c r="J56" s="6">
        <f t="shared" ca="1" si="4"/>
        <v>3.6050240000000042</v>
      </c>
    </row>
    <row r="57" spans="1:10" x14ac:dyDescent="0.25">
      <c r="A57">
        <f t="shared" si="5"/>
        <v>1967</v>
      </c>
      <c r="B57" s="1">
        <v>0.995</v>
      </c>
      <c r="C57" s="1">
        <v>0.38800000000000001</v>
      </c>
      <c r="D57" s="3">
        <f t="shared" si="0"/>
        <v>47.640599999999999</v>
      </c>
      <c r="E57" s="3">
        <f t="shared" si="1"/>
        <v>11.065760000000001</v>
      </c>
      <c r="F57" s="4">
        <f t="shared" ca="1" si="6"/>
        <v>50693.758269467333</v>
      </c>
      <c r="G57" s="4">
        <f t="shared" ca="1" si="2"/>
        <v>2415.0810602123852</v>
      </c>
      <c r="H57" s="4">
        <f t="shared" ca="1" si="3"/>
        <v>560.96496250794087</v>
      </c>
      <c r="J57" s="6">
        <f t="shared" ca="1" si="4"/>
        <v>3.6574839999999949</v>
      </c>
    </row>
    <row r="58" spans="1:10" x14ac:dyDescent="0.25">
      <c r="A58">
        <f t="shared" si="5"/>
        <v>1968</v>
      </c>
      <c r="B58" s="1">
        <v>1.0009999999999999</v>
      </c>
      <c r="C58" s="1">
        <v>0.374</v>
      </c>
      <c r="D58" s="3">
        <f t="shared" si="0"/>
        <v>47.927879999999995</v>
      </c>
      <c r="E58" s="3">
        <f t="shared" si="1"/>
        <v>10.66648</v>
      </c>
      <c r="F58" s="4">
        <f t="shared" ca="1" si="6"/>
        <v>52547.874367171775</v>
      </c>
      <c r="G58" s="4">
        <f t="shared" ca="1" si="2"/>
        <v>2518.5082169248844</v>
      </c>
      <c r="H58" s="4">
        <f t="shared" ca="1" si="3"/>
        <v>560.50085097995043</v>
      </c>
      <c r="J58" s="6">
        <f t="shared" ca="1" si="4"/>
        <v>3.7261399999999982</v>
      </c>
    </row>
    <row r="59" spans="1:10" x14ac:dyDescent="0.25">
      <c r="A59">
        <f t="shared" si="5"/>
        <v>1969</v>
      </c>
      <c r="B59" s="1">
        <v>1</v>
      </c>
      <c r="C59" s="1">
        <v>0.36899999999999999</v>
      </c>
      <c r="D59" s="3">
        <f t="shared" si="0"/>
        <v>47.88</v>
      </c>
      <c r="E59" s="3">
        <f t="shared" si="1"/>
        <v>10.52388</v>
      </c>
      <c r="F59" s="4">
        <f t="shared" ca="1" si="6"/>
        <v>54505.881733116708</v>
      </c>
      <c r="G59" s="4">
        <f t="shared" ca="1" si="2"/>
        <v>2609.7416173816282</v>
      </c>
      <c r="H59" s="4">
        <f t="shared" ca="1" si="3"/>
        <v>573.61335865351236</v>
      </c>
      <c r="J59" s="6">
        <f t="shared" ca="1" si="4"/>
        <v>3.7356120000000015</v>
      </c>
    </row>
    <row r="60" spans="1:10" x14ac:dyDescent="0.25">
      <c r="A60">
        <f t="shared" si="5"/>
        <v>1970</v>
      </c>
      <c r="B60" s="1">
        <v>0.996</v>
      </c>
      <c r="C60" s="1">
        <v>0.35499999999999998</v>
      </c>
      <c r="D60" s="3">
        <f t="shared" si="0"/>
        <v>47.688480000000006</v>
      </c>
      <c r="E60" s="3">
        <f t="shared" si="1"/>
        <v>10.124599999999999</v>
      </c>
      <c r="F60" s="4">
        <f t="shared" ca="1" si="6"/>
        <v>56542.009991844825</v>
      </c>
      <c r="G60" s="4">
        <f t="shared" ca="1" si="2"/>
        <v>2696.4025126558922</v>
      </c>
      <c r="H60" s="4">
        <f t="shared" ca="1" si="3"/>
        <v>572.46523436343205</v>
      </c>
      <c r="J60" s="6">
        <f t="shared" ca="1" si="4"/>
        <v>3.7563880000000034</v>
      </c>
    </row>
    <row r="61" spans="1:10" x14ac:dyDescent="0.25">
      <c r="A61">
        <f t="shared" si="5"/>
        <v>1971</v>
      </c>
      <c r="B61" s="1">
        <v>0.99099999999999999</v>
      </c>
      <c r="C61" s="1">
        <v>0.34599999999999997</v>
      </c>
      <c r="D61" s="3">
        <f t="shared" si="0"/>
        <v>47.449080000000002</v>
      </c>
      <c r="E61" s="3">
        <f t="shared" si="1"/>
        <v>9.8679199999999998</v>
      </c>
      <c r="F61" s="4">
        <f t="shared" ca="1" si="6"/>
        <v>58665.947270137287</v>
      </c>
      <c r="G61" s="4">
        <f t="shared" ca="1" si="2"/>
        <v>2783.645225296526</v>
      </c>
      <c r="H61" s="4">
        <f t="shared" ca="1" si="3"/>
        <v>578.9108743859332</v>
      </c>
      <c r="J61" s="6">
        <f t="shared" ca="1" si="4"/>
        <v>3.7581159999999993</v>
      </c>
    </row>
    <row r="62" spans="1:10" x14ac:dyDescent="0.25">
      <c r="A62">
        <f t="shared" si="5"/>
        <v>1972</v>
      </c>
      <c r="B62" s="1">
        <v>0.98899999999999999</v>
      </c>
      <c r="C62" s="1">
        <v>0.33</v>
      </c>
      <c r="D62" s="3">
        <f t="shared" si="0"/>
        <v>47.353320000000004</v>
      </c>
      <c r="E62" s="3">
        <f t="shared" si="1"/>
        <v>9.4116</v>
      </c>
      <c r="F62" s="4">
        <f t="shared" ca="1" si="6"/>
        <v>60870.681621047879</v>
      </c>
      <c r="G62" s="4">
        <f t="shared" ca="1" si="2"/>
        <v>2882.4288654195993</v>
      </c>
      <c r="H62" s="4">
        <f t="shared" ca="1" si="3"/>
        <v>572.89050714465418</v>
      </c>
      <c r="J62" s="6">
        <f t="shared" ca="1" si="4"/>
        <v>3.7941719999999952</v>
      </c>
    </row>
    <row r="63" spans="1:10" x14ac:dyDescent="0.25">
      <c r="A63">
        <f t="shared" si="5"/>
        <v>1973</v>
      </c>
      <c r="B63" s="1">
        <v>0.98599999999999999</v>
      </c>
      <c r="C63" s="1">
        <v>0.32</v>
      </c>
      <c r="D63" s="3">
        <f t="shared" si="0"/>
        <v>47.209679999999999</v>
      </c>
      <c r="E63" s="3">
        <f t="shared" si="1"/>
        <v>9.1264000000000003</v>
      </c>
      <c r="F63" s="4">
        <f t="shared" ca="1" si="6"/>
        <v>63180.219979322821</v>
      </c>
      <c r="G63" s="4">
        <f t="shared" ca="1" si="2"/>
        <v>2982.7179675534367</v>
      </c>
      <c r="H63" s="4">
        <f t="shared" ca="1" si="3"/>
        <v>576.60795961929182</v>
      </c>
      <c r="J63" s="6">
        <f t="shared" ca="1" si="4"/>
        <v>3.8083280000000168</v>
      </c>
    </row>
    <row r="64" spans="1:10" x14ac:dyDescent="0.25">
      <c r="A64">
        <f t="shared" si="5"/>
        <v>1974</v>
      </c>
      <c r="B64" s="1">
        <v>0.98399999999999999</v>
      </c>
      <c r="C64" s="1">
        <v>0.313</v>
      </c>
      <c r="D64" s="3">
        <f t="shared" si="0"/>
        <v>47.11392</v>
      </c>
      <c r="E64" s="3">
        <f t="shared" si="1"/>
        <v>8.9267599999999998</v>
      </c>
      <c r="F64" s="4">
        <f t="shared" ca="1" si="6"/>
        <v>65586.329987256977</v>
      </c>
      <c r="G64" s="4">
        <f t="shared" ca="1" si="2"/>
        <v>3090.0291041132264</v>
      </c>
      <c r="H64" s="4">
        <f t="shared" ca="1" si="3"/>
        <v>585.47342707704615</v>
      </c>
      <c r="J64" s="6">
        <f t="shared" ca="1" si="4"/>
        <v>3.8187160000000109</v>
      </c>
    </row>
    <row r="65" spans="1:10" x14ac:dyDescent="0.25">
      <c r="A65">
        <f t="shared" si="5"/>
        <v>1975</v>
      </c>
      <c r="B65" s="1">
        <v>0.98399999999999999</v>
      </c>
      <c r="C65" s="1">
        <v>0.30399999999999999</v>
      </c>
      <c r="D65" s="3">
        <f t="shared" si="0"/>
        <v>47.11392</v>
      </c>
      <c r="E65" s="3">
        <f t="shared" si="1"/>
        <v>8.6700800000000005</v>
      </c>
      <c r="F65" s="4">
        <f t="shared" ca="1" si="6"/>
        <v>68090.885664293164</v>
      </c>
      <c r="G65" s="4">
        <f t="shared" ca="1" si="2"/>
        <v>3208.0285399166551</v>
      </c>
      <c r="H65" s="4">
        <f t="shared" ca="1" si="3"/>
        <v>590.35342598027489</v>
      </c>
      <c r="J65" s="6">
        <f t="shared" ca="1" si="4"/>
        <v>3.8443840000000167</v>
      </c>
    </row>
    <row r="66" spans="1:10" x14ac:dyDescent="0.25">
      <c r="A66">
        <f t="shared" si="5"/>
        <v>1976</v>
      </c>
      <c r="B66" s="1">
        <v>0.97699999999999998</v>
      </c>
      <c r="C66" s="1">
        <v>0.29899999999999999</v>
      </c>
      <c r="D66" s="3">
        <f t="shared" si="0"/>
        <v>46.778759999999998</v>
      </c>
      <c r="E66" s="3">
        <f t="shared" si="1"/>
        <v>8.5274799999999988</v>
      </c>
      <c r="F66" s="4">
        <f t="shared" ca="1" si="6"/>
        <v>70708.560778229556</v>
      </c>
      <c r="G66" s="4">
        <f t="shared" ca="1" si="2"/>
        <v>3307.6587945902133</v>
      </c>
      <c r="H66" s="4">
        <f t="shared" ca="1" si="3"/>
        <v>602.9658378651369</v>
      </c>
      <c r="J66" s="6">
        <f t="shared" ca="1" si="4"/>
        <v>3.8251280000000007</v>
      </c>
    </row>
    <row r="67" spans="1:10" x14ac:dyDescent="0.25">
      <c r="A67">
        <f t="shared" si="5"/>
        <v>1977</v>
      </c>
      <c r="B67" s="1">
        <v>0.97299999999999998</v>
      </c>
      <c r="C67" s="1">
        <v>0.29299999999999998</v>
      </c>
      <c r="D67" s="3">
        <f t="shared" si="0"/>
        <v>46.587240000000001</v>
      </c>
      <c r="E67" s="3">
        <f t="shared" si="1"/>
        <v>8.3563599999999987</v>
      </c>
      <c r="F67" s="4">
        <f t="shared" ca="1" si="6"/>
        <v>73413.253734954633</v>
      </c>
      <c r="G67" s="4">
        <f t="shared" ca="1" si="2"/>
        <v>3420.1208709312282</v>
      </c>
      <c r="H67" s="4">
        <f t="shared" ca="1" si="3"/>
        <v>613.46757698062538</v>
      </c>
      <c r="J67" s="6">
        <f t="shared" ca="1" si="4"/>
        <v>3.8230880000000163</v>
      </c>
    </row>
    <row r="68" spans="1:10" x14ac:dyDescent="0.25">
      <c r="A68">
        <f t="shared" si="5"/>
        <v>1978</v>
      </c>
      <c r="B68" s="1">
        <v>0.96099999999999997</v>
      </c>
      <c r="C68" s="1">
        <v>0.29299999999999998</v>
      </c>
      <c r="D68" s="3">
        <f t="shared" si="0"/>
        <v>46.012680000000003</v>
      </c>
      <c r="E68" s="3">
        <f t="shared" si="1"/>
        <v>8.3563599999999987</v>
      </c>
      <c r="F68" s="4">
        <f t="shared" ca="1" si="6"/>
        <v>76219.907028905247</v>
      </c>
      <c r="G68" s="4">
        <f t="shared" ca="1" si="2"/>
        <v>3507.0821917507683</v>
      </c>
      <c r="H68" s="4">
        <f t="shared" ca="1" si="3"/>
        <v>636.92098230006252</v>
      </c>
      <c r="J68" s="6">
        <f t="shared" ca="1" si="4"/>
        <v>3.7656320000000121</v>
      </c>
    </row>
    <row r="69" spans="1:10" x14ac:dyDescent="0.25">
      <c r="A69">
        <f t="shared" si="5"/>
        <v>1979</v>
      </c>
      <c r="B69" s="1">
        <v>0.95199999999999996</v>
      </c>
      <c r="C69" s="1">
        <v>0.29199999999999998</v>
      </c>
      <c r="D69" s="3">
        <f t="shared" si="0"/>
        <v>45.581760000000003</v>
      </c>
      <c r="E69" s="3">
        <f t="shared" si="1"/>
        <v>8.3278400000000001</v>
      </c>
      <c r="F69" s="4">
        <f t="shared" ca="1" si="6"/>
        <v>79090.068238355962</v>
      </c>
      <c r="G69" s="4">
        <f t="shared" ca="1" si="2"/>
        <v>3605.0645088243641</v>
      </c>
      <c r="H69" s="4">
        <f t="shared" ca="1" si="3"/>
        <v>658.64943387811036</v>
      </c>
      <c r="J69" s="6">
        <f t="shared" ca="1" si="4"/>
        <v>3.7253920000000038</v>
      </c>
    </row>
    <row r="70" spans="1:10" x14ac:dyDescent="0.25">
      <c r="A70">
        <f t="shared" si="5"/>
        <v>1980</v>
      </c>
      <c r="B70" s="1">
        <v>0.95399999999999996</v>
      </c>
      <c r="C70" s="1">
        <v>0.28899999999999998</v>
      </c>
      <c r="D70" s="3">
        <f t="shared" si="0"/>
        <v>45.677520000000001</v>
      </c>
      <c r="E70" s="3">
        <f t="shared" si="1"/>
        <v>8.2422799999999992</v>
      </c>
      <c r="F70" s="4">
        <f t="shared" ca="1" si="6"/>
        <v>82036.483313302218</v>
      </c>
      <c r="G70" s="4">
        <f t="shared" ca="1" si="2"/>
        <v>3747.2231072730283</v>
      </c>
      <c r="H70" s="4">
        <f t="shared" ca="1" si="3"/>
        <v>676.16766568356445</v>
      </c>
      <c r="J70" s="6">
        <f t="shared" ca="1" si="4"/>
        <v>3.7435239999999936</v>
      </c>
    </row>
    <row r="71" spans="1:10" x14ac:dyDescent="0.25">
      <c r="A71">
        <f t="shared" si="5"/>
        <v>1981</v>
      </c>
      <c r="B71" s="1">
        <v>0.95099999999999996</v>
      </c>
      <c r="C71" s="1">
        <v>0.28399999999999997</v>
      </c>
      <c r="D71" s="3">
        <f t="shared" si="0"/>
        <v>45.533880000000003</v>
      </c>
      <c r="E71" s="3">
        <f t="shared" si="1"/>
        <v>8.0996799999999993</v>
      </c>
      <c r="F71" s="4">
        <f t="shared" ca="1" si="6"/>
        <v>85107.538754891677</v>
      </c>
      <c r="G71" s="4">
        <f t="shared" ca="1" si="2"/>
        <v>3875.2764567605873</v>
      </c>
      <c r="H71" s="4">
        <f t="shared" ca="1" si="3"/>
        <v>689.34382950222096</v>
      </c>
      <c r="J71" s="6">
        <f t="shared" ca="1" si="4"/>
        <v>3.7434200000000062</v>
      </c>
    </row>
    <row r="72" spans="1:10" x14ac:dyDescent="0.25">
      <c r="A72">
        <f t="shared" si="5"/>
        <v>1982</v>
      </c>
      <c r="B72" s="1">
        <v>0.94699999999999995</v>
      </c>
      <c r="C72" s="1">
        <v>0.27400000000000002</v>
      </c>
      <c r="D72" s="3">
        <f t="shared" ref="D72:D120" si="7">B72*$D$6</f>
        <v>45.342359999999999</v>
      </c>
      <c r="E72" s="3">
        <f t="shared" ref="E72:E120" si="8">C72*$E$6</f>
        <v>7.8144800000000005</v>
      </c>
      <c r="F72" s="4">
        <f t="shared" ca="1" si="6"/>
        <v>88293.471382150048</v>
      </c>
      <c r="G72" s="4">
        <f t="shared" ref="G72:G120" ca="1" si="9">F72*D72/1000</f>
        <v>4003.434365059145</v>
      </c>
      <c r="H72" s="4">
        <f t="shared" ref="H72:H120" ca="1" si="10">E72*F72/1000</f>
        <v>689.96756624638397</v>
      </c>
      <c r="J72" s="6">
        <f t="shared" ref="J72:J129" ca="1" si="11">100 *(F73-F72) / F72</f>
        <v>3.7527880000000011</v>
      </c>
    </row>
    <row r="73" spans="1:10" x14ac:dyDescent="0.25">
      <c r="A73">
        <f t="shared" ref="A73:A121" si="12">A72+1</f>
        <v>1983</v>
      </c>
      <c r="B73" s="1">
        <v>0.94</v>
      </c>
      <c r="C73" s="1">
        <v>0.25600000000000001</v>
      </c>
      <c r="D73" s="3">
        <f t="shared" si="7"/>
        <v>45.007199999999997</v>
      </c>
      <c r="E73" s="3">
        <f t="shared" si="8"/>
        <v>7.3011200000000001</v>
      </c>
      <c r="F73" s="4">
        <f t="shared" ref="F73:F120" ca="1" si="13">F72+G72-H72+I72</f>
        <v>91606.93818096281</v>
      </c>
      <c r="G73" s="4">
        <f t="shared" ca="1" si="9"/>
        <v>4122.9717880982289</v>
      </c>
      <c r="H73" s="4">
        <f t="shared" ca="1" si="10"/>
        <v>668.83324849179121</v>
      </c>
      <c r="J73" s="6">
        <f t="shared" ca="1" si="11"/>
        <v>3.7706080000000055</v>
      </c>
    </row>
    <row r="74" spans="1:10" x14ac:dyDescent="0.25">
      <c r="A74">
        <f t="shared" si="12"/>
        <v>1984</v>
      </c>
      <c r="B74" s="1">
        <v>0.92700000000000005</v>
      </c>
      <c r="C74" s="1">
        <v>0.24299999999999999</v>
      </c>
      <c r="D74" s="3">
        <f t="shared" si="7"/>
        <v>44.384760000000007</v>
      </c>
      <c r="E74" s="3">
        <f t="shared" si="8"/>
        <v>6.9303599999999994</v>
      </c>
      <c r="F74" s="4">
        <f t="shared" ca="1" si="13"/>
        <v>95061.076720569254</v>
      </c>
      <c r="G74" s="4">
        <f t="shared" ca="1" si="9"/>
        <v>4219.2630755840537</v>
      </c>
      <c r="H74" s="4">
        <f t="shared" ca="1" si="10"/>
        <v>658.80748366116427</v>
      </c>
      <c r="J74" s="6">
        <f t="shared" ca="1" si="11"/>
        <v>3.7454399999999985</v>
      </c>
    </row>
    <row r="75" spans="1:10" x14ac:dyDescent="0.25">
      <c r="A75">
        <f t="shared" si="12"/>
        <v>1985</v>
      </c>
      <c r="B75" s="1">
        <v>0.90900000000000003</v>
      </c>
      <c r="C75" s="1">
        <v>0.23200000000000001</v>
      </c>
      <c r="D75" s="3">
        <f t="shared" si="7"/>
        <v>43.522920000000006</v>
      </c>
      <c r="E75" s="3">
        <f t="shared" si="8"/>
        <v>6.6166400000000003</v>
      </c>
      <c r="F75" s="4">
        <f t="shared" ca="1" si="13"/>
        <v>98621.532312492142</v>
      </c>
      <c r="G75" s="4">
        <f t="shared" ca="1" si="9"/>
        <v>4292.2970611140117</v>
      </c>
      <c r="H75" s="4">
        <f t="shared" ca="1" si="10"/>
        <v>652.54317556012802</v>
      </c>
      <c r="J75" s="6">
        <f t="shared" ca="1" si="11"/>
        <v>3.6906280000000056</v>
      </c>
    </row>
    <row r="76" spans="1:10" x14ac:dyDescent="0.25">
      <c r="A76">
        <f t="shared" si="12"/>
        <v>1986</v>
      </c>
      <c r="B76" s="1">
        <v>0.88700000000000001</v>
      </c>
      <c r="C76" s="1">
        <v>0.22500000000000001</v>
      </c>
      <c r="D76" s="3">
        <f t="shared" si="7"/>
        <v>42.469560000000001</v>
      </c>
      <c r="E76" s="3">
        <f t="shared" si="8"/>
        <v>6.4169999999999998</v>
      </c>
      <c r="F76" s="4">
        <f t="shared" ca="1" si="13"/>
        <v>102261.28619804603</v>
      </c>
      <c r="G76" s="4">
        <f t="shared" ca="1" si="9"/>
        <v>4342.9918298650873</v>
      </c>
      <c r="H76" s="4">
        <f t="shared" ca="1" si="10"/>
        <v>656.21067353286139</v>
      </c>
      <c r="J76" s="6">
        <f t="shared" ca="1" si="11"/>
        <v>3.6052560000000056</v>
      </c>
    </row>
    <row r="77" spans="1:10" x14ac:dyDescent="0.25">
      <c r="A77">
        <f t="shared" si="12"/>
        <v>1987</v>
      </c>
      <c r="B77" s="1">
        <v>0.86799999999999999</v>
      </c>
      <c r="C77" s="1">
        <v>0.215</v>
      </c>
      <c r="D77" s="3">
        <f t="shared" si="7"/>
        <v>41.559840000000001</v>
      </c>
      <c r="E77" s="3">
        <f t="shared" si="8"/>
        <v>6.1318000000000001</v>
      </c>
      <c r="F77" s="4">
        <f t="shared" ca="1" si="13"/>
        <v>105948.06735437826</v>
      </c>
      <c r="G77" s="4">
        <f t="shared" ca="1" si="9"/>
        <v>4403.1847275571845</v>
      </c>
      <c r="H77" s="4">
        <f t="shared" ca="1" si="10"/>
        <v>649.65235940357661</v>
      </c>
      <c r="J77" s="6">
        <f t="shared" ca="1" si="11"/>
        <v>3.5428039999999892</v>
      </c>
    </row>
    <row r="78" spans="1:10" x14ac:dyDescent="0.25">
      <c r="A78">
        <f t="shared" si="12"/>
        <v>1988</v>
      </c>
      <c r="B78" s="1">
        <v>0.83799999999999997</v>
      </c>
      <c r="C78" s="1">
        <v>0.20799999999999999</v>
      </c>
      <c r="D78" s="3">
        <f t="shared" si="7"/>
        <v>40.123440000000002</v>
      </c>
      <c r="E78" s="3">
        <f t="shared" si="8"/>
        <v>5.9321599999999997</v>
      </c>
      <c r="F78" s="4">
        <f t="shared" ca="1" si="13"/>
        <v>109701.59972253186</v>
      </c>
      <c r="G78" s="4">
        <f t="shared" ca="1" si="9"/>
        <v>4401.6055543710236</v>
      </c>
      <c r="H78" s="4">
        <f t="shared" ca="1" si="10"/>
        <v>650.76744181001459</v>
      </c>
      <c r="J78" s="6">
        <f t="shared" ca="1" si="11"/>
        <v>3.4191279999999944</v>
      </c>
    </row>
    <row r="79" spans="1:10" x14ac:dyDescent="0.25">
      <c r="A79">
        <f t="shared" si="12"/>
        <v>1989</v>
      </c>
      <c r="B79" s="1">
        <v>0.81</v>
      </c>
      <c r="C79" s="1">
        <v>0.20300000000000001</v>
      </c>
      <c r="D79" s="3">
        <f t="shared" si="7"/>
        <v>38.782800000000002</v>
      </c>
      <c r="E79" s="3">
        <f t="shared" si="8"/>
        <v>5.7895600000000007</v>
      </c>
      <c r="F79" s="4">
        <f t="shared" ca="1" si="13"/>
        <v>113452.43783509286</v>
      </c>
      <c r="G79" s="4">
        <f t="shared" ca="1" si="9"/>
        <v>4400.003206070839</v>
      </c>
      <c r="H79" s="4">
        <f t="shared" ca="1" si="10"/>
        <v>656.83969599254033</v>
      </c>
      <c r="J79" s="6">
        <f t="shared" ca="1" si="11"/>
        <v>3.2993239999999902</v>
      </c>
    </row>
    <row r="80" spans="1:10" x14ac:dyDescent="0.25">
      <c r="A80">
        <f t="shared" si="12"/>
        <v>1990</v>
      </c>
      <c r="B80" s="1">
        <v>0.78100000000000003</v>
      </c>
      <c r="C80" s="1">
        <v>0.19500000000000001</v>
      </c>
      <c r="D80" s="3">
        <f t="shared" si="7"/>
        <v>37.394280000000002</v>
      </c>
      <c r="E80" s="3">
        <f t="shared" si="8"/>
        <v>5.5613999999999999</v>
      </c>
      <c r="F80" s="4">
        <f t="shared" ca="1" si="13"/>
        <v>117195.60134517115</v>
      </c>
      <c r="G80" s="4">
        <f t="shared" ca="1" si="9"/>
        <v>4382.4451314697071</v>
      </c>
      <c r="H80" s="4">
        <f t="shared" ca="1" si="10"/>
        <v>651.7716173210348</v>
      </c>
      <c r="J80" s="6">
        <f t="shared" ca="1" si="11"/>
        <v>3.1832879999999997</v>
      </c>
    </row>
    <row r="81" spans="1:10" x14ac:dyDescent="0.25">
      <c r="A81">
        <f t="shared" si="12"/>
        <v>1991</v>
      </c>
      <c r="B81" s="1">
        <v>0.76900000000000002</v>
      </c>
      <c r="C81" s="1">
        <v>0.185</v>
      </c>
      <c r="D81" s="3">
        <f t="shared" si="7"/>
        <v>36.819720000000004</v>
      </c>
      <c r="E81" s="3">
        <f t="shared" si="8"/>
        <v>5.2762000000000002</v>
      </c>
      <c r="F81" s="4">
        <f t="shared" ca="1" si="13"/>
        <v>120926.27485931982</v>
      </c>
      <c r="G81" s="4">
        <f t="shared" ca="1" si="9"/>
        <v>4452.4715809631953</v>
      </c>
      <c r="H81" s="4">
        <f t="shared" ca="1" si="10"/>
        <v>638.03121141274335</v>
      </c>
      <c r="J81" s="6">
        <f t="shared" ca="1" si="11"/>
        <v>3.1543519999999936</v>
      </c>
    </row>
    <row r="82" spans="1:10" x14ac:dyDescent="0.25">
      <c r="A82">
        <f t="shared" si="12"/>
        <v>1992</v>
      </c>
      <c r="B82" s="1">
        <v>0.76100000000000001</v>
      </c>
      <c r="C82" s="1">
        <v>0.18</v>
      </c>
      <c r="D82" s="3">
        <f t="shared" si="7"/>
        <v>36.436680000000003</v>
      </c>
      <c r="E82" s="3">
        <f t="shared" si="8"/>
        <v>5.1335999999999995</v>
      </c>
      <c r="F82" s="4">
        <f t="shared" ca="1" si="13"/>
        <v>124740.71522887026</v>
      </c>
      <c r="G82" s="4">
        <f t="shared" ca="1" si="9"/>
        <v>4545.1375237654729</v>
      </c>
      <c r="H82" s="4">
        <f t="shared" ca="1" si="10"/>
        <v>640.36893569892834</v>
      </c>
      <c r="J82" s="6">
        <f t="shared" ca="1" si="11"/>
        <v>3.1303079999999945</v>
      </c>
    </row>
    <row r="83" spans="1:10" x14ac:dyDescent="0.25">
      <c r="A83">
        <f t="shared" si="12"/>
        <v>1993</v>
      </c>
      <c r="B83" s="1">
        <v>0.75800000000000001</v>
      </c>
      <c r="C83" s="1">
        <v>0.17599999999999999</v>
      </c>
      <c r="D83" s="3">
        <f t="shared" si="7"/>
        <v>36.293040000000005</v>
      </c>
      <c r="E83" s="3">
        <f t="shared" si="8"/>
        <v>5.01952</v>
      </c>
      <c r="F83" s="4">
        <f t="shared" ca="1" si="13"/>
        <v>128645.4838169368</v>
      </c>
      <c r="G83" s="4">
        <f t="shared" ca="1" si="9"/>
        <v>4668.935689987441</v>
      </c>
      <c r="H83" s="4">
        <f t="shared" ca="1" si="10"/>
        <v>645.73857892879062</v>
      </c>
      <c r="J83" s="6">
        <f t="shared" ca="1" si="11"/>
        <v>3.1273520000000197</v>
      </c>
    </row>
    <row r="84" spans="1:10" x14ac:dyDescent="0.25">
      <c r="A84">
        <f t="shared" si="12"/>
        <v>1994</v>
      </c>
      <c r="B84" s="1">
        <v>0.75600000000000001</v>
      </c>
      <c r="C84" s="1">
        <v>0.17100000000000001</v>
      </c>
      <c r="D84" s="3">
        <f t="shared" si="7"/>
        <v>36.197279999999999</v>
      </c>
      <c r="E84" s="3">
        <f t="shared" si="8"/>
        <v>4.8769200000000001</v>
      </c>
      <c r="F84" s="4">
        <f t="shared" ca="1" si="13"/>
        <v>132668.68092799548</v>
      </c>
      <c r="G84" s="4">
        <f t="shared" ca="1" si="9"/>
        <v>4802.2453907813124</v>
      </c>
      <c r="H84" s="4">
        <f t="shared" ca="1" si="10"/>
        <v>647.01454339135978</v>
      </c>
      <c r="J84" s="6">
        <f t="shared" ca="1" si="11"/>
        <v>3.1320360000000065</v>
      </c>
    </row>
    <row r="85" spans="1:10" x14ac:dyDescent="0.25">
      <c r="A85">
        <f t="shared" si="12"/>
        <v>1995</v>
      </c>
      <c r="B85" s="1">
        <v>0.76100000000000001</v>
      </c>
      <c r="C85" s="1">
        <v>0.16600000000000001</v>
      </c>
      <c r="D85" s="3">
        <f t="shared" si="7"/>
        <v>36.436680000000003</v>
      </c>
      <c r="E85" s="3">
        <f t="shared" si="8"/>
        <v>4.7343200000000003</v>
      </c>
      <c r="F85" s="4">
        <f t="shared" ca="1" si="13"/>
        <v>136823.91177538544</v>
      </c>
      <c r="G85" s="4">
        <f t="shared" ca="1" si="9"/>
        <v>4985.4090897079514</v>
      </c>
      <c r="H85" s="4">
        <f t="shared" ca="1" si="10"/>
        <v>647.76818199644288</v>
      </c>
      <c r="J85" s="6">
        <f t="shared" ca="1" si="11"/>
        <v>3.1702359999999903</v>
      </c>
    </row>
    <row r="86" spans="1:10" x14ac:dyDescent="0.25">
      <c r="A86">
        <f t="shared" si="12"/>
        <v>1996</v>
      </c>
      <c r="B86" s="1">
        <v>0.755</v>
      </c>
      <c r="C86" s="1">
        <v>0.16300000000000001</v>
      </c>
      <c r="D86" s="3">
        <f t="shared" si="7"/>
        <v>36.1494</v>
      </c>
      <c r="E86" s="3">
        <f t="shared" si="8"/>
        <v>4.6487600000000002</v>
      </c>
      <c r="F86" s="4">
        <f t="shared" ca="1" si="13"/>
        <v>141161.55268309693</v>
      </c>
      <c r="G86" s="4">
        <f t="shared" ca="1" si="9"/>
        <v>5102.9054325623438</v>
      </c>
      <c r="H86" s="4">
        <f t="shared" ca="1" si="10"/>
        <v>656.22617965107372</v>
      </c>
      <c r="J86" s="6">
        <f t="shared" ca="1" si="11"/>
        <v>3.1500640000000009</v>
      </c>
    </row>
    <row r="87" spans="1:10" x14ac:dyDescent="0.25">
      <c r="A87">
        <f t="shared" si="12"/>
        <v>1997</v>
      </c>
      <c r="B87" s="1">
        <v>0.74299999999999999</v>
      </c>
      <c r="C87" s="1">
        <v>0.16</v>
      </c>
      <c r="D87" s="3">
        <f t="shared" si="7"/>
        <v>35.574840000000002</v>
      </c>
      <c r="E87" s="3">
        <f t="shared" si="8"/>
        <v>4.5632000000000001</v>
      </c>
      <c r="F87" s="4">
        <f t="shared" ca="1" si="13"/>
        <v>145608.2319360082</v>
      </c>
      <c r="G87" s="4">
        <f t="shared" ca="1" si="9"/>
        <v>5179.989553806382</v>
      </c>
      <c r="H87" s="4">
        <f t="shared" ca="1" si="10"/>
        <v>664.43948397039264</v>
      </c>
      <c r="J87" s="6">
        <f t="shared" ca="1" si="11"/>
        <v>3.1011639999999856</v>
      </c>
    </row>
    <row r="88" spans="1:10" x14ac:dyDescent="0.25">
      <c r="A88">
        <f t="shared" si="12"/>
        <v>1998</v>
      </c>
      <c r="B88" s="1">
        <v>0.72599999999999998</v>
      </c>
      <c r="C88" s="1">
        <v>0.159</v>
      </c>
      <c r="D88" s="3">
        <f t="shared" si="7"/>
        <v>34.76088</v>
      </c>
      <c r="E88" s="3">
        <f t="shared" si="8"/>
        <v>4.5346799999999998</v>
      </c>
      <c r="F88" s="4">
        <f t="shared" ca="1" si="13"/>
        <v>150123.78200584417</v>
      </c>
      <c r="G88" s="4">
        <f t="shared" ca="1" si="9"/>
        <v>5218.4347714513087</v>
      </c>
      <c r="H88" s="4">
        <f t="shared" ca="1" si="10"/>
        <v>680.7633117862614</v>
      </c>
      <c r="J88" s="6">
        <f t="shared" ca="1" si="11"/>
        <v>3.0226200000000061</v>
      </c>
    </row>
    <row r="89" spans="1:10" x14ac:dyDescent="0.25">
      <c r="A89">
        <f t="shared" si="12"/>
        <v>1999</v>
      </c>
      <c r="B89" s="1">
        <v>0.70499999999999996</v>
      </c>
      <c r="C89" s="1">
        <v>0.16</v>
      </c>
      <c r="D89" s="3">
        <f t="shared" si="7"/>
        <v>33.755400000000002</v>
      </c>
      <c r="E89" s="3">
        <f t="shared" si="8"/>
        <v>4.5632000000000001</v>
      </c>
      <c r="F89" s="4">
        <f t="shared" ca="1" si="13"/>
        <v>154661.45346550923</v>
      </c>
      <c r="G89" s="4">
        <f t="shared" ca="1" si="9"/>
        <v>5220.6592263096509</v>
      </c>
      <c r="H89" s="4">
        <f t="shared" ca="1" si="10"/>
        <v>705.75114445381166</v>
      </c>
      <c r="J89" s="6">
        <f t="shared" ca="1" si="11"/>
        <v>2.9192199999999935</v>
      </c>
    </row>
    <row r="90" spans="1:10" x14ac:dyDescent="0.25">
      <c r="A90">
        <f t="shared" si="12"/>
        <v>2000</v>
      </c>
      <c r="B90" s="1">
        <v>0.67500000000000004</v>
      </c>
      <c r="C90" s="1">
        <v>0.161</v>
      </c>
      <c r="D90" s="3">
        <f t="shared" si="7"/>
        <v>32.319000000000003</v>
      </c>
      <c r="E90" s="3">
        <f t="shared" si="8"/>
        <v>4.5917200000000005</v>
      </c>
      <c r="F90" s="4">
        <f t="shared" ca="1" si="13"/>
        <v>159176.36154736506</v>
      </c>
      <c r="G90" s="4">
        <f t="shared" ca="1" si="9"/>
        <v>5144.4208288492919</v>
      </c>
      <c r="H90" s="4">
        <f t="shared" ca="1" si="10"/>
        <v>730.89328284426722</v>
      </c>
      <c r="J90" s="6">
        <f t="shared" ca="1" si="11"/>
        <v>2.772727999999987</v>
      </c>
    </row>
    <row r="91" spans="1:10" x14ac:dyDescent="0.25">
      <c r="A91">
        <f t="shared" si="12"/>
        <v>2001</v>
      </c>
      <c r="B91" s="1">
        <v>0.64800000000000002</v>
      </c>
      <c r="C91" s="1">
        <v>0.16300000000000001</v>
      </c>
      <c r="D91" s="3">
        <f t="shared" si="7"/>
        <v>31.026240000000001</v>
      </c>
      <c r="E91" s="3">
        <f t="shared" si="8"/>
        <v>4.6487600000000002</v>
      </c>
      <c r="F91" s="4">
        <f t="shared" ca="1" si="13"/>
        <v>163589.88909337006</v>
      </c>
      <c r="G91" s="4">
        <f t="shared" ca="1" si="9"/>
        <v>5075.5791605842824</v>
      </c>
      <c r="H91" s="4">
        <f t="shared" ca="1" si="10"/>
        <v>760.49013282169506</v>
      </c>
      <c r="J91" s="6">
        <f t="shared" ca="1" si="11"/>
        <v>2.6377480000000006</v>
      </c>
    </row>
    <row r="92" spans="1:10" x14ac:dyDescent="0.25">
      <c r="A92">
        <f t="shared" si="12"/>
        <v>2002</v>
      </c>
      <c r="B92" s="1">
        <v>0.61799999999999999</v>
      </c>
      <c r="C92" s="1">
        <v>0.16300000000000001</v>
      </c>
      <c r="D92" s="3">
        <f t="shared" si="7"/>
        <v>29.589840000000002</v>
      </c>
      <c r="E92" s="3">
        <f t="shared" si="8"/>
        <v>4.6487600000000002</v>
      </c>
      <c r="F92" s="4">
        <f t="shared" ca="1" si="13"/>
        <v>167904.97812113265</v>
      </c>
      <c r="G92" s="4">
        <f t="shared" ca="1" si="9"/>
        <v>4968.2814378078165</v>
      </c>
      <c r="H92" s="4">
        <f t="shared" ca="1" si="10"/>
        <v>780.54994609039659</v>
      </c>
      <c r="J92" s="6">
        <f t="shared" ca="1" si="11"/>
        <v>2.4941079999999847</v>
      </c>
    </row>
    <row r="93" spans="1:10" x14ac:dyDescent="0.25">
      <c r="A93">
        <f t="shared" si="12"/>
        <v>2003</v>
      </c>
      <c r="B93" s="1">
        <v>0.59399999999999997</v>
      </c>
      <c r="C93" s="1">
        <v>0.16200000000000001</v>
      </c>
      <c r="D93" s="3">
        <f t="shared" si="7"/>
        <v>28.440719999999999</v>
      </c>
      <c r="E93" s="3">
        <f t="shared" si="8"/>
        <v>4.6202399999999999</v>
      </c>
      <c r="F93" s="4">
        <f t="shared" ca="1" si="13"/>
        <v>172092.70961285004</v>
      </c>
      <c r="G93" s="4">
        <f t="shared" ca="1" si="9"/>
        <v>4894.4405681403759</v>
      </c>
      <c r="H93" s="4">
        <f t="shared" ca="1" si="10"/>
        <v>795.10962066167428</v>
      </c>
      <c r="J93" s="6">
        <f t="shared" ca="1" si="11"/>
        <v>2.3820480000000042</v>
      </c>
    </row>
    <row r="94" spans="1:10" x14ac:dyDescent="0.25">
      <c r="A94">
        <f t="shared" si="12"/>
        <v>2004</v>
      </c>
      <c r="B94" s="1">
        <v>0.56899999999999995</v>
      </c>
      <c r="C94" s="1">
        <v>0.161</v>
      </c>
      <c r="D94" s="3">
        <f t="shared" si="7"/>
        <v>27.24372</v>
      </c>
      <c r="E94" s="3">
        <f t="shared" si="8"/>
        <v>4.5917200000000005</v>
      </c>
      <c r="F94" s="4">
        <f t="shared" ca="1" si="13"/>
        <v>176192.04056032875</v>
      </c>
      <c r="G94" s="4">
        <f t="shared" ca="1" si="9"/>
        <v>4800.1266192542398</v>
      </c>
      <c r="H94" s="4">
        <f t="shared" ca="1" si="10"/>
        <v>809.02451648167278</v>
      </c>
      <c r="J94" s="6">
        <f t="shared" ca="1" si="11"/>
        <v>2.2651999999999992</v>
      </c>
    </row>
    <row r="95" spans="1:10" x14ac:dyDescent="0.25">
      <c r="A95">
        <f t="shared" si="12"/>
        <v>2005</v>
      </c>
      <c r="B95" s="1">
        <v>0.55700000000000005</v>
      </c>
      <c r="C95" s="1">
        <v>0.158</v>
      </c>
      <c r="D95" s="3">
        <f t="shared" si="7"/>
        <v>26.669160000000005</v>
      </c>
      <c r="E95" s="3">
        <f t="shared" si="8"/>
        <v>4.5061600000000004</v>
      </c>
      <c r="F95" s="4">
        <f t="shared" ca="1" si="13"/>
        <v>180183.14266310132</v>
      </c>
      <c r="G95" s="4">
        <f t="shared" ca="1" si="9"/>
        <v>4805.3330609850764</v>
      </c>
      <c r="H95" s="4">
        <f t="shared" ca="1" si="10"/>
        <v>811.93407014276067</v>
      </c>
      <c r="J95" s="6">
        <f t="shared" ca="1" si="11"/>
        <v>2.2162999999999977</v>
      </c>
    </row>
    <row r="96" spans="1:10" x14ac:dyDescent="0.25">
      <c r="A96">
        <f t="shared" si="12"/>
        <v>2006</v>
      </c>
      <c r="B96" s="1">
        <v>0.54700000000000004</v>
      </c>
      <c r="C96" s="1">
        <v>0.156</v>
      </c>
      <c r="D96" s="3">
        <f t="shared" si="7"/>
        <v>26.190360000000002</v>
      </c>
      <c r="E96" s="3">
        <f t="shared" si="8"/>
        <v>4.4491199999999997</v>
      </c>
      <c r="F96" s="4">
        <f t="shared" ca="1" si="13"/>
        <v>184176.54165394363</v>
      </c>
      <c r="G96" s="4">
        <f t="shared" ca="1" si="9"/>
        <v>4823.6499294717796</v>
      </c>
      <c r="H96" s="4">
        <f t="shared" ca="1" si="10"/>
        <v>819.42353500339368</v>
      </c>
      <c r="J96" s="6">
        <f t="shared" ca="1" si="11"/>
        <v>2.1741240000000048</v>
      </c>
    </row>
    <row r="97" spans="1:10" x14ac:dyDescent="0.25">
      <c r="A97">
        <f t="shared" si="12"/>
        <v>2007</v>
      </c>
      <c r="B97" s="1">
        <v>0.54500000000000004</v>
      </c>
      <c r="C97" s="1">
        <v>0.155</v>
      </c>
      <c r="D97" s="3">
        <f t="shared" si="7"/>
        <v>26.094600000000003</v>
      </c>
      <c r="E97" s="3">
        <f t="shared" si="8"/>
        <v>4.4206000000000003</v>
      </c>
      <c r="F97" s="4">
        <f t="shared" ca="1" si="13"/>
        <v>188180.76804841202</v>
      </c>
      <c r="G97" s="4">
        <f t="shared" ca="1" si="9"/>
        <v>4910.5018699160928</v>
      </c>
      <c r="H97" s="4">
        <f t="shared" ca="1" si="10"/>
        <v>831.87190323481025</v>
      </c>
      <c r="J97" s="6">
        <f t="shared" ca="1" si="11"/>
        <v>2.1674000000000091</v>
      </c>
    </row>
    <row r="98" spans="1:10" x14ac:dyDescent="0.25">
      <c r="A98">
        <f t="shared" si="12"/>
        <v>2008</v>
      </c>
      <c r="B98" s="1">
        <v>0.53400000000000003</v>
      </c>
      <c r="C98" s="1">
        <v>0.154</v>
      </c>
      <c r="D98" s="3">
        <f t="shared" si="7"/>
        <v>25.567920000000004</v>
      </c>
      <c r="E98" s="3">
        <f t="shared" si="8"/>
        <v>4.39208</v>
      </c>
      <c r="F98" s="4">
        <f t="shared" ca="1" si="13"/>
        <v>192259.39801509332</v>
      </c>
      <c r="G98" s="4">
        <f t="shared" ca="1" si="9"/>
        <v>4915.6729076980664</v>
      </c>
      <c r="H98" s="4">
        <f t="shared" ca="1" si="10"/>
        <v>844.41865683413107</v>
      </c>
      <c r="J98" s="6">
        <f t="shared" ca="1" si="11"/>
        <v>2.117583999999991</v>
      </c>
    </row>
    <row r="99" spans="1:10" x14ac:dyDescent="0.25">
      <c r="A99">
        <f t="shared" si="12"/>
        <v>2009</v>
      </c>
      <c r="B99" s="1">
        <v>0.52400000000000002</v>
      </c>
      <c r="C99" s="1">
        <v>0.153</v>
      </c>
      <c r="D99" s="3">
        <f t="shared" si="7"/>
        <v>25.089120000000001</v>
      </c>
      <c r="E99" s="3">
        <f t="shared" si="8"/>
        <v>4.3635599999999997</v>
      </c>
      <c r="F99" s="4">
        <f t="shared" ca="1" si="13"/>
        <v>196330.65226595724</v>
      </c>
      <c r="G99" s="4">
        <f t="shared" ca="1" si="9"/>
        <v>4925.7632943788731</v>
      </c>
      <c r="H99" s="4">
        <f t="shared" ca="1" si="10"/>
        <v>856.70058100164033</v>
      </c>
      <c r="J99" s="6">
        <f t="shared" ca="1" si="11"/>
        <v>2.0725560000000018</v>
      </c>
    </row>
    <row r="100" spans="1:10" x14ac:dyDescent="0.25">
      <c r="A100">
        <f t="shared" si="12"/>
        <v>2010</v>
      </c>
      <c r="B100" s="1">
        <v>0.51300000000000001</v>
      </c>
      <c r="C100" s="1">
        <v>0.152</v>
      </c>
      <c r="D100" s="3">
        <f t="shared" si="7"/>
        <v>24.562440000000002</v>
      </c>
      <c r="E100" s="3">
        <f t="shared" si="8"/>
        <v>4.3350400000000002</v>
      </c>
      <c r="F100" s="4">
        <f t="shared" ca="1" si="13"/>
        <v>200399.71497933447</v>
      </c>
      <c r="G100" s="4">
        <f t="shared" ca="1" si="9"/>
        <v>4922.305975197005</v>
      </c>
      <c r="H100" s="4">
        <f t="shared" ca="1" si="10"/>
        <v>868.74078042401425</v>
      </c>
      <c r="J100" s="6">
        <f t="shared" ca="1" si="11"/>
        <v>2.0227400000000015</v>
      </c>
    </row>
    <row r="101" spans="1:10" x14ac:dyDescent="0.25">
      <c r="A101">
        <f t="shared" si="12"/>
        <v>2011</v>
      </c>
      <c r="B101" s="1">
        <v>0.504</v>
      </c>
      <c r="C101" s="1">
        <v>0.152</v>
      </c>
      <c r="D101" s="3">
        <f t="shared" si="7"/>
        <v>24.131520000000002</v>
      </c>
      <c r="E101" s="3">
        <f t="shared" si="8"/>
        <v>4.3350400000000002</v>
      </c>
      <c r="F101" s="4">
        <f t="shared" ca="1" si="13"/>
        <v>204453.28017410747</v>
      </c>
      <c r="G101" s="4">
        <f t="shared" ca="1" si="9"/>
        <v>4933.7684195870788</v>
      </c>
      <c r="H101" s="4">
        <f t="shared" ca="1" si="10"/>
        <v>886.3131476859628</v>
      </c>
      <c r="J101" s="6">
        <f t="shared" ca="1" si="11"/>
        <v>1.9796480000000056</v>
      </c>
    </row>
    <row r="102" spans="1:10" x14ac:dyDescent="0.25">
      <c r="A102">
        <f t="shared" si="12"/>
        <v>2012</v>
      </c>
      <c r="B102" s="1">
        <v>0.49399999999999999</v>
      </c>
      <c r="C102" s="1">
        <v>0.152</v>
      </c>
      <c r="D102" s="3">
        <f t="shared" si="7"/>
        <v>23.652720000000002</v>
      </c>
      <c r="E102" s="3">
        <f t="shared" si="8"/>
        <v>4.3350400000000002</v>
      </c>
      <c r="F102" s="4">
        <f t="shared" ca="1" si="13"/>
        <v>208500.73544600859</v>
      </c>
      <c r="G102" s="4">
        <f t="shared" ca="1" si="9"/>
        <v>4931.6095152985163</v>
      </c>
      <c r="H102" s="4">
        <f t="shared" ca="1" si="10"/>
        <v>903.85902818786519</v>
      </c>
      <c r="J102" s="6">
        <f t="shared" ca="1" si="11"/>
        <v>1.9317679999999926</v>
      </c>
    </row>
    <row r="103" spans="1:10" x14ac:dyDescent="0.25">
      <c r="A103">
        <f t="shared" si="12"/>
        <v>2013</v>
      </c>
      <c r="B103" s="1">
        <v>0.48499999999999999</v>
      </c>
      <c r="C103" s="1">
        <v>0.153</v>
      </c>
      <c r="D103" s="3">
        <f t="shared" si="7"/>
        <v>23.221800000000002</v>
      </c>
      <c r="E103" s="3">
        <f t="shared" si="8"/>
        <v>4.3635599999999997</v>
      </c>
      <c r="F103" s="4">
        <f t="shared" ca="1" si="13"/>
        <v>212528.48593311923</v>
      </c>
      <c r="G103" s="4">
        <f t="shared" ca="1" si="9"/>
        <v>4935.2939946417082</v>
      </c>
      <c r="H103" s="4">
        <f t="shared" ca="1" si="10"/>
        <v>927.38080007832173</v>
      </c>
      <c r="J103" s="6">
        <f t="shared" ca="1" si="11"/>
        <v>1.8858239999999995</v>
      </c>
    </row>
    <row r="104" spans="1:10" x14ac:dyDescent="0.25">
      <c r="A104">
        <f t="shared" si="12"/>
        <v>2014</v>
      </c>
      <c r="B104" s="1">
        <v>0.47699999999999998</v>
      </c>
      <c r="C104" s="1">
        <v>0.154</v>
      </c>
      <c r="D104" s="3">
        <f t="shared" si="7"/>
        <v>22.838760000000001</v>
      </c>
      <c r="E104" s="3">
        <f t="shared" si="8"/>
        <v>4.39208</v>
      </c>
      <c r="F104" s="4">
        <f t="shared" ca="1" si="13"/>
        <v>216536.39912768261</v>
      </c>
      <c r="G104" s="4">
        <f t="shared" ca="1" si="9"/>
        <v>4945.4228509413524</v>
      </c>
      <c r="H104" s="4">
        <f t="shared" ca="1" si="10"/>
        <v>951.04518788071221</v>
      </c>
      <c r="J104" s="6">
        <f t="shared" ca="1" si="11"/>
        <v>1.844668000000002</v>
      </c>
    </row>
    <row r="105" spans="1:10" x14ac:dyDescent="0.25">
      <c r="A105">
        <f t="shared" si="12"/>
        <v>2015</v>
      </c>
      <c r="B105" s="1">
        <v>0.46899999999999997</v>
      </c>
      <c r="C105" s="1">
        <v>0.155</v>
      </c>
      <c r="D105" s="3">
        <f t="shared" si="7"/>
        <v>22.455719999999999</v>
      </c>
      <c r="E105" s="3">
        <f t="shared" si="8"/>
        <v>4.4206000000000003</v>
      </c>
      <c r="F105" s="4">
        <f t="shared" ca="1" si="13"/>
        <v>220530.77679074326</v>
      </c>
      <c r="G105" s="4">
        <f t="shared" ca="1" si="9"/>
        <v>4952.1773749954291</v>
      </c>
      <c r="H105" s="4">
        <f t="shared" ca="1" si="10"/>
        <v>974.87835188115969</v>
      </c>
      <c r="J105" s="6">
        <f t="shared" ca="1" si="11"/>
        <v>1.8035119999999962</v>
      </c>
    </row>
    <row r="106" spans="1:10" x14ac:dyDescent="0.25">
      <c r="A106">
        <f t="shared" si="12"/>
        <v>2016</v>
      </c>
      <c r="B106" s="1">
        <v>0.46100000000000002</v>
      </c>
      <c r="C106" s="1">
        <v>0.156</v>
      </c>
      <c r="D106" s="3">
        <f t="shared" si="7"/>
        <v>22.072680000000002</v>
      </c>
      <c r="E106" s="3">
        <f t="shared" si="8"/>
        <v>4.4491199999999997</v>
      </c>
      <c r="F106" s="4">
        <f t="shared" ca="1" si="13"/>
        <v>224508.07581385752</v>
      </c>
      <c r="G106" s="4">
        <f t="shared" ca="1" si="9"/>
        <v>4955.4949148550177</v>
      </c>
      <c r="H106" s="4">
        <f t="shared" ca="1" si="10"/>
        <v>998.86337026494971</v>
      </c>
      <c r="J106" s="6">
        <f t="shared" ca="1" si="11"/>
        <v>1.7623560000000076</v>
      </c>
    </row>
    <row r="107" spans="1:10" x14ac:dyDescent="0.25">
      <c r="A107">
        <f t="shared" si="12"/>
        <v>2017</v>
      </c>
      <c r="B107" s="1">
        <v>0.45300000000000001</v>
      </c>
      <c r="C107" s="1">
        <v>0.158</v>
      </c>
      <c r="D107" s="3">
        <f t="shared" si="7"/>
        <v>21.689640000000001</v>
      </c>
      <c r="E107" s="3">
        <f t="shared" si="8"/>
        <v>4.5061600000000004</v>
      </c>
      <c r="F107" s="4">
        <f t="shared" ca="1" si="13"/>
        <v>228464.7073584476</v>
      </c>
      <c r="G107" s="4">
        <f t="shared" ca="1" si="9"/>
        <v>4955.3172553100803</v>
      </c>
      <c r="H107" s="4">
        <f t="shared" ca="1" si="10"/>
        <v>1029.4985257103424</v>
      </c>
      <c r="J107" s="6">
        <f t="shared" ca="1" si="11"/>
        <v>1.7183479999999987</v>
      </c>
    </row>
    <row r="108" spans="1:10" x14ac:dyDescent="0.25">
      <c r="A108">
        <f t="shared" si="12"/>
        <v>2018</v>
      </c>
      <c r="B108" s="1">
        <v>0.44600000000000001</v>
      </c>
      <c r="C108" s="1">
        <v>0.16</v>
      </c>
      <c r="D108" s="3">
        <f t="shared" si="7"/>
        <v>21.354480000000002</v>
      </c>
      <c r="E108" s="3">
        <f t="shared" si="8"/>
        <v>4.5632000000000001</v>
      </c>
      <c r="F108" s="4">
        <f t="shared" ca="1" si="13"/>
        <v>232390.52608804734</v>
      </c>
      <c r="G108" s="4">
        <f t="shared" ca="1" si="9"/>
        <v>4962.578841536686</v>
      </c>
      <c r="H108" s="4">
        <f t="shared" ca="1" si="10"/>
        <v>1060.4444486449775</v>
      </c>
      <c r="J108" s="6">
        <f t="shared" ca="1" si="11"/>
        <v>1.6791280000000051</v>
      </c>
    </row>
    <row r="109" spans="1:10" x14ac:dyDescent="0.25">
      <c r="A109">
        <f t="shared" si="12"/>
        <v>2019</v>
      </c>
      <c r="B109" s="1">
        <v>0.438</v>
      </c>
      <c r="C109" s="1">
        <v>0.16200000000000001</v>
      </c>
      <c r="D109" s="3">
        <f t="shared" si="7"/>
        <v>20.971440000000001</v>
      </c>
      <c r="E109" s="3">
        <f t="shared" si="8"/>
        <v>4.6202399999999999</v>
      </c>
      <c r="F109" s="4">
        <f t="shared" ca="1" si="13"/>
        <v>236292.66048093906</v>
      </c>
      <c r="G109" s="4">
        <f t="shared" ca="1" si="9"/>
        <v>4955.3973517163849</v>
      </c>
      <c r="H109" s="4">
        <f t="shared" ca="1" si="10"/>
        <v>1091.7288016604539</v>
      </c>
      <c r="J109" s="6">
        <f t="shared" ca="1" si="11"/>
        <v>1.6351200000000039</v>
      </c>
    </row>
    <row r="110" spans="1:10" x14ac:dyDescent="0.25">
      <c r="A110">
        <f t="shared" si="12"/>
        <v>2020</v>
      </c>
      <c r="B110" s="1">
        <v>0.43099999999999999</v>
      </c>
      <c r="C110" s="1">
        <v>0.16400000000000001</v>
      </c>
      <c r="D110" s="3">
        <f t="shared" si="7"/>
        <v>20.636279999999999</v>
      </c>
      <c r="E110" s="3">
        <f t="shared" si="8"/>
        <v>4.6772800000000005</v>
      </c>
      <c r="F110" s="4">
        <f t="shared" ca="1" si="13"/>
        <v>240156.329030995</v>
      </c>
      <c r="G110" s="4">
        <f t="shared" ca="1" si="9"/>
        <v>4955.9332496557408</v>
      </c>
      <c r="H110" s="4">
        <f t="shared" ca="1" si="10"/>
        <v>1123.2783946500924</v>
      </c>
      <c r="J110" s="6">
        <f t="shared" ca="1" si="11"/>
        <v>1.595899999999999</v>
      </c>
    </row>
    <row r="111" spans="1:10" x14ac:dyDescent="0.25">
      <c r="A111">
        <f t="shared" si="12"/>
        <v>2021</v>
      </c>
      <c r="B111" s="1">
        <v>0.42499999999999999</v>
      </c>
      <c r="C111" s="1">
        <v>0.16600000000000001</v>
      </c>
      <c r="D111" s="3">
        <f t="shared" si="7"/>
        <v>20.349</v>
      </c>
      <c r="E111" s="3">
        <f t="shared" si="8"/>
        <v>4.7343200000000003</v>
      </c>
      <c r="F111" s="4">
        <f t="shared" ca="1" si="13"/>
        <v>243988.98388600064</v>
      </c>
      <c r="G111" s="4">
        <f t="shared" ca="1" si="9"/>
        <v>4964.9318330962269</v>
      </c>
      <c r="H111" s="4">
        <f t="shared" ca="1" si="10"/>
        <v>1155.1219261911706</v>
      </c>
      <c r="J111" s="6">
        <f t="shared" ca="1" si="11"/>
        <v>1.5614679999999979</v>
      </c>
    </row>
    <row r="112" spans="1:10" x14ac:dyDescent="0.25">
      <c r="A112">
        <f t="shared" si="12"/>
        <v>2022</v>
      </c>
      <c r="B112" s="1">
        <v>0.41899999999999998</v>
      </c>
      <c r="C112" s="1">
        <v>0.16800000000000001</v>
      </c>
      <c r="D112" s="3">
        <f t="shared" si="7"/>
        <v>20.061720000000001</v>
      </c>
      <c r="E112" s="3">
        <f t="shared" si="8"/>
        <v>4.7913600000000001</v>
      </c>
      <c r="F112" s="4">
        <f t="shared" ca="1" si="13"/>
        <v>247798.79379290569</v>
      </c>
      <c r="G112" s="4">
        <f t="shared" ca="1" si="9"/>
        <v>4971.2700174110123</v>
      </c>
      <c r="H112" s="4">
        <f t="shared" ca="1" si="10"/>
        <v>1187.2932286275768</v>
      </c>
      <c r="J112" s="6">
        <f t="shared" ca="1" si="11"/>
        <v>1.5270359999999925</v>
      </c>
    </row>
    <row r="113" spans="1:10" x14ac:dyDescent="0.25">
      <c r="A113">
        <f t="shared" si="12"/>
        <v>2023</v>
      </c>
      <c r="B113" s="1">
        <v>0.41299999999999998</v>
      </c>
      <c r="C113" s="1">
        <v>0.17</v>
      </c>
      <c r="D113" s="3">
        <f t="shared" si="7"/>
        <v>19.774439999999998</v>
      </c>
      <c r="E113" s="3">
        <f t="shared" si="8"/>
        <v>4.8484000000000007</v>
      </c>
      <c r="F113" s="4">
        <f t="shared" ca="1" si="13"/>
        <v>251582.77058168911</v>
      </c>
      <c r="G113" s="4">
        <f t="shared" ca="1" si="9"/>
        <v>4974.9084019013762</v>
      </c>
      <c r="H113" s="4">
        <f t="shared" ca="1" si="10"/>
        <v>1219.7739048882615</v>
      </c>
      <c r="J113" s="6">
        <f t="shared" ca="1" si="11"/>
        <v>1.4926040000000012</v>
      </c>
    </row>
    <row r="114" spans="1:10" x14ac:dyDescent="0.25">
      <c r="A114">
        <f t="shared" si="12"/>
        <v>2024</v>
      </c>
      <c r="B114" s="1">
        <v>0.40699999999999997</v>
      </c>
      <c r="C114" s="1">
        <v>0.17</v>
      </c>
      <c r="D114" s="3">
        <f t="shared" si="7"/>
        <v>19.487159999999999</v>
      </c>
      <c r="E114" s="3">
        <f t="shared" si="8"/>
        <v>4.8484000000000007</v>
      </c>
      <c r="F114" s="4">
        <f t="shared" ca="1" si="13"/>
        <v>255337.90507870223</v>
      </c>
      <c r="G114" s="4">
        <f t="shared" ca="1" si="9"/>
        <v>4975.8106103334831</v>
      </c>
      <c r="H114" s="4">
        <f t="shared" ca="1" si="10"/>
        <v>1237.98029898358</v>
      </c>
      <c r="J114" s="6">
        <f t="shared" ca="1" si="11"/>
        <v>1.463876000000004</v>
      </c>
    </row>
    <row r="115" spans="1:10" x14ac:dyDescent="0.25">
      <c r="A115">
        <f t="shared" si="12"/>
        <v>2025</v>
      </c>
      <c r="B115" s="1">
        <v>0.40100000000000002</v>
      </c>
      <c r="C115" s="1">
        <v>0.17100000000000001</v>
      </c>
      <c r="D115" s="3">
        <f t="shared" si="7"/>
        <v>19.199880000000004</v>
      </c>
      <c r="E115" s="3">
        <f t="shared" si="8"/>
        <v>4.8769200000000001</v>
      </c>
      <c r="F115" s="4">
        <f t="shared" ca="1" si="13"/>
        <v>259075.73539005214</v>
      </c>
      <c r="G115" s="4">
        <f t="shared" ca="1" si="9"/>
        <v>4974.2230304007553</v>
      </c>
      <c r="H115" s="4">
        <f t="shared" ca="1" si="10"/>
        <v>1263.4916354384532</v>
      </c>
      <c r="J115" s="6">
        <f t="shared" ca="1" si="11"/>
        <v>1.4322959999999962</v>
      </c>
    </row>
    <row r="116" spans="1:10" x14ac:dyDescent="0.25">
      <c r="A116">
        <f t="shared" si="12"/>
        <v>2026</v>
      </c>
      <c r="B116" s="1">
        <v>0.39600000000000002</v>
      </c>
      <c r="C116" s="1">
        <v>0.17299999999999999</v>
      </c>
      <c r="D116" s="3">
        <f t="shared" si="7"/>
        <v>18.96048</v>
      </c>
      <c r="E116" s="3">
        <f t="shared" si="8"/>
        <v>4.9339599999999999</v>
      </c>
      <c r="F116" s="4">
        <f t="shared" ca="1" si="13"/>
        <v>262786.46678501443</v>
      </c>
      <c r="G116" s="4">
        <f t="shared" ca="1" si="9"/>
        <v>4982.5575477479306</v>
      </c>
      <c r="H116" s="4">
        <f t="shared" ca="1" si="10"/>
        <v>1296.5779156585897</v>
      </c>
      <c r="J116" s="6">
        <f t="shared" ca="1" si="11"/>
        <v>1.4026519999999929</v>
      </c>
    </row>
    <row r="117" spans="1:10" x14ac:dyDescent="0.25">
      <c r="A117">
        <f t="shared" si="12"/>
        <v>2027</v>
      </c>
      <c r="B117" s="1">
        <v>0.38900000000000001</v>
      </c>
      <c r="C117" s="1">
        <v>0.17399999999999999</v>
      </c>
      <c r="D117" s="3">
        <f t="shared" si="7"/>
        <v>18.625320000000002</v>
      </c>
      <c r="E117" s="3">
        <f t="shared" si="8"/>
        <v>4.9624799999999993</v>
      </c>
      <c r="F117" s="4">
        <f t="shared" ca="1" si="13"/>
        <v>266472.44641710375</v>
      </c>
      <c r="G117" s="4">
        <f t="shared" ca="1" si="9"/>
        <v>4963.1345857014112</v>
      </c>
      <c r="H117" s="4">
        <f t="shared" ca="1" si="10"/>
        <v>1322.3641858959488</v>
      </c>
      <c r="J117" s="6">
        <f t="shared" ca="1" si="11"/>
        <v>1.3662839999999954</v>
      </c>
    </row>
    <row r="118" spans="1:10" x14ac:dyDescent="0.25">
      <c r="A118">
        <f t="shared" si="12"/>
        <v>2028</v>
      </c>
      <c r="B118" s="1">
        <v>0.38300000000000001</v>
      </c>
      <c r="C118" s="1">
        <v>0.17599999999999999</v>
      </c>
      <c r="D118" s="3">
        <f t="shared" si="7"/>
        <v>18.338040000000003</v>
      </c>
      <c r="E118" s="3">
        <f t="shared" si="8"/>
        <v>5.01952</v>
      </c>
      <c r="F118" s="4">
        <f t="shared" ca="1" si="13"/>
        <v>270113.2168169092</v>
      </c>
      <c r="G118" s="4">
        <f t="shared" ca="1" si="9"/>
        <v>4953.3469745171542</v>
      </c>
      <c r="H118" s="4">
        <f t="shared" ca="1" si="10"/>
        <v>1355.8386940768121</v>
      </c>
      <c r="J118" s="6">
        <f t="shared" ca="1" si="11"/>
        <v>1.3318520000000031</v>
      </c>
    </row>
    <row r="119" spans="1:10" x14ac:dyDescent="0.25">
      <c r="A119">
        <f t="shared" si="12"/>
        <v>2029</v>
      </c>
      <c r="B119" s="1">
        <v>0.375</v>
      </c>
      <c r="C119" s="1">
        <v>0.17899999999999999</v>
      </c>
      <c r="D119" s="3">
        <f t="shared" si="7"/>
        <v>17.955000000000002</v>
      </c>
      <c r="E119" s="3">
        <f t="shared" si="8"/>
        <v>5.1050800000000001</v>
      </c>
      <c r="F119" s="4">
        <f t="shared" ca="1" si="13"/>
        <v>273710.72509734955</v>
      </c>
      <c r="G119" s="4">
        <f t="shared" ca="1" si="9"/>
        <v>4914.4760691229112</v>
      </c>
      <c r="H119" s="4">
        <f t="shared" ca="1" si="10"/>
        <v>1397.3151484799773</v>
      </c>
      <c r="J119" s="6">
        <f t="shared" ca="1" si="11"/>
        <v>1.284991999999987</v>
      </c>
    </row>
    <row r="120" spans="1:10" x14ac:dyDescent="0.25">
      <c r="A120">
        <f t="shared" si="12"/>
        <v>2030</v>
      </c>
      <c r="B120" s="1">
        <v>0.36799999999999999</v>
      </c>
      <c r="C120" s="1">
        <v>0.18</v>
      </c>
      <c r="D120" s="3">
        <f t="shared" si="7"/>
        <v>17.61984</v>
      </c>
      <c r="E120" s="3">
        <f t="shared" si="8"/>
        <v>5.1335999999999995</v>
      </c>
      <c r="F120" s="4">
        <f t="shared" ca="1" si="13"/>
        <v>277227.88601799245</v>
      </c>
      <c r="G120" s="4">
        <f t="shared" ca="1" si="9"/>
        <v>4884.7109951752636</v>
      </c>
      <c r="H120" s="4">
        <f t="shared" ca="1" si="10"/>
        <v>1423.1770756619658</v>
      </c>
      <c r="J120" s="6">
        <f t="shared" ca="1" si="11"/>
        <v>1.2486239999999948</v>
      </c>
    </row>
    <row r="121" spans="1:10" x14ac:dyDescent="0.25">
      <c r="A121">
        <f t="shared" si="12"/>
        <v>2031</v>
      </c>
      <c r="B121" s="1">
        <v>0.36</v>
      </c>
      <c r="C121" s="1">
        <v>0.18099999999999999</v>
      </c>
      <c r="D121" s="3">
        <f t="shared" ref="D121:D129" si="14">B121*$D$6</f>
        <v>17.236799999999999</v>
      </c>
      <c r="E121" s="3">
        <f t="shared" ref="E121:E129" si="15">C121*$E$6</f>
        <v>5.1621199999999998</v>
      </c>
      <c r="F121" s="4">
        <f t="shared" ref="F121:F130" ca="1" si="16">F120+G120-H120+I120</f>
        <v>280689.41993750574</v>
      </c>
      <c r="G121" s="4">
        <f t="shared" ref="G121:G129" ca="1" si="17">F121*D121/1000</f>
        <v>4838.1873935787989</v>
      </c>
      <c r="H121" s="4">
        <f t="shared" ref="H121:H129" ca="1" si="18">E121*F121/1000</f>
        <v>1448.9524684477969</v>
      </c>
      <c r="J121" s="6">
        <f t="shared" ca="1" si="11"/>
        <v>1.2074680000000073</v>
      </c>
    </row>
    <row r="122" spans="1:10" x14ac:dyDescent="0.25">
      <c r="A122">
        <f>A121+1</f>
        <v>2032</v>
      </c>
      <c r="B122" s="1">
        <v>0.35299999999999998</v>
      </c>
      <c r="C122" s="1">
        <v>0.182</v>
      </c>
      <c r="D122" s="3">
        <f t="shared" si="14"/>
        <v>16.90164</v>
      </c>
      <c r="E122" s="3">
        <f t="shared" si="15"/>
        <v>5.1906400000000001</v>
      </c>
      <c r="F122" s="4">
        <f t="shared" ca="1" si="16"/>
        <v>284078.65486263676</v>
      </c>
      <c r="G122" s="4">
        <f t="shared" ca="1" si="17"/>
        <v>4801.3951561725362</v>
      </c>
      <c r="H122" s="4">
        <f t="shared" ca="1" si="18"/>
        <v>1474.550029076197</v>
      </c>
      <c r="J122" s="6">
        <f t="shared" ca="1" si="11"/>
        <v>1.1711000000000009</v>
      </c>
    </row>
    <row r="123" spans="1:10" x14ac:dyDescent="0.25">
      <c r="A123">
        <f t="shared" ref="A123:A130" si="19">A122+1</f>
        <v>2033</v>
      </c>
      <c r="B123" s="1">
        <v>0.34599999999999997</v>
      </c>
      <c r="C123" s="1">
        <v>0.183</v>
      </c>
      <c r="D123" s="3">
        <f t="shared" si="14"/>
        <v>16.566479999999999</v>
      </c>
      <c r="E123" s="3">
        <f t="shared" si="15"/>
        <v>5.2191599999999996</v>
      </c>
      <c r="F123" s="4">
        <f t="shared" ca="1" si="16"/>
        <v>287405.4999897331</v>
      </c>
      <c r="G123" s="4">
        <f t="shared" ca="1" si="17"/>
        <v>4761.2974674699126</v>
      </c>
      <c r="H123" s="4">
        <f t="shared" ca="1" si="18"/>
        <v>1500.0152893264153</v>
      </c>
      <c r="J123" s="6">
        <f t="shared" ca="1" si="11"/>
        <v>1.1347320000000023</v>
      </c>
    </row>
    <row r="124" spans="1:10" x14ac:dyDescent="0.25">
      <c r="A124">
        <f t="shared" si="19"/>
        <v>2034</v>
      </c>
      <c r="B124" s="1">
        <v>0.33900000000000002</v>
      </c>
      <c r="C124" s="1">
        <v>0.184</v>
      </c>
      <c r="D124" s="3">
        <f t="shared" si="14"/>
        <v>16.231320000000004</v>
      </c>
      <c r="E124" s="3">
        <f t="shared" si="15"/>
        <v>5.2476799999999999</v>
      </c>
      <c r="F124" s="4">
        <f t="shared" ca="1" si="16"/>
        <v>290666.7821678766</v>
      </c>
      <c r="G124" s="4">
        <f t="shared" ca="1" si="17"/>
        <v>4717.9055547371008</v>
      </c>
      <c r="H124" s="4">
        <f t="shared" ca="1" si="18"/>
        <v>1525.3262594467226</v>
      </c>
      <c r="J124" s="6">
        <f t="shared" ca="1" si="11"/>
        <v>1.0983639999999886</v>
      </c>
    </row>
    <row r="125" spans="1:10" x14ac:dyDescent="0.25">
      <c r="A125">
        <f t="shared" si="19"/>
        <v>2035</v>
      </c>
      <c r="B125" s="1">
        <v>0.33200000000000002</v>
      </c>
      <c r="C125" s="1">
        <v>0.186</v>
      </c>
      <c r="D125" s="3">
        <f t="shared" si="14"/>
        <v>15.896160000000002</v>
      </c>
      <c r="E125" s="3">
        <f t="shared" si="15"/>
        <v>5.3047199999999997</v>
      </c>
      <c r="F125" s="4">
        <f t="shared" ca="1" si="16"/>
        <v>293859.36146316695</v>
      </c>
      <c r="G125" s="4">
        <f t="shared" ca="1" si="17"/>
        <v>4671.2354273163373</v>
      </c>
      <c r="H125" s="4">
        <f t="shared" ca="1" si="18"/>
        <v>1558.8416319408907</v>
      </c>
      <c r="J125" s="6">
        <f t="shared" ca="1" si="11"/>
        <v>1.0591439999999919</v>
      </c>
    </row>
    <row r="126" spans="1:10" x14ac:dyDescent="0.25">
      <c r="A126">
        <f t="shared" si="19"/>
        <v>2036</v>
      </c>
      <c r="B126" s="1">
        <v>0.32500000000000001</v>
      </c>
      <c r="C126" s="1">
        <v>0.187</v>
      </c>
      <c r="D126" s="3">
        <f t="shared" si="14"/>
        <v>15.561000000000002</v>
      </c>
      <c r="E126" s="3">
        <f t="shared" si="15"/>
        <v>5.33324</v>
      </c>
      <c r="F126" s="4">
        <f t="shared" ca="1" si="16"/>
        <v>296971.75525854237</v>
      </c>
      <c r="G126" s="4">
        <f t="shared" ca="1" si="17"/>
        <v>4621.177483578178</v>
      </c>
      <c r="H126" s="4">
        <f t="shared" ca="1" si="18"/>
        <v>1583.8216440150684</v>
      </c>
      <c r="J126" s="6">
        <f t="shared" ca="1" si="11"/>
        <v>1.0227759999999861</v>
      </c>
    </row>
    <row r="127" spans="1:10" x14ac:dyDescent="0.25">
      <c r="A127">
        <f t="shared" si="19"/>
        <v>2037</v>
      </c>
      <c r="B127" s="1">
        <v>0.318</v>
      </c>
      <c r="C127" s="1">
        <v>0.189</v>
      </c>
      <c r="D127" s="3">
        <f t="shared" si="14"/>
        <v>15.225840000000002</v>
      </c>
      <c r="E127" s="3">
        <f t="shared" si="15"/>
        <v>5.3902799999999997</v>
      </c>
      <c r="F127" s="4">
        <f t="shared" ca="1" si="16"/>
        <v>300009.11109810544</v>
      </c>
      <c r="G127" s="4">
        <f t="shared" ca="1" si="17"/>
        <v>4567.8907241219786</v>
      </c>
      <c r="H127" s="4">
        <f t="shared" ca="1" si="18"/>
        <v>1617.1331113698957</v>
      </c>
      <c r="J127" s="6">
        <f t="shared" ca="1" si="11"/>
        <v>0.98355600000000198</v>
      </c>
    </row>
    <row r="128" spans="1:10" x14ac:dyDescent="0.25">
      <c r="A128">
        <f t="shared" si="19"/>
        <v>2038</v>
      </c>
      <c r="B128" s="58">
        <v>0.311</v>
      </c>
      <c r="C128" s="58">
        <v>0.19</v>
      </c>
      <c r="D128" s="3">
        <f t="shared" si="14"/>
        <v>14.890680000000001</v>
      </c>
      <c r="E128" s="3">
        <f t="shared" si="15"/>
        <v>5.4188000000000001</v>
      </c>
      <c r="F128" s="4">
        <f t="shared" ca="1" si="16"/>
        <v>302959.86871085753</v>
      </c>
      <c r="G128" s="4">
        <f t="shared" ca="1" si="17"/>
        <v>4511.2784578153924</v>
      </c>
      <c r="H128" s="4">
        <f t="shared" ca="1" si="18"/>
        <v>1641.6789365703949</v>
      </c>
      <c r="J128" s="6">
        <f t="shared" ca="1" si="11"/>
        <v>0.94718799999999848</v>
      </c>
    </row>
    <row r="129" spans="1:10" x14ac:dyDescent="0.25">
      <c r="A129">
        <f t="shared" si="19"/>
        <v>2039</v>
      </c>
      <c r="B129" s="58">
        <v>0.30399999999999999</v>
      </c>
      <c r="C129" s="58">
        <v>0.192</v>
      </c>
      <c r="D129" s="3">
        <f t="shared" si="14"/>
        <v>14.55552</v>
      </c>
      <c r="E129" s="3">
        <f t="shared" si="15"/>
        <v>5.4758399999999998</v>
      </c>
      <c r="F129" s="4">
        <f t="shared" ca="1" si="16"/>
        <v>305829.46823210252</v>
      </c>
      <c r="G129" s="4">
        <f t="shared" ca="1" si="17"/>
        <v>4451.5069414417321</v>
      </c>
      <c r="H129" s="4">
        <f t="shared" ca="1" si="18"/>
        <v>1674.6732353240761</v>
      </c>
      <c r="J129" s="6">
        <f t="shared" ca="1" si="11"/>
        <v>0.90796799999999545</v>
      </c>
    </row>
    <row r="130" spans="1:10" x14ac:dyDescent="0.25">
      <c r="A130">
        <f t="shared" si="19"/>
        <v>2040</v>
      </c>
      <c r="B130" s="1"/>
      <c r="C130" s="1"/>
      <c r="D130" s="3"/>
      <c r="E130" s="3"/>
      <c r="F130" s="4">
        <f t="shared" ca="1" si="16"/>
        <v>308606.30193822016</v>
      </c>
      <c r="G130" s="4"/>
      <c r="H130" s="4"/>
      <c r="J130" s="6"/>
    </row>
    <row r="131" spans="1:10" x14ac:dyDescent="0.25">
      <c r="B131" s="1"/>
      <c r="C131" s="1"/>
      <c r="D131" s="3"/>
      <c r="E131" s="3"/>
      <c r="F131" s="4"/>
      <c r="G131" s="4"/>
      <c r="H131" s="4"/>
      <c r="J131" s="6"/>
    </row>
    <row r="132" spans="1:10" x14ac:dyDescent="0.25">
      <c r="A132" t="s">
        <v>155</v>
      </c>
      <c r="B132" s="1"/>
      <c r="C132" s="1"/>
      <c r="D132" s="3"/>
      <c r="E132" s="3"/>
      <c r="F132" s="4"/>
      <c r="G132" s="4"/>
      <c r="H132" s="4"/>
      <c r="J132" s="6"/>
    </row>
    <row r="133" spans="1:10" x14ac:dyDescent="0.25">
      <c r="F133" s="4"/>
      <c r="G133" s="4"/>
      <c r="H133" s="4"/>
      <c r="J133" s="4"/>
    </row>
    <row r="135" spans="1:10" x14ac:dyDescent="0.25">
      <c r="A135" s="38" t="s">
        <v>23</v>
      </c>
    </row>
    <row r="137" spans="1:10" x14ac:dyDescent="0.25">
      <c r="A137" s="5"/>
      <c r="B137" s="5"/>
      <c r="C137" s="5"/>
      <c r="D137" s="85" t="s">
        <v>20</v>
      </c>
      <c r="E137" s="85"/>
      <c r="F137" s="85"/>
    </row>
    <row r="138" spans="1:10" x14ac:dyDescent="0.25">
      <c r="A138" s="8" t="s">
        <v>0</v>
      </c>
      <c r="B138" s="8" t="s">
        <v>10</v>
      </c>
      <c r="C138" s="8" t="s">
        <v>16</v>
      </c>
      <c r="D138" s="8" t="s">
        <v>17</v>
      </c>
      <c r="E138" s="8" t="s">
        <v>18</v>
      </c>
      <c r="F138" s="8" t="s">
        <v>19</v>
      </c>
    </row>
    <row r="139" spans="1:10" x14ac:dyDescent="0.25">
      <c r="A139" s="7">
        <v>1926</v>
      </c>
      <c r="B139" s="7" t="s">
        <v>11</v>
      </c>
      <c r="C139">
        <v>351</v>
      </c>
      <c r="D139" s="4">
        <f ca="1">F16</f>
        <v>17691.848531918473</v>
      </c>
      <c r="E139" s="4">
        <f ca="1">OFFSET(INDIRECT(MID(_xlfn.FORMULATEXT(D139),2,255)),1,0)</f>
        <v>18060.18432626572</v>
      </c>
      <c r="F139" s="4">
        <f ca="1">D139*(E139/D139)^((C139-1)/365)</f>
        <v>18044.897221235366</v>
      </c>
    </row>
    <row r="140" spans="1:10" x14ac:dyDescent="0.25">
      <c r="A140" s="7">
        <v>1937</v>
      </c>
      <c r="B140" s="7" t="s">
        <v>12</v>
      </c>
      <c r="C140">
        <v>6</v>
      </c>
      <c r="D140" s="4">
        <f ca="1">F27</f>
        <v>22448.112182609744</v>
      </c>
      <c r="E140" s="4">
        <f t="shared" ref="E140:E145" ca="1" si="20">OFFSET(INDIRECT(MID(_xlfn.FORMULATEXT(D140),2,255)),1,0)</f>
        <v>22970.366614613675</v>
      </c>
      <c r="F140" s="4">
        <f t="shared" ref="F140:F145" ca="1" si="21">D140*(E140/D140)^((C140-1)/365)</f>
        <v>22455.185514967765</v>
      </c>
    </row>
    <row r="141" spans="1:10" x14ac:dyDescent="0.25">
      <c r="A141" s="7">
        <v>1939</v>
      </c>
      <c r="B141" s="7" t="s">
        <v>13</v>
      </c>
      <c r="C141">
        <v>17</v>
      </c>
      <c r="D141" s="4">
        <f ca="1">F29</f>
        <v>23512.656542539462</v>
      </c>
      <c r="E141" s="4">
        <f t="shared" ca="1" si="20"/>
        <v>24066.598742075243</v>
      </c>
      <c r="F141" s="4">
        <f t="shared" ca="1" si="21"/>
        <v>23536.669570284532</v>
      </c>
    </row>
    <row r="142" spans="1:10" x14ac:dyDescent="0.25">
      <c r="A142" s="7">
        <v>1959</v>
      </c>
      <c r="B142" s="7" t="s">
        <v>14</v>
      </c>
      <c r="C142">
        <v>15</v>
      </c>
      <c r="D142" s="4">
        <f ca="1">F49</f>
        <v>39043.59294723341</v>
      </c>
      <c r="E142" s="4">
        <f t="shared" ca="1" si="20"/>
        <v>40264.800009180697</v>
      </c>
      <c r="F142" s="4">
        <f t="shared" ca="1" si="21"/>
        <v>39089.743400983331</v>
      </c>
    </row>
    <row r="143" spans="1:10" x14ac:dyDescent="0.25">
      <c r="A143" s="7">
        <v>1970</v>
      </c>
      <c r="B143" s="7" t="s">
        <v>14</v>
      </c>
      <c r="C143">
        <v>15</v>
      </c>
      <c r="D143" s="4">
        <f ca="1">F60</f>
        <v>56542.009991844825</v>
      </c>
      <c r="E143" s="4">
        <f t="shared" ca="1" si="20"/>
        <v>58665.947270137287</v>
      </c>
      <c r="F143" s="4">
        <f t="shared" ca="1" si="21"/>
        <v>56622.039841391867</v>
      </c>
    </row>
    <row r="144" spans="1:10" x14ac:dyDescent="0.25">
      <c r="A144" s="7">
        <v>1979</v>
      </c>
      <c r="B144" s="7" t="s">
        <v>13</v>
      </c>
      <c r="C144">
        <v>17</v>
      </c>
      <c r="D144" s="4">
        <f ca="1">F69</f>
        <v>79090.068238355962</v>
      </c>
      <c r="E144" s="4">
        <f t="shared" ca="1" si="20"/>
        <v>82036.483313302218</v>
      </c>
      <c r="F144" s="4">
        <f t="shared" ca="1" si="21"/>
        <v>79216.980185502995</v>
      </c>
    </row>
    <row r="145" spans="1:6" x14ac:dyDescent="0.25">
      <c r="A145" s="7">
        <v>1989</v>
      </c>
      <c r="B145" s="7" t="s">
        <v>15</v>
      </c>
      <c r="C145">
        <v>12</v>
      </c>
      <c r="D145" s="4">
        <f ca="1">F79</f>
        <v>113452.43783509286</v>
      </c>
      <c r="E145" s="4">
        <f t="shared" ca="1" si="20"/>
        <v>117195.60134517115</v>
      </c>
      <c r="F145" s="4">
        <f t="shared" ca="1" si="21"/>
        <v>113563.47880780644</v>
      </c>
    </row>
    <row r="146" spans="1:6" x14ac:dyDescent="0.25">
      <c r="A146" s="7">
        <v>2020</v>
      </c>
      <c r="B146" s="7" t="s">
        <v>105</v>
      </c>
      <c r="F146" s="4">
        <f ca="1">F110</f>
        <v>240156.329030995</v>
      </c>
    </row>
    <row r="147" spans="1:6" x14ac:dyDescent="0.25">
      <c r="A147" s="7">
        <v>2030</v>
      </c>
      <c r="B147" s="7" t="s">
        <v>105</v>
      </c>
      <c r="F147" s="4">
        <f ca="1">F120</f>
        <v>277227.88601799245</v>
      </c>
    </row>
    <row r="148" spans="1:6" x14ac:dyDescent="0.25">
      <c r="A148" s="7">
        <v>2040</v>
      </c>
      <c r="B148" s="7" t="s">
        <v>105</v>
      </c>
      <c r="F148" s="4">
        <f ca="1">F130</f>
        <v>308606.30193822016</v>
      </c>
    </row>
  </sheetData>
  <mergeCells count="3">
    <mergeCell ref="D4:E4"/>
    <mergeCell ref="F4:I4"/>
    <mergeCell ref="D137:F1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8B16-FB5B-4D22-9D35-22A6749E25CA}">
  <dimension ref="A1:L148"/>
  <sheetViews>
    <sheetView topLeftCell="A76" workbookViewId="0">
      <selection activeCell="E131" sqref="E131"/>
    </sheetView>
  </sheetViews>
  <sheetFormatPr defaultColWidth="9.140625" defaultRowHeight="15" x14ac:dyDescent="0.25"/>
  <cols>
    <col min="4" max="4" width="17.140625" customWidth="1"/>
    <col min="5" max="5" width="12.85546875" customWidth="1"/>
    <col min="6" max="6" width="24" customWidth="1"/>
    <col min="7" max="7" width="18.28515625" customWidth="1"/>
    <col min="8" max="8" width="15.140625" customWidth="1"/>
    <col min="9" max="9" width="18.140625" customWidth="1"/>
    <col min="10" max="10" width="40.28515625" customWidth="1"/>
    <col min="12" max="12" width="29.7109375" customWidth="1"/>
  </cols>
  <sheetData>
    <row r="1" spans="1:12" ht="21" x14ac:dyDescent="0.35">
      <c r="A1" s="37" t="s">
        <v>26</v>
      </c>
    </row>
    <row r="4" spans="1:12" x14ac:dyDescent="0.25">
      <c r="D4" s="85" t="s">
        <v>1</v>
      </c>
      <c r="E4" s="85"/>
      <c r="F4" s="85" t="s">
        <v>8</v>
      </c>
      <c r="G4" s="85"/>
      <c r="H4" s="85"/>
      <c r="I4" s="85"/>
    </row>
    <row r="5" spans="1:12" x14ac:dyDescent="0.25">
      <c r="A5" s="8" t="s">
        <v>0</v>
      </c>
      <c r="B5" s="8" t="s">
        <v>100</v>
      </c>
      <c r="C5" s="8" t="s">
        <v>101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9</v>
      </c>
      <c r="L5" s="8" t="s">
        <v>22</v>
      </c>
    </row>
    <row r="6" spans="1:12" x14ac:dyDescent="0.25">
      <c r="A6" t="s">
        <v>27</v>
      </c>
      <c r="D6" s="3">
        <v>40.760000000000005</v>
      </c>
      <c r="E6" s="3">
        <v>24.18</v>
      </c>
      <c r="F6" s="4">
        <v>18578</v>
      </c>
      <c r="L6" s="9" t="s">
        <v>21</v>
      </c>
    </row>
    <row r="7" spans="1:12" x14ac:dyDescent="0.25">
      <c r="A7">
        <v>1917</v>
      </c>
      <c r="B7" s="1">
        <v>0.50231155778894465</v>
      </c>
      <c r="C7" s="1">
        <v>0.9172699069286453</v>
      </c>
      <c r="D7" s="3">
        <f>B7*$D$6</f>
        <v>20.474219095477387</v>
      </c>
      <c r="E7" s="3">
        <f>C7*$E$6</f>
        <v>22.179586349534642</v>
      </c>
      <c r="F7" s="4">
        <f>F6 * RSFSR!F7 / RSFSR!F6</f>
        <v>18943.76029492509</v>
      </c>
      <c r="G7" s="4">
        <f>F7*D7/1000</f>
        <v>387.85869877050163</v>
      </c>
      <c r="H7" s="4">
        <f>E7*F7/1000</f>
        <v>420.16476724617689</v>
      </c>
      <c r="I7" s="10">
        <f ca="1" xml:space="preserve"> MR!F6 / RSFSR!F6 * INDIRECT("'RSFSR'!" &amp; ADDRESS(ROW(), COLUMN()))</f>
        <v>-11.241352262922582</v>
      </c>
      <c r="J7" s="6">
        <f ca="1">100 *(F8-F7) / F7</f>
        <v>-0.22987738474637501</v>
      </c>
    </row>
    <row r="8" spans="1:12" x14ac:dyDescent="0.25">
      <c r="A8">
        <f>A7+1</f>
        <v>1918</v>
      </c>
      <c r="B8" s="1">
        <v>0.59095477386934669</v>
      </c>
      <c r="C8" s="1">
        <v>0.90382626680455014</v>
      </c>
      <c r="D8" s="3">
        <f t="shared" ref="D8:D71" si="0">B8*$D$6</f>
        <v>24.087316582914575</v>
      </c>
      <c r="E8" s="3">
        <f t="shared" ref="E8:E71" si="1">C8*$E$6</f>
        <v>21.854519131334023</v>
      </c>
      <c r="F8" s="4">
        <f ca="1">F7+G7-H7+I7</f>
        <v>18900.212874186494</v>
      </c>
      <c r="G8" s="4">
        <f t="shared" ref="G8:G71" ca="1" si="2">F8*D8/1000</f>
        <v>455.25541098500787</v>
      </c>
      <c r="H8" s="4">
        <f t="shared" ref="H8:H71" ca="1" si="3">E8*F8/1000</f>
        <v>413.05506384519435</v>
      </c>
      <c r="I8" s="10">
        <f ca="1" xml:space="preserve"> MR!F6 / RSFSR!F6 * INDIRECT("'RSFSR'!" &amp; ADDRESS(ROW(), COLUMN()))</f>
        <v>-30.185112557847674</v>
      </c>
      <c r="J8" s="6">
        <f t="shared" ref="J8:J71" ca="1" si="4">100 *(F9-F8) / F8</f>
        <v>6.3571953723210284E-2</v>
      </c>
    </row>
    <row r="9" spans="1:12" x14ac:dyDescent="0.25">
      <c r="A9">
        <f t="shared" ref="A9:A72" si="5">A8+1</f>
        <v>1919</v>
      </c>
      <c r="B9" s="1">
        <v>0.9829145728643216</v>
      </c>
      <c r="C9" s="1">
        <v>0.89245087900723885</v>
      </c>
      <c r="D9" s="3">
        <f t="shared" si="0"/>
        <v>40.063597989949756</v>
      </c>
      <c r="E9" s="3">
        <f t="shared" si="1"/>
        <v>21.579462254395036</v>
      </c>
      <c r="F9" s="4">
        <f t="shared" ref="F9:F72" ca="1" si="6">F8+G8-H8+I8</f>
        <v>18912.228108768461</v>
      </c>
      <c r="G9" s="4">
        <f t="shared" ca="1" si="2"/>
        <v>757.69190404392737</v>
      </c>
      <c r="H9" s="4">
        <f t="shared" ca="1" si="3"/>
        <v>408.11571261967782</v>
      </c>
      <c r="I9" s="10">
        <f ca="1" xml:space="preserve"> MR!F6 / RSFSR!F6 * INDIRECT("'RSFSR'!" &amp; ADDRESS(ROW(), COLUMN()))</f>
        <v>301.85112557847674</v>
      </c>
      <c r="J9" s="6">
        <f t="shared" ca="1" si="4"/>
        <v>3.4444768393032374</v>
      </c>
    </row>
    <row r="10" spans="1:12" x14ac:dyDescent="0.25">
      <c r="A10">
        <f t="shared" si="5"/>
        <v>1920</v>
      </c>
      <c r="B10" s="1">
        <v>0.97989949748743721</v>
      </c>
      <c r="C10" s="1">
        <v>0.88831437435367111</v>
      </c>
      <c r="D10" s="3">
        <f t="shared" si="0"/>
        <v>39.940703517587949</v>
      </c>
      <c r="E10" s="3">
        <f t="shared" si="1"/>
        <v>21.479441571871767</v>
      </c>
      <c r="F10" s="4">
        <f t="shared" ca="1" si="6"/>
        <v>19563.655425771187</v>
      </c>
      <c r="G10" s="4">
        <f t="shared" ca="1" si="2"/>
        <v>781.38616108097779</v>
      </c>
      <c r="H10" s="4">
        <f t="shared" ca="1" si="3"/>
        <v>420.21639365008429</v>
      </c>
      <c r="I10" s="10">
        <f ca="1" xml:space="preserve"> MR!F6 / RSFSR!F6 * INDIRECT("'RSFSR'!" &amp; ADDRESS(ROW(), COLUMN()))</f>
        <v>181.11067534708604</v>
      </c>
      <c r="J10" s="6">
        <f t="shared" ca="1" si="4"/>
        <v>2.7718768858688438</v>
      </c>
    </row>
    <row r="11" spans="1:12" x14ac:dyDescent="0.25">
      <c r="A11">
        <f t="shared" si="5"/>
        <v>1921</v>
      </c>
      <c r="B11" s="2">
        <v>0.97688442211055271</v>
      </c>
      <c r="C11" s="2">
        <v>0.88004136504653563</v>
      </c>
      <c r="D11" s="3">
        <f t="shared" si="0"/>
        <v>39.817809045226134</v>
      </c>
      <c r="E11" s="3">
        <f t="shared" si="1"/>
        <v>21.27940020682523</v>
      </c>
      <c r="F11" s="4">
        <f t="shared" ca="1" si="6"/>
        <v>20105.935868549164</v>
      </c>
      <c r="G11" s="4">
        <f t="shared" ca="1" si="2"/>
        <v>800.57431508945342</v>
      </c>
      <c r="H11" s="4">
        <f t="shared" ca="1" si="3"/>
        <v>427.84225587961993</v>
      </c>
      <c r="I11" s="10">
        <f ca="1" xml:space="preserve"> MR!F6 / RSFSR!F6 * INDIRECT("'RSFSR'!" &amp; ADDRESS(ROW(), COLUMN()))</f>
        <v>120.7404502313907</v>
      </c>
      <c r="J11" s="6">
        <f t="shared" ca="1" si="4"/>
        <v>2.4543622971221235</v>
      </c>
    </row>
    <row r="12" spans="1:12" x14ac:dyDescent="0.25">
      <c r="A12">
        <f t="shared" si="5"/>
        <v>1922</v>
      </c>
      <c r="B12" s="2">
        <v>0.97286432160804015</v>
      </c>
      <c r="C12" s="2">
        <v>0.86970010341261639</v>
      </c>
      <c r="D12" s="3">
        <f t="shared" si="0"/>
        <v>39.65394974874372</v>
      </c>
      <c r="E12" s="3">
        <f t="shared" si="1"/>
        <v>21.029348500517063</v>
      </c>
      <c r="F12" s="4">
        <f t="shared" ca="1" si="6"/>
        <v>20599.408377990389</v>
      </c>
      <c r="G12" s="4">
        <f t="shared" ca="1" si="2"/>
        <v>816.84790467468122</v>
      </c>
      <c r="H12" s="4">
        <f t="shared" ca="1" si="3"/>
        <v>433.19213768523082</v>
      </c>
      <c r="I12" s="10"/>
      <c r="J12" s="6">
        <f t="shared" ca="1" si="4"/>
        <v>1.8624601248226638</v>
      </c>
    </row>
    <row r="13" spans="1:12" x14ac:dyDescent="0.25">
      <c r="A13">
        <f t="shared" si="5"/>
        <v>1923</v>
      </c>
      <c r="B13" s="2">
        <v>0.96080402010050248</v>
      </c>
      <c r="C13" s="2">
        <v>0.85729058945191317</v>
      </c>
      <c r="D13" s="3">
        <f t="shared" si="0"/>
        <v>39.162371859296485</v>
      </c>
      <c r="E13" s="3">
        <f t="shared" si="1"/>
        <v>20.72928645294726</v>
      </c>
      <c r="F13" s="4">
        <f t="shared" ca="1" si="6"/>
        <v>20983.064144979839</v>
      </c>
      <c r="G13" s="4">
        <f t="shared" ca="1" si="2"/>
        <v>821.74656079317151</v>
      </c>
      <c r="H13" s="4">
        <f t="shared" ca="1" si="3"/>
        <v>434.96394732185394</v>
      </c>
      <c r="I13" s="10"/>
      <c r="J13" s="6">
        <f t="shared" ca="1" si="4"/>
        <v>1.8433085406349234</v>
      </c>
    </row>
    <row r="14" spans="1:12" x14ac:dyDescent="0.25">
      <c r="A14">
        <f t="shared" si="5"/>
        <v>1924</v>
      </c>
      <c r="B14" s="2">
        <v>0.9658291457286432</v>
      </c>
      <c r="C14" s="2">
        <v>0.84591520165460188</v>
      </c>
      <c r="D14" s="3">
        <f t="shared" si="0"/>
        <v>39.367195979899499</v>
      </c>
      <c r="E14" s="3">
        <f t="shared" si="1"/>
        <v>20.454229576008274</v>
      </c>
      <c r="F14" s="4">
        <f t="shared" ca="1" si="6"/>
        <v>21369.846758451156</v>
      </c>
      <c r="G14" s="4">
        <f t="shared" ca="1" si="2"/>
        <v>841.27094540036671</v>
      </c>
      <c r="H14" s="4">
        <f t="shared" ca="1" si="3"/>
        <v>437.10375160147618</v>
      </c>
      <c r="I14" s="10"/>
      <c r="J14" s="6">
        <f t="shared" ca="1" si="4"/>
        <v>1.8912966403891218</v>
      </c>
    </row>
    <row r="15" spans="1:12" x14ac:dyDescent="0.25">
      <c r="A15">
        <f t="shared" si="5"/>
        <v>1925</v>
      </c>
      <c r="B15" s="2">
        <v>0.97085427135678393</v>
      </c>
      <c r="C15" s="2">
        <v>0.83350568769389877</v>
      </c>
      <c r="D15" s="3">
        <f t="shared" si="0"/>
        <v>39.57202010050252</v>
      </c>
      <c r="E15" s="3">
        <f t="shared" si="1"/>
        <v>20.154167528438471</v>
      </c>
      <c r="F15" s="4">
        <f t="shared" ca="1" si="6"/>
        <v>21774.013952250047</v>
      </c>
      <c r="G15" s="4">
        <f t="shared" ca="1" si="2"/>
        <v>861.64171778706111</v>
      </c>
      <c r="H15" s="4">
        <f t="shared" ca="1" si="3"/>
        <v>438.83712496020411</v>
      </c>
      <c r="I15" s="10"/>
      <c r="J15" s="6">
        <f t="shared" ca="1" si="4"/>
        <v>1.9417852572064112</v>
      </c>
    </row>
    <row r="16" spans="1:12" x14ac:dyDescent="0.25">
      <c r="A16">
        <f t="shared" si="5"/>
        <v>1926</v>
      </c>
      <c r="B16" s="2">
        <v>0.97386934673366832</v>
      </c>
      <c r="C16" s="2">
        <v>0.82626680455015522</v>
      </c>
      <c r="D16" s="3">
        <f t="shared" si="0"/>
        <v>39.694914572864327</v>
      </c>
      <c r="E16" s="3">
        <f t="shared" si="1"/>
        <v>19.979131334022753</v>
      </c>
      <c r="F16" s="4">
        <f t="shared" ca="1" si="6"/>
        <v>22196.818545076905</v>
      </c>
      <c r="G16" s="4">
        <f t="shared" ca="1" si="2"/>
        <v>881.10081593619839</v>
      </c>
      <c r="H16" s="4">
        <f t="shared" ca="1" si="3"/>
        <v>443.47315290956334</v>
      </c>
      <c r="I16" s="10"/>
      <c r="J16" s="6">
        <f t="shared" ca="1" si="4"/>
        <v>1.9715783238841642</v>
      </c>
    </row>
    <row r="17" spans="1:10" x14ac:dyDescent="0.25">
      <c r="A17">
        <f t="shared" si="5"/>
        <v>1927</v>
      </c>
      <c r="B17" s="2">
        <v>0.96984924623115576</v>
      </c>
      <c r="C17" s="2">
        <v>0.82109617373319554</v>
      </c>
      <c r="D17" s="3">
        <f t="shared" si="0"/>
        <v>39.531055276381913</v>
      </c>
      <c r="E17" s="3">
        <f t="shared" si="1"/>
        <v>19.854105480868668</v>
      </c>
      <c r="F17" s="4">
        <f t="shared" ca="1" si="6"/>
        <v>22634.446208103542</v>
      </c>
      <c r="G17" s="4">
        <f t="shared" ca="1" si="2"/>
        <v>894.76354420283417</v>
      </c>
      <c r="H17" s="4">
        <f t="shared" ca="1" si="3"/>
        <v>449.38668251673556</v>
      </c>
      <c r="I17" s="10"/>
      <c r="J17" s="6">
        <f t="shared" ca="1" si="4"/>
        <v>1.9676949795513221</v>
      </c>
    </row>
    <row r="18" spans="1:10" x14ac:dyDescent="0.25">
      <c r="A18">
        <f t="shared" si="5"/>
        <v>1928</v>
      </c>
      <c r="B18" s="2">
        <v>0.96984924623115576</v>
      </c>
      <c r="C18" s="2">
        <v>0.82316442605997941</v>
      </c>
      <c r="D18" s="3">
        <f t="shared" si="0"/>
        <v>39.531055276381913</v>
      </c>
      <c r="E18" s="3">
        <f t="shared" si="1"/>
        <v>19.904115822130301</v>
      </c>
      <c r="F18" s="4">
        <f t="shared" ca="1" si="6"/>
        <v>23079.82306978964</v>
      </c>
      <c r="G18" s="4">
        <f t="shared" ca="1" si="2"/>
        <v>912.36976154096874</v>
      </c>
      <c r="H18" s="4">
        <f t="shared" ca="1" si="3"/>
        <v>459.3834715353679</v>
      </c>
      <c r="I18" s="10"/>
      <c r="J18" s="6">
        <f t="shared" ca="1" si="4"/>
        <v>1.9626939454251557</v>
      </c>
    </row>
    <row r="19" spans="1:10" x14ac:dyDescent="0.25">
      <c r="A19">
        <f t="shared" si="5"/>
        <v>1929</v>
      </c>
      <c r="B19" s="2">
        <v>0.96683417085427137</v>
      </c>
      <c r="C19" s="2">
        <v>0.82213029989658748</v>
      </c>
      <c r="D19" s="3">
        <f t="shared" si="0"/>
        <v>39.408160804020106</v>
      </c>
      <c r="E19" s="3">
        <f t="shared" si="1"/>
        <v>19.879110651499484</v>
      </c>
      <c r="F19" s="4">
        <f t="shared" ca="1" si="6"/>
        <v>23532.809359795239</v>
      </c>
      <c r="G19" s="4">
        <f t="shared" ca="1" si="2"/>
        <v>927.38473542116026</v>
      </c>
      <c r="H19" s="4">
        <f t="shared" ca="1" si="3"/>
        <v>467.8113212040123</v>
      </c>
      <c r="I19" s="10"/>
      <c r="J19" s="6">
        <f t="shared" ca="1" si="4"/>
        <v>1.9529050152520691</v>
      </c>
    </row>
    <row r="20" spans="1:10" x14ac:dyDescent="0.25">
      <c r="A20">
        <f t="shared" si="5"/>
        <v>1930</v>
      </c>
      <c r="B20" s="2">
        <v>0.96080402010050248</v>
      </c>
      <c r="C20" s="2">
        <v>0.81489141675284393</v>
      </c>
      <c r="D20" s="3">
        <f t="shared" si="0"/>
        <v>39.162371859296485</v>
      </c>
      <c r="E20" s="3">
        <f t="shared" si="1"/>
        <v>19.704074457083767</v>
      </c>
      <c r="F20" s="4">
        <f t="shared" ca="1" si="6"/>
        <v>23992.382774012389</v>
      </c>
      <c r="G20" s="4">
        <f t="shared" ca="1" si="2"/>
        <v>939.5986159864525</v>
      </c>
      <c r="H20" s="4">
        <f t="shared" ca="1" si="3"/>
        <v>472.74769658199409</v>
      </c>
      <c r="I20" s="10"/>
      <c r="J20" s="6">
        <f t="shared" ca="1" si="4"/>
        <v>1.9458297402212632</v>
      </c>
    </row>
    <row r="21" spans="1:10" x14ac:dyDescent="0.25">
      <c r="A21">
        <f t="shared" si="5"/>
        <v>1931</v>
      </c>
      <c r="B21" s="2">
        <v>0.95477386934673358</v>
      </c>
      <c r="C21" s="2">
        <v>0.79420889348500523</v>
      </c>
      <c r="D21" s="3">
        <f t="shared" si="0"/>
        <v>38.916582914572864</v>
      </c>
      <c r="E21" s="3">
        <f t="shared" si="1"/>
        <v>19.203971044467426</v>
      </c>
      <c r="F21" s="4">
        <f t="shared" ca="1" si="6"/>
        <v>24459.233693416845</v>
      </c>
      <c r="G21" s="4">
        <f t="shared" ca="1" si="2"/>
        <v>951.86979605677095</v>
      </c>
      <c r="H21" s="4">
        <f t="shared" ca="1" si="3"/>
        <v>469.71441561823917</v>
      </c>
      <c r="I21" s="10"/>
      <c r="J21" s="6">
        <f t="shared" ca="1" si="4"/>
        <v>1.9712611870105341</v>
      </c>
    </row>
    <row r="22" spans="1:10" x14ac:dyDescent="0.25">
      <c r="A22">
        <f t="shared" si="5"/>
        <v>1932</v>
      </c>
      <c r="B22" s="2">
        <v>0.9457286432160803</v>
      </c>
      <c r="C22" s="2">
        <v>0.76732161323681491</v>
      </c>
      <c r="D22" s="3">
        <f t="shared" si="0"/>
        <v>38.547899497487435</v>
      </c>
      <c r="E22" s="3">
        <f t="shared" si="1"/>
        <v>18.553836608066185</v>
      </c>
      <c r="F22" s="4">
        <f t="shared" ca="1" si="6"/>
        <v>24941.389073855375</v>
      </c>
      <c r="G22" s="4">
        <f t="shared" ca="1" si="2"/>
        <v>961.43815934670818</v>
      </c>
      <c r="H22" s="4">
        <f t="shared" ca="1" si="3"/>
        <v>462.75845765451982</v>
      </c>
      <c r="I22" s="10"/>
      <c r="J22" s="6">
        <f t="shared" ca="1" si="4"/>
        <v>1.9994062889421245</v>
      </c>
    </row>
    <row r="23" spans="1:10" x14ac:dyDescent="0.25">
      <c r="A23">
        <f t="shared" si="5"/>
        <v>1933</v>
      </c>
      <c r="B23" s="2">
        <v>0.93869346733668346</v>
      </c>
      <c r="C23" s="2">
        <v>0.75180972078593589</v>
      </c>
      <c r="D23" s="3">
        <f t="shared" si="0"/>
        <v>38.261145728643221</v>
      </c>
      <c r="E23" s="3">
        <f t="shared" si="1"/>
        <v>18.178759048603929</v>
      </c>
      <c r="F23" s="4">
        <f t="shared" ca="1" si="6"/>
        <v>25440.068775547563</v>
      </c>
      <c r="G23" s="4">
        <f t="shared" ca="1" si="2"/>
        <v>973.36617876793139</v>
      </c>
      <c r="H23" s="4">
        <f t="shared" ca="1" si="3"/>
        <v>462.46888045059154</v>
      </c>
      <c r="I23" s="10"/>
      <c r="J23" s="6">
        <f t="shared" ca="1" si="4"/>
        <v>2.0082386680039184</v>
      </c>
    </row>
    <row r="24" spans="1:10" x14ac:dyDescent="0.25">
      <c r="A24">
        <f t="shared" si="5"/>
        <v>1934</v>
      </c>
      <c r="B24" s="2">
        <v>0.93366834170854274</v>
      </c>
      <c r="C24" s="2">
        <v>0.73629782833505686</v>
      </c>
      <c r="D24" s="3">
        <f t="shared" si="0"/>
        <v>38.056321608040207</v>
      </c>
      <c r="E24" s="3">
        <f t="shared" si="1"/>
        <v>17.803681489141674</v>
      </c>
      <c r="F24" s="4">
        <f t="shared" ca="1" si="6"/>
        <v>25950.9660738649</v>
      </c>
      <c r="G24" s="4">
        <f t="shared" ca="1" si="2"/>
        <v>987.59831094634308</v>
      </c>
      <c r="H24" s="4">
        <f t="shared" ca="1" si="3"/>
        <v>462.02273431461214</v>
      </c>
      <c r="I24" s="10"/>
      <c r="J24" s="6">
        <f t="shared" ca="1" si="4"/>
        <v>2.0252640118898517</v>
      </c>
    </row>
    <row r="25" spans="1:10" x14ac:dyDescent="0.25">
      <c r="A25">
        <f t="shared" si="5"/>
        <v>1935</v>
      </c>
      <c r="B25" s="2">
        <v>0.92562814070351762</v>
      </c>
      <c r="C25" s="2">
        <v>0.72182006204756977</v>
      </c>
      <c r="D25" s="3">
        <f t="shared" si="0"/>
        <v>37.728603015075386</v>
      </c>
      <c r="E25" s="3">
        <f t="shared" si="1"/>
        <v>17.453609100310238</v>
      </c>
      <c r="F25" s="4">
        <f t="shared" ca="1" si="6"/>
        <v>26476.541650496631</v>
      </c>
      <c r="G25" s="4">
        <f t="shared" ca="1" si="2"/>
        <v>998.92292914369625</v>
      </c>
      <c r="H25" s="4">
        <f t="shared" ca="1" si="3"/>
        <v>462.1112082958511</v>
      </c>
      <c r="I25" s="10"/>
      <c r="J25" s="6">
        <f t="shared" ca="1" si="4"/>
        <v>2.0274993914765216</v>
      </c>
    </row>
    <row r="26" spans="1:10" x14ac:dyDescent="0.25">
      <c r="A26">
        <f t="shared" si="5"/>
        <v>1936</v>
      </c>
      <c r="B26" s="2">
        <v>0.9376884422110553</v>
      </c>
      <c r="C26" s="2">
        <v>0.7197518097207859</v>
      </c>
      <c r="D26" s="3">
        <f t="shared" si="0"/>
        <v>38.220180904522621</v>
      </c>
      <c r="E26" s="3">
        <f t="shared" si="1"/>
        <v>17.403598759048602</v>
      </c>
      <c r="F26" s="4">
        <f t="shared" ca="1" si="6"/>
        <v>27013.353371344478</v>
      </c>
      <c r="G26" s="4">
        <f t="shared" ca="1" si="2"/>
        <v>1032.455252690582</v>
      </c>
      <c r="H26" s="4">
        <f t="shared" ca="1" si="3"/>
        <v>470.12956321127211</v>
      </c>
      <c r="I26" s="10"/>
      <c r="J26" s="6">
        <f t="shared" ca="1" si="4"/>
        <v>2.0816582145474105</v>
      </c>
    </row>
    <row r="27" spans="1:10" x14ac:dyDescent="0.25">
      <c r="A27">
        <f t="shared" si="5"/>
        <v>1937</v>
      </c>
      <c r="B27" s="2">
        <v>0.94673366834170847</v>
      </c>
      <c r="C27" s="2">
        <v>0.72078593588417783</v>
      </c>
      <c r="D27" s="3">
        <f t="shared" si="0"/>
        <v>38.588864321608042</v>
      </c>
      <c r="E27" s="3">
        <f t="shared" si="1"/>
        <v>17.428603929679419</v>
      </c>
      <c r="F27" s="4">
        <f t="shared" ca="1" si="6"/>
        <v>27575.67906082379</v>
      </c>
      <c r="G27" s="4">
        <f t="shared" ca="1" si="2"/>
        <v>1064.1141378543373</v>
      </c>
      <c r="H27" s="4">
        <f t="shared" ca="1" si="3"/>
        <v>480.60558844305194</v>
      </c>
      <c r="I27" s="10"/>
      <c r="J27" s="6">
        <f t="shared" ca="1" si="4"/>
        <v>2.1160260391928536</v>
      </c>
    </row>
    <row r="28" spans="1:10" x14ac:dyDescent="0.25">
      <c r="A28">
        <f t="shared" si="5"/>
        <v>1938</v>
      </c>
      <c r="B28" s="2">
        <v>0.95276381909547736</v>
      </c>
      <c r="C28" s="2">
        <v>0.71768355739400203</v>
      </c>
      <c r="D28" s="3">
        <f t="shared" si="0"/>
        <v>38.834653266331664</v>
      </c>
      <c r="E28" s="3">
        <f t="shared" si="1"/>
        <v>17.35358841778697</v>
      </c>
      <c r="F28" s="4">
        <f t="shared" ca="1" si="6"/>
        <v>28159.187610235072</v>
      </c>
      <c r="G28" s="4">
        <f t="shared" ca="1" si="2"/>
        <v>1093.5522871050616</v>
      </c>
      <c r="H28" s="4">
        <f t="shared" ca="1" si="3"/>
        <v>488.66295196726571</v>
      </c>
      <c r="I28" s="10"/>
      <c r="J28" s="6">
        <f t="shared" ca="1" si="4"/>
        <v>2.1481064848544813</v>
      </c>
    </row>
    <row r="29" spans="1:10" x14ac:dyDescent="0.25">
      <c r="A29">
        <f t="shared" si="5"/>
        <v>1939</v>
      </c>
      <c r="B29" s="2">
        <v>0.95778894472361809</v>
      </c>
      <c r="C29" s="2">
        <v>0.71147880041365041</v>
      </c>
      <c r="D29" s="3">
        <f t="shared" si="0"/>
        <v>39.039477386934678</v>
      </c>
      <c r="E29" s="3">
        <f t="shared" si="1"/>
        <v>17.203557394002068</v>
      </c>
      <c r="F29" s="4">
        <f t="shared" ca="1" si="6"/>
        <v>28764.076945372872</v>
      </c>
      <c r="G29" s="4">
        <f t="shared" ca="1" si="2"/>
        <v>1122.9345314649333</v>
      </c>
      <c r="H29" s="4">
        <f t="shared" ca="1" si="3"/>
        <v>494.84444861521393</v>
      </c>
      <c r="I29" s="10"/>
      <c r="J29" s="6">
        <f t="shared" ca="1" si="4"/>
        <v>2.1835919992932555</v>
      </c>
    </row>
    <row r="30" spans="1:10" x14ac:dyDescent="0.25">
      <c r="A30">
        <f t="shared" si="5"/>
        <v>1940</v>
      </c>
      <c r="B30" s="2">
        <v>0.96180904522613064</v>
      </c>
      <c r="C30" s="2">
        <v>0.70217166494312311</v>
      </c>
      <c r="D30" s="3">
        <f t="shared" si="0"/>
        <v>39.203336683417092</v>
      </c>
      <c r="E30" s="3">
        <f t="shared" si="1"/>
        <v>16.978510858324718</v>
      </c>
      <c r="F30" s="4">
        <f t="shared" ca="1" si="6"/>
        <v>29392.16702822259</v>
      </c>
      <c r="G30" s="4">
        <f t="shared" ca="1" si="2"/>
        <v>1152.271019862641</v>
      </c>
      <c r="H30" s="4">
        <f t="shared" ca="1" si="3"/>
        <v>499.03522703837098</v>
      </c>
      <c r="I30" s="10"/>
      <c r="J30" s="6">
        <f t="shared" ca="1" si="4"/>
        <v>2.2224825825092407</v>
      </c>
    </row>
    <row r="31" spans="1:10" x14ac:dyDescent="0.25">
      <c r="A31">
        <f t="shared" si="5"/>
        <v>1941</v>
      </c>
      <c r="B31" s="2">
        <v>0.96381909547738687</v>
      </c>
      <c r="C31" s="2">
        <v>0.69183040330920376</v>
      </c>
      <c r="D31" s="3">
        <f t="shared" si="0"/>
        <v>39.285266331658292</v>
      </c>
      <c r="E31" s="3">
        <f t="shared" si="1"/>
        <v>16.728459152016548</v>
      </c>
      <c r="F31" s="4">
        <f t="shared" ca="1" si="6"/>
        <v>30045.40282104686</v>
      </c>
      <c r="G31" s="4">
        <f t="shared" ca="1" si="2"/>
        <v>1180.3416518667834</v>
      </c>
      <c r="H31" s="4">
        <f t="shared" ca="1" si="3"/>
        <v>502.61329379776515</v>
      </c>
      <c r="I31" s="10"/>
      <c r="J31" s="6">
        <f t="shared" ca="1" si="4"/>
        <v>2.2556807179641809</v>
      </c>
    </row>
    <row r="32" spans="1:10" x14ac:dyDescent="0.25">
      <c r="A32">
        <f t="shared" si="5"/>
        <v>1942</v>
      </c>
      <c r="B32" s="2">
        <v>0.96482412060301503</v>
      </c>
      <c r="C32" s="2">
        <v>0.67631851085832473</v>
      </c>
      <c r="D32" s="3">
        <f t="shared" si="0"/>
        <v>39.326231155778899</v>
      </c>
      <c r="E32" s="3">
        <f t="shared" si="1"/>
        <v>16.353381592554292</v>
      </c>
      <c r="F32" s="4">
        <f t="shared" ca="1" si="6"/>
        <v>30723.131179115881</v>
      </c>
      <c r="G32" s="4">
        <f t="shared" ca="1" si="2"/>
        <v>1208.224958579229</v>
      </c>
      <c r="H32" s="4">
        <f t="shared" ca="1" si="3"/>
        <v>502.42708789018451</v>
      </c>
      <c r="I32" s="10">
        <f ca="1" xml:space="preserve"> MR!F6 / RSFSR!F6 * INDIRECT("'RSFSR'!" &amp; ADDRESS(ROW(), COLUMN()))</f>
        <v>-18.735587104870969</v>
      </c>
      <c r="J32" s="6">
        <f t="shared" ca="1" si="4"/>
        <v>2.2363029327271406</v>
      </c>
    </row>
    <row r="33" spans="1:10" x14ac:dyDescent="0.25">
      <c r="A33">
        <f t="shared" si="5"/>
        <v>1943</v>
      </c>
      <c r="B33" s="2">
        <v>0.96783919597989942</v>
      </c>
      <c r="C33" s="2">
        <v>0.64632885211995861</v>
      </c>
      <c r="D33" s="3">
        <f t="shared" si="0"/>
        <v>39.449125628140706</v>
      </c>
      <c r="E33" s="3">
        <f t="shared" si="1"/>
        <v>15.628231644260598</v>
      </c>
      <c r="F33" s="4">
        <f t="shared" ca="1" si="6"/>
        <v>31410.193462700056</v>
      </c>
      <c r="G33" s="4">
        <f t="shared" ca="1" si="2"/>
        <v>1239.1046679142582</v>
      </c>
      <c r="H33" s="4">
        <f t="shared" ca="1" si="3"/>
        <v>490.88577942611636</v>
      </c>
      <c r="I33" s="10">
        <f ca="1" xml:space="preserve"> MR!F6 / RSFSR!F6 * INDIRECT("'RSFSR'!" &amp; ADDRESS(ROW(), COLUMN()))</f>
        <v>-18.735587104870969</v>
      </c>
      <c r="J33" s="6">
        <f t="shared" ca="1" si="4"/>
        <v>2.3224412872513436</v>
      </c>
    </row>
    <row r="34" spans="1:10" x14ac:dyDescent="0.25">
      <c r="A34">
        <f t="shared" si="5"/>
        <v>1944</v>
      </c>
      <c r="B34" s="2">
        <v>0.96984924623115576</v>
      </c>
      <c r="C34" s="2">
        <v>0.60910031023784905</v>
      </c>
      <c r="D34" s="3">
        <f t="shared" si="0"/>
        <v>39.531055276381913</v>
      </c>
      <c r="E34" s="3">
        <f t="shared" si="1"/>
        <v>14.72804550155119</v>
      </c>
      <c r="F34" s="4">
        <f t="shared" ca="1" si="6"/>
        <v>32139.676764083324</v>
      </c>
      <c r="G34" s="4">
        <f t="shared" ca="1" si="2"/>
        <v>1270.5153387260252</v>
      </c>
      <c r="H34" s="4">
        <f t="shared" ca="1" si="3"/>
        <v>473.35462178656667</v>
      </c>
      <c r="I34" s="10">
        <f ca="1" xml:space="preserve"> MR!F6 / RSFSR!F6 * INDIRECT("'RSFSR'!" &amp; ADDRESS(ROW(), COLUMN()))</f>
        <v>-18.735587104870969</v>
      </c>
      <c r="J34" s="6">
        <f t="shared" ca="1" si="4"/>
        <v>2.4220067163354062</v>
      </c>
    </row>
    <row r="35" spans="1:10" x14ac:dyDescent="0.25">
      <c r="A35">
        <f t="shared" si="5"/>
        <v>1945</v>
      </c>
      <c r="B35" s="2">
        <v>0.97487437185929648</v>
      </c>
      <c r="C35" s="2">
        <v>0.57600827300930724</v>
      </c>
      <c r="D35" s="3">
        <f t="shared" si="0"/>
        <v>39.735879396984927</v>
      </c>
      <c r="E35" s="3">
        <f t="shared" si="1"/>
        <v>13.927880041365048</v>
      </c>
      <c r="F35" s="4">
        <f t="shared" ca="1" si="6"/>
        <v>32918.101893917912</v>
      </c>
      <c r="G35" s="4">
        <f t="shared" ca="1" si="2"/>
        <v>1308.0297268343834</v>
      </c>
      <c r="H35" s="4">
        <f t="shared" ca="1" si="3"/>
        <v>458.47937436792029</v>
      </c>
      <c r="I35" s="10"/>
      <c r="J35" s="6">
        <f t="shared" ca="1" si="4"/>
        <v>2.580799935562001</v>
      </c>
    </row>
    <row r="36" spans="1:10" x14ac:dyDescent="0.25">
      <c r="A36">
        <f t="shared" si="5"/>
        <v>1946</v>
      </c>
      <c r="B36" s="2">
        <v>0.97386934673366832</v>
      </c>
      <c r="C36" s="2">
        <v>0.54601861427094112</v>
      </c>
      <c r="D36" s="3">
        <f t="shared" si="0"/>
        <v>39.694914572864327</v>
      </c>
      <c r="E36" s="3">
        <f t="shared" si="1"/>
        <v>13.202730093071356</v>
      </c>
      <c r="F36" s="4">
        <f t="shared" ca="1" si="6"/>
        <v>33767.652246384379</v>
      </c>
      <c r="G36" s="4">
        <f t="shared" ca="1" si="2"/>
        <v>1340.4040712464182</v>
      </c>
      <c r="H36" s="4">
        <f t="shared" ca="1" si="3"/>
        <v>445.82519848570763</v>
      </c>
      <c r="J36" s="6">
        <f t="shared" ca="1" si="4"/>
        <v>2.6492184479793077</v>
      </c>
    </row>
    <row r="37" spans="1:10" x14ac:dyDescent="0.25">
      <c r="A37">
        <f t="shared" si="5"/>
        <v>1947</v>
      </c>
      <c r="B37" s="2">
        <v>0.96783919597989942</v>
      </c>
      <c r="C37" s="2">
        <v>0.53774560496380563</v>
      </c>
      <c r="D37" s="3">
        <f t="shared" si="0"/>
        <v>39.449125628140706</v>
      </c>
      <c r="E37" s="3">
        <f t="shared" si="1"/>
        <v>13.00268872802482</v>
      </c>
      <c r="F37" s="4">
        <f t="shared" ca="1" si="6"/>
        <v>34662.231119145094</v>
      </c>
      <c r="G37" s="4">
        <f t="shared" ca="1" si="2"/>
        <v>1367.394709970803</v>
      </c>
      <c r="H37" s="4">
        <f t="shared" ca="1" si="3"/>
        <v>450.70220186109907</v>
      </c>
      <c r="J37" s="6">
        <f t="shared" ca="1" si="4"/>
        <v>2.6446436900115762</v>
      </c>
    </row>
    <row r="38" spans="1:10" x14ac:dyDescent="0.25">
      <c r="A38">
        <f t="shared" si="5"/>
        <v>1948</v>
      </c>
      <c r="B38" s="2">
        <v>0.96783919597989942</v>
      </c>
      <c r="C38" s="2">
        <v>0.52326783867631854</v>
      </c>
      <c r="D38" s="3">
        <f t="shared" si="0"/>
        <v>39.449125628140706</v>
      </c>
      <c r="E38" s="3">
        <f t="shared" si="1"/>
        <v>12.652616339193383</v>
      </c>
      <c r="F38" s="4">
        <f t="shared" ca="1" si="6"/>
        <v>35578.923627254793</v>
      </c>
      <c r="G38" s="4">
        <f t="shared" ca="1" si="2"/>
        <v>1403.5574278855981</v>
      </c>
      <c r="H38" s="4">
        <f t="shared" ca="1" si="3"/>
        <v>450.16647041711747</v>
      </c>
      <c r="J38" s="6">
        <f t="shared" ca="1" si="4"/>
        <v>2.6796509288947319</v>
      </c>
    </row>
    <row r="39" spans="1:10" x14ac:dyDescent="0.25">
      <c r="A39">
        <f t="shared" si="5"/>
        <v>1949</v>
      </c>
      <c r="B39" s="2">
        <v>0.97085427135678393</v>
      </c>
      <c r="C39" s="2">
        <v>0.5191313340227508</v>
      </c>
      <c r="D39" s="3">
        <f t="shared" si="0"/>
        <v>39.57202010050252</v>
      </c>
      <c r="E39" s="3">
        <f t="shared" si="1"/>
        <v>12.552595656670114</v>
      </c>
      <c r="F39" s="4">
        <f t="shared" ca="1" si="6"/>
        <v>36532.314584723274</v>
      </c>
      <c r="G39" s="4">
        <f t="shared" ca="1" si="2"/>
        <v>1445.6574870645509</v>
      </c>
      <c r="H39" s="4">
        <f t="shared" ca="1" si="3"/>
        <v>458.57537338430365</v>
      </c>
      <c r="J39" s="6">
        <f t="shared" ca="1" si="4"/>
        <v>2.7019424443832425</v>
      </c>
    </row>
    <row r="40" spans="1:10" x14ac:dyDescent="0.25">
      <c r="A40">
        <f t="shared" si="5"/>
        <v>1950</v>
      </c>
      <c r="B40" s="2">
        <v>0.97185929648241198</v>
      </c>
      <c r="C40" s="2">
        <v>0.50982419855222338</v>
      </c>
      <c r="D40" s="3">
        <f t="shared" si="0"/>
        <v>39.61298492462312</v>
      </c>
      <c r="E40" s="3">
        <f t="shared" si="1"/>
        <v>12.327549120992762</v>
      </c>
      <c r="F40" s="4">
        <f t="shared" ca="1" si="6"/>
        <v>37519.396698403521</v>
      </c>
      <c r="G40" s="4">
        <f t="shared" ca="1" si="2"/>
        <v>1486.2552957948133</v>
      </c>
      <c r="H40" s="4">
        <f t="shared" ca="1" si="3"/>
        <v>462.52220578958304</v>
      </c>
      <c r="J40" s="6">
        <f t="shared" ca="1" si="4"/>
        <v>2.7285435803630436</v>
      </c>
    </row>
    <row r="41" spans="1:10" x14ac:dyDescent="0.25">
      <c r="A41">
        <f t="shared" si="5"/>
        <v>1951</v>
      </c>
      <c r="B41" s="2">
        <v>0.98090452261306527</v>
      </c>
      <c r="C41" s="2">
        <v>0.48914167528438468</v>
      </c>
      <c r="D41" s="3">
        <f t="shared" si="0"/>
        <v>39.981668341708549</v>
      </c>
      <c r="E41" s="3">
        <f t="shared" si="1"/>
        <v>11.827445708376422</v>
      </c>
      <c r="F41" s="4">
        <f t="shared" ca="1" si="6"/>
        <v>38543.129788408754</v>
      </c>
      <c r="G41" s="4">
        <f t="shared" ca="1" si="2"/>
        <v>1541.0186320515859</v>
      </c>
      <c r="H41" s="4">
        <f t="shared" ca="1" si="3"/>
        <v>455.86677500331052</v>
      </c>
      <c r="J41" s="6">
        <f t="shared" ca="1" si="4"/>
        <v>2.8154222633332067</v>
      </c>
    </row>
    <row r="42" spans="1:10" x14ac:dyDescent="0.25">
      <c r="A42">
        <f t="shared" si="5"/>
        <v>1952</v>
      </c>
      <c r="B42" s="2">
        <v>0.97788944723618088</v>
      </c>
      <c r="C42" s="2">
        <v>0.45604963805584281</v>
      </c>
      <c r="D42" s="3">
        <f t="shared" si="0"/>
        <v>39.858773869346734</v>
      </c>
      <c r="E42" s="3">
        <f t="shared" si="1"/>
        <v>11.027280248190278</v>
      </c>
      <c r="F42" s="4">
        <f t="shared" ca="1" si="6"/>
        <v>39628.281645457027</v>
      </c>
      <c r="G42" s="4">
        <f t="shared" ca="1" si="2"/>
        <v>1579.5347169370552</v>
      </c>
      <c r="H42" s="4">
        <f t="shared" ca="1" si="3"/>
        <v>436.99216745866966</v>
      </c>
      <c r="J42" s="6">
        <f t="shared" ca="1" si="4"/>
        <v>2.8831493621156437</v>
      </c>
    </row>
    <row r="43" spans="1:10" x14ac:dyDescent="0.25">
      <c r="A43">
        <f t="shared" si="5"/>
        <v>1953</v>
      </c>
      <c r="B43" s="2">
        <v>0.98693467336683416</v>
      </c>
      <c r="C43" s="2">
        <v>0.43536711478800416</v>
      </c>
      <c r="D43" s="3">
        <f t="shared" si="0"/>
        <v>40.227457286432163</v>
      </c>
      <c r="E43" s="3">
        <f t="shared" si="1"/>
        <v>10.52717683557394</v>
      </c>
      <c r="F43" s="4">
        <f t="shared" ca="1" si="6"/>
        <v>40770.824194935412</v>
      </c>
      <c r="G43" s="4">
        <f t="shared" ca="1" si="2"/>
        <v>1640.1065888343994</v>
      </c>
      <c r="H43" s="4">
        <f t="shared" ca="1" si="3"/>
        <v>429.20167603218158</v>
      </c>
      <c r="J43" s="6">
        <f t="shared" ca="1" si="4"/>
        <v>2.9700280450858365</v>
      </c>
    </row>
    <row r="44" spans="1:10" x14ac:dyDescent="0.25">
      <c r="A44">
        <f t="shared" si="5"/>
        <v>1954</v>
      </c>
      <c r="B44" s="2">
        <v>0.99497487437185927</v>
      </c>
      <c r="C44" s="2">
        <v>0.41158221302998971</v>
      </c>
      <c r="D44" s="3">
        <f t="shared" si="0"/>
        <v>40.555175879396991</v>
      </c>
      <c r="E44" s="3">
        <f t="shared" si="1"/>
        <v>9.9520579110651504</v>
      </c>
      <c r="F44" s="4">
        <f t="shared" ca="1" si="6"/>
        <v>41981.729107737636</v>
      </c>
      <c r="G44" s="4">
        <f t="shared" ca="1" si="2"/>
        <v>1702.5764076854998</v>
      </c>
      <c r="H44" s="4">
        <f t="shared" ca="1" si="3"/>
        <v>417.80459928685445</v>
      </c>
      <c r="J44" s="6">
        <f t="shared" ca="1" si="4"/>
        <v>3.0603117968331714</v>
      </c>
    </row>
    <row r="45" spans="1:10" x14ac:dyDescent="0.25">
      <c r="A45">
        <f t="shared" si="5"/>
        <v>1955</v>
      </c>
      <c r="B45" s="2">
        <v>1</v>
      </c>
      <c r="C45" s="2">
        <v>0.40124095139607036</v>
      </c>
      <c r="D45" s="3">
        <f t="shared" si="0"/>
        <v>40.760000000000005</v>
      </c>
      <c r="E45" s="3">
        <f t="shared" si="1"/>
        <v>9.7020062047569819</v>
      </c>
      <c r="F45" s="4">
        <f t="shared" ca="1" si="6"/>
        <v>43266.500916136276</v>
      </c>
      <c r="G45" s="4">
        <f t="shared" ca="1" si="2"/>
        <v>1763.5425773417148</v>
      </c>
      <c r="H45" s="4">
        <f t="shared" ca="1" si="3"/>
        <v>419.77186034647775</v>
      </c>
      <c r="J45" s="6">
        <f t="shared" ca="1" si="4"/>
        <v>3.1057993795243113</v>
      </c>
    </row>
    <row r="46" spans="1:10" x14ac:dyDescent="0.25">
      <c r="A46">
        <f t="shared" si="5"/>
        <v>1956</v>
      </c>
      <c r="B46" s="2">
        <v>1.0060301507537688</v>
      </c>
      <c r="C46" s="2">
        <v>0.38676318510858326</v>
      </c>
      <c r="D46" s="3">
        <f t="shared" si="0"/>
        <v>41.005788944723619</v>
      </c>
      <c r="E46" s="3">
        <f t="shared" si="1"/>
        <v>9.351933815925543</v>
      </c>
      <c r="F46" s="4">
        <f t="shared" ca="1" si="6"/>
        <v>44610.271633131517</v>
      </c>
      <c r="G46" s="4">
        <f t="shared" ca="1" si="2"/>
        <v>1829.2793833549822</v>
      </c>
      <c r="H46" s="4">
        <f t="shared" ca="1" si="3"/>
        <v>417.19230782350667</v>
      </c>
      <c r="J46" s="6">
        <f t="shared" ca="1" si="4"/>
        <v>3.1653855128798076</v>
      </c>
    </row>
    <row r="47" spans="1:10" x14ac:dyDescent="0.25">
      <c r="A47">
        <f t="shared" si="5"/>
        <v>1957</v>
      </c>
      <c r="B47" s="2">
        <v>1.0050251256281406</v>
      </c>
      <c r="C47" s="2">
        <v>0.38159255429162359</v>
      </c>
      <c r="D47" s="3">
        <f t="shared" si="0"/>
        <v>40.964824120603019</v>
      </c>
      <c r="E47" s="3">
        <f t="shared" si="1"/>
        <v>9.2269079627714579</v>
      </c>
      <c r="F47" s="4">
        <f t="shared" ca="1" si="6"/>
        <v>46022.358708662992</v>
      </c>
      <c r="G47" s="4">
        <f t="shared" ca="1" si="2"/>
        <v>1885.2978301156822</v>
      </c>
      <c r="H47" s="4">
        <f t="shared" ca="1" si="3"/>
        <v>424.64406803448691</v>
      </c>
      <c r="J47" s="6">
        <f t="shared" ca="1" si="4"/>
        <v>3.1737916157831538</v>
      </c>
    </row>
    <row r="48" spans="1:10" x14ac:dyDescent="0.25">
      <c r="A48">
        <f t="shared" si="5"/>
        <v>1958</v>
      </c>
      <c r="B48" s="2">
        <v>1.0010050251256282</v>
      </c>
      <c r="C48" s="2">
        <v>0.36711478800413649</v>
      </c>
      <c r="D48" s="3">
        <f t="shared" si="0"/>
        <v>40.800964824120612</v>
      </c>
      <c r="E48" s="3">
        <f t="shared" si="1"/>
        <v>8.8768355739400207</v>
      </c>
      <c r="F48" s="4">
        <f t="shared" ca="1" si="6"/>
        <v>47483.012470744186</v>
      </c>
      <c r="G48" s="4">
        <f t="shared" ca="1" si="2"/>
        <v>1937.3527215621139</v>
      </c>
      <c r="H48" s="4">
        <f t="shared" ca="1" si="3"/>
        <v>421.49889425813967</v>
      </c>
      <c r="J48" s="6">
        <f t="shared" ca="1" si="4"/>
        <v>3.1924129250180586</v>
      </c>
    </row>
    <row r="49" spans="1:10" x14ac:dyDescent="0.25">
      <c r="A49">
        <f t="shared" si="5"/>
        <v>1959</v>
      </c>
      <c r="B49" s="2">
        <v>0.99597989949748744</v>
      </c>
      <c r="C49" s="2">
        <v>0.35780765253360908</v>
      </c>
      <c r="D49" s="3">
        <f t="shared" si="0"/>
        <v>40.596140703517591</v>
      </c>
      <c r="E49" s="3">
        <f t="shared" si="1"/>
        <v>8.6517890382626668</v>
      </c>
      <c r="F49" s="4">
        <f t="shared" ca="1" si="6"/>
        <v>48998.86629804816</v>
      </c>
      <c r="G49" s="4">
        <f t="shared" ca="1" si="2"/>
        <v>1989.1648705484092</v>
      </c>
      <c r="H49" s="4">
        <f t="shared" ca="1" si="3"/>
        <v>423.92785432475108</v>
      </c>
      <c r="J49" s="6">
        <f t="shared" ca="1" si="4"/>
        <v>3.1944351665255004</v>
      </c>
    </row>
    <row r="50" spans="1:10" x14ac:dyDescent="0.25">
      <c r="A50">
        <f t="shared" si="5"/>
        <v>1960</v>
      </c>
      <c r="B50" s="2">
        <v>0.99396984924623111</v>
      </c>
      <c r="C50" s="2">
        <v>0.34126163391933817</v>
      </c>
      <c r="D50" s="3">
        <f t="shared" si="0"/>
        <v>40.514211055276384</v>
      </c>
      <c r="E50" s="3">
        <f t="shared" si="1"/>
        <v>8.2517063081695969</v>
      </c>
      <c r="F50" s="4">
        <f t="shared" ca="1" si="6"/>
        <v>50564.103314271822</v>
      </c>
      <c r="G50" s="4">
        <f t="shared" ca="1" si="2"/>
        <v>2048.5647534952086</v>
      </c>
      <c r="H50" s="4">
        <f t="shared" ca="1" si="3"/>
        <v>417.24013028531601</v>
      </c>
      <c r="J50" s="6">
        <f t="shared" ca="1" si="4"/>
        <v>3.2262504747106733</v>
      </c>
    </row>
    <row r="51" spans="1:10" x14ac:dyDescent="0.25">
      <c r="A51">
        <f t="shared" si="5"/>
        <v>1961</v>
      </c>
      <c r="B51" s="2">
        <v>0.99095477386934672</v>
      </c>
      <c r="C51" s="2">
        <v>0.33092037228541882</v>
      </c>
      <c r="D51" s="3">
        <f t="shared" si="0"/>
        <v>40.391316582914577</v>
      </c>
      <c r="E51" s="3">
        <f t="shared" si="1"/>
        <v>8.0016546018614267</v>
      </c>
      <c r="F51" s="4">
        <f t="shared" ca="1" si="6"/>
        <v>52195.427937481712</v>
      </c>
      <c r="G51" s="4">
        <f t="shared" ca="1" si="2"/>
        <v>2108.2420540035278</v>
      </c>
      <c r="H51" s="4">
        <f t="shared" ca="1" si="3"/>
        <v>417.64978615207701</v>
      </c>
      <c r="J51" s="6">
        <f t="shared" ca="1" si="4"/>
        <v>3.2389661981053219</v>
      </c>
    </row>
    <row r="52" spans="1:10" x14ac:dyDescent="0.25">
      <c r="A52">
        <f t="shared" si="5"/>
        <v>1962</v>
      </c>
      <c r="B52" s="2">
        <v>0.98894472361809049</v>
      </c>
      <c r="C52" s="2">
        <v>0.32368148914167527</v>
      </c>
      <c r="D52" s="3">
        <f t="shared" si="0"/>
        <v>40.309386934673377</v>
      </c>
      <c r="E52" s="3">
        <f t="shared" si="1"/>
        <v>7.8266184074457081</v>
      </c>
      <c r="F52" s="4">
        <f t="shared" ca="1" si="6"/>
        <v>53886.020205333167</v>
      </c>
      <c r="G52" s="4">
        <f t="shared" ca="1" si="2"/>
        <v>2172.112438826402</v>
      </c>
      <c r="H52" s="4">
        <f t="shared" ca="1" si="3"/>
        <v>421.74531764305192</v>
      </c>
      <c r="J52" s="6">
        <f t="shared" ca="1" si="4"/>
        <v>3.2482768527227659</v>
      </c>
    </row>
    <row r="53" spans="1:10" x14ac:dyDescent="0.25">
      <c r="A53">
        <f t="shared" si="5"/>
        <v>1963</v>
      </c>
      <c r="B53" s="2">
        <v>0.98894472361809049</v>
      </c>
      <c r="C53" s="2">
        <v>0.31437435367114785</v>
      </c>
      <c r="D53" s="3">
        <f t="shared" si="0"/>
        <v>40.309386934673377</v>
      </c>
      <c r="E53" s="3">
        <f t="shared" si="1"/>
        <v>7.6015718717683551</v>
      </c>
      <c r="F53" s="4">
        <f t="shared" ca="1" si="6"/>
        <v>55636.387326516517</v>
      </c>
      <c r="G53" s="4">
        <f t="shared" ca="1" si="2"/>
        <v>2242.6686643919124</v>
      </c>
      <c r="H53" s="4">
        <f t="shared" ca="1" si="3"/>
        <v>422.92399694805738</v>
      </c>
      <c r="J53" s="6">
        <f t="shared" ca="1" si="4"/>
        <v>3.270781506290501</v>
      </c>
    </row>
    <row r="54" spans="1:10" x14ac:dyDescent="0.25">
      <c r="A54">
        <f t="shared" si="5"/>
        <v>1964</v>
      </c>
      <c r="B54" s="2">
        <v>0.98190954773869343</v>
      </c>
      <c r="C54" s="2">
        <v>0.30920372285418823</v>
      </c>
      <c r="D54" s="3">
        <f t="shared" si="0"/>
        <v>40.022633165829149</v>
      </c>
      <c r="E54" s="3">
        <f t="shared" si="1"/>
        <v>7.4765460186142718</v>
      </c>
      <c r="F54" s="4">
        <f t="shared" ca="1" si="6"/>
        <v>57456.131993960371</v>
      </c>
      <c r="G54" s="4">
        <f t="shared" ca="1" si="2"/>
        <v>2299.5456939217356</v>
      </c>
      <c r="H54" s="4">
        <f t="shared" ca="1" si="3"/>
        <v>429.57341490442047</v>
      </c>
      <c r="J54" s="6">
        <f t="shared" ca="1" si="4"/>
        <v>3.2546087147214804</v>
      </c>
    </row>
    <row r="55" spans="1:10" x14ac:dyDescent="0.25">
      <c r="A55">
        <f t="shared" si="5"/>
        <v>1965</v>
      </c>
      <c r="B55" s="2">
        <v>0.97788944723618088</v>
      </c>
      <c r="C55" s="2">
        <v>0.30299896587383662</v>
      </c>
      <c r="D55" s="3">
        <f t="shared" si="0"/>
        <v>39.858773869346734</v>
      </c>
      <c r="E55" s="3">
        <f t="shared" si="1"/>
        <v>7.3265149948293695</v>
      </c>
      <c r="F55" s="4">
        <f t="shared" ca="1" si="6"/>
        <v>59326.104272977682</v>
      </c>
      <c r="G55" s="4">
        <f t="shared" ca="1" si="2"/>
        <v>2364.6657747659028</v>
      </c>
      <c r="H55" s="4">
        <f t="shared" ca="1" si="3"/>
        <v>434.65359254078169</v>
      </c>
      <c r="J55" s="6">
        <f t="shared" ca="1" si="4"/>
        <v>3.2532258874517419</v>
      </c>
    </row>
    <row r="56" spans="1:10" x14ac:dyDescent="0.25">
      <c r="A56">
        <f t="shared" si="5"/>
        <v>1966</v>
      </c>
      <c r="B56" s="2">
        <v>0.9658291457286432</v>
      </c>
      <c r="C56" s="2">
        <v>0.30299896587383662</v>
      </c>
      <c r="D56" s="3">
        <f t="shared" si="0"/>
        <v>39.367195979899499</v>
      </c>
      <c r="E56" s="3">
        <f t="shared" si="1"/>
        <v>7.3265149948293695</v>
      </c>
      <c r="F56" s="4">
        <f t="shared" ca="1" si="6"/>
        <v>61256.116455202806</v>
      </c>
      <c r="G56" s="4">
        <f t="shared" ca="1" si="2"/>
        <v>2411.481541459515</v>
      </c>
      <c r="H56" s="4">
        <f t="shared" ca="1" si="3"/>
        <v>448.79385573405744</v>
      </c>
      <c r="J56" s="6">
        <f t="shared" ca="1" si="4"/>
        <v>3.204068098507006</v>
      </c>
    </row>
    <row r="57" spans="1:10" x14ac:dyDescent="0.25">
      <c r="A57">
        <f t="shared" si="5"/>
        <v>1967</v>
      </c>
      <c r="B57" s="2">
        <v>0.95678391959798992</v>
      </c>
      <c r="C57" s="2">
        <v>0.30196483971044469</v>
      </c>
      <c r="D57" s="3">
        <f t="shared" si="0"/>
        <v>38.998512562814071</v>
      </c>
      <c r="E57" s="3">
        <f t="shared" si="1"/>
        <v>7.3015098241985523</v>
      </c>
      <c r="F57" s="4">
        <f t="shared" ca="1" si="6"/>
        <v>63218.80414092826</v>
      </c>
      <c r="G57" s="4">
        <f t="shared" ca="1" si="2"/>
        <v>2465.4393274960726</v>
      </c>
      <c r="H57" s="4">
        <f t="shared" ca="1" si="3"/>
        <v>461.5927195090718</v>
      </c>
      <c r="J57" s="6">
        <f t="shared" ca="1" si="4"/>
        <v>3.1697002738615581</v>
      </c>
    </row>
    <row r="58" spans="1:10" x14ac:dyDescent="0.25">
      <c r="A58">
        <f t="shared" si="5"/>
        <v>1968</v>
      </c>
      <c r="B58" s="2">
        <v>0.95879396984924614</v>
      </c>
      <c r="C58" s="2">
        <v>0.29886246122026888</v>
      </c>
      <c r="D58" s="3">
        <f t="shared" si="0"/>
        <v>39.080442211055278</v>
      </c>
      <c r="E58" s="3">
        <f t="shared" si="1"/>
        <v>7.2264943123061016</v>
      </c>
      <c r="F58" s="4">
        <f t="shared" ca="1" si="6"/>
        <v>65222.650748915265</v>
      </c>
      <c r="G58" s="4">
        <f t="shared" ca="1" si="2"/>
        <v>2548.9300334448239</v>
      </c>
      <c r="H58" s="4">
        <f t="shared" ca="1" si="3"/>
        <v>471.33111467056341</v>
      </c>
      <c r="J58" s="6">
        <f t="shared" ca="1" si="4"/>
        <v>3.1853947898749162</v>
      </c>
    </row>
    <row r="59" spans="1:10" x14ac:dyDescent="0.25">
      <c r="A59">
        <f t="shared" si="5"/>
        <v>1969</v>
      </c>
      <c r="B59" s="2">
        <v>0.95577889447236175</v>
      </c>
      <c r="C59" s="2">
        <v>0.29369183040330921</v>
      </c>
      <c r="D59" s="3">
        <f t="shared" si="0"/>
        <v>38.957547738693471</v>
      </c>
      <c r="E59" s="3">
        <f t="shared" si="1"/>
        <v>7.1014684591520165</v>
      </c>
      <c r="F59" s="4">
        <f t="shared" ca="1" si="6"/>
        <v>67300.249667689524</v>
      </c>
      <c r="G59" s="4">
        <f t="shared" ca="1" si="2"/>
        <v>2621.852689255004</v>
      </c>
      <c r="H59" s="4">
        <f t="shared" ca="1" si="3"/>
        <v>477.93060030815315</v>
      </c>
      <c r="J59" s="6">
        <f t="shared" ca="1" si="4"/>
        <v>3.1856079279541314</v>
      </c>
    </row>
    <row r="60" spans="1:10" x14ac:dyDescent="0.25">
      <c r="A60">
        <f t="shared" si="5"/>
        <v>1970</v>
      </c>
      <c r="B60" s="2">
        <v>0.95175879396984919</v>
      </c>
      <c r="C60" s="2">
        <v>0.28335056876938991</v>
      </c>
      <c r="D60" s="3">
        <f t="shared" si="0"/>
        <v>38.793688442211057</v>
      </c>
      <c r="E60" s="3">
        <f t="shared" si="1"/>
        <v>6.8514167528438481</v>
      </c>
      <c r="F60" s="4">
        <f t="shared" ca="1" si="6"/>
        <v>69444.171756636366</v>
      </c>
      <c r="G60" s="4">
        <f t="shared" ca="1" si="2"/>
        <v>2693.9955632543438</v>
      </c>
      <c r="H60" s="4">
        <f t="shared" ca="1" si="3"/>
        <v>475.790961760784</v>
      </c>
      <c r="J60" s="6">
        <f t="shared" ca="1" si="4"/>
        <v>3.1942271689367243</v>
      </c>
    </row>
    <row r="61" spans="1:10" x14ac:dyDescent="0.25">
      <c r="A61">
        <f t="shared" si="5"/>
        <v>1971</v>
      </c>
      <c r="B61" s="2">
        <v>0.94472361809045224</v>
      </c>
      <c r="C61" s="2">
        <v>0.26473629782833508</v>
      </c>
      <c r="D61" s="3">
        <f t="shared" si="0"/>
        <v>38.506934673366835</v>
      </c>
      <c r="E61" s="3">
        <f t="shared" si="1"/>
        <v>6.4013236814891421</v>
      </c>
      <c r="F61" s="4">
        <f t="shared" ca="1" si="6"/>
        <v>71662.376358129928</v>
      </c>
      <c r="G61" s="4">
        <f t="shared" ca="1" si="2"/>
        <v>2759.4984449607373</v>
      </c>
      <c r="H61" s="4">
        <f t="shared" ca="1" si="3"/>
        <v>458.7340668530847</v>
      </c>
      <c r="J61" s="6">
        <f t="shared" ca="1" si="4"/>
        <v>3.2105610991877831</v>
      </c>
    </row>
    <row r="62" spans="1:10" x14ac:dyDescent="0.25">
      <c r="A62">
        <f t="shared" si="5"/>
        <v>1972</v>
      </c>
      <c r="B62" s="2">
        <v>0.93165829145728651</v>
      </c>
      <c r="C62" s="2">
        <v>0.25129265770423992</v>
      </c>
      <c r="D62" s="3">
        <f t="shared" si="0"/>
        <v>37.974391959799</v>
      </c>
      <c r="E62" s="3">
        <f t="shared" si="1"/>
        <v>6.0762564632885212</v>
      </c>
      <c r="F62" s="4">
        <f t="shared" ca="1" si="6"/>
        <v>73963.14073623759</v>
      </c>
      <c r="G62" s="4">
        <f t="shared" ca="1" si="2"/>
        <v>2808.7052968956627</v>
      </c>
      <c r="H62" s="4">
        <f t="shared" ca="1" si="3"/>
        <v>449.41901194368216</v>
      </c>
      <c r="J62" s="6">
        <f t="shared" ca="1" si="4"/>
        <v>3.1898135496510385</v>
      </c>
    </row>
    <row r="63" spans="1:10" x14ac:dyDescent="0.25">
      <c r="A63">
        <f t="shared" si="5"/>
        <v>1973</v>
      </c>
      <c r="B63" s="2">
        <v>0.91356783919597995</v>
      </c>
      <c r="C63" s="2">
        <v>0.23991726990692866</v>
      </c>
      <c r="D63" s="3">
        <f t="shared" si="0"/>
        <v>37.237025125628151</v>
      </c>
      <c r="E63" s="3">
        <f t="shared" si="1"/>
        <v>5.8011995863495347</v>
      </c>
      <c r="F63" s="4">
        <f t="shared" ca="1" si="6"/>
        <v>76322.427021189564</v>
      </c>
      <c r="G63" s="4">
        <f t="shared" ca="1" si="2"/>
        <v>2842.020132636957</v>
      </c>
      <c r="H63" s="4">
        <f t="shared" ca="1" si="3"/>
        <v>442.76163206451747</v>
      </c>
      <c r="J63" s="6">
        <f t="shared" ca="1" si="4"/>
        <v>3.1435825539278621</v>
      </c>
    </row>
    <row r="64" spans="1:10" x14ac:dyDescent="0.25">
      <c r="A64">
        <f t="shared" si="5"/>
        <v>1974</v>
      </c>
      <c r="B64" s="2">
        <v>0.89145728643216082</v>
      </c>
      <c r="C64" s="2">
        <v>0.23267838676318511</v>
      </c>
      <c r="D64" s="3">
        <f t="shared" si="0"/>
        <v>36.33579899497488</v>
      </c>
      <c r="E64" s="3">
        <f t="shared" si="1"/>
        <v>5.6261633919338161</v>
      </c>
      <c r="F64" s="4">
        <f t="shared" ca="1" si="6"/>
        <v>78721.685521762003</v>
      </c>
      <c r="G64" s="4">
        <f t="shared" ca="1" si="2"/>
        <v>2860.4153416643685</v>
      </c>
      <c r="H64" s="4">
        <f t="shared" ca="1" si="3"/>
        <v>442.90106523386373</v>
      </c>
      <c r="J64" s="6">
        <f t="shared" ca="1" si="4"/>
        <v>3.0709635603041074</v>
      </c>
    </row>
    <row r="65" spans="1:10" x14ac:dyDescent="0.25">
      <c r="A65">
        <f t="shared" si="5"/>
        <v>1975</v>
      </c>
      <c r="B65" s="2">
        <v>0.87236180904522609</v>
      </c>
      <c r="C65" s="2">
        <v>0.22233712512926576</v>
      </c>
      <c r="D65" s="3">
        <f t="shared" si="0"/>
        <v>35.557467336683423</v>
      </c>
      <c r="E65" s="3">
        <f t="shared" si="1"/>
        <v>5.3761116856256459</v>
      </c>
      <c r="F65" s="4">
        <f t="shared" ca="1" si="6"/>
        <v>81139.199798192509</v>
      </c>
      <c r="G65" s="4">
        <f t="shared" ca="1" si="2"/>
        <v>2885.1044465488603</v>
      </c>
      <c r="H65" s="4">
        <f t="shared" ca="1" si="3"/>
        <v>436.21340019737681</v>
      </c>
      <c r="J65" s="6">
        <f t="shared" ca="1" si="4"/>
        <v>3.0181355651057871</v>
      </c>
    </row>
    <row r="66" spans="1:10" x14ac:dyDescent="0.25">
      <c r="A66">
        <f t="shared" si="5"/>
        <v>1976</v>
      </c>
      <c r="B66" s="2">
        <v>0.84221105527638185</v>
      </c>
      <c r="C66" s="2">
        <v>0.21509824198552224</v>
      </c>
      <c r="D66" s="3">
        <f t="shared" si="0"/>
        <v>34.328522613065331</v>
      </c>
      <c r="E66" s="3">
        <f t="shared" si="1"/>
        <v>5.2010754912099282</v>
      </c>
      <c r="F66" s="4">
        <f t="shared" ca="1" si="6"/>
        <v>83588.090844544</v>
      </c>
      <c r="G66" s="4">
        <f t="shared" ca="1" si="2"/>
        <v>2869.4556667398879</v>
      </c>
      <c r="H66" s="4">
        <f t="shared" ca="1" si="3"/>
        <v>434.74797064858683</v>
      </c>
      <c r="J66" s="6">
        <f t="shared" ca="1" si="4"/>
        <v>2.9127447121855345</v>
      </c>
    </row>
    <row r="67" spans="1:10" x14ac:dyDescent="0.25">
      <c r="A67">
        <f t="shared" si="5"/>
        <v>1977</v>
      </c>
      <c r="B67" s="2">
        <v>0.81407035175879405</v>
      </c>
      <c r="C67" s="2">
        <v>0.20992761116856259</v>
      </c>
      <c r="D67" s="3">
        <f t="shared" si="0"/>
        <v>33.181507537688447</v>
      </c>
      <c r="E67" s="3">
        <f t="shared" si="1"/>
        <v>5.0760496380558431</v>
      </c>
      <c r="F67" s="4">
        <f t="shared" ca="1" si="6"/>
        <v>86022.798540635296</v>
      </c>
      <c r="G67" s="4">
        <f t="shared" ca="1" si="2"/>
        <v>2854.3661381891447</v>
      </c>
      <c r="H67" s="4">
        <f t="shared" ca="1" si="3"/>
        <v>436.65599539674247</v>
      </c>
      <c r="J67" s="6">
        <f t="shared" ca="1" si="4"/>
        <v>2.8105457899632649</v>
      </c>
    </row>
    <row r="68" spans="1:10" x14ac:dyDescent="0.25">
      <c r="A68">
        <f t="shared" si="5"/>
        <v>1978</v>
      </c>
      <c r="B68" s="2">
        <v>0.78492462311557787</v>
      </c>
      <c r="C68" s="2">
        <v>0.20165460186142711</v>
      </c>
      <c r="D68" s="3">
        <f t="shared" si="0"/>
        <v>31.993527638190958</v>
      </c>
      <c r="E68" s="3">
        <f t="shared" si="1"/>
        <v>4.8760082730093073</v>
      </c>
      <c r="F68" s="4">
        <f t="shared" ca="1" si="6"/>
        <v>88440.508683427703</v>
      </c>
      <c r="G68" s="4">
        <f t="shared" ca="1" si="2"/>
        <v>2829.5238588989118</v>
      </c>
      <c r="H68" s="4">
        <f t="shared" ca="1" si="3"/>
        <v>431.23665200954497</v>
      </c>
      <c r="J68" s="6">
        <f t="shared" ca="1" si="4"/>
        <v>2.7117519365181773</v>
      </c>
    </row>
    <row r="69" spans="1:10" x14ac:dyDescent="0.25">
      <c r="A69">
        <f t="shared" si="5"/>
        <v>1979</v>
      </c>
      <c r="B69" s="2">
        <v>0.77286432160804019</v>
      </c>
      <c r="C69" s="2">
        <v>0.19131334022750776</v>
      </c>
      <c r="D69" s="3">
        <f t="shared" si="0"/>
        <v>31.501949748743723</v>
      </c>
      <c r="E69" s="3">
        <f t="shared" si="1"/>
        <v>4.625956566701138</v>
      </c>
      <c r="F69" s="4">
        <f t="shared" ca="1" si="6"/>
        <v>90838.79589031708</v>
      </c>
      <c r="G69" s="4">
        <f t="shared" ca="1" si="2"/>
        <v>2861.5991833731564</v>
      </c>
      <c r="H69" s="4">
        <f t="shared" ca="1" si="3"/>
        <v>420.21632436003665</v>
      </c>
      <c r="J69" s="6">
        <f t="shared" ca="1" si="4"/>
        <v>2.6875993182042546</v>
      </c>
    </row>
    <row r="70" spans="1:10" x14ac:dyDescent="0.25">
      <c r="A70">
        <f t="shared" si="5"/>
        <v>1980</v>
      </c>
      <c r="B70" s="2">
        <v>0.76482412060301508</v>
      </c>
      <c r="C70" s="2">
        <v>0.18614270941054809</v>
      </c>
      <c r="D70" s="3">
        <f t="shared" si="0"/>
        <v>31.174231155778898</v>
      </c>
      <c r="E70" s="3">
        <f t="shared" si="1"/>
        <v>4.5009307135470529</v>
      </c>
      <c r="F70" s="4">
        <f t="shared" ca="1" si="6"/>
        <v>93280.178749330196</v>
      </c>
      <c r="G70" s="4">
        <f t="shared" ca="1" si="2"/>
        <v>2907.9378545839941</v>
      </c>
      <c r="H70" s="4">
        <f t="shared" ca="1" si="3"/>
        <v>419.84762149801935</v>
      </c>
      <c r="J70" s="6">
        <f t="shared" ca="1" si="4"/>
        <v>2.6673300442231929</v>
      </c>
    </row>
    <row r="71" spans="1:10" x14ac:dyDescent="0.25">
      <c r="A71">
        <f t="shared" si="5"/>
        <v>1981</v>
      </c>
      <c r="B71" s="2">
        <v>0.76180904522613069</v>
      </c>
      <c r="C71" s="2">
        <v>0.18200620475698034</v>
      </c>
      <c r="D71" s="3">
        <f t="shared" si="0"/>
        <v>31.051336683417091</v>
      </c>
      <c r="E71" s="3">
        <f t="shared" si="1"/>
        <v>4.400910031023785</v>
      </c>
      <c r="F71" s="4">
        <f t="shared" ca="1" si="6"/>
        <v>95768.268982416179</v>
      </c>
      <c r="G71" s="4">
        <f t="shared" ca="1" si="2"/>
        <v>2973.7327637610547</v>
      </c>
      <c r="H71" s="4">
        <f t="shared" ca="1" si="3"/>
        <v>421.46753561849937</v>
      </c>
      <c r="J71" s="6">
        <f t="shared" ca="1" si="4"/>
        <v>2.6650426652393295</v>
      </c>
    </row>
    <row r="72" spans="1:10" x14ac:dyDescent="0.25">
      <c r="A72">
        <f t="shared" si="5"/>
        <v>1982</v>
      </c>
      <c r="B72" s="2">
        <v>0.75979899497487435</v>
      </c>
      <c r="C72" s="2">
        <v>0.1768355739400207</v>
      </c>
      <c r="D72" s="3">
        <f t="shared" ref="D72:D121" si="7">B72*$D$6</f>
        <v>30.969407035175884</v>
      </c>
      <c r="E72" s="3">
        <f t="shared" ref="E72:E121" si="8">C72*$E$6</f>
        <v>4.2758841778697008</v>
      </c>
      <c r="F72" s="4">
        <f t="shared" ca="1" si="6"/>
        <v>98320.534210558733</v>
      </c>
      <c r="G72" s="4">
        <f t="shared" ref="G72:G121" ca="1" si="9">F72*D72/1000</f>
        <v>3044.9286438827285</v>
      </c>
      <c r="H72" s="4">
        <f t="shared" ref="H72:H121" ca="1" si="10">E72*F72/1000</f>
        <v>420.40721659062473</v>
      </c>
      <c r="J72" s="6">
        <f t="shared" ref="J72:J129" ca="1" si="11">100 *(F73-F72) / F72</f>
        <v>2.6693522857306142</v>
      </c>
    </row>
    <row r="73" spans="1:10" x14ac:dyDescent="0.25">
      <c r="A73">
        <f t="shared" ref="A73:A122" si="12">A72+1</f>
        <v>1983</v>
      </c>
      <c r="B73" s="2">
        <v>0.76482412060301508</v>
      </c>
      <c r="C73" s="2">
        <v>0.17166494312306102</v>
      </c>
      <c r="D73" s="3">
        <f t="shared" si="7"/>
        <v>31.174231155778898</v>
      </c>
      <c r="E73" s="3">
        <f t="shared" si="8"/>
        <v>4.1508583247156157</v>
      </c>
      <c r="F73" s="4">
        <f t="shared" ref="F73:F121" ca="1" si="13">F72+G72-H72+I72</f>
        <v>100945.05563785083</v>
      </c>
      <c r="G73" s="4">
        <f t="shared" ca="1" si="9"/>
        <v>3146.884498487324</v>
      </c>
      <c r="H73" s="4">
        <f t="shared" ca="1" si="10"/>
        <v>419.00862453325414</v>
      </c>
      <c r="J73" s="6">
        <f t="shared" ca="1" si="11"/>
        <v>2.7023372831063375</v>
      </c>
    </row>
    <row r="74" spans="1:10" x14ac:dyDescent="0.25">
      <c r="A74">
        <f t="shared" si="12"/>
        <v>1984</v>
      </c>
      <c r="B74" s="2">
        <v>0.75879396984924619</v>
      </c>
      <c r="C74" s="2">
        <v>0.16856256463288521</v>
      </c>
      <c r="D74" s="3">
        <f t="shared" si="7"/>
        <v>30.928442211055277</v>
      </c>
      <c r="E74" s="3">
        <f t="shared" si="8"/>
        <v>4.0758428128231641</v>
      </c>
      <c r="F74" s="4">
        <f t="shared" ca="1" si="13"/>
        <v>103672.93151180491</v>
      </c>
      <c r="G74" s="4">
        <f t="shared" ca="1" si="9"/>
        <v>3206.4422711135499</v>
      </c>
      <c r="H74" s="4">
        <f t="shared" ca="1" si="10"/>
        <v>422.5545727866982</v>
      </c>
      <c r="J74" s="6">
        <f t="shared" ca="1" si="11"/>
        <v>2.685259939823216</v>
      </c>
    </row>
    <row r="75" spans="1:10" x14ac:dyDescent="0.25">
      <c r="A75">
        <f t="shared" si="12"/>
        <v>1985</v>
      </c>
      <c r="B75" s="2">
        <v>0.74673366834170851</v>
      </c>
      <c r="C75" s="2">
        <v>0.16546018614270941</v>
      </c>
      <c r="D75" s="3">
        <f t="shared" si="7"/>
        <v>30.436864321608041</v>
      </c>
      <c r="E75" s="3">
        <f t="shared" si="8"/>
        <v>4.0008273009307134</v>
      </c>
      <c r="F75" s="4">
        <f t="shared" ca="1" si="13"/>
        <v>106456.81921013177</v>
      </c>
      <c r="G75" s="4">
        <f t="shared" ca="1" si="9"/>
        <v>3240.2117624087373</v>
      </c>
      <c r="H75" s="4">
        <f t="shared" ca="1" si="10"/>
        <v>425.9153486661404</v>
      </c>
      <c r="J75" s="6">
        <f t="shared" ca="1" si="11"/>
        <v>2.6436037020677383</v>
      </c>
    </row>
    <row r="76" spans="1:10" x14ac:dyDescent="0.25">
      <c r="A76">
        <f t="shared" si="12"/>
        <v>1986</v>
      </c>
      <c r="B76" s="2">
        <v>0.72964824120603011</v>
      </c>
      <c r="C76" s="2">
        <v>0.16442605997931747</v>
      </c>
      <c r="D76" s="3">
        <f t="shared" si="7"/>
        <v>29.740462311557792</v>
      </c>
      <c r="E76" s="3">
        <f t="shared" si="8"/>
        <v>3.9758221302998966</v>
      </c>
      <c r="F76" s="4">
        <f t="shared" ca="1" si="13"/>
        <v>109271.11562387437</v>
      </c>
      <c r="G76" s="4">
        <f t="shared" ca="1" si="9"/>
        <v>3249.7734959537092</v>
      </c>
      <c r="H76" s="4">
        <f t="shared" ca="1" si="10"/>
        <v>434.4425196999585</v>
      </c>
      <c r="J76" s="6">
        <f t="shared" ca="1" si="11"/>
        <v>2.5764640181257787</v>
      </c>
    </row>
    <row r="77" spans="1:10" x14ac:dyDescent="0.25">
      <c r="A77">
        <f t="shared" si="12"/>
        <v>1987</v>
      </c>
      <c r="B77" s="2">
        <v>0.70854271356783916</v>
      </c>
      <c r="C77" s="2">
        <v>0.16546018614270941</v>
      </c>
      <c r="D77" s="3">
        <f t="shared" si="7"/>
        <v>28.880201005025128</v>
      </c>
      <c r="E77" s="3">
        <f t="shared" si="8"/>
        <v>4.0008273009307134</v>
      </c>
      <c r="F77" s="4">
        <f t="shared" ca="1" si="13"/>
        <v>112086.44660012811</v>
      </c>
      <c r="G77" s="4">
        <f t="shared" ca="1" si="9"/>
        <v>3237.0791077507151</v>
      </c>
      <c r="H77" s="4">
        <f t="shared" ca="1" si="10"/>
        <v>448.43851562210511</v>
      </c>
      <c r="J77" s="6">
        <f t="shared" ca="1" si="11"/>
        <v>2.4879373704094379</v>
      </c>
    </row>
    <row r="78" spans="1:10" x14ac:dyDescent="0.25">
      <c r="A78">
        <f t="shared" si="12"/>
        <v>1988</v>
      </c>
      <c r="B78" s="2">
        <v>0.67839195979899503</v>
      </c>
      <c r="C78" s="2">
        <v>0.16649431230610134</v>
      </c>
      <c r="D78" s="3">
        <f t="shared" si="7"/>
        <v>27.65125628140704</v>
      </c>
      <c r="E78" s="3">
        <f t="shared" si="8"/>
        <v>4.0258324715615306</v>
      </c>
      <c r="F78" s="4">
        <f t="shared" ca="1" si="13"/>
        <v>114875.08719225672</v>
      </c>
      <c r="G78" s="4">
        <f t="shared" ca="1" si="9"/>
        <v>3176.4404763020702</v>
      </c>
      <c r="H78" s="4">
        <f t="shared" ca="1" si="10"/>
        <v>462.46785619204917</v>
      </c>
      <c r="J78" s="6">
        <f t="shared" ca="1" si="11"/>
        <v>2.3625423809845567</v>
      </c>
    </row>
    <row r="79" spans="1:10" x14ac:dyDescent="0.25">
      <c r="A79">
        <f t="shared" si="12"/>
        <v>1989</v>
      </c>
      <c r="B79" s="2">
        <v>0.65125628140703518</v>
      </c>
      <c r="C79" s="2">
        <v>0.16856256463288521</v>
      </c>
      <c r="D79" s="3">
        <f t="shared" si="7"/>
        <v>26.545206030150759</v>
      </c>
      <c r="E79" s="3">
        <f t="shared" si="8"/>
        <v>4.0758428128231641</v>
      </c>
      <c r="F79" s="4">
        <f t="shared" ca="1" si="13"/>
        <v>117589.05981236674</v>
      </c>
      <c r="G79" s="4">
        <f t="shared" ca="1" si="9"/>
        <v>3121.4258196109959</v>
      </c>
      <c r="H79" s="4">
        <f t="shared" ca="1" si="10"/>
        <v>479.27452430286814</v>
      </c>
      <c r="J79" s="6">
        <f t="shared" ca="1" si="11"/>
        <v>2.24693632173277</v>
      </c>
    </row>
    <row r="80" spans="1:10" x14ac:dyDescent="0.25">
      <c r="A80">
        <f t="shared" si="12"/>
        <v>1990</v>
      </c>
      <c r="B80" s="2">
        <v>0.62110552763819094</v>
      </c>
      <c r="C80" s="2">
        <v>0.16856256463288521</v>
      </c>
      <c r="D80" s="3">
        <f t="shared" si="7"/>
        <v>25.316261306532667</v>
      </c>
      <c r="E80" s="3">
        <f t="shared" si="8"/>
        <v>4.0758428128231641</v>
      </c>
      <c r="F80" s="4">
        <f t="shared" ca="1" si="13"/>
        <v>120231.21110767488</v>
      </c>
      <c r="G80" s="4">
        <f t="shared" ca="1" si="9"/>
        <v>3043.8047576027902</v>
      </c>
      <c r="H80" s="4">
        <f t="shared" ca="1" si="10"/>
        <v>490.04351767024122</v>
      </c>
      <c r="J80" s="6">
        <f t="shared" ca="1" si="11"/>
        <v>2.1240418493709465</v>
      </c>
    </row>
    <row r="81" spans="1:10" x14ac:dyDescent="0.25">
      <c r="A81">
        <f t="shared" si="12"/>
        <v>1991</v>
      </c>
      <c r="B81" s="2">
        <v>0.59698492462311559</v>
      </c>
      <c r="C81" s="2">
        <v>0.16752843846949328</v>
      </c>
      <c r="D81" s="3">
        <f t="shared" si="7"/>
        <v>24.333105527638196</v>
      </c>
      <c r="E81" s="3">
        <f t="shared" si="8"/>
        <v>4.0508376421923478</v>
      </c>
      <c r="F81" s="4">
        <f t="shared" ca="1" si="13"/>
        <v>122784.97234760743</v>
      </c>
      <c r="G81" s="4">
        <f t="shared" ca="1" si="9"/>
        <v>2987.7396893424693</v>
      </c>
      <c r="H81" s="4">
        <f t="shared" ca="1" si="10"/>
        <v>497.38198788123469</v>
      </c>
      <c r="J81" s="6">
        <f t="shared" ca="1" si="11"/>
        <v>2.0282267885445879</v>
      </c>
    </row>
    <row r="82" spans="1:10" x14ac:dyDescent="0.25">
      <c r="A82">
        <f t="shared" si="12"/>
        <v>1992</v>
      </c>
      <c r="B82" s="2">
        <v>0.57185929648241196</v>
      </c>
      <c r="C82" s="2">
        <v>0.16649431230610134</v>
      </c>
      <c r="D82" s="3">
        <f t="shared" si="7"/>
        <v>23.308984924623115</v>
      </c>
      <c r="E82" s="3">
        <f t="shared" si="8"/>
        <v>4.0258324715615306</v>
      </c>
      <c r="F82" s="4">
        <f t="shared" ca="1" si="13"/>
        <v>125275.33004906867</v>
      </c>
      <c r="G82" s="4">
        <f t="shared" ca="1" si="9"/>
        <v>2920.0407795409269</v>
      </c>
      <c r="H82" s="4">
        <f t="shared" ca="1" si="10"/>
        <v>504.33749159712858</v>
      </c>
      <c r="J82" s="6">
        <f t="shared" ca="1" si="11"/>
        <v>1.9283152453061638</v>
      </c>
    </row>
    <row r="83" spans="1:10" x14ac:dyDescent="0.25">
      <c r="A83">
        <f t="shared" si="12"/>
        <v>1993</v>
      </c>
      <c r="B83" s="2">
        <v>0.5597989949748744</v>
      </c>
      <c r="C83" s="2">
        <v>0.16339193381592554</v>
      </c>
      <c r="D83" s="3">
        <f t="shared" si="7"/>
        <v>22.817407035175883</v>
      </c>
      <c r="E83" s="3">
        <f t="shared" si="8"/>
        <v>3.9508169596690794</v>
      </c>
      <c r="F83" s="4">
        <f t="shared" ca="1" si="13"/>
        <v>127691.03333701247</v>
      </c>
      <c r="G83" s="4">
        <f t="shared" ca="1" si="9"/>
        <v>2913.5782823928266</v>
      </c>
      <c r="H83" s="4">
        <f t="shared" ca="1" si="10"/>
        <v>504.48390010553868</v>
      </c>
      <c r="J83" s="6">
        <f t="shared" ca="1" si="11"/>
        <v>1.8866590075506853</v>
      </c>
    </row>
    <row r="84" spans="1:10" x14ac:dyDescent="0.25">
      <c r="A84">
        <f t="shared" si="12"/>
        <v>1994</v>
      </c>
      <c r="B84" s="2">
        <v>0.54974874371859306</v>
      </c>
      <c r="C84" s="2">
        <v>0.16132368148914167</v>
      </c>
      <c r="D84" s="3">
        <f t="shared" si="7"/>
        <v>22.407758793969855</v>
      </c>
      <c r="E84" s="3">
        <f t="shared" si="8"/>
        <v>3.9008066184074455</v>
      </c>
      <c r="F84" s="4">
        <f t="shared" ca="1" si="13"/>
        <v>130100.12771929977</v>
      </c>
      <c r="G84" s="4">
        <f t="shared" ca="1" si="9"/>
        <v>2915.2522809987404</v>
      </c>
      <c r="H84" s="4">
        <f t="shared" ca="1" si="10"/>
        <v>507.49543926309849</v>
      </c>
      <c r="J84" s="6">
        <f t="shared" ca="1" si="11"/>
        <v>1.8506952175562377</v>
      </c>
    </row>
    <row r="85" spans="1:10" x14ac:dyDescent="0.25">
      <c r="A85">
        <f t="shared" si="12"/>
        <v>1995</v>
      </c>
      <c r="B85" s="2">
        <v>0.54773869346733672</v>
      </c>
      <c r="C85" s="2">
        <v>0.16028955532574973</v>
      </c>
      <c r="D85" s="3">
        <f t="shared" si="7"/>
        <v>22.325829145728648</v>
      </c>
      <c r="E85" s="3">
        <f t="shared" si="8"/>
        <v>3.8758014477766287</v>
      </c>
      <c r="F85" s="4">
        <f t="shared" ca="1" si="13"/>
        <v>132507.8845610354</v>
      </c>
      <c r="G85" s="4">
        <f t="shared" ca="1" si="9"/>
        <v>2958.3483911716112</v>
      </c>
      <c r="H85" s="4">
        <f t="shared" ca="1" si="10"/>
        <v>513.57425082347936</v>
      </c>
      <c r="J85" s="6">
        <f t="shared" ca="1" si="11"/>
        <v>1.8450027697952036</v>
      </c>
    </row>
    <row r="86" spans="1:10" x14ac:dyDescent="0.25">
      <c r="A86">
        <f t="shared" si="12"/>
        <v>1996</v>
      </c>
      <c r="B86" s="2">
        <v>0.53668341708542722</v>
      </c>
      <c r="C86" s="2">
        <v>0.1592554291623578</v>
      </c>
      <c r="D86" s="3">
        <f t="shared" si="7"/>
        <v>21.875216080402016</v>
      </c>
      <c r="E86" s="3">
        <f t="shared" si="8"/>
        <v>3.8507962771458115</v>
      </c>
      <c r="F86" s="4">
        <f t="shared" ca="1" si="13"/>
        <v>134952.65870138354</v>
      </c>
      <c r="G86" s="4">
        <f t="shared" ca="1" si="9"/>
        <v>2952.1185697175101</v>
      </c>
      <c r="H86" s="4">
        <f t="shared" ca="1" si="10"/>
        <v>519.67519571821708</v>
      </c>
      <c r="J86" s="6">
        <f t="shared" ca="1" si="11"/>
        <v>1.8024419803256229</v>
      </c>
    </row>
    <row r="87" spans="1:10" x14ac:dyDescent="0.25">
      <c r="A87">
        <f t="shared" si="12"/>
        <v>1997</v>
      </c>
      <c r="B87" s="2">
        <v>0.52663316582914577</v>
      </c>
      <c r="C87" s="2">
        <v>0.15822130299896586</v>
      </c>
      <c r="D87" s="3">
        <f t="shared" si="7"/>
        <v>21.465567839195984</v>
      </c>
      <c r="E87" s="3">
        <f t="shared" si="8"/>
        <v>3.8257911065149943</v>
      </c>
      <c r="F87" s="4">
        <f t="shared" ca="1" si="13"/>
        <v>137385.10207538283</v>
      </c>
      <c r="G87" s="4">
        <f t="shared" ca="1" si="9"/>
        <v>2949.0492286939952</v>
      </c>
      <c r="H87" s="4">
        <f t="shared" ca="1" si="10"/>
        <v>525.60670168765432</v>
      </c>
      <c r="J87" s="6">
        <f t="shared" ca="1" si="11"/>
        <v>1.7639776732681065</v>
      </c>
    </row>
    <row r="88" spans="1:10" x14ac:dyDescent="0.25">
      <c r="A88">
        <f t="shared" si="12"/>
        <v>1998</v>
      </c>
      <c r="B88" s="2">
        <v>0.51557788944723615</v>
      </c>
      <c r="C88" s="2">
        <v>0.15718717683557393</v>
      </c>
      <c r="D88" s="3">
        <f t="shared" si="7"/>
        <v>21.014954773869349</v>
      </c>
      <c r="E88" s="3">
        <f t="shared" si="8"/>
        <v>3.8007859358841776</v>
      </c>
      <c r="F88" s="4">
        <f t="shared" ca="1" si="13"/>
        <v>139808.54460238919</v>
      </c>
      <c r="G88" s="4">
        <f t="shared" ca="1" si="9"/>
        <v>2938.0702418197043</v>
      </c>
      <c r="H88" s="4">
        <f t="shared" ca="1" si="10"/>
        <v>531.38235004119656</v>
      </c>
      <c r="J88" s="6">
        <f t="shared" ca="1" si="11"/>
        <v>1.7214168837985167</v>
      </c>
    </row>
    <row r="89" spans="1:10" x14ac:dyDescent="0.25">
      <c r="A89">
        <f t="shared" si="12"/>
        <v>1999</v>
      </c>
      <c r="B89" s="2">
        <v>0.50653266331658287</v>
      </c>
      <c r="C89" s="2">
        <v>0.15718717683557393</v>
      </c>
      <c r="D89" s="3">
        <f t="shared" si="7"/>
        <v>20.64627135678392</v>
      </c>
      <c r="E89" s="3">
        <f t="shared" si="8"/>
        <v>3.8007859358841776</v>
      </c>
      <c r="F89" s="4">
        <f t="shared" ca="1" si="13"/>
        <v>142215.23249416769</v>
      </c>
      <c r="G89" s="4">
        <f t="shared" ca="1" si="9"/>
        <v>2936.2142811427007</v>
      </c>
      <c r="H89" s="4">
        <f t="shared" ca="1" si="10"/>
        <v>540.52965553233105</v>
      </c>
      <c r="J89" s="6">
        <f t="shared" ca="1" si="11"/>
        <v>1.6845485420899677</v>
      </c>
    </row>
    <row r="90" spans="1:10" x14ac:dyDescent="0.25">
      <c r="A90">
        <f t="shared" si="12"/>
        <v>2000</v>
      </c>
      <c r="B90" s="2">
        <v>0.49648241206030153</v>
      </c>
      <c r="C90" s="2">
        <v>0.15718717683557393</v>
      </c>
      <c r="D90" s="3">
        <f t="shared" si="7"/>
        <v>20.236623115577892</v>
      </c>
      <c r="E90" s="3">
        <f t="shared" si="8"/>
        <v>3.8007859358841776</v>
      </c>
      <c r="F90" s="4">
        <f t="shared" ca="1" si="13"/>
        <v>144610.91711977805</v>
      </c>
      <c r="G90" s="4">
        <f t="shared" ca="1" si="9"/>
        <v>2926.4366281510192</v>
      </c>
      <c r="H90" s="4">
        <f t="shared" ca="1" si="10"/>
        <v>549.63513996416486</v>
      </c>
      <c r="J90" s="6">
        <f t="shared" ca="1" si="11"/>
        <v>1.6435837179693642</v>
      </c>
    </row>
    <row r="91" spans="1:10" x14ac:dyDescent="0.25">
      <c r="A91">
        <f t="shared" si="12"/>
        <v>2001</v>
      </c>
      <c r="B91" s="2">
        <v>0.48743718592964824</v>
      </c>
      <c r="C91" s="2">
        <v>0.15822130299896586</v>
      </c>
      <c r="D91" s="3">
        <f t="shared" si="7"/>
        <v>19.867939698492464</v>
      </c>
      <c r="E91" s="3">
        <f t="shared" si="8"/>
        <v>3.8257911065149943</v>
      </c>
      <c r="F91" s="4">
        <f t="shared" ca="1" si="13"/>
        <v>146987.7186079649</v>
      </c>
      <c r="G91" s="4">
        <f t="shared" ca="1" si="9"/>
        <v>2920.3431297220254</v>
      </c>
      <c r="H91" s="4">
        <f t="shared" ca="1" si="10"/>
        <v>562.34430661728061</v>
      </c>
      <c r="J91" s="6">
        <f t="shared" ca="1" si="11"/>
        <v>1.6042148591977483</v>
      </c>
    </row>
    <row r="92" spans="1:10" x14ac:dyDescent="0.25">
      <c r="A92">
        <f t="shared" si="12"/>
        <v>2002</v>
      </c>
      <c r="B92" s="2">
        <v>0.47939698492462307</v>
      </c>
      <c r="C92" s="2">
        <v>0.1592554291623578</v>
      </c>
      <c r="D92" s="3">
        <f t="shared" si="7"/>
        <v>19.540221105527639</v>
      </c>
      <c r="E92" s="3">
        <f t="shared" si="8"/>
        <v>3.8507962771458115</v>
      </c>
      <c r="F92" s="4">
        <f t="shared" ca="1" si="13"/>
        <v>149345.71743106964</v>
      </c>
      <c r="G92" s="4">
        <f t="shared" ca="1" si="9"/>
        <v>2918.2483397667538</v>
      </c>
      <c r="H92" s="4">
        <f t="shared" ca="1" si="10"/>
        <v>575.09993269123333</v>
      </c>
      <c r="J92" s="6">
        <f t="shared" ca="1" si="11"/>
        <v>1.5689424828381857</v>
      </c>
    </row>
    <row r="93" spans="1:10" x14ac:dyDescent="0.25">
      <c r="A93">
        <f t="shared" si="12"/>
        <v>2003</v>
      </c>
      <c r="B93" s="2">
        <v>0.47135678391959795</v>
      </c>
      <c r="C93" s="2">
        <v>0.16028955532574973</v>
      </c>
      <c r="D93" s="3">
        <f t="shared" si="7"/>
        <v>19.212502512562814</v>
      </c>
      <c r="E93" s="3">
        <f t="shared" si="8"/>
        <v>3.8758014477766287</v>
      </c>
      <c r="F93" s="4">
        <f t="shared" ca="1" si="13"/>
        <v>151688.86583814517</v>
      </c>
      <c r="G93" s="4">
        <f t="shared" ca="1" si="9"/>
        <v>2914.3227160431679</v>
      </c>
      <c r="H93" s="4">
        <f t="shared" ca="1" si="10"/>
        <v>587.91592582707779</v>
      </c>
      <c r="J93" s="6">
        <f t="shared" ca="1" si="11"/>
        <v>1.5336701064786087</v>
      </c>
    </row>
    <row r="94" spans="1:10" x14ac:dyDescent="0.25">
      <c r="A94">
        <f t="shared" si="12"/>
        <v>2004</v>
      </c>
      <c r="B94" s="2">
        <v>0.46331658291457289</v>
      </c>
      <c r="C94" s="2">
        <v>0.16132368148914167</v>
      </c>
      <c r="D94" s="3">
        <f t="shared" si="7"/>
        <v>18.884783919597993</v>
      </c>
      <c r="E94" s="3">
        <f t="shared" si="8"/>
        <v>3.9008066184074455</v>
      </c>
      <c r="F94" s="4">
        <f t="shared" ca="1" si="13"/>
        <v>154015.27262836124</v>
      </c>
      <c r="G94" s="4">
        <f t="shared" ca="1" si="9"/>
        <v>2908.5451439045773</v>
      </c>
      <c r="H94" s="4">
        <f t="shared" ca="1" si="10"/>
        <v>600.78379480453862</v>
      </c>
      <c r="J94" s="6">
        <f t="shared" ca="1" si="11"/>
        <v>1.4983977301190539</v>
      </c>
    </row>
    <row r="95" spans="1:10" x14ac:dyDescent="0.25">
      <c r="A95">
        <f t="shared" si="12"/>
        <v>2005</v>
      </c>
      <c r="B95" s="2">
        <v>0.45527638190954778</v>
      </c>
      <c r="C95" s="2">
        <v>0.16339193381592554</v>
      </c>
      <c r="D95" s="3">
        <f t="shared" si="7"/>
        <v>18.557065326633168</v>
      </c>
      <c r="E95" s="3">
        <f t="shared" si="8"/>
        <v>3.9508169596690794</v>
      </c>
      <c r="F95" s="4">
        <f t="shared" ca="1" si="13"/>
        <v>156323.03397746128</v>
      </c>
      <c r="G95" s="4">
        <f t="shared" ca="1" si="9"/>
        <v>2900.8967535772454</v>
      </c>
      <c r="H95" s="4">
        <f t="shared" ca="1" si="10"/>
        <v>617.60369382507986</v>
      </c>
      <c r="J95" s="6">
        <f t="shared" ca="1" si="11"/>
        <v>1.4606248366964163</v>
      </c>
    </row>
    <row r="96" spans="1:10" x14ac:dyDescent="0.25">
      <c r="A96">
        <f t="shared" si="12"/>
        <v>2006</v>
      </c>
      <c r="B96" s="2">
        <v>0.44824120603015077</v>
      </c>
      <c r="C96" s="2">
        <v>0.16546018614270941</v>
      </c>
      <c r="D96" s="3">
        <f t="shared" si="7"/>
        <v>18.270311557788947</v>
      </c>
      <c r="E96" s="3">
        <f t="shared" si="8"/>
        <v>4.0008273009307134</v>
      </c>
      <c r="F96" s="4">
        <f t="shared" ca="1" si="13"/>
        <v>158606.32703721346</v>
      </c>
      <c r="G96" s="4">
        <f t="shared" ca="1" si="9"/>
        <v>2897.7870100064547</v>
      </c>
      <c r="H96" s="4">
        <f t="shared" ca="1" si="10"/>
        <v>634.55652331082877</v>
      </c>
      <c r="J96" s="6">
        <f t="shared" ca="1" si="11"/>
        <v>1.4269484256858231</v>
      </c>
    </row>
    <row r="97" spans="1:10" x14ac:dyDescent="0.25">
      <c r="A97">
        <f t="shared" si="12"/>
        <v>2007</v>
      </c>
      <c r="B97" s="2">
        <v>0.44020100502512566</v>
      </c>
      <c r="C97" s="2">
        <v>0.16752843846949328</v>
      </c>
      <c r="D97" s="3">
        <f t="shared" si="7"/>
        <v>17.942592964824126</v>
      </c>
      <c r="E97" s="3">
        <f t="shared" si="8"/>
        <v>4.0508376421923478</v>
      </c>
      <c r="F97" s="4">
        <f t="shared" ca="1" si="13"/>
        <v>160869.55752390908</v>
      </c>
      <c r="G97" s="4">
        <f t="shared" ca="1" si="9"/>
        <v>2886.4169910828609</v>
      </c>
      <c r="H97" s="4">
        <f t="shared" ca="1" si="10"/>
        <v>651.65645910067815</v>
      </c>
      <c r="J97" s="6">
        <f t="shared" ca="1" si="11"/>
        <v>1.3891755322631723</v>
      </c>
    </row>
    <row r="98" spans="1:10" x14ac:dyDescent="0.25">
      <c r="A98">
        <f t="shared" si="12"/>
        <v>2008</v>
      </c>
      <c r="B98" s="2">
        <v>0.43316582914572865</v>
      </c>
      <c r="C98" s="2">
        <v>0.16959669079627715</v>
      </c>
      <c r="D98" s="3">
        <f t="shared" si="7"/>
        <v>17.655839195979901</v>
      </c>
      <c r="E98" s="3">
        <f t="shared" si="8"/>
        <v>4.1008479834539813</v>
      </c>
      <c r="F98" s="4">
        <f t="shared" ca="1" si="13"/>
        <v>163104.31805589126</v>
      </c>
      <c r="G98" s="4">
        <f t="shared" ca="1" si="9"/>
        <v>2879.7436117647771</v>
      </c>
      <c r="H98" s="4">
        <f t="shared" ca="1" si="10"/>
        <v>668.86601379213846</v>
      </c>
      <c r="J98" s="6">
        <f t="shared" ca="1" si="11"/>
        <v>1.3554991212525893</v>
      </c>
    </row>
    <row r="99" spans="1:10" x14ac:dyDescent="0.25">
      <c r="A99">
        <f t="shared" si="12"/>
        <v>2009</v>
      </c>
      <c r="B99" s="2">
        <v>0.42713567839195982</v>
      </c>
      <c r="C99" s="2">
        <v>0.17166494312306102</v>
      </c>
      <c r="D99" s="3">
        <f t="shared" si="7"/>
        <v>17.410050251256283</v>
      </c>
      <c r="E99" s="3">
        <f t="shared" si="8"/>
        <v>4.1508583247156157</v>
      </c>
      <c r="F99" s="4">
        <f t="shared" ca="1" si="13"/>
        <v>165315.19565386389</v>
      </c>
      <c r="G99" s="4">
        <f t="shared" ca="1" si="9"/>
        <v>2878.1458636300345</v>
      </c>
      <c r="H99" s="4">
        <f t="shared" ca="1" si="10"/>
        <v>686.19995608183171</v>
      </c>
      <c r="J99" s="6">
        <f t="shared" ca="1" si="11"/>
        <v>1.3259191926540568</v>
      </c>
    </row>
    <row r="100" spans="1:10" x14ac:dyDescent="0.25">
      <c r="A100">
        <f t="shared" si="12"/>
        <v>2010</v>
      </c>
      <c r="B100" s="2">
        <v>0.42110552763819092</v>
      </c>
      <c r="C100" s="2">
        <v>0.17373319544984489</v>
      </c>
      <c r="D100" s="3">
        <f t="shared" si="7"/>
        <v>17.164261306532666</v>
      </c>
      <c r="E100" s="3">
        <f t="shared" si="8"/>
        <v>4.2008686659772492</v>
      </c>
      <c r="F100" s="4">
        <f t="shared" ca="1" si="13"/>
        <v>167507.14156141208</v>
      </c>
      <c r="G100" s="4">
        <f t="shared" ca="1" si="9"/>
        <v>2875.1363484704352</v>
      </c>
      <c r="H100" s="4">
        <f t="shared" ca="1" si="10"/>
        <v>703.67550231275141</v>
      </c>
      <c r="J100" s="6">
        <f t="shared" ca="1" si="11"/>
        <v>1.2963392640555433</v>
      </c>
    </row>
    <row r="101" spans="1:10" x14ac:dyDescent="0.25">
      <c r="A101">
        <f t="shared" si="12"/>
        <v>2011</v>
      </c>
      <c r="B101" s="2">
        <v>0.41507537688442209</v>
      </c>
      <c r="C101" s="2">
        <v>0.17580144777662876</v>
      </c>
      <c r="D101" s="3">
        <f t="shared" si="7"/>
        <v>16.918472361809048</v>
      </c>
      <c r="E101" s="3">
        <f t="shared" si="8"/>
        <v>4.2508790072388836</v>
      </c>
      <c r="F101" s="4">
        <f t="shared" ca="1" si="13"/>
        <v>169678.60240756976</v>
      </c>
      <c r="G101" s="4">
        <f t="shared" ca="1" si="9"/>
        <v>2870.7027452228554</v>
      </c>
      <c r="H101" s="4">
        <f t="shared" ca="1" si="10"/>
        <v>721.28320895197135</v>
      </c>
      <c r="J101" s="6">
        <f t="shared" ca="1" si="11"/>
        <v>1.2667593354570257</v>
      </c>
    </row>
    <row r="102" spans="1:10" x14ac:dyDescent="0.25">
      <c r="A102">
        <f t="shared" si="12"/>
        <v>2012</v>
      </c>
      <c r="B102" s="2">
        <v>0.40904522613065325</v>
      </c>
      <c r="C102" s="2">
        <v>0.17580144777662876</v>
      </c>
      <c r="D102" s="3">
        <f t="shared" si="7"/>
        <v>16.67268341708543</v>
      </c>
      <c r="E102" s="3">
        <f t="shared" si="8"/>
        <v>4.2508790072388836</v>
      </c>
      <c r="F102" s="4">
        <f t="shared" ca="1" si="13"/>
        <v>171828.02194384066</v>
      </c>
      <c r="G102" s="4">
        <f t="shared" ca="1" si="9"/>
        <v>2864.8342120536636</v>
      </c>
      <c r="H102" s="4">
        <f t="shared" ca="1" si="10"/>
        <v>730.42013133645457</v>
      </c>
      <c r="J102" s="6">
        <f t="shared" ca="1" si="11"/>
        <v>1.2421804409846455</v>
      </c>
    </row>
    <row r="103" spans="1:10" x14ac:dyDescent="0.25">
      <c r="A103">
        <f t="shared" si="12"/>
        <v>2013</v>
      </c>
      <c r="B103" s="2">
        <v>0.40301507537688447</v>
      </c>
      <c r="C103" s="2">
        <v>0.1768355739400207</v>
      </c>
      <c r="D103" s="3">
        <f t="shared" si="7"/>
        <v>16.426894472361813</v>
      </c>
      <c r="E103" s="3">
        <f t="shared" si="8"/>
        <v>4.2758841778697008</v>
      </c>
      <c r="F103" s="4">
        <f t="shared" ca="1" si="13"/>
        <v>173962.43602455786</v>
      </c>
      <c r="G103" s="4">
        <f t="shared" ca="1" si="9"/>
        <v>2857.6625787304047</v>
      </c>
      <c r="H103" s="4">
        <f t="shared" ca="1" si="10"/>
        <v>743.84322774107693</v>
      </c>
      <c r="J103" s="6">
        <f t="shared" ca="1" si="11"/>
        <v>1.2151010294492133</v>
      </c>
    </row>
    <row r="104" spans="1:10" x14ac:dyDescent="0.25">
      <c r="A104">
        <f t="shared" si="12"/>
        <v>2014</v>
      </c>
      <c r="B104" s="2">
        <v>0.39798994974874374</v>
      </c>
      <c r="C104" s="2">
        <v>0.17890382626680454</v>
      </c>
      <c r="D104" s="3">
        <f t="shared" si="7"/>
        <v>16.222070351758799</v>
      </c>
      <c r="E104" s="3">
        <f t="shared" si="8"/>
        <v>4.3258945191313334</v>
      </c>
      <c r="F104" s="4">
        <f t="shared" ca="1" si="13"/>
        <v>176076.25537554719</v>
      </c>
      <c r="G104" s="4">
        <f t="shared" ca="1" si="9"/>
        <v>2856.321401976375</v>
      </c>
      <c r="H104" s="4">
        <f t="shared" ca="1" si="10"/>
        <v>761.68730807824852</v>
      </c>
      <c r="J104" s="6">
        <f t="shared" ca="1" si="11"/>
        <v>1.1896175832627405</v>
      </c>
    </row>
    <row r="105" spans="1:10" x14ac:dyDescent="0.25">
      <c r="A105">
        <f t="shared" si="12"/>
        <v>2015</v>
      </c>
      <c r="B105" s="2">
        <v>0.39095477386934674</v>
      </c>
      <c r="C105" s="2">
        <v>0.17993795243019647</v>
      </c>
      <c r="D105" s="3">
        <f t="shared" si="7"/>
        <v>15.935316582914576</v>
      </c>
      <c r="E105" s="3">
        <f t="shared" si="8"/>
        <v>4.3508996897621506</v>
      </c>
      <c r="F105" s="4">
        <f t="shared" ca="1" si="13"/>
        <v>178170.8894694453</v>
      </c>
      <c r="G105" s="4">
        <f t="shared" ca="1" si="9"/>
        <v>2839.2095295550916</v>
      </c>
      <c r="H105" s="4">
        <f t="shared" ca="1" si="10"/>
        <v>775.20366771725605</v>
      </c>
      <c r="J105" s="6">
        <f t="shared" ca="1" si="11"/>
        <v>1.1584416893152361</v>
      </c>
    </row>
    <row r="106" spans="1:10" x14ac:dyDescent="0.25">
      <c r="A106">
        <f t="shared" si="12"/>
        <v>2016</v>
      </c>
      <c r="B106" s="2">
        <v>0.3849246231155779</v>
      </c>
      <c r="C106" s="2">
        <v>0.18200620475698034</v>
      </c>
      <c r="D106" s="3">
        <f t="shared" si="7"/>
        <v>15.689527638190958</v>
      </c>
      <c r="E106" s="3">
        <f t="shared" si="8"/>
        <v>4.400910031023785</v>
      </c>
      <c r="F106" s="4">
        <f t="shared" ca="1" si="13"/>
        <v>180234.89533128313</v>
      </c>
      <c r="G106" s="4">
        <f t="shared" ca="1" si="9"/>
        <v>2827.8003716666208</v>
      </c>
      <c r="H106" s="4">
        <f t="shared" ca="1" si="10"/>
        <v>793.19755880396588</v>
      </c>
      <c r="J106" s="6">
        <f t="shared" ca="1" si="11"/>
        <v>1.128861760716706</v>
      </c>
    </row>
    <row r="107" spans="1:10" x14ac:dyDescent="0.25">
      <c r="A107">
        <f t="shared" si="12"/>
        <v>2017</v>
      </c>
      <c r="B107" s="2">
        <v>0.37688442211055279</v>
      </c>
      <c r="C107" s="2">
        <v>0.18510858324715615</v>
      </c>
      <c r="D107" s="3">
        <f t="shared" si="7"/>
        <v>15.361809045226133</v>
      </c>
      <c r="E107" s="3">
        <f t="shared" si="8"/>
        <v>4.4759255429162357</v>
      </c>
      <c r="F107" s="4">
        <f t="shared" ca="1" si="13"/>
        <v>182269.49814414576</v>
      </c>
      <c r="G107" s="4">
        <f t="shared" ca="1" si="9"/>
        <v>2799.9892252595664</v>
      </c>
      <c r="H107" s="4">
        <f t="shared" ca="1" si="10"/>
        <v>815.82470243790544</v>
      </c>
      <c r="J107" s="6">
        <f t="shared" ca="1" si="11"/>
        <v>1.0885883502309925</v>
      </c>
    </row>
    <row r="108" spans="1:10" x14ac:dyDescent="0.25">
      <c r="A108">
        <f t="shared" si="12"/>
        <v>2018</v>
      </c>
      <c r="B108" s="2">
        <v>0.36984924623115578</v>
      </c>
      <c r="C108" s="2">
        <v>0.18614270941054809</v>
      </c>
      <c r="D108" s="3">
        <f t="shared" si="7"/>
        <v>15.075055276381912</v>
      </c>
      <c r="E108" s="3">
        <f t="shared" si="8"/>
        <v>4.5009307135470529</v>
      </c>
      <c r="F108" s="4">
        <f t="shared" ca="1" si="13"/>
        <v>184253.66266696743</v>
      </c>
      <c r="G108" s="4">
        <f t="shared" ca="1" si="9"/>
        <v>2777.6341495803604</v>
      </c>
      <c r="H108" s="4">
        <f t="shared" ca="1" si="10"/>
        <v>829.31296938129162</v>
      </c>
      <c r="J108" s="6">
        <f t="shared" ca="1" si="11"/>
        <v>1.0574124562834863</v>
      </c>
    </row>
    <row r="109" spans="1:10" x14ac:dyDescent="0.25">
      <c r="A109">
        <f t="shared" si="12"/>
        <v>2019</v>
      </c>
      <c r="B109" s="2">
        <v>0.36180904522613067</v>
      </c>
      <c r="C109" s="2">
        <v>0.18717683557394002</v>
      </c>
      <c r="D109" s="3">
        <f t="shared" si="7"/>
        <v>14.747336683417087</v>
      </c>
      <c r="E109" s="3">
        <f t="shared" si="8"/>
        <v>4.5259358841778701</v>
      </c>
      <c r="F109" s="4">
        <f t="shared" ca="1" si="13"/>
        <v>186201.9838471665</v>
      </c>
      <c r="G109" s="4">
        <f t="shared" ca="1" si="9"/>
        <v>2745.9833469143541</v>
      </c>
      <c r="H109" s="4">
        <f t="shared" ca="1" si="10"/>
        <v>842.73824039899898</v>
      </c>
      <c r="J109" s="6">
        <f t="shared" ca="1" si="11"/>
        <v>1.0221400799239231</v>
      </c>
    </row>
    <row r="110" spans="1:10" x14ac:dyDescent="0.25">
      <c r="A110">
        <f t="shared" si="12"/>
        <v>2020</v>
      </c>
      <c r="B110" s="2">
        <v>0.35477386934673366</v>
      </c>
      <c r="C110" s="2">
        <v>0.18821096173733196</v>
      </c>
      <c r="D110" s="3">
        <f t="shared" si="7"/>
        <v>14.460582914572866</v>
      </c>
      <c r="E110" s="3">
        <f t="shared" si="8"/>
        <v>4.5509410548086864</v>
      </c>
      <c r="F110" s="4">
        <f t="shared" ca="1" si="13"/>
        <v>188105.22895368186</v>
      </c>
      <c r="G110" s="4">
        <f t="shared" ca="1" si="9"/>
        <v>2720.111259949429</v>
      </c>
      <c r="H110" s="4">
        <f t="shared" ca="1" si="10"/>
        <v>856.05580906949831</v>
      </c>
      <c r="J110" s="6">
        <f t="shared" ca="1" si="11"/>
        <v>0.99096418597640723</v>
      </c>
    </row>
    <row r="111" spans="1:10" x14ac:dyDescent="0.25">
      <c r="A111">
        <f t="shared" si="12"/>
        <v>2021</v>
      </c>
      <c r="B111" s="2">
        <v>0.34773869346733666</v>
      </c>
      <c r="C111" s="2">
        <v>0.18924508790072389</v>
      </c>
      <c r="D111" s="3">
        <f t="shared" si="7"/>
        <v>14.173829145728645</v>
      </c>
      <c r="E111" s="3">
        <f t="shared" si="8"/>
        <v>4.5759462254395036</v>
      </c>
      <c r="F111" s="4">
        <f t="shared" ca="1" si="13"/>
        <v>189969.28440456177</v>
      </c>
      <c r="G111" s="4">
        <f t="shared" ca="1" si="9"/>
        <v>2692.5921800865917</v>
      </c>
      <c r="H111" s="4">
        <f t="shared" ca="1" si="10"/>
        <v>869.28922992049797</v>
      </c>
      <c r="J111" s="6">
        <f t="shared" ca="1" si="11"/>
        <v>0.95978829202890614</v>
      </c>
    </row>
    <row r="112" spans="1:10" x14ac:dyDescent="0.25">
      <c r="A112">
        <f t="shared" si="12"/>
        <v>2022</v>
      </c>
      <c r="B112" s="2">
        <v>0.34070351758793971</v>
      </c>
      <c r="C112" s="2">
        <v>0.19027921406411583</v>
      </c>
      <c r="D112" s="3">
        <f t="shared" si="7"/>
        <v>13.887075376884424</v>
      </c>
      <c r="E112" s="3">
        <f t="shared" si="8"/>
        <v>4.6009513960703208</v>
      </c>
      <c r="F112" s="4">
        <f t="shared" ca="1" si="13"/>
        <v>191792.58735472785</v>
      </c>
      <c r="G112" s="4">
        <f t="shared" ca="1" si="9"/>
        <v>2663.4381173227962</v>
      </c>
      <c r="H112" s="4">
        <f t="shared" ca="1" si="10"/>
        <v>882.42837254567394</v>
      </c>
      <c r="J112" s="6">
        <f t="shared" ca="1" si="11"/>
        <v>0.92861239808141993</v>
      </c>
    </row>
    <row r="113" spans="1:10" x14ac:dyDescent="0.25">
      <c r="A113">
        <f t="shared" si="12"/>
        <v>2023</v>
      </c>
      <c r="B113" s="2">
        <v>0.33366834170854276</v>
      </c>
      <c r="C113" s="2">
        <v>0.1923474663908997</v>
      </c>
      <c r="D113" s="3">
        <f t="shared" si="7"/>
        <v>13.600321608040204</v>
      </c>
      <c r="E113" s="3">
        <f t="shared" si="8"/>
        <v>4.6509617373319543</v>
      </c>
      <c r="F113" s="4">
        <f t="shared" ca="1" si="13"/>
        <v>193573.59709950499</v>
      </c>
      <c r="G113" s="4">
        <f t="shared" ca="1" si="9"/>
        <v>2632.6631753784659</v>
      </c>
      <c r="H113" s="4">
        <f t="shared" ca="1" si="10"/>
        <v>900.30339346750941</v>
      </c>
      <c r="J113" s="6">
        <f t="shared" ca="1" si="11"/>
        <v>0.89493598707082478</v>
      </c>
    </row>
    <row r="114" spans="1:10" x14ac:dyDescent="0.25">
      <c r="A114">
        <f t="shared" si="12"/>
        <v>2024</v>
      </c>
      <c r="B114" s="2">
        <v>0.32663316582914576</v>
      </c>
      <c r="C114" s="2">
        <v>0.19338159255429163</v>
      </c>
      <c r="D114" s="3">
        <f t="shared" si="7"/>
        <v>13.313567839195983</v>
      </c>
      <c r="E114" s="3">
        <f t="shared" si="8"/>
        <v>4.6759669079627715</v>
      </c>
      <c r="F114" s="4">
        <f t="shared" ca="1" si="13"/>
        <v>195305.95688141594</v>
      </c>
      <c r="G114" s="4">
        <f t="shared" ca="1" si="9"/>
        <v>2600.2191063398163</v>
      </c>
      <c r="H114" s="4">
        <f t="shared" ca="1" si="10"/>
        <v>913.24419130550484</v>
      </c>
      <c r="J114" s="6">
        <f t="shared" ca="1" si="11"/>
        <v>0.86376009312332136</v>
      </c>
    </row>
    <row r="115" spans="1:10" x14ac:dyDescent="0.25">
      <c r="A115">
        <f t="shared" si="12"/>
        <v>2025</v>
      </c>
      <c r="B115" s="2">
        <v>0.31959798994974875</v>
      </c>
      <c r="C115" s="2">
        <v>0.1954498448810755</v>
      </c>
      <c r="D115" s="3">
        <f t="shared" si="7"/>
        <v>13.02681407035176</v>
      </c>
      <c r="E115" s="3">
        <f t="shared" si="8"/>
        <v>4.7259772492244059</v>
      </c>
      <c r="F115" s="4">
        <f t="shared" ca="1" si="13"/>
        <v>196992.93179645026</v>
      </c>
      <c r="G115" s="4">
        <f t="shared" ca="1" si="9"/>
        <v>2566.1902956858426</v>
      </c>
      <c r="H115" s="4">
        <f t="shared" ca="1" si="10"/>
        <v>930.98411392803894</v>
      </c>
      <c r="J115" s="6">
        <f t="shared" ca="1" si="11"/>
        <v>0.83008368211272965</v>
      </c>
    </row>
    <row r="116" spans="1:10" x14ac:dyDescent="0.25">
      <c r="A116">
        <f t="shared" si="12"/>
        <v>2026</v>
      </c>
      <c r="B116" s="59">
        <v>0.31256281407035175</v>
      </c>
      <c r="C116" s="59">
        <v>0.19648397104446744</v>
      </c>
      <c r="D116" s="3">
        <f t="shared" si="7"/>
        <v>12.740060301507539</v>
      </c>
      <c r="E116" s="3">
        <f t="shared" si="8"/>
        <v>4.7509824198552222</v>
      </c>
      <c r="F116" s="4">
        <f t="shared" ca="1" si="13"/>
        <v>198628.13797820805</v>
      </c>
      <c r="G116" s="4">
        <f t="shared" ca="1" si="9"/>
        <v>2530.5344554185303</v>
      </c>
      <c r="H116" s="4">
        <f t="shared" ca="1" si="10"/>
        <v>943.67879162304382</v>
      </c>
      <c r="J116" s="6">
        <f t="shared" ca="1" si="11"/>
        <v>0.79890778816523333</v>
      </c>
    </row>
    <row r="117" spans="1:10" x14ac:dyDescent="0.25">
      <c r="A117">
        <f t="shared" si="12"/>
        <v>2027</v>
      </c>
      <c r="B117" s="59">
        <v>0.30552763819095474</v>
      </c>
      <c r="C117" s="59">
        <v>0.19855222337125131</v>
      </c>
      <c r="D117" s="3">
        <f t="shared" si="7"/>
        <v>12.453306532663317</v>
      </c>
      <c r="E117" s="3">
        <f t="shared" si="8"/>
        <v>4.8009927611168566</v>
      </c>
      <c r="F117" s="4">
        <f t="shared" ca="1" si="13"/>
        <v>200214.99364200354</v>
      </c>
      <c r="G117" s="4">
        <f t="shared" ca="1" si="9"/>
        <v>2493.3386882591071</v>
      </c>
      <c r="H117" s="4">
        <f t="shared" ca="1" si="10"/>
        <v>961.23073514231646</v>
      </c>
      <c r="J117" s="6">
        <f t="shared" ca="1" si="11"/>
        <v>0.76523137715464695</v>
      </c>
    </row>
    <row r="118" spans="1:10" x14ac:dyDescent="0.25">
      <c r="A118">
        <f t="shared" si="12"/>
        <v>2028</v>
      </c>
      <c r="B118" s="59">
        <v>0.29899999999999999</v>
      </c>
      <c r="C118" s="59">
        <v>0.2</v>
      </c>
      <c r="D118" s="3">
        <f t="shared" si="7"/>
        <v>12.187240000000001</v>
      </c>
      <c r="E118" s="3">
        <f t="shared" si="8"/>
        <v>4.8360000000000003</v>
      </c>
      <c r="F118" s="4">
        <f t="shared" ca="1" si="13"/>
        <v>201747.10159512033</v>
      </c>
      <c r="G118" s="4">
        <f t="shared" ca="1" si="9"/>
        <v>2458.7403464441145</v>
      </c>
      <c r="H118" s="4">
        <f t="shared" ca="1" si="10"/>
        <v>975.64898331400195</v>
      </c>
      <c r="J118" s="6">
        <f t="shared" ca="1" si="11"/>
        <v>0.73512399999999789</v>
      </c>
    </row>
    <row r="119" spans="1:10" x14ac:dyDescent="0.25">
      <c r="A119">
        <f t="shared" si="12"/>
        <v>2029</v>
      </c>
      <c r="B119" s="59">
        <v>0.29199999999999998</v>
      </c>
      <c r="C119" s="59">
        <v>0.20200000000000001</v>
      </c>
      <c r="D119" s="3">
        <f t="shared" si="7"/>
        <v>11.90192</v>
      </c>
      <c r="E119" s="3">
        <f t="shared" si="8"/>
        <v>4.88436</v>
      </c>
      <c r="F119" s="4">
        <f t="shared" ca="1" si="13"/>
        <v>203230.19295825044</v>
      </c>
      <c r="G119" s="4">
        <f t="shared" ca="1" si="9"/>
        <v>2418.8294981736603</v>
      </c>
      <c r="H119" s="4">
        <f t="shared" ca="1" si="10"/>
        <v>992.64942527756011</v>
      </c>
      <c r="J119" s="6">
        <f t="shared" ca="1" si="11"/>
        <v>0.70175599999999771</v>
      </c>
    </row>
    <row r="120" spans="1:10" x14ac:dyDescent="0.25">
      <c r="A120">
        <f t="shared" si="12"/>
        <v>2030</v>
      </c>
      <c r="B120" s="59">
        <v>0.28499999999999998</v>
      </c>
      <c r="C120" s="59">
        <v>0.20300000000000001</v>
      </c>
      <c r="D120" s="3">
        <f t="shared" si="7"/>
        <v>11.6166</v>
      </c>
      <c r="E120" s="3">
        <f t="shared" si="8"/>
        <v>4.9085400000000003</v>
      </c>
      <c r="F120" s="4">
        <f t="shared" ca="1" si="13"/>
        <v>204656.37303114653</v>
      </c>
      <c r="G120" s="4">
        <f t="shared" ca="1" si="9"/>
        <v>2377.4112229536167</v>
      </c>
      <c r="H120" s="4">
        <f t="shared" ca="1" si="10"/>
        <v>1004.5639932783041</v>
      </c>
      <c r="J120" s="6">
        <f t="shared" ca="1" si="11"/>
        <v>0.67080599999999502</v>
      </c>
    </row>
    <row r="121" spans="1:10" x14ac:dyDescent="0.25">
      <c r="A121">
        <f t="shared" si="12"/>
        <v>2031</v>
      </c>
      <c r="B121" s="59">
        <v>0.27800000000000002</v>
      </c>
      <c r="C121" s="59">
        <v>0.20499999999999999</v>
      </c>
      <c r="D121" s="3">
        <f t="shared" si="7"/>
        <v>11.331280000000003</v>
      </c>
      <c r="E121" s="3">
        <f t="shared" si="8"/>
        <v>4.9569000000000001</v>
      </c>
      <c r="F121" s="4">
        <f t="shared" ca="1" si="13"/>
        <v>206029.22026082184</v>
      </c>
      <c r="G121" s="4">
        <f t="shared" ca="1" si="9"/>
        <v>2334.574782957046</v>
      </c>
      <c r="H121" s="4">
        <f t="shared" ca="1" si="10"/>
        <v>1021.2662419108677</v>
      </c>
      <c r="J121" s="6">
        <f t="shared" ca="1" si="11"/>
        <v>0.63743799999999362</v>
      </c>
    </row>
    <row r="122" spans="1:10" x14ac:dyDescent="0.25">
      <c r="A122">
        <f t="shared" si="12"/>
        <v>2032</v>
      </c>
      <c r="B122" s="58">
        <v>0.27100000000000002</v>
      </c>
      <c r="C122" s="58">
        <v>0.20599999999999999</v>
      </c>
      <c r="D122" s="3">
        <f t="shared" ref="D122:D129" si="14">B122*$D$6</f>
        <v>11.045960000000003</v>
      </c>
      <c r="E122" s="3">
        <f t="shared" ref="E122:E129" si="15">C122*$E$6</f>
        <v>4.9810799999999995</v>
      </c>
      <c r="F122" s="4">
        <f t="shared" ref="F122:F130" ca="1" si="16">F121+G121-H121+I121</f>
        <v>207342.528801868</v>
      </c>
      <c r="G122" s="4">
        <f t="shared" ref="G122:G129" ca="1" si="17">F122*D122/1000</f>
        <v>2290.2972794442826</v>
      </c>
      <c r="H122" s="4">
        <f t="shared" ref="H122:H129" ca="1" si="18">E122*F122/1000</f>
        <v>1032.7897233644087</v>
      </c>
      <c r="J122" s="6">
        <f t="shared" ca="1" si="11"/>
        <v>0.60648800000000658</v>
      </c>
    </row>
    <row r="123" spans="1:10" x14ac:dyDescent="0.25">
      <c r="A123">
        <f>A122+1</f>
        <v>2033</v>
      </c>
      <c r="B123" s="58">
        <v>0.26400000000000001</v>
      </c>
      <c r="C123" s="58">
        <v>0.20799999999999999</v>
      </c>
      <c r="D123" s="3">
        <f t="shared" si="14"/>
        <v>10.760640000000002</v>
      </c>
      <c r="E123" s="3">
        <f t="shared" si="15"/>
        <v>5.0294400000000001</v>
      </c>
      <c r="F123" s="4">
        <f t="shared" ca="1" si="16"/>
        <v>208600.03635794789</v>
      </c>
      <c r="G123" s="4">
        <f t="shared" ca="1" si="17"/>
        <v>2244.6698952347888</v>
      </c>
      <c r="H123" s="4">
        <f t="shared" ca="1" si="18"/>
        <v>1049.1413668601176</v>
      </c>
      <c r="J123" s="6">
        <f t="shared" ca="1" si="11"/>
        <v>0.57311999999998942</v>
      </c>
    </row>
    <row r="124" spans="1:10" x14ac:dyDescent="0.25">
      <c r="A124">
        <f t="shared" ref="A124:A130" si="19">A123+1</f>
        <v>2034</v>
      </c>
      <c r="B124" s="58">
        <v>0.25700000000000001</v>
      </c>
      <c r="C124" s="58">
        <v>0.20899999999999999</v>
      </c>
      <c r="D124" s="3">
        <f t="shared" si="14"/>
        <v>10.475320000000002</v>
      </c>
      <c r="E124" s="3">
        <f t="shared" si="15"/>
        <v>5.0536199999999996</v>
      </c>
      <c r="F124" s="4">
        <f t="shared" ca="1" si="16"/>
        <v>209795.56488632254</v>
      </c>
      <c r="G124" s="4">
        <f t="shared" ca="1" si="17"/>
        <v>2197.6756767649927</v>
      </c>
      <c r="H124" s="4">
        <f t="shared" ca="1" si="18"/>
        <v>1060.2270626208172</v>
      </c>
      <c r="J124" s="6">
        <f t="shared" ca="1" si="11"/>
        <v>0.54216999999999949</v>
      </c>
    </row>
    <row r="125" spans="1:10" x14ac:dyDescent="0.25">
      <c r="A125">
        <f t="shared" si="19"/>
        <v>2035</v>
      </c>
      <c r="B125" s="58">
        <v>0.25</v>
      </c>
      <c r="C125" s="58">
        <v>0.21099999999999999</v>
      </c>
      <c r="D125" s="3">
        <f t="shared" si="14"/>
        <v>10.190000000000001</v>
      </c>
      <c r="E125" s="3">
        <f t="shared" si="15"/>
        <v>5.1019800000000002</v>
      </c>
      <c r="F125" s="4">
        <f t="shared" ca="1" si="16"/>
        <v>210933.01350046671</v>
      </c>
      <c r="G125" s="4">
        <f t="shared" ca="1" si="17"/>
        <v>2149.4074075697563</v>
      </c>
      <c r="H125" s="4">
        <f t="shared" ca="1" si="18"/>
        <v>1076.1760162191113</v>
      </c>
      <c r="J125" s="6">
        <f t="shared" ca="1" si="11"/>
        <v>0.5088020000000032</v>
      </c>
    </row>
    <row r="126" spans="1:10" x14ac:dyDescent="0.25">
      <c r="A126">
        <f t="shared" si="19"/>
        <v>2036</v>
      </c>
      <c r="B126" s="58">
        <v>0.24299999999999999</v>
      </c>
      <c r="C126" s="58">
        <v>0.21199999999999999</v>
      </c>
      <c r="D126" s="3">
        <f t="shared" si="14"/>
        <v>9.9046800000000008</v>
      </c>
      <c r="E126" s="3">
        <f t="shared" si="15"/>
        <v>5.1261599999999996</v>
      </c>
      <c r="F126" s="4">
        <f t="shared" ca="1" si="16"/>
        <v>212006.24489181736</v>
      </c>
      <c r="G126" s="4">
        <f t="shared" ca="1" si="17"/>
        <v>2099.8540136550855</v>
      </c>
      <c r="H126" s="4">
        <f t="shared" ca="1" si="18"/>
        <v>1086.7779323146385</v>
      </c>
      <c r="J126" s="6">
        <f t="shared" ca="1" si="11"/>
        <v>0.47785199999999384</v>
      </c>
    </row>
    <row r="127" spans="1:10" x14ac:dyDescent="0.25">
      <c r="A127">
        <f t="shared" si="19"/>
        <v>2037</v>
      </c>
      <c r="B127" s="58">
        <v>0.23599999999999999</v>
      </c>
      <c r="C127" s="58">
        <v>0.214</v>
      </c>
      <c r="D127" s="3">
        <f t="shared" si="14"/>
        <v>9.6193600000000004</v>
      </c>
      <c r="E127" s="3">
        <f t="shared" si="15"/>
        <v>5.1745200000000002</v>
      </c>
      <c r="F127" s="4">
        <f t="shared" ca="1" si="16"/>
        <v>213019.3209731578</v>
      </c>
      <c r="G127" s="4">
        <f t="shared" ca="1" si="17"/>
        <v>2049.1095353963551</v>
      </c>
      <c r="H127" s="4">
        <f t="shared" ca="1" si="18"/>
        <v>1102.2727367620244</v>
      </c>
      <c r="J127" s="6">
        <f t="shared" ca="1" si="11"/>
        <v>0.44448400000000954</v>
      </c>
    </row>
    <row r="128" spans="1:10" x14ac:dyDescent="0.25">
      <c r="A128">
        <f t="shared" si="19"/>
        <v>2038</v>
      </c>
      <c r="B128" s="58">
        <v>0.22900000000000001</v>
      </c>
      <c r="C128" s="58">
        <v>0.215</v>
      </c>
      <c r="D128" s="3">
        <f t="shared" si="14"/>
        <v>9.3340400000000017</v>
      </c>
      <c r="E128" s="3">
        <f t="shared" si="15"/>
        <v>5.1986999999999997</v>
      </c>
      <c r="F128" s="4">
        <f t="shared" ca="1" si="16"/>
        <v>213966.15777179215</v>
      </c>
      <c r="G128" s="4">
        <f t="shared" ca="1" si="17"/>
        <v>1997.1686752882192</v>
      </c>
      <c r="H128" s="4">
        <f t="shared" ca="1" si="18"/>
        <v>1112.3458644082157</v>
      </c>
      <c r="J128" s="6">
        <f t="shared" ca="1" si="11"/>
        <v>0.41353399999999668</v>
      </c>
    </row>
    <row r="129" spans="1:10" x14ac:dyDescent="0.25">
      <c r="A129">
        <f t="shared" si="19"/>
        <v>2039</v>
      </c>
      <c r="B129" s="58">
        <v>0.222</v>
      </c>
      <c r="C129" s="58">
        <v>0.217</v>
      </c>
      <c r="D129" s="3">
        <f t="shared" si="14"/>
        <v>9.0487200000000012</v>
      </c>
      <c r="E129" s="3">
        <f t="shared" si="15"/>
        <v>5.2470600000000003</v>
      </c>
      <c r="F129" s="4">
        <f t="shared" ca="1" si="16"/>
        <v>214850.98058267214</v>
      </c>
      <c r="G129" s="4">
        <f t="shared" ca="1" si="17"/>
        <v>1944.1263650180374</v>
      </c>
      <c r="H129" s="4">
        <f t="shared" ca="1" si="18"/>
        <v>1127.3359861761157</v>
      </c>
      <c r="J129" s="6">
        <f t="shared" ca="1" si="11"/>
        <v>0.38016599999999973</v>
      </c>
    </row>
    <row r="130" spans="1:10" x14ac:dyDescent="0.25">
      <c r="A130">
        <f t="shared" si="19"/>
        <v>2040</v>
      </c>
      <c r="F130" s="4">
        <f t="shared" ca="1" si="16"/>
        <v>215667.77096151406</v>
      </c>
      <c r="G130" s="4"/>
      <c r="H130" s="4"/>
      <c r="J130" s="4"/>
    </row>
    <row r="131" spans="1:10" x14ac:dyDescent="0.25">
      <c r="F131" s="4"/>
      <c r="G131" s="4"/>
      <c r="H131" s="4"/>
      <c r="J131" s="4"/>
    </row>
    <row r="132" spans="1:10" x14ac:dyDescent="0.25">
      <c r="A132" t="s">
        <v>155</v>
      </c>
      <c r="F132" s="4"/>
      <c r="G132" s="4"/>
      <c r="H132" s="4"/>
      <c r="J132" s="4"/>
    </row>
    <row r="133" spans="1:10" x14ac:dyDescent="0.25">
      <c r="F133" s="4"/>
      <c r="G133" s="4"/>
      <c r="H133" s="4"/>
      <c r="J133" s="4"/>
    </row>
    <row r="135" spans="1:10" x14ac:dyDescent="0.25">
      <c r="A135" s="38" t="s">
        <v>23</v>
      </c>
    </row>
    <row r="137" spans="1:10" x14ac:dyDescent="0.25">
      <c r="A137" s="5"/>
      <c r="B137" s="5"/>
      <c r="C137" s="5"/>
      <c r="D137" s="85" t="s">
        <v>20</v>
      </c>
      <c r="E137" s="85"/>
      <c r="F137" s="85"/>
    </row>
    <row r="138" spans="1:10" x14ac:dyDescent="0.25">
      <c r="A138" s="8" t="s">
        <v>0</v>
      </c>
      <c r="B138" s="8" t="s">
        <v>10</v>
      </c>
      <c r="C138" s="8" t="s">
        <v>16</v>
      </c>
      <c r="D138" s="8" t="s">
        <v>17</v>
      </c>
      <c r="E138" s="8" t="s">
        <v>18</v>
      </c>
      <c r="F138" s="8" t="s">
        <v>19</v>
      </c>
    </row>
    <row r="139" spans="1:10" x14ac:dyDescent="0.25">
      <c r="A139" s="7">
        <v>1926</v>
      </c>
      <c r="B139" s="7" t="s">
        <v>11</v>
      </c>
      <c r="C139">
        <v>351</v>
      </c>
      <c r="D139" s="4">
        <f ca="1">F16</f>
        <v>22196.818545076905</v>
      </c>
      <c r="E139" s="4">
        <f ca="1">OFFSET(INDIRECT(MID(_xlfn.FORMULATEXT(D139),2,255)),1,0)</f>
        <v>22634.446208103542</v>
      </c>
      <c r="F139" s="4">
        <f ca="1">D139*(E139/D139)^((C139-1)/365)</f>
        <v>22616.292655968271</v>
      </c>
    </row>
    <row r="140" spans="1:10" x14ac:dyDescent="0.25">
      <c r="A140" s="7">
        <v>1937</v>
      </c>
      <c r="B140" s="7" t="s">
        <v>12</v>
      </c>
      <c r="C140">
        <v>6</v>
      </c>
      <c r="D140" s="4">
        <f ca="1">F27</f>
        <v>27575.67906082379</v>
      </c>
      <c r="E140" s="4">
        <f t="shared" ref="E140:E145" ca="1" si="20">OFFSET(INDIRECT(MID(_xlfn.FORMULATEXT(D140),2,255)),1,0)</f>
        <v>28159.187610235072</v>
      </c>
      <c r="F140" s="4">
        <f t="shared" ref="F140:F145" ca="1" si="21">D140*(E140/D140)^((C140-1)/365)</f>
        <v>27583.590067756031</v>
      </c>
    </row>
    <row r="141" spans="1:10" x14ac:dyDescent="0.25">
      <c r="A141" s="7">
        <v>1939</v>
      </c>
      <c r="B141" s="7" t="s">
        <v>13</v>
      </c>
      <c r="C141">
        <v>17</v>
      </c>
      <c r="D141" s="4">
        <f ca="1">F29</f>
        <v>28764.076945372872</v>
      </c>
      <c r="E141" s="4">
        <f t="shared" ca="1" si="20"/>
        <v>29392.16702822259</v>
      </c>
      <c r="F141" s="4">
        <f t="shared" ca="1" si="21"/>
        <v>28791.326264761043</v>
      </c>
    </row>
    <row r="142" spans="1:10" x14ac:dyDescent="0.25">
      <c r="A142" s="7">
        <v>1959</v>
      </c>
      <c r="B142" s="7" t="s">
        <v>14</v>
      </c>
      <c r="C142">
        <v>15</v>
      </c>
      <c r="D142" s="4">
        <f ca="1">F49</f>
        <v>48998.86629804816</v>
      </c>
      <c r="E142" s="4">
        <f t="shared" ca="1" si="20"/>
        <v>50564.103314271822</v>
      </c>
      <c r="F142" s="4">
        <f t="shared" ca="1" si="21"/>
        <v>49057.999470242459</v>
      </c>
    </row>
    <row r="143" spans="1:10" x14ac:dyDescent="0.25">
      <c r="A143" s="7">
        <v>1970</v>
      </c>
      <c r="B143" s="7" t="s">
        <v>14</v>
      </c>
      <c r="C143">
        <v>15</v>
      </c>
      <c r="D143" s="4">
        <f ca="1">F60</f>
        <v>69444.171756636366</v>
      </c>
      <c r="E143" s="4">
        <f t="shared" ca="1" si="20"/>
        <v>71662.376358129928</v>
      </c>
      <c r="F143" s="4">
        <f t="shared" ca="1" si="21"/>
        <v>69527.973507499773</v>
      </c>
    </row>
    <row r="144" spans="1:10" x14ac:dyDescent="0.25">
      <c r="A144" s="7">
        <v>1979</v>
      </c>
      <c r="B144" s="7" t="s">
        <v>13</v>
      </c>
      <c r="C144">
        <v>17</v>
      </c>
      <c r="D144" s="4">
        <f ca="1">F69</f>
        <v>90838.79589031708</v>
      </c>
      <c r="E144" s="4">
        <f t="shared" ca="1" si="20"/>
        <v>93280.178749330196</v>
      </c>
      <c r="F144" s="4">
        <f t="shared" ca="1" si="21"/>
        <v>90944.463955338259</v>
      </c>
    </row>
    <row r="145" spans="1:6" x14ac:dyDescent="0.25">
      <c r="A145" s="7">
        <v>1989</v>
      </c>
      <c r="B145" s="7" t="s">
        <v>15</v>
      </c>
      <c r="C145">
        <v>12</v>
      </c>
      <c r="D145" s="4">
        <f ca="1">F79</f>
        <v>117589.05981236674</v>
      </c>
      <c r="E145" s="4">
        <f t="shared" ca="1" si="20"/>
        <v>120231.21110767488</v>
      </c>
      <c r="F145" s="4">
        <f t="shared" ca="1" si="21"/>
        <v>117667.83126243066</v>
      </c>
    </row>
    <row r="146" spans="1:6" x14ac:dyDescent="0.25">
      <c r="A146" s="7">
        <v>2020</v>
      </c>
      <c r="B146" s="7" t="s">
        <v>105</v>
      </c>
      <c r="F146" s="4">
        <f ca="1">F110</f>
        <v>188105.22895368186</v>
      </c>
    </row>
    <row r="147" spans="1:6" x14ac:dyDescent="0.25">
      <c r="A147" s="7">
        <v>2030</v>
      </c>
      <c r="B147" s="7" t="s">
        <v>105</v>
      </c>
      <c r="F147" s="4">
        <f ca="1">F120</f>
        <v>204656.37303114653</v>
      </c>
    </row>
    <row r="148" spans="1:6" x14ac:dyDescent="0.25">
      <c r="A148" s="7">
        <v>2040</v>
      </c>
      <c r="B148" s="7" t="s">
        <v>105</v>
      </c>
      <c r="F148" s="4">
        <f ca="1">F130</f>
        <v>215667.77096151406</v>
      </c>
    </row>
  </sheetData>
  <mergeCells count="3">
    <mergeCell ref="D4:E4"/>
    <mergeCell ref="F4:I4"/>
    <mergeCell ref="D137:F1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F976-9790-400A-8000-CADD2AF07932}">
  <dimension ref="A1:L148"/>
  <sheetViews>
    <sheetView topLeftCell="A88" workbookViewId="0">
      <selection activeCell="L116" sqref="L116"/>
    </sheetView>
  </sheetViews>
  <sheetFormatPr defaultColWidth="9.140625" defaultRowHeight="15" x14ac:dyDescent="0.25"/>
  <cols>
    <col min="4" max="4" width="17.140625" customWidth="1"/>
    <col min="5" max="5" width="12.85546875" customWidth="1"/>
    <col min="6" max="6" width="24" customWidth="1"/>
    <col min="7" max="7" width="18.28515625" customWidth="1"/>
    <col min="8" max="8" width="15.140625" customWidth="1"/>
    <col min="9" max="9" width="18.140625" customWidth="1"/>
    <col min="10" max="10" width="40.28515625" customWidth="1"/>
    <col min="12" max="12" width="29.7109375" customWidth="1"/>
  </cols>
  <sheetData>
    <row r="1" spans="1:12" ht="21" x14ac:dyDescent="0.35">
      <c r="A1" s="37" t="s">
        <v>25</v>
      </c>
    </row>
    <row r="4" spans="1:12" x14ac:dyDescent="0.25">
      <c r="D4" s="85" t="s">
        <v>1</v>
      </c>
      <c r="E4" s="85"/>
      <c r="F4" s="85" t="s">
        <v>8</v>
      </c>
      <c r="G4" s="85"/>
      <c r="H4" s="85"/>
      <c r="I4" s="85"/>
    </row>
    <row r="5" spans="1:12" x14ac:dyDescent="0.25">
      <c r="A5" s="8" t="s">
        <v>0</v>
      </c>
      <c r="B5" s="8" t="s">
        <v>100</v>
      </c>
      <c r="C5" s="8" t="s">
        <v>101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9</v>
      </c>
      <c r="L5" s="8" t="s">
        <v>22</v>
      </c>
    </row>
    <row r="6" spans="1:12" x14ac:dyDescent="0.25">
      <c r="A6" t="s">
        <v>27</v>
      </c>
      <c r="D6" s="3">
        <v>41.04</v>
      </c>
      <c r="E6" s="3">
        <v>22.919999999999998</v>
      </c>
      <c r="F6" s="4">
        <v>10686</v>
      </c>
      <c r="L6" s="9" t="s">
        <v>21</v>
      </c>
    </row>
    <row r="7" spans="1:12" x14ac:dyDescent="0.25">
      <c r="A7">
        <v>1917</v>
      </c>
      <c r="B7" s="1">
        <v>0.50030030030030026</v>
      </c>
      <c r="C7" s="1">
        <v>0.89415322580645162</v>
      </c>
      <c r="D7" s="3">
        <f>B7*$D$6</f>
        <v>20.532324324324321</v>
      </c>
      <c r="E7" s="3">
        <f>C7*$E$6</f>
        <v>20.493991935483869</v>
      </c>
      <c r="F7" s="4">
        <f>F6 * RSFSR!F7 / RSFSR!F6</f>
        <v>10896.384030120009</v>
      </c>
      <c r="G7" s="4">
        <f>F7*D7/1000</f>
        <v>223.72809086881213</v>
      </c>
      <c r="H7" s="4">
        <f>E7*F7/1000</f>
        <v>223.31040643921469</v>
      </c>
      <c r="I7" s="10">
        <f ca="1" xml:space="preserve"> BR!F6 / RSFSR!F6 * INDIRECT("'RSFSR'!" &amp; ADDRESS(ROW(), COLUMN()))</f>
        <v>-6.4659861277635216</v>
      </c>
      <c r="J7" s="6">
        <f ca="1">100 *(F8-F7) / F7</f>
        <v>-5.5507420456623151E-2</v>
      </c>
    </row>
    <row r="8" spans="1:12" x14ac:dyDescent="0.25">
      <c r="A8">
        <f>A7+1</f>
        <v>1918</v>
      </c>
      <c r="B8" s="1">
        <v>0.58858858858858853</v>
      </c>
      <c r="C8" s="1">
        <v>0.88104838709677424</v>
      </c>
      <c r="D8" s="3">
        <f t="shared" ref="D8:D71" si="0">B8*$D$6</f>
        <v>24.155675675675674</v>
      </c>
      <c r="E8" s="3">
        <f t="shared" ref="E8:E71" si="1">C8*$E$6</f>
        <v>20.193629032258062</v>
      </c>
      <c r="F8" s="4">
        <f ca="1">F7+G7-H7+I7</f>
        <v>10890.335728421842</v>
      </c>
      <c r="G8" s="4">
        <f t="shared" ref="G8:G71" ca="1" si="2">F8*D8/1000</f>
        <v>263.0634178549812</v>
      </c>
      <c r="H8" s="4">
        <f t="shared" ref="H8:H71" ca="1" si="3">E8*F8/1000</f>
        <v>219.91539973649657</v>
      </c>
      <c r="I8" s="10">
        <f ca="1" xml:space="preserve"> BR!F6 / RSFSR!F6 * INDIRECT("'RSFSR'!" &amp; ADDRESS(ROW(), COLUMN()))</f>
        <v>-17.362370157883532</v>
      </c>
      <c r="J8" s="6">
        <f t="shared" ref="J8:J71" ca="1" si="4">100 *(F9-F8) / F8</f>
        <v>0.23677550999005345</v>
      </c>
    </row>
    <row r="9" spans="1:12" x14ac:dyDescent="0.25">
      <c r="A9">
        <f t="shared" ref="A9:A72" si="5">A8+1</f>
        <v>1919</v>
      </c>
      <c r="B9" s="1">
        <v>0.97897897897897901</v>
      </c>
      <c r="C9" s="1">
        <v>0.86995967741935487</v>
      </c>
      <c r="D9" s="3">
        <f t="shared" si="0"/>
        <v>40.177297297297301</v>
      </c>
      <c r="E9" s="3">
        <f t="shared" si="1"/>
        <v>19.939475806451611</v>
      </c>
      <c r="F9" s="4">
        <f t="shared" ref="F9:F72" ca="1" si="6">F8+G8-H8+I8</f>
        <v>10916.121376382442</v>
      </c>
      <c r="G9" s="4">
        <f t="shared" ca="1" si="2"/>
        <v>438.58025387229958</v>
      </c>
      <c r="H9" s="4">
        <f t="shared" ca="1" si="3"/>
        <v>217.66173808466695</v>
      </c>
      <c r="I9" s="10">
        <f ca="1" xml:space="preserve"> BR!F6 / RSFSR!F6 * INDIRECT("'RSFSR'!" &amp; ADDRESS(ROW(), COLUMN()))</f>
        <v>173.62370157883532</v>
      </c>
      <c r="J9" s="6">
        <f t="shared" ca="1" si="4"/>
        <v>3.6143077175752145</v>
      </c>
    </row>
    <row r="10" spans="1:12" x14ac:dyDescent="0.25">
      <c r="A10">
        <f t="shared" si="5"/>
        <v>1920</v>
      </c>
      <c r="B10" s="1">
        <v>0.97597597597597596</v>
      </c>
      <c r="C10" s="1">
        <v>0.86592741935483875</v>
      </c>
      <c r="D10" s="3">
        <f t="shared" si="0"/>
        <v>40.054054054054056</v>
      </c>
      <c r="E10" s="3">
        <f t="shared" si="1"/>
        <v>19.847056451612904</v>
      </c>
      <c r="F10" s="4">
        <f t="shared" ca="1" si="6"/>
        <v>11310.66359374891</v>
      </c>
      <c r="G10" s="4">
        <f t="shared" ca="1" si="2"/>
        <v>453.03793097124014</v>
      </c>
      <c r="H10" s="4">
        <f t="shared" ca="1" si="3"/>
        <v>224.48337885033749</v>
      </c>
      <c r="I10" s="10">
        <f ca="1" xml:space="preserve"> BR!F6 / RSFSR!F6 * INDIRECT("'RSFSR'!" &amp; ADDRESS(ROW(), COLUMN()))</f>
        <v>104.17422094730118</v>
      </c>
      <c r="J10" s="6">
        <f t="shared" ca="1" si="4"/>
        <v>2.9417263656581008</v>
      </c>
    </row>
    <row r="11" spans="1:12" x14ac:dyDescent="0.25">
      <c r="A11">
        <f t="shared" si="5"/>
        <v>1921</v>
      </c>
      <c r="B11" s="2">
        <v>0.97297297297297292</v>
      </c>
      <c r="C11" s="2">
        <v>0.85786290322580638</v>
      </c>
      <c r="D11" s="3">
        <f t="shared" si="0"/>
        <v>39.930810810810804</v>
      </c>
      <c r="E11" s="3">
        <f t="shared" si="1"/>
        <v>19.662217741935482</v>
      </c>
      <c r="F11" s="4">
        <f t="shared" ca="1" si="6"/>
        <v>11643.392366817114</v>
      </c>
      <c r="G11" s="4">
        <f t="shared" ca="1" si="2"/>
        <v>464.93009779541279</v>
      </c>
      <c r="H11" s="4">
        <f t="shared" ca="1" si="3"/>
        <v>228.93491597114763</v>
      </c>
      <c r="I11" s="10">
        <f ca="1" xml:space="preserve"> BR!F6 / RSFSR!F6 * INDIRECT("'RSFSR'!" &amp; ADDRESS(ROW(), COLUMN()))</f>
        <v>69.449480631534129</v>
      </c>
      <c r="J11" s="6">
        <f t="shared" ca="1" si="4"/>
        <v>2.6233304936652071</v>
      </c>
    </row>
    <row r="12" spans="1:12" x14ac:dyDescent="0.25">
      <c r="A12">
        <f t="shared" si="5"/>
        <v>1922</v>
      </c>
      <c r="B12" s="2">
        <v>0.96896896896896889</v>
      </c>
      <c r="C12" s="2">
        <v>0.84778225806451613</v>
      </c>
      <c r="D12" s="3">
        <f t="shared" si="0"/>
        <v>39.766486486486485</v>
      </c>
      <c r="E12" s="3">
        <f t="shared" si="1"/>
        <v>19.431169354838708</v>
      </c>
      <c r="F12" s="4">
        <f t="shared" ca="1" si="6"/>
        <v>11948.837029272914</v>
      </c>
      <c r="G12" s="4">
        <f t="shared" ca="1" si="2"/>
        <v>475.16326625381066</v>
      </c>
      <c r="H12" s="4">
        <f t="shared" ca="1" si="3"/>
        <v>232.17987590916985</v>
      </c>
      <c r="I12" s="10"/>
      <c r="J12" s="6">
        <f t="shared" ca="1" si="4"/>
        <v>2.0335317131647686</v>
      </c>
    </row>
    <row r="13" spans="1:12" x14ac:dyDescent="0.25">
      <c r="A13">
        <f t="shared" si="5"/>
        <v>1923</v>
      </c>
      <c r="B13" s="2">
        <v>0.95695695695695693</v>
      </c>
      <c r="C13" s="2">
        <v>0.83568548387096775</v>
      </c>
      <c r="D13" s="3">
        <f t="shared" si="0"/>
        <v>39.273513513513514</v>
      </c>
      <c r="E13" s="3">
        <f t="shared" si="1"/>
        <v>19.153911290322579</v>
      </c>
      <c r="F13" s="4">
        <f t="shared" ca="1" si="6"/>
        <v>12191.820419617554</v>
      </c>
      <c r="G13" s="4">
        <f t="shared" ca="1" si="2"/>
        <v>478.81562400417999</v>
      </c>
      <c r="H13" s="4">
        <f t="shared" ca="1" si="3"/>
        <v>233.52104678489803</v>
      </c>
      <c r="I13" s="10"/>
      <c r="J13" s="6">
        <f t="shared" ca="1" si="4"/>
        <v>2.0119602223191051</v>
      </c>
    </row>
    <row r="14" spans="1:12" x14ac:dyDescent="0.25">
      <c r="A14">
        <f t="shared" si="5"/>
        <v>1924</v>
      </c>
      <c r="B14" s="2">
        <v>0.96196196196196193</v>
      </c>
      <c r="C14" s="2">
        <v>0.82459677419354838</v>
      </c>
      <c r="D14" s="3">
        <f t="shared" si="0"/>
        <v>39.478918918918914</v>
      </c>
      <c r="E14" s="3">
        <f t="shared" si="1"/>
        <v>18.899758064516128</v>
      </c>
      <c r="F14" s="4">
        <f t="shared" ca="1" si="6"/>
        <v>12437.114996836837</v>
      </c>
      <c r="G14" s="4">
        <f t="shared" ca="1" si="2"/>
        <v>491.00385454539196</v>
      </c>
      <c r="H14" s="4">
        <f t="shared" ca="1" si="3"/>
        <v>235.05846446078149</v>
      </c>
      <c r="I14" s="10"/>
      <c r="J14" s="6">
        <f t="shared" ca="1" si="4"/>
        <v>2.0579160854402834</v>
      </c>
    </row>
    <row r="15" spans="1:12" x14ac:dyDescent="0.25">
      <c r="A15">
        <f t="shared" si="5"/>
        <v>1925</v>
      </c>
      <c r="B15" s="2">
        <v>0.96696696696696693</v>
      </c>
      <c r="C15" s="2">
        <v>0.81250000000000011</v>
      </c>
      <c r="D15" s="3">
        <f t="shared" si="0"/>
        <v>39.684324324324322</v>
      </c>
      <c r="E15" s="3">
        <f t="shared" si="1"/>
        <v>18.622500000000002</v>
      </c>
      <c r="F15" s="4">
        <f t="shared" ca="1" si="6"/>
        <v>12693.060386921448</v>
      </c>
      <c r="G15" s="4">
        <f t="shared" ca="1" si="2"/>
        <v>503.71552506282433</v>
      </c>
      <c r="H15" s="4">
        <f t="shared" ca="1" si="3"/>
        <v>236.37651705544471</v>
      </c>
      <c r="I15" s="10"/>
      <c r="J15" s="6">
        <f t="shared" ca="1" si="4"/>
        <v>2.1061824324324245</v>
      </c>
    </row>
    <row r="16" spans="1:12" x14ac:dyDescent="0.25">
      <c r="A16">
        <f t="shared" si="5"/>
        <v>1926</v>
      </c>
      <c r="B16" s="2">
        <v>0.96996996996996998</v>
      </c>
      <c r="C16" s="2">
        <v>0.80544354838709686</v>
      </c>
      <c r="D16" s="3">
        <f t="shared" si="0"/>
        <v>39.807567567567567</v>
      </c>
      <c r="E16" s="3">
        <f t="shared" si="1"/>
        <v>18.460766129032258</v>
      </c>
      <c r="F16" s="4">
        <f t="shared" ca="1" si="6"/>
        <v>12960.399394928827</v>
      </c>
      <c r="G16" s="4">
        <f t="shared" ca="1" si="2"/>
        <v>515.9219746162911</v>
      </c>
      <c r="H16" s="4">
        <f t="shared" ca="1" si="3"/>
        <v>239.25890216863226</v>
      </c>
      <c r="I16" s="10"/>
      <c r="J16" s="6">
        <f t="shared" ca="1" si="4"/>
        <v>2.1346801438535254</v>
      </c>
    </row>
    <row r="17" spans="1:10" x14ac:dyDescent="0.25">
      <c r="A17">
        <f t="shared" si="5"/>
        <v>1927</v>
      </c>
      <c r="B17" s="2">
        <v>0.96596596596596596</v>
      </c>
      <c r="C17" s="2">
        <v>0.80040322580645162</v>
      </c>
      <c r="D17" s="3">
        <f t="shared" si="0"/>
        <v>39.643243243243241</v>
      </c>
      <c r="E17" s="3">
        <f t="shared" si="1"/>
        <v>18.34524193548387</v>
      </c>
      <c r="F17" s="4">
        <f t="shared" ca="1" si="6"/>
        <v>13237.062467376485</v>
      </c>
      <c r="G17" s="4">
        <f t="shared" ca="1" si="2"/>
        <v>524.76008722021152</v>
      </c>
      <c r="H17" s="4">
        <f t="shared" ca="1" si="3"/>
        <v>242.83711347913467</v>
      </c>
      <c r="I17" s="10"/>
      <c r="J17" s="6">
        <f t="shared" ca="1" si="4"/>
        <v>2.1298001307759375</v>
      </c>
    </row>
    <row r="18" spans="1:10" x14ac:dyDescent="0.25">
      <c r="A18">
        <f t="shared" si="5"/>
        <v>1928</v>
      </c>
      <c r="B18" s="2">
        <v>0.96596596596596596</v>
      </c>
      <c r="C18" s="2">
        <v>0.80241935483870974</v>
      </c>
      <c r="D18" s="3">
        <f t="shared" si="0"/>
        <v>39.643243243243241</v>
      </c>
      <c r="E18" s="3">
        <f t="shared" si="1"/>
        <v>18.391451612903225</v>
      </c>
      <c r="F18" s="4">
        <f t="shared" ca="1" si="6"/>
        <v>13518.985441117562</v>
      </c>
      <c r="G18" s="4">
        <f t="shared" ca="1" si="2"/>
        <v>535.93642824408755</v>
      </c>
      <c r="H18" s="4">
        <f t="shared" ca="1" si="3"/>
        <v>248.6337665958568</v>
      </c>
      <c r="I18" s="10"/>
      <c r="J18" s="6">
        <f t="shared" ca="1" si="4"/>
        <v>2.1251791630340047</v>
      </c>
    </row>
    <row r="19" spans="1:10" x14ac:dyDescent="0.25">
      <c r="A19">
        <f t="shared" si="5"/>
        <v>1929</v>
      </c>
      <c r="B19" s="2">
        <v>0.96296296296296291</v>
      </c>
      <c r="C19" s="2">
        <v>0.80141129032258074</v>
      </c>
      <c r="D19" s="3">
        <f t="shared" si="0"/>
        <v>39.519999999999996</v>
      </c>
      <c r="E19" s="3">
        <f t="shared" si="1"/>
        <v>18.368346774193547</v>
      </c>
      <c r="F19" s="4">
        <f t="shared" ca="1" si="6"/>
        <v>13806.288102765793</v>
      </c>
      <c r="G19" s="4">
        <f t="shared" ca="1" si="2"/>
        <v>545.62450582130407</v>
      </c>
      <c r="H19" s="4">
        <f t="shared" ca="1" si="3"/>
        <v>253.59868753602481</v>
      </c>
      <c r="I19" s="10"/>
      <c r="J19" s="6">
        <f t="shared" ca="1" si="4"/>
        <v>2.1151653225806459</v>
      </c>
    </row>
    <row r="20" spans="1:10" x14ac:dyDescent="0.25">
      <c r="A20">
        <f t="shared" si="5"/>
        <v>1930</v>
      </c>
      <c r="B20" s="2">
        <v>0.95695695695695693</v>
      </c>
      <c r="C20" s="2">
        <v>0.79435483870967749</v>
      </c>
      <c r="D20" s="3">
        <f t="shared" si="0"/>
        <v>39.273513513513514</v>
      </c>
      <c r="E20" s="3">
        <f t="shared" si="1"/>
        <v>18.206612903225807</v>
      </c>
      <c r="F20" s="4">
        <f t="shared" ca="1" si="6"/>
        <v>14098.313921051073</v>
      </c>
      <c r="G20" s="4">
        <f t="shared" ca="1" si="2"/>
        <v>553.69032229615505</v>
      </c>
      <c r="H20" s="4">
        <f t="shared" ca="1" si="3"/>
        <v>256.6825441487365</v>
      </c>
      <c r="I20" s="10"/>
      <c r="J20" s="6">
        <f t="shared" ca="1" si="4"/>
        <v>2.1066900610287758</v>
      </c>
    </row>
    <row r="21" spans="1:10" x14ac:dyDescent="0.25">
      <c r="A21">
        <f t="shared" si="5"/>
        <v>1931</v>
      </c>
      <c r="B21" s="2">
        <v>0.95095095095095095</v>
      </c>
      <c r="C21" s="2">
        <v>0.77419354838709675</v>
      </c>
      <c r="D21" s="3">
        <f t="shared" si="0"/>
        <v>39.027027027027025</v>
      </c>
      <c r="E21" s="3">
        <f t="shared" si="1"/>
        <v>17.744516129032256</v>
      </c>
      <c r="F21" s="4">
        <f t="shared" ca="1" si="6"/>
        <v>14395.321699198492</v>
      </c>
      <c r="G21" s="4">
        <f t="shared" ca="1" si="2"/>
        <v>561.80660901736815</v>
      </c>
      <c r="H21" s="4">
        <f t="shared" ca="1" si="3"/>
        <v>255.43801807403568</v>
      </c>
      <c r="I21" s="10"/>
      <c r="J21" s="6">
        <f t="shared" ca="1" si="4"/>
        <v>2.1282510897994835</v>
      </c>
    </row>
    <row r="22" spans="1:10" x14ac:dyDescent="0.25">
      <c r="A22">
        <f t="shared" si="5"/>
        <v>1932</v>
      </c>
      <c r="B22" s="2">
        <v>0.94194194194194192</v>
      </c>
      <c r="C22" s="2">
        <v>0.74798387096774188</v>
      </c>
      <c r="D22" s="3">
        <f t="shared" si="0"/>
        <v>38.657297297297298</v>
      </c>
      <c r="E22" s="3">
        <f t="shared" si="1"/>
        <v>17.143790322580642</v>
      </c>
      <c r="F22" s="4">
        <f t="shared" ca="1" si="6"/>
        <v>14701.690290141825</v>
      </c>
      <c r="G22" s="4">
        <f t="shared" ca="1" si="2"/>
        <v>568.32761231880147</v>
      </c>
      <c r="H22" s="4">
        <f t="shared" ca="1" si="3"/>
        <v>252.0426957217112</v>
      </c>
      <c r="I22" s="10"/>
      <c r="J22" s="6">
        <f t="shared" ca="1" si="4"/>
        <v>2.1513506974716585</v>
      </c>
    </row>
    <row r="23" spans="1:10" x14ac:dyDescent="0.25">
      <c r="A23">
        <f t="shared" si="5"/>
        <v>1933</v>
      </c>
      <c r="B23" s="2">
        <v>0.93493493493493496</v>
      </c>
      <c r="C23" s="2">
        <v>0.73286290322580638</v>
      </c>
      <c r="D23" s="3">
        <f t="shared" si="0"/>
        <v>38.369729729729727</v>
      </c>
      <c r="E23" s="3">
        <f t="shared" si="1"/>
        <v>16.79721774193548</v>
      </c>
      <c r="F23" s="4">
        <f t="shared" ca="1" si="6"/>
        <v>15017.975206738914</v>
      </c>
      <c r="G23" s="4">
        <f t="shared" ca="1" si="2"/>
        <v>576.23564977035403</v>
      </c>
      <c r="H23" s="4">
        <f t="shared" ca="1" si="3"/>
        <v>252.26019959058206</v>
      </c>
      <c r="I23" s="10"/>
      <c r="J23" s="6">
        <f t="shared" ca="1" si="4"/>
        <v>2.1572511987794156</v>
      </c>
    </row>
    <row r="24" spans="1:10" x14ac:dyDescent="0.25">
      <c r="A24">
        <f t="shared" si="5"/>
        <v>1934</v>
      </c>
      <c r="B24" s="2">
        <v>0.92992992992992995</v>
      </c>
      <c r="C24" s="2">
        <v>0.71774193548387089</v>
      </c>
      <c r="D24" s="3">
        <f t="shared" si="0"/>
        <v>38.164324324324326</v>
      </c>
      <c r="E24" s="3">
        <f t="shared" si="1"/>
        <v>16.450645161290318</v>
      </c>
      <c r="F24" s="4">
        <f t="shared" ca="1" si="6"/>
        <v>15341.950656918685</v>
      </c>
      <c r="G24" s="4">
        <f t="shared" ca="1" si="2"/>
        <v>585.51518063842536</v>
      </c>
      <c r="H24" s="4">
        <f t="shared" ca="1" si="3"/>
        <v>252.38498633899417</v>
      </c>
      <c r="I24" s="10"/>
      <c r="J24" s="6">
        <f t="shared" ca="1" si="4"/>
        <v>2.1713679163034083</v>
      </c>
    </row>
    <row r="25" spans="1:10" x14ac:dyDescent="0.25">
      <c r="A25">
        <f t="shared" si="5"/>
        <v>1935</v>
      </c>
      <c r="B25" s="2">
        <v>0.92192192192192202</v>
      </c>
      <c r="C25" s="2">
        <v>0.7036290322580645</v>
      </c>
      <c r="D25" s="3">
        <f t="shared" si="0"/>
        <v>37.835675675675681</v>
      </c>
      <c r="E25" s="3">
        <f t="shared" si="1"/>
        <v>16.127177419354837</v>
      </c>
      <c r="F25" s="4">
        <f t="shared" ca="1" si="6"/>
        <v>15675.080851218117</v>
      </c>
      <c r="G25" s="4">
        <f t="shared" ca="1" si="2"/>
        <v>593.07727527668294</v>
      </c>
      <c r="H25" s="4">
        <f t="shared" ca="1" si="3"/>
        <v>252.79480995032623</v>
      </c>
      <c r="I25" s="10"/>
      <c r="J25" s="6">
        <f t="shared" ca="1" si="4"/>
        <v>2.1708498256320796</v>
      </c>
    </row>
    <row r="26" spans="1:10" x14ac:dyDescent="0.25">
      <c r="A26">
        <f t="shared" si="5"/>
        <v>1936</v>
      </c>
      <c r="B26" s="2">
        <v>0.93393393393393398</v>
      </c>
      <c r="C26" s="2">
        <v>0.70161290322580638</v>
      </c>
      <c r="D26" s="3">
        <f t="shared" si="0"/>
        <v>38.328648648648652</v>
      </c>
      <c r="E26" s="3">
        <f t="shared" si="1"/>
        <v>16.080967741935481</v>
      </c>
      <c r="F26" s="4">
        <f t="shared" ca="1" si="6"/>
        <v>16015.363316544473</v>
      </c>
      <c r="G26" s="4">
        <f t="shared" ca="1" si="2"/>
        <v>613.84723354028961</v>
      </c>
      <c r="H26" s="4">
        <f t="shared" ca="1" si="3"/>
        <v>257.54254086872851</v>
      </c>
      <c r="I26" s="10"/>
      <c r="J26" s="6">
        <f t="shared" ca="1" si="4"/>
        <v>2.2247680906713314</v>
      </c>
    </row>
    <row r="27" spans="1:10" x14ac:dyDescent="0.25">
      <c r="A27">
        <f t="shared" si="5"/>
        <v>1937</v>
      </c>
      <c r="B27" s="2">
        <v>0.9429429429429429</v>
      </c>
      <c r="C27" s="2">
        <v>0.70262096774193539</v>
      </c>
      <c r="D27" s="3">
        <f t="shared" si="0"/>
        <v>38.698378378378372</v>
      </c>
      <c r="E27" s="3">
        <f t="shared" si="1"/>
        <v>16.104072580645159</v>
      </c>
      <c r="F27" s="4">
        <f t="shared" ca="1" si="6"/>
        <v>16371.668009216037</v>
      </c>
      <c r="G27" s="4">
        <f t="shared" ca="1" si="2"/>
        <v>633.55700330583477</v>
      </c>
      <c r="H27" s="4">
        <f t="shared" ca="1" si="3"/>
        <v>263.65052988664149</v>
      </c>
      <c r="I27" s="10"/>
      <c r="J27" s="6">
        <f t="shared" ca="1" si="4"/>
        <v>2.2594305797733054</v>
      </c>
    </row>
    <row r="28" spans="1:10" x14ac:dyDescent="0.25">
      <c r="A28">
        <f t="shared" si="5"/>
        <v>1938</v>
      </c>
      <c r="B28" s="2">
        <v>0.94894894894894888</v>
      </c>
      <c r="C28" s="2">
        <v>0.69959677419354838</v>
      </c>
      <c r="D28" s="3">
        <f t="shared" si="0"/>
        <v>38.944864864864861</v>
      </c>
      <c r="E28" s="3">
        <f t="shared" si="1"/>
        <v>16.034758064516126</v>
      </c>
      <c r="F28" s="4">
        <f t="shared" ca="1" si="6"/>
        <v>16741.574482635227</v>
      </c>
      <c r="G28" s="4">
        <f t="shared" ca="1" si="2"/>
        <v>651.99835585129881</v>
      </c>
      <c r="H28" s="4">
        <f t="shared" ca="1" si="3"/>
        <v>268.44709644813258</v>
      </c>
      <c r="I28" s="10"/>
      <c r="J28" s="6">
        <f t="shared" ca="1" si="4"/>
        <v>2.2910106800348622</v>
      </c>
    </row>
    <row r="29" spans="1:10" x14ac:dyDescent="0.25">
      <c r="A29">
        <f t="shared" si="5"/>
        <v>1939</v>
      </c>
      <c r="B29" s="2">
        <v>0.95395395395395388</v>
      </c>
      <c r="C29" s="2">
        <v>0.69354838709677413</v>
      </c>
      <c r="D29" s="3">
        <f t="shared" si="0"/>
        <v>39.150270270270269</v>
      </c>
      <c r="E29" s="3">
        <f t="shared" si="1"/>
        <v>15.896129032258061</v>
      </c>
      <c r="F29" s="4">
        <f t="shared" ca="1" si="6"/>
        <v>17125.125742038392</v>
      </c>
      <c r="G29" s="4">
        <f t="shared" ca="1" si="2"/>
        <v>670.45330121316579</v>
      </c>
      <c r="H29" s="4">
        <f t="shared" ca="1" si="3"/>
        <v>272.22320848908635</v>
      </c>
      <c r="I29" s="10"/>
      <c r="J29" s="6">
        <f t="shared" ca="1" si="4"/>
        <v>2.3254141238012211</v>
      </c>
    </row>
    <row r="30" spans="1:10" x14ac:dyDescent="0.25">
      <c r="A30">
        <f t="shared" si="5"/>
        <v>1940</v>
      </c>
      <c r="B30" s="2">
        <v>0.95795795795795791</v>
      </c>
      <c r="C30" s="2">
        <v>0.68447580645161299</v>
      </c>
      <c r="D30" s="3">
        <f t="shared" si="0"/>
        <v>39.314594594594588</v>
      </c>
      <c r="E30" s="3">
        <f t="shared" si="1"/>
        <v>15.688185483870969</v>
      </c>
      <c r="F30" s="4">
        <f t="shared" ca="1" si="6"/>
        <v>17523.355834762471</v>
      </c>
      <c r="G30" s="4">
        <f t="shared" ca="1" si="2"/>
        <v>688.92363058051023</v>
      </c>
      <c r="H30" s="4">
        <f t="shared" ca="1" si="3"/>
        <v>274.90965663562622</v>
      </c>
      <c r="I30" s="10"/>
      <c r="J30" s="6">
        <f t="shared" ca="1" si="4"/>
        <v>2.3626409110723525</v>
      </c>
    </row>
    <row r="31" spans="1:10" x14ac:dyDescent="0.25">
      <c r="A31">
        <f t="shared" si="5"/>
        <v>1941</v>
      </c>
      <c r="B31" s="2">
        <v>0.95995995995995997</v>
      </c>
      <c r="C31" s="2">
        <v>0.67439516129032262</v>
      </c>
      <c r="D31" s="3">
        <f t="shared" si="0"/>
        <v>39.396756756756758</v>
      </c>
      <c r="E31" s="3">
        <f t="shared" si="1"/>
        <v>15.457137096774193</v>
      </c>
      <c r="F31" s="4">
        <f t="shared" ca="1" si="6"/>
        <v>17937.369808707354</v>
      </c>
      <c r="G31" s="4">
        <f t="shared" ca="1" si="2"/>
        <v>706.67419520963608</v>
      </c>
      <c r="H31" s="4">
        <f t="shared" ca="1" si="3"/>
        <v>277.26038428872783</v>
      </c>
      <c r="I31" s="10"/>
      <c r="J31" s="6">
        <f t="shared" ca="1" si="4"/>
        <v>2.3939619659982396</v>
      </c>
    </row>
    <row r="32" spans="1:10" x14ac:dyDescent="0.25">
      <c r="A32">
        <f t="shared" si="5"/>
        <v>1942</v>
      </c>
      <c r="B32" s="2">
        <v>0.96096096096096095</v>
      </c>
      <c r="C32" s="2">
        <v>0.65927419354838712</v>
      </c>
      <c r="D32" s="3">
        <f t="shared" si="0"/>
        <v>39.43783783783784</v>
      </c>
      <c r="E32" s="3">
        <f t="shared" si="1"/>
        <v>15.110564516129031</v>
      </c>
      <c r="F32" s="4">
        <f t="shared" ca="1" si="6"/>
        <v>18366.783619628259</v>
      </c>
      <c r="G32" s="4">
        <f t="shared" ca="1" si="2"/>
        <v>724.34623399355553</v>
      </c>
      <c r="H32" s="4">
        <f t="shared" ca="1" si="3"/>
        <v>277.53246883817474</v>
      </c>
      <c r="I32" s="10">
        <f ca="1" xml:space="preserve"> BR!F6 / RSFSR!F6 * INDIRECT("'RSFSR'!" &amp; ADDRESS(ROW(), COLUMN()))</f>
        <v>-10.776643546272537</v>
      </c>
      <c r="J32" s="6">
        <f t="shared" ca="1" si="4"/>
        <v>2.3740526955580985</v>
      </c>
    </row>
    <row r="33" spans="1:10" x14ac:dyDescent="0.25">
      <c r="A33">
        <f t="shared" si="5"/>
        <v>1943</v>
      </c>
      <c r="B33" s="2">
        <v>0.96396396396396389</v>
      </c>
      <c r="C33" s="2">
        <v>0.63004032258064513</v>
      </c>
      <c r="D33" s="3">
        <f t="shared" si="0"/>
        <v>39.561081081081078</v>
      </c>
      <c r="E33" s="3">
        <f t="shared" si="1"/>
        <v>14.440524193548384</v>
      </c>
      <c r="F33" s="4">
        <f t="shared" ca="1" si="6"/>
        <v>18802.820741237367</v>
      </c>
      <c r="G33" s="4">
        <f t="shared" ca="1" si="2"/>
        <v>743.85991589712444</v>
      </c>
      <c r="H33" s="4">
        <f t="shared" ca="1" si="3"/>
        <v>271.52258782079156</v>
      </c>
      <c r="I33" s="10">
        <f ca="1" xml:space="preserve"> BR!F6 / RSFSR!F6 * INDIRECT("'RSFSR'!" &amp; ADDRESS(ROW(), COLUMN()))</f>
        <v>-10.776643546272537</v>
      </c>
      <c r="J33" s="6">
        <f t="shared" ca="1" si="4"/>
        <v>2.4547417160542637</v>
      </c>
    </row>
    <row r="34" spans="1:10" x14ac:dyDescent="0.25">
      <c r="A34">
        <f t="shared" si="5"/>
        <v>1944</v>
      </c>
      <c r="B34" s="2">
        <v>0.96596596596596596</v>
      </c>
      <c r="C34" s="2">
        <v>0.59375</v>
      </c>
      <c r="D34" s="3">
        <f t="shared" si="0"/>
        <v>39.643243243243241</v>
      </c>
      <c r="E34" s="3">
        <f t="shared" si="1"/>
        <v>13.608749999999999</v>
      </c>
      <c r="F34" s="4">
        <f t="shared" ca="1" si="6"/>
        <v>19264.381425767424</v>
      </c>
      <c r="G34" s="4">
        <f t="shared" ca="1" si="2"/>
        <v>763.7025587923149</v>
      </c>
      <c r="H34" s="4">
        <f t="shared" ca="1" si="3"/>
        <v>262.16415072791244</v>
      </c>
      <c r="I34" s="10">
        <f ca="1" xml:space="preserve"> BR!F6 / RSFSR!F6 * INDIRECT("'RSFSR'!" &amp; ADDRESS(ROW(), COLUMN()))</f>
        <v>-10.776643546272537</v>
      </c>
      <c r="J34" s="6">
        <f t="shared" ca="1" si="4"/>
        <v>2.5475085530735155</v>
      </c>
    </row>
    <row r="35" spans="1:10" x14ac:dyDescent="0.25">
      <c r="A35">
        <f t="shared" si="5"/>
        <v>1945</v>
      </c>
      <c r="B35" s="2">
        <v>0.97097097097097096</v>
      </c>
      <c r="C35" s="2">
        <v>0.561491935483871</v>
      </c>
      <c r="D35" s="3">
        <f t="shared" si="0"/>
        <v>39.848648648648648</v>
      </c>
      <c r="E35" s="3">
        <f t="shared" si="1"/>
        <v>12.869395161290322</v>
      </c>
      <c r="F35" s="4">
        <f t="shared" ca="1" si="6"/>
        <v>19755.143190285555</v>
      </c>
      <c r="G35" s="4">
        <f t="shared" ca="1" si="2"/>
        <v>787.21575999343304</v>
      </c>
      <c r="H35" s="4">
        <f t="shared" ca="1" si="3"/>
        <v>254.2367441836584</v>
      </c>
      <c r="J35" s="6">
        <f t="shared" ca="1" si="4"/>
        <v>2.6979253487358337</v>
      </c>
    </row>
    <row r="36" spans="1:10" x14ac:dyDescent="0.25">
      <c r="A36">
        <f t="shared" si="5"/>
        <v>1946</v>
      </c>
      <c r="B36" s="2">
        <v>0.96996996996996998</v>
      </c>
      <c r="C36" s="2">
        <v>0.53225806451612911</v>
      </c>
      <c r="D36" s="3">
        <f t="shared" si="0"/>
        <v>39.807567567567567</v>
      </c>
      <c r="E36" s="3">
        <f t="shared" si="1"/>
        <v>12.199354838709679</v>
      </c>
      <c r="F36" s="4">
        <f t="shared" ca="1" si="6"/>
        <v>20288.12220609533</v>
      </c>
      <c r="G36" s="4">
        <f t="shared" ca="1" si="2"/>
        <v>807.62079553820774</v>
      </c>
      <c r="H36" s="4">
        <f t="shared" ca="1" si="3"/>
        <v>247.50200180326235</v>
      </c>
      <c r="J36" s="6">
        <f t="shared" ca="1" si="4"/>
        <v>2.7608212728857913</v>
      </c>
    </row>
    <row r="37" spans="1:10" x14ac:dyDescent="0.25">
      <c r="A37">
        <f t="shared" si="5"/>
        <v>1947</v>
      </c>
      <c r="B37" s="2">
        <v>0.96396396396396389</v>
      </c>
      <c r="C37" s="2">
        <v>0.52419354838709675</v>
      </c>
      <c r="D37" s="3">
        <f t="shared" si="0"/>
        <v>39.561081081081078</v>
      </c>
      <c r="E37" s="3">
        <f t="shared" si="1"/>
        <v>12.014516129032257</v>
      </c>
      <c r="F37" s="4">
        <f t="shared" ca="1" si="6"/>
        <v>20848.240999830276</v>
      </c>
      <c r="G37" s="4">
        <f t="shared" ca="1" si="2"/>
        <v>824.77895259220429</v>
      </c>
      <c r="H37" s="4">
        <f t="shared" ca="1" si="3"/>
        <v>250.48152775441244</v>
      </c>
      <c r="J37" s="6">
        <f t="shared" ca="1" si="4"/>
        <v>2.7546564952048924</v>
      </c>
    </row>
    <row r="38" spans="1:10" x14ac:dyDescent="0.25">
      <c r="A38">
        <f t="shared" si="5"/>
        <v>1948</v>
      </c>
      <c r="B38" s="2">
        <v>0.96396396396396389</v>
      </c>
      <c r="C38" s="2">
        <v>0.51008064516129037</v>
      </c>
      <c r="D38" s="3">
        <f t="shared" si="0"/>
        <v>39.561081081081078</v>
      </c>
      <c r="E38" s="3">
        <f t="shared" si="1"/>
        <v>11.691048387096775</v>
      </c>
      <c r="F38" s="4">
        <f t="shared" ca="1" si="6"/>
        <v>21422.53842466807</v>
      </c>
      <c r="G38" s="4">
        <f t="shared" ca="1" si="2"/>
        <v>847.49877958086847</v>
      </c>
      <c r="H38" s="4">
        <f t="shared" ca="1" si="3"/>
        <v>250.45193329723432</v>
      </c>
      <c r="J38" s="6">
        <f t="shared" ca="1" si="4"/>
        <v>2.7870032693984399</v>
      </c>
    </row>
    <row r="39" spans="1:10" x14ac:dyDescent="0.25">
      <c r="A39">
        <f t="shared" si="5"/>
        <v>1949</v>
      </c>
      <c r="B39" s="2">
        <v>0.96696696696696693</v>
      </c>
      <c r="C39" s="2">
        <v>0.50604838709677424</v>
      </c>
      <c r="D39" s="3">
        <f t="shared" si="0"/>
        <v>39.684324324324322</v>
      </c>
      <c r="E39" s="3">
        <f t="shared" si="1"/>
        <v>11.598629032258065</v>
      </c>
      <c r="F39" s="4">
        <f t="shared" ca="1" si="6"/>
        <v>22019.585270951706</v>
      </c>
      <c r="G39" s="4">
        <f t="shared" ca="1" si="2"/>
        <v>873.83236337956237</v>
      </c>
      <c r="H39" s="4">
        <f t="shared" ca="1" si="3"/>
        <v>255.39700100194253</v>
      </c>
      <c r="J39" s="6">
        <f t="shared" ca="1" si="4"/>
        <v>2.8085695292066206</v>
      </c>
    </row>
    <row r="40" spans="1:10" x14ac:dyDescent="0.25">
      <c r="A40">
        <f t="shared" si="5"/>
        <v>1950</v>
      </c>
      <c r="B40" s="2">
        <v>0.96796796796796791</v>
      </c>
      <c r="C40" s="2">
        <v>0.49697580645161288</v>
      </c>
      <c r="D40" s="3">
        <f t="shared" si="0"/>
        <v>39.725405405405404</v>
      </c>
      <c r="E40" s="3">
        <f t="shared" si="1"/>
        <v>11.390685483870966</v>
      </c>
      <c r="F40" s="4">
        <f t="shared" ca="1" si="6"/>
        <v>22638.020633329324</v>
      </c>
      <c r="G40" s="4">
        <f t="shared" ca="1" si="2"/>
        <v>899.30454723493972</v>
      </c>
      <c r="H40" s="4">
        <f t="shared" ca="1" si="3"/>
        <v>257.86257301163573</v>
      </c>
      <c r="J40" s="6">
        <f t="shared" ca="1" si="4"/>
        <v>2.8334719921534433</v>
      </c>
    </row>
    <row r="41" spans="1:10" x14ac:dyDescent="0.25">
      <c r="A41">
        <f t="shared" si="5"/>
        <v>1951</v>
      </c>
      <c r="B41" s="2">
        <v>0.97697697697697694</v>
      </c>
      <c r="C41" s="2">
        <v>0.47681451612903225</v>
      </c>
      <c r="D41" s="3">
        <f t="shared" si="0"/>
        <v>40.095135135135131</v>
      </c>
      <c r="E41" s="3">
        <f t="shared" si="1"/>
        <v>10.928588709677419</v>
      </c>
      <c r="F41" s="4">
        <f t="shared" ca="1" si="6"/>
        <v>23279.462607552628</v>
      </c>
      <c r="G41" s="4">
        <f t="shared" ca="1" si="2"/>
        <v>933.39319912314784</v>
      </c>
      <c r="H41" s="4">
        <f t="shared" ca="1" si="3"/>
        <v>254.41167222025729</v>
      </c>
      <c r="J41" s="6">
        <f t="shared" ca="1" si="4"/>
        <v>2.9166546425457747</v>
      </c>
    </row>
    <row r="42" spans="1:10" x14ac:dyDescent="0.25">
      <c r="A42">
        <f t="shared" si="5"/>
        <v>1952</v>
      </c>
      <c r="B42" s="2">
        <v>0.97397397397397401</v>
      </c>
      <c r="C42" s="2">
        <v>0.44455645161290325</v>
      </c>
      <c r="D42" s="3">
        <f t="shared" si="0"/>
        <v>39.971891891891893</v>
      </c>
      <c r="E42" s="3">
        <f t="shared" si="1"/>
        <v>10.189233870967742</v>
      </c>
      <c r="F42" s="4">
        <f t="shared" ca="1" si="6"/>
        <v>23958.44413445552</v>
      </c>
      <c r="G42" s="4">
        <f t="shared" ca="1" si="2"/>
        <v>957.66433884038747</v>
      </c>
      <c r="H42" s="4">
        <f t="shared" ca="1" si="3"/>
        <v>244.1181904704826</v>
      </c>
      <c r="J42" s="6">
        <f t="shared" ca="1" si="4"/>
        <v>2.9782658020924102</v>
      </c>
    </row>
    <row r="43" spans="1:10" x14ac:dyDescent="0.25">
      <c r="A43">
        <f t="shared" si="5"/>
        <v>1953</v>
      </c>
      <c r="B43" s="2">
        <v>0.98298298298298292</v>
      </c>
      <c r="C43" s="2">
        <v>0.42439516129032256</v>
      </c>
      <c r="D43" s="3">
        <f t="shared" si="0"/>
        <v>40.34162162162162</v>
      </c>
      <c r="E43" s="3">
        <f t="shared" si="1"/>
        <v>9.727137096774193</v>
      </c>
      <c r="F43" s="4">
        <f t="shared" ca="1" si="6"/>
        <v>24671.990282825423</v>
      </c>
      <c r="G43" s="4">
        <f t="shared" ca="1" si="2"/>
        <v>995.30809664206856</v>
      </c>
      <c r="H43" s="4">
        <f t="shared" ca="1" si="3"/>
        <v>239.9878319313236</v>
      </c>
      <c r="J43" s="6">
        <f t="shared" ca="1" si="4"/>
        <v>3.0614484524847336</v>
      </c>
    </row>
    <row r="44" spans="1:10" x14ac:dyDescent="0.25">
      <c r="A44">
        <f t="shared" si="5"/>
        <v>1954</v>
      </c>
      <c r="B44" s="2">
        <v>0.99099099099099097</v>
      </c>
      <c r="C44" s="2">
        <v>0.40120967741935487</v>
      </c>
      <c r="D44" s="3">
        <f t="shared" si="0"/>
        <v>40.670270270270265</v>
      </c>
      <c r="E44" s="3">
        <f t="shared" si="1"/>
        <v>9.1957258064516125</v>
      </c>
      <c r="F44" s="4">
        <f t="shared" ca="1" si="6"/>
        <v>25427.310547536166</v>
      </c>
      <c r="G44" s="4">
        <f t="shared" ca="1" si="2"/>
        <v>1034.1355922143898</v>
      </c>
      <c r="H44" s="4">
        <f t="shared" ca="1" si="3"/>
        <v>233.82257579063761</v>
      </c>
      <c r="J44" s="6">
        <f t="shared" ca="1" si="4"/>
        <v>3.1474544463818641</v>
      </c>
    </row>
    <row r="45" spans="1:10" x14ac:dyDescent="0.25">
      <c r="A45">
        <f t="shared" si="5"/>
        <v>1955</v>
      </c>
      <c r="B45" s="2">
        <v>0.99599599599599598</v>
      </c>
      <c r="C45" s="2">
        <v>0.39112903225806456</v>
      </c>
      <c r="D45" s="3">
        <f t="shared" si="0"/>
        <v>40.875675675675673</v>
      </c>
      <c r="E45" s="3">
        <f t="shared" si="1"/>
        <v>8.9646774193548389</v>
      </c>
      <c r="F45" s="4">
        <f t="shared" ca="1" si="6"/>
        <v>26227.623563959918</v>
      </c>
      <c r="G45" s="4">
        <f t="shared" ca="1" si="2"/>
        <v>1072.0718345441346</v>
      </c>
      <c r="H45" s="4">
        <f t="shared" ca="1" si="3"/>
        <v>235.12218472717035</v>
      </c>
      <c r="J45" s="6">
        <f t="shared" ca="1" si="4"/>
        <v>3.1910998256320853</v>
      </c>
    </row>
    <row r="46" spans="1:10" x14ac:dyDescent="0.25">
      <c r="A46">
        <f t="shared" si="5"/>
        <v>1956</v>
      </c>
      <c r="B46" s="2">
        <v>1.002002002002002</v>
      </c>
      <c r="C46" s="2">
        <v>0.37701612903225806</v>
      </c>
      <c r="D46" s="3">
        <f t="shared" si="0"/>
        <v>41.122162162162162</v>
      </c>
      <c r="E46" s="3">
        <f t="shared" si="1"/>
        <v>8.6412096774193543</v>
      </c>
      <c r="F46" s="4">
        <f t="shared" ca="1" si="6"/>
        <v>27064.573213776883</v>
      </c>
      <c r="G46" s="4">
        <f t="shared" ca="1" si="2"/>
        <v>1112.9537685466432</v>
      </c>
      <c r="H46" s="4">
        <f t="shared" ca="1" si="3"/>
        <v>233.87065197011341</v>
      </c>
      <c r="J46" s="6">
        <f t="shared" ca="1" si="4"/>
        <v>3.2480952484742822</v>
      </c>
    </row>
    <row r="47" spans="1:10" x14ac:dyDescent="0.25">
      <c r="A47">
        <f t="shared" si="5"/>
        <v>1957</v>
      </c>
      <c r="B47" s="2">
        <v>1.0010010010010011</v>
      </c>
      <c r="C47" s="2">
        <v>0.37197580645161288</v>
      </c>
      <c r="D47" s="3">
        <f t="shared" si="0"/>
        <v>41.081081081081081</v>
      </c>
      <c r="E47" s="3">
        <f t="shared" si="1"/>
        <v>8.5256854838709657</v>
      </c>
      <c r="F47" s="4">
        <f t="shared" ca="1" si="6"/>
        <v>27943.656330353413</v>
      </c>
      <c r="G47" s="4">
        <f t="shared" ca="1" si="2"/>
        <v>1147.9556114091133</v>
      </c>
      <c r="H47" s="4">
        <f t="shared" ca="1" si="3"/>
        <v>238.23882514197314</v>
      </c>
      <c r="J47" s="6">
        <f t="shared" ca="1" si="4"/>
        <v>3.2555395597210159</v>
      </c>
    </row>
    <row r="48" spans="1:10" x14ac:dyDescent="0.25">
      <c r="A48">
        <f t="shared" si="5"/>
        <v>1958</v>
      </c>
      <c r="B48" s="2">
        <v>0.99699699699699695</v>
      </c>
      <c r="C48" s="2">
        <v>0.35786290322580644</v>
      </c>
      <c r="D48" s="3">
        <f t="shared" si="0"/>
        <v>40.916756756756754</v>
      </c>
      <c r="E48" s="3">
        <f t="shared" si="1"/>
        <v>8.2022177419354829</v>
      </c>
      <c r="F48" s="4">
        <f t="shared" ca="1" si="6"/>
        <v>28853.373116620554</v>
      </c>
      <c r="G48" s="4">
        <f t="shared" ca="1" si="2"/>
        <v>1180.5864494247078</v>
      </c>
      <c r="H48" s="4">
        <f t="shared" ca="1" si="3"/>
        <v>236.66164889182943</v>
      </c>
      <c r="J48" s="6">
        <f t="shared" ca="1" si="4"/>
        <v>3.2714539014821233</v>
      </c>
    </row>
    <row r="49" spans="1:10" x14ac:dyDescent="0.25">
      <c r="A49">
        <f t="shared" si="5"/>
        <v>1959</v>
      </c>
      <c r="B49" s="2">
        <v>0.99199199199199195</v>
      </c>
      <c r="C49" s="2">
        <v>0.34879032258064513</v>
      </c>
      <c r="D49" s="3">
        <f t="shared" si="0"/>
        <v>40.711351351351347</v>
      </c>
      <c r="E49" s="3">
        <f t="shared" si="1"/>
        <v>7.9942741935483861</v>
      </c>
      <c r="F49" s="4">
        <f t="shared" ca="1" si="6"/>
        <v>29797.297917153432</v>
      </c>
      <c r="G49" s="4">
        <f t="shared" ca="1" si="2"/>
        <v>1213.0882648261231</v>
      </c>
      <c r="H49" s="4">
        <f t="shared" ca="1" si="3"/>
        <v>238.20776977657277</v>
      </c>
      <c r="J49" s="6">
        <f t="shared" ca="1" si="4"/>
        <v>3.271707715780297</v>
      </c>
    </row>
    <row r="50" spans="1:10" x14ac:dyDescent="0.25">
      <c r="A50">
        <f t="shared" si="5"/>
        <v>1960</v>
      </c>
      <c r="B50" s="2">
        <v>0.98998998998998999</v>
      </c>
      <c r="C50" s="2">
        <v>0.33266129032258068</v>
      </c>
      <c r="D50" s="3">
        <f t="shared" si="0"/>
        <v>40.629189189189191</v>
      </c>
      <c r="E50" s="3">
        <f t="shared" si="1"/>
        <v>7.6245967741935488</v>
      </c>
      <c r="F50" s="4">
        <f t="shared" ca="1" si="6"/>
        <v>30772.178412202982</v>
      </c>
      <c r="G50" s="4">
        <f t="shared" ca="1" si="2"/>
        <v>1250.2486584728783</v>
      </c>
      <c r="H50" s="4">
        <f t="shared" ca="1" si="3"/>
        <v>234.62545225659122</v>
      </c>
      <c r="J50" s="6">
        <f t="shared" ca="1" si="4"/>
        <v>3.3004592414995702</v>
      </c>
    </row>
    <row r="51" spans="1:10" x14ac:dyDescent="0.25">
      <c r="A51">
        <f t="shared" si="5"/>
        <v>1961</v>
      </c>
      <c r="B51" s="2">
        <v>0.98698698698698695</v>
      </c>
      <c r="C51" s="2">
        <v>0.32258064516129031</v>
      </c>
      <c r="D51" s="3">
        <f t="shared" si="0"/>
        <v>40.505945945945946</v>
      </c>
      <c r="E51" s="3">
        <f t="shared" si="1"/>
        <v>7.3935483870967733</v>
      </c>
      <c r="F51" s="4">
        <f t="shared" ca="1" si="6"/>
        <v>31787.801618419271</v>
      </c>
      <c r="G51" s="4">
        <f t="shared" ca="1" si="2"/>
        <v>1287.5949740961441</v>
      </c>
      <c r="H51" s="4">
        <f t="shared" ca="1" si="3"/>
        <v>235.02464938521601</v>
      </c>
      <c r="J51" s="6">
        <f t="shared" ca="1" si="4"/>
        <v>3.3112397558849249</v>
      </c>
    </row>
    <row r="52" spans="1:10" x14ac:dyDescent="0.25">
      <c r="A52">
        <f t="shared" si="5"/>
        <v>1962</v>
      </c>
      <c r="B52" s="2">
        <v>0.98498498498498499</v>
      </c>
      <c r="C52" s="2">
        <v>0.31552419354838712</v>
      </c>
      <c r="D52" s="3">
        <f t="shared" si="0"/>
        <v>40.423783783783783</v>
      </c>
      <c r="E52" s="3">
        <f t="shared" si="1"/>
        <v>7.2318145161290319</v>
      </c>
      <c r="F52" s="4">
        <f t="shared" ca="1" si="6"/>
        <v>32840.371943130202</v>
      </c>
      <c r="G52" s="4">
        <f t="shared" ca="1" si="2"/>
        <v>1327.5320948081344</v>
      </c>
      <c r="H52" s="4">
        <f t="shared" ca="1" si="3"/>
        <v>237.49547853340559</v>
      </c>
      <c r="J52" s="6">
        <f t="shared" ca="1" si="4"/>
        <v>3.3191969267654797</v>
      </c>
    </row>
    <row r="53" spans="1:10" x14ac:dyDescent="0.25">
      <c r="A53">
        <f t="shared" si="5"/>
        <v>1963</v>
      </c>
      <c r="B53" s="2">
        <v>0.98498498498498499</v>
      </c>
      <c r="C53" s="2">
        <v>0.30645161290322581</v>
      </c>
      <c r="D53" s="3">
        <f t="shared" si="0"/>
        <v>40.423783783783783</v>
      </c>
      <c r="E53" s="3">
        <f t="shared" si="1"/>
        <v>7.0238709677419351</v>
      </c>
      <c r="F53" s="4">
        <f t="shared" ca="1" si="6"/>
        <v>33930.408559404932</v>
      </c>
      <c r="G53" s="4">
        <f t="shared" ca="1" si="2"/>
        <v>1371.5954993008315</v>
      </c>
      <c r="H53" s="4">
        <f t="shared" ca="1" si="3"/>
        <v>238.32281160402675</v>
      </c>
      <c r="J53" s="6">
        <f t="shared" ca="1" si="4"/>
        <v>3.3399912816041946</v>
      </c>
    </row>
    <row r="54" spans="1:10" x14ac:dyDescent="0.25">
      <c r="A54">
        <f t="shared" si="5"/>
        <v>1964</v>
      </c>
      <c r="B54" s="2">
        <v>0.97797797797797792</v>
      </c>
      <c r="C54" s="2">
        <v>0.30141129032258063</v>
      </c>
      <c r="D54" s="3">
        <f t="shared" si="0"/>
        <v>40.136216216216212</v>
      </c>
      <c r="E54" s="3">
        <f t="shared" si="1"/>
        <v>6.9083467741935474</v>
      </c>
      <c r="F54" s="4">
        <f t="shared" ca="1" si="6"/>
        <v>35063.68124710174</v>
      </c>
      <c r="G54" s="4">
        <f t="shared" ca="1" si="2"/>
        <v>1407.3234918701612</v>
      </c>
      <c r="H54" s="4">
        <f t="shared" ca="1" si="3"/>
        <v>242.2320692347661</v>
      </c>
      <c r="J54" s="6">
        <f t="shared" ca="1" si="4"/>
        <v>3.3227869442022802</v>
      </c>
    </row>
    <row r="55" spans="1:10" x14ac:dyDescent="0.25">
      <c r="A55">
        <f t="shared" si="5"/>
        <v>1965</v>
      </c>
      <c r="B55" s="2">
        <v>0.97397397397397401</v>
      </c>
      <c r="C55" s="2">
        <v>0.29536290322580644</v>
      </c>
      <c r="D55" s="3">
        <f t="shared" si="0"/>
        <v>39.971891891891893</v>
      </c>
      <c r="E55" s="3">
        <f t="shared" si="1"/>
        <v>6.7697177419354828</v>
      </c>
      <c r="F55" s="4">
        <f t="shared" ca="1" si="6"/>
        <v>36228.77266973714</v>
      </c>
      <c r="G55" s="4">
        <f t="shared" ca="1" si="2"/>
        <v>1448.1325845306606</v>
      </c>
      <c r="H55" s="4">
        <f t="shared" ca="1" si="3"/>
        <v>245.25856511086684</v>
      </c>
      <c r="J55" s="6">
        <f t="shared" ca="1" si="4"/>
        <v>3.320217414995648</v>
      </c>
    </row>
    <row r="56" spans="1:10" x14ac:dyDescent="0.25">
      <c r="A56">
        <f t="shared" si="5"/>
        <v>1966</v>
      </c>
      <c r="B56" s="2">
        <v>0.96196196196196193</v>
      </c>
      <c r="C56" s="2">
        <v>0.29536290322580644</v>
      </c>
      <c r="D56" s="3">
        <f t="shared" si="0"/>
        <v>39.478918918918914</v>
      </c>
      <c r="E56" s="3">
        <f t="shared" si="1"/>
        <v>6.7697177419354828</v>
      </c>
      <c r="F56" s="4">
        <f t="shared" ca="1" si="6"/>
        <v>37431.646689156936</v>
      </c>
      <c r="G56" s="4">
        <f t="shared" ca="1" si="2"/>
        <v>1477.7609446428462</v>
      </c>
      <c r="H56" s="4">
        <f t="shared" ca="1" si="3"/>
        <v>253.4016827014463</v>
      </c>
      <c r="J56" s="6">
        <f t="shared" ca="1" si="4"/>
        <v>3.2709201176983367</v>
      </c>
    </row>
    <row r="57" spans="1:10" x14ac:dyDescent="0.25">
      <c r="A57">
        <f t="shared" si="5"/>
        <v>1967</v>
      </c>
      <c r="B57" s="2">
        <v>0.9529529529529529</v>
      </c>
      <c r="C57" s="2">
        <v>0.29435483870967738</v>
      </c>
      <c r="D57" s="3">
        <f t="shared" si="0"/>
        <v>39.109189189189188</v>
      </c>
      <c r="E57" s="3">
        <f t="shared" si="1"/>
        <v>6.7466129032258051</v>
      </c>
      <c r="F57" s="4">
        <f t="shared" ca="1" si="6"/>
        <v>38656.005951098334</v>
      </c>
      <c r="G57" s="4">
        <f t="shared" ca="1" si="2"/>
        <v>1511.8050500399279</v>
      </c>
      <c r="H57" s="4">
        <f t="shared" ca="1" si="3"/>
        <v>260.79710853685356</v>
      </c>
      <c r="J57" s="6">
        <f t="shared" ca="1" si="4"/>
        <v>3.2362576285963285</v>
      </c>
    </row>
    <row r="58" spans="1:10" x14ac:dyDescent="0.25">
      <c r="A58">
        <f t="shared" si="5"/>
        <v>1968</v>
      </c>
      <c r="B58" s="2">
        <v>0.95495495495495486</v>
      </c>
      <c r="C58" s="2">
        <v>0.29133064516129031</v>
      </c>
      <c r="D58" s="3">
        <f t="shared" si="0"/>
        <v>39.191351351351344</v>
      </c>
      <c r="E58" s="3">
        <f t="shared" si="1"/>
        <v>6.6772983870967737</v>
      </c>
      <c r="F58" s="4">
        <f t="shared" ca="1" si="6"/>
        <v>39907.013892601404</v>
      </c>
      <c r="G58" s="4">
        <f t="shared" ca="1" si="2"/>
        <v>1564.0098028482007</v>
      </c>
      <c r="H58" s="4">
        <f t="shared" ca="1" si="3"/>
        <v>266.4710394989159</v>
      </c>
      <c r="J58" s="6">
        <f t="shared" ca="1" si="4"/>
        <v>3.2514052964254607</v>
      </c>
    </row>
    <row r="59" spans="1:10" x14ac:dyDescent="0.25">
      <c r="A59">
        <f t="shared" si="5"/>
        <v>1969</v>
      </c>
      <c r="B59" s="2">
        <v>0.95195195195195192</v>
      </c>
      <c r="C59" s="2">
        <v>0.28629032258064513</v>
      </c>
      <c r="D59" s="3">
        <f t="shared" si="0"/>
        <v>39.068108108108106</v>
      </c>
      <c r="E59" s="3">
        <f t="shared" si="1"/>
        <v>6.561774193548386</v>
      </c>
      <c r="F59" s="4">
        <f t="shared" ca="1" si="6"/>
        <v>41204.552655950691</v>
      </c>
      <c r="G59" s="4">
        <f t="shared" ca="1" si="2"/>
        <v>1609.7839177089145</v>
      </c>
      <c r="H59" s="4">
        <f t="shared" ca="1" si="3"/>
        <v>270.37497027452287</v>
      </c>
      <c r="J59" s="6">
        <f t="shared" ca="1" si="4"/>
        <v>3.2506333914559566</v>
      </c>
    </row>
    <row r="60" spans="1:10" x14ac:dyDescent="0.25">
      <c r="A60">
        <f t="shared" si="5"/>
        <v>1970</v>
      </c>
      <c r="B60" s="2">
        <v>0.9479479479479479</v>
      </c>
      <c r="C60" s="2">
        <v>0.27620967741935487</v>
      </c>
      <c r="D60" s="3">
        <f t="shared" si="0"/>
        <v>38.90378378378378</v>
      </c>
      <c r="E60" s="3">
        <f t="shared" si="1"/>
        <v>6.3307258064516132</v>
      </c>
      <c r="F60" s="4">
        <f t="shared" ca="1" si="6"/>
        <v>42543.961603385076</v>
      </c>
      <c r="G60" s="4">
        <f t="shared" ca="1" si="2"/>
        <v>1655.1210835236921</v>
      </c>
      <c r="H60" s="4">
        <f t="shared" ca="1" si="3"/>
        <v>269.33415563123646</v>
      </c>
      <c r="J60" s="6">
        <f t="shared" ca="1" si="4"/>
        <v>3.257305797733216</v>
      </c>
    </row>
    <row r="61" spans="1:10" x14ac:dyDescent="0.25">
      <c r="A61">
        <f t="shared" si="5"/>
        <v>1971</v>
      </c>
      <c r="B61" s="2">
        <v>0.94094094094094094</v>
      </c>
      <c r="C61" s="2">
        <v>0.25806451612903225</v>
      </c>
      <c r="D61" s="3">
        <f t="shared" si="0"/>
        <v>38.616216216216216</v>
      </c>
      <c r="E61" s="3">
        <f t="shared" si="1"/>
        <v>5.9148387096774186</v>
      </c>
      <c r="F61" s="4">
        <f t="shared" ca="1" si="6"/>
        <v>43929.748531277532</v>
      </c>
      <c r="G61" s="4">
        <f t="shared" ca="1" si="2"/>
        <v>1696.40066760782</v>
      </c>
      <c r="H61" s="4">
        <f t="shared" ca="1" si="3"/>
        <v>259.83737711919508</v>
      </c>
      <c r="J61" s="6">
        <f t="shared" ca="1" si="4"/>
        <v>3.2701377506538742</v>
      </c>
    </row>
    <row r="62" spans="1:10" x14ac:dyDescent="0.25">
      <c r="A62">
        <f t="shared" si="5"/>
        <v>1972</v>
      </c>
      <c r="B62" s="2">
        <v>0.927927927927928</v>
      </c>
      <c r="C62" s="2">
        <v>0.24495967741935484</v>
      </c>
      <c r="D62" s="3">
        <f t="shared" si="0"/>
        <v>38.082162162162163</v>
      </c>
      <c r="E62" s="3">
        <f t="shared" si="1"/>
        <v>5.6144758064516127</v>
      </c>
      <c r="F62" s="4">
        <f t="shared" ca="1" si="6"/>
        <v>45366.311821766154</v>
      </c>
      <c r="G62" s="4">
        <f t="shared" ca="1" si="2"/>
        <v>1727.6472434957129</v>
      </c>
      <c r="H62" s="4">
        <f t="shared" ca="1" si="3"/>
        <v>254.70806015124586</v>
      </c>
      <c r="J62" s="6">
        <f t="shared" ca="1" si="4"/>
        <v>3.2467686355710565</v>
      </c>
    </row>
    <row r="63" spans="1:10" x14ac:dyDescent="0.25">
      <c r="A63">
        <f t="shared" si="5"/>
        <v>1973</v>
      </c>
      <c r="B63" s="2">
        <v>0.90990990990990994</v>
      </c>
      <c r="C63" s="2">
        <v>0.2338709677419355</v>
      </c>
      <c r="D63" s="3">
        <f t="shared" si="0"/>
        <v>37.342702702702702</v>
      </c>
      <c r="E63" s="3">
        <f t="shared" si="1"/>
        <v>5.3603225806451613</v>
      </c>
      <c r="F63" s="4">
        <f t="shared" ca="1" si="6"/>
        <v>46839.251005110622</v>
      </c>
      <c r="G63" s="4">
        <f t="shared" ca="1" si="2"/>
        <v>1749.1042251011147</v>
      </c>
      <c r="H63" s="4">
        <f t="shared" ca="1" si="3"/>
        <v>251.07349482320103</v>
      </c>
      <c r="J63" s="6">
        <f t="shared" ca="1" si="4"/>
        <v>3.1982380122057643</v>
      </c>
    </row>
    <row r="64" spans="1:10" x14ac:dyDescent="0.25">
      <c r="A64">
        <f t="shared" si="5"/>
        <v>1974</v>
      </c>
      <c r="B64" s="2">
        <v>0.88788788788788786</v>
      </c>
      <c r="C64" s="2">
        <v>0.22681451612903228</v>
      </c>
      <c r="D64" s="3">
        <f t="shared" si="0"/>
        <v>36.438918918918915</v>
      </c>
      <c r="E64" s="3">
        <f t="shared" si="1"/>
        <v>5.198588709677419</v>
      </c>
      <c r="F64" s="4">
        <f t="shared" ca="1" si="6"/>
        <v>48337.28173538854</v>
      </c>
      <c r="G64" s="4">
        <f t="shared" ca="1" si="2"/>
        <v>1761.3582899167634</v>
      </c>
      <c r="H64" s="4">
        <f t="shared" ca="1" si="3"/>
        <v>251.28564708608738</v>
      </c>
      <c r="J64" s="6">
        <f t="shared" ca="1" si="4"/>
        <v>3.1240330209241596</v>
      </c>
    </row>
    <row r="65" spans="1:10" x14ac:dyDescent="0.25">
      <c r="A65">
        <f t="shared" si="5"/>
        <v>1975</v>
      </c>
      <c r="B65" s="2">
        <v>0.86886886886886883</v>
      </c>
      <c r="C65" s="2">
        <v>0.21673387096774194</v>
      </c>
      <c r="D65" s="3">
        <f t="shared" si="0"/>
        <v>35.658378378378373</v>
      </c>
      <c r="E65" s="3">
        <f t="shared" si="1"/>
        <v>4.9675403225806445</v>
      </c>
      <c r="F65" s="4">
        <f t="shared" ca="1" si="6"/>
        <v>49847.354378219221</v>
      </c>
      <c r="G65" s="4">
        <f t="shared" ca="1" si="2"/>
        <v>1777.4758235796569</v>
      </c>
      <c r="H65" s="4">
        <f t="shared" ca="1" si="3"/>
        <v>247.61874284777079</v>
      </c>
      <c r="J65" s="6">
        <f t="shared" ca="1" si="4"/>
        <v>3.0690838055797665</v>
      </c>
    </row>
    <row r="66" spans="1:10" x14ac:dyDescent="0.25">
      <c r="A66">
        <f t="shared" si="5"/>
        <v>1976</v>
      </c>
      <c r="B66" s="2">
        <v>0.83883883883883881</v>
      </c>
      <c r="C66" s="2">
        <v>0.20967741935483869</v>
      </c>
      <c r="D66" s="3">
        <f t="shared" si="0"/>
        <v>34.425945945945941</v>
      </c>
      <c r="E66" s="3">
        <f t="shared" si="1"/>
        <v>4.8058064516129022</v>
      </c>
      <c r="F66" s="4">
        <f t="shared" ca="1" si="6"/>
        <v>51377.211458951104</v>
      </c>
      <c r="G66" s="4">
        <f t="shared" ca="1" si="2"/>
        <v>1768.7091045392851</v>
      </c>
      <c r="H66" s="4">
        <f t="shared" ca="1" si="3"/>
        <v>246.90893429530755</v>
      </c>
      <c r="J66" s="6">
        <f t="shared" ca="1" si="4"/>
        <v>2.9620139494333082</v>
      </c>
    </row>
    <row r="67" spans="1:10" x14ac:dyDescent="0.25">
      <c r="A67">
        <f t="shared" si="5"/>
        <v>1977</v>
      </c>
      <c r="B67" s="2">
        <v>0.81081081081081086</v>
      </c>
      <c r="C67" s="2">
        <v>0.20463709677419356</v>
      </c>
      <c r="D67" s="3">
        <f t="shared" si="0"/>
        <v>33.275675675675679</v>
      </c>
      <c r="E67" s="3">
        <f t="shared" si="1"/>
        <v>4.6902822580645163</v>
      </c>
      <c r="F67" s="4">
        <f t="shared" ca="1" si="6"/>
        <v>52899.011629195084</v>
      </c>
      <c r="G67" s="4">
        <f t="shared" ca="1" si="2"/>
        <v>1760.2503545368918</v>
      </c>
      <c r="H67" s="4">
        <f t="shared" ca="1" si="3"/>
        <v>248.11129571356221</v>
      </c>
      <c r="J67" s="6">
        <f t="shared" ca="1" si="4"/>
        <v>2.85853934176111</v>
      </c>
    </row>
    <row r="68" spans="1:10" x14ac:dyDescent="0.25">
      <c r="A68">
        <f t="shared" si="5"/>
        <v>1978</v>
      </c>
      <c r="B68" s="2">
        <v>0.78178178178178181</v>
      </c>
      <c r="C68" s="2">
        <v>0.19657258064516131</v>
      </c>
      <c r="D68" s="3">
        <f t="shared" si="0"/>
        <v>32.084324324324328</v>
      </c>
      <c r="E68" s="3">
        <f t="shared" si="1"/>
        <v>4.5054435483870972</v>
      </c>
      <c r="F68" s="4">
        <f t="shared" ca="1" si="6"/>
        <v>54411.15068801841</v>
      </c>
      <c r="G68" s="4">
        <f t="shared" ca="1" si="2"/>
        <v>1745.7450055340655</v>
      </c>
      <c r="H68" s="4">
        <f t="shared" ca="1" si="3"/>
        <v>245.14636782765072</v>
      </c>
      <c r="J68" s="6">
        <f t="shared" ca="1" si="4"/>
        <v>2.7578880775937296</v>
      </c>
    </row>
    <row r="69" spans="1:10" x14ac:dyDescent="0.25">
      <c r="A69">
        <f t="shared" si="5"/>
        <v>1979</v>
      </c>
      <c r="B69" s="2">
        <v>0.76976976976976974</v>
      </c>
      <c r="C69" s="2">
        <v>0.18649193548387097</v>
      </c>
      <c r="D69" s="3">
        <f t="shared" si="0"/>
        <v>31.591351351351349</v>
      </c>
      <c r="E69" s="3">
        <f t="shared" si="1"/>
        <v>4.2743951612903226</v>
      </c>
      <c r="F69" s="4">
        <f t="shared" ca="1" si="6"/>
        <v>55911.749325724828</v>
      </c>
      <c r="G69" s="4">
        <f t="shared" ca="1" si="2"/>
        <v>1766.327717617655</v>
      </c>
      <c r="H69" s="4">
        <f t="shared" ca="1" si="3"/>
        <v>238.98891077715567</v>
      </c>
      <c r="J69" s="6">
        <f t="shared" ca="1" si="4"/>
        <v>2.731695619006111</v>
      </c>
    </row>
    <row r="70" spans="1:10" x14ac:dyDescent="0.25">
      <c r="A70">
        <f t="shared" si="5"/>
        <v>1980</v>
      </c>
      <c r="B70" s="2">
        <v>0.7617617617617618</v>
      </c>
      <c r="C70" s="2">
        <v>0.18145161290322581</v>
      </c>
      <c r="D70" s="3">
        <f t="shared" si="0"/>
        <v>31.262702702702704</v>
      </c>
      <c r="E70" s="3">
        <f t="shared" si="1"/>
        <v>4.1588709677419349</v>
      </c>
      <c r="F70" s="4">
        <f t="shared" ca="1" si="6"/>
        <v>57439.088132565332</v>
      </c>
      <c r="G70" s="4">
        <f t="shared" ca="1" si="2"/>
        <v>1795.7011358027291</v>
      </c>
      <c r="H70" s="4">
        <f t="shared" ca="1" si="3"/>
        <v>238.88175604809626</v>
      </c>
      <c r="J70" s="6">
        <f t="shared" ca="1" si="4"/>
        <v>2.7103831734960786</v>
      </c>
    </row>
    <row r="71" spans="1:10" x14ac:dyDescent="0.25">
      <c r="A71">
        <f t="shared" si="5"/>
        <v>1981</v>
      </c>
      <c r="B71" s="2">
        <v>0.75875875875875876</v>
      </c>
      <c r="C71" s="2">
        <v>0.17741935483870966</v>
      </c>
      <c r="D71" s="3">
        <f t="shared" si="0"/>
        <v>31.139459459459459</v>
      </c>
      <c r="E71" s="3">
        <f t="shared" si="1"/>
        <v>4.0664516129032249</v>
      </c>
      <c r="F71" s="4">
        <f t="shared" ca="1" si="6"/>
        <v>58995.907512319965</v>
      </c>
      <c r="G71" s="4">
        <f t="shared" ca="1" si="2"/>
        <v>1837.1006702539073</v>
      </c>
      <c r="H71" s="4">
        <f t="shared" ca="1" si="3"/>
        <v>239.90400325816299</v>
      </c>
      <c r="J71" s="6">
        <f t="shared" ca="1" si="4"/>
        <v>2.7073007846556285</v>
      </c>
    </row>
    <row r="72" spans="1:10" x14ac:dyDescent="0.25">
      <c r="A72">
        <f t="shared" si="5"/>
        <v>1982</v>
      </c>
      <c r="B72" s="2">
        <v>0.7567567567567568</v>
      </c>
      <c r="C72" s="2">
        <v>0.17237903225806453</v>
      </c>
      <c r="D72" s="3">
        <f t="shared" ref="D72:D121" si="7">B72*$D$6</f>
        <v>31.0572972972973</v>
      </c>
      <c r="E72" s="3">
        <f t="shared" ref="E72:E121" si="8">C72*$E$6</f>
        <v>3.9509274193548385</v>
      </c>
      <c r="F72" s="4">
        <f t="shared" ca="1" si="6"/>
        <v>60593.104179315713</v>
      </c>
      <c r="G72" s="4">
        <f t="shared" ref="G72:G121" ca="1" si="9">F72*D72/1000</f>
        <v>1881.8580506631156</v>
      </c>
      <c r="H72" s="4">
        <f t="shared" ref="H72:H121" ca="1" si="10">E72*F72/1000</f>
        <v>239.39895672588273</v>
      </c>
      <c r="J72" s="6">
        <f t="shared" ref="J72:J129" ca="1" si="11">100 *(F73-F72) / F72</f>
        <v>2.7106369877942504</v>
      </c>
    </row>
    <row r="73" spans="1:10" x14ac:dyDescent="0.25">
      <c r="A73">
        <f t="shared" ref="A73:A122" si="12">A72+1</f>
        <v>1983</v>
      </c>
      <c r="B73" s="2">
        <v>0.7617617617617618</v>
      </c>
      <c r="C73" s="2">
        <v>0.16733870967741937</v>
      </c>
      <c r="D73" s="3">
        <f t="shared" si="7"/>
        <v>31.262702702702704</v>
      </c>
      <c r="E73" s="3">
        <f t="shared" si="8"/>
        <v>3.8354032258064517</v>
      </c>
      <c r="F73" s="4">
        <f t="shared" ref="F73:F121" ca="1" si="13">F72+G72-H72+I72</f>
        <v>62235.563273252948</v>
      </c>
      <c r="G73" s="4">
        <f t="shared" ca="1" si="9"/>
        <v>1945.6519121469501</v>
      </c>
      <c r="H73" s="4">
        <f t="shared" ca="1" si="10"/>
        <v>238.69848013811588</v>
      </c>
      <c r="J73" s="6">
        <f t="shared" ca="1" si="11"/>
        <v>2.742729947689615</v>
      </c>
    </row>
    <row r="74" spans="1:10" x14ac:dyDescent="0.25">
      <c r="A74">
        <f t="shared" si="12"/>
        <v>1984</v>
      </c>
      <c r="B74" s="2">
        <v>0.75575575575575571</v>
      </c>
      <c r="C74" s="2">
        <v>0.16431451612903228</v>
      </c>
      <c r="D74" s="3">
        <f t="shared" si="7"/>
        <v>31.016216216216215</v>
      </c>
      <c r="E74" s="3">
        <f t="shared" si="8"/>
        <v>3.7660887096774194</v>
      </c>
      <c r="F74" s="4">
        <f t="shared" ca="1" si="13"/>
        <v>63942.516705261776</v>
      </c>
      <c r="G74" s="4">
        <f t="shared" ca="1" si="9"/>
        <v>1983.2549235394165</v>
      </c>
      <c r="H74" s="4">
        <f t="shared" ca="1" si="10"/>
        <v>240.81319023204614</v>
      </c>
      <c r="J74" s="6">
        <f t="shared" ca="1" si="11"/>
        <v>2.7250127506538715</v>
      </c>
    </row>
    <row r="75" spans="1:10" x14ac:dyDescent="0.25">
      <c r="A75">
        <f t="shared" si="12"/>
        <v>1985</v>
      </c>
      <c r="B75" s="2">
        <v>0.74374374374374375</v>
      </c>
      <c r="C75" s="2">
        <v>0.16129032258064516</v>
      </c>
      <c r="D75" s="3">
        <f t="shared" si="7"/>
        <v>30.523243243243243</v>
      </c>
      <c r="E75" s="3">
        <f t="shared" si="8"/>
        <v>3.6967741935483867</v>
      </c>
      <c r="F75" s="4">
        <f t="shared" ca="1" si="13"/>
        <v>65684.958438569141</v>
      </c>
      <c r="G75" s="4">
        <f t="shared" ca="1" si="9"/>
        <v>2004.9179638427686</v>
      </c>
      <c r="H75" s="4">
        <f t="shared" ca="1" si="10"/>
        <v>242.82245926000073</v>
      </c>
      <c r="J75" s="6">
        <f t="shared" ca="1" si="11"/>
        <v>2.6826469049694919</v>
      </c>
    </row>
    <row r="76" spans="1:10" x14ac:dyDescent="0.25">
      <c r="A76">
        <f t="shared" si="12"/>
        <v>1986</v>
      </c>
      <c r="B76" s="2">
        <v>0.72672672672672667</v>
      </c>
      <c r="C76" s="2">
        <v>0.16028225806451613</v>
      </c>
      <c r="D76" s="3">
        <f t="shared" si="7"/>
        <v>29.82486486486486</v>
      </c>
      <c r="E76" s="3">
        <f t="shared" si="8"/>
        <v>3.6736693548387094</v>
      </c>
      <c r="F76" s="4">
        <f t="shared" ca="1" si="13"/>
        <v>67447.053943151914</v>
      </c>
      <c r="G76" s="4">
        <f t="shared" ca="1" si="9"/>
        <v>2011.5992693877565</v>
      </c>
      <c r="H76" s="4">
        <f t="shared" ca="1" si="10"/>
        <v>247.77817514511051</v>
      </c>
      <c r="J76" s="6">
        <f t="shared" ca="1" si="11"/>
        <v>2.6151195510026244</v>
      </c>
    </row>
    <row r="77" spans="1:10" x14ac:dyDescent="0.25">
      <c r="A77">
        <f t="shared" si="12"/>
        <v>1987</v>
      </c>
      <c r="B77" s="2">
        <v>0.70570570570570568</v>
      </c>
      <c r="C77" s="2">
        <v>0.16129032258064516</v>
      </c>
      <c r="D77" s="3">
        <f t="shared" si="7"/>
        <v>28.962162162162162</v>
      </c>
      <c r="E77" s="3">
        <f t="shared" si="8"/>
        <v>3.6967741935483867</v>
      </c>
      <c r="F77" s="4">
        <f t="shared" ca="1" si="13"/>
        <v>69210.875037394566</v>
      </c>
      <c r="G77" s="4">
        <f t="shared" ca="1" si="9"/>
        <v>2004.4965862181627</v>
      </c>
      <c r="H77" s="4">
        <f t="shared" ca="1" si="10"/>
        <v>255.85697675114247</v>
      </c>
      <c r="J77" s="6">
        <f t="shared" ca="1" si="11"/>
        <v>2.5265387968613773</v>
      </c>
    </row>
    <row r="78" spans="1:10" x14ac:dyDescent="0.25">
      <c r="A78">
        <f t="shared" si="12"/>
        <v>1988</v>
      </c>
      <c r="B78" s="2">
        <v>0.67567567567567577</v>
      </c>
      <c r="C78" s="2">
        <v>0.16229838709677419</v>
      </c>
      <c r="D78" s="3">
        <f t="shared" si="7"/>
        <v>27.729729729729733</v>
      </c>
      <c r="E78" s="3">
        <f t="shared" si="8"/>
        <v>3.7198790322580639</v>
      </c>
      <c r="F78" s="4">
        <f t="shared" ca="1" si="13"/>
        <v>70959.514646861586</v>
      </c>
      <c r="G78" s="4">
        <f t="shared" ca="1" si="9"/>
        <v>1967.6881629102702</v>
      </c>
      <c r="H78" s="4">
        <f t="shared" ca="1" si="10"/>
        <v>263.96081067406936</v>
      </c>
      <c r="J78" s="6">
        <f t="shared" ca="1" si="11"/>
        <v>2.4009850697471777</v>
      </c>
    </row>
    <row r="79" spans="1:10" x14ac:dyDescent="0.25">
      <c r="A79">
        <f t="shared" si="12"/>
        <v>1989</v>
      </c>
      <c r="B79" s="2">
        <v>0.64864864864864868</v>
      </c>
      <c r="C79" s="2">
        <v>0.16431451612903228</v>
      </c>
      <c r="D79" s="3">
        <f t="shared" si="7"/>
        <v>26.620540540540542</v>
      </c>
      <c r="E79" s="3">
        <f t="shared" si="8"/>
        <v>3.7660887096774194</v>
      </c>
      <c r="F79" s="4">
        <f t="shared" ca="1" si="13"/>
        <v>72663.241999097794</v>
      </c>
      <c r="G79" s="4">
        <f t="shared" ca="1" si="9"/>
        <v>1934.3347794440911</v>
      </c>
      <c r="H79" s="4">
        <f t="shared" ca="1" si="10"/>
        <v>273.65621530136031</v>
      </c>
      <c r="J79" s="6">
        <f t="shared" ca="1" si="11"/>
        <v>2.2854451830863067</v>
      </c>
    </row>
    <row r="80" spans="1:10" x14ac:dyDescent="0.25">
      <c r="A80">
        <f t="shared" si="12"/>
        <v>1990</v>
      </c>
      <c r="B80" s="2">
        <v>0.61861861861861867</v>
      </c>
      <c r="C80" s="2">
        <v>0.16431451612903228</v>
      </c>
      <c r="D80" s="3">
        <f t="shared" si="7"/>
        <v>25.38810810810811</v>
      </c>
      <c r="E80" s="3">
        <f t="shared" si="8"/>
        <v>3.7660887096774194</v>
      </c>
      <c r="F80" s="4">
        <f t="shared" ca="1" si="13"/>
        <v>74323.920563240521</v>
      </c>
      <c r="G80" s="4">
        <f t="shared" ca="1" si="9"/>
        <v>1886.9437302779897</v>
      </c>
      <c r="H80" s="4">
        <f t="shared" ca="1" si="10"/>
        <v>279.91047809218151</v>
      </c>
      <c r="J80" s="6">
        <f t="shared" ca="1" si="11"/>
        <v>2.1622019398430679</v>
      </c>
    </row>
    <row r="81" spans="1:10" x14ac:dyDescent="0.25">
      <c r="A81">
        <f t="shared" si="12"/>
        <v>1991</v>
      </c>
      <c r="B81" s="2">
        <v>0.59459459459459452</v>
      </c>
      <c r="C81" s="2">
        <v>0.16330645161290322</v>
      </c>
      <c r="D81" s="3">
        <f t="shared" si="7"/>
        <v>24.40216216216216</v>
      </c>
      <c r="E81" s="3">
        <f t="shared" si="8"/>
        <v>3.7429838709677417</v>
      </c>
      <c r="F81" s="4">
        <f t="shared" ca="1" si="13"/>
        <v>75930.953815426328</v>
      </c>
      <c r="G81" s="4">
        <f t="shared" ca="1" si="9"/>
        <v>1852.8794481316788</v>
      </c>
      <c r="H81" s="4">
        <f t="shared" ca="1" si="10"/>
        <v>284.20833543833726</v>
      </c>
      <c r="J81" s="6">
        <f t="shared" ca="1" si="11"/>
        <v>2.0659178291194356</v>
      </c>
    </row>
    <row r="82" spans="1:10" x14ac:dyDescent="0.25">
      <c r="A82">
        <f t="shared" si="12"/>
        <v>1992</v>
      </c>
      <c r="B82" s="2">
        <v>0.5695695695695695</v>
      </c>
      <c r="C82" s="2">
        <v>0.16229838709677419</v>
      </c>
      <c r="D82" s="3">
        <f t="shared" si="7"/>
        <v>23.375135135135132</v>
      </c>
      <c r="E82" s="3">
        <f t="shared" si="8"/>
        <v>3.7198790322580639</v>
      </c>
      <c r="F82" s="4">
        <f t="shared" ca="1" si="13"/>
        <v>77499.624928119665</v>
      </c>
      <c r="G82" s="4">
        <f t="shared" ca="1" si="9"/>
        <v>1811.5642056170843</v>
      </c>
      <c r="H82" s="4">
        <f t="shared" ca="1" si="10"/>
        <v>288.28922977797669</v>
      </c>
      <c r="J82" s="6">
        <f t="shared" ca="1" si="11"/>
        <v>1.9655256102877157</v>
      </c>
    </row>
    <row r="83" spans="1:10" x14ac:dyDescent="0.25">
      <c r="A83">
        <f t="shared" si="12"/>
        <v>1993</v>
      </c>
      <c r="B83" s="2">
        <v>0.55755755755755765</v>
      </c>
      <c r="C83" s="2">
        <v>0.15927419354838709</v>
      </c>
      <c r="D83" s="3">
        <f t="shared" si="7"/>
        <v>22.882162162162164</v>
      </c>
      <c r="E83" s="3">
        <f t="shared" si="8"/>
        <v>3.6505645161290321</v>
      </c>
      <c r="F83" s="4">
        <f t="shared" ca="1" si="13"/>
        <v>79022.89990395878</v>
      </c>
      <c r="G83" s="4">
        <f t="shared" ca="1" si="9"/>
        <v>1808.2148101266937</v>
      </c>
      <c r="H83" s="4">
        <f t="shared" ca="1" si="10"/>
        <v>288.4781943510082</v>
      </c>
      <c r="J83" s="6">
        <f t="shared" ca="1" si="11"/>
        <v>1.9231597646033207</v>
      </c>
    </row>
    <row r="84" spans="1:10" x14ac:dyDescent="0.25">
      <c r="A84">
        <f t="shared" si="12"/>
        <v>1994</v>
      </c>
      <c r="B84" s="2">
        <v>0.54754754754754764</v>
      </c>
      <c r="C84" s="2">
        <v>0.15725806451612903</v>
      </c>
      <c r="D84" s="3">
        <f t="shared" si="7"/>
        <v>22.471351351351355</v>
      </c>
      <c r="E84" s="3">
        <f t="shared" si="8"/>
        <v>3.6043548387096771</v>
      </c>
      <c r="F84" s="4">
        <f t="shared" ca="1" si="13"/>
        <v>80542.636519734471</v>
      </c>
      <c r="G84" s="4">
        <f t="shared" ca="1" si="9"/>
        <v>1809.9018839991363</v>
      </c>
      <c r="H84" s="4">
        <f t="shared" ca="1" si="10"/>
        <v>290.30424166233973</v>
      </c>
      <c r="J84" s="6">
        <f t="shared" ca="1" si="11"/>
        <v>1.8866996512641689</v>
      </c>
    </row>
    <row r="85" spans="1:10" x14ac:dyDescent="0.25">
      <c r="A85">
        <f t="shared" si="12"/>
        <v>1995</v>
      </c>
      <c r="B85" s="2">
        <v>0.54554554554554557</v>
      </c>
      <c r="C85" s="2">
        <v>0.15625</v>
      </c>
      <c r="D85" s="3">
        <f t="shared" si="7"/>
        <v>22.389189189189189</v>
      </c>
      <c r="E85" s="3">
        <f t="shared" si="8"/>
        <v>3.5812499999999998</v>
      </c>
      <c r="F85" s="4">
        <f t="shared" ca="1" si="13"/>
        <v>82062.234162071269</v>
      </c>
      <c r="G85" s="4">
        <f t="shared" ca="1" si="9"/>
        <v>1837.3068859421578</v>
      </c>
      <c r="H85" s="4">
        <f t="shared" ca="1" si="10"/>
        <v>293.88537609291768</v>
      </c>
      <c r="J85" s="6">
        <f t="shared" ca="1" si="11"/>
        <v>1.8807939189189216</v>
      </c>
    </row>
    <row r="86" spans="1:10" x14ac:dyDescent="0.25">
      <c r="A86">
        <f t="shared" si="12"/>
        <v>1996</v>
      </c>
      <c r="B86" s="2">
        <v>0.53453453453453459</v>
      </c>
      <c r="C86" s="2">
        <v>0.15524193548387097</v>
      </c>
      <c r="D86" s="3">
        <f t="shared" si="7"/>
        <v>21.937297297297299</v>
      </c>
      <c r="E86" s="3">
        <f t="shared" si="8"/>
        <v>3.5581451612903221</v>
      </c>
      <c r="F86" s="4">
        <f t="shared" ca="1" si="13"/>
        <v>83605.655671920511</v>
      </c>
      <c r="G86" s="4">
        <f t="shared" ca="1" si="9"/>
        <v>1834.0821242103905</v>
      </c>
      <c r="H86" s="4">
        <f t="shared" ca="1" si="10"/>
        <v>297.48105918554876</v>
      </c>
      <c r="J86" s="6">
        <f t="shared" ca="1" si="11"/>
        <v>1.8379152136006902</v>
      </c>
    </row>
    <row r="87" spans="1:10" x14ac:dyDescent="0.25">
      <c r="A87">
        <f t="shared" si="12"/>
        <v>1997</v>
      </c>
      <c r="B87" s="2">
        <v>0.52452452452452458</v>
      </c>
      <c r="C87" s="2">
        <v>0.15423387096774194</v>
      </c>
      <c r="D87" s="3">
        <f t="shared" si="7"/>
        <v>21.526486486486487</v>
      </c>
      <c r="E87" s="3">
        <f t="shared" si="8"/>
        <v>3.5350403225806448</v>
      </c>
      <c r="F87" s="4">
        <f t="shared" ca="1" si="13"/>
        <v>85142.256736945346</v>
      </c>
      <c r="G87" s="4">
        <f t="shared" ca="1" si="9"/>
        <v>1832.813639076817</v>
      </c>
      <c r="H87" s="4">
        <f t="shared" ca="1" si="10"/>
        <v>300.9813107206154</v>
      </c>
      <c r="J87" s="6">
        <f t="shared" ca="1" si="11"/>
        <v>1.7991446163905891</v>
      </c>
    </row>
    <row r="88" spans="1:10" x14ac:dyDescent="0.25">
      <c r="A88">
        <f t="shared" si="12"/>
        <v>1998</v>
      </c>
      <c r="B88" s="2">
        <v>0.51351351351351349</v>
      </c>
      <c r="C88" s="2">
        <v>0.15322580645161291</v>
      </c>
      <c r="D88" s="3">
        <f t="shared" si="7"/>
        <v>21.074594594594593</v>
      </c>
      <c r="E88" s="3">
        <f t="shared" si="8"/>
        <v>3.5119354838709675</v>
      </c>
      <c r="F88" s="4">
        <f t="shared" ca="1" si="13"/>
        <v>86674.089065301552</v>
      </c>
      <c r="G88" s="4">
        <f t="shared" ca="1" si="9"/>
        <v>1826.6212889070146</v>
      </c>
      <c r="H88" s="4">
        <f t="shared" ca="1" si="10"/>
        <v>304.39380892062513</v>
      </c>
      <c r="J88" s="6">
        <f t="shared" ca="1" si="11"/>
        <v>1.7562659110723695</v>
      </c>
    </row>
    <row r="89" spans="1:10" x14ac:dyDescent="0.25">
      <c r="A89">
        <f t="shared" si="12"/>
        <v>1999</v>
      </c>
      <c r="B89" s="2">
        <v>0.50450450450450446</v>
      </c>
      <c r="C89" s="2">
        <v>0.15322580645161291</v>
      </c>
      <c r="D89" s="3">
        <f t="shared" si="7"/>
        <v>20.704864864864863</v>
      </c>
      <c r="E89" s="3">
        <f t="shared" si="8"/>
        <v>3.5119354838709675</v>
      </c>
      <c r="F89" s="4">
        <f t="shared" ca="1" si="13"/>
        <v>88196.316545287948</v>
      </c>
      <c r="G89" s="4">
        <f t="shared" ca="1" si="9"/>
        <v>1826.0928156490322</v>
      </c>
      <c r="H89" s="4">
        <f t="shared" ca="1" si="10"/>
        <v>309.73977362211286</v>
      </c>
      <c r="J89" s="6">
        <f t="shared" ca="1" si="11"/>
        <v>1.719292938099378</v>
      </c>
    </row>
    <row r="90" spans="1:10" x14ac:dyDescent="0.25">
      <c r="A90">
        <f t="shared" si="12"/>
        <v>2000</v>
      </c>
      <c r="B90" s="2">
        <v>0.49449449449449451</v>
      </c>
      <c r="C90" s="2">
        <v>0.15322580645161291</v>
      </c>
      <c r="D90" s="3">
        <f t="shared" si="7"/>
        <v>20.294054054054055</v>
      </c>
      <c r="E90" s="3">
        <f t="shared" si="8"/>
        <v>3.5119354838709675</v>
      </c>
      <c r="F90" s="4">
        <f t="shared" ca="1" si="13"/>
        <v>89712.669587314856</v>
      </c>
      <c r="G90" s="4">
        <f t="shared" ca="1" si="9"/>
        <v>1820.633765938459</v>
      </c>
      <c r="H90" s="4">
        <f t="shared" ca="1" si="10"/>
        <v>315.0651076764828</v>
      </c>
      <c r="J90" s="6">
        <f t="shared" ca="1" si="11"/>
        <v>1.6782118570183151</v>
      </c>
    </row>
    <row r="91" spans="1:10" x14ac:dyDescent="0.25">
      <c r="A91">
        <f t="shared" si="12"/>
        <v>2001</v>
      </c>
      <c r="B91" s="2">
        <v>0.48548548548548548</v>
      </c>
      <c r="C91" s="2">
        <v>0.15423387096774194</v>
      </c>
      <c r="D91" s="3">
        <f t="shared" si="7"/>
        <v>19.924324324324324</v>
      </c>
      <c r="E91" s="3">
        <f t="shared" si="8"/>
        <v>3.5350403225806448</v>
      </c>
      <c r="F91" s="4">
        <f t="shared" ca="1" si="13"/>
        <v>91218.238245576838</v>
      </c>
      <c r="G91" s="4">
        <f t="shared" ca="1" si="9"/>
        <v>1817.461763098358</v>
      </c>
      <c r="H91" s="4">
        <f t="shared" ca="1" si="10"/>
        <v>322.46015035288207</v>
      </c>
      <c r="J91" s="6">
        <f t="shared" ca="1" si="11"/>
        <v>1.6389284001743645</v>
      </c>
    </row>
    <row r="92" spans="1:10" x14ac:dyDescent="0.25">
      <c r="A92">
        <f t="shared" si="12"/>
        <v>2002</v>
      </c>
      <c r="B92" s="2">
        <v>0.47747747747747743</v>
      </c>
      <c r="C92" s="2">
        <v>0.15524193548387097</v>
      </c>
      <c r="D92" s="3">
        <f t="shared" si="7"/>
        <v>19.595675675675672</v>
      </c>
      <c r="E92" s="3">
        <f t="shared" si="8"/>
        <v>3.5581451612903221</v>
      </c>
      <c r="F92" s="4">
        <f t="shared" ca="1" si="13"/>
        <v>92713.239858322311</v>
      </c>
      <c r="G92" s="4">
        <f t="shared" ca="1" si="9"/>
        <v>1816.7785791048107</v>
      </c>
      <c r="H92" s="4">
        <f t="shared" ca="1" si="10"/>
        <v>329.8871657894386</v>
      </c>
      <c r="J92" s="6">
        <f t="shared" ca="1" si="11"/>
        <v>1.603753051438537</v>
      </c>
    </row>
    <row r="93" spans="1:10" x14ac:dyDescent="0.25">
      <c r="A93">
        <f t="shared" si="12"/>
        <v>2003</v>
      </c>
      <c r="B93" s="2">
        <v>0.46946946946946944</v>
      </c>
      <c r="C93" s="2">
        <v>0.15625</v>
      </c>
      <c r="D93" s="3">
        <f t="shared" si="7"/>
        <v>19.267027027027027</v>
      </c>
      <c r="E93" s="3">
        <f t="shared" si="8"/>
        <v>3.5812499999999998</v>
      </c>
      <c r="F93" s="4">
        <f t="shared" ca="1" si="13"/>
        <v>94200.131271637685</v>
      </c>
      <c r="G93" s="4">
        <f t="shared" ca="1" si="9"/>
        <v>1814.956475160137</v>
      </c>
      <c r="H93" s="4">
        <f t="shared" ca="1" si="10"/>
        <v>337.35422011655243</v>
      </c>
      <c r="J93" s="6">
        <f t="shared" ca="1" si="11"/>
        <v>1.5685777027027066</v>
      </c>
    </row>
    <row r="94" spans="1:10" x14ac:dyDescent="0.25">
      <c r="A94">
        <f t="shared" si="12"/>
        <v>2004</v>
      </c>
      <c r="B94" s="2">
        <v>0.4614614614614615</v>
      </c>
      <c r="C94" s="2">
        <v>0.15725806451612903</v>
      </c>
      <c r="D94" s="3">
        <f t="shared" si="7"/>
        <v>18.938378378378381</v>
      </c>
      <c r="E94" s="3">
        <f t="shared" si="8"/>
        <v>3.6043548387096771</v>
      </c>
      <c r="F94" s="4">
        <f t="shared" ca="1" si="13"/>
        <v>95677.733526681273</v>
      </c>
      <c r="G94" s="4">
        <f t="shared" ca="1" si="9"/>
        <v>1811.981119913949</v>
      </c>
      <c r="H94" s="4">
        <f t="shared" ca="1" si="10"/>
        <v>344.85650179366871</v>
      </c>
      <c r="J94" s="6">
        <f t="shared" ca="1" si="11"/>
        <v>1.5334023539668784</v>
      </c>
    </row>
    <row r="95" spans="1:10" x14ac:dyDescent="0.25">
      <c r="A95">
        <f t="shared" si="12"/>
        <v>2005</v>
      </c>
      <c r="B95" s="2">
        <v>0.45345345345345345</v>
      </c>
      <c r="C95" s="2">
        <v>0.15927419354838709</v>
      </c>
      <c r="D95" s="3">
        <f t="shared" si="7"/>
        <v>18.609729729729729</v>
      </c>
      <c r="E95" s="3">
        <f t="shared" si="8"/>
        <v>3.6505645161290321</v>
      </c>
      <c r="F95" s="4">
        <f t="shared" ca="1" si="13"/>
        <v>97144.858144801561</v>
      </c>
      <c r="G95" s="4">
        <f t="shared" ca="1" si="9"/>
        <v>1807.8395547076909</v>
      </c>
      <c r="H95" s="4">
        <f t="shared" ca="1" si="10"/>
        <v>354.63357206780097</v>
      </c>
      <c r="J95" s="6">
        <f t="shared" ca="1" si="11"/>
        <v>1.4959165213600707</v>
      </c>
    </row>
    <row r="96" spans="1:10" x14ac:dyDescent="0.25">
      <c r="A96">
        <f t="shared" si="12"/>
        <v>2006</v>
      </c>
      <c r="B96" s="2">
        <v>0.44644644644644643</v>
      </c>
      <c r="C96" s="2">
        <v>0.16129032258064516</v>
      </c>
      <c r="D96" s="3">
        <f t="shared" si="7"/>
        <v>18.322162162162162</v>
      </c>
      <c r="E96" s="3">
        <f t="shared" si="8"/>
        <v>3.6967741935483867</v>
      </c>
      <c r="F96" s="4">
        <f t="shared" ca="1" si="13"/>
        <v>98598.064127441452</v>
      </c>
      <c r="G96" s="4">
        <f t="shared" ca="1" si="9"/>
        <v>1806.5297198182461</v>
      </c>
      <c r="H96" s="4">
        <f t="shared" ca="1" si="10"/>
        <v>364.49477900015444</v>
      </c>
      <c r="J96" s="6">
        <f t="shared" ca="1" si="11"/>
        <v>1.4625387968613777</v>
      </c>
    </row>
    <row r="97" spans="1:10" x14ac:dyDescent="0.25">
      <c r="A97">
        <f t="shared" si="12"/>
        <v>2007</v>
      </c>
      <c r="B97" s="2">
        <v>0.43843843843843844</v>
      </c>
      <c r="C97" s="2">
        <v>0.16330645161290322</v>
      </c>
      <c r="D97" s="3">
        <f t="shared" si="7"/>
        <v>17.993513513513513</v>
      </c>
      <c r="E97" s="3">
        <f t="shared" si="8"/>
        <v>3.7429838709677417</v>
      </c>
      <c r="F97" s="4">
        <f t="shared" ca="1" si="13"/>
        <v>100040.09906825954</v>
      </c>
      <c r="G97" s="4">
        <f t="shared" ca="1" si="9"/>
        <v>1800.0728744779587</v>
      </c>
      <c r="H97" s="4">
        <f t="shared" ca="1" si="10"/>
        <v>374.44847726251044</v>
      </c>
      <c r="J97" s="6">
        <f t="shared" ca="1" si="11"/>
        <v>1.4250529642545768</v>
      </c>
    </row>
    <row r="98" spans="1:10" x14ac:dyDescent="0.25">
      <c r="A98">
        <f t="shared" si="12"/>
        <v>2008</v>
      </c>
      <c r="B98" s="2">
        <v>0.43143143143143142</v>
      </c>
      <c r="C98" s="2">
        <v>0.16532258064516131</v>
      </c>
      <c r="D98" s="3">
        <f t="shared" si="7"/>
        <v>17.705945945945945</v>
      </c>
      <c r="E98" s="3">
        <f t="shared" si="8"/>
        <v>3.7891935483870971</v>
      </c>
      <c r="F98" s="4">
        <f t="shared" ca="1" si="13"/>
        <v>101465.72346547499</v>
      </c>
      <c r="G98" s="4">
        <f t="shared" ca="1" si="9"/>
        <v>1796.5466150459995</v>
      </c>
      <c r="H98" s="4">
        <f t="shared" ca="1" si="10"/>
        <v>384.47326473780714</v>
      </c>
      <c r="J98" s="6">
        <f t="shared" ca="1" si="11"/>
        <v>1.3916752397558791</v>
      </c>
    </row>
    <row r="99" spans="1:10" x14ac:dyDescent="0.25">
      <c r="A99">
        <f t="shared" si="12"/>
        <v>2009</v>
      </c>
      <c r="B99" s="2">
        <v>0.42542542542542544</v>
      </c>
      <c r="C99" s="2">
        <v>0.16733870967741937</v>
      </c>
      <c r="D99" s="3">
        <f t="shared" si="7"/>
        <v>17.45945945945946</v>
      </c>
      <c r="E99" s="3">
        <f t="shared" si="8"/>
        <v>3.8354032258064517</v>
      </c>
      <c r="F99" s="4">
        <f t="shared" ca="1" si="13"/>
        <v>102877.79681578318</v>
      </c>
      <c r="G99" s="4">
        <f t="shared" ca="1" si="9"/>
        <v>1796.1907227836739</v>
      </c>
      <c r="H99" s="4">
        <f t="shared" ca="1" si="10"/>
        <v>394.57783377111554</v>
      </c>
      <c r="J99" s="6">
        <f t="shared" ca="1" si="11"/>
        <v>1.3624056233653112</v>
      </c>
    </row>
    <row r="100" spans="1:10" x14ac:dyDescent="0.25">
      <c r="A100">
        <f t="shared" si="12"/>
        <v>2010</v>
      </c>
      <c r="B100" s="2">
        <v>0.4194194194194194</v>
      </c>
      <c r="C100" s="2">
        <v>0.16935483870967744</v>
      </c>
      <c r="D100" s="3">
        <f t="shared" si="7"/>
        <v>17.21297297297297</v>
      </c>
      <c r="E100" s="3">
        <f t="shared" si="8"/>
        <v>3.8816129032258067</v>
      </c>
      <c r="F100" s="4">
        <f t="shared" ca="1" si="13"/>
        <v>104279.40970479575</v>
      </c>
      <c r="G100" s="4">
        <f t="shared" ca="1" si="9"/>
        <v>1794.9586608862244</v>
      </c>
      <c r="H100" s="4">
        <f t="shared" ca="1" si="10"/>
        <v>404.77230225090562</v>
      </c>
      <c r="J100" s="6">
        <f t="shared" ca="1" si="11"/>
        <v>1.3331360069747253</v>
      </c>
    </row>
    <row r="101" spans="1:10" x14ac:dyDescent="0.25">
      <c r="A101">
        <f t="shared" si="12"/>
        <v>2011</v>
      </c>
      <c r="B101" s="2">
        <v>0.41341341341341337</v>
      </c>
      <c r="C101" s="2">
        <v>0.1713709677419355</v>
      </c>
      <c r="D101" s="3">
        <f t="shared" si="7"/>
        <v>16.966486486486485</v>
      </c>
      <c r="E101" s="3">
        <f t="shared" si="8"/>
        <v>3.9278225806451612</v>
      </c>
      <c r="F101" s="4">
        <f t="shared" ca="1" si="13"/>
        <v>105669.59606343108</v>
      </c>
      <c r="G101" s="4">
        <f t="shared" ca="1" si="9"/>
        <v>1792.8417736426888</v>
      </c>
      <c r="H101" s="4">
        <f t="shared" ca="1" si="10"/>
        <v>415.05142550559759</v>
      </c>
      <c r="J101" s="6">
        <f t="shared" ca="1" si="11"/>
        <v>1.3038663905841299</v>
      </c>
    </row>
    <row r="102" spans="1:10" x14ac:dyDescent="0.25">
      <c r="A102">
        <f t="shared" si="12"/>
        <v>2012</v>
      </c>
      <c r="B102" s="2">
        <v>0.40740740740740738</v>
      </c>
      <c r="C102" s="2">
        <v>0.1713709677419355</v>
      </c>
      <c r="D102" s="3">
        <f t="shared" si="7"/>
        <v>16.72</v>
      </c>
      <c r="E102" s="3">
        <f t="shared" si="8"/>
        <v>3.9278225806451612</v>
      </c>
      <c r="F102" s="4">
        <f t="shared" ca="1" si="13"/>
        <v>107047.38641156816</v>
      </c>
      <c r="G102" s="4">
        <f t="shared" ca="1" si="9"/>
        <v>1789.8323008014197</v>
      </c>
      <c r="H102" s="4">
        <f t="shared" ca="1" si="10"/>
        <v>420.46314154640544</v>
      </c>
      <c r="J102" s="6">
        <f t="shared" ca="1" si="11"/>
        <v>1.2792177419354862</v>
      </c>
    </row>
    <row r="103" spans="1:10" x14ac:dyDescent="0.25">
      <c r="A103">
        <f t="shared" si="12"/>
        <v>2013</v>
      </c>
      <c r="B103" s="2">
        <v>0.4014014014014014</v>
      </c>
      <c r="C103" s="2">
        <v>0.17237903225806453</v>
      </c>
      <c r="D103" s="3">
        <f t="shared" si="7"/>
        <v>16.473513513513513</v>
      </c>
      <c r="E103" s="3">
        <f t="shared" si="8"/>
        <v>3.9509274193548385</v>
      </c>
      <c r="F103" s="4">
        <f t="shared" ca="1" si="13"/>
        <v>108416.75557082318</v>
      </c>
      <c r="G103" s="4">
        <f t="shared" ca="1" si="9"/>
        <v>1786.0048879872472</v>
      </c>
      <c r="H103" s="4">
        <f t="shared" ca="1" si="10"/>
        <v>428.34673230225673</v>
      </c>
      <c r="J103" s="6">
        <f t="shared" ca="1" si="11"/>
        <v>1.2522586094158625</v>
      </c>
    </row>
    <row r="104" spans="1:10" x14ac:dyDescent="0.25">
      <c r="A104">
        <f t="shared" si="12"/>
        <v>2014</v>
      </c>
      <c r="B104" s="2">
        <v>0.3963963963963964</v>
      </c>
      <c r="C104" s="2">
        <v>0.17439516129032256</v>
      </c>
      <c r="D104" s="3">
        <f t="shared" si="7"/>
        <v>16.268108108108109</v>
      </c>
      <c r="E104" s="3">
        <f t="shared" si="8"/>
        <v>3.997137096774193</v>
      </c>
      <c r="F104" s="4">
        <f t="shared" ca="1" si="13"/>
        <v>109774.41372650817</v>
      </c>
      <c r="G104" s="4">
        <f t="shared" ca="1" si="9"/>
        <v>1785.8220300070216</v>
      </c>
      <c r="H104" s="4">
        <f t="shared" ca="1" si="10"/>
        <v>438.78338138286398</v>
      </c>
      <c r="J104" s="6">
        <f t="shared" ca="1" si="11"/>
        <v>1.2270971011333958</v>
      </c>
    </row>
    <row r="105" spans="1:10" x14ac:dyDescent="0.25">
      <c r="A105">
        <f t="shared" si="12"/>
        <v>2015</v>
      </c>
      <c r="B105" s="2">
        <v>0.38938938938938938</v>
      </c>
      <c r="C105" s="2">
        <v>0.1754032258064516</v>
      </c>
      <c r="D105" s="3">
        <f t="shared" si="7"/>
        <v>15.98054054054054</v>
      </c>
      <c r="E105" s="3">
        <f t="shared" si="8"/>
        <v>4.0202419354838703</v>
      </c>
      <c r="F105" s="4">
        <f t="shared" ca="1" si="13"/>
        <v>111121.45237513233</v>
      </c>
      <c r="G105" s="4">
        <f t="shared" ca="1" si="9"/>
        <v>1775.7808746045469</v>
      </c>
      <c r="H105" s="4">
        <f t="shared" ca="1" si="10"/>
        <v>446.73512277038071</v>
      </c>
      <c r="J105" s="6">
        <f t="shared" ca="1" si="11"/>
        <v>1.1960298605056718</v>
      </c>
    </row>
    <row r="106" spans="1:10" x14ac:dyDescent="0.25">
      <c r="A106">
        <f t="shared" si="12"/>
        <v>2016</v>
      </c>
      <c r="B106" s="2">
        <v>0.3833833833833834</v>
      </c>
      <c r="C106" s="2">
        <v>0.17741935483870966</v>
      </c>
      <c r="D106" s="3">
        <f t="shared" si="7"/>
        <v>15.734054054054054</v>
      </c>
      <c r="E106" s="3">
        <f t="shared" si="8"/>
        <v>4.0664516129032249</v>
      </c>
      <c r="F106" s="4">
        <f t="shared" ca="1" si="13"/>
        <v>112450.4981269665</v>
      </c>
      <c r="G106" s="4">
        <f t="shared" ca="1" si="9"/>
        <v>1769.302215934995</v>
      </c>
      <c r="H106" s="4">
        <f t="shared" ca="1" si="10"/>
        <v>457.274509480174</v>
      </c>
      <c r="J106" s="6">
        <f t="shared" ca="1" si="11"/>
        <v>1.1667602441150762</v>
      </c>
    </row>
    <row r="107" spans="1:10" x14ac:dyDescent="0.25">
      <c r="A107">
        <f t="shared" si="12"/>
        <v>2017</v>
      </c>
      <c r="B107" s="2">
        <v>0.37537537537537535</v>
      </c>
      <c r="C107" s="2">
        <v>0.18044354838709678</v>
      </c>
      <c r="D107" s="3">
        <f t="shared" si="7"/>
        <v>15.405405405405403</v>
      </c>
      <c r="E107" s="3">
        <f t="shared" si="8"/>
        <v>4.135766129032258</v>
      </c>
      <c r="F107" s="4">
        <f t="shared" ca="1" si="13"/>
        <v>113762.52583342131</v>
      </c>
      <c r="G107" s="4">
        <f t="shared" ca="1" si="9"/>
        <v>1752.5578304067606</v>
      </c>
      <c r="H107" s="4">
        <f t="shared" ca="1" si="10"/>
        <v>470.49520109502112</v>
      </c>
      <c r="J107" s="6">
        <f t="shared" ca="1" si="11"/>
        <v>1.1269639276373136</v>
      </c>
    </row>
    <row r="108" spans="1:10" x14ac:dyDescent="0.25">
      <c r="A108">
        <f t="shared" si="12"/>
        <v>2018</v>
      </c>
      <c r="B108" s="2">
        <v>0.36836836836836834</v>
      </c>
      <c r="C108" s="2">
        <v>0.18145161290322581</v>
      </c>
      <c r="D108" s="3">
        <f t="shared" si="7"/>
        <v>15.117837837837836</v>
      </c>
      <c r="E108" s="3">
        <f t="shared" si="8"/>
        <v>4.1588709677419349</v>
      </c>
      <c r="F108" s="4">
        <f t="shared" ca="1" si="13"/>
        <v>115044.58846273305</v>
      </c>
      <c r="G108" s="4">
        <f t="shared" ca="1" si="9"/>
        <v>1739.225432500388</v>
      </c>
      <c r="H108" s="4">
        <f t="shared" ca="1" si="10"/>
        <v>478.45559895347924</v>
      </c>
      <c r="J108" s="6">
        <f t="shared" ca="1" si="11"/>
        <v>1.0958966870095852</v>
      </c>
    </row>
    <row r="109" spans="1:10" x14ac:dyDescent="0.25">
      <c r="A109">
        <f t="shared" si="12"/>
        <v>2019</v>
      </c>
      <c r="B109" s="2">
        <v>0.36036036036036034</v>
      </c>
      <c r="C109" s="2">
        <v>0.18245967741935484</v>
      </c>
      <c r="D109" s="3">
        <f t="shared" si="7"/>
        <v>14.789189189189187</v>
      </c>
      <c r="E109" s="3">
        <f t="shared" si="8"/>
        <v>4.1819758064516126</v>
      </c>
      <c r="F109" s="4">
        <f t="shared" ca="1" si="13"/>
        <v>116305.35829627996</v>
      </c>
      <c r="G109" s="4">
        <f t="shared" ca="1" si="9"/>
        <v>1720.0619475601186</v>
      </c>
      <c r="H109" s="4">
        <f t="shared" ca="1" si="10"/>
        <v>486.38619455572911</v>
      </c>
      <c r="J109" s="6">
        <f t="shared" ca="1" si="11"/>
        <v>1.0607213382737524</v>
      </c>
    </row>
    <row r="110" spans="1:10" x14ac:dyDescent="0.25">
      <c r="A110">
        <f t="shared" si="12"/>
        <v>2020</v>
      </c>
      <c r="B110" s="2">
        <v>0.35335335335335333</v>
      </c>
      <c r="C110" s="2">
        <v>0.18346774193548387</v>
      </c>
      <c r="D110" s="3">
        <f t="shared" si="7"/>
        <v>14.50162162162162</v>
      </c>
      <c r="E110" s="3">
        <f t="shared" si="8"/>
        <v>4.2050806451612903</v>
      </c>
      <c r="F110" s="4">
        <f t="shared" ca="1" si="13"/>
        <v>117539.03404928434</v>
      </c>
      <c r="G110" s="4">
        <f t="shared" ca="1" si="9"/>
        <v>1704.5065975536215</v>
      </c>
      <c r="H110" s="4">
        <f t="shared" ca="1" si="10"/>
        <v>494.26111713159946</v>
      </c>
      <c r="J110" s="6">
        <f t="shared" ca="1" si="11"/>
        <v>1.0296540976460418</v>
      </c>
    </row>
    <row r="111" spans="1:10" x14ac:dyDescent="0.25">
      <c r="A111">
        <f t="shared" si="12"/>
        <v>2021</v>
      </c>
      <c r="B111" s="2">
        <v>0.34634634634634631</v>
      </c>
      <c r="C111" s="2">
        <v>0.18447580645161291</v>
      </c>
      <c r="D111" s="3">
        <f t="shared" si="7"/>
        <v>14.214054054054053</v>
      </c>
      <c r="E111" s="3">
        <f t="shared" si="8"/>
        <v>4.2281854838709672</v>
      </c>
      <c r="F111" s="4">
        <f t="shared" ca="1" si="13"/>
        <v>118749.27952970637</v>
      </c>
      <c r="G111" s="4">
        <f t="shared" ca="1" si="9"/>
        <v>1687.9086781152207</v>
      </c>
      <c r="H111" s="4">
        <f t="shared" ca="1" si="10"/>
        <v>502.09397992764031</v>
      </c>
      <c r="J111" s="6">
        <f t="shared" ca="1" si="11"/>
        <v>0.99858685701830485</v>
      </c>
    </row>
    <row r="112" spans="1:10" x14ac:dyDescent="0.25">
      <c r="A112">
        <f t="shared" si="12"/>
        <v>2022</v>
      </c>
      <c r="B112" s="2">
        <v>0.33933933933933935</v>
      </c>
      <c r="C112" s="2">
        <v>0.18548387096774194</v>
      </c>
      <c r="D112" s="3">
        <f t="shared" si="7"/>
        <v>13.926486486486487</v>
      </c>
      <c r="E112" s="3">
        <f t="shared" si="8"/>
        <v>4.2512903225806449</v>
      </c>
      <c r="F112" s="4">
        <f t="shared" ca="1" si="13"/>
        <v>119935.09422789395</v>
      </c>
      <c r="G112" s="4">
        <f t="shared" ca="1" si="9"/>
        <v>1670.2744690202487</v>
      </c>
      <c r="H112" s="4">
        <f t="shared" ca="1" si="10"/>
        <v>509.87890542884327</v>
      </c>
      <c r="J112" s="6">
        <f t="shared" ca="1" si="11"/>
        <v>0.96751961639058204</v>
      </c>
    </row>
    <row r="113" spans="1:10" x14ac:dyDescent="0.25">
      <c r="A113">
        <f t="shared" si="12"/>
        <v>2023</v>
      </c>
      <c r="B113" s="2">
        <v>0.33233233233233234</v>
      </c>
      <c r="C113" s="2">
        <v>0.1875</v>
      </c>
      <c r="D113" s="3">
        <f t="shared" si="7"/>
        <v>13.638918918918918</v>
      </c>
      <c r="E113" s="3">
        <f t="shared" si="8"/>
        <v>4.2974999999999994</v>
      </c>
      <c r="F113" s="4">
        <f t="shared" ca="1" si="13"/>
        <v>121095.48979148535</v>
      </c>
      <c r="G113" s="4">
        <f t="shared" ca="1" si="9"/>
        <v>1651.6115667128424</v>
      </c>
      <c r="H113" s="4">
        <f t="shared" ca="1" si="10"/>
        <v>520.40786737890824</v>
      </c>
      <c r="J113" s="6">
        <f t="shared" ca="1" si="11"/>
        <v>0.93414189189189889</v>
      </c>
    </row>
    <row r="114" spans="1:10" x14ac:dyDescent="0.25">
      <c r="A114">
        <f t="shared" si="12"/>
        <v>2024</v>
      </c>
      <c r="B114" s="2">
        <v>0.32532532532532532</v>
      </c>
      <c r="C114" s="2">
        <v>0.18850806451612903</v>
      </c>
      <c r="D114" s="3">
        <f t="shared" si="7"/>
        <v>13.351351351351351</v>
      </c>
      <c r="E114" s="3">
        <f t="shared" si="8"/>
        <v>4.3206048387096772</v>
      </c>
      <c r="F114" s="4">
        <f t="shared" ca="1" si="13"/>
        <v>122226.69349081929</v>
      </c>
      <c r="G114" s="4">
        <f t="shared" ca="1" si="9"/>
        <v>1631.8915293098576</v>
      </c>
      <c r="H114" s="4">
        <f t="shared" ca="1" si="10"/>
        <v>528.09324331591847</v>
      </c>
      <c r="J114" s="6">
        <f t="shared" ca="1" si="11"/>
        <v>0.90307465126416531</v>
      </c>
    </row>
    <row r="115" spans="1:10" x14ac:dyDescent="0.25">
      <c r="A115">
        <f t="shared" si="12"/>
        <v>2025</v>
      </c>
      <c r="B115" s="2">
        <v>0.31831831831831831</v>
      </c>
      <c r="C115" s="2">
        <v>0.19052419354838709</v>
      </c>
      <c r="D115" s="3">
        <f t="shared" si="7"/>
        <v>13.063783783783784</v>
      </c>
      <c r="E115" s="3">
        <f t="shared" si="8"/>
        <v>4.3668145161290317</v>
      </c>
      <c r="F115" s="4">
        <f t="shared" ca="1" si="13"/>
        <v>123330.49177681323</v>
      </c>
      <c r="G115" s="4">
        <f t="shared" ca="1" si="9"/>
        <v>1611.1628785200119</v>
      </c>
      <c r="H115" s="4">
        <f t="shared" ca="1" si="10"/>
        <v>538.56138177232015</v>
      </c>
      <c r="J115" s="6">
        <f t="shared" ca="1" si="11"/>
        <v>0.86969692676547772</v>
      </c>
    </row>
    <row r="116" spans="1:10" x14ac:dyDescent="0.25">
      <c r="A116">
        <f t="shared" si="12"/>
        <v>2026</v>
      </c>
      <c r="B116" s="59">
        <v>0.311</v>
      </c>
      <c r="C116" s="59">
        <v>0.192</v>
      </c>
      <c r="D116" s="3">
        <f t="shared" si="7"/>
        <v>12.763439999999999</v>
      </c>
      <c r="E116" s="3">
        <f t="shared" si="8"/>
        <v>4.4006400000000001</v>
      </c>
      <c r="F116" s="4">
        <f t="shared" ca="1" si="13"/>
        <v>124403.09327356092</v>
      </c>
      <c r="G116" s="4">
        <f t="shared" ca="1" si="9"/>
        <v>1587.8114168114982</v>
      </c>
      <c r="H116" s="4">
        <f t="shared" ca="1" si="10"/>
        <v>547.45322838336313</v>
      </c>
      <c r="J116" s="6">
        <f t="shared" ca="1" si="11"/>
        <v>0.83627999999999592</v>
      </c>
    </row>
    <row r="117" spans="1:10" x14ac:dyDescent="0.25">
      <c r="A117">
        <f t="shared" si="12"/>
        <v>2027</v>
      </c>
      <c r="B117" s="59">
        <v>0.30399999999999999</v>
      </c>
      <c r="C117" s="59">
        <v>0.19400000000000001</v>
      </c>
      <c r="D117" s="3">
        <f t="shared" si="7"/>
        <v>12.47616</v>
      </c>
      <c r="E117" s="3">
        <f t="shared" si="8"/>
        <v>4.4464800000000002</v>
      </c>
      <c r="F117" s="4">
        <f t="shared" ca="1" si="13"/>
        <v>125443.45146198905</v>
      </c>
      <c r="G117" s="4">
        <f t="shared" ca="1" si="9"/>
        <v>1565.0525713920092</v>
      </c>
      <c r="H117" s="4">
        <f t="shared" ca="1" si="10"/>
        <v>557.78179805670516</v>
      </c>
      <c r="J117" s="6">
        <f t="shared" ca="1" si="11"/>
        <v>0.80296799999999802</v>
      </c>
    </row>
    <row r="118" spans="1:10" x14ac:dyDescent="0.25">
      <c r="A118">
        <f t="shared" si="12"/>
        <v>2028</v>
      </c>
      <c r="B118" s="59">
        <v>0.29699999999999999</v>
      </c>
      <c r="C118" s="59">
        <v>0.19500000000000001</v>
      </c>
      <c r="D118" s="3">
        <f t="shared" si="7"/>
        <v>12.188879999999999</v>
      </c>
      <c r="E118" s="3">
        <f t="shared" si="8"/>
        <v>4.4693999999999994</v>
      </c>
      <c r="F118" s="4">
        <f t="shared" ca="1" si="13"/>
        <v>126450.72223532436</v>
      </c>
      <c r="G118" s="4">
        <f t="shared" ca="1" si="9"/>
        <v>1541.2926792397004</v>
      </c>
      <c r="H118" s="4">
        <f t="shared" ca="1" si="10"/>
        <v>565.15885795855854</v>
      </c>
      <c r="J118" s="6">
        <f t="shared" ca="1" si="11"/>
        <v>0.77194800000000929</v>
      </c>
    </row>
    <row r="119" spans="1:10" x14ac:dyDescent="0.25">
      <c r="A119">
        <f t="shared" si="12"/>
        <v>2029</v>
      </c>
      <c r="B119" s="59">
        <v>0.28999999999999998</v>
      </c>
      <c r="C119" s="59">
        <v>0.19700000000000001</v>
      </c>
      <c r="D119" s="3">
        <f t="shared" si="7"/>
        <v>11.901599999999998</v>
      </c>
      <c r="E119" s="3">
        <f t="shared" si="8"/>
        <v>4.5152399999999995</v>
      </c>
      <c r="F119" s="4">
        <f t="shared" ca="1" si="13"/>
        <v>127426.85605660551</v>
      </c>
      <c r="G119" s="4">
        <f t="shared" ca="1" si="9"/>
        <v>1516.5834700432961</v>
      </c>
      <c r="H119" s="4">
        <f t="shared" ca="1" si="10"/>
        <v>575.36283754102737</v>
      </c>
      <c r="J119" s="6">
        <f t="shared" ca="1" si="11"/>
        <v>0.73863599999999019</v>
      </c>
    </row>
    <row r="120" spans="1:10" x14ac:dyDescent="0.25">
      <c r="A120">
        <f t="shared" si="12"/>
        <v>2030</v>
      </c>
      <c r="B120" s="59">
        <v>0.28299999999999997</v>
      </c>
      <c r="C120" s="59">
        <v>0.19800000000000001</v>
      </c>
      <c r="D120" s="3">
        <f t="shared" si="7"/>
        <v>11.614319999999999</v>
      </c>
      <c r="E120" s="3">
        <f t="shared" si="8"/>
        <v>4.5381599999999995</v>
      </c>
      <c r="F120" s="4">
        <f t="shared" ca="1" si="13"/>
        <v>128368.07668910777</v>
      </c>
      <c r="G120" s="4">
        <f t="shared" ca="1" si="9"/>
        <v>1490.907920451838</v>
      </c>
      <c r="H120" s="4">
        <f t="shared" ca="1" si="10"/>
        <v>582.55487090744123</v>
      </c>
      <c r="J120" s="6">
        <f t="shared" ca="1" si="11"/>
        <v>0.70761600000000191</v>
      </c>
    </row>
    <row r="121" spans="1:10" x14ac:dyDescent="0.25">
      <c r="A121">
        <f t="shared" si="12"/>
        <v>2031</v>
      </c>
      <c r="B121" s="59">
        <v>0.27600000000000002</v>
      </c>
      <c r="C121" s="59">
        <v>0.2</v>
      </c>
      <c r="D121" s="3">
        <f t="shared" si="7"/>
        <v>11.32704</v>
      </c>
      <c r="E121" s="3">
        <f t="shared" si="8"/>
        <v>4.5839999999999996</v>
      </c>
      <c r="F121" s="4">
        <f t="shared" ca="1" si="13"/>
        <v>129276.42973865216</v>
      </c>
      <c r="G121" s="4">
        <f t="shared" ca="1" si="9"/>
        <v>1464.3192907069028</v>
      </c>
      <c r="H121" s="4">
        <f t="shared" ca="1" si="10"/>
        <v>592.6031539219814</v>
      </c>
      <c r="J121" s="6">
        <f t="shared" ca="1" si="11"/>
        <v>0.67430399999999802</v>
      </c>
    </row>
    <row r="122" spans="1:10" x14ac:dyDescent="0.25">
      <c r="A122">
        <f t="shared" si="12"/>
        <v>2032</v>
      </c>
      <c r="B122" s="58">
        <v>0.26900000000000002</v>
      </c>
      <c r="C122" s="58">
        <v>0.20100000000000001</v>
      </c>
      <c r="D122" s="3">
        <f t="shared" ref="D122:D129" si="14">B122*$D$6</f>
        <v>11.039760000000001</v>
      </c>
      <c r="E122" s="3">
        <f t="shared" ref="E122:E129" si="15">C122*$E$6</f>
        <v>4.6069199999999997</v>
      </c>
      <c r="F122" s="4">
        <f t="shared" ref="F122:F130" ca="1" si="16">F121+G121-H121+I121</f>
        <v>130148.14587543708</v>
      </c>
      <c r="G122" s="4">
        <f t="shared" ref="G122:G129" ca="1" si="17">F122*D122/1000</f>
        <v>1436.8042949098156</v>
      </c>
      <c r="H122" s="4">
        <f t="shared" ref="H122:H129" ca="1" si="18">E122*F122/1000</f>
        <v>599.58209619646857</v>
      </c>
      <c r="J122" s="6">
        <f t="shared" ca="1" si="11"/>
        <v>0.64328399999999331</v>
      </c>
    </row>
    <row r="123" spans="1:10" x14ac:dyDescent="0.25">
      <c r="A123">
        <f t="shared" ref="A123:A130" si="19">A122+1</f>
        <v>2033</v>
      </c>
      <c r="B123" s="58">
        <v>0.26200000000000001</v>
      </c>
      <c r="C123" s="58">
        <v>0.20300000000000001</v>
      </c>
      <c r="D123" s="3">
        <f t="shared" si="14"/>
        <v>10.75248</v>
      </c>
      <c r="E123" s="3">
        <f t="shared" si="15"/>
        <v>4.6527599999999998</v>
      </c>
      <c r="F123" s="4">
        <f t="shared" ca="1" si="16"/>
        <v>130985.36807415042</v>
      </c>
      <c r="G123" s="4">
        <f t="shared" ca="1" si="17"/>
        <v>1408.4175505099411</v>
      </c>
      <c r="H123" s="4">
        <f t="shared" ca="1" si="18"/>
        <v>609.44348116068409</v>
      </c>
      <c r="J123" s="6">
        <f t="shared" ca="1" si="11"/>
        <v>0.60997200000001661</v>
      </c>
    </row>
    <row r="124" spans="1:10" x14ac:dyDescent="0.25">
      <c r="A124">
        <f t="shared" si="19"/>
        <v>2034</v>
      </c>
      <c r="B124" s="58">
        <v>0.255</v>
      </c>
      <c r="C124" s="58">
        <v>0.20399999999999999</v>
      </c>
      <c r="D124" s="3">
        <f t="shared" si="14"/>
        <v>10.465199999999999</v>
      </c>
      <c r="E124" s="3">
        <f t="shared" si="15"/>
        <v>4.6756799999999989</v>
      </c>
      <c r="F124" s="4">
        <f t="shared" ca="1" si="16"/>
        <v>131784.3421434997</v>
      </c>
      <c r="G124" s="4">
        <f t="shared" ca="1" si="17"/>
        <v>1379.149497400153</v>
      </c>
      <c r="H124" s="4">
        <f t="shared" ca="1" si="18"/>
        <v>616.18141287351852</v>
      </c>
      <c r="J124" s="6">
        <f t="shared" ca="1" si="11"/>
        <v>0.57895199999999414</v>
      </c>
    </row>
    <row r="125" spans="1:10" x14ac:dyDescent="0.25">
      <c r="A125">
        <f t="shared" si="19"/>
        <v>2035</v>
      </c>
      <c r="B125" s="58">
        <v>0.248</v>
      </c>
      <c r="C125" s="58">
        <v>0.20599999999999999</v>
      </c>
      <c r="D125" s="3">
        <f t="shared" si="14"/>
        <v>10.17792</v>
      </c>
      <c r="E125" s="3">
        <f t="shared" si="15"/>
        <v>4.7215199999999991</v>
      </c>
      <c r="F125" s="4">
        <f t="shared" ca="1" si="16"/>
        <v>132547.31022802633</v>
      </c>
      <c r="G125" s="4">
        <f t="shared" ca="1" si="17"/>
        <v>1349.0559197160339</v>
      </c>
      <c r="H125" s="4">
        <f t="shared" ca="1" si="18"/>
        <v>625.82477618783071</v>
      </c>
      <c r="J125" s="6">
        <f t="shared" ca="1" si="11"/>
        <v>0.54564000000001089</v>
      </c>
    </row>
    <row r="126" spans="1:10" x14ac:dyDescent="0.25">
      <c r="A126">
        <f t="shared" si="19"/>
        <v>2036</v>
      </c>
      <c r="B126" s="58">
        <v>0.24099999999999999</v>
      </c>
      <c r="C126" s="58">
        <v>0.20699999999999999</v>
      </c>
      <c r="D126" s="3">
        <f t="shared" si="14"/>
        <v>9.8906399999999994</v>
      </c>
      <c r="E126" s="3">
        <f t="shared" si="15"/>
        <v>4.7444399999999991</v>
      </c>
      <c r="F126" s="4">
        <f t="shared" ca="1" si="16"/>
        <v>133270.54137155454</v>
      </c>
      <c r="G126" s="4">
        <f t="shared" ca="1" si="17"/>
        <v>1318.1309473111523</v>
      </c>
      <c r="H126" s="4">
        <f t="shared" ca="1" si="18"/>
        <v>632.29408730485818</v>
      </c>
      <c r="J126" s="6">
        <f t="shared" ca="1" si="11"/>
        <v>0.51462000000000208</v>
      </c>
    </row>
    <row r="127" spans="1:10" x14ac:dyDescent="0.25">
      <c r="A127">
        <f t="shared" si="19"/>
        <v>2037</v>
      </c>
      <c r="B127" s="58">
        <v>0.23400000000000001</v>
      </c>
      <c r="C127" s="58">
        <v>0.20899999999999999</v>
      </c>
      <c r="D127" s="3">
        <f t="shared" si="14"/>
        <v>9.6033600000000003</v>
      </c>
      <c r="E127" s="3">
        <f t="shared" si="15"/>
        <v>4.7902799999999992</v>
      </c>
      <c r="F127" s="4">
        <f t="shared" ca="1" si="16"/>
        <v>133956.37823156084</v>
      </c>
      <c r="G127" s="4">
        <f t="shared" ca="1" si="17"/>
        <v>1286.4313244538421</v>
      </c>
      <c r="H127" s="4">
        <f t="shared" ca="1" si="18"/>
        <v>641.68855951508112</v>
      </c>
      <c r="J127" s="6">
        <f t="shared" ca="1" si="11"/>
        <v>0.48130800000000551</v>
      </c>
    </row>
    <row r="128" spans="1:10" x14ac:dyDescent="0.25">
      <c r="A128">
        <f t="shared" si="19"/>
        <v>2038</v>
      </c>
      <c r="B128" s="58">
        <v>0.22700000000000001</v>
      </c>
      <c r="C128" s="58">
        <v>0.21</v>
      </c>
      <c r="D128" s="3">
        <f t="shared" si="14"/>
        <v>9.3160799999999995</v>
      </c>
      <c r="E128" s="3">
        <f t="shared" si="15"/>
        <v>4.8131999999999993</v>
      </c>
      <c r="F128" s="4">
        <f t="shared" ca="1" si="16"/>
        <v>134601.12099649961</v>
      </c>
      <c r="G128" s="4">
        <f t="shared" ca="1" si="17"/>
        <v>1253.95481129307</v>
      </c>
      <c r="H128" s="4">
        <f t="shared" ca="1" si="18"/>
        <v>647.86211558035177</v>
      </c>
      <c r="J128" s="6">
        <f t="shared" ca="1" si="11"/>
        <v>0.45028800000000363</v>
      </c>
    </row>
    <row r="129" spans="1:10" x14ac:dyDescent="0.25">
      <c r="A129">
        <f t="shared" si="19"/>
        <v>2039</v>
      </c>
      <c r="B129" s="58">
        <v>0.22</v>
      </c>
      <c r="C129" s="58">
        <v>0.21199999999999999</v>
      </c>
      <c r="D129" s="3">
        <f t="shared" si="14"/>
        <v>9.0288000000000004</v>
      </c>
      <c r="E129" s="3">
        <f t="shared" si="15"/>
        <v>4.8590399999999994</v>
      </c>
      <c r="F129" s="4">
        <f t="shared" ca="1" si="16"/>
        <v>135207.21369221233</v>
      </c>
      <c r="G129" s="4">
        <f t="shared" ca="1" si="17"/>
        <v>1220.7588909842468</v>
      </c>
      <c r="H129" s="4">
        <f t="shared" ca="1" si="18"/>
        <v>656.97725961900733</v>
      </c>
      <c r="J129" s="6">
        <f t="shared" ca="1" si="11"/>
        <v>0.41697600000000334</v>
      </c>
    </row>
    <row r="130" spans="1:10" x14ac:dyDescent="0.25">
      <c r="A130">
        <f t="shared" si="19"/>
        <v>2040</v>
      </c>
      <c r="F130" s="4">
        <f t="shared" ca="1" si="16"/>
        <v>135770.99532357758</v>
      </c>
      <c r="G130" s="4"/>
      <c r="H130" s="4"/>
      <c r="J130" s="4"/>
    </row>
    <row r="131" spans="1:10" x14ac:dyDescent="0.25">
      <c r="F131" s="4"/>
      <c r="G131" s="4"/>
      <c r="H131" s="4"/>
      <c r="J131" s="4"/>
    </row>
    <row r="132" spans="1:10" x14ac:dyDescent="0.25">
      <c r="F132" s="4"/>
      <c r="G132" s="4"/>
      <c r="H132" s="4"/>
      <c r="J132" s="4"/>
    </row>
    <row r="133" spans="1:10" x14ac:dyDescent="0.25">
      <c r="F133" s="4"/>
      <c r="G133" s="4"/>
      <c r="H133" s="4"/>
      <c r="J133" s="4"/>
    </row>
    <row r="135" spans="1:10" x14ac:dyDescent="0.25">
      <c r="A135" s="38" t="s">
        <v>23</v>
      </c>
    </row>
    <row r="137" spans="1:10" x14ac:dyDescent="0.25">
      <c r="A137" s="5"/>
      <c r="B137" s="5"/>
      <c r="C137" s="5"/>
      <c r="D137" s="85" t="s">
        <v>20</v>
      </c>
      <c r="E137" s="85"/>
      <c r="F137" s="85"/>
    </row>
    <row r="138" spans="1:10" x14ac:dyDescent="0.25">
      <c r="A138" s="8" t="s">
        <v>0</v>
      </c>
      <c r="B138" s="8" t="s">
        <v>10</v>
      </c>
      <c r="C138" s="8" t="s">
        <v>16</v>
      </c>
      <c r="D138" s="8" t="s">
        <v>17</v>
      </c>
      <c r="E138" s="8" t="s">
        <v>18</v>
      </c>
      <c r="F138" s="8" t="s">
        <v>19</v>
      </c>
    </row>
    <row r="139" spans="1:10" x14ac:dyDescent="0.25">
      <c r="A139" s="7">
        <v>1926</v>
      </c>
      <c r="B139" s="7" t="s">
        <v>11</v>
      </c>
      <c r="C139">
        <v>351</v>
      </c>
      <c r="D139" s="4">
        <f ca="1">F16</f>
        <v>12960.399394928827</v>
      </c>
      <c r="E139" s="4">
        <f ca="1">OFFSET(INDIRECT(MID(_xlfn.FORMULATEXT(D139),2,255)),1,0)</f>
        <v>13237.062467376485</v>
      </c>
      <c r="F139" s="4">
        <f ca="1">D139*(E139/D139)^((C139-1)/365)</f>
        <v>13225.577238449208</v>
      </c>
    </row>
    <row r="140" spans="1:10" x14ac:dyDescent="0.25">
      <c r="A140" s="7">
        <v>1937</v>
      </c>
      <c r="B140" s="7" t="s">
        <v>12</v>
      </c>
      <c r="C140">
        <v>6</v>
      </c>
      <c r="D140" s="4">
        <f ca="1">F27</f>
        <v>16371.668009216037</v>
      </c>
      <c r="E140" s="4">
        <f t="shared" ref="E140:E145" ca="1" si="20">OFFSET(INDIRECT(MID(_xlfn.FORMULATEXT(D140),2,255)),1,0)</f>
        <v>16741.574482635227</v>
      </c>
      <c r="F140" s="4">
        <f t="shared" ref="F140:F145" ca="1" si="21">D140*(E140/D140)^((C140-1)/365)</f>
        <v>16376.679590933612</v>
      </c>
    </row>
    <row r="141" spans="1:10" x14ac:dyDescent="0.25">
      <c r="A141" s="7">
        <v>1939</v>
      </c>
      <c r="B141" s="7" t="s">
        <v>13</v>
      </c>
      <c r="C141">
        <v>17</v>
      </c>
      <c r="D141" s="4">
        <f ca="1">F29</f>
        <v>17125.125742038392</v>
      </c>
      <c r="E141" s="4">
        <f t="shared" ca="1" si="20"/>
        <v>17523.355834762471</v>
      </c>
      <c r="F141" s="4">
        <f t="shared" ca="1" si="21"/>
        <v>17142.39122416492</v>
      </c>
    </row>
    <row r="142" spans="1:10" x14ac:dyDescent="0.25">
      <c r="A142" s="7">
        <v>1959</v>
      </c>
      <c r="B142" s="7" t="s">
        <v>14</v>
      </c>
      <c r="C142">
        <v>15</v>
      </c>
      <c r="D142" s="4">
        <f ca="1">F49</f>
        <v>29797.297917153432</v>
      </c>
      <c r="E142" s="4">
        <f t="shared" ca="1" si="20"/>
        <v>30772.178412202982</v>
      </c>
      <c r="F142" s="4">
        <f t="shared" ca="1" si="21"/>
        <v>29834.114653057295</v>
      </c>
    </row>
    <row r="143" spans="1:10" x14ac:dyDescent="0.25">
      <c r="A143" s="7">
        <v>1970</v>
      </c>
      <c r="B143" s="7" t="s">
        <v>14</v>
      </c>
      <c r="C143">
        <v>15</v>
      </c>
      <c r="D143" s="4">
        <f ca="1">F60</f>
        <v>42543.961603385076</v>
      </c>
      <c r="E143" s="4">
        <f t="shared" ca="1" si="20"/>
        <v>43929.748531277532</v>
      </c>
      <c r="F143" s="4">
        <f t="shared" ca="1" si="21"/>
        <v>42596.299907485394</v>
      </c>
    </row>
    <row r="144" spans="1:10" x14ac:dyDescent="0.25">
      <c r="A144" s="7">
        <v>1979</v>
      </c>
      <c r="B144" s="7" t="s">
        <v>13</v>
      </c>
      <c r="C144">
        <v>17</v>
      </c>
      <c r="D144" s="4">
        <f ca="1">F69</f>
        <v>55911.749325724828</v>
      </c>
      <c r="E144" s="4">
        <f t="shared" ca="1" si="20"/>
        <v>57439.088132565332</v>
      </c>
      <c r="F144" s="4">
        <f t="shared" ca="1" si="21"/>
        <v>55977.842056256646</v>
      </c>
    </row>
    <row r="145" spans="1:6" x14ac:dyDescent="0.25">
      <c r="A145" s="7">
        <v>1989</v>
      </c>
      <c r="B145" s="7" t="s">
        <v>15</v>
      </c>
      <c r="C145">
        <v>12</v>
      </c>
      <c r="D145" s="4">
        <f ca="1">F79</f>
        <v>72663.241999097794</v>
      </c>
      <c r="E145" s="4">
        <f t="shared" ca="1" si="20"/>
        <v>74323.920563240521</v>
      </c>
      <c r="F145" s="4">
        <f t="shared" ca="1" si="21"/>
        <v>72712.743358847976</v>
      </c>
    </row>
    <row r="146" spans="1:6" x14ac:dyDescent="0.25">
      <c r="A146" s="7">
        <v>2020</v>
      </c>
      <c r="B146" s="7" t="s">
        <v>105</v>
      </c>
      <c r="F146" s="4">
        <f ca="1">F110</f>
        <v>117539.03404928434</v>
      </c>
    </row>
    <row r="147" spans="1:6" x14ac:dyDescent="0.25">
      <c r="A147" s="7">
        <v>2030</v>
      </c>
      <c r="B147" s="7" t="s">
        <v>105</v>
      </c>
      <c r="F147" s="4">
        <f ca="1">F120</f>
        <v>128368.07668910777</v>
      </c>
    </row>
    <row r="148" spans="1:6" x14ac:dyDescent="0.25">
      <c r="A148" s="7">
        <v>2040</v>
      </c>
      <c r="B148" s="7" t="s">
        <v>105</v>
      </c>
      <c r="F148" s="4">
        <f ca="1">F130</f>
        <v>135770.99532357758</v>
      </c>
    </row>
  </sheetData>
  <mergeCells count="3">
    <mergeCell ref="D4:E4"/>
    <mergeCell ref="F4:I4"/>
    <mergeCell ref="D137:F1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6E65-2B95-4A9B-AD02-8B2F5D0F409E}">
  <dimension ref="A1:Y99"/>
  <sheetViews>
    <sheetView workbookViewId="0">
      <selection activeCell="Z23" sqref="Z23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19.42578125" bestFit="1" customWidth="1"/>
    <col min="4" max="4" width="13.140625" bestFit="1" customWidth="1"/>
    <col min="5" max="5" width="15" bestFit="1" customWidth="1"/>
    <col min="6" max="6" width="13.140625" bestFit="1" customWidth="1"/>
    <col min="7" max="7" width="13.85546875" bestFit="1" customWidth="1"/>
    <col min="8" max="8" width="9.42578125" bestFit="1" customWidth="1"/>
    <col min="9" max="9" width="7" bestFit="1" customWidth="1"/>
    <col min="10" max="10" width="7.28515625" bestFit="1" customWidth="1"/>
    <col min="11" max="11" width="6.28515625" bestFit="1" customWidth="1"/>
    <col min="12" max="12" width="6.5703125" bestFit="1" customWidth="1"/>
    <col min="13" max="13" width="9.28515625" bestFit="1" customWidth="1"/>
    <col min="14" max="14" width="10.140625" bestFit="1" customWidth="1"/>
    <col min="15" max="15" width="11.140625" bestFit="1" customWidth="1"/>
    <col min="16" max="16" width="6.85546875" bestFit="1" customWidth="1"/>
    <col min="17" max="17" width="8.28515625" bestFit="1" customWidth="1"/>
    <col min="18" max="18" width="16.42578125" customWidth="1"/>
    <col min="19" max="19" width="10" customWidth="1"/>
    <col min="20" max="20" width="10.42578125" customWidth="1"/>
    <col min="21" max="21" width="11.140625" customWidth="1"/>
    <col min="22" max="22" width="14.5703125" customWidth="1"/>
    <col min="23" max="23" width="14.42578125" customWidth="1"/>
    <col min="25" max="25" width="10.42578125" customWidth="1"/>
  </cols>
  <sheetData>
    <row r="1" spans="1:25" ht="21" x14ac:dyDescent="0.35">
      <c r="A1" s="37" t="s">
        <v>116</v>
      </c>
    </row>
    <row r="3" spans="1:25" x14ac:dyDescent="0.25">
      <c r="A3" s="5" t="s">
        <v>135</v>
      </c>
    </row>
    <row r="4" spans="1:25" ht="27.75" customHeight="1" x14ac:dyDescent="0.25">
      <c r="A4" s="41" t="s">
        <v>150</v>
      </c>
    </row>
    <row r="5" spans="1:25" ht="30.4" customHeight="1" x14ac:dyDescent="0.25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90" t="s">
        <v>125</v>
      </c>
      <c r="T5" s="91"/>
      <c r="U5" s="91"/>
      <c r="V5" s="90" t="s">
        <v>156</v>
      </c>
      <c r="W5" s="91"/>
      <c r="X5" s="64"/>
      <c r="Y5" s="63"/>
    </row>
    <row r="6" spans="1:25" ht="75" x14ac:dyDescent="0.25">
      <c r="A6" s="60" t="s">
        <v>0</v>
      </c>
      <c r="B6" s="60" t="s">
        <v>10</v>
      </c>
      <c r="C6" s="60" t="s">
        <v>33</v>
      </c>
      <c r="D6" s="60" t="s">
        <v>30</v>
      </c>
      <c r="E6" s="60" t="s">
        <v>31</v>
      </c>
      <c r="F6" s="60" t="s">
        <v>32</v>
      </c>
      <c r="G6" s="61" t="s">
        <v>35</v>
      </c>
      <c r="H6" s="61" t="s">
        <v>34</v>
      </c>
      <c r="I6" s="61" t="s">
        <v>36</v>
      </c>
      <c r="J6" s="61" t="s">
        <v>37</v>
      </c>
      <c r="K6" s="61" t="s">
        <v>38</v>
      </c>
      <c r="L6" s="61" t="s">
        <v>44</v>
      </c>
      <c r="M6" s="61" t="s">
        <v>39</v>
      </c>
      <c r="N6" s="61" t="s">
        <v>40</v>
      </c>
      <c r="O6" s="61" t="s">
        <v>41</v>
      </c>
      <c r="P6" s="61" t="s">
        <v>43</v>
      </c>
      <c r="Q6" s="61" t="s">
        <v>42</v>
      </c>
      <c r="R6" s="62" t="s">
        <v>68</v>
      </c>
      <c r="S6" s="62" t="s">
        <v>126</v>
      </c>
      <c r="T6" s="62" t="s">
        <v>127</v>
      </c>
      <c r="U6" s="62" t="s">
        <v>128</v>
      </c>
      <c r="V6" s="62" t="s">
        <v>157</v>
      </c>
      <c r="W6" s="62" t="s">
        <v>132</v>
      </c>
      <c r="X6" s="62" t="s">
        <v>70</v>
      </c>
      <c r="Y6" s="62" t="s">
        <v>71</v>
      </c>
    </row>
    <row r="7" spans="1:25" x14ac:dyDescent="0.25">
      <c r="V7" s="7"/>
    </row>
    <row r="8" spans="1:25" x14ac:dyDescent="0.25">
      <c r="A8" s="12">
        <v>1926</v>
      </c>
      <c r="B8" s="12" t="s">
        <v>11</v>
      </c>
      <c r="C8" s="13">
        <f ca="1">RSFSR!F139</f>
        <v>106845.8166895476</v>
      </c>
      <c r="D8" s="13">
        <f ca="1">NR!F139</f>
        <v>18044.897221235366</v>
      </c>
      <c r="E8" s="13">
        <f ca="1">MR!F139</f>
        <v>22616.292655968271</v>
      </c>
      <c r="F8" s="13">
        <f ca="1">BR!F139</f>
        <v>13225.577238449208</v>
      </c>
      <c r="G8" s="17">
        <v>2315</v>
      </c>
      <c r="H8" s="17">
        <v>880</v>
      </c>
      <c r="I8" s="17">
        <v>2666</v>
      </c>
      <c r="J8" s="27"/>
      <c r="K8" s="27"/>
      <c r="L8" s="25">
        <v>6503</v>
      </c>
      <c r="M8" s="25">
        <v>993</v>
      </c>
      <c r="N8" s="26" t="s">
        <v>77</v>
      </c>
      <c r="O8" s="17">
        <v>1001</v>
      </c>
      <c r="P8" s="17">
        <v>5273</v>
      </c>
      <c r="Q8" s="27"/>
      <c r="R8" s="28"/>
      <c r="S8" s="13">
        <f ca="1">D8 * 0.168</f>
        <v>3031.5427331675414</v>
      </c>
      <c r="T8" s="13">
        <f ca="1">E8 * 0.112</f>
        <v>2533.0247774684462</v>
      </c>
      <c r="U8" s="13">
        <f ca="1">F8 * 0.179</f>
        <v>2367.3783256824081</v>
      </c>
      <c r="V8" s="14">
        <f ca="1">SUM(C8:R8) - SUM(S8:U8)</f>
        <v>172431.63796888207</v>
      </c>
      <c r="W8" s="24">
        <v>148530</v>
      </c>
      <c r="X8" s="16">
        <f t="shared" ref="X8:X13" ca="1" si="0">100 * (V8-W8) / V8</f>
        <v>13.861515352069839</v>
      </c>
      <c r="Y8" s="14">
        <f t="shared" ref="Y8:Y13" ca="1" si="1">V8-W8</f>
        <v>23901.637968882074</v>
      </c>
    </row>
    <row r="9" spans="1:25" x14ac:dyDescent="0.25">
      <c r="A9" s="12">
        <v>1937</v>
      </c>
      <c r="B9" s="12" t="s">
        <v>12</v>
      </c>
      <c r="C9" s="13">
        <f ca="1">RSFSR!F140</f>
        <v>130704.49149186898</v>
      </c>
      <c r="D9" s="13">
        <f ca="1">NR!F140</f>
        <v>22455.185514967765</v>
      </c>
      <c r="E9" s="13">
        <f ca="1">MR!F140</f>
        <v>27583.590067756031</v>
      </c>
      <c r="F9" s="13">
        <f ca="1">BR!F140</f>
        <v>16376.679590933612</v>
      </c>
      <c r="G9" s="17">
        <v>3057</v>
      </c>
      <c r="H9" s="17">
        <v>1209</v>
      </c>
      <c r="I9" s="17">
        <v>3377</v>
      </c>
      <c r="J9" s="27"/>
      <c r="K9" s="27"/>
      <c r="L9" s="17">
        <v>5120</v>
      </c>
      <c r="M9" s="17">
        <v>1370</v>
      </c>
      <c r="N9" s="17">
        <v>1382</v>
      </c>
      <c r="O9" s="17">
        <v>1169</v>
      </c>
      <c r="P9" s="17">
        <v>5847</v>
      </c>
      <c r="Q9" s="27"/>
      <c r="R9" s="28"/>
      <c r="S9" s="13">
        <f ca="1">D9 * 0.168</f>
        <v>3772.4711665145846</v>
      </c>
      <c r="T9" s="13">
        <f ca="1">E9 * 0.112</f>
        <v>3089.3620875886754</v>
      </c>
      <c r="U9" s="13">
        <f ca="1">F9 * 0.179</f>
        <v>2931.4256467771165</v>
      </c>
      <c r="V9" s="14">
        <f t="shared" ref="V9:V17" ca="1" si="2">SUM(C9:R9) - SUM(S9:U9)</f>
        <v>209857.68776464602</v>
      </c>
      <c r="W9" s="24">
        <v>162039</v>
      </c>
      <c r="X9" s="16">
        <f t="shared" ca="1" si="0"/>
        <v>22.786245418978577</v>
      </c>
      <c r="Y9" s="14">
        <f t="shared" ca="1" si="1"/>
        <v>47818.68776464602</v>
      </c>
    </row>
    <row r="10" spans="1:25" x14ac:dyDescent="0.25">
      <c r="A10" s="12">
        <v>1939</v>
      </c>
      <c r="B10" s="12" t="s">
        <v>13</v>
      </c>
      <c r="C10" s="13">
        <f ca="1">RSFSR!F141</f>
        <v>136512.00079842543</v>
      </c>
      <c r="D10" s="13">
        <f ca="1">NR!F141</f>
        <v>23536.669570284532</v>
      </c>
      <c r="E10" s="13">
        <f ca="1">MR!F141</f>
        <v>28791.326264761043</v>
      </c>
      <c r="F10" s="13">
        <f ca="1">BR!F141</f>
        <v>17142.39122416492</v>
      </c>
      <c r="G10" s="17">
        <v>3205.15</v>
      </c>
      <c r="H10" s="17">
        <v>1282.338</v>
      </c>
      <c r="I10" s="17">
        <v>3540.0230000000001</v>
      </c>
      <c r="J10" s="27"/>
      <c r="K10" s="27"/>
      <c r="L10" s="17">
        <v>6151.1019999999999</v>
      </c>
      <c r="M10" s="17">
        <v>1458.213</v>
      </c>
      <c r="N10" s="17">
        <v>1484.44</v>
      </c>
      <c r="O10" s="17">
        <v>1251.883</v>
      </c>
      <c r="P10" s="17">
        <v>6271.2690000000002</v>
      </c>
      <c r="Q10" s="27"/>
      <c r="R10" s="28"/>
      <c r="S10" s="13">
        <f ca="1">D10 * 0.168</f>
        <v>3954.1604878078015</v>
      </c>
      <c r="T10" s="13">
        <f ca="1">E10 * 0.112</f>
        <v>3224.6285416532369</v>
      </c>
      <c r="U10" s="13">
        <f ca="1">F10 * 0.179</f>
        <v>3068.4880291255204</v>
      </c>
      <c r="V10" s="14">
        <f t="shared" ca="1" si="2"/>
        <v>220379.52879904932</v>
      </c>
      <c r="W10" s="24">
        <v>167650</v>
      </c>
      <c r="X10" s="16">
        <f t="shared" ca="1" si="0"/>
        <v>23.926690961904256</v>
      </c>
      <c r="Y10" s="14">
        <f t="shared" ca="1" si="1"/>
        <v>52729.528799049323</v>
      </c>
    </row>
    <row r="11" spans="1:25" x14ac:dyDescent="0.25">
      <c r="A11" s="12">
        <v>1959</v>
      </c>
      <c r="B11" s="12" t="s">
        <v>14</v>
      </c>
      <c r="C11" s="13">
        <f ca="1">RSFSR!F142</f>
        <v>220688.70840674659</v>
      </c>
      <c r="D11" s="13">
        <f ca="1">NR!F142</f>
        <v>39089.743400983331</v>
      </c>
      <c r="E11" s="13">
        <f ca="1">MR!F142</f>
        <v>49057.999470242459</v>
      </c>
      <c r="F11" s="13">
        <f ca="1">BR!F142</f>
        <v>29834.114653057295</v>
      </c>
      <c r="G11" s="17">
        <v>3697.7170000000001</v>
      </c>
      <c r="H11" s="17">
        <v>1763.048</v>
      </c>
      <c r="I11" s="17">
        <v>4044.0450000000001</v>
      </c>
      <c r="J11" s="17">
        <v>2093.4580000000001</v>
      </c>
      <c r="K11" s="17">
        <v>2711.4450000000002</v>
      </c>
      <c r="L11" s="17">
        <v>9309.8469999999998</v>
      </c>
      <c r="M11" s="17">
        <v>2065.837</v>
      </c>
      <c r="N11" s="17">
        <v>1979.8969999999999</v>
      </c>
      <c r="O11" s="17">
        <v>1516.375</v>
      </c>
      <c r="P11" s="17">
        <v>8105.7039999999997</v>
      </c>
      <c r="Q11" s="17">
        <v>1196.7909999999999</v>
      </c>
      <c r="R11" s="17">
        <f>H74</f>
        <v>6155</v>
      </c>
      <c r="S11" s="14"/>
      <c r="T11" s="14"/>
      <c r="U11" s="14"/>
      <c r="V11" s="14">
        <f t="shared" ca="1" si="2"/>
        <v>383309.72993102972</v>
      </c>
      <c r="W11" s="24">
        <v>208826.65</v>
      </c>
      <c r="X11" s="16">
        <f t="shared" ca="1" si="0"/>
        <v>45.520128059996047</v>
      </c>
      <c r="Y11" s="14">
        <f t="shared" ca="1" si="1"/>
        <v>174483.07993102973</v>
      </c>
    </row>
    <row r="12" spans="1:25" x14ac:dyDescent="0.25">
      <c r="A12" s="12">
        <v>1970</v>
      </c>
      <c r="B12" s="12" t="s">
        <v>14</v>
      </c>
      <c r="C12" s="13">
        <f ca="1">RSFSR!F143</f>
        <v>317618.5255269864</v>
      </c>
      <c r="D12" s="13">
        <f ca="1">NR!F143</f>
        <v>56622.039841391867</v>
      </c>
      <c r="E12" s="13">
        <f ca="1">MR!F143</f>
        <v>69527.973507499773</v>
      </c>
      <c r="F12" s="13">
        <f ca="1">BR!F143</f>
        <v>42596.299907485394</v>
      </c>
      <c r="G12" s="17">
        <v>5117</v>
      </c>
      <c r="H12" s="17">
        <v>2492</v>
      </c>
      <c r="I12" s="18">
        <v>4686.3999999999996</v>
      </c>
      <c r="J12" s="18">
        <v>2364.1</v>
      </c>
      <c r="K12" s="18">
        <v>3128.2</v>
      </c>
      <c r="L12" s="18">
        <v>12848.6</v>
      </c>
      <c r="M12" s="18">
        <v>2932.8</v>
      </c>
      <c r="N12" s="18">
        <v>2899.6</v>
      </c>
      <c r="O12" s="18">
        <v>2158.9</v>
      </c>
      <c r="P12" s="18">
        <v>11959.6</v>
      </c>
      <c r="Q12" s="18">
        <v>1356.1</v>
      </c>
      <c r="R12" s="17">
        <f t="shared" ref="R12:R15" si="3">H75</f>
        <v>6964</v>
      </c>
      <c r="S12" s="14"/>
      <c r="T12" s="14"/>
      <c r="U12" s="14"/>
      <c r="V12" s="14">
        <f t="shared" ca="1" si="2"/>
        <v>545272.13878336328</v>
      </c>
      <c r="W12" s="24">
        <v>241720</v>
      </c>
      <c r="X12" s="16">
        <f t="shared" ca="1" si="0"/>
        <v>55.669842119691467</v>
      </c>
      <c r="Y12" s="14">
        <f t="shared" ca="1" si="1"/>
        <v>303552.13878336328</v>
      </c>
    </row>
    <row r="13" spans="1:25" x14ac:dyDescent="0.25">
      <c r="A13" s="12">
        <v>1979</v>
      </c>
      <c r="B13" s="12" t="s">
        <v>13</v>
      </c>
      <c r="C13" s="13">
        <f ca="1">RSFSR!F144</f>
        <v>445922.55198754626</v>
      </c>
      <c r="D13" s="13">
        <f ca="1">NR!F144</f>
        <v>79216.980185502995</v>
      </c>
      <c r="E13" s="13">
        <f ca="1">MR!F144</f>
        <v>90944.463955338259</v>
      </c>
      <c r="F13" s="13">
        <f ca="1">BR!F144</f>
        <v>55977.842056256646</v>
      </c>
      <c r="G13" s="17">
        <v>6028</v>
      </c>
      <c r="H13" s="17">
        <v>3031</v>
      </c>
      <c r="I13" s="17">
        <v>5015</v>
      </c>
      <c r="J13" s="17">
        <v>2521</v>
      </c>
      <c r="K13" s="17">
        <v>3398</v>
      </c>
      <c r="L13" s="17">
        <v>14685</v>
      </c>
      <c r="M13" s="17">
        <v>3529</v>
      </c>
      <c r="N13" s="17">
        <v>3801</v>
      </c>
      <c r="O13" s="17">
        <v>2759</v>
      </c>
      <c r="P13" s="17">
        <v>15391</v>
      </c>
      <c r="Q13" s="17">
        <v>1466</v>
      </c>
      <c r="R13" s="17">
        <f t="shared" si="3"/>
        <v>7372</v>
      </c>
      <c r="S13" s="14"/>
      <c r="T13" s="14"/>
      <c r="U13" s="14"/>
      <c r="V13" s="14">
        <f t="shared" ca="1" si="2"/>
        <v>741057.83818464412</v>
      </c>
      <c r="W13" s="24">
        <v>262436</v>
      </c>
      <c r="X13" s="16">
        <f t="shared" ca="1" si="0"/>
        <v>64.586299951582092</v>
      </c>
      <c r="Y13" s="14">
        <f t="shared" ca="1" si="1"/>
        <v>478621.83818464412</v>
      </c>
    </row>
    <row r="14" spans="1:25" x14ac:dyDescent="0.25">
      <c r="A14" s="12">
        <v>1989</v>
      </c>
      <c r="B14" s="12" t="s">
        <v>15</v>
      </c>
      <c r="C14" s="13">
        <f ca="1">RSFSR!F145</f>
        <v>644973.97216546303</v>
      </c>
      <c r="D14" s="13">
        <f ca="1">NR!F145</f>
        <v>113563.47880780644</v>
      </c>
      <c r="E14" s="13">
        <f ca="1">MR!F145</f>
        <v>117667.83126243066</v>
      </c>
      <c r="F14" s="13">
        <f ca="1">BR!F145</f>
        <v>72712.743358847976</v>
      </c>
      <c r="G14" s="17">
        <v>7038</v>
      </c>
      <c r="H14" s="17">
        <v>3288</v>
      </c>
      <c r="I14" s="17">
        <v>5443</v>
      </c>
      <c r="J14" s="17">
        <v>2680</v>
      </c>
      <c r="K14" s="17">
        <v>3690</v>
      </c>
      <c r="L14" s="17">
        <v>16537</v>
      </c>
      <c r="M14" s="17">
        <v>4290</v>
      </c>
      <c r="N14" s="17">
        <v>5109</v>
      </c>
      <c r="O14" s="17">
        <v>3534</v>
      </c>
      <c r="P14" s="17">
        <v>19905</v>
      </c>
      <c r="Q14" s="17">
        <v>1573</v>
      </c>
      <c r="R14" s="17">
        <f t="shared" si="3"/>
        <v>7839</v>
      </c>
      <c r="S14" s="14"/>
      <c r="T14" s="14"/>
      <c r="U14" s="14"/>
      <c r="V14" s="14">
        <f t="shared" ca="1" si="2"/>
        <v>1029844.0255945481</v>
      </c>
      <c r="W14" s="24">
        <v>286731</v>
      </c>
      <c r="X14" s="16">
        <f ca="1">100 * (V14-W14) / V14</f>
        <v>72.157822653341626</v>
      </c>
      <c r="Y14" s="14">
        <f ca="1">V14-W14</f>
        <v>743113.02559454809</v>
      </c>
    </row>
    <row r="15" spans="1:25" x14ac:dyDescent="0.25">
      <c r="A15" s="12">
        <v>2020</v>
      </c>
      <c r="B15" s="12" t="s">
        <v>105</v>
      </c>
      <c r="C15" s="13">
        <f>RSFSR!F146</f>
        <v>1405423.5653519635</v>
      </c>
      <c r="D15" s="13">
        <f ca="1">NR!F146</f>
        <v>240156.329030995</v>
      </c>
      <c r="E15" s="13">
        <f ca="1">MR!F146</f>
        <v>188105.22895368186</v>
      </c>
      <c r="F15" s="13">
        <f ca="1">BR!F146</f>
        <v>117539.03404928434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4">
        <f t="shared" si="3"/>
        <v>6707.7018392093914</v>
      </c>
      <c r="S15" s="15"/>
      <c r="T15" s="15"/>
      <c r="U15" s="15"/>
      <c r="V15" s="14">
        <f t="shared" ca="1" si="2"/>
        <v>1957931.8592251341</v>
      </c>
      <c r="W15" s="14">
        <f>C89</f>
        <v>198061</v>
      </c>
      <c r="X15" s="16">
        <f ca="1">100 * (V15-W15) / V15</f>
        <v>89.884172982486533</v>
      </c>
      <c r="Y15" s="14">
        <f ca="1">V15-W15</f>
        <v>1759870.8592251341</v>
      </c>
    </row>
    <row r="16" spans="1:25" x14ac:dyDescent="0.25">
      <c r="A16" s="12">
        <v>2030</v>
      </c>
      <c r="B16" s="12" t="s">
        <v>105</v>
      </c>
      <c r="C16" s="13">
        <f>RSFSR!F147</f>
        <v>1628910.2438794663</v>
      </c>
      <c r="D16" s="13">
        <f ca="1">NR!F147</f>
        <v>277227.88601799245</v>
      </c>
      <c r="E16" s="13">
        <f ca="1">MR!F147</f>
        <v>204656.37303114653</v>
      </c>
      <c r="F16" s="13">
        <f ca="1">BR!F147</f>
        <v>128368.07668910777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4"/>
      <c r="S16" s="15"/>
      <c r="T16" s="15"/>
      <c r="U16" s="15"/>
      <c r="V16" s="14">
        <f t="shared" ca="1" si="2"/>
        <v>2239162.5796177131</v>
      </c>
      <c r="W16" s="14"/>
      <c r="X16" s="16"/>
      <c r="Y16" s="14"/>
    </row>
    <row r="17" spans="1:25" x14ac:dyDescent="0.25">
      <c r="A17" s="12">
        <v>2040</v>
      </c>
      <c r="B17" s="12" t="s">
        <v>105</v>
      </c>
      <c r="C17" s="13">
        <f>RSFSR!F148</f>
        <v>1818185.3804638544</v>
      </c>
      <c r="D17" s="13">
        <f ca="1">NR!F148</f>
        <v>308606.30193822016</v>
      </c>
      <c r="E17" s="13">
        <f ca="1">MR!F148</f>
        <v>215667.77096151406</v>
      </c>
      <c r="F17" s="13">
        <f ca="1">BR!F148</f>
        <v>135770.99532357758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4"/>
      <c r="S17" s="15"/>
      <c r="T17" s="15"/>
      <c r="U17" s="15"/>
      <c r="V17" s="14">
        <f t="shared" ca="1" si="2"/>
        <v>2478230.448687166</v>
      </c>
      <c r="W17" s="14"/>
      <c r="X17" s="16"/>
      <c r="Y17" s="14"/>
    </row>
    <row r="19" spans="1:25" x14ac:dyDescent="0.25">
      <c r="A19" t="s">
        <v>45</v>
      </c>
    </row>
    <row r="20" spans="1:25" x14ac:dyDescent="0.25">
      <c r="A20" t="s">
        <v>46</v>
      </c>
    </row>
    <row r="21" spans="1:25" x14ac:dyDescent="0.25">
      <c r="A21" t="s">
        <v>73</v>
      </c>
    </row>
    <row r="22" spans="1:25" x14ac:dyDescent="0.25">
      <c r="A22" t="s">
        <v>89</v>
      </c>
    </row>
    <row r="24" spans="1:25" x14ac:dyDescent="0.25">
      <c r="B24" s="5" t="s">
        <v>33</v>
      </c>
      <c r="D24" t="s">
        <v>66</v>
      </c>
    </row>
    <row r="25" spans="1:25" x14ac:dyDescent="0.25">
      <c r="B25" s="5"/>
    </row>
    <row r="26" spans="1:25" x14ac:dyDescent="0.25">
      <c r="B26" s="5" t="s">
        <v>64</v>
      </c>
      <c r="D26" t="s">
        <v>65</v>
      </c>
    </row>
    <row r="27" spans="1:25" x14ac:dyDescent="0.25">
      <c r="B27" s="5"/>
      <c r="D27" t="s">
        <v>88</v>
      </c>
    </row>
    <row r="28" spans="1:25" x14ac:dyDescent="0.25">
      <c r="B28" s="5"/>
    </row>
    <row r="29" spans="1:25" x14ac:dyDescent="0.25">
      <c r="B29" s="5" t="s">
        <v>69</v>
      </c>
      <c r="D29" t="s">
        <v>91</v>
      </c>
    </row>
    <row r="30" spans="1:25" x14ac:dyDescent="0.25">
      <c r="D30" t="s">
        <v>67</v>
      </c>
    </row>
    <row r="32" spans="1:25" x14ac:dyDescent="0.25">
      <c r="B32" s="5" t="s">
        <v>95</v>
      </c>
      <c r="D32" t="s">
        <v>90</v>
      </c>
    </row>
    <row r="33" spans="1:5" x14ac:dyDescent="0.25">
      <c r="B33" s="5"/>
    </row>
    <row r="34" spans="1:5" x14ac:dyDescent="0.25">
      <c r="B34" s="5"/>
      <c r="E34" t="s">
        <v>118</v>
      </c>
    </row>
    <row r="35" spans="1:5" x14ac:dyDescent="0.25">
      <c r="B35" s="5"/>
      <c r="E35" t="s">
        <v>119</v>
      </c>
    </row>
    <row r="36" spans="1:5" x14ac:dyDescent="0.25">
      <c r="B36" s="5"/>
      <c r="E36" t="s">
        <v>120</v>
      </c>
    </row>
    <row r="37" spans="1:5" x14ac:dyDescent="0.25">
      <c r="B37" s="5"/>
      <c r="E37" t="s">
        <v>121</v>
      </c>
    </row>
    <row r="38" spans="1:5" x14ac:dyDescent="0.25">
      <c r="B38" s="5"/>
      <c r="E38" t="s">
        <v>122</v>
      </c>
    </row>
    <row r="39" spans="1:5" x14ac:dyDescent="0.25">
      <c r="B39" s="5"/>
      <c r="E39" t="s">
        <v>123</v>
      </c>
    </row>
    <row r="40" spans="1:5" x14ac:dyDescent="0.25">
      <c r="B40" s="5"/>
      <c r="E40" t="s">
        <v>124</v>
      </c>
    </row>
    <row r="41" spans="1:5" x14ac:dyDescent="0.25">
      <c r="B41" s="5"/>
    </row>
    <row r="42" spans="1:5" x14ac:dyDescent="0.25">
      <c r="B42" s="5" t="s">
        <v>92</v>
      </c>
      <c r="D42" t="s">
        <v>93</v>
      </c>
    </row>
    <row r="43" spans="1:5" x14ac:dyDescent="0.25">
      <c r="B43" s="5"/>
      <c r="D43" t="s">
        <v>94</v>
      </c>
    </row>
    <row r="45" spans="1:5" x14ac:dyDescent="0.25">
      <c r="A45" t="s">
        <v>50</v>
      </c>
    </row>
    <row r="47" spans="1:5" x14ac:dyDescent="0.25">
      <c r="B47" s="19">
        <v>1926</v>
      </c>
      <c r="E47" t="s">
        <v>72</v>
      </c>
    </row>
    <row r="48" spans="1:5" x14ac:dyDescent="0.25">
      <c r="B48" s="19"/>
      <c r="E48" t="s">
        <v>78</v>
      </c>
    </row>
    <row r="49" spans="2:5" x14ac:dyDescent="0.25">
      <c r="B49" s="19"/>
      <c r="E49" t="s">
        <v>74</v>
      </c>
    </row>
    <row r="50" spans="2:5" x14ac:dyDescent="0.25">
      <c r="B50" s="19"/>
      <c r="E50" t="s">
        <v>75</v>
      </c>
    </row>
    <row r="51" spans="2:5" x14ac:dyDescent="0.25">
      <c r="B51" s="19"/>
      <c r="E51" t="s">
        <v>76</v>
      </c>
    </row>
    <row r="52" spans="2:5" x14ac:dyDescent="0.25">
      <c r="B52" s="19"/>
      <c r="E52" t="s">
        <v>79</v>
      </c>
    </row>
    <row r="53" spans="2:5" x14ac:dyDescent="0.25">
      <c r="B53" s="19"/>
      <c r="E53" t="s">
        <v>82</v>
      </c>
    </row>
    <row r="55" spans="2:5" x14ac:dyDescent="0.25">
      <c r="B55" s="19">
        <v>1937</v>
      </c>
      <c r="E55" t="s">
        <v>49</v>
      </c>
    </row>
    <row r="57" spans="2:5" x14ac:dyDescent="0.25">
      <c r="B57" s="19">
        <v>1959</v>
      </c>
      <c r="E57" t="s">
        <v>48</v>
      </c>
    </row>
    <row r="59" spans="2:5" x14ac:dyDescent="0.25">
      <c r="B59" s="19">
        <v>1939</v>
      </c>
      <c r="E59" t="s">
        <v>47</v>
      </c>
    </row>
    <row r="60" spans="2:5" x14ac:dyDescent="0.25">
      <c r="B60" s="19"/>
      <c r="E60" t="s">
        <v>51</v>
      </c>
    </row>
    <row r="61" spans="2:5" x14ac:dyDescent="0.25">
      <c r="B61" s="19"/>
      <c r="E61" t="s">
        <v>80</v>
      </c>
    </row>
    <row r="62" spans="2:5" x14ac:dyDescent="0.25">
      <c r="B62" s="19"/>
      <c r="E62" t="s">
        <v>81</v>
      </c>
    </row>
    <row r="64" spans="2:5" x14ac:dyDescent="0.25">
      <c r="B64" s="5" t="s">
        <v>52</v>
      </c>
      <c r="E64" t="s">
        <v>47</v>
      </c>
    </row>
    <row r="65" spans="1:8" x14ac:dyDescent="0.25">
      <c r="B65" s="11"/>
    </row>
    <row r="66" spans="1:8" x14ac:dyDescent="0.25">
      <c r="A66" t="s">
        <v>53</v>
      </c>
      <c r="B66" s="11"/>
    </row>
    <row r="67" spans="1:8" x14ac:dyDescent="0.25">
      <c r="B67" s="11"/>
    </row>
    <row r="68" spans="1:8" x14ac:dyDescent="0.25">
      <c r="B68" s="11" t="s">
        <v>63</v>
      </c>
    </row>
    <row r="69" spans="1:8" x14ac:dyDescent="0.25">
      <c r="B69" s="11" t="s">
        <v>54</v>
      </c>
    </row>
    <row r="70" spans="1:8" x14ac:dyDescent="0.25">
      <c r="B70" s="11"/>
    </row>
    <row r="71" spans="1:8" x14ac:dyDescent="0.25">
      <c r="A71" t="s">
        <v>55</v>
      </c>
      <c r="B71" s="11"/>
    </row>
    <row r="72" spans="1:8" x14ac:dyDescent="0.25">
      <c r="B72" s="11"/>
    </row>
    <row r="73" spans="1:8" x14ac:dyDescent="0.25">
      <c r="B73" s="8" t="s">
        <v>56</v>
      </c>
      <c r="C73" s="8" t="s">
        <v>57</v>
      </c>
      <c r="D73" s="8" t="s">
        <v>58</v>
      </c>
      <c r="E73" s="8" t="s">
        <v>59</v>
      </c>
      <c r="F73" s="8" t="s">
        <v>60</v>
      </c>
      <c r="G73" s="8" t="s">
        <v>61</v>
      </c>
      <c r="H73" s="8" t="s">
        <v>62</v>
      </c>
    </row>
    <row r="74" spans="1:8" x14ac:dyDescent="0.25">
      <c r="A74" s="20">
        <v>1959</v>
      </c>
      <c r="B74" s="21">
        <v>2108</v>
      </c>
      <c r="C74" s="21">
        <v>1095</v>
      </c>
      <c r="D74" s="21">
        <v>920</v>
      </c>
      <c r="E74" s="21">
        <v>1086</v>
      </c>
      <c r="F74" s="21">
        <v>774</v>
      </c>
      <c r="G74" s="21">
        <v>172</v>
      </c>
      <c r="H74" s="21">
        <f t="shared" ref="H74:H76" si="4">SUM(B74:G74)</f>
        <v>6155</v>
      </c>
    </row>
    <row r="75" spans="1:8" x14ac:dyDescent="0.25">
      <c r="A75" s="20">
        <v>1970</v>
      </c>
      <c r="B75" s="21">
        <v>2429</v>
      </c>
      <c r="C75" s="21">
        <v>1249</v>
      </c>
      <c r="D75" s="21">
        <v>1057</v>
      </c>
      <c r="E75" s="21">
        <v>1153</v>
      </c>
      <c r="F75" s="21">
        <v>845</v>
      </c>
      <c r="G75" s="21">
        <v>231</v>
      </c>
      <c r="H75" s="21">
        <f t="shared" si="4"/>
        <v>6964</v>
      </c>
    </row>
    <row r="76" spans="1:8" x14ac:dyDescent="0.25">
      <c r="A76" s="20">
        <v>1979</v>
      </c>
      <c r="B76" s="21">
        <v>2569</v>
      </c>
      <c r="C76" s="21">
        <v>1327</v>
      </c>
      <c r="D76" s="21">
        <v>1156</v>
      </c>
      <c r="E76" s="21">
        <v>1162</v>
      </c>
      <c r="F76" s="21">
        <v>890</v>
      </c>
      <c r="G76" s="21">
        <v>268</v>
      </c>
      <c r="H76" s="21">
        <f t="shared" si="4"/>
        <v>7372</v>
      </c>
    </row>
    <row r="77" spans="1:8" x14ac:dyDescent="0.25">
      <c r="A77" s="20">
        <v>1989</v>
      </c>
      <c r="B77" s="21">
        <v>2748</v>
      </c>
      <c r="C77" s="21">
        <v>1423</v>
      </c>
      <c r="D77" s="21">
        <v>1252</v>
      </c>
      <c r="E77" s="21">
        <v>1169</v>
      </c>
      <c r="F77" s="21">
        <v>938</v>
      </c>
      <c r="G77" s="21">
        <v>309</v>
      </c>
      <c r="H77" s="21">
        <f>SUM(B77:G77)</f>
        <v>7839</v>
      </c>
    </row>
    <row r="78" spans="1:8" x14ac:dyDescent="0.25">
      <c r="A78" s="20">
        <v>2020</v>
      </c>
      <c r="B78" s="21">
        <f>B77*URK_2020_1989</f>
        <v>2328.574854468447</v>
      </c>
      <c r="C78" s="21">
        <f>C77*URK_2020_1989</f>
        <v>1205.8085945810044</v>
      </c>
      <c r="D78" s="21">
        <f>D77*URK_2020_1989</f>
        <v>1060.908194248361</v>
      </c>
      <c r="E78" s="21">
        <f>E77*URK_2020_1989</f>
        <v>990.57642098748715</v>
      </c>
      <c r="F78" s="21">
        <f>F77*URK_2020_1989</f>
        <v>794.83377492409147</v>
      </c>
      <c r="G78" s="21">
        <v>327</v>
      </c>
      <c r="H78" s="21">
        <f>SUM(B78:G78)</f>
        <v>6707.7018392093914</v>
      </c>
    </row>
    <row r="80" spans="1:8" x14ac:dyDescent="0.25">
      <c r="A80" t="s">
        <v>106</v>
      </c>
    </row>
    <row r="81" spans="1:5" x14ac:dyDescent="0.25">
      <c r="A81" t="s">
        <v>139</v>
      </c>
    </row>
    <row r="82" spans="1:5" x14ac:dyDescent="0.25">
      <c r="A82" t="s">
        <v>140</v>
      </c>
    </row>
    <row r="84" spans="1:5" x14ac:dyDescent="0.25">
      <c r="A84" t="s">
        <v>83</v>
      </c>
    </row>
    <row r="86" spans="1:5" x14ac:dyDescent="0.25">
      <c r="B86" t="s">
        <v>84</v>
      </c>
      <c r="C86" s="4">
        <v>146749</v>
      </c>
      <c r="E86" t="s">
        <v>86</v>
      </c>
    </row>
    <row r="87" spans="1:5" x14ac:dyDescent="0.25">
      <c r="B87" t="s">
        <v>85</v>
      </c>
      <c r="C87" s="4">
        <v>41902</v>
      </c>
      <c r="E87" t="s">
        <v>142</v>
      </c>
    </row>
    <row r="88" spans="1:5" x14ac:dyDescent="0.25">
      <c r="B88" t="s">
        <v>32</v>
      </c>
      <c r="C88" s="4">
        <v>9410</v>
      </c>
    </row>
    <row r="89" spans="1:5" x14ac:dyDescent="0.25">
      <c r="B89" t="s">
        <v>87</v>
      </c>
      <c r="C89" s="4">
        <f>SUM(C86:C88)</f>
        <v>198061</v>
      </c>
    </row>
    <row r="90" spans="1:5" x14ac:dyDescent="0.25">
      <c r="C90" s="4"/>
    </row>
    <row r="91" spans="1:5" x14ac:dyDescent="0.25">
      <c r="B91" t="s">
        <v>110</v>
      </c>
      <c r="C91" s="4">
        <v>1913</v>
      </c>
    </row>
    <row r="92" spans="1:5" x14ac:dyDescent="0.25">
      <c r="B92" t="s">
        <v>111</v>
      </c>
      <c r="C92" s="4">
        <v>51707</v>
      </c>
    </row>
    <row r="93" spans="1:5" x14ac:dyDescent="0.25">
      <c r="B93" t="s">
        <v>112</v>
      </c>
      <c r="C93" s="4">
        <f>C87+C91</f>
        <v>43815</v>
      </c>
      <c r="E93" t="s">
        <v>141</v>
      </c>
    </row>
    <row r="94" spans="1:5" x14ac:dyDescent="0.25">
      <c r="B94" t="s">
        <v>114</v>
      </c>
      <c r="C94" s="4"/>
      <c r="E94" s="36">
        <f>C93/C92</f>
        <v>0.84737076217920204</v>
      </c>
    </row>
    <row r="96" spans="1:5" x14ac:dyDescent="0.25">
      <c r="A96" t="s">
        <v>107</v>
      </c>
    </row>
    <row r="97" spans="1:2" x14ac:dyDescent="0.25">
      <c r="A97" t="s">
        <v>109</v>
      </c>
    </row>
    <row r="98" spans="1:2" x14ac:dyDescent="0.25">
      <c r="B98" t="s">
        <v>108</v>
      </c>
    </row>
    <row r="99" spans="1:2" x14ac:dyDescent="0.25">
      <c r="B99" t="s">
        <v>113</v>
      </c>
    </row>
  </sheetData>
  <mergeCells count="2">
    <mergeCell ref="S5:U5"/>
    <mergeCell ref="V5:W5"/>
  </mergeCells>
  <pageMargins left="0.7" right="0.7" top="0.75" bottom="0.75" header="0.3" footer="0.3"/>
  <pageSetup orientation="portrait" r:id="rId1"/>
  <ignoredErrors>
    <ignoredError sqref="H74:H77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0776-F27C-4E5F-9BB3-8E661AF91CB0}">
  <dimension ref="A1:M26"/>
  <sheetViews>
    <sheetView workbookViewId="0">
      <selection activeCell="P27" sqref="P27"/>
    </sheetView>
  </sheetViews>
  <sheetFormatPr defaultRowHeight="15" x14ac:dyDescent="0.25"/>
  <cols>
    <col min="1" max="1" width="8.5703125" customWidth="1"/>
    <col min="2" max="2" width="7.5703125" customWidth="1"/>
    <col min="3" max="3" width="12" customWidth="1"/>
    <col min="4" max="4" width="12.42578125" customWidth="1"/>
    <col min="5" max="5" width="13.5703125" customWidth="1"/>
    <col min="6" max="6" width="12.42578125" customWidth="1"/>
    <col min="7" max="7" width="27.85546875" bestFit="1" customWidth="1"/>
    <col min="8" max="8" width="24.85546875" bestFit="1" customWidth="1"/>
    <col min="9" max="9" width="17.7109375" customWidth="1"/>
    <col min="10" max="10" width="14.85546875" customWidth="1"/>
    <col min="11" max="11" width="13.85546875" customWidth="1"/>
    <col min="12" max="12" width="10.140625" customWidth="1"/>
    <col min="13" max="13" width="12" customWidth="1"/>
  </cols>
  <sheetData>
    <row r="1" spans="1:13" ht="21" x14ac:dyDescent="0.35">
      <c r="A1" s="37" t="s">
        <v>129</v>
      </c>
    </row>
    <row r="3" spans="1:13" x14ac:dyDescent="0.25">
      <c r="A3" s="5" t="s">
        <v>135</v>
      </c>
    </row>
    <row r="4" spans="1:13" x14ac:dyDescent="0.25">
      <c r="A4" s="41" t="s">
        <v>150</v>
      </c>
    </row>
    <row r="5" spans="1:13" ht="27.75" customHeight="1" x14ac:dyDescent="0.25">
      <c r="C5" s="89" t="s">
        <v>136</v>
      </c>
      <c r="D5" s="89"/>
      <c r="E5" s="89"/>
      <c r="F5" s="89"/>
      <c r="G5" s="89"/>
      <c r="H5" s="89" t="s">
        <v>137</v>
      </c>
      <c r="I5" s="89"/>
      <c r="J5" s="86" t="s">
        <v>133</v>
      </c>
      <c r="K5" s="85"/>
    </row>
    <row r="6" spans="1:13" ht="60" x14ac:dyDescent="0.25">
      <c r="A6" s="22" t="s">
        <v>0</v>
      </c>
      <c r="B6" s="22" t="s">
        <v>10</v>
      </c>
      <c r="C6" s="22" t="s">
        <v>33</v>
      </c>
      <c r="D6" s="22" t="s">
        <v>30</v>
      </c>
      <c r="E6" s="22" t="s">
        <v>31</v>
      </c>
      <c r="F6" s="22" t="s">
        <v>32</v>
      </c>
      <c r="G6" s="23" t="s">
        <v>130</v>
      </c>
      <c r="H6" s="23" t="s">
        <v>134</v>
      </c>
      <c r="I6" s="23" t="s">
        <v>68</v>
      </c>
      <c r="J6" s="23" t="s">
        <v>131</v>
      </c>
      <c r="K6" s="23" t="s">
        <v>132</v>
      </c>
      <c r="L6" s="23" t="s">
        <v>70</v>
      </c>
      <c r="M6" s="23" t="s">
        <v>71</v>
      </c>
    </row>
    <row r="8" spans="1:13" x14ac:dyDescent="0.25">
      <c r="A8" s="12" cm="1">
        <f t="array" aca="1" ref="A8" ca="1">INDIRECT("USSR!" &amp; ADDRESS(ROW(), COLUMN(), 4))</f>
        <v>1926</v>
      </c>
      <c r="B8" s="12" t="str" cm="1">
        <f t="array" aca="1" ref="B8" ca="1">INDIRECT("USSR!" &amp; ADDRESS(ROW(), COLUMN(), 4))</f>
        <v>17 дек</v>
      </c>
      <c r="C8" s="13" cm="1">
        <f t="array" aca="1" ref="C8" ca="1">INDIRECT("USSR!" &amp; ADDRESS(ROW(), COLUMN(), 4))</f>
        <v>106845.8166895476</v>
      </c>
      <c r="D8" s="13" cm="1">
        <f t="array" aca="1" ref="D8" ca="1">INDIRECT("USSR!" &amp; ADDRESS(ROW(), COLUMN(), 4))</f>
        <v>18044.897221235366</v>
      </c>
      <c r="E8" s="13" cm="1">
        <f t="array" aca="1" ref="E8" ca="1">INDIRECT("USSR!" &amp; ADDRESS(ROW(), COLUMN(), 4))</f>
        <v>22616.292655968271</v>
      </c>
      <c r="F8" s="13" cm="1">
        <f t="array" aca="1" ref="F8" ca="1">INDIRECT("USSR!" &amp; ADDRESS(ROW(), COLUMN(), 4))</f>
        <v>13225.577238449208</v>
      </c>
      <c r="G8" s="40" t="str">
        <f ca="1">"минус  " &amp; TEXT(SUM(USSR!S8:'USSR'!U8),"#,##0")</f>
        <v>минус  7,932</v>
      </c>
      <c r="H8" s="17">
        <f>SUM(USSR!G8:'USSR'!Q8)</f>
        <v>19631</v>
      </c>
      <c r="I8" s="14"/>
      <c r="J8" s="14">
        <f ca="1">USSR!V8</f>
        <v>172431.63796888207</v>
      </c>
      <c r="K8" s="17">
        <f>USSR!W8</f>
        <v>148530</v>
      </c>
      <c r="L8" s="14">
        <f ca="1">USSR!X8</f>
        <v>13.861515352069839</v>
      </c>
      <c r="M8" s="14">
        <f ca="1">USSR!Y8</f>
        <v>23901.637968882074</v>
      </c>
    </row>
    <row r="9" spans="1:13" x14ac:dyDescent="0.25">
      <c r="A9" s="12" cm="1">
        <f t="array" aca="1" ref="A9" ca="1">INDIRECT("USSR!" &amp; ADDRESS(ROW(), COLUMN(), 4))</f>
        <v>1937</v>
      </c>
      <c r="B9" s="12" t="str" cm="1">
        <f t="array" aca="1" ref="B9" ca="1">INDIRECT("USSR!" &amp; ADDRESS(ROW(), COLUMN(), 4))</f>
        <v>6 янв</v>
      </c>
      <c r="C9" s="13" cm="1">
        <f t="array" aca="1" ref="C9" ca="1">INDIRECT("USSR!" &amp; ADDRESS(ROW(), COLUMN(), 4))</f>
        <v>130704.49149186898</v>
      </c>
      <c r="D9" s="13" cm="1">
        <f t="array" aca="1" ref="D9" ca="1">INDIRECT("USSR!" &amp; ADDRESS(ROW(), COLUMN(), 4))</f>
        <v>22455.185514967765</v>
      </c>
      <c r="E9" s="13" cm="1">
        <f t="array" aca="1" ref="E9" ca="1">INDIRECT("USSR!" &amp; ADDRESS(ROW(), COLUMN(), 4))</f>
        <v>27583.590067756031</v>
      </c>
      <c r="F9" s="13" cm="1">
        <f t="array" aca="1" ref="F9" ca="1">INDIRECT("USSR!" &amp; ADDRESS(ROW(), COLUMN(), 4))</f>
        <v>16376.679590933612</v>
      </c>
      <c r="G9" s="40" t="str">
        <f ca="1">"минус  " &amp; TEXT(SUM(USSR!S9:'USSR'!U9),"#,##0")</f>
        <v>минус  9,793</v>
      </c>
      <c r="H9" s="17">
        <f>SUM(USSR!G9:'USSR'!Q9)</f>
        <v>22531</v>
      </c>
      <c r="I9" s="14"/>
      <c r="J9" s="14">
        <f ca="1">USSR!V9</f>
        <v>209857.68776464602</v>
      </c>
      <c r="K9" s="17">
        <f>USSR!W9</f>
        <v>162039</v>
      </c>
      <c r="L9" s="14">
        <f ca="1">USSR!X9</f>
        <v>22.786245418978577</v>
      </c>
      <c r="M9" s="14">
        <f ca="1">USSR!Y9</f>
        <v>47818.68776464602</v>
      </c>
    </row>
    <row r="10" spans="1:13" x14ac:dyDescent="0.25">
      <c r="A10" s="12" cm="1">
        <f t="array" aca="1" ref="A10" ca="1">INDIRECT("USSR!" &amp; ADDRESS(ROW(), COLUMN(), 4))</f>
        <v>1939</v>
      </c>
      <c r="B10" s="12" t="str" cm="1">
        <f t="array" aca="1" ref="B10" ca="1">INDIRECT("USSR!" &amp; ADDRESS(ROW(), COLUMN(), 4))</f>
        <v>17 янв</v>
      </c>
      <c r="C10" s="13" cm="1">
        <f t="array" aca="1" ref="C10" ca="1">INDIRECT("USSR!" &amp; ADDRESS(ROW(), COLUMN(), 4))</f>
        <v>136512.00079842543</v>
      </c>
      <c r="D10" s="13" cm="1">
        <f t="array" aca="1" ref="D10" ca="1">INDIRECT("USSR!" &amp; ADDRESS(ROW(), COLUMN(), 4))</f>
        <v>23536.669570284532</v>
      </c>
      <c r="E10" s="13" cm="1">
        <f t="array" aca="1" ref="E10" ca="1">INDIRECT("USSR!" &amp; ADDRESS(ROW(), COLUMN(), 4))</f>
        <v>28791.326264761043</v>
      </c>
      <c r="F10" s="13" cm="1">
        <f t="array" aca="1" ref="F10" ca="1">INDIRECT("USSR!" &amp; ADDRESS(ROW(), COLUMN(), 4))</f>
        <v>17142.39122416492</v>
      </c>
      <c r="G10" s="40" t="str">
        <f ca="1">"минус  " &amp; TEXT(SUM(USSR!S10:'USSR'!U10),"#,##0")</f>
        <v>минус  10,247</v>
      </c>
      <c r="H10" s="17">
        <f>SUM(USSR!G10:'USSR'!Q10)</f>
        <v>24644.418000000001</v>
      </c>
      <c r="I10" s="14"/>
      <c r="J10" s="14">
        <f ca="1">USSR!V10</f>
        <v>220379.52879904932</v>
      </c>
      <c r="K10" s="17">
        <f>USSR!W10</f>
        <v>167650</v>
      </c>
      <c r="L10" s="14">
        <f ca="1">USSR!X10</f>
        <v>23.926690961904256</v>
      </c>
      <c r="M10" s="14">
        <f ca="1">USSR!Y10</f>
        <v>52729.528799049323</v>
      </c>
    </row>
    <row r="11" spans="1:13" x14ac:dyDescent="0.25">
      <c r="A11" s="12" cm="1">
        <f t="array" aca="1" ref="A11" ca="1">INDIRECT("USSR!" &amp; ADDRESS(ROW(), COLUMN(), 4))</f>
        <v>1959</v>
      </c>
      <c r="B11" s="12" t="str" cm="1">
        <f t="array" aca="1" ref="B11" ca="1">INDIRECT("USSR!" &amp; ADDRESS(ROW(), COLUMN(), 4))</f>
        <v>15 янв</v>
      </c>
      <c r="C11" s="13" cm="1">
        <f t="array" aca="1" ref="C11" ca="1">INDIRECT("USSR!" &amp; ADDRESS(ROW(), COLUMN(), 4))</f>
        <v>220688.70840674659</v>
      </c>
      <c r="D11" s="13" cm="1">
        <f t="array" aca="1" ref="D11" ca="1">INDIRECT("USSR!" &amp; ADDRESS(ROW(), COLUMN(), 4))</f>
        <v>39089.743400983331</v>
      </c>
      <c r="E11" s="13" cm="1">
        <f t="array" aca="1" ref="E11" ca="1">INDIRECT("USSR!" &amp; ADDRESS(ROW(), COLUMN(), 4))</f>
        <v>49057.999470242459</v>
      </c>
      <c r="F11" s="13" cm="1">
        <f t="array" aca="1" ref="F11" ca="1">INDIRECT("USSR!" &amp; ADDRESS(ROW(), COLUMN(), 4))</f>
        <v>29834.114653057295</v>
      </c>
      <c r="G11" s="14"/>
      <c r="H11" s="17">
        <f>SUM(USSR!G11:'USSR'!Q11)</f>
        <v>38484.163999999997</v>
      </c>
      <c r="I11" s="17">
        <f>USSR!R11</f>
        <v>6155</v>
      </c>
      <c r="J11" s="14">
        <f ca="1">USSR!V11</f>
        <v>383309.72993102972</v>
      </c>
      <c r="K11" s="17">
        <f>USSR!W11</f>
        <v>208826.65</v>
      </c>
      <c r="L11" s="14">
        <f ca="1">USSR!X11</f>
        <v>45.520128059996047</v>
      </c>
      <c r="M11" s="14">
        <f ca="1">USSR!Y11</f>
        <v>174483.07993102973</v>
      </c>
    </row>
    <row r="12" spans="1:13" x14ac:dyDescent="0.25">
      <c r="A12" s="12" cm="1">
        <f t="array" aca="1" ref="A12" ca="1">INDIRECT("USSR!" &amp; ADDRESS(ROW(), COLUMN(), 4))</f>
        <v>1970</v>
      </c>
      <c r="B12" s="12" t="str" cm="1">
        <f t="array" aca="1" ref="B12" ca="1">INDIRECT("USSR!" &amp; ADDRESS(ROW(), COLUMN(), 4))</f>
        <v>15 янв</v>
      </c>
      <c r="C12" s="13" cm="1">
        <f t="array" aca="1" ref="C12" ca="1">INDIRECT("USSR!" &amp; ADDRESS(ROW(), COLUMN(), 4))</f>
        <v>317618.5255269864</v>
      </c>
      <c r="D12" s="13" cm="1">
        <f t="array" aca="1" ref="D12" ca="1">INDIRECT("USSR!" &amp; ADDRESS(ROW(), COLUMN(), 4))</f>
        <v>56622.039841391867</v>
      </c>
      <c r="E12" s="13" cm="1">
        <f t="array" aca="1" ref="E12" ca="1">INDIRECT("USSR!" &amp; ADDRESS(ROW(), COLUMN(), 4))</f>
        <v>69527.973507499773</v>
      </c>
      <c r="F12" s="13" cm="1">
        <f t="array" aca="1" ref="F12" ca="1">INDIRECT("USSR!" &amp; ADDRESS(ROW(), COLUMN(), 4))</f>
        <v>42596.299907485394</v>
      </c>
      <c r="G12" s="14"/>
      <c r="H12" s="17">
        <f>SUM(USSR!G12:'USSR'!Q12)</f>
        <v>51943.3</v>
      </c>
      <c r="I12" s="17">
        <f>USSR!R12</f>
        <v>6964</v>
      </c>
      <c r="J12" s="14">
        <f ca="1">USSR!V12</f>
        <v>545272.13878336328</v>
      </c>
      <c r="K12" s="17">
        <f>USSR!W12</f>
        <v>241720</v>
      </c>
      <c r="L12" s="14">
        <f ca="1">USSR!X12</f>
        <v>55.669842119691467</v>
      </c>
      <c r="M12" s="14">
        <f ca="1">USSR!Y12</f>
        <v>303552.13878336328</v>
      </c>
    </row>
    <row r="13" spans="1:13" x14ac:dyDescent="0.25">
      <c r="A13" s="12" cm="1">
        <f t="array" aca="1" ref="A13" ca="1">INDIRECT("USSR!" &amp; ADDRESS(ROW(), COLUMN(), 4))</f>
        <v>1979</v>
      </c>
      <c r="B13" s="12" t="str" cm="1">
        <f t="array" aca="1" ref="B13" ca="1">INDIRECT("USSR!" &amp; ADDRESS(ROW(), COLUMN(), 4))</f>
        <v>17 янв</v>
      </c>
      <c r="C13" s="13" cm="1">
        <f t="array" aca="1" ref="C13" ca="1">INDIRECT("USSR!" &amp; ADDRESS(ROW(), COLUMN(), 4))</f>
        <v>445922.55198754626</v>
      </c>
      <c r="D13" s="13" cm="1">
        <f t="array" aca="1" ref="D13" ca="1">INDIRECT("USSR!" &amp; ADDRESS(ROW(), COLUMN(), 4))</f>
        <v>79216.980185502995</v>
      </c>
      <c r="E13" s="13" cm="1">
        <f t="array" aca="1" ref="E13" ca="1">INDIRECT("USSR!" &amp; ADDRESS(ROW(), COLUMN(), 4))</f>
        <v>90944.463955338259</v>
      </c>
      <c r="F13" s="13" cm="1">
        <f t="array" aca="1" ref="F13" ca="1">INDIRECT("USSR!" &amp; ADDRESS(ROW(), COLUMN(), 4))</f>
        <v>55977.842056256646</v>
      </c>
      <c r="G13" s="14"/>
      <c r="H13" s="17">
        <f>SUM(USSR!G13:'USSR'!Q13)</f>
        <v>61624</v>
      </c>
      <c r="I13" s="17">
        <f>USSR!R13</f>
        <v>7372</v>
      </c>
      <c r="J13" s="14">
        <f ca="1">USSR!V13</f>
        <v>741057.83818464412</v>
      </c>
      <c r="K13" s="17">
        <f>USSR!W13</f>
        <v>262436</v>
      </c>
      <c r="L13" s="14">
        <f ca="1">USSR!X13</f>
        <v>64.586299951582092</v>
      </c>
      <c r="M13" s="14">
        <f ca="1">USSR!Y13</f>
        <v>478621.83818464412</v>
      </c>
    </row>
    <row r="14" spans="1:13" x14ac:dyDescent="0.25">
      <c r="A14" s="12" cm="1">
        <f t="array" aca="1" ref="A14" ca="1">INDIRECT("USSR!" &amp; ADDRESS(ROW(), COLUMN(), 4))</f>
        <v>1989</v>
      </c>
      <c r="B14" s="12" t="str" cm="1">
        <f t="array" aca="1" ref="B14" ca="1">INDIRECT("USSR!" &amp; ADDRESS(ROW(), COLUMN(), 4))</f>
        <v>12 янв</v>
      </c>
      <c r="C14" s="13" cm="1">
        <f t="array" aca="1" ref="C14" ca="1">INDIRECT("USSR!" &amp; ADDRESS(ROW(), COLUMN(), 4))</f>
        <v>644973.97216546303</v>
      </c>
      <c r="D14" s="13" cm="1">
        <f t="array" aca="1" ref="D14" ca="1">INDIRECT("USSR!" &amp; ADDRESS(ROW(), COLUMN(), 4))</f>
        <v>113563.47880780644</v>
      </c>
      <c r="E14" s="13" cm="1">
        <f t="array" aca="1" ref="E14" ca="1">INDIRECT("USSR!" &amp; ADDRESS(ROW(), COLUMN(), 4))</f>
        <v>117667.83126243066</v>
      </c>
      <c r="F14" s="13" cm="1">
        <f t="array" aca="1" ref="F14" ca="1">INDIRECT("USSR!" &amp; ADDRESS(ROW(), COLUMN(), 4))</f>
        <v>72712.743358847976</v>
      </c>
      <c r="G14" s="14"/>
      <c r="H14" s="17">
        <f>SUM(USSR!G14:'USSR'!Q14)</f>
        <v>73087</v>
      </c>
      <c r="I14" s="17">
        <f>USSR!R14</f>
        <v>7839</v>
      </c>
      <c r="J14" s="14">
        <f ca="1">USSR!V14</f>
        <v>1029844.0255945481</v>
      </c>
      <c r="K14" s="17">
        <f>USSR!W14</f>
        <v>286731</v>
      </c>
      <c r="L14" s="14">
        <f ca="1">USSR!X14</f>
        <v>72.157822653341626</v>
      </c>
      <c r="M14" s="14">
        <f ca="1">USSR!Y14</f>
        <v>743113.02559454809</v>
      </c>
    </row>
    <row r="15" spans="1:13" x14ac:dyDescent="0.25">
      <c r="A15" s="12" cm="1">
        <f t="array" aca="1" ref="A15" ca="1">INDIRECT("USSR!" &amp; ADDRESS(ROW(), COLUMN(), 4))</f>
        <v>2020</v>
      </c>
      <c r="B15" s="12" t="str" cm="1">
        <f t="array" aca="1" ref="B15" ca="1">INDIRECT("USSR!" &amp; ADDRESS(ROW(), COLUMN(), 4))</f>
        <v>1 янв</v>
      </c>
      <c r="C15" s="13" cm="1">
        <f t="array" aca="1" ref="C15" ca="1">INDIRECT("USSR!" &amp; ADDRESS(ROW(), COLUMN(), 4))</f>
        <v>1405423.5653519635</v>
      </c>
      <c r="D15" s="13" cm="1">
        <f t="array" aca="1" ref="D15" ca="1">INDIRECT("USSR!" &amp; ADDRESS(ROW(), COLUMN(), 4))</f>
        <v>240156.329030995</v>
      </c>
      <c r="E15" s="13" cm="1">
        <f t="array" aca="1" ref="E15" ca="1">INDIRECT("USSR!" &amp; ADDRESS(ROW(), COLUMN(), 4))</f>
        <v>188105.22895368186</v>
      </c>
      <c r="F15" s="13" cm="1">
        <f t="array" aca="1" ref="F15" ca="1">INDIRECT("USSR!" &amp; ADDRESS(ROW(), COLUMN(), 4))</f>
        <v>117539.03404928434</v>
      </c>
      <c r="G15" s="14"/>
      <c r="H15" s="14"/>
      <c r="I15" s="14">
        <f>USSR!R15</f>
        <v>6707.7018392093914</v>
      </c>
      <c r="J15" s="14">
        <f ca="1">USSR!V15</f>
        <v>1957931.8592251341</v>
      </c>
      <c r="K15" s="14">
        <f>USSR!W15</f>
        <v>198061</v>
      </c>
      <c r="L15" s="14">
        <f ca="1">USSR!X15</f>
        <v>89.884172982486533</v>
      </c>
      <c r="M15" s="14">
        <f ca="1">USSR!Y15</f>
        <v>1759870.8592251341</v>
      </c>
    </row>
    <row r="16" spans="1:13" x14ac:dyDescent="0.25">
      <c r="A16" s="12" cm="1">
        <f t="array" aca="1" ref="A16" ca="1">INDIRECT("USSR!" &amp; ADDRESS(ROW(), COLUMN(), 4))</f>
        <v>2030</v>
      </c>
      <c r="B16" s="12" t="str" cm="1">
        <f t="array" aca="1" ref="B16" ca="1">INDIRECT("USSR!" &amp; ADDRESS(ROW(), COLUMN(), 4))</f>
        <v>1 янв</v>
      </c>
      <c r="C16" s="13" cm="1">
        <f t="array" aca="1" ref="C16" ca="1">INDIRECT("USSR!" &amp; ADDRESS(ROW(), COLUMN(), 4))</f>
        <v>1628910.2438794663</v>
      </c>
      <c r="D16" s="13" cm="1">
        <f t="array" aca="1" ref="D16" ca="1">INDIRECT("USSR!" &amp; ADDRESS(ROW(), COLUMN(), 4))</f>
        <v>277227.88601799245</v>
      </c>
      <c r="E16" s="13" cm="1">
        <f t="array" aca="1" ref="E16" ca="1">INDIRECT("USSR!" &amp; ADDRESS(ROW(), COLUMN(), 4))</f>
        <v>204656.37303114653</v>
      </c>
      <c r="F16" s="13" cm="1">
        <f t="array" aca="1" ref="F16" ca="1">INDIRECT("USSR!" &amp; ADDRESS(ROW(), COLUMN(), 4))</f>
        <v>128368.07668910777</v>
      </c>
      <c r="G16" s="14"/>
      <c r="H16" s="14"/>
      <c r="I16" s="14"/>
      <c r="J16" s="14">
        <f ca="1">USSR!V16</f>
        <v>2239162.5796177131</v>
      </c>
      <c r="K16" s="14"/>
      <c r="L16" s="15"/>
      <c r="M16" s="14"/>
    </row>
    <row r="17" spans="1:13" x14ac:dyDescent="0.25">
      <c r="A17" s="12">
        <v>2040</v>
      </c>
      <c r="B17" s="12" t="str" cm="1">
        <f t="array" aca="1" ref="B17" ca="1">INDIRECT("USSR!" &amp; ADDRESS(ROW(), COLUMN(), 4))</f>
        <v>1 янв</v>
      </c>
      <c r="C17" s="13" cm="1">
        <f t="array" aca="1" ref="C17" ca="1">INDIRECT("USSR!" &amp; ADDRESS(ROW(), COLUMN(), 4))</f>
        <v>1818185.3804638544</v>
      </c>
      <c r="D17" s="13" cm="1">
        <f t="array" aca="1" ref="D17" ca="1">INDIRECT("USSR!" &amp; ADDRESS(ROW(), COLUMN(), 4))</f>
        <v>308606.30193822016</v>
      </c>
      <c r="E17" s="13" cm="1">
        <f t="array" aca="1" ref="E17" ca="1">INDIRECT("USSR!" &amp; ADDRESS(ROW(), COLUMN(), 4))</f>
        <v>215667.77096151406</v>
      </c>
      <c r="F17" s="13" cm="1">
        <f t="array" aca="1" ref="F17" ca="1">INDIRECT("USSR!" &amp; ADDRESS(ROW(), COLUMN(), 4))</f>
        <v>135770.99532357758</v>
      </c>
      <c r="G17" s="14"/>
      <c r="H17" s="14"/>
      <c r="I17" s="14"/>
      <c r="J17" s="14">
        <f ca="1">USSR!V17</f>
        <v>2478230.448687166</v>
      </c>
      <c r="K17" s="14"/>
      <c r="L17" s="15"/>
      <c r="M17" s="14"/>
    </row>
    <row r="19" spans="1:13" x14ac:dyDescent="0.25">
      <c r="A19" t="s">
        <v>45</v>
      </c>
    </row>
    <row r="20" spans="1:13" x14ac:dyDescent="0.25">
      <c r="A20" t="s">
        <v>46</v>
      </c>
    </row>
    <row r="21" spans="1:13" x14ac:dyDescent="0.25">
      <c r="A21" t="s">
        <v>138</v>
      </c>
    </row>
    <row r="23" spans="1:13" x14ac:dyDescent="0.25">
      <c r="A23" t="s">
        <v>158</v>
      </c>
    </row>
    <row r="24" spans="1:13" x14ac:dyDescent="0.25">
      <c r="A24" t="s">
        <v>159</v>
      </c>
    </row>
    <row r="26" spans="1:13" x14ac:dyDescent="0.25">
      <c r="H26" s="39"/>
    </row>
  </sheetData>
  <mergeCells count="3">
    <mergeCell ref="J5:K5"/>
    <mergeCell ref="C5:G5"/>
    <mergeCell ref="H5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EE66-658C-4218-A060-96E45597FC2B}">
  <dimension ref="A1:T158"/>
  <sheetViews>
    <sheetView workbookViewId="0"/>
  </sheetViews>
  <sheetFormatPr defaultRowHeight="15" x14ac:dyDescent="0.25"/>
  <cols>
    <col min="2" max="2" width="13.5703125" customWidth="1"/>
    <col min="3" max="3" width="11.5703125" customWidth="1"/>
    <col min="4" max="4" width="13" customWidth="1"/>
    <col min="5" max="5" width="13.42578125" customWidth="1"/>
  </cols>
  <sheetData>
    <row r="1" spans="1:20" ht="21" x14ac:dyDescent="0.35">
      <c r="A1" s="37" t="s">
        <v>96</v>
      </c>
    </row>
    <row r="2" spans="1:20" x14ac:dyDescent="0.25">
      <c r="A2" t="s">
        <v>97</v>
      </c>
    </row>
    <row r="3" spans="1:20" x14ac:dyDescent="0.25">
      <c r="A3" t="s">
        <v>117</v>
      </c>
    </row>
    <row r="4" spans="1:20" x14ac:dyDescent="0.25">
      <c r="A4" t="s">
        <v>172</v>
      </c>
    </row>
    <row r="5" spans="1:20" x14ac:dyDescent="0.25">
      <c r="A5" t="s">
        <v>104</v>
      </c>
    </row>
    <row r="8" spans="1:20" x14ac:dyDescent="0.25">
      <c r="A8" s="5" t="s">
        <v>143</v>
      </c>
      <c r="H8" s="5" t="s">
        <v>144</v>
      </c>
      <c r="O8" s="5" t="s">
        <v>146</v>
      </c>
    </row>
    <row r="9" spans="1:20" x14ac:dyDescent="0.25">
      <c r="A9" s="5" t="s">
        <v>154</v>
      </c>
      <c r="H9" s="5" t="s">
        <v>147</v>
      </c>
      <c r="O9" s="5" t="s">
        <v>148</v>
      </c>
    </row>
    <row r="10" spans="1:20" ht="15.75" thickBot="1" x14ac:dyDescent="0.3">
      <c r="H10" s="5" t="s">
        <v>151</v>
      </c>
      <c r="O10" s="5" t="s">
        <v>151</v>
      </c>
    </row>
    <row r="11" spans="1:20" ht="15.75" thickBot="1" x14ac:dyDescent="0.3">
      <c r="A11" s="93" t="s">
        <v>0</v>
      </c>
      <c r="B11" s="92" t="s">
        <v>1</v>
      </c>
      <c r="C11" s="92"/>
      <c r="D11" s="92" t="s">
        <v>99</v>
      </c>
      <c r="E11" s="92"/>
    </row>
    <row r="12" spans="1:20" ht="63" customHeight="1" thickBot="1" x14ac:dyDescent="0.3">
      <c r="A12" s="94"/>
      <c r="B12" s="34" t="s">
        <v>98</v>
      </c>
      <c r="C12" s="34" t="s">
        <v>3</v>
      </c>
      <c r="D12" s="35" t="s">
        <v>103</v>
      </c>
      <c r="E12" s="35" t="s">
        <v>102</v>
      </c>
      <c r="H12" s="50" t="s">
        <v>145</v>
      </c>
      <c r="I12" s="50" t="s">
        <v>100</v>
      </c>
      <c r="J12" s="50" t="s">
        <v>101</v>
      </c>
      <c r="K12" s="95" t="s">
        <v>152</v>
      </c>
      <c r="L12" s="96"/>
      <c r="M12" s="51" t="s">
        <v>153</v>
      </c>
      <c r="O12" s="50" t="s">
        <v>145</v>
      </c>
      <c r="P12" s="50" t="s">
        <v>100</v>
      </c>
      <c r="Q12" s="53" t="s">
        <v>101</v>
      </c>
      <c r="R12" s="95" t="s">
        <v>152</v>
      </c>
      <c r="S12" s="96"/>
      <c r="T12" s="51" t="s">
        <v>153</v>
      </c>
    </row>
    <row r="13" spans="1:20" ht="15.75" thickBot="1" x14ac:dyDescent="0.3">
      <c r="A13" s="29">
        <v>1895</v>
      </c>
      <c r="B13" s="44">
        <v>46.6</v>
      </c>
      <c r="C13" s="31">
        <v>33.6</v>
      </c>
      <c r="D13" s="42"/>
      <c r="E13" s="42"/>
      <c r="H13" s="15"/>
      <c r="I13" s="15"/>
      <c r="J13" s="15"/>
      <c r="K13" s="15"/>
      <c r="L13" s="15"/>
      <c r="M13" s="15"/>
      <c r="O13" s="15"/>
      <c r="P13" s="15"/>
      <c r="Q13" s="54"/>
      <c r="R13" s="15"/>
      <c r="S13" s="15"/>
      <c r="T13" s="15"/>
    </row>
    <row r="14" spans="1:20" ht="15.75" thickBot="1" x14ac:dyDescent="0.3">
      <c r="A14" s="30">
        <v>1896</v>
      </c>
      <c r="B14" s="45">
        <v>46.6</v>
      </c>
      <c r="C14" s="32">
        <v>33.6</v>
      </c>
      <c r="D14" s="43"/>
      <c r="E14" s="43"/>
      <c r="H14" s="15"/>
      <c r="I14" s="15"/>
      <c r="J14" s="15"/>
      <c r="K14" s="15"/>
      <c r="L14" s="15"/>
      <c r="M14" s="15"/>
      <c r="O14" s="15"/>
      <c r="P14" s="15"/>
      <c r="Q14" s="54"/>
      <c r="R14" s="15"/>
      <c r="S14" s="15"/>
      <c r="T14" s="15"/>
    </row>
    <row r="15" spans="1:20" ht="15.75" thickBot="1" x14ac:dyDescent="0.3">
      <c r="A15" s="30">
        <v>1897</v>
      </c>
      <c r="B15" s="45">
        <v>46.6</v>
      </c>
      <c r="C15" s="32">
        <v>33.6</v>
      </c>
      <c r="D15" s="43"/>
      <c r="E15" s="43"/>
      <c r="H15" s="15"/>
      <c r="I15" s="15"/>
      <c r="J15" s="15"/>
      <c r="K15" s="15"/>
      <c r="L15" s="15"/>
      <c r="M15" s="15"/>
      <c r="O15" s="15"/>
      <c r="P15" s="15"/>
      <c r="Q15" s="54"/>
      <c r="R15" s="15"/>
      <c r="S15" s="15"/>
      <c r="T15" s="15"/>
    </row>
    <row r="16" spans="1:20" ht="15.75" thickBot="1" x14ac:dyDescent="0.3">
      <c r="A16" s="30">
        <v>1898</v>
      </c>
      <c r="B16" s="45">
        <v>46.6</v>
      </c>
      <c r="C16" s="32">
        <v>33.6</v>
      </c>
      <c r="D16" s="43"/>
      <c r="E16" s="43"/>
      <c r="H16" s="15"/>
      <c r="I16" s="15"/>
      <c r="J16" s="15"/>
      <c r="K16" s="15"/>
      <c r="L16" s="15"/>
      <c r="M16" s="15"/>
      <c r="O16" s="15"/>
      <c r="P16" s="15"/>
      <c r="Q16" s="54"/>
      <c r="R16" s="15"/>
      <c r="S16" s="15"/>
      <c r="T16" s="15"/>
    </row>
    <row r="17" spans="1:20" ht="15.75" thickBot="1" x14ac:dyDescent="0.3">
      <c r="A17" s="30">
        <v>1899</v>
      </c>
      <c r="B17" s="45">
        <v>46.6</v>
      </c>
      <c r="C17" s="32">
        <v>33.6</v>
      </c>
      <c r="D17" s="43"/>
      <c r="E17" s="43"/>
      <c r="H17" s="15"/>
      <c r="I17" s="15"/>
      <c r="J17" s="15"/>
      <c r="K17" s="15"/>
      <c r="L17" s="15"/>
      <c r="M17" s="15"/>
      <c r="O17" s="15"/>
      <c r="P17" s="15"/>
      <c r="Q17" s="54"/>
      <c r="R17" s="15"/>
      <c r="S17" s="15"/>
      <c r="T17" s="15"/>
    </row>
    <row r="18" spans="1:20" ht="15.75" thickBot="1" x14ac:dyDescent="0.3">
      <c r="A18" s="30">
        <v>1900</v>
      </c>
      <c r="B18" s="45">
        <v>46.6</v>
      </c>
      <c r="C18" s="32">
        <v>33.6</v>
      </c>
      <c r="D18" s="43"/>
      <c r="E18" s="43"/>
      <c r="H18" s="15"/>
      <c r="I18" s="15"/>
      <c r="J18" s="15"/>
      <c r="K18" s="15"/>
      <c r="L18" s="15"/>
      <c r="M18" s="15"/>
      <c r="O18" s="15"/>
      <c r="P18" s="15"/>
      <c r="Q18" s="54"/>
      <c r="R18" s="15"/>
      <c r="S18" s="15"/>
      <c r="T18" s="15"/>
    </row>
    <row r="19" spans="1:20" ht="15.75" thickBot="1" x14ac:dyDescent="0.3">
      <c r="A19" s="30">
        <v>1901</v>
      </c>
      <c r="B19" s="45">
        <v>46.6</v>
      </c>
      <c r="C19" s="32">
        <v>33.6</v>
      </c>
      <c r="D19" s="43"/>
      <c r="E19" s="43"/>
      <c r="H19" s="15"/>
      <c r="I19" s="15"/>
      <c r="J19" s="15"/>
      <c r="K19" s="15"/>
      <c r="L19" s="15"/>
      <c r="M19" s="15"/>
      <c r="O19" s="15"/>
      <c r="P19" s="15"/>
      <c r="Q19" s="54"/>
      <c r="R19" s="15"/>
      <c r="S19" s="15"/>
      <c r="T19" s="15"/>
    </row>
    <row r="20" spans="1:20" ht="15.75" thickBot="1" x14ac:dyDescent="0.3">
      <c r="A20" s="30">
        <v>1902</v>
      </c>
      <c r="B20" s="45">
        <v>46.6</v>
      </c>
      <c r="C20" s="32">
        <v>33.6</v>
      </c>
      <c r="D20" s="43"/>
      <c r="E20" s="43"/>
      <c r="H20" s="15"/>
      <c r="I20" s="15"/>
      <c r="J20" s="15"/>
      <c r="K20" s="15"/>
      <c r="L20" s="15"/>
      <c r="M20" s="15"/>
      <c r="O20" s="15"/>
      <c r="P20" s="15"/>
      <c r="Q20" s="54"/>
      <c r="R20" s="15"/>
      <c r="S20" s="15"/>
      <c r="T20" s="15"/>
    </row>
    <row r="21" spans="1:20" ht="15.75" thickBot="1" x14ac:dyDescent="0.3">
      <c r="A21" s="30">
        <v>1903</v>
      </c>
      <c r="B21" s="45">
        <v>46.6</v>
      </c>
      <c r="C21" s="32">
        <v>33.6</v>
      </c>
      <c r="D21" s="43"/>
      <c r="E21" s="43"/>
      <c r="H21" s="15"/>
      <c r="I21" s="15"/>
      <c r="J21" s="15"/>
      <c r="K21" s="15"/>
      <c r="L21" s="15"/>
      <c r="M21" s="15"/>
      <c r="O21" s="15"/>
      <c r="P21" s="15"/>
      <c r="Q21" s="54"/>
      <c r="R21" s="15"/>
      <c r="S21" s="15"/>
      <c r="T21" s="15"/>
    </row>
    <row r="22" spans="1:20" ht="15.75" thickBot="1" x14ac:dyDescent="0.3">
      <c r="A22" s="30">
        <v>1904</v>
      </c>
      <c r="B22" s="45">
        <v>46.6</v>
      </c>
      <c r="C22" s="32">
        <v>33.6</v>
      </c>
      <c r="D22" s="43"/>
      <c r="E22" s="43"/>
      <c r="H22" s="15"/>
      <c r="I22" s="15"/>
      <c r="J22" s="15"/>
      <c r="K22" s="15"/>
      <c r="L22" s="15"/>
      <c r="M22" s="15"/>
      <c r="O22" s="15"/>
      <c r="P22" s="15"/>
      <c r="Q22" s="54"/>
      <c r="R22" s="15"/>
      <c r="S22" s="15"/>
      <c r="T22" s="15"/>
    </row>
    <row r="23" spans="1:20" ht="15.75" thickBot="1" x14ac:dyDescent="0.3">
      <c r="A23" s="30">
        <v>1905</v>
      </c>
      <c r="B23" s="45">
        <v>46.6</v>
      </c>
      <c r="C23" s="32">
        <v>33.6</v>
      </c>
      <c r="D23" s="43"/>
      <c r="E23" s="43"/>
      <c r="H23" s="15"/>
      <c r="I23" s="15"/>
      <c r="J23" s="15"/>
      <c r="K23" s="15"/>
      <c r="L23" s="15"/>
      <c r="M23" s="15"/>
      <c r="O23" s="15"/>
      <c r="P23" s="15"/>
      <c r="Q23" s="54"/>
      <c r="R23" s="15"/>
      <c r="S23" s="15"/>
      <c r="T23" s="15"/>
    </row>
    <row r="24" spans="1:20" ht="15.75" thickBot="1" x14ac:dyDescent="0.3">
      <c r="A24" s="30">
        <v>1906</v>
      </c>
      <c r="B24" s="45">
        <v>46.6</v>
      </c>
      <c r="C24" s="32">
        <v>33.6</v>
      </c>
      <c r="D24" s="43"/>
      <c r="E24" s="43"/>
      <c r="H24" s="15"/>
      <c r="I24" s="15"/>
      <c r="J24" s="15"/>
      <c r="K24" s="15"/>
      <c r="L24" s="15"/>
      <c r="M24" s="15"/>
      <c r="O24" s="15"/>
      <c r="P24" s="15"/>
      <c r="Q24" s="54"/>
      <c r="R24" s="15"/>
      <c r="S24" s="15"/>
      <c r="T24" s="15"/>
    </row>
    <row r="25" spans="1:20" ht="15.75" thickBot="1" x14ac:dyDescent="0.3">
      <c r="A25" s="30">
        <v>1907</v>
      </c>
      <c r="B25" s="45">
        <v>46.6</v>
      </c>
      <c r="C25" s="32">
        <v>33.700000000000003</v>
      </c>
      <c r="D25" s="43"/>
      <c r="E25" s="43"/>
      <c r="H25" s="15"/>
      <c r="I25" s="15"/>
      <c r="J25" s="15"/>
      <c r="K25" s="15"/>
      <c r="L25" s="15"/>
      <c r="M25" s="15"/>
      <c r="O25" s="15"/>
      <c r="P25" s="15"/>
      <c r="Q25" s="54"/>
      <c r="R25" s="15"/>
      <c r="S25" s="15"/>
      <c r="T25" s="15"/>
    </row>
    <row r="26" spans="1:20" ht="15.75" thickBot="1" x14ac:dyDescent="0.3">
      <c r="A26" s="30">
        <v>1908</v>
      </c>
      <c r="B26" s="45">
        <v>46.6</v>
      </c>
      <c r="C26" s="32">
        <v>33.6</v>
      </c>
      <c r="D26" s="43"/>
      <c r="E26" s="43"/>
      <c r="H26" s="15"/>
      <c r="I26" s="15"/>
      <c r="J26" s="15"/>
      <c r="K26" s="15"/>
      <c r="L26" s="15"/>
      <c r="M26" s="15"/>
      <c r="O26" s="15"/>
      <c r="P26" s="15"/>
      <c r="Q26" s="54"/>
      <c r="R26" s="15"/>
      <c r="S26" s="15"/>
      <c r="T26" s="15"/>
    </row>
    <row r="27" spans="1:20" ht="15.75" thickBot="1" x14ac:dyDescent="0.3">
      <c r="A27" s="30">
        <v>1909</v>
      </c>
      <c r="B27" s="45">
        <v>46.5</v>
      </c>
      <c r="C27" s="32">
        <v>33.4</v>
      </c>
      <c r="D27" s="46">
        <v>1</v>
      </c>
      <c r="E27" s="47">
        <v>1</v>
      </c>
      <c r="H27" s="15"/>
      <c r="I27" s="15"/>
      <c r="J27" s="15"/>
      <c r="K27" s="15"/>
      <c r="L27" s="15"/>
      <c r="M27" s="15"/>
      <c r="O27" s="15"/>
      <c r="P27" s="15"/>
      <c r="Q27" s="54"/>
      <c r="R27" s="15"/>
      <c r="S27" s="15"/>
      <c r="T27" s="15"/>
    </row>
    <row r="28" spans="1:20" ht="15.75" thickBot="1" x14ac:dyDescent="0.3">
      <c r="A28" s="30">
        <v>1910</v>
      </c>
      <c r="B28" s="45">
        <v>46.5</v>
      </c>
      <c r="C28" s="32">
        <v>33.200000000000003</v>
      </c>
      <c r="D28" s="48">
        <v>0.999</v>
      </c>
      <c r="E28" s="33">
        <v>0.99199999999999999</v>
      </c>
      <c r="H28" s="15"/>
      <c r="I28" s="15"/>
      <c r="J28" s="15"/>
      <c r="K28" s="15"/>
      <c r="L28" s="15"/>
      <c r="M28" s="15"/>
      <c r="O28" s="15">
        <v>0</v>
      </c>
      <c r="P28" s="49">
        <f>D28/$D$28</f>
        <v>1</v>
      </c>
      <c r="Q28" s="55">
        <f>E28/$E$28</f>
        <v>1</v>
      </c>
      <c r="R28" s="49">
        <f>P28</f>
        <v>1</v>
      </c>
      <c r="S28" s="49">
        <f>Q28</f>
        <v>1</v>
      </c>
      <c r="T28" s="15"/>
    </row>
    <row r="29" spans="1:20" ht="15.75" thickBot="1" x14ac:dyDescent="0.3">
      <c r="A29" s="30">
        <v>1911</v>
      </c>
      <c r="B29" s="45">
        <v>46.4</v>
      </c>
      <c r="C29" s="32">
        <v>32.799999999999997</v>
      </c>
      <c r="D29" s="48">
        <v>0.997</v>
      </c>
      <c r="E29" s="33">
        <v>0.98099999999999998</v>
      </c>
      <c r="H29" s="15"/>
      <c r="I29" s="15"/>
      <c r="J29" s="15"/>
      <c r="K29" s="15"/>
      <c r="L29" s="15"/>
      <c r="M29" s="15"/>
      <c r="O29" s="15">
        <f>O28+1</f>
        <v>1</v>
      </c>
      <c r="P29" s="49">
        <f t="shared" ref="P29:P92" si="0">D29/$D$28</f>
        <v>0.99799799799799804</v>
      </c>
      <c r="Q29" s="55">
        <f t="shared" ref="Q29:Q92" si="1">E29/$E$28</f>
        <v>0.98891129032258063</v>
      </c>
      <c r="R29" s="49">
        <f t="shared" ref="R29:R92" si="2">P29</f>
        <v>0.99799799799799804</v>
      </c>
      <c r="S29" s="49">
        <f t="shared" ref="S29:S92" si="3">Q29</f>
        <v>0.98891129032258063</v>
      </c>
      <c r="T29" s="15"/>
    </row>
    <row r="30" spans="1:20" ht="15.75" thickBot="1" x14ac:dyDescent="0.3">
      <c r="A30" s="30">
        <v>1912</v>
      </c>
      <c r="B30" s="45">
        <v>46.3</v>
      </c>
      <c r="C30" s="32">
        <v>32.299999999999997</v>
      </c>
      <c r="D30" s="48">
        <v>0.995</v>
      </c>
      <c r="E30" s="33">
        <v>0.96699999999999997</v>
      </c>
      <c r="H30" s="15">
        <v>0</v>
      </c>
      <c r="I30" s="49">
        <f>D30/$D$30</f>
        <v>1</v>
      </c>
      <c r="J30" s="49">
        <f>E30/$E$30</f>
        <v>1</v>
      </c>
      <c r="K30" s="49">
        <f>I30</f>
        <v>1</v>
      </c>
      <c r="L30" s="49">
        <f>J30</f>
        <v>1</v>
      </c>
      <c r="M30" s="15"/>
      <c r="O30" s="15">
        <f t="shared" ref="O30:O93" si="4">O29+1</f>
        <v>2</v>
      </c>
      <c r="P30" s="49">
        <f t="shared" si="0"/>
        <v>0.99599599599599598</v>
      </c>
      <c r="Q30" s="55">
        <f t="shared" si="1"/>
        <v>0.97479838709677413</v>
      </c>
      <c r="R30" s="49">
        <f t="shared" si="2"/>
        <v>0.99599599599599598</v>
      </c>
      <c r="S30" s="49">
        <f t="shared" si="3"/>
        <v>0.97479838709677413</v>
      </c>
      <c r="T30" s="15"/>
    </row>
    <row r="31" spans="1:20" ht="15.75" thickBot="1" x14ac:dyDescent="0.3">
      <c r="A31" s="30">
        <v>1913</v>
      </c>
      <c r="B31" s="45">
        <v>46.2</v>
      </c>
      <c r="C31" s="32">
        <v>31.9</v>
      </c>
      <c r="D31" s="48">
        <v>0.99199999999999999</v>
      </c>
      <c r="E31" s="33">
        <v>0.95299999999999996</v>
      </c>
      <c r="H31" s="15">
        <f>H30+1</f>
        <v>1</v>
      </c>
      <c r="I31" s="49">
        <f t="shared" ref="I31:I94" si="5">D31/$D$30</f>
        <v>0.99698492462311561</v>
      </c>
      <c r="J31" s="49">
        <f t="shared" ref="J31:J94" si="6">E31/$E$30</f>
        <v>0.98552223371251291</v>
      </c>
      <c r="K31" s="49">
        <f>I31</f>
        <v>0.99698492462311561</v>
      </c>
      <c r="L31" s="49">
        <f t="shared" ref="L31:L94" si="7">J31</f>
        <v>0.98552223371251291</v>
      </c>
      <c r="M31" s="15"/>
      <c r="O31" s="15">
        <f t="shared" si="4"/>
        <v>3</v>
      </c>
      <c r="P31" s="49">
        <f t="shared" si="0"/>
        <v>0.99299299299299304</v>
      </c>
      <c r="Q31" s="55">
        <f t="shared" si="1"/>
        <v>0.96068548387096775</v>
      </c>
      <c r="R31" s="49">
        <f t="shared" si="2"/>
        <v>0.99299299299299304</v>
      </c>
      <c r="S31" s="49">
        <f t="shared" si="3"/>
        <v>0.96068548387096775</v>
      </c>
      <c r="T31" s="15"/>
    </row>
    <row r="32" spans="1:20" ht="15.75" thickBot="1" x14ac:dyDescent="0.3">
      <c r="A32" s="30">
        <v>1914</v>
      </c>
      <c r="B32" s="45">
        <v>46.1</v>
      </c>
      <c r="C32" s="32">
        <v>31.4</v>
      </c>
      <c r="D32" s="48">
        <v>0.99</v>
      </c>
      <c r="E32" s="33">
        <v>0.94</v>
      </c>
      <c r="H32" s="15">
        <f t="shared" ref="H32:H95" si="8">H31+1</f>
        <v>2</v>
      </c>
      <c r="I32" s="49">
        <f t="shared" si="5"/>
        <v>0.99497487437185927</v>
      </c>
      <c r="J32" s="49">
        <f t="shared" si="6"/>
        <v>0.97207859358841775</v>
      </c>
      <c r="K32" s="49">
        <f t="shared" ref="K32:K94" si="9">I32</f>
        <v>0.99497487437185927</v>
      </c>
      <c r="L32" s="49">
        <f t="shared" si="7"/>
        <v>0.97207859358841775</v>
      </c>
      <c r="M32" s="15"/>
      <c r="O32" s="15">
        <f t="shared" si="4"/>
        <v>4</v>
      </c>
      <c r="P32" s="49">
        <f t="shared" si="0"/>
        <v>0.99099099099099097</v>
      </c>
      <c r="Q32" s="55">
        <f t="shared" si="1"/>
        <v>0.94758064516129026</v>
      </c>
      <c r="R32" s="49">
        <f t="shared" si="2"/>
        <v>0.99099099099099097</v>
      </c>
      <c r="S32" s="49">
        <f t="shared" si="3"/>
        <v>0.94758064516129026</v>
      </c>
      <c r="T32" s="15"/>
    </row>
    <row r="33" spans="1:20" ht="15.75" thickBot="1" x14ac:dyDescent="0.3">
      <c r="A33" s="30">
        <v>1915</v>
      </c>
      <c r="B33" s="45">
        <v>46</v>
      </c>
      <c r="C33" s="32">
        <v>31</v>
      </c>
      <c r="D33" s="48">
        <v>0.98699999999999999</v>
      </c>
      <c r="E33" s="33">
        <v>0.92700000000000005</v>
      </c>
      <c r="H33" s="15">
        <f t="shared" si="8"/>
        <v>3</v>
      </c>
      <c r="I33" s="49">
        <f t="shared" si="5"/>
        <v>0.99195979899497488</v>
      </c>
      <c r="J33" s="49">
        <f t="shared" si="6"/>
        <v>0.9586349534643227</v>
      </c>
      <c r="K33" s="49">
        <f t="shared" si="9"/>
        <v>0.99195979899497488</v>
      </c>
      <c r="L33" s="49">
        <f t="shared" si="7"/>
        <v>0.9586349534643227</v>
      </c>
      <c r="M33" s="15"/>
      <c r="O33" s="15">
        <f t="shared" si="4"/>
        <v>5</v>
      </c>
      <c r="P33" s="49">
        <f t="shared" si="0"/>
        <v>0.98798798798798793</v>
      </c>
      <c r="Q33" s="55">
        <f t="shared" si="1"/>
        <v>0.93447580645161299</v>
      </c>
      <c r="R33" s="49">
        <f t="shared" si="2"/>
        <v>0.98798798798798793</v>
      </c>
      <c r="S33" s="49">
        <f t="shared" si="3"/>
        <v>0.93447580645161299</v>
      </c>
      <c r="T33" s="15"/>
    </row>
    <row r="34" spans="1:20" ht="15.75" thickBot="1" x14ac:dyDescent="0.3">
      <c r="A34" s="30">
        <v>1916</v>
      </c>
      <c r="B34" s="45">
        <v>45.8</v>
      </c>
      <c r="C34" s="32">
        <v>30.6</v>
      </c>
      <c r="D34" s="48">
        <v>0.98499999999999999</v>
      </c>
      <c r="E34" s="33">
        <v>0.91400000000000003</v>
      </c>
      <c r="H34" s="15">
        <f t="shared" si="8"/>
        <v>4</v>
      </c>
      <c r="I34" s="49">
        <f t="shared" si="5"/>
        <v>0.98994974874371855</v>
      </c>
      <c r="J34" s="49">
        <f t="shared" si="6"/>
        <v>0.94519131334022755</v>
      </c>
      <c r="K34" s="49">
        <f t="shared" si="9"/>
        <v>0.98994974874371855</v>
      </c>
      <c r="L34" s="49">
        <f t="shared" si="7"/>
        <v>0.94519131334022755</v>
      </c>
      <c r="M34" s="15"/>
      <c r="O34" s="15">
        <f t="shared" si="4"/>
        <v>6</v>
      </c>
      <c r="P34" s="49">
        <f t="shared" si="0"/>
        <v>0.98598598598598597</v>
      </c>
      <c r="Q34" s="55">
        <f t="shared" si="1"/>
        <v>0.9213709677419355</v>
      </c>
      <c r="R34" s="49">
        <f t="shared" si="2"/>
        <v>0.98598598598598597</v>
      </c>
      <c r="S34" s="49">
        <f t="shared" si="3"/>
        <v>0.9213709677419355</v>
      </c>
      <c r="T34" s="15"/>
    </row>
    <row r="35" spans="1:20" ht="15.75" thickBot="1" x14ac:dyDescent="0.3">
      <c r="A35" s="30">
        <v>1917</v>
      </c>
      <c r="B35" s="45">
        <v>45.7</v>
      </c>
      <c r="C35" s="32">
        <v>30.1</v>
      </c>
      <c r="D35" s="48">
        <v>0.98199999999999998</v>
      </c>
      <c r="E35" s="33">
        <v>0.90100000000000002</v>
      </c>
      <c r="H35" s="15">
        <f t="shared" si="8"/>
        <v>5</v>
      </c>
      <c r="I35" s="49">
        <f t="shared" si="5"/>
        <v>0.98693467336683416</v>
      </c>
      <c r="J35" s="49">
        <f t="shared" si="6"/>
        <v>0.93174767321613239</v>
      </c>
      <c r="K35" s="49">
        <f t="shared" si="9"/>
        <v>0.98693467336683416</v>
      </c>
      <c r="L35" s="49">
        <f t="shared" si="7"/>
        <v>0.93174767321613239</v>
      </c>
      <c r="M35" s="15"/>
      <c r="O35" s="15">
        <f t="shared" si="4"/>
        <v>7</v>
      </c>
      <c r="P35" s="49">
        <f t="shared" si="0"/>
        <v>0.98298298298298292</v>
      </c>
      <c r="Q35" s="55">
        <f t="shared" si="1"/>
        <v>0.90826612903225812</v>
      </c>
      <c r="R35" s="49">
        <f t="shared" si="2"/>
        <v>0.98298298298298292</v>
      </c>
      <c r="S35" s="49">
        <f t="shared" si="3"/>
        <v>0.90826612903225812</v>
      </c>
      <c r="T35" s="15"/>
    </row>
    <row r="36" spans="1:20" ht="15.75" thickBot="1" x14ac:dyDescent="0.3">
      <c r="A36" s="30">
        <v>1918</v>
      </c>
      <c r="B36" s="45">
        <v>45.6</v>
      </c>
      <c r="C36" s="32">
        <v>29.7</v>
      </c>
      <c r="D36" s="48">
        <v>0.98</v>
      </c>
      <c r="E36" s="33">
        <v>0.88700000000000001</v>
      </c>
      <c r="H36" s="15">
        <f t="shared" si="8"/>
        <v>6</v>
      </c>
      <c r="I36" s="49">
        <f t="shared" si="5"/>
        <v>0.98492462311557782</v>
      </c>
      <c r="J36" s="49">
        <f t="shared" si="6"/>
        <v>0.9172699069286453</v>
      </c>
      <c r="K36" s="49">
        <f>I36 *M36</f>
        <v>0.50231155778894465</v>
      </c>
      <c r="L36" s="49">
        <f t="shared" si="7"/>
        <v>0.9172699069286453</v>
      </c>
      <c r="M36" s="52">
        <v>0.51</v>
      </c>
      <c r="O36" s="15">
        <f t="shared" si="4"/>
        <v>8</v>
      </c>
      <c r="P36" s="49">
        <f t="shared" si="0"/>
        <v>0.98098098098098097</v>
      </c>
      <c r="Q36" s="55">
        <f t="shared" si="1"/>
        <v>0.89415322580645162</v>
      </c>
      <c r="R36" s="49">
        <f>P36 * T36</f>
        <v>0.50030030030030026</v>
      </c>
      <c r="S36" s="49">
        <f t="shared" si="3"/>
        <v>0.89415322580645162</v>
      </c>
      <c r="T36" s="52">
        <v>0.51</v>
      </c>
    </row>
    <row r="37" spans="1:20" ht="15.75" thickBot="1" x14ac:dyDescent="0.3">
      <c r="A37" s="30">
        <v>1919</v>
      </c>
      <c r="B37" s="45">
        <v>45.6</v>
      </c>
      <c r="C37" s="32">
        <v>29.2</v>
      </c>
      <c r="D37" s="48">
        <v>0.98</v>
      </c>
      <c r="E37" s="33">
        <v>0.874</v>
      </c>
      <c r="H37" s="15">
        <f t="shared" si="8"/>
        <v>7</v>
      </c>
      <c r="I37" s="49">
        <f t="shared" si="5"/>
        <v>0.98492462311557782</v>
      </c>
      <c r="J37" s="49">
        <f t="shared" si="6"/>
        <v>0.90382626680455014</v>
      </c>
      <c r="K37" s="49">
        <f>I37 *M37</f>
        <v>0.59095477386934669</v>
      </c>
      <c r="L37" s="49">
        <f t="shared" si="7"/>
        <v>0.90382626680455014</v>
      </c>
      <c r="M37" s="52">
        <v>0.6</v>
      </c>
      <c r="O37" s="15">
        <f t="shared" si="4"/>
        <v>9</v>
      </c>
      <c r="P37" s="49">
        <f t="shared" si="0"/>
        <v>0.98098098098098097</v>
      </c>
      <c r="Q37" s="55">
        <f t="shared" si="1"/>
        <v>0.88104838709677424</v>
      </c>
      <c r="R37" s="49">
        <f>P37 * T37</f>
        <v>0.58858858858858853</v>
      </c>
      <c r="S37" s="49">
        <f t="shared" si="3"/>
        <v>0.88104838709677424</v>
      </c>
      <c r="T37" s="52">
        <v>0.6</v>
      </c>
    </row>
    <row r="38" spans="1:20" ht="15.75" thickBot="1" x14ac:dyDescent="0.3">
      <c r="A38" s="30">
        <v>1920</v>
      </c>
      <c r="B38" s="45">
        <v>45.5</v>
      </c>
      <c r="C38" s="32">
        <v>28.8</v>
      </c>
      <c r="D38" s="48">
        <v>0.97799999999999998</v>
      </c>
      <c r="E38" s="33">
        <v>0.86299999999999999</v>
      </c>
      <c r="H38" s="15">
        <f t="shared" si="8"/>
        <v>8</v>
      </c>
      <c r="I38" s="49">
        <f t="shared" si="5"/>
        <v>0.9829145728643216</v>
      </c>
      <c r="J38" s="49">
        <f t="shared" si="6"/>
        <v>0.89245087900723885</v>
      </c>
      <c r="K38" s="49">
        <f t="shared" si="9"/>
        <v>0.9829145728643216</v>
      </c>
      <c r="L38" s="49">
        <f t="shared" si="7"/>
        <v>0.89245087900723885</v>
      </c>
      <c r="M38" s="15"/>
      <c r="O38" s="15">
        <f t="shared" si="4"/>
        <v>10</v>
      </c>
      <c r="P38" s="49">
        <f t="shared" si="0"/>
        <v>0.97897897897897901</v>
      </c>
      <c r="Q38" s="55">
        <f t="shared" si="1"/>
        <v>0.86995967741935487</v>
      </c>
      <c r="R38" s="49">
        <f t="shared" si="2"/>
        <v>0.97897897897897901</v>
      </c>
      <c r="S38" s="49">
        <f t="shared" si="3"/>
        <v>0.86995967741935487</v>
      </c>
      <c r="T38" s="15"/>
    </row>
    <row r="39" spans="1:20" ht="15.75" thickBot="1" x14ac:dyDescent="0.3">
      <c r="A39" s="30">
        <v>1921</v>
      </c>
      <c r="B39" s="45">
        <v>45.4</v>
      </c>
      <c r="C39" s="32">
        <v>28.7</v>
      </c>
      <c r="D39" s="48">
        <v>0.97499999999999998</v>
      </c>
      <c r="E39" s="33">
        <v>0.85899999999999999</v>
      </c>
      <c r="H39" s="15">
        <f t="shared" si="8"/>
        <v>9</v>
      </c>
      <c r="I39" s="49">
        <f t="shared" si="5"/>
        <v>0.97989949748743721</v>
      </c>
      <c r="J39" s="49">
        <f t="shared" si="6"/>
        <v>0.88831437435367111</v>
      </c>
      <c r="K39" s="49">
        <f t="shared" si="9"/>
        <v>0.97989949748743721</v>
      </c>
      <c r="L39" s="49">
        <f t="shared" si="7"/>
        <v>0.88831437435367111</v>
      </c>
      <c r="M39" s="15"/>
      <c r="O39" s="15">
        <f t="shared" si="4"/>
        <v>11</v>
      </c>
      <c r="P39" s="49">
        <f t="shared" si="0"/>
        <v>0.97597597597597596</v>
      </c>
      <c r="Q39" s="55">
        <f t="shared" si="1"/>
        <v>0.86592741935483875</v>
      </c>
      <c r="R39" s="49">
        <f t="shared" si="2"/>
        <v>0.97597597597597596</v>
      </c>
      <c r="S39" s="49">
        <f t="shared" si="3"/>
        <v>0.86592741935483875</v>
      </c>
      <c r="T39" s="15"/>
    </row>
    <row r="40" spans="1:20" ht="15.75" thickBot="1" x14ac:dyDescent="0.3">
      <c r="A40" s="30">
        <v>1922</v>
      </c>
      <c r="B40" s="45">
        <v>45.2</v>
      </c>
      <c r="C40" s="32">
        <v>28.5</v>
      </c>
      <c r="D40" s="48">
        <v>0.97199999999999998</v>
      </c>
      <c r="E40" s="33">
        <v>0.85099999999999998</v>
      </c>
      <c r="H40" s="15">
        <f t="shared" si="8"/>
        <v>10</v>
      </c>
      <c r="I40" s="49">
        <f t="shared" si="5"/>
        <v>0.97688442211055271</v>
      </c>
      <c r="J40" s="49">
        <f t="shared" si="6"/>
        <v>0.88004136504653563</v>
      </c>
      <c r="K40" s="49">
        <f t="shared" si="9"/>
        <v>0.97688442211055271</v>
      </c>
      <c r="L40" s="49">
        <f t="shared" si="7"/>
        <v>0.88004136504653563</v>
      </c>
      <c r="M40" s="15"/>
      <c r="O40" s="15">
        <f t="shared" si="4"/>
        <v>12</v>
      </c>
      <c r="P40" s="49">
        <f t="shared" si="0"/>
        <v>0.97297297297297292</v>
      </c>
      <c r="Q40" s="55">
        <f t="shared" si="1"/>
        <v>0.85786290322580638</v>
      </c>
      <c r="R40" s="49">
        <f t="shared" si="2"/>
        <v>0.97297297297297292</v>
      </c>
      <c r="S40" s="49">
        <f t="shared" si="3"/>
        <v>0.85786290322580638</v>
      </c>
      <c r="T40" s="15"/>
    </row>
    <row r="41" spans="1:20" ht="15.75" thickBot="1" x14ac:dyDescent="0.3">
      <c r="A41" s="30">
        <v>1923</v>
      </c>
      <c r="B41" s="45">
        <v>45</v>
      </c>
      <c r="C41" s="32">
        <v>28.1</v>
      </c>
      <c r="D41" s="48">
        <v>0.96799999999999997</v>
      </c>
      <c r="E41" s="33">
        <v>0.84099999999999997</v>
      </c>
      <c r="H41" s="15">
        <f t="shared" si="8"/>
        <v>11</v>
      </c>
      <c r="I41" s="49">
        <f t="shared" si="5"/>
        <v>0.97286432160804015</v>
      </c>
      <c r="J41" s="49">
        <f t="shared" si="6"/>
        <v>0.86970010341261639</v>
      </c>
      <c r="K41" s="49">
        <f t="shared" si="9"/>
        <v>0.97286432160804015</v>
      </c>
      <c r="L41" s="49">
        <f t="shared" si="7"/>
        <v>0.86970010341261639</v>
      </c>
      <c r="M41" s="15"/>
      <c r="O41" s="15">
        <f t="shared" si="4"/>
        <v>13</v>
      </c>
      <c r="P41" s="49">
        <f t="shared" si="0"/>
        <v>0.96896896896896889</v>
      </c>
      <c r="Q41" s="55">
        <f t="shared" si="1"/>
        <v>0.84778225806451613</v>
      </c>
      <c r="R41" s="49">
        <f t="shared" si="2"/>
        <v>0.96896896896896889</v>
      </c>
      <c r="S41" s="49">
        <f t="shared" si="3"/>
        <v>0.84778225806451613</v>
      </c>
      <c r="T41" s="15"/>
    </row>
    <row r="42" spans="1:20" ht="15.75" thickBot="1" x14ac:dyDescent="0.3">
      <c r="A42" s="30">
        <v>1924</v>
      </c>
      <c r="B42" s="45">
        <v>44.5</v>
      </c>
      <c r="C42" s="32">
        <v>27.7</v>
      </c>
      <c r="D42" s="48">
        <v>0.95599999999999996</v>
      </c>
      <c r="E42" s="33">
        <v>0.82899999999999996</v>
      </c>
      <c r="H42" s="15">
        <f t="shared" si="8"/>
        <v>12</v>
      </c>
      <c r="I42" s="49">
        <f t="shared" si="5"/>
        <v>0.96080402010050248</v>
      </c>
      <c r="J42" s="49">
        <f t="shared" si="6"/>
        <v>0.85729058945191317</v>
      </c>
      <c r="K42" s="49">
        <f t="shared" si="9"/>
        <v>0.96080402010050248</v>
      </c>
      <c r="L42" s="49">
        <f t="shared" si="7"/>
        <v>0.85729058945191317</v>
      </c>
      <c r="M42" s="15"/>
      <c r="O42" s="15">
        <f t="shared" si="4"/>
        <v>14</v>
      </c>
      <c r="P42" s="49">
        <f t="shared" si="0"/>
        <v>0.95695695695695693</v>
      </c>
      <c r="Q42" s="55">
        <f t="shared" si="1"/>
        <v>0.83568548387096775</v>
      </c>
      <c r="R42" s="49">
        <f t="shared" si="2"/>
        <v>0.95695695695695693</v>
      </c>
      <c r="S42" s="49">
        <f t="shared" si="3"/>
        <v>0.83568548387096775</v>
      </c>
      <c r="T42" s="15"/>
    </row>
    <row r="43" spans="1:20" ht="15.75" thickBot="1" x14ac:dyDescent="0.3">
      <c r="A43" s="30">
        <v>1925</v>
      </c>
      <c r="B43" s="45">
        <v>44.7</v>
      </c>
      <c r="C43" s="32">
        <v>27.3</v>
      </c>
      <c r="D43" s="48">
        <v>0.96099999999999997</v>
      </c>
      <c r="E43" s="33">
        <v>0.81799999999999995</v>
      </c>
      <c r="H43" s="15">
        <f t="shared" si="8"/>
        <v>13</v>
      </c>
      <c r="I43" s="49">
        <f t="shared" si="5"/>
        <v>0.9658291457286432</v>
      </c>
      <c r="J43" s="49">
        <f t="shared" si="6"/>
        <v>0.84591520165460188</v>
      </c>
      <c r="K43" s="49">
        <f t="shared" si="9"/>
        <v>0.9658291457286432</v>
      </c>
      <c r="L43" s="49">
        <f t="shared" si="7"/>
        <v>0.84591520165460188</v>
      </c>
      <c r="M43" s="15"/>
      <c r="O43" s="15">
        <f t="shared" si="4"/>
        <v>15</v>
      </c>
      <c r="P43" s="49">
        <f t="shared" si="0"/>
        <v>0.96196196196196193</v>
      </c>
      <c r="Q43" s="55">
        <f t="shared" si="1"/>
        <v>0.82459677419354838</v>
      </c>
      <c r="R43" s="49">
        <f t="shared" si="2"/>
        <v>0.96196196196196193</v>
      </c>
      <c r="S43" s="49">
        <f t="shared" si="3"/>
        <v>0.82459677419354838</v>
      </c>
      <c r="T43" s="15"/>
    </row>
    <row r="44" spans="1:20" ht="15.75" thickBot="1" x14ac:dyDescent="0.3">
      <c r="A44" s="30">
        <v>1926</v>
      </c>
      <c r="B44" s="45">
        <v>44.9</v>
      </c>
      <c r="C44" s="32">
        <v>26.9</v>
      </c>
      <c r="D44" s="48">
        <v>0.96599999999999997</v>
      </c>
      <c r="E44" s="33">
        <v>0.80600000000000005</v>
      </c>
      <c r="H44" s="15">
        <f t="shared" si="8"/>
        <v>14</v>
      </c>
      <c r="I44" s="49">
        <f t="shared" si="5"/>
        <v>0.97085427135678393</v>
      </c>
      <c r="J44" s="49">
        <f t="shared" si="6"/>
        <v>0.83350568769389877</v>
      </c>
      <c r="K44" s="49">
        <f t="shared" si="9"/>
        <v>0.97085427135678393</v>
      </c>
      <c r="L44" s="49">
        <f t="shared" si="7"/>
        <v>0.83350568769389877</v>
      </c>
      <c r="M44" s="15"/>
      <c r="O44" s="15">
        <f t="shared" si="4"/>
        <v>16</v>
      </c>
      <c r="P44" s="49">
        <f t="shared" si="0"/>
        <v>0.96696696696696693</v>
      </c>
      <c r="Q44" s="55">
        <f t="shared" si="1"/>
        <v>0.81250000000000011</v>
      </c>
      <c r="R44" s="49">
        <f t="shared" si="2"/>
        <v>0.96696696696696693</v>
      </c>
      <c r="S44" s="49">
        <f t="shared" si="3"/>
        <v>0.81250000000000011</v>
      </c>
      <c r="T44" s="15"/>
    </row>
    <row r="45" spans="1:20" ht="15.75" thickBot="1" x14ac:dyDescent="0.3">
      <c r="A45" s="30">
        <v>1927</v>
      </c>
      <c r="B45" s="45">
        <v>45.1</v>
      </c>
      <c r="C45" s="32">
        <v>26.7</v>
      </c>
      <c r="D45" s="48">
        <v>0.96899999999999997</v>
      </c>
      <c r="E45" s="33">
        <v>0.79900000000000004</v>
      </c>
      <c r="H45" s="15">
        <f t="shared" si="8"/>
        <v>15</v>
      </c>
      <c r="I45" s="49">
        <f t="shared" si="5"/>
        <v>0.97386934673366832</v>
      </c>
      <c r="J45" s="49">
        <f t="shared" si="6"/>
        <v>0.82626680455015522</v>
      </c>
      <c r="K45" s="49">
        <f t="shared" si="9"/>
        <v>0.97386934673366832</v>
      </c>
      <c r="L45" s="49">
        <f t="shared" si="7"/>
        <v>0.82626680455015522</v>
      </c>
      <c r="M45" s="15"/>
      <c r="O45" s="15">
        <f t="shared" si="4"/>
        <v>17</v>
      </c>
      <c r="P45" s="49">
        <f t="shared" si="0"/>
        <v>0.96996996996996998</v>
      </c>
      <c r="Q45" s="55">
        <f t="shared" si="1"/>
        <v>0.80544354838709686</v>
      </c>
      <c r="R45" s="49">
        <f t="shared" si="2"/>
        <v>0.96996996996996998</v>
      </c>
      <c r="S45" s="49">
        <f t="shared" si="3"/>
        <v>0.80544354838709686</v>
      </c>
      <c r="T45" s="15"/>
    </row>
    <row r="46" spans="1:20" ht="15.75" thickBot="1" x14ac:dyDescent="0.3">
      <c r="A46" s="30">
        <v>1928</v>
      </c>
      <c r="B46" s="45">
        <v>44.9</v>
      </c>
      <c r="C46" s="32">
        <v>26.5</v>
      </c>
      <c r="D46" s="48">
        <v>0.96499999999999997</v>
      </c>
      <c r="E46" s="33">
        <v>0.79400000000000004</v>
      </c>
      <c r="H46" s="15">
        <f t="shared" si="8"/>
        <v>16</v>
      </c>
      <c r="I46" s="49">
        <f t="shared" si="5"/>
        <v>0.96984924623115576</v>
      </c>
      <c r="J46" s="49">
        <f t="shared" si="6"/>
        <v>0.82109617373319554</v>
      </c>
      <c r="K46" s="49">
        <f t="shared" si="9"/>
        <v>0.96984924623115576</v>
      </c>
      <c r="L46" s="49">
        <f t="shared" si="7"/>
        <v>0.82109617373319554</v>
      </c>
      <c r="M46" s="15"/>
      <c r="O46" s="15">
        <f t="shared" si="4"/>
        <v>18</v>
      </c>
      <c r="P46" s="49">
        <f t="shared" si="0"/>
        <v>0.96596596596596596</v>
      </c>
      <c r="Q46" s="55">
        <f t="shared" si="1"/>
        <v>0.80040322580645162</v>
      </c>
      <c r="R46" s="49">
        <f t="shared" si="2"/>
        <v>0.96596596596596596</v>
      </c>
      <c r="S46" s="49">
        <f t="shared" si="3"/>
        <v>0.80040322580645162</v>
      </c>
      <c r="T46" s="15"/>
    </row>
    <row r="47" spans="1:20" ht="15.75" thickBot="1" x14ac:dyDescent="0.3">
      <c r="A47" s="30">
        <v>1929</v>
      </c>
      <c r="B47" s="45">
        <v>44.9</v>
      </c>
      <c r="C47" s="32">
        <v>26.6</v>
      </c>
      <c r="D47" s="48">
        <v>0.96499999999999997</v>
      </c>
      <c r="E47" s="33">
        <v>0.79600000000000004</v>
      </c>
      <c r="H47" s="15">
        <f t="shared" si="8"/>
        <v>17</v>
      </c>
      <c r="I47" s="49">
        <f t="shared" si="5"/>
        <v>0.96984924623115576</v>
      </c>
      <c r="J47" s="49">
        <f t="shared" si="6"/>
        <v>0.82316442605997941</v>
      </c>
      <c r="K47" s="49">
        <f t="shared" si="9"/>
        <v>0.96984924623115576</v>
      </c>
      <c r="L47" s="49">
        <f t="shared" si="7"/>
        <v>0.82316442605997941</v>
      </c>
      <c r="M47" s="15"/>
      <c r="O47" s="15">
        <f t="shared" si="4"/>
        <v>19</v>
      </c>
      <c r="P47" s="49">
        <f t="shared" si="0"/>
        <v>0.96596596596596596</v>
      </c>
      <c r="Q47" s="55">
        <f t="shared" si="1"/>
        <v>0.80241935483870974</v>
      </c>
      <c r="R47" s="49">
        <f t="shared" si="2"/>
        <v>0.96596596596596596</v>
      </c>
      <c r="S47" s="49">
        <f t="shared" si="3"/>
        <v>0.80241935483870974</v>
      </c>
      <c r="T47" s="15"/>
    </row>
    <row r="48" spans="1:20" ht="15.75" thickBot="1" x14ac:dyDescent="0.3">
      <c r="A48" s="30">
        <v>1930</v>
      </c>
      <c r="B48" s="45">
        <v>44.7</v>
      </c>
      <c r="C48" s="32">
        <v>26.6</v>
      </c>
      <c r="D48" s="48">
        <v>0.96199999999999997</v>
      </c>
      <c r="E48" s="33">
        <v>0.79500000000000004</v>
      </c>
      <c r="H48" s="15">
        <f t="shared" si="8"/>
        <v>18</v>
      </c>
      <c r="I48" s="49">
        <f t="shared" si="5"/>
        <v>0.96683417085427137</v>
      </c>
      <c r="J48" s="49">
        <f t="shared" si="6"/>
        <v>0.82213029989658748</v>
      </c>
      <c r="K48" s="49">
        <f t="shared" si="9"/>
        <v>0.96683417085427137</v>
      </c>
      <c r="L48" s="49">
        <f t="shared" si="7"/>
        <v>0.82213029989658748</v>
      </c>
      <c r="M48" s="15"/>
      <c r="O48" s="15">
        <f t="shared" si="4"/>
        <v>20</v>
      </c>
      <c r="P48" s="49">
        <f t="shared" si="0"/>
        <v>0.96296296296296291</v>
      </c>
      <c r="Q48" s="55">
        <f t="shared" si="1"/>
        <v>0.80141129032258074</v>
      </c>
      <c r="R48" s="49">
        <f t="shared" si="2"/>
        <v>0.96296296296296291</v>
      </c>
      <c r="S48" s="49">
        <f t="shared" si="3"/>
        <v>0.80141129032258074</v>
      </c>
      <c r="T48" s="15"/>
    </row>
    <row r="49" spans="1:20" ht="15.75" thickBot="1" x14ac:dyDescent="0.3">
      <c r="A49" s="30">
        <v>1931</v>
      </c>
      <c r="B49" s="45">
        <v>44.5</v>
      </c>
      <c r="C49" s="32">
        <v>26.4</v>
      </c>
      <c r="D49" s="48">
        <v>0.95599999999999996</v>
      </c>
      <c r="E49" s="33">
        <v>0.78800000000000003</v>
      </c>
      <c r="H49" s="15">
        <f t="shared" si="8"/>
        <v>19</v>
      </c>
      <c r="I49" s="49">
        <f t="shared" si="5"/>
        <v>0.96080402010050248</v>
      </c>
      <c r="J49" s="49">
        <f t="shared" si="6"/>
        <v>0.81489141675284393</v>
      </c>
      <c r="K49" s="49">
        <f t="shared" si="9"/>
        <v>0.96080402010050248</v>
      </c>
      <c r="L49" s="49">
        <f t="shared" si="7"/>
        <v>0.81489141675284393</v>
      </c>
      <c r="M49" s="15"/>
      <c r="O49" s="15">
        <f t="shared" si="4"/>
        <v>21</v>
      </c>
      <c r="P49" s="49">
        <f t="shared" si="0"/>
        <v>0.95695695695695693</v>
      </c>
      <c r="Q49" s="55">
        <f t="shared" si="1"/>
        <v>0.79435483870967749</v>
      </c>
      <c r="R49" s="49">
        <f t="shared" si="2"/>
        <v>0.95695695695695693</v>
      </c>
      <c r="S49" s="49">
        <f t="shared" si="3"/>
        <v>0.79435483870967749</v>
      </c>
      <c r="T49" s="15"/>
    </row>
    <row r="50" spans="1:20" ht="15.75" thickBot="1" x14ac:dyDescent="0.3">
      <c r="A50" s="30">
        <v>1932</v>
      </c>
      <c r="B50" s="45">
        <v>44.2</v>
      </c>
      <c r="C50" s="32">
        <v>25.7</v>
      </c>
      <c r="D50" s="48">
        <v>0.95</v>
      </c>
      <c r="E50" s="33">
        <v>0.76800000000000002</v>
      </c>
      <c r="H50" s="15">
        <f t="shared" si="8"/>
        <v>20</v>
      </c>
      <c r="I50" s="49">
        <f t="shared" si="5"/>
        <v>0.95477386934673358</v>
      </c>
      <c r="J50" s="49">
        <f t="shared" si="6"/>
        <v>0.79420889348500523</v>
      </c>
      <c r="K50" s="49">
        <f t="shared" si="9"/>
        <v>0.95477386934673358</v>
      </c>
      <c r="L50" s="49">
        <f t="shared" si="7"/>
        <v>0.79420889348500523</v>
      </c>
      <c r="M50" s="15"/>
      <c r="O50" s="15">
        <f t="shared" si="4"/>
        <v>22</v>
      </c>
      <c r="P50" s="49">
        <f t="shared" si="0"/>
        <v>0.95095095095095095</v>
      </c>
      <c r="Q50" s="55">
        <f t="shared" si="1"/>
        <v>0.77419354838709675</v>
      </c>
      <c r="R50" s="49">
        <f t="shared" si="2"/>
        <v>0.95095095095095095</v>
      </c>
      <c r="S50" s="49">
        <f t="shared" si="3"/>
        <v>0.77419354838709675</v>
      </c>
      <c r="T50" s="15"/>
    </row>
    <row r="51" spans="1:20" ht="15.75" thickBot="1" x14ac:dyDescent="0.3">
      <c r="A51" s="30">
        <v>1933</v>
      </c>
      <c r="B51" s="45">
        <v>43.8</v>
      </c>
      <c r="C51" s="32">
        <v>24.8</v>
      </c>
      <c r="D51" s="48">
        <v>0.94099999999999995</v>
      </c>
      <c r="E51" s="33">
        <v>0.74199999999999999</v>
      </c>
      <c r="H51" s="15">
        <f t="shared" si="8"/>
        <v>21</v>
      </c>
      <c r="I51" s="49">
        <f t="shared" si="5"/>
        <v>0.9457286432160803</v>
      </c>
      <c r="J51" s="49">
        <f t="shared" si="6"/>
        <v>0.76732161323681491</v>
      </c>
      <c r="K51" s="49">
        <f t="shared" si="9"/>
        <v>0.9457286432160803</v>
      </c>
      <c r="L51" s="49">
        <f t="shared" si="7"/>
        <v>0.76732161323681491</v>
      </c>
      <c r="M51" s="15"/>
      <c r="O51" s="15">
        <f t="shared" si="4"/>
        <v>23</v>
      </c>
      <c r="P51" s="49">
        <f t="shared" si="0"/>
        <v>0.94194194194194192</v>
      </c>
      <c r="Q51" s="55">
        <f t="shared" si="1"/>
        <v>0.74798387096774188</v>
      </c>
      <c r="R51" s="49">
        <f t="shared" si="2"/>
        <v>0.94194194194194192</v>
      </c>
      <c r="S51" s="49">
        <f t="shared" si="3"/>
        <v>0.74798387096774188</v>
      </c>
      <c r="T51" s="15"/>
    </row>
    <row r="52" spans="1:20" ht="15.75" thickBot="1" x14ac:dyDescent="0.3">
      <c r="A52" s="30">
        <v>1934</v>
      </c>
      <c r="B52" s="45">
        <v>43.5</v>
      </c>
      <c r="C52" s="32">
        <v>24.3</v>
      </c>
      <c r="D52" s="48">
        <v>0.93400000000000005</v>
      </c>
      <c r="E52" s="33">
        <v>0.72699999999999998</v>
      </c>
      <c r="H52" s="15">
        <f t="shared" si="8"/>
        <v>22</v>
      </c>
      <c r="I52" s="49">
        <f t="shared" si="5"/>
        <v>0.93869346733668346</v>
      </c>
      <c r="J52" s="49">
        <f t="shared" si="6"/>
        <v>0.75180972078593589</v>
      </c>
      <c r="K52" s="49">
        <f t="shared" si="9"/>
        <v>0.93869346733668346</v>
      </c>
      <c r="L52" s="49">
        <f t="shared" si="7"/>
        <v>0.75180972078593589</v>
      </c>
      <c r="M52" s="15"/>
      <c r="O52" s="15">
        <f t="shared" si="4"/>
        <v>24</v>
      </c>
      <c r="P52" s="49">
        <f t="shared" si="0"/>
        <v>0.93493493493493496</v>
      </c>
      <c r="Q52" s="55">
        <f t="shared" si="1"/>
        <v>0.73286290322580638</v>
      </c>
      <c r="R52" s="49">
        <f t="shared" si="2"/>
        <v>0.93493493493493496</v>
      </c>
      <c r="S52" s="49">
        <f t="shared" si="3"/>
        <v>0.73286290322580638</v>
      </c>
      <c r="T52" s="15"/>
    </row>
    <row r="53" spans="1:20" ht="15.75" thickBot="1" x14ac:dyDescent="0.3">
      <c r="A53" s="30">
        <v>1935</v>
      </c>
      <c r="B53" s="45">
        <v>43.2</v>
      </c>
      <c r="C53" s="32">
        <v>23.8</v>
      </c>
      <c r="D53" s="48">
        <v>0.92900000000000005</v>
      </c>
      <c r="E53" s="33">
        <v>0.71199999999999997</v>
      </c>
      <c r="H53" s="15">
        <f t="shared" si="8"/>
        <v>23</v>
      </c>
      <c r="I53" s="49">
        <f t="shared" si="5"/>
        <v>0.93366834170854274</v>
      </c>
      <c r="J53" s="49">
        <f t="shared" si="6"/>
        <v>0.73629782833505686</v>
      </c>
      <c r="K53" s="49">
        <f t="shared" si="9"/>
        <v>0.93366834170854274</v>
      </c>
      <c r="L53" s="49">
        <f t="shared" si="7"/>
        <v>0.73629782833505686</v>
      </c>
      <c r="M53" s="15"/>
      <c r="O53" s="15">
        <f t="shared" si="4"/>
        <v>25</v>
      </c>
      <c r="P53" s="49">
        <f t="shared" si="0"/>
        <v>0.92992992992992995</v>
      </c>
      <c r="Q53" s="55">
        <f t="shared" si="1"/>
        <v>0.71774193548387089</v>
      </c>
      <c r="R53" s="49">
        <f t="shared" si="2"/>
        <v>0.92992992992992995</v>
      </c>
      <c r="S53" s="49">
        <f t="shared" si="3"/>
        <v>0.71774193548387089</v>
      </c>
      <c r="T53" s="15"/>
    </row>
    <row r="54" spans="1:20" ht="15.75" thickBot="1" x14ac:dyDescent="0.3">
      <c r="A54" s="30">
        <v>1936</v>
      </c>
      <c r="B54" s="45">
        <v>42.8</v>
      </c>
      <c r="C54" s="32">
        <v>23.3</v>
      </c>
      <c r="D54" s="48">
        <v>0.92100000000000004</v>
      </c>
      <c r="E54" s="33">
        <v>0.69799999999999995</v>
      </c>
      <c r="H54" s="15">
        <f t="shared" si="8"/>
        <v>24</v>
      </c>
      <c r="I54" s="49">
        <f t="shared" si="5"/>
        <v>0.92562814070351762</v>
      </c>
      <c r="J54" s="49">
        <f t="shared" si="6"/>
        <v>0.72182006204756977</v>
      </c>
      <c r="K54" s="49">
        <f t="shared" si="9"/>
        <v>0.92562814070351762</v>
      </c>
      <c r="L54" s="49">
        <f t="shared" si="7"/>
        <v>0.72182006204756977</v>
      </c>
      <c r="M54" s="15"/>
      <c r="O54" s="15">
        <f t="shared" si="4"/>
        <v>26</v>
      </c>
      <c r="P54" s="49">
        <f t="shared" si="0"/>
        <v>0.92192192192192202</v>
      </c>
      <c r="Q54" s="55">
        <f t="shared" si="1"/>
        <v>0.7036290322580645</v>
      </c>
      <c r="R54" s="49">
        <f t="shared" si="2"/>
        <v>0.92192192192192202</v>
      </c>
      <c r="S54" s="49">
        <f t="shared" si="3"/>
        <v>0.7036290322580645</v>
      </c>
      <c r="T54" s="15"/>
    </row>
    <row r="55" spans="1:20" ht="15.75" thickBot="1" x14ac:dyDescent="0.3">
      <c r="A55" s="30">
        <v>1937</v>
      </c>
      <c r="B55" s="45">
        <v>43.4</v>
      </c>
      <c r="C55" s="32">
        <v>23.3</v>
      </c>
      <c r="D55" s="48">
        <v>0.93300000000000005</v>
      </c>
      <c r="E55" s="33">
        <v>0.69599999999999995</v>
      </c>
      <c r="H55" s="15">
        <f t="shared" si="8"/>
        <v>25</v>
      </c>
      <c r="I55" s="49">
        <f t="shared" si="5"/>
        <v>0.9376884422110553</v>
      </c>
      <c r="J55" s="49">
        <f t="shared" si="6"/>
        <v>0.7197518097207859</v>
      </c>
      <c r="K55" s="49">
        <f t="shared" si="9"/>
        <v>0.9376884422110553</v>
      </c>
      <c r="L55" s="49">
        <f t="shared" si="7"/>
        <v>0.7197518097207859</v>
      </c>
      <c r="M55" s="15"/>
      <c r="O55" s="15">
        <f t="shared" si="4"/>
        <v>27</v>
      </c>
      <c r="P55" s="49">
        <f t="shared" si="0"/>
        <v>0.93393393393393398</v>
      </c>
      <c r="Q55" s="55">
        <f t="shared" si="1"/>
        <v>0.70161290322580638</v>
      </c>
      <c r="R55" s="49">
        <f t="shared" si="2"/>
        <v>0.93393393393393398</v>
      </c>
      <c r="S55" s="49">
        <f t="shared" si="3"/>
        <v>0.70161290322580638</v>
      </c>
      <c r="T55" s="15"/>
    </row>
    <row r="56" spans="1:20" ht="15.75" thickBot="1" x14ac:dyDescent="0.3">
      <c r="A56" s="30">
        <v>1938</v>
      </c>
      <c r="B56" s="45">
        <v>43.8</v>
      </c>
      <c r="C56" s="32">
        <v>23.3</v>
      </c>
      <c r="D56" s="48">
        <v>0.94199999999999995</v>
      </c>
      <c r="E56" s="33">
        <v>0.69699999999999995</v>
      </c>
      <c r="H56" s="15">
        <f t="shared" si="8"/>
        <v>26</v>
      </c>
      <c r="I56" s="49">
        <f t="shared" si="5"/>
        <v>0.94673366834170847</v>
      </c>
      <c r="J56" s="49">
        <f t="shared" si="6"/>
        <v>0.72078593588417783</v>
      </c>
      <c r="K56" s="49">
        <f t="shared" si="9"/>
        <v>0.94673366834170847</v>
      </c>
      <c r="L56" s="49">
        <f t="shared" si="7"/>
        <v>0.72078593588417783</v>
      </c>
      <c r="M56" s="15"/>
      <c r="O56" s="15">
        <f t="shared" si="4"/>
        <v>28</v>
      </c>
      <c r="P56" s="49">
        <f t="shared" si="0"/>
        <v>0.9429429429429429</v>
      </c>
      <c r="Q56" s="55">
        <f t="shared" si="1"/>
        <v>0.70262096774193539</v>
      </c>
      <c r="R56" s="49">
        <f t="shared" si="2"/>
        <v>0.9429429429429429</v>
      </c>
      <c r="S56" s="49">
        <f t="shared" si="3"/>
        <v>0.70262096774193539</v>
      </c>
      <c r="T56" s="15"/>
    </row>
    <row r="57" spans="1:20" ht="15.75" thickBot="1" x14ac:dyDescent="0.3">
      <c r="A57" s="30">
        <v>1939</v>
      </c>
      <c r="B57" s="45">
        <v>44.1</v>
      </c>
      <c r="C57" s="32">
        <v>23.2</v>
      </c>
      <c r="D57" s="48">
        <v>0.94799999999999995</v>
      </c>
      <c r="E57" s="33">
        <v>0.69399999999999995</v>
      </c>
      <c r="H57" s="15">
        <f t="shared" si="8"/>
        <v>27</v>
      </c>
      <c r="I57" s="49">
        <f t="shared" si="5"/>
        <v>0.95276381909547736</v>
      </c>
      <c r="J57" s="49">
        <f t="shared" si="6"/>
        <v>0.71768355739400203</v>
      </c>
      <c r="K57" s="49">
        <f t="shared" si="9"/>
        <v>0.95276381909547736</v>
      </c>
      <c r="L57" s="49">
        <f t="shared" si="7"/>
        <v>0.71768355739400203</v>
      </c>
      <c r="M57" s="15"/>
      <c r="O57" s="15">
        <f t="shared" si="4"/>
        <v>29</v>
      </c>
      <c r="P57" s="49">
        <f t="shared" si="0"/>
        <v>0.94894894894894888</v>
      </c>
      <c r="Q57" s="55">
        <f t="shared" si="1"/>
        <v>0.69959677419354838</v>
      </c>
      <c r="R57" s="49">
        <f t="shared" si="2"/>
        <v>0.94894894894894888</v>
      </c>
      <c r="S57" s="49">
        <f t="shared" si="3"/>
        <v>0.69959677419354838</v>
      </c>
      <c r="T57" s="15"/>
    </row>
    <row r="58" spans="1:20" ht="15.75" thickBot="1" x14ac:dyDescent="0.3">
      <c r="A58" s="30">
        <v>1940</v>
      </c>
      <c r="B58" s="45">
        <v>44.3</v>
      </c>
      <c r="C58" s="32">
        <v>23</v>
      </c>
      <c r="D58" s="48">
        <v>0.95299999999999996</v>
      </c>
      <c r="E58" s="33">
        <v>0.68799999999999994</v>
      </c>
      <c r="H58" s="15">
        <f t="shared" si="8"/>
        <v>28</v>
      </c>
      <c r="I58" s="49">
        <f t="shared" si="5"/>
        <v>0.95778894472361809</v>
      </c>
      <c r="J58" s="49">
        <f t="shared" si="6"/>
        <v>0.71147880041365041</v>
      </c>
      <c r="K58" s="49">
        <f t="shared" si="9"/>
        <v>0.95778894472361809</v>
      </c>
      <c r="L58" s="49">
        <f t="shared" si="7"/>
        <v>0.71147880041365041</v>
      </c>
      <c r="M58" s="15"/>
      <c r="O58" s="15">
        <f t="shared" si="4"/>
        <v>30</v>
      </c>
      <c r="P58" s="49">
        <f t="shared" si="0"/>
        <v>0.95395395395395388</v>
      </c>
      <c r="Q58" s="55">
        <f t="shared" si="1"/>
        <v>0.69354838709677413</v>
      </c>
      <c r="R58" s="49">
        <f t="shared" si="2"/>
        <v>0.95395395395395388</v>
      </c>
      <c r="S58" s="49">
        <f t="shared" si="3"/>
        <v>0.69354838709677413</v>
      </c>
      <c r="T58" s="15"/>
    </row>
    <row r="59" spans="1:20" ht="15.75" thickBot="1" x14ac:dyDescent="0.3">
      <c r="A59" s="30">
        <v>1941</v>
      </c>
      <c r="B59" s="45">
        <v>44.5</v>
      </c>
      <c r="C59" s="32">
        <v>22.7</v>
      </c>
      <c r="D59" s="48">
        <v>0.95699999999999996</v>
      </c>
      <c r="E59" s="33">
        <v>0.67900000000000005</v>
      </c>
      <c r="H59" s="15">
        <f t="shared" si="8"/>
        <v>29</v>
      </c>
      <c r="I59" s="49">
        <f t="shared" si="5"/>
        <v>0.96180904522613064</v>
      </c>
      <c r="J59" s="49">
        <f t="shared" si="6"/>
        <v>0.70217166494312311</v>
      </c>
      <c r="K59" s="49">
        <f t="shared" si="9"/>
        <v>0.96180904522613064</v>
      </c>
      <c r="L59" s="49">
        <f t="shared" si="7"/>
        <v>0.70217166494312311</v>
      </c>
      <c r="M59" s="15"/>
      <c r="O59" s="15">
        <f t="shared" si="4"/>
        <v>31</v>
      </c>
      <c r="P59" s="49">
        <f t="shared" si="0"/>
        <v>0.95795795795795791</v>
      </c>
      <c r="Q59" s="55">
        <f t="shared" si="1"/>
        <v>0.68447580645161299</v>
      </c>
      <c r="R59" s="49">
        <f t="shared" si="2"/>
        <v>0.95795795795795791</v>
      </c>
      <c r="S59" s="49">
        <f t="shared" si="3"/>
        <v>0.68447580645161299</v>
      </c>
      <c r="T59" s="15"/>
    </row>
    <row r="60" spans="1:20" ht="15.75" thickBot="1" x14ac:dyDescent="0.3">
      <c r="A60" s="30">
        <v>1942</v>
      </c>
      <c r="B60" s="45">
        <v>44.6</v>
      </c>
      <c r="C60" s="32">
        <v>22.4</v>
      </c>
      <c r="D60" s="48">
        <v>0.95899999999999996</v>
      </c>
      <c r="E60" s="33">
        <v>0.66900000000000004</v>
      </c>
      <c r="H60" s="15">
        <f t="shared" si="8"/>
        <v>30</v>
      </c>
      <c r="I60" s="49">
        <f t="shared" si="5"/>
        <v>0.96381909547738687</v>
      </c>
      <c r="J60" s="49">
        <f t="shared" si="6"/>
        <v>0.69183040330920376</v>
      </c>
      <c r="K60" s="49">
        <f t="shared" si="9"/>
        <v>0.96381909547738687</v>
      </c>
      <c r="L60" s="49">
        <f t="shared" si="7"/>
        <v>0.69183040330920376</v>
      </c>
      <c r="M60" s="15"/>
      <c r="O60" s="15">
        <f t="shared" si="4"/>
        <v>32</v>
      </c>
      <c r="P60" s="49">
        <f t="shared" si="0"/>
        <v>0.95995995995995997</v>
      </c>
      <c r="Q60" s="55">
        <f t="shared" si="1"/>
        <v>0.67439516129032262</v>
      </c>
      <c r="R60" s="49">
        <f t="shared" si="2"/>
        <v>0.95995995995995997</v>
      </c>
      <c r="S60" s="49">
        <f t="shared" si="3"/>
        <v>0.67439516129032262</v>
      </c>
      <c r="T60" s="15"/>
    </row>
    <row r="61" spans="1:20" ht="15.75" thickBot="1" x14ac:dyDescent="0.3">
      <c r="A61" s="30">
        <v>1943</v>
      </c>
      <c r="B61" s="45">
        <v>44.7</v>
      </c>
      <c r="C61" s="32">
        <v>21.9</v>
      </c>
      <c r="D61" s="48">
        <v>0.96</v>
      </c>
      <c r="E61" s="33">
        <v>0.65400000000000003</v>
      </c>
      <c r="H61" s="15">
        <f t="shared" si="8"/>
        <v>31</v>
      </c>
      <c r="I61" s="49">
        <f t="shared" si="5"/>
        <v>0.96482412060301503</v>
      </c>
      <c r="J61" s="49">
        <f t="shared" si="6"/>
        <v>0.67631851085832473</v>
      </c>
      <c r="K61" s="49">
        <f t="shared" si="9"/>
        <v>0.96482412060301503</v>
      </c>
      <c r="L61" s="49">
        <f t="shared" si="7"/>
        <v>0.67631851085832473</v>
      </c>
      <c r="M61" s="15"/>
      <c r="O61" s="15">
        <f t="shared" si="4"/>
        <v>33</v>
      </c>
      <c r="P61" s="49">
        <f t="shared" si="0"/>
        <v>0.96096096096096095</v>
      </c>
      <c r="Q61" s="55">
        <f t="shared" si="1"/>
        <v>0.65927419354838712</v>
      </c>
      <c r="R61" s="49">
        <f t="shared" si="2"/>
        <v>0.96096096096096095</v>
      </c>
      <c r="S61" s="49">
        <f t="shared" si="3"/>
        <v>0.65927419354838712</v>
      </c>
      <c r="T61" s="15"/>
    </row>
    <row r="62" spans="1:20" ht="15.75" thickBot="1" x14ac:dyDescent="0.3">
      <c r="A62" s="30">
        <v>1944</v>
      </c>
      <c r="B62" s="45">
        <v>44.8</v>
      </c>
      <c r="C62" s="32">
        <v>20.9</v>
      </c>
      <c r="D62" s="48">
        <v>0.96299999999999997</v>
      </c>
      <c r="E62" s="33">
        <v>0.625</v>
      </c>
      <c r="H62" s="15">
        <f t="shared" si="8"/>
        <v>32</v>
      </c>
      <c r="I62" s="49">
        <f t="shared" si="5"/>
        <v>0.96783919597989942</v>
      </c>
      <c r="J62" s="49">
        <f t="shared" si="6"/>
        <v>0.64632885211995861</v>
      </c>
      <c r="K62" s="49">
        <f t="shared" si="9"/>
        <v>0.96783919597989942</v>
      </c>
      <c r="L62" s="49">
        <f t="shared" si="7"/>
        <v>0.64632885211995861</v>
      </c>
      <c r="M62" s="15"/>
      <c r="O62" s="15">
        <f t="shared" si="4"/>
        <v>34</v>
      </c>
      <c r="P62" s="49">
        <f t="shared" si="0"/>
        <v>0.96396396396396389</v>
      </c>
      <c r="Q62" s="55">
        <f t="shared" si="1"/>
        <v>0.63004032258064513</v>
      </c>
      <c r="R62" s="49">
        <f t="shared" si="2"/>
        <v>0.96396396396396389</v>
      </c>
      <c r="S62" s="49">
        <f t="shared" si="3"/>
        <v>0.63004032258064513</v>
      </c>
      <c r="T62" s="15"/>
    </row>
    <row r="63" spans="1:20" ht="15.75" thickBot="1" x14ac:dyDescent="0.3">
      <c r="A63" s="30">
        <v>1945</v>
      </c>
      <c r="B63" s="45">
        <v>44.9</v>
      </c>
      <c r="C63" s="32">
        <v>19.7</v>
      </c>
      <c r="D63" s="48">
        <v>0.96499999999999997</v>
      </c>
      <c r="E63" s="33">
        <v>0.58899999999999997</v>
      </c>
      <c r="H63" s="15">
        <f t="shared" si="8"/>
        <v>33</v>
      </c>
      <c r="I63" s="49">
        <f t="shared" si="5"/>
        <v>0.96984924623115576</v>
      </c>
      <c r="J63" s="49">
        <f t="shared" si="6"/>
        <v>0.60910031023784905</v>
      </c>
      <c r="K63" s="49">
        <f t="shared" si="9"/>
        <v>0.96984924623115576</v>
      </c>
      <c r="L63" s="49">
        <f t="shared" si="7"/>
        <v>0.60910031023784905</v>
      </c>
      <c r="M63" s="15"/>
      <c r="O63" s="15">
        <f t="shared" si="4"/>
        <v>35</v>
      </c>
      <c r="P63" s="49">
        <f t="shared" si="0"/>
        <v>0.96596596596596596</v>
      </c>
      <c r="Q63" s="55">
        <f t="shared" si="1"/>
        <v>0.59375</v>
      </c>
      <c r="R63" s="49">
        <f t="shared" si="2"/>
        <v>0.96596596596596596</v>
      </c>
      <c r="S63" s="49">
        <f t="shared" si="3"/>
        <v>0.59375</v>
      </c>
      <c r="T63" s="15"/>
    </row>
    <row r="64" spans="1:20" ht="15.75" thickBot="1" x14ac:dyDescent="0.3">
      <c r="A64" s="30">
        <v>1946</v>
      </c>
      <c r="B64" s="45">
        <v>45.1</v>
      </c>
      <c r="C64" s="32">
        <v>18.600000000000001</v>
      </c>
      <c r="D64" s="48">
        <v>0.97</v>
      </c>
      <c r="E64" s="33">
        <v>0.55700000000000005</v>
      </c>
      <c r="H64" s="15">
        <f t="shared" si="8"/>
        <v>34</v>
      </c>
      <c r="I64" s="49">
        <f t="shared" si="5"/>
        <v>0.97487437185929648</v>
      </c>
      <c r="J64" s="49">
        <f t="shared" si="6"/>
        <v>0.57600827300930724</v>
      </c>
      <c r="K64" s="49">
        <f t="shared" si="9"/>
        <v>0.97487437185929648</v>
      </c>
      <c r="L64" s="49">
        <f t="shared" si="7"/>
        <v>0.57600827300930724</v>
      </c>
      <c r="M64" s="15"/>
      <c r="O64" s="15">
        <f t="shared" si="4"/>
        <v>36</v>
      </c>
      <c r="P64" s="49">
        <f t="shared" si="0"/>
        <v>0.97097097097097096</v>
      </c>
      <c r="Q64" s="55">
        <f t="shared" si="1"/>
        <v>0.561491935483871</v>
      </c>
      <c r="R64" s="49">
        <f t="shared" si="2"/>
        <v>0.97097097097097096</v>
      </c>
      <c r="S64" s="49">
        <f t="shared" si="3"/>
        <v>0.561491935483871</v>
      </c>
      <c r="T64" s="15"/>
    </row>
    <row r="65" spans="1:20" ht="15.75" thickBot="1" x14ac:dyDescent="0.3">
      <c r="A65" s="30">
        <v>1947</v>
      </c>
      <c r="B65" s="45">
        <v>45.1</v>
      </c>
      <c r="C65" s="32">
        <v>17.7</v>
      </c>
      <c r="D65" s="48">
        <v>0.96899999999999997</v>
      </c>
      <c r="E65" s="33">
        <v>0.52800000000000002</v>
      </c>
      <c r="H65" s="15">
        <f t="shared" si="8"/>
        <v>35</v>
      </c>
      <c r="I65" s="49">
        <f t="shared" si="5"/>
        <v>0.97386934673366832</v>
      </c>
      <c r="J65" s="49">
        <f t="shared" si="6"/>
        <v>0.54601861427094112</v>
      </c>
      <c r="K65" s="49">
        <f t="shared" si="9"/>
        <v>0.97386934673366832</v>
      </c>
      <c r="L65" s="49">
        <f t="shared" si="7"/>
        <v>0.54601861427094112</v>
      </c>
      <c r="M65" s="15"/>
      <c r="O65" s="15">
        <f t="shared" si="4"/>
        <v>37</v>
      </c>
      <c r="P65" s="49">
        <f t="shared" si="0"/>
        <v>0.96996996996996998</v>
      </c>
      <c r="Q65" s="55">
        <f t="shared" si="1"/>
        <v>0.53225806451612911</v>
      </c>
      <c r="R65" s="49">
        <f t="shared" si="2"/>
        <v>0.96996996996996998</v>
      </c>
      <c r="S65" s="49">
        <f t="shared" si="3"/>
        <v>0.53225806451612911</v>
      </c>
      <c r="T65" s="15"/>
    </row>
    <row r="66" spans="1:20" ht="15.75" thickBot="1" x14ac:dyDescent="0.3">
      <c r="A66" s="30">
        <v>1948</v>
      </c>
      <c r="B66" s="45">
        <v>44.8</v>
      </c>
      <c r="C66" s="32">
        <v>17.399999999999999</v>
      </c>
      <c r="D66" s="48">
        <v>0.96299999999999997</v>
      </c>
      <c r="E66" s="33">
        <v>0.52</v>
      </c>
      <c r="H66" s="15">
        <f t="shared" si="8"/>
        <v>36</v>
      </c>
      <c r="I66" s="49">
        <f t="shared" si="5"/>
        <v>0.96783919597989942</v>
      </c>
      <c r="J66" s="49">
        <f t="shared" si="6"/>
        <v>0.53774560496380563</v>
      </c>
      <c r="K66" s="49">
        <f t="shared" si="9"/>
        <v>0.96783919597989942</v>
      </c>
      <c r="L66" s="49">
        <f t="shared" si="7"/>
        <v>0.53774560496380563</v>
      </c>
      <c r="M66" s="15"/>
      <c r="O66" s="15">
        <f t="shared" si="4"/>
        <v>38</v>
      </c>
      <c r="P66" s="49">
        <f t="shared" si="0"/>
        <v>0.96396396396396389</v>
      </c>
      <c r="Q66" s="55">
        <f t="shared" si="1"/>
        <v>0.52419354838709675</v>
      </c>
      <c r="R66" s="49">
        <f t="shared" si="2"/>
        <v>0.96396396396396389</v>
      </c>
      <c r="S66" s="49">
        <f t="shared" si="3"/>
        <v>0.52419354838709675</v>
      </c>
      <c r="T66" s="15"/>
    </row>
    <row r="67" spans="1:20" ht="15.75" thickBot="1" x14ac:dyDescent="0.3">
      <c r="A67" s="30">
        <v>1949</v>
      </c>
      <c r="B67" s="45">
        <v>44.8</v>
      </c>
      <c r="C67" s="32">
        <v>16.899999999999999</v>
      </c>
      <c r="D67" s="48">
        <v>0.96299999999999997</v>
      </c>
      <c r="E67" s="33">
        <v>0.50600000000000001</v>
      </c>
      <c r="H67" s="15">
        <f t="shared" si="8"/>
        <v>37</v>
      </c>
      <c r="I67" s="49">
        <f t="shared" si="5"/>
        <v>0.96783919597989942</v>
      </c>
      <c r="J67" s="49">
        <f t="shared" si="6"/>
        <v>0.52326783867631854</v>
      </c>
      <c r="K67" s="49">
        <f t="shared" si="9"/>
        <v>0.96783919597989942</v>
      </c>
      <c r="L67" s="49">
        <f t="shared" si="7"/>
        <v>0.52326783867631854</v>
      </c>
      <c r="M67" s="15"/>
      <c r="O67" s="15">
        <f t="shared" si="4"/>
        <v>39</v>
      </c>
      <c r="P67" s="49">
        <f t="shared" si="0"/>
        <v>0.96396396396396389</v>
      </c>
      <c r="Q67" s="55">
        <f t="shared" si="1"/>
        <v>0.51008064516129037</v>
      </c>
      <c r="R67" s="49">
        <f t="shared" si="2"/>
        <v>0.96396396396396389</v>
      </c>
      <c r="S67" s="49">
        <f t="shared" si="3"/>
        <v>0.51008064516129037</v>
      </c>
      <c r="T67" s="15"/>
    </row>
    <row r="68" spans="1:20" ht="15.75" thickBot="1" x14ac:dyDescent="0.3">
      <c r="A68" s="30">
        <v>1950</v>
      </c>
      <c r="B68" s="45">
        <v>45</v>
      </c>
      <c r="C68" s="32">
        <v>16.8</v>
      </c>
      <c r="D68" s="48">
        <v>0.96599999999999997</v>
      </c>
      <c r="E68" s="33">
        <v>0.502</v>
      </c>
      <c r="H68" s="15">
        <f t="shared" si="8"/>
        <v>38</v>
      </c>
      <c r="I68" s="49">
        <f t="shared" si="5"/>
        <v>0.97085427135678393</v>
      </c>
      <c r="J68" s="49">
        <f t="shared" si="6"/>
        <v>0.5191313340227508</v>
      </c>
      <c r="K68" s="49">
        <f t="shared" si="9"/>
        <v>0.97085427135678393</v>
      </c>
      <c r="L68" s="49">
        <f t="shared" si="7"/>
        <v>0.5191313340227508</v>
      </c>
      <c r="M68" s="15"/>
      <c r="O68" s="15">
        <f t="shared" si="4"/>
        <v>40</v>
      </c>
      <c r="P68" s="49">
        <f t="shared" si="0"/>
        <v>0.96696696696696693</v>
      </c>
      <c r="Q68" s="55">
        <f t="shared" si="1"/>
        <v>0.50604838709677424</v>
      </c>
      <c r="R68" s="49">
        <f t="shared" si="2"/>
        <v>0.96696696696696693</v>
      </c>
      <c r="S68" s="49">
        <f t="shared" si="3"/>
        <v>0.50604838709677424</v>
      </c>
      <c r="T68" s="15"/>
    </row>
    <row r="69" spans="1:20" ht="15.75" thickBot="1" x14ac:dyDescent="0.3">
      <c r="A69" s="30">
        <v>1951</v>
      </c>
      <c r="B69" s="45">
        <v>45</v>
      </c>
      <c r="C69" s="32">
        <v>16.5</v>
      </c>
      <c r="D69" s="48">
        <v>0.96699999999999997</v>
      </c>
      <c r="E69" s="33">
        <v>0.49299999999999999</v>
      </c>
      <c r="H69" s="15">
        <f t="shared" si="8"/>
        <v>39</v>
      </c>
      <c r="I69" s="49">
        <f t="shared" si="5"/>
        <v>0.97185929648241198</v>
      </c>
      <c r="J69" s="49">
        <f t="shared" si="6"/>
        <v>0.50982419855222338</v>
      </c>
      <c r="K69" s="49">
        <f t="shared" si="9"/>
        <v>0.97185929648241198</v>
      </c>
      <c r="L69" s="49">
        <f t="shared" si="7"/>
        <v>0.50982419855222338</v>
      </c>
      <c r="M69" s="15"/>
      <c r="O69" s="15">
        <f t="shared" si="4"/>
        <v>41</v>
      </c>
      <c r="P69" s="49">
        <f t="shared" si="0"/>
        <v>0.96796796796796791</v>
      </c>
      <c r="Q69" s="55">
        <f t="shared" si="1"/>
        <v>0.49697580645161288</v>
      </c>
      <c r="R69" s="49">
        <f t="shared" si="2"/>
        <v>0.96796796796796791</v>
      </c>
      <c r="S69" s="49">
        <f t="shared" si="3"/>
        <v>0.49697580645161288</v>
      </c>
      <c r="T69" s="15"/>
    </row>
    <row r="70" spans="1:20" ht="15.75" thickBot="1" x14ac:dyDescent="0.3">
      <c r="A70" s="30">
        <v>1952</v>
      </c>
      <c r="B70" s="45">
        <v>45.4</v>
      </c>
      <c r="C70" s="32">
        <v>15.8</v>
      </c>
      <c r="D70" s="48">
        <v>0.97599999999999998</v>
      </c>
      <c r="E70" s="33">
        <v>0.47299999999999998</v>
      </c>
      <c r="H70" s="15">
        <f t="shared" si="8"/>
        <v>40</v>
      </c>
      <c r="I70" s="49">
        <f t="shared" si="5"/>
        <v>0.98090452261306527</v>
      </c>
      <c r="J70" s="49">
        <f t="shared" si="6"/>
        <v>0.48914167528438468</v>
      </c>
      <c r="K70" s="49">
        <f t="shared" si="9"/>
        <v>0.98090452261306527</v>
      </c>
      <c r="L70" s="49">
        <f t="shared" si="7"/>
        <v>0.48914167528438468</v>
      </c>
      <c r="M70" s="15"/>
      <c r="O70" s="15">
        <f t="shared" si="4"/>
        <v>42</v>
      </c>
      <c r="P70" s="49">
        <f t="shared" si="0"/>
        <v>0.97697697697697694</v>
      </c>
      <c r="Q70" s="55">
        <f t="shared" si="1"/>
        <v>0.47681451612903225</v>
      </c>
      <c r="R70" s="49">
        <f t="shared" si="2"/>
        <v>0.97697697697697694</v>
      </c>
      <c r="S70" s="49">
        <f t="shared" si="3"/>
        <v>0.47681451612903225</v>
      </c>
      <c r="T70" s="15"/>
    </row>
    <row r="71" spans="1:20" ht="15.75" thickBot="1" x14ac:dyDescent="0.3">
      <c r="A71" s="30">
        <v>1953</v>
      </c>
      <c r="B71" s="45">
        <v>45.3</v>
      </c>
      <c r="C71" s="32">
        <v>14.8</v>
      </c>
      <c r="D71" s="48">
        <v>0.97299999999999998</v>
      </c>
      <c r="E71" s="33">
        <v>0.441</v>
      </c>
      <c r="H71" s="15">
        <f t="shared" si="8"/>
        <v>41</v>
      </c>
      <c r="I71" s="49">
        <f t="shared" si="5"/>
        <v>0.97788944723618088</v>
      </c>
      <c r="J71" s="49">
        <f t="shared" si="6"/>
        <v>0.45604963805584281</v>
      </c>
      <c r="K71" s="49">
        <f t="shared" si="9"/>
        <v>0.97788944723618088</v>
      </c>
      <c r="L71" s="49">
        <f t="shared" si="7"/>
        <v>0.45604963805584281</v>
      </c>
      <c r="M71" s="15"/>
      <c r="O71" s="15">
        <f t="shared" si="4"/>
        <v>43</v>
      </c>
      <c r="P71" s="49">
        <f t="shared" si="0"/>
        <v>0.97397397397397401</v>
      </c>
      <c r="Q71" s="55">
        <f t="shared" si="1"/>
        <v>0.44455645161290325</v>
      </c>
      <c r="R71" s="49">
        <f t="shared" si="2"/>
        <v>0.97397397397397401</v>
      </c>
      <c r="S71" s="49">
        <f t="shared" si="3"/>
        <v>0.44455645161290325</v>
      </c>
      <c r="T71" s="15"/>
    </row>
    <row r="72" spans="1:20" ht="15.75" thickBot="1" x14ac:dyDescent="0.3">
      <c r="A72" s="30">
        <v>1954</v>
      </c>
      <c r="B72" s="45">
        <v>45.7</v>
      </c>
      <c r="C72" s="32">
        <v>14.1</v>
      </c>
      <c r="D72" s="48">
        <v>0.98199999999999998</v>
      </c>
      <c r="E72" s="33">
        <v>0.42099999999999999</v>
      </c>
      <c r="H72" s="15">
        <f t="shared" si="8"/>
        <v>42</v>
      </c>
      <c r="I72" s="49">
        <f t="shared" si="5"/>
        <v>0.98693467336683416</v>
      </c>
      <c r="J72" s="49">
        <f t="shared" si="6"/>
        <v>0.43536711478800416</v>
      </c>
      <c r="K72" s="49">
        <f t="shared" si="9"/>
        <v>0.98693467336683416</v>
      </c>
      <c r="L72" s="49">
        <f t="shared" si="7"/>
        <v>0.43536711478800416</v>
      </c>
      <c r="M72" s="15"/>
      <c r="O72" s="15">
        <f t="shared" si="4"/>
        <v>44</v>
      </c>
      <c r="P72" s="49">
        <f t="shared" si="0"/>
        <v>0.98298298298298292</v>
      </c>
      <c r="Q72" s="55">
        <f t="shared" si="1"/>
        <v>0.42439516129032256</v>
      </c>
      <c r="R72" s="49">
        <f t="shared" si="2"/>
        <v>0.98298298298298292</v>
      </c>
      <c r="S72" s="49">
        <f t="shared" si="3"/>
        <v>0.42439516129032256</v>
      </c>
      <c r="T72" s="15"/>
    </row>
    <row r="73" spans="1:20" ht="15.75" thickBot="1" x14ac:dyDescent="0.3">
      <c r="A73" s="30">
        <v>1955</v>
      </c>
      <c r="B73" s="45">
        <v>46.1</v>
      </c>
      <c r="C73" s="32">
        <v>13.3</v>
      </c>
      <c r="D73" s="48">
        <v>0.99</v>
      </c>
      <c r="E73" s="33">
        <v>0.39800000000000002</v>
      </c>
      <c r="H73" s="15">
        <f t="shared" si="8"/>
        <v>43</v>
      </c>
      <c r="I73" s="49">
        <f t="shared" si="5"/>
        <v>0.99497487437185927</v>
      </c>
      <c r="J73" s="49">
        <f t="shared" si="6"/>
        <v>0.41158221302998971</v>
      </c>
      <c r="K73" s="49">
        <f t="shared" si="9"/>
        <v>0.99497487437185927</v>
      </c>
      <c r="L73" s="49">
        <f t="shared" si="7"/>
        <v>0.41158221302998971</v>
      </c>
      <c r="M73" s="15"/>
      <c r="O73" s="15">
        <f t="shared" si="4"/>
        <v>45</v>
      </c>
      <c r="P73" s="49">
        <f t="shared" si="0"/>
        <v>0.99099099099099097</v>
      </c>
      <c r="Q73" s="55">
        <f t="shared" si="1"/>
        <v>0.40120967741935487</v>
      </c>
      <c r="R73" s="49">
        <f t="shared" si="2"/>
        <v>0.99099099099099097</v>
      </c>
      <c r="S73" s="49">
        <f t="shared" si="3"/>
        <v>0.40120967741935487</v>
      </c>
      <c r="T73" s="15"/>
    </row>
    <row r="74" spans="1:20" ht="15.75" thickBot="1" x14ac:dyDescent="0.3">
      <c r="A74" s="30">
        <v>1956</v>
      </c>
      <c r="B74" s="45">
        <v>46.3</v>
      </c>
      <c r="C74" s="32">
        <v>13</v>
      </c>
      <c r="D74" s="48">
        <v>0.995</v>
      </c>
      <c r="E74" s="33">
        <v>0.38800000000000001</v>
      </c>
      <c r="H74" s="15">
        <f t="shared" si="8"/>
        <v>44</v>
      </c>
      <c r="I74" s="49">
        <f t="shared" si="5"/>
        <v>1</v>
      </c>
      <c r="J74" s="49">
        <f t="shared" si="6"/>
        <v>0.40124095139607036</v>
      </c>
      <c r="K74" s="49">
        <f t="shared" si="9"/>
        <v>1</v>
      </c>
      <c r="L74" s="49">
        <f t="shared" si="7"/>
        <v>0.40124095139607036</v>
      </c>
      <c r="M74" s="15"/>
      <c r="O74" s="15">
        <f t="shared" si="4"/>
        <v>46</v>
      </c>
      <c r="P74" s="49">
        <f t="shared" si="0"/>
        <v>0.99599599599599598</v>
      </c>
      <c r="Q74" s="55">
        <f t="shared" si="1"/>
        <v>0.39112903225806456</v>
      </c>
      <c r="R74" s="49">
        <f t="shared" si="2"/>
        <v>0.99599599599599598</v>
      </c>
      <c r="S74" s="49">
        <f t="shared" si="3"/>
        <v>0.39112903225806456</v>
      </c>
      <c r="T74" s="15"/>
    </row>
    <row r="75" spans="1:20" ht="15.75" thickBot="1" x14ac:dyDescent="0.3">
      <c r="A75" s="30">
        <v>1957</v>
      </c>
      <c r="B75" s="45">
        <v>46.6</v>
      </c>
      <c r="C75" s="32">
        <v>12.5</v>
      </c>
      <c r="D75" s="48">
        <v>1.0009999999999999</v>
      </c>
      <c r="E75" s="33">
        <v>0.374</v>
      </c>
      <c r="H75" s="15">
        <f t="shared" si="8"/>
        <v>45</v>
      </c>
      <c r="I75" s="49">
        <f t="shared" si="5"/>
        <v>1.0060301507537688</v>
      </c>
      <c r="J75" s="49">
        <f t="shared" si="6"/>
        <v>0.38676318510858326</v>
      </c>
      <c r="K75" s="49">
        <f t="shared" si="9"/>
        <v>1.0060301507537688</v>
      </c>
      <c r="L75" s="49">
        <f t="shared" si="7"/>
        <v>0.38676318510858326</v>
      </c>
      <c r="M75" s="15"/>
      <c r="O75" s="15">
        <f t="shared" si="4"/>
        <v>47</v>
      </c>
      <c r="P75" s="49">
        <f t="shared" si="0"/>
        <v>1.002002002002002</v>
      </c>
      <c r="Q75" s="55">
        <f t="shared" si="1"/>
        <v>0.37701612903225806</v>
      </c>
      <c r="R75" s="49">
        <f t="shared" si="2"/>
        <v>1.002002002002002</v>
      </c>
      <c r="S75" s="49">
        <f t="shared" si="3"/>
        <v>0.37701612903225806</v>
      </c>
      <c r="T75" s="15"/>
    </row>
    <row r="76" spans="1:20" ht="15.75" thickBot="1" x14ac:dyDescent="0.3">
      <c r="A76" s="30">
        <v>1958</v>
      </c>
      <c r="B76" s="45">
        <v>46.5</v>
      </c>
      <c r="C76" s="32">
        <v>12.4</v>
      </c>
      <c r="D76" s="48">
        <v>1</v>
      </c>
      <c r="E76" s="33">
        <v>0.36899999999999999</v>
      </c>
      <c r="H76" s="15">
        <f t="shared" si="8"/>
        <v>46</v>
      </c>
      <c r="I76" s="49">
        <f t="shared" si="5"/>
        <v>1.0050251256281406</v>
      </c>
      <c r="J76" s="49">
        <f t="shared" si="6"/>
        <v>0.38159255429162359</v>
      </c>
      <c r="K76" s="49">
        <f t="shared" si="9"/>
        <v>1.0050251256281406</v>
      </c>
      <c r="L76" s="49">
        <f t="shared" si="7"/>
        <v>0.38159255429162359</v>
      </c>
      <c r="M76" s="15"/>
      <c r="O76" s="15">
        <f t="shared" si="4"/>
        <v>48</v>
      </c>
      <c r="P76" s="49">
        <f t="shared" si="0"/>
        <v>1.0010010010010011</v>
      </c>
      <c r="Q76" s="55">
        <f t="shared" si="1"/>
        <v>0.37197580645161288</v>
      </c>
      <c r="R76" s="49">
        <f t="shared" si="2"/>
        <v>1.0010010010010011</v>
      </c>
      <c r="S76" s="49">
        <f t="shared" si="3"/>
        <v>0.37197580645161288</v>
      </c>
      <c r="T76" s="15"/>
    </row>
    <row r="77" spans="1:20" ht="15.75" thickBot="1" x14ac:dyDescent="0.3">
      <c r="A77" s="30">
        <v>1959</v>
      </c>
      <c r="B77" s="45">
        <v>46.3</v>
      </c>
      <c r="C77" s="32">
        <v>11.9</v>
      </c>
      <c r="D77" s="48">
        <v>0.996</v>
      </c>
      <c r="E77" s="33">
        <v>0.35499999999999998</v>
      </c>
      <c r="H77" s="15">
        <f t="shared" si="8"/>
        <v>47</v>
      </c>
      <c r="I77" s="49">
        <f t="shared" si="5"/>
        <v>1.0010050251256282</v>
      </c>
      <c r="J77" s="49">
        <f t="shared" si="6"/>
        <v>0.36711478800413649</v>
      </c>
      <c r="K77" s="49">
        <f t="shared" si="9"/>
        <v>1.0010050251256282</v>
      </c>
      <c r="L77" s="49">
        <f t="shared" si="7"/>
        <v>0.36711478800413649</v>
      </c>
      <c r="M77" s="15"/>
      <c r="O77" s="15">
        <f t="shared" si="4"/>
        <v>49</v>
      </c>
      <c r="P77" s="49">
        <f t="shared" si="0"/>
        <v>0.99699699699699695</v>
      </c>
      <c r="Q77" s="55">
        <f t="shared" si="1"/>
        <v>0.35786290322580644</v>
      </c>
      <c r="R77" s="49">
        <f t="shared" si="2"/>
        <v>0.99699699699699695</v>
      </c>
      <c r="S77" s="49">
        <f t="shared" si="3"/>
        <v>0.35786290322580644</v>
      </c>
      <c r="T77" s="15"/>
    </row>
    <row r="78" spans="1:20" ht="15.75" thickBot="1" x14ac:dyDescent="0.3">
      <c r="A78" s="30">
        <v>1960</v>
      </c>
      <c r="B78" s="45">
        <v>46.1</v>
      </c>
      <c r="C78" s="32">
        <v>11.6</v>
      </c>
      <c r="D78" s="48">
        <v>0.99099999999999999</v>
      </c>
      <c r="E78" s="33">
        <v>0.34599999999999997</v>
      </c>
      <c r="H78" s="15">
        <f t="shared" si="8"/>
        <v>48</v>
      </c>
      <c r="I78" s="49">
        <f t="shared" si="5"/>
        <v>0.99597989949748744</v>
      </c>
      <c r="J78" s="49">
        <f t="shared" si="6"/>
        <v>0.35780765253360908</v>
      </c>
      <c r="K78" s="49">
        <f t="shared" si="9"/>
        <v>0.99597989949748744</v>
      </c>
      <c r="L78" s="49">
        <f t="shared" si="7"/>
        <v>0.35780765253360908</v>
      </c>
      <c r="M78" s="15"/>
      <c r="O78" s="15">
        <f t="shared" si="4"/>
        <v>50</v>
      </c>
      <c r="P78" s="49">
        <f t="shared" si="0"/>
        <v>0.99199199199199195</v>
      </c>
      <c r="Q78" s="55">
        <f t="shared" si="1"/>
        <v>0.34879032258064513</v>
      </c>
      <c r="R78" s="49">
        <f t="shared" si="2"/>
        <v>0.99199199199199195</v>
      </c>
      <c r="S78" s="49">
        <f t="shared" si="3"/>
        <v>0.34879032258064513</v>
      </c>
      <c r="T78" s="15"/>
    </row>
    <row r="79" spans="1:20" ht="15.75" thickBot="1" x14ac:dyDescent="0.3">
      <c r="A79" s="30">
        <v>1961</v>
      </c>
      <c r="B79" s="45">
        <v>46</v>
      </c>
      <c r="C79" s="32">
        <v>11</v>
      </c>
      <c r="D79" s="48">
        <v>0.98899999999999999</v>
      </c>
      <c r="E79" s="33">
        <v>0.33</v>
      </c>
      <c r="H79" s="15">
        <f t="shared" si="8"/>
        <v>49</v>
      </c>
      <c r="I79" s="49">
        <f t="shared" si="5"/>
        <v>0.99396984924623111</v>
      </c>
      <c r="J79" s="49">
        <f t="shared" si="6"/>
        <v>0.34126163391933817</v>
      </c>
      <c r="K79" s="49">
        <f t="shared" si="9"/>
        <v>0.99396984924623111</v>
      </c>
      <c r="L79" s="49">
        <f t="shared" si="7"/>
        <v>0.34126163391933817</v>
      </c>
      <c r="M79" s="15"/>
      <c r="O79" s="15">
        <f t="shared" si="4"/>
        <v>51</v>
      </c>
      <c r="P79" s="49">
        <f t="shared" si="0"/>
        <v>0.98998998998998999</v>
      </c>
      <c r="Q79" s="55">
        <f t="shared" si="1"/>
        <v>0.33266129032258068</v>
      </c>
      <c r="R79" s="49">
        <f t="shared" si="2"/>
        <v>0.98998998998998999</v>
      </c>
      <c r="S79" s="49">
        <f t="shared" si="3"/>
        <v>0.33266129032258068</v>
      </c>
      <c r="T79" s="15"/>
    </row>
    <row r="80" spans="1:20" ht="15.75" thickBot="1" x14ac:dyDescent="0.3">
      <c r="A80" s="30">
        <v>1962</v>
      </c>
      <c r="B80" s="45">
        <v>45.9</v>
      </c>
      <c r="C80" s="32">
        <v>10.7</v>
      </c>
      <c r="D80" s="48">
        <v>0.98599999999999999</v>
      </c>
      <c r="E80" s="33">
        <v>0.32</v>
      </c>
      <c r="H80" s="15">
        <f t="shared" si="8"/>
        <v>50</v>
      </c>
      <c r="I80" s="49">
        <f t="shared" si="5"/>
        <v>0.99095477386934672</v>
      </c>
      <c r="J80" s="49">
        <f t="shared" si="6"/>
        <v>0.33092037228541882</v>
      </c>
      <c r="K80" s="49">
        <f t="shared" si="9"/>
        <v>0.99095477386934672</v>
      </c>
      <c r="L80" s="49">
        <f t="shared" si="7"/>
        <v>0.33092037228541882</v>
      </c>
      <c r="M80" s="15"/>
      <c r="O80" s="15">
        <f t="shared" si="4"/>
        <v>52</v>
      </c>
      <c r="P80" s="49">
        <f t="shared" si="0"/>
        <v>0.98698698698698695</v>
      </c>
      <c r="Q80" s="55">
        <f t="shared" si="1"/>
        <v>0.32258064516129031</v>
      </c>
      <c r="R80" s="49">
        <f t="shared" si="2"/>
        <v>0.98698698698698695</v>
      </c>
      <c r="S80" s="49">
        <f t="shared" si="3"/>
        <v>0.32258064516129031</v>
      </c>
      <c r="T80" s="15"/>
    </row>
    <row r="81" spans="1:20" ht="15.75" thickBot="1" x14ac:dyDescent="0.3">
      <c r="A81" s="30">
        <v>1963</v>
      </c>
      <c r="B81" s="45">
        <v>45.8</v>
      </c>
      <c r="C81" s="32">
        <v>10.5</v>
      </c>
      <c r="D81" s="48">
        <v>0.98399999999999999</v>
      </c>
      <c r="E81" s="33">
        <v>0.313</v>
      </c>
      <c r="H81" s="15">
        <f t="shared" si="8"/>
        <v>51</v>
      </c>
      <c r="I81" s="49">
        <f t="shared" si="5"/>
        <v>0.98894472361809049</v>
      </c>
      <c r="J81" s="49">
        <f t="shared" si="6"/>
        <v>0.32368148914167527</v>
      </c>
      <c r="K81" s="49">
        <f t="shared" si="9"/>
        <v>0.98894472361809049</v>
      </c>
      <c r="L81" s="49">
        <f t="shared" si="7"/>
        <v>0.32368148914167527</v>
      </c>
      <c r="M81" s="15"/>
      <c r="O81" s="15">
        <f t="shared" si="4"/>
        <v>53</v>
      </c>
      <c r="P81" s="49">
        <f t="shared" si="0"/>
        <v>0.98498498498498499</v>
      </c>
      <c r="Q81" s="55">
        <f t="shared" si="1"/>
        <v>0.31552419354838712</v>
      </c>
      <c r="R81" s="49">
        <f t="shared" si="2"/>
        <v>0.98498498498498499</v>
      </c>
      <c r="S81" s="49">
        <f t="shared" si="3"/>
        <v>0.31552419354838712</v>
      </c>
      <c r="T81" s="15"/>
    </row>
    <row r="82" spans="1:20" ht="15.75" thickBot="1" x14ac:dyDescent="0.3">
      <c r="A82" s="30">
        <v>1964</v>
      </c>
      <c r="B82" s="45">
        <v>45.8</v>
      </c>
      <c r="C82" s="32">
        <v>10.199999999999999</v>
      </c>
      <c r="D82" s="48">
        <v>0.98399999999999999</v>
      </c>
      <c r="E82" s="33">
        <v>0.30399999999999999</v>
      </c>
      <c r="H82" s="15">
        <f t="shared" si="8"/>
        <v>52</v>
      </c>
      <c r="I82" s="49">
        <f t="shared" si="5"/>
        <v>0.98894472361809049</v>
      </c>
      <c r="J82" s="49">
        <f t="shared" si="6"/>
        <v>0.31437435367114785</v>
      </c>
      <c r="K82" s="49">
        <f t="shared" si="9"/>
        <v>0.98894472361809049</v>
      </c>
      <c r="L82" s="49">
        <f t="shared" si="7"/>
        <v>0.31437435367114785</v>
      </c>
      <c r="M82" s="15"/>
      <c r="O82" s="15">
        <f t="shared" si="4"/>
        <v>54</v>
      </c>
      <c r="P82" s="49">
        <f t="shared" si="0"/>
        <v>0.98498498498498499</v>
      </c>
      <c r="Q82" s="55">
        <f t="shared" si="1"/>
        <v>0.30645161290322581</v>
      </c>
      <c r="R82" s="49">
        <f t="shared" si="2"/>
        <v>0.98498498498498499</v>
      </c>
      <c r="S82" s="49">
        <f t="shared" si="3"/>
        <v>0.30645161290322581</v>
      </c>
      <c r="T82" s="15"/>
    </row>
    <row r="83" spans="1:20" ht="15.75" thickBot="1" x14ac:dyDescent="0.3">
      <c r="A83" s="30">
        <v>1965</v>
      </c>
      <c r="B83" s="45">
        <v>45.5</v>
      </c>
      <c r="C83" s="32">
        <v>10</v>
      </c>
      <c r="D83" s="48">
        <v>0.97699999999999998</v>
      </c>
      <c r="E83" s="33">
        <v>0.29899999999999999</v>
      </c>
      <c r="H83" s="15">
        <f t="shared" si="8"/>
        <v>53</v>
      </c>
      <c r="I83" s="49">
        <f t="shared" si="5"/>
        <v>0.98190954773869343</v>
      </c>
      <c r="J83" s="49">
        <f t="shared" si="6"/>
        <v>0.30920372285418823</v>
      </c>
      <c r="K83" s="49">
        <f t="shared" si="9"/>
        <v>0.98190954773869343</v>
      </c>
      <c r="L83" s="49">
        <f t="shared" si="7"/>
        <v>0.30920372285418823</v>
      </c>
      <c r="M83" s="15"/>
      <c r="O83" s="15">
        <f t="shared" si="4"/>
        <v>55</v>
      </c>
      <c r="P83" s="49">
        <f t="shared" si="0"/>
        <v>0.97797797797797792</v>
      </c>
      <c r="Q83" s="55">
        <f t="shared" si="1"/>
        <v>0.30141129032258063</v>
      </c>
      <c r="R83" s="49">
        <f t="shared" si="2"/>
        <v>0.97797797797797792</v>
      </c>
      <c r="S83" s="49">
        <f t="shared" si="3"/>
        <v>0.30141129032258063</v>
      </c>
      <c r="T83" s="15"/>
    </row>
    <row r="84" spans="1:20" ht="15.75" thickBot="1" x14ac:dyDescent="0.3">
      <c r="A84" s="30">
        <v>1966</v>
      </c>
      <c r="B84" s="45">
        <v>45.3</v>
      </c>
      <c r="C84" s="32">
        <v>9.8000000000000007</v>
      </c>
      <c r="D84" s="48">
        <v>0.97299999999999998</v>
      </c>
      <c r="E84" s="33">
        <v>0.29299999999999998</v>
      </c>
      <c r="H84" s="15">
        <f t="shared" si="8"/>
        <v>54</v>
      </c>
      <c r="I84" s="49">
        <f t="shared" si="5"/>
        <v>0.97788944723618088</v>
      </c>
      <c r="J84" s="49">
        <f t="shared" si="6"/>
        <v>0.30299896587383662</v>
      </c>
      <c r="K84" s="49">
        <f t="shared" si="9"/>
        <v>0.97788944723618088</v>
      </c>
      <c r="L84" s="49">
        <f t="shared" si="7"/>
        <v>0.30299896587383662</v>
      </c>
      <c r="M84" s="15"/>
      <c r="O84" s="15">
        <f t="shared" si="4"/>
        <v>56</v>
      </c>
      <c r="P84" s="49">
        <f t="shared" si="0"/>
        <v>0.97397397397397401</v>
      </c>
      <c r="Q84" s="55">
        <f t="shared" si="1"/>
        <v>0.29536290322580644</v>
      </c>
      <c r="R84" s="49">
        <f t="shared" si="2"/>
        <v>0.97397397397397401</v>
      </c>
      <c r="S84" s="49">
        <f t="shared" si="3"/>
        <v>0.29536290322580644</v>
      </c>
      <c r="T84" s="15"/>
    </row>
    <row r="85" spans="1:20" ht="15.75" thickBot="1" x14ac:dyDescent="0.3">
      <c r="A85" s="30">
        <v>1967</v>
      </c>
      <c r="B85" s="45">
        <v>44.7</v>
      </c>
      <c r="C85" s="32">
        <v>9.8000000000000007</v>
      </c>
      <c r="D85" s="48">
        <v>0.96099999999999997</v>
      </c>
      <c r="E85" s="33">
        <v>0.29299999999999998</v>
      </c>
      <c r="H85" s="15">
        <f t="shared" si="8"/>
        <v>55</v>
      </c>
      <c r="I85" s="49">
        <f t="shared" si="5"/>
        <v>0.9658291457286432</v>
      </c>
      <c r="J85" s="49">
        <f t="shared" si="6"/>
        <v>0.30299896587383662</v>
      </c>
      <c r="K85" s="49">
        <f t="shared" si="9"/>
        <v>0.9658291457286432</v>
      </c>
      <c r="L85" s="49">
        <f t="shared" si="7"/>
        <v>0.30299896587383662</v>
      </c>
      <c r="M85" s="15"/>
      <c r="O85" s="15">
        <f t="shared" si="4"/>
        <v>57</v>
      </c>
      <c r="P85" s="49">
        <f t="shared" si="0"/>
        <v>0.96196196196196193</v>
      </c>
      <c r="Q85" s="55">
        <f t="shared" si="1"/>
        <v>0.29536290322580644</v>
      </c>
      <c r="R85" s="49">
        <f t="shared" si="2"/>
        <v>0.96196196196196193</v>
      </c>
      <c r="S85" s="49">
        <f t="shared" si="3"/>
        <v>0.29536290322580644</v>
      </c>
      <c r="T85" s="15"/>
    </row>
    <row r="86" spans="1:20" ht="15.75" thickBot="1" x14ac:dyDescent="0.3">
      <c r="A86" s="30">
        <v>1968</v>
      </c>
      <c r="B86" s="45">
        <v>44.3</v>
      </c>
      <c r="C86" s="32">
        <v>9.8000000000000007</v>
      </c>
      <c r="D86" s="48">
        <v>0.95199999999999996</v>
      </c>
      <c r="E86" s="33">
        <v>0.29199999999999998</v>
      </c>
      <c r="H86" s="15">
        <f t="shared" si="8"/>
        <v>56</v>
      </c>
      <c r="I86" s="49">
        <f t="shared" si="5"/>
        <v>0.95678391959798992</v>
      </c>
      <c r="J86" s="49">
        <f t="shared" si="6"/>
        <v>0.30196483971044469</v>
      </c>
      <c r="K86" s="49">
        <f t="shared" si="9"/>
        <v>0.95678391959798992</v>
      </c>
      <c r="L86" s="49">
        <f t="shared" si="7"/>
        <v>0.30196483971044469</v>
      </c>
      <c r="M86" s="15"/>
      <c r="O86" s="15">
        <f t="shared" si="4"/>
        <v>58</v>
      </c>
      <c r="P86" s="49">
        <f t="shared" si="0"/>
        <v>0.9529529529529529</v>
      </c>
      <c r="Q86" s="55">
        <f t="shared" si="1"/>
        <v>0.29435483870967738</v>
      </c>
      <c r="R86" s="49">
        <f t="shared" si="2"/>
        <v>0.9529529529529529</v>
      </c>
      <c r="S86" s="49">
        <f t="shared" si="3"/>
        <v>0.29435483870967738</v>
      </c>
      <c r="T86" s="15"/>
    </row>
    <row r="87" spans="1:20" ht="15.75" thickBot="1" x14ac:dyDescent="0.3">
      <c r="A87" s="30">
        <v>1969</v>
      </c>
      <c r="B87" s="45">
        <v>44.4</v>
      </c>
      <c r="C87" s="32">
        <v>9.6999999999999993</v>
      </c>
      <c r="D87" s="48">
        <v>0.95399999999999996</v>
      </c>
      <c r="E87" s="33">
        <v>0.28899999999999998</v>
      </c>
      <c r="H87" s="15">
        <f t="shared" si="8"/>
        <v>57</v>
      </c>
      <c r="I87" s="49">
        <f t="shared" si="5"/>
        <v>0.95879396984924614</v>
      </c>
      <c r="J87" s="49">
        <f t="shared" si="6"/>
        <v>0.29886246122026888</v>
      </c>
      <c r="K87" s="49">
        <f t="shared" si="9"/>
        <v>0.95879396984924614</v>
      </c>
      <c r="L87" s="49">
        <f t="shared" si="7"/>
        <v>0.29886246122026888</v>
      </c>
      <c r="M87" s="15"/>
      <c r="O87" s="15">
        <f t="shared" si="4"/>
        <v>59</v>
      </c>
      <c r="P87" s="49">
        <f t="shared" si="0"/>
        <v>0.95495495495495486</v>
      </c>
      <c r="Q87" s="55">
        <f t="shared" si="1"/>
        <v>0.29133064516129031</v>
      </c>
      <c r="R87" s="49">
        <f t="shared" si="2"/>
        <v>0.95495495495495486</v>
      </c>
      <c r="S87" s="49">
        <f t="shared" si="3"/>
        <v>0.29133064516129031</v>
      </c>
      <c r="T87" s="15"/>
    </row>
    <row r="88" spans="1:20" ht="15.75" thickBot="1" x14ac:dyDescent="0.3">
      <c r="A88" s="30">
        <v>1970</v>
      </c>
      <c r="B88" s="45">
        <v>44.3</v>
      </c>
      <c r="C88" s="32">
        <v>9.5</v>
      </c>
      <c r="D88" s="48">
        <v>0.95099999999999996</v>
      </c>
      <c r="E88" s="33">
        <v>0.28399999999999997</v>
      </c>
      <c r="H88" s="15">
        <f t="shared" si="8"/>
        <v>58</v>
      </c>
      <c r="I88" s="49">
        <f t="shared" si="5"/>
        <v>0.95577889447236175</v>
      </c>
      <c r="J88" s="49">
        <f t="shared" si="6"/>
        <v>0.29369183040330921</v>
      </c>
      <c r="K88" s="49">
        <f t="shared" si="9"/>
        <v>0.95577889447236175</v>
      </c>
      <c r="L88" s="49">
        <f t="shared" si="7"/>
        <v>0.29369183040330921</v>
      </c>
      <c r="M88" s="15"/>
      <c r="O88" s="15">
        <f t="shared" si="4"/>
        <v>60</v>
      </c>
      <c r="P88" s="49">
        <f t="shared" si="0"/>
        <v>0.95195195195195192</v>
      </c>
      <c r="Q88" s="55">
        <f t="shared" si="1"/>
        <v>0.28629032258064513</v>
      </c>
      <c r="R88" s="49">
        <f t="shared" si="2"/>
        <v>0.95195195195195192</v>
      </c>
      <c r="S88" s="49">
        <f t="shared" si="3"/>
        <v>0.28629032258064513</v>
      </c>
      <c r="T88" s="15"/>
    </row>
    <row r="89" spans="1:20" ht="15.75" thickBot="1" x14ac:dyDescent="0.3">
      <c r="A89" s="30">
        <v>1971</v>
      </c>
      <c r="B89" s="45">
        <v>44.1</v>
      </c>
      <c r="C89" s="32">
        <v>9.1999999999999993</v>
      </c>
      <c r="D89" s="48">
        <v>0.94699999999999995</v>
      </c>
      <c r="E89" s="33">
        <v>0.27400000000000002</v>
      </c>
      <c r="H89" s="15">
        <f t="shared" si="8"/>
        <v>59</v>
      </c>
      <c r="I89" s="49">
        <f t="shared" si="5"/>
        <v>0.95175879396984919</v>
      </c>
      <c r="J89" s="49">
        <f t="shared" si="6"/>
        <v>0.28335056876938991</v>
      </c>
      <c r="K89" s="49">
        <f t="shared" si="9"/>
        <v>0.95175879396984919</v>
      </c>
      <c r="L89" s="49">
        <f t="shared" si="7"/>
        <v>0.28335056876938991</v>
      </c>
      <c r="M89" s="15"/>
      <c r="O89" s="15">
        <f t="shared" si="4"/>
        <v>61</v>
      </c>
      <c r="P89" s="49">
        <f t="shared" si="0"/>
        <v>0.9479479479479479</v>
      </c>
      <c r="Q89" s="55">
        <f t="shared" si="1"/>
        <v>0.27620967741935487</v>
      </c>
      <c r="R89" s="49">
        <f t="shared" si="2"/>
        <v>0.9479479479479479</v>
      </c>
      <c r="S89" s="49">
        <f t="shared" si="3"/>
        <v>0.27620967741935487</v>
      </c>
      <c r="T89" s="15"/>
    </row>
    <row r="90" spans="1:20" ht="15.75" thickBot="1" x14ac:dyDescent="0.3">
      <c r="A90" s="30">
        <v>1972</v>
      </c>
      <c r="B90" s="45">
        <v>43.8</v>
      </c>
      <c r="C90" s="32">
        <v>8.6</v>
      </c>
      <c r="D90" s="48">
        <v>0.94</v>
      </c>
      <c r="E90" s="33">
        <v>0.25600000000000001</v>
      </c>
      <c r="H90" s="15">
        <f t="shared" si="8"/>
        <v>60</v>
      </c>
      <c r="I90" s="49">
        <f t="shared" si="5"/>
        <v>0.94472361809045224</v>
      </c>
      <c r="J90" s="49">
        <f t="shared" si="6"/>
        <v>0.26473629782833508</v>
      </c>
      <c r="K90" s="49">
        <f t="shared" si="9"/>
        <v>0.94472361809045224</v>
      </c>
      <c r="L90" s="49">
        <f t="shared" si="7"/>
        <v>0.26473629782833508</v>
      </c>
      <c r="M90" s="15"/>
      <c r="O90" s="15">
        <f t="shared" si="4"/>
        <v>62</v>
      </c>
      <c r="P90" s="49">
        <f t="shared" si="0"/>
        <v>0.94094094094094094</v>
      </c>
      <c r="Q90" s="55">
        <f t="shared" si="1"/>
        <v>0.25806451612903225</v>
      </c>
      <c r="R90" s="49">
        <f t="shared" si="2"/>
        <v>0.94094094094094094</v>
      </c>
      <c r="S90" s="49">
        <f t="shared" si="3"/>
        <v>0.25806451612903225</v>
      </c>
      <c r="T90" s="15"/>
    </row>
    <row r="91" spans="1:20" ht="15.75" thickBot="1" x14ac:dyDescent="0.3">
      <c r="A91" s="30">
        <v>1973</v>
      </c>
      <c r="B91" s="45">
        <v>43.1</v>
      </c>
      <c r="C91" s="32">
        <v>8.1</v>
      </c>
      <c r="D91" s="48">
        <v>0.92700000000000005</v>
      </c>
      <c r="E91" s="33">
        <v>0.24299999999999999</v>
      </c>
      <c r="H91" s="15">
        <f t="shared" si="8"/>
        <v>61</v>
      </c>
      <c r="I91" s="49">
        <f t="shared" si="5"/>
        <v>0.93165829145728651</v>
      </c>
      <c r="J91" s="49">
        <f t="shared" si="6"/>
        <v>0.25129265770423992</v>
      </c>
      <c r="K91" s="49">
        <f t="shared" si="9"/>
        <v>0.93165829145728651</v>
      </c>
      <c r="L91" s="49">
        <f t="shared" si="7"/>
        <v>0.25129265770423992</v>
      </c>
      <c r="M91" s="15"/>
      <c r="O91" s="15">
        <f t="shared" si="4"/>
        <v>63</v>
      </c>
      <c r="P91" s="49">
        <f t="shared" si="0"/>
        <v>0.927927927927928</v>
      </c>
      <c r="Q91" s="55">
        <f t="shared" si="1"/>
        <v>0.24495967741935484</v>
      </c>
      <c r="R91" s="49">
        <f t="shared" si="2"/>
        <v>0.927927927927928</v>
      </c>
      <c r="S91" s="49">
        <f t="shared" si="3"/>
        <v>0.24495967741935484</v>
      </c>
      <c r="T91" s="15"/>
    </row>
    <row r="92" spans="1:20" ht="15.75" thickBot="1" x14ac:dyDescent="0.3">
      <c r="A92" s="30">
        <v>1974</v>
      </c>
      <c r="B92" s="45">
        <v>42.3</v>
      </c>
      <c r="C92" s="32">
        <v>7.8</v>
      </c>
      <c r="D92" s="48">
        <v>0.90900000000000003</v>
      </c>
      <c r="E92" s="33">
        <v>0.23200000000000001</v>
      </c>
      <c r="H92" s="15">
        <f t="shared" si="8"/>
        <v>62</v>
      </c>
      <c r="I92" s="49">
        <f t="shared" si="5"/>
        <v>0.91356783919597995</v>
      </c>
      <c r="J92" s="49">
        <f t="shared" si="6"/>
        <v>0.23991726990692866</v>
      </c>
      <c r="K92" s="49">
        <f t="shared" si="9"/>
        <v>0.91356783919597995</v>
      </c>
      <c r="L92" s="49">
        <f t="shared" si="7"/>
        <v>0.23991726990692866</v>
      </c>
      <c r="M92" s="15"/>
      <c r="O92" s="15">
        <f t="shared" si="4"/>
        <v>64</v>
      </c>
      <c r="P92" s="49">
        <f t="shared" si="0"/>
        <v>0.90990990990990994</v>
      </c>
      <c r="Q92" s="55">
        <f t="shared" si="1"/>
        <v>0.2338709677419355</v>
      </c>
      <c r="R92" s="49">
        <f t="shared" si="2"/>
        <v>0.90990990990990994</v>
      </c>
      <c r="S92" s="49">
        <f t="shared" si="3"/>
        <v>0.2338709677419355</v>
      </c>
      <c r="T92" s="15"/>
    </row>
    <row r="93" spans="1:20" ht="15.75" thickBot="1" x14ac:dyDescent="0.3">
      <c r="A93" s="30">
        <v>1975</v>
      </c>
      <c r="B93" s="45">
        <v>41.3</v>
      </c>
      <c r="C93" s="32">
        <v>7.5</v>
      </c>
      <c r="D93" s="48">
        <v>0.88700000000000001</v>
      </c>
      <c r="E93" s="33">
        <v>0.22500000000000001</v>
      </c>
      <c r="H93" s="15">
        <f t="shared" si="8"/>
        <v>63</v>
      </c>
      <c r="I93" s="49">
        <f t="shared" si="5"/>
        <v>0.89145728643216082</v>
      </c>
      <c r="J93" s="49">
        <f t="shared" si="6"/>
        <v>0.23267838676318511</v>
      </c>
      <c r="K93" s="49">
        <f t="shared" si="9"/>
        <v>0.89145728643216082</v>
      </c>
      <c r="L93" s="49">
        <f t="shared" si="7"/>
        <v>0.23267838676318511</v>
      </c>
      <c r="M93" s="15"/>
      <c r="O93" s="15">
        <f t="shared" si="4"/>
        <v>65</v>
      </c>
      <c r="P93" s="49">
        <f t="shared" ref="P93:P144" si="10">D93/$D$28</f>
        <v>0.88788788788788786</v>
      </c>
      <c r="Q93" s="55">
        <f t="shared" ref="Q93:Q144" si="11">E93/$E$28</f>
        <v>0.22681451612903228</v>
      </c>
      <c r="R93" s="49">
        <f t="shared" ref="R93:R144" si="12">P93</f>
        <v>0.88788788788788786</v>
      </c>
      <c r="S93" s="49">
        <f t="shared" ref="S93:S144" si="13">Q93</f>
        <v>0.22681451612903228</v>
      </c>
      <c r="T93" s="15"/>
    </row>
    <row r="94" spans="1:20" ht="15.75" thickBot="1" x14ac:dyDescent="0.3">
      <c r="A94" s="30">
        <v>1976</v>
      </c>
      <c r="B94" s="45">
        <v>40.4</v>
      </c>
      <c r="C94" s="32">
        <v>7.2</v>
      </c>
      <c r="D94" s="48">
        <v>0.86799999999999999</v>
      </c>
      <c r="E94" s="33">
        <v>0.215</v>
      </c>
      <c r="H94" s="15">
        <f t="shared" si="8"/>
        <v>64</v>
      </c>
      <c r="I94" s="49">
        <f t="shared" si="5"/>
        <v>0.87236180904522609</v>
      </c>
      <c r="J94" s="49">
        <f t="shared" si="6"/>
        <v>0.22233712512926576</v>
      </c>
      <c r="K94" s="49">
        <f t="shared" si="9"/>
        <v>0.87236180904522609</v>
      </c>
      <c r="L94" s="49">
        <f t="shared" si="7"/>
        <v>0.22233712512926576</v>
      </c>
      <c r="M94" s="15"/>
      <c r="O94" s="15">
        <f t="shared" ref="O94:O144" si="14">O93+1</f>
        <v>66</v>
      </c>
      <c r="P94" s="49">
        <f t="shared" si="10"/>
        <v>0.86886886886886883</v>
      </c>
      <c r="Q94" s="55">
        <f t="shared" si="11"/>
        <v>0.21673387096774194</v>
      </c>
      <c r="R94" s="49">
        <f t="shared" si="12"/>
        <v>0.86886886886886883</v>
      </c>
      <c r="S94" s="49">
        <f t="shared" si="13"/>
        <v>0.21673387096774194</v>
      </c>
      <c r="T94" s="15"/>
    </row>
    <row r="95" spans="1:20" ht="15.75" thickBot="1" x14ac:dyDescent="0.3">
      <c r="A95" s="30">
        <v>1977</v>
      </c>
      <c r="B95" s="45">
        <v>39</v>
      </c>
      <c r="C95" s="32">
        <v>7</v>
      </c>
      <c r="D95" s="48">
        <v>0.83799999999999997</v>
      </c>
      <c r="E95" s="33">
        <v>0.20799999999999999</v>
      </c>
      <c r="H95" s="15">
        <f t="shared" si="8"/>
        <v>65</v>
      </c>
      <c r="I95" s="49">
        <f t="shared" ref="I95:I146" si="15">D95/$D$30</f>
        <v>0.84221105527638185</v>
      </c>
      <c r="J95" s="49">
        <f t="shared" ref="J95:J146" si="16">E95/$E$30</f>
        <v>0.21509824198552224</v>
      </c>
      <c r="K95" s="49">
        <f t="shared" ref="K95:K146" si="17">I95</f>
        <v>0.84221105527638185</v>
      </c>
      <c r="L95" s="49">
        <f t="shared" ref="L95:L146" si="18">J95</f>
        <v>0.21509824198552224</v>
      </c>
      <c r="M95" s="15"/>
      <c r="O95" s="15">
        <f t="shared" si="14"/>
        <v>67</v>
      </c>
      <c r="P95" s="49">
        <f t="shared" si="10"/>
        <v>0.83883883883883881</v>
      </c>
      <c r="Q95" s="55">
        <f t="shared" si="11"/>
        <v>0.20967741935483869</v>
      </c>
      <c r="R95" s="49">
        <f t="shared" si="12"/>
        <v>0.83883883883883881</v>
      </c>
      <c r="S95" s="49">
        <f t="shared" si="13"/>
        <v>0.20967741935483869</v>
      </c>
      <c r="T95" s="15"/>
    </row>
    <row r="96" spans="1:20" ht="15.75" thickBot="1" x14ac:dyDescent="0.3">
      <c r="A96" s="30">
        <v>1978</v>
      </c>
      <c r="B96" s="45">
        <v>37.700000000000003</v>
      </c>
      <c r="C96" s="32">
        <v>6.8</v>
      </c>
      <c r="D96" s="48">
        <v>0.81</v>
      </c>
      <c r="E96" s="33">
        <v>0.20300000000000001</v>
      </c>
      <c r="H96" s="15">
        <f t="shared" ref="H96:H144" si="19">H95+1</f>
        <v>66</v>
      </c>
      <c r="I96" s="49">
        <f t="shared" si="15"/>
        <v>0.81407035175879405</v>
      </c>
      <c r="J96" s="49">
        <f t="shared" si="16"/>
        <v>0.20992761116856259</v>
      </c>
      <c r="K96" s="49">
        <f t="shared" si="17"/>
        <v>0.81407035175879405</v>
      </c>
      <c r="L96" s="49">
        <f t="shared" si="18"/>
        <v>0.20992761116856259</v>
      </c>
      <c r="M96" s="15"/>
      <c r="O96" s="15">
        <f t="shared" si="14"/>
        <v>68</v>
      </c>
      <c r="P96" s="49">
        <f t="shared" si="10"/>
        <v>0.81081081081081086</v>
      </c>
      <c r="Q96" s="55">
        <f t="shared" si="11"/>
        <v>0.20463709677419356</v>
      </c>
      <c r="R96" s="49">
        <f t="shared" si="12"/>
        <v>0.81081081081081086</v>
      </c>
      <c r="S96" s="49">
        <f t="shared" si="13"/>
        <v>0.20463709677419356</v>
      </c>
      <c r="T96" s="15"/>
    </row>
    <row r="97" spans="1:20" ht="15.75" thickBot="1" x14ac:dyDescent="0.3">
      <c r="A97" s="30">
        <v>1979</v>
      </c>
      <c r="B97" s="45">
        <v>36.299999999999997</v>
      </c>
      <c r="C97" s="32">
        <v>6.5</v>
      </c>
      <c r="D97" s="48">
        <v>0.78100000000000003</v>
      </c>
      <c r="E97" s="33">
        <v>0.19500000000000001</v>
      </c>
      <c r="H97" s="15">
        <f t="shared" si="19"/>
        <v>67</v>
      </c>
      <c r="I97" s="49">
        <f t="shared" si="15"/>
        <v>0.78492462311557787</v>
      </c>
      <c r="J97" s="49">
        <f t="shared" si="16"/>
        <v>0.20165460186142711</v>
      </c>
      <c r="K97" s="49">
        <f t="shared" si="17"/>
        <v>0.78492462311557787</v>
      </c>
      <c r="L97" s="49">
        <f t="shared" si="18"/>
        <v>0.20165460186142711</v>
      </c>
      <c r="M97" s="15"/>
      <c r="O97" s="15">
        <f t="shared" si="14"/>
        <v>69</v>
      </c>
      <c r="P97" s="49">
        <f t="shared" si="10"/>
        <v>0.78178178178178181</v>
      </c>
      <c r="Q97" s="55">
        <f t="shared" si="11"/>
        <v>0.19657258064516131</v>
      </c>
      <c r="R97" s="49">
        <f t="shared" si="12"/>
        <v>0.78178178178178181</v>
      </c>
      <c r="S97" s="49">
        <f t="shared" si="13"/>
        <v>0.19657258064516131</v>
      </c>
      <c r="T97" s="15"/>
    </row>
    <row r="98" spans="1:20" ht="15.75" thickBot="1" x14ac:dyDescent="0.3">
      <c r="A98" s="30">
        <v>1980</v>
      </c>
      <c r="B98" s="45">
        <v>35.799999999999997</v>
      </c>
      <c r="C98" s="32">
        <v>6.2</v>
      </c>
      <c r="D98" s="48">
        <v>0.76900000000000002</v>
      </c>
      <c r="E98" s="33">
        <v>0.185</v>
      </c>
      <c r="H98" s="15">
        <f t="shared" si="19"/>
        <v>68</v>
      </c>
      <c r="I98" s="49">
        <f t="shared" si="15"/>
        <v>0.77286432160804019</v>
      </c>
      <c r="J98" s="49">
        <f t="shared" si="16"/>
        <v>0.19131334022750776</v>
      </c>
      <c r="K98" s="49">
        <f t="shared" si="17"/>
        <v>0.77286432160804019</v>
      </c>
      <c r="L98" s="49">
        <f t="shared" si="18"/>
        <v>0.19131334022750776</v>
      </c>
      <c r="M98" s="15"/>
      <c r="O98" s="15">
        <f t="shared" si="14"/>
        <v>70</v>
      </c>
      <c r="P98" s="49">
        <f t="shared" si="10"/>
        <v>0.76976976976976974</v>
      </c>
      <c r="Q98" s="55">
        <f t="shared" si="11"/>
        <v>0.18649193548387097</v>
      </c>
      <c r="R98" s="49">
        <f t="shared" si="12"/>
        <v>0.76976976976976974</v>
      </c>
      <c r="S98" s="49">
        <f t="shared" si="13"/>
        <v>0.18649193548387097</v>
      </c>
      <c r="T98" s="15"/>
    </row>
    <row r="99" spans="1:20" ht="15.75" thickBot="1" x14ac:dyDescent="0.3">
      <c r="A99" s="30">
        <v>1981</v>
      </c>
      <c r="B99" s="45">
        <v>35.4</v>
      </c>
      <c r="C99" s="32">
        <v>6</v>
      </c>
      <c r="D99" s="48">
        <v>0.76100000000000001</v>
      </c>
      <c r="E99" s="33">
        <v>0.18</v>
      </c>
      <c r="H99" s="15">
        <f t="shared" si="19"/>
        <v>69</v>
      </c>
      <c r="I99" s="49">
        <f t="shared" si="15"/>
        <v>0.76482412060301508</v>
      </c>
      <c r="J99" s="49">
        <f t="shared" si="16"/>
        <v>0.18614270941054809</v>
      </c>
      <c r="K99" s="49">
        <f t="shared" si="17"/>
        <v>0.76482412060301508</v>
      </c>
      <c r="L99" s="49">
        <f t="shared" si="18"/>
        <v>0.18614270941054809</v>
      </c>
      <c r="M99" s="15"/>
      <c r="O99" s="15">
        <f t="shared" si="14"/>
        <v>71</v>
      </c>
      <c r="P99" s="49">
        <f t="shared" si="10"/>
        <v>0.7617617617617618</v>
      </c>
      <c r="Q99" s="55">
        <f t="shared" si="11"/>
        <v>0.18145161290322581</v>
      </c>
      <c r="R99" s="49">
        <f t="shared" si="12"/>
        <v>0.7617617617617618</v>
      </c>
      <c r="S99" s="49">
        <f t="shared" si="13"/>
        <v>0.18145161290322581</v>
      </c>
      <c r="T99" s="15"/>
    </row>
    <row r="100" spans="1:20" ht="15.75" thickBot="1" x14ac:dyDescent="0.3">
      <c r="A100" s="30">
        <v>1982</v>
      </c>
      <c r="B100" s="45">
        <v>35.299999999999997</v>
      </c>
      <c r="C100" s="32">
        <v>5.9</v>
      </c>
      <c r="D100" s="48">
        <v>0.75800000000000001</v>
      </c>
      <c r="E100" s="33">
        <v>0.17599999999999999</v>
      </c>
      <c r="H100" s="15">
        <f t="shared" si="19"/>
        <v>70</v>
      </c>
      <c r="I100" s="49">
        <f t="shared" si="15"/>
        <v>0.76180904522613069</v>
      </c>
      <c r="J100" s="49">
        <f t="shared" si="16"/>
        <v>0.18200620475698034</v>
      </c>
      <c r="K100" s="49">
        <f t="shared" si="17"/>
        <v>0.76180904522613069</v>
      </c>
      <c r="L100" s="49">
        <f t="shared" si="18"/>
        <v>0.18200620475698034</v>
      </c>
      <c r="M100" s="15"/>
      <c r="O100" s="15">
        <f t="shared" si="14"/>
        <v>72</v>
      </c>
      <c r="P100" s="49">
        <f t="shared" si="10"/>
        <v>0.75875875875875876</v>
      </c>
      <c r="Q100" s="55">
        <f t="shared" si="11"/>
        <v>0.17741935483870966</v>
      </c>
      <c r="R100" s="49">
        <f t="shared" si="12"/>
        <v>0.75875875875875876</v>
      </c>
      <c r="S100" s="49">
        <f t="shared" si="13"/>
        <v>0.17741935483870966</v>
      </c>
      <c r="T100" s="15"/>
    </row>
    <row r="101" spans="1:20" ht="15.75" thickBot="1" x14ac:dyDescent="0.3">
      <c r="A101" s="30">
        <v>1983</v>
      </c>
      <c r="B101" s="45">
        <v>35.200000000000003</v>
      </c>
      <c r="C101" s="32">
        <v>5.7</v>
      </c>
      <c r="D101" s="48">
        <v>0.75600000000000001</v>
      </c>
      <c r="E101" s="33">
        <v>0.17100000000000001</v>
      </c>
      <c r="H101" s="15">
        <f t="shared" si="19"/>
        <v>71</v>
      </c>
      <c r="I101" s="49">
        <f t="shared" si="15"/>
        <v>0.75979899497487435</v>
      </c>
      <c r="J101" s="49">
        <f t="shared" si="16"/>
        <v>0.1768355739400207</v>
      </c>
      <c r="K101" s="49">
        <f t="shared" si="17"/>
        <v>0.75979899497487435</v>
      </c>
      <c r="L101" s="49">
        <f t="shared" si="18"/>
        <v>0.1768355739400207</v>
      </c>
      <c r="M101" s="15"/>
      <c r="O101" s="15">
        <f t="shared" si="14"/>
        <v>73</v>
      </c>
      <c r="P101" s="49">
        <f t="shared" si="10"/>
        <v>0.7567567567567568</v>
      </c>
      <c r="Q101" s="55">
        <f t="shared" si="11"/>
        <v>0.17237903225806453</v>
      </c>
      <c r="R101" s="49">
        <f t="shared" si="12"/>
        <v>0.7567567567567568</v>
      </c>
      <c r="S101" s="49">
        <f t="shared" si="13"/>
        <v>0.17237903225806453</v>
      </c>
      <c r="T101" s="15"/>
    </row>
    <row r="102" spans="1:20" ht="15.75" thickBot="1" x14ac:dyDescent="0.3">
      <c r="A102" s="30">
        <v>1984</v>
      </c>
      <c r="B102" s="45">
        <v>35.4</v>
      </c>
      <c r="C102" s="32">
        <v>5.6</v>
      </c>
      <c r="D102" s="48">
        <v>0.76100000000000001</v>
      </c>
      <c r="E102" s="33">
        <v>0.16600000000000001</v>
      </c>
      <c r="H102" s="15">
        <f t="shared" si="19"/>
        <v>72</v>
      </c>
      <c r="I102" s="49">
        <f t="shared" si="15"/>
        <v>0.76482412060301508</v>
      </c>
      <c r="J102" s="49">
        <f t="shared" si="16"/>
        <v>0.17166494312306102</v>
      </c>
      <c r="K102" s="49">
        <f t="shared" si="17"/>
        <v>0.76482412060301508</v>
      </c>
      <c r="L102" s="49">
        <f t="shared" si="18"/>
        <v>0.17166494312306102</v>
      </c>
      <c r="M102" s="15"/>
      <c r="O102" s="15">
        <f t="shared" si="14"/>
        <v>74</v>
      </c>
      <c r="P102" s="49">
        <f t="shared" si="10"/>
        <v>0.7617617617617618</v>
      </c>
      <c r="Q102" s="55">
        <f t="shared" si="11"/>
        <v>0.16733870967741937</v>
      </c>
      <c r="R102" s="49">
        <f t="shared" si="12"/>
        <v>0.7617617617617618</v>
      </c>
      <c r="S102" s="49">
        <f t="shared" si="13"/>
        <v>0.16733870967741937</v>
      </c>
      <c r="T102" s="15"/>
    </row>
    <row r="103" spans="1:20" ht="15.75" thickBot="1" x14ac:dyDescent="0.3">
      <c r="A103" s="30">
        <v>1985</v>
      </c>
      <c r="B103" s="45">
        <v>35.1</v>
      </c>
      <c r="C103" s="32">
        <v>5.4</v>
      </c>
      <c r="D103" s="48">
        <v>0.755</v>
      </c>
      <c r="E103" s="33">
        <v>0.16300000000000001</v>
      </c>
      <c r="H103" s="15">
        <f t="shared" si="19"/>
        <v>73</v>
      </c>
      <c r="I103" s="49">
        <f t="shared" si="15"/>
        <v>0.75879396984924619</v>
      </c>
      <c r="J103" s="49">
        <f t="shared" si="16"/>
        <v>0.16856256463288521</v>
      </c>
      <c r="K103" s="49">
        <f t="shared" si="17"/>
        <v>0.75879396984924619</v>
      </c>
      <c r="L103" s="49">
        <f t="shared" si="18"/>
        <v>0.16856256463288521</v>
      </c>
      <c r="M103" s="15"/>
      <c r="O103" s="15">
        <f t="shared" si="14"/>
        <v>75</v>
      </c>
      <c r="P103" s="49">
        <f t="shared" si="10"/>
        <v>0.75575575575575571</v>
      </c>
      <c r="Q103" s="55">
        <f t="shared" si="11"/>
        <v>0.16431451612903228</v>
      </c>
      <c r="R103" s="49">
        <f t="shared" si="12"/>
        <v>0.75575575575575571</v>
      </c>
      <c r="S103" s="49">
        <f t="shared" si="13"/>
        <v>0.16431451612903228</v>
      </c>
      <c r="T103" s="15"/>
    </row>
    <row r="104" spans="1:20" ht="15.75" thickBot="1" x14ac:dyDescent="0.3">
      <c r="A104" s="30">
        <v>1986</v>
      </c>
      <c r="B104" s="45">
        <v>34.6</v>
      </c>
      <c r="C104" s="32">
        <v>5.3</v>
      </c>
      <c r="D104" s="48">
        <v>0.74299999999999999</v>
      </c>
      <c r="E104" s="33">
        <v>0.16</v>
      </c>
      <c r="H104" s="15">
        <f t="shared" si="19"/>
        <v>74</v>
      </c>
      <c r="I104" s="49">
        <f t="shared" si="15"/>
        <v>0.74673366834170851</v>
      </c>
      <c r="J104" s="49">
        <f t="shared" si="16"/>
        <v>0.16546018614270941</v>
      </c>
      <c r="K104" s="49">
        <f t="shared" si="17"/>
        <v>0.74673366834170851</v>
      </c>
      <c r="L104" s="49">
        <f t="shared" si="18"/>
        <v>0.16546018614270941</v>
      </c>
      <c r="M104" s="15"/>
      <c r="O104" s="15">
        <f t="shared" si="14"/>
        <v>76</v>
      </c>
      <c r="P104" s="49">
        <f t="shared" si="10"/>
        <v>0.74374374374374375</v>
      </c>
      <c r="Q104" s="55">
        <f t="shared" si="11"/>
        <v>0.16129032258064516</v>
      </c>
      <c r="R104" s="49">
        <f t="shared" si="12"/>
        <v>0.74374374374374375</v>
      </c>
      <c r="S104" s="49">
        <f t="shared" si="13"/>
        <v>0.16129032258064516</v>
      </c>
      <c r="T104" s="15"/>
    </row>
    <row r="105" spans="1:20" ht="15.75" thickBot="1" x14ac:dyDescent="0.3">
      <c r="A105" s="30">
        <v>1987</v>
      </c>
      <c r="B105" s="45">
        <v>33.799999999999997</v>
      </c>
      <c r="C105" s="32">
        <v>5.3</v>
      </c>
      <c r="D105" s="48">
        <v>0.72599999999999998</v>
      </c>
      <c r="E105" s="33">
        <v>0.159</v>
      </c>
      <c r="H105" s="15">
        <f t="shared" si="19"/>
        <v>75</v>
      </c>
      <c r="I105" s="49">
        <f t="shared" si="15"/>
        <v>0.72964824120603011</v>
      </c>
      <c r="J105" s="49">
        <f t="shared" si="16"/>
        <v>0.16442605997931747</v>
      </c>
      <c r="K105" s="49">
        <f t="shared" si="17"/>
        <v>0.72964824120603011</v>
      </c>
      <c r="L105" s="49">
        <f t="shared" si="18"/>
        <v>0.16442605997931747</v>
      </c>
      <c r="M105" s="15"/>
      <c r="O105" s="15">
        <f t="shared" si="14"/>
        <v>77</v>
      </c>
      <c r="P105" s="49">
        <f t="shared" si="10"/>
        <v>0.72672672672672667</v>
      </c>
      <c r="Q105" s="55">
        <f t="shared" si="11"/>
        <v>0.16028225806451613</v>
      </c>
      <c r="R105" s="49">
        <f t="shared" si="12"/>
        <v>0.72672672672672667</v>
      </c>
      <c r="S105" s="49">
        <f t="shared" si="13"/>
        <v>0.16028225806451613</v>
      </c>
      <c r="T105" s="15"/>
    </row>
    <row r="106" spans="1:20" ht="15.75" thickBot="1" x14ac:dyDescent="0.3">
      <c r="A106" s="30">
        <v>1988</v>
      </c>
      <c r="B106" s="45">
        <v>32.799999999999997</v>
      </c>
      <c r="C106" s="32">
        <v>5.3</v>
      </c>
      <c r="D106" s="48">
        <v>0.70499999999999996</v>
      </c>
      <c r="E106" s="33">
        <v>0.16</v>
      </c>
      <c r="H106" s="15">
        <f t="shared" si="19"/>
        <v>76</v>
      </c>
      <c r="I106" s="49">
        <f t="shared" si="15"/>
        <v>0.70854271356783916</v>
      </c>
      <c r="J106" s="49">
        <f t="shared" si="16"/>
        <v>0.16546018614270941</v>
      </c>
      <c r="K106" s="49">
        <f t="shared" si="17"/>
        <v>0.70854271356783916</v>
      </c>
      <c r="L106" s="49">
        <f t="shared" si="18"/>
        <v>0.16546018614270941</v>
      </c>
      <c r="M106" s="15"/>
      <c r="O106" s="15">
        <f t="shared" si="14"/>
        <v>78</v>
      </c>
      <c r="P106" s="49">
        <f t="shared" si="10"/>
        <v>0.70570570570570568</v>
      </c>
      <c r="Q106" s="55">
        <f t="shared" si="11"/>
        <v>0.16129032258064516</v>
      </c>
      <c r="R106" s="49">
        <f t="shared" si="12"/>
        <v>0.70570570570570568</v>
      </c>
      <c r="S106" s="49">
        <f t="shared" si="13"/>
        <v>0.16129032258064516</v>
      </c>
      <c r="T106" s="15"/>
    </row>
    <row r="107" spans="1:20" ht="15.75" thickBot="1" x14ac:dyDescent="0.3">
      <c r="A107" s="30">
        <v>1989</v>
      </c>
      <c r="B107" s="45">
        <v>31.4</v>
      </c>
      <c r="C107" s="32">
        <v>5.4</v>
      </c>
      <c r="D107" s="48">
        <v>0.67500000000000004</v>
      </c>
      <c r="E107" s="33">
        <v>0.161</v>
      </c>
      <c r="H107" s="15">
        <f t="shared" si="19"/>
        <v>77</v>
      </c>
      <c r="I107" s="49">
        <f t="shared" si="15"/>
        <v>0.67839195979899503</v>
      </c>
      <c r="J107" s="49">
        <f t="shared" si="16"/>
        <v>0.16649431230610134</v>
      </c>
      <c r="K107" s="49">
        <f t="shared" si="17"/>
        <v>0.67839195979899503</v>
      </c>
      <c r="L107" s="49">
        <f t="shared" si="18"/>
        <v>0.16649431230610134</v>
      </c>
      <c r="M107" s="15"/>
      <c r="O107" s="15">
        <f t="shared" si="14"/>
        <v>79</v>
      </c>
      <c r="P107" s="49">
        <f t="shared" si="10"/>
        <v>0.67567567567567577</v>
      </c>
      <c r="Q107" s="55">
        <f t="shared" si="11"/>
        <v>0.16229838709677419</v>
      </c>
      <c r="R107" s="49">
        <f t="shared" si="12"/>
        <v>0.67567567567567577</v>
      </c>
      <c r="S107" s="49">
        <f t="shared" si="13"/>
        <v>0.16229838709677419</v>
      </c>
      <c r="T107" s="15"/>
    </row>
    <row r="108" spans="1:20" ht="15.75" thickBot="1" x14ac:dyDescent="0.3">
      <c r="A108" s="30">
        <v>1990</v>
      </c>
      <c r="B108" s="45">
        <v>30.2</v>
      </c>
      <c r="C108" s="32">
        <v>5.4</v>
      </c>
      <c r="D108" s="48">
        <v>0.64800000000000002</v>
      </c>
      <c r="E108" s="33">
        <v>0.16300000000000001</v>
      </c>
      <c r="H108" s="15">
        <f t="shared" si="19"/>
        <v>78</v>
      </c>
      <c r="I108" s="49">
        <f t="shared" si="15"/>
        <v>0.65125628140703518</v>
      </c>
      <c r="J108" s="49">
        <f t="shared" si="16"/>
        <v>0.16856256463288521</v>
      </c>
      <c r="K108" s="49">
        <f t="shared" si="17"/>
        <v>0.65125628140703518</v>
      </c>
      <c r="L108" s="49">
        <f t="shared" si="18"/>
        <v>0.16856256463288521</v>
      </c>
      <c r="M108" s="15"/>
      <c r="O108" s="15">
        <f t="shared" si="14"/>
        <v>80</v>
      </c>
      <c r="P108" s="49">
        <f t="shared" si="10"/>
        <v>0.64864864864864868</v>
      </c>
      <c r="Q108" s="55">
        <f t="shared" si="11"/>
        <v>0.16431451612903228</v>
      </c>
      <c r="R108" s="49">
        <f t="shared" si="12"/>
        <v>0.64864864864864868</v>
      </c>
      <c r="S108" s="49">
        <f t="shared" si="13"/>
        <v>0.16431451612903228</v>
      </c>
      <c r="T108" s="15"/>
    </row>
    <row r="109" spans="1:20" ht="15.75" thickBot="1" x14ac:dyDescent="0.3">
      <c r="A109" s="30">
        <v>1991</v>
      </c>
      <c r="B109" s="45">
        <v>28.8</v>
      </c>
      <c r="C109" s="32">
        <v>5.5</v>
      </c>
      <c r="D109" s="48">
        <v>0.61799999999999999</v>
      </c>
      <c r="E109" s="33">
        <v>0.16300000000000001</v>
      </c>
      <c r="H109" s="15">
        <f t="shared" si="19"/>
        <v>79</v>
      </c>
      <c r="I109" s="49">
        <f t="shared" si="15"/>
        <v>0.62110552763819094</v>
      </c>
      <c r="J109" s="49">
        <f t="shared" si="16"/>
        <v>0.16856256463288521</v>
      </c>
      <c r="K109" s="49">
        <f t="shared" si="17"/>
        <v>0.62110552763819094</v>
      </c>
      <c r="L109" s="49">
        <f t="shared" si="18"/>
        <v>0.16856256463288521</v>
      </c>
      <c r="M109" s="15"/>
      <c r="O109" s="15">
        <f t="shared" si="14"/>
        <v>81</v>
      </c>
      <c r="P109" s="49">
        <f t="shared" si="10"/>
        <v>0.61861861861861867</v>
      </c>
      <c r="Q109" s="55">
        <f t="shared" si="11"/>
        <v>0.16431451612903228</v>
      </c>
      <c r="R109" s="49">
        <f t="shared" si="12"/>
        <v>0.61861861861861867</v>
      </c>
      <c r="S109" s="49">
        <f t="shared" si="13"/>
        <v>0.16431451612903228</v>
      </c>
      <c r="T109" s="15"/>
    </row>
    <row r="110" spans="1:20" ht="15.75" thickBot="1" x14ac:dyDescent="0.3">
      <c r="A110" s="30">
        <v>1992</v>
      </c>
      <c r="B110" s="45">
        <v>27.6</v>
      </c>
      <c r="C110" s="32">
        <v>5.4</v>
      </c>
      <c r="D110" s="48">
        <v>0.59399999999999997</v>
      </c>
      <c r="E110" s="33">
        <v>0.16200000000000001</v>
      </c>
      <c r="H110" s="15">
        <f t="shared" si="19"/>
        <v>80</v>
      </c>
      <c r="I110" s="49">
        <f t="shared" si="15"/>
        <v>0.59698492462311559</v>
      </c>
      <c r="J110" s="49">
        <f t="shared" si="16"/>
        <v>0.16752843846949328</v>
      </c>
      <c r="K110" s="49">
        <f t="shared" si="17"/>
        <v>0.59698492462311559</v>
      </c>
      <c r="L110" s="49">
        <f t="shared" si="18"/>
        <v>0.16752843846949328</v>
      </c>
      <c r="M110" s="15"/>
      <c r="O110" s="15">
        <f t="shared" si="14"/>
        <v>82</v>
      </c>
      <c r="P110" s="49">
        <f t="shared" si="10"/>
        <v>0.59459459459459452</v>
      </c>
      <c r="Q110" s="55">
        <f t="shared" si="11"/>
        <v>0.16330645161290322</v>
      </c>
      <c r="R110" s="49">
        <f t="shared" si="12"/>
        <v>0.59459459459459452</v>
      </c>
      <c r="S110" s="49">
        <f t="shared" si="13"/>
        <v>0.16330645161290322</v>
      </c>
      <c r="T110" s="15"/>
    </row>
    <row r="111" spans="1:20" ht="15.75" thickBot="1" x14ac:dyDescent="0.3">
      <c r="A111" s="30">
        <v>1993</v>
      </c>
      <c r="B111" s="45">
        <v>26.5</v>
      </c>
      <c r="C111" s="32">
        <v>5.4</v>
      </c>
      <c r="D111" s="48">
        <v>0.56899999999999995</v>
      </c>
      <c r="E111" s="33">
        <v>0.161</v>
      </c>
      <c r="H111" s="15">
        <f t="shared" si="19"/>
        <v>81</v>
      </c>
      <c r="I111" s="49">
        <f t="shared" si="15"/>
        <v>0.57185929648241196</v>
      </c>
      <c r="J111" s="49">
        <f t="shared" si="16"/>
        <v>0.16649431230610134</v>
      </c>
      <c r="K111" s="49">
        <f t="shared" si="17"/>
        <v>0.57185929648241196</v>
      </c>
      <c r="L111" s="49">
        <f t="shared" si="18"/>
        <v>0.16649431230610134</v>
      </c>
      <c r="M111" s="15"/>
      <c r="O111" s="15">
        <f t="shared" si="14"/>
        <v>83</v>
      </c>
      <c r="P111" s="49">
        <f t="shared" si="10"/>
        <v>0.5695695695695695</v>
      </c>
      <c r="Q111" s="55">
        <f t="shared" si="11"/>
        <v>0.16229838709677419</v>
      </c>
      <c r="R111" s="49">
        <f t="shared" si="12"/>
        <v>0.5695695695695695</v>
      </c>
      <c r="S111" s="49">
        <f t="shared" si="13"/>
        <v>0.16229838709677419</v>
      </c>
      <c r="T111" s="15"/>
    </row>
    <row r="112" spans="1:20" ht="15.75" thickBot="1" x14ac:dyDescent="0.3">
      <c r="A112" s="30">
        <v>1994</v>
      </c>
      <c r="B112" s="45">
        <v>25.9</v>
      </c>
      <c r="C112" s="32">
        <v>5.3</v>
      </c>
      <c r="D112" s="48">
        <v>0.55700000000000005</v>
      </c>
      <c r="E112" s="33">
        <v>0.158</v>
      </c>
      <c r="H112" s="15">
        <f t="shared" si="19"/>
        <v>82</v>
      </c>
      <c r="I112" s="49">
        <f t="shared" si="15"/>
        <v>0.5597989949748744</v>
      </c>
      <c r="J112" s="49">
        <f t="shared" si="16"/>
        <v>0.16339193381592554</v>
      </c>
      <c r="K112" s="49">
        <f t="shared" si="17"/>
        <v>0.5597989949748744</v>
      </c>
      <c r="L112" s="49">
        <f t="shared" si="18"/>
        <v>0.16339193381592554</v>
      </c>
      <c r="M112" s="15"/>
      <c r="O112" s="15">
        <f t="shared" si="14"/>
        <v>84</v>
      </c>
      <c r="P112" s="49">
        <f t="shared" si="10"/>
        <v>0.55755755755755765</v>
      </c>
      <c r="Q112" s="55">
        <f t="shared" si="11"/>
        <v>0.15927419354838709</v>
      </c>
      <c r="R112" s="49">
        <f t="shared" si="12"/>
        <v>0.55755755755755765</v>
      </c>
      <c r="S112" s="49">
        <f t="shared" si="13"/>
        <v>0.15927419354838709</v>
      </c>
      <c r="T112" s="15"/>
    </row>
    <row r="113" spans="1:20" ht="15.75" thickBot="1" x14ac:dyDescent="0.3">
      <c r="A113" s="30">
        <v>1995</v>
      </c>
      <c r="B113" s="45">
        <v>25.5</v>
      </c>
      <c r="C113" s="32">
        <v>5.2</v>
      </c>
      <c r="D113" s="48">
        <v>0.54700000000000004</v>
      </c>
      <c r="E113" s="33">
        <v>0.156</v>
      </c>
      <c r="H113" s="15">
        <f t="shared" si="19"/>
        <v>83</v>
      </c>
      <c r="I113" s="49">
        <f t="shared" si="15"/>
        <v>0.54974874371859306</v>
      </c>
      <c r="J113" s="49">
        <f t="shared" si="16"/>
        <v>0.16132368148914167</v>
      </c>
      <c r="K113" s="49">
        <f t="shared" si="17"/>
        <v>0.54974874371859306</v>
      </c>
      <c r="L113" s="49">
        <f t="shared" si="18"/>
        <v>0.16132368148914167</v>
      </c>
      <c r="M113" s="15"/>
      <c r="O113" s="15">
        <f t="shared" si="14"/>
        <v>85</v>
      </c>
      <c r="P113" s="49">
        <f t="shared" si="10"/>
        <v>0.54754754754754764</v>
      </c>
      <c r="Q113" s="55">
        <f t="shared" si="11"/>
        <v>0.15725806451612903</v>
      </c>
      <c r="R113" s="49">
        <f t="shared" si="12"/>
        <v>0.54754754754754764</v>
      </c>
      <c r="S113" s="49">
        <f t="shared" si="13"/>
        <v>0.15725806451612903</v>
      </c>
      <c r="T113" s="15"/>
    </row>
    <row r="114" spans="1:20" ht="15.75" thickBot="1" x14ac:dyDescent="0.3">
      <c r="A114" s="30">
        <v>1996</v>
      </c>
      <c r="B114" s="45">
        <v>25.3</v>
      </c>
      <c r="C114" s="32">
        <v>5.2</v>
      </c>
      <c r="D114" s="48">
        <v>0.54500000000000004</v>
      </c>
      <c r="E114" s="33">
        <v>0.155</v>
      </c>
      <c r="H114" s="15">
        <f t="shared" si="19"/>
        <v>84</v>
      </c>
      <c r="I114" s="49">
        <f t="shared" si="15"/>
        <v>0.54773869346733672</v>
      </c>
      <c r="J114" s="49">
        <f t="shared" si="16"/>
        <v>0.16028955532574973</v>
      </c>
      <c r="K114" s="49">
        <f t="shared" si="17"/>
        <v>0.54773869346733672</v>
      </c>
      <c r="L114" s="49">
        <f t="shared" si="18"/>
        <v>0.16028955532574973</v>
      </c>
      <c r="M114" s="15"/>
      <c r="O114" s="15">
        <f t="shared" si="14"/>
        <v>86</v>
      </c>
      <c r="P114" s="49">
        <f t="shared" si="10"/>
        <v>0.54554554554554557</v>
      </c>
      <c r="Q114" s="55">
        <f t="shared" si="11"/>
        <v>0.15625</v>
      </c>
      <c r="R114" s="49">
        <f t="shared" si="12"/>
        <v>0.54554554554554557</v>
      </c>
      <c r="S114" s="49">
        <f t="shared" si="13"/>
        <v>0.15625</v>
      </c>
      <c r="T114" s="15"/>
    </row>
    <row r="115" spans="1:20" ht="15.75" thickBot="1" x14ac:dyDescent="0.3">
      <c r="A115" s="30">
        <v>1997</v>
      </c>
      <c r="B115" s="45">
        <v>24.9</v>
      </c>
      <c r="C115" s="32">
        <v>5.0999999999999996</v>
      </c>
      <c r="D115" s="48">
        <v>0.53400000000000003</v>
      </c>
      <c r="E115" s="33">
        <v>0.154</v>
      </c>
      <c r="H115" s="15">
        <f t="shared" si="19"/>
        <v>85</v>
      </c>
      <c r="I115" s="49">
        <f t="shared" si="15"/>
        <v>0.53668341708542722</v>
      </c>
      <c r="J115" s="49">
        <f t="shared" si="16"/>
        <v>0.1592554291623578</v>
      </c>
      <c r="K115" s="49">
        <f t="shared" si="17"/>
        <v>0.53668341708542722</v>
      </c>
      <c r="L115" s="49">
        <f t="shared" si="18"/>
        <v>0.1592554291623578</v>
      </c>
      <c r="M115" s="15"/>
      <c r="O115" s="15">
        <f t="shared" si="14"/>
        <v>87</v>
      </c>
      <c r="P115" s="49">
        <f t="shared" si="10"/>
        <v>0.53453453453453459</v>
      </c>
      <c r="Q115" s="55">
        <f t="shared" si="11"/>
        <v>0.15524193548387097</v>
      </c>
      <c r="R115" s="49">
        <f t="shared" si="12"/>
        <v>0.53453453453453459</v>
      </c>
      <c r="S115" s="49">
        <f t="shared" si="13"/>
        <v>0.15524193548387097</v>
      </c>
      <c r="T115" s="15"/>
    </row>
    <row r="116" spans="1:20" ht="15.75" thickBot="1" x14ac:dyDescent="0.3">
      <c r="A116" s="30">
        <v>1998</v>
      </c>
      <c r="B116" s="45">
        <v>24.4</v>
      </c>
      <c r="C116" s="32">
        <v>5.0999999999999996</v>
      </c>
      <c r="D116" s="48">
        <v>0.52400000000000002</v>
      </c>
      <c r="E116" s="33">
        <v>0.153</v>
      </c>
      <c r="H116" s="15">
        <f t="shared" si="19"/>
        <v>86</v>
      </c>
      <c r="I116" s="49">
        <f t="shared" si="15"/>
        <v>0.52663316582914577</v>
      </c>
      <c r="J116" s="49">
        <f t="shared" si="16"/>
        <v>0.15822130299896586</v>
      </c>
      <c r="K116" s="49">
        <f t="shared" si="17"/>
        <v>0.52663316582914577</v>
      </c>
      <c r="L116" s="49">
        <f t="shared" si="18"/>
        <v>0.15822130299896586</v>
      </c>
      <c r="M116" s="15"/>
      <c r="O116" s="15">
        <f t="shared" si="14"/>
        <v>88</v>
      </c>
      <c r="P116" s="49">
        <f t="shared" si="10"/>
        <v>0.52452452452452458</v>
      </c>
      <c r="Q116" s="55">
        <f t="shared" si="11"/>
        <v>0.15423387096774194</v>
      </c>
      <c r="R116" s="49">
        <f t="shared" si="12"/>
        <v>0.52452452452452458</v>
      </c>
      <c r="S116" s="49">
        <f t="shared" si="13"/>
        <v>0.15423387096774194</v>
      </c>
      <c r="T116" s="15"/>
    </row>
    <row r="117" spans="1:20" ht="15.75" thickBot="1" x14ac:dyDescent="0.3">
      <c r="A117" s="30">
        <v>1999</v>
      </c>
      <c r="B117" s="45">
        <v>23.9</v>
      </c>
      <c r="C117" s="32">
        <v>5.0999999999999996</v>
      </c>
      <c r="D117" s="48">
        <v>0.51300000000000001</v>
      </c>
      <c r="E117" s="33">
        <v>0.152</v>
      </c>
      <c r="H117" s="15">
        <f t="shared" si="19"/>
        <v>87</v>
      </c>
      <c r="I117" s="49">
        <f t="shared" si="15"/>
        <v>0.51557788944723615</v>
      </c>
      <c r="J117" s="49">
        <f t="shared" si="16"/>
        <v>0.15718717683557393</v>
      </c>
      <c r="K117" s="49">
        <f t="shared" si="17"/>
        <v>0.51557788944723615</v>
      </c>
      <c r="L117" s="49">
        <f t="shared" si="18"/>
        <v>0.15718717683557393</v>
      </c>
      <c r="M117" s="15"/>
      <c r="O117" s="15">
        <f t="shared" si="14"/>
        <v>89</v>
      </c>
      <c r="P117" s="49">
        <f t="shared" si="10"/>
        <v>0.51351351351351349</v>
      </c>
      <c r="Q117" s="55">
        <f t="shared" si="11"/>
        <v>0.15322580645161291</v>
      </c>
      <c r="R117" s="49">
        <f t="shared" si="12"/>
        <v>0.51351351351351349</v>
      </c>
      <c r="S117" s="49">
        <f t="shared" si="13"/>
        <v>0.15322580645161291</v>
      </c>
      <c r="T117" s="15"/>
    </row>
    <row r="118" spans="1:20" ht="15.75" thickBot="1" x14ac:dyDescent="0.3">
      <c r="A118" s="30">
        <v>2000</v>
      </c>
      <c r="B118" s="45">
        <v>23.4</v>
      </c>
      <c r="C118" s="32">
        <v>5.0999999999999996</v>
      </c>
      <c r="D118" s="48">
        <v>0.504</v>
      </c>
      <c r="E118" s="33">
        <v>0.152</v>
      </c>
      <c r="H118" s="15">
        <f t="shared" si="19"/>
        <v>88</v>
      </c>
      <c r="I118" s="49">
        <f t="shared" si="15"/>
        <v>0.50653266331658287</v>
      </c>
      <c r="J118" s="49">
        <f t="shared" si="16"/>
        <v>0.15718717683557393</v>
      </c>
      <c r="K118" s="49">
        <f t="shared" si="17"/>
        <v>0.50653266331658287</v>
      </c>
      <c r="L118" s="49">
        <f t="shared" si="18"/>
        <v>0.15718717683557393</v>
      </c>
      <c r="M118" s="15"/>
      <c r="O118" s="15">
        <f t="shared" si="14"/>
        <v>90</v>
      </c>
      <c r="P118" s="49">
        <f t="shared" si="10"/>
        <v>0.50450450450450446</v>
      </c>
      <c r="Q118" s="55">
        <f t="shared" si="11"/>
        <v>0.15322580645161291</v>
      </c>
      <c r="R118" s="49">
        <f t="shared" si="12"/>
        <v>0.50450450450450446</v>
      </c>
      <c r="S118" s="49">
        <f t="shared" si="13"/>
        <v>0.15322580645161291</v>
      </c>
      <c r="T118" s="15"/>
    </row>
    <row r="119" spans="1:20" ht="15.75" thickBot="1" x14ac:dyDescent="0.3">
      <c r="A119" s="30">
        <v>2001</v>
      </c>
      <c r="B119" s="45">
        <v>23</v>
      </c>
      <c r="C119" s="32">
        <v>5.0999999999999996</v>
      </c>
      <c r="D119" s="48">
        <v>0.49399999999999999</v>
      </c>
      <c r="E119" s="33">
        <v>0.152</v>
      </c>
      <c r="H119" s="15">
        <f t="shared" si="19"/>
        <v>89</v>
      </c>
      <c r="I119" s="49">
        <f t="shared" si="15"/>
        <v>0.49648241206030153</v>
      </c>
      <c r="J119" s="49">
        <f t="shared" si="16"/>
        <v>0.15718717683557393</v>
      </c>
      <c r="K119" s="49">
        <f t="shared" si="17"/>
        <v>0.49648241206030153</v>
      </c>
      <c r="L119" s="49">
        <f t="shared" si="18"/>
        <v>0.15718717683557393</v>
      </c>
      <c r="M119" s="15"/>
      <c r="O119" s="15">
        <f t="shared" si="14"/>
        <v>91</v>
      </c>
      <c r="P119" s="49">
        <f t="shared" si="10"/>
        <v>0.49449449449449451</v>
      </c>
      <c r="Q119" s="55">
        <f t="shared" si="11"/>
        <v>0.15322580645161291</v>
      </c>
      <c r="R119" s="49">
        <f t="shared" si="12"/>
        <v>0.49449449449449451</v>
      </c>
      <c r="S119" s="49">
        <f t="shared" si="13"/>
        <v>0.15322580645161291</v>
      </c>
      <c r="T119" s="15"/>
    </row>
    <row r="120" spans="1:20" ht="15.75" thickBot="1" x14ac:dyDescent="0.3">
      <c r="A120" s="30">
        <v>2002</v>
      </c>
      <c r="B120" s="45">
        <v>22.6</v>
      </c>
      <c r="C120" s="32">
        <v>5.0999999999999996</v>
      </c>
      <c r="D120" s="48">
        <v>0.48499999999999999</v>
      </c>
      <c r="E120" s="33">
        <v>0.153</v>
      </c>
      <c r="H120" s="15">
        <f t="shared" si="19"/>
        <v>90</v>
      </c>
      <c r="I120" s="49">
        <f t="shared" si="15"/>
        <v>0.48743718592964824</v>
      </c>
      <c r="J120" s="49">
        <f t="shared" si="16"/>
        <v>0.15822130299896586</v>
      </c>
      <c r="K120" s="49">
        <f t="shared" si="17"/>
        <v>0.48743718592964824</v>
      </c>
      <c r="L120" s="49">
        <f t="shared" si="18"/>
        <v>0.15822130299896586</v>
      </c>
      <c r="M120" s="15"/>
      <c r="O120" s="15">
        <f t="shared" si="14"/>
        <v>92</v>
      </c>
      <c r="P120" s="49">
        <f t="shared" si="10"/>
        <v>0.48548548548548548</v>
      </c>
      <c r="Q120" s="55">
        <f t="shared" si="11"/>
        <v>0.15423387096774194</v>
      </c>
      <c r="R120" s="49">
        <f t="shared" si="12"/>
        <v>0.48548548548548548</v>
      </c>
      <c r="S120" s="49">
        <f t="shared" si="13"/>
        <v>0.15423387096774194</v>
      </c>
      <c r="T120" s="15"/>
    </row>
    <row r="121" spans="1:20" ht="15.75" thickBot="1" x14ac:dyDescent="0.3">
      <c r="A121" s="30">
        <v>2003</v>
      </c>
      <c r="B121" s="45">
        <v>22.2</v>
      </c>
      <c r="C121" s="32">
        <v>5.0999999999999996</v>
      </c>
      <c r="D121" s="48">
        <v>0.47699999999999998</v>
      </c>
      <c r="E121" s="33">
        <v>0.154</v>
      </c>
      <c r="H121" s="15">
        <f t="shared" si="19"/>
        <v>91</v>
      </c>
      <c r="I121" s="49">
        <f t="shared" si="15"/>
        <v>0.47939698492462307</v>
      </c>
      <c r="J121" s="49">
        <f t="shared" si="16"/>
        <v>0.1592554291623578</v>
      </c>
      <c r="K121" s="49">
        <f t="shared" si="17"/>
        <v>0.47939698492462307</v>
      </c>
      <c r="L121" s="49">
        <f t="shared" si="18"/>
        <v>0.1592554291623578</v>
      </c>
      <c r="M121" s="15"/>
      <c r="O121" s="15">
        <f t="shared" si="14"/>
        <v>93</v>
      </c>
      <c r="P121" s="49">
        <f t="shared" si="10"/>
        <v>0.47747747747747743</v>
      </c>
      <c r="Q121" s="55">
        <f t="shared" si="11"/>
        <v>0.15524193548387097</v>
      </c>
      <c r="R121" s="49">
        <f t="shared" si="12"/>
        <v>0.47747747747747743</v>
      </c>
      <c r="S121" s="49">
        <f t="shared" si="13"/>
        <v>0.15524193548387097</v>
      </c>
      <c r="T121" s="15"/>
    </row>
    <row r="122" spans="1:20" ht="15.75" thickBot="1" x14ac:dyDescent="0.3">
      <c r="A122" s="30">
        <v>2004</v>
      </c>
      <c r="B122" s="45">
        <v>21.8</v>
      </c>
      <c r="C122" s="32">
        <v>5.2</v>
      </c>
      <c r="D122" s="48">
        <v>0.46899999999999997</v>
      </c>
      <c r="E122" s="33">
        <v>0.155</v>
      </c>
      <c r="H122" s="15">
        <f t="shared" si="19"/>
        <v>92</v>
      </c>
      <c r="I122" s="49">
        <f t="shared" si="15"/>
        <v>0.47135678391959795</v>
      </c>
      <c r="J122" s="49">
        <f t="shared" si="16"/>
        <v>0.16028955532574973</v>
      </c>
      <c r="K122" s="49">
        <f t="shared" si="17"/>
        <v>0.47135678391959795</v>
      </c>
      <c r="L122" s="49">
        <f t="shared" si="18"/>
        <v>0.16028955532574973</v>
      </c>
      <c r="M122" s="15"/>
      <c r="O122" s="15">
        <f t="shared" si="14"/>
        <v>94</v>
      </c>
      <c r="P122" s="49">
        <f t="shared" si="10"/>
        <v>0.46946946946946944</v>
      </c>
      <c r="Q122" s="55">
        <f t="shared" si="11"/>
        <v>0.15625</v>
      </c>
      <c r="R122" s="49">
        <f t="shared" si="12"/>
        <v>0.46946946946946944</v>
      </c>
      <c r="S122" s="49">
        <f t="shared" si="13"/>
        <v>0.15625</v>
      </c>
      <c r="T122" s="15"/>
    </row>
    <row r="123" spans="1:20" ht="15.75" thickBot="1" x14ac:dyDescent="0.3">
      <c r="A123" s="30">
        <v>2005</v>
      </c>
      <c r="B123" s="45">
        <v>21.5</v>
      </c>
      <c r="C123" s="32">
        <v>5.2</v>
      </c>
      <c r="D123" s="48">
        <v>0.46100000000000002</v>
      </c>
      <c r="E123" s="33">
        <v>0.156</v>
      </c>
      <c r="H123" s="15">
        <f t="shared" si="19"/>
        <v>93</v>
      </c>
      <c r="I123" s="49">
        <f t="shared" si="15"/>
        <v>0.46331658291457289</v>
      </c>
      <c r="J123" s="49">
        <f t="shared" si="16"/>
        <v>0.16132368148914167</v>
      </c>
      <c r="K123" s="49">
        <f t="shared" si="17"/>
        <v>0.46331658291457289</v>
      </c>
      <c r="L123" s="49">
        <f t="shared" si="18"/>
        <v>0.16132368148914167</v>
      </c>
      <c r="M123" s="15"/>
      <c r="O123" s="15">
        <f t="shared" si="14"/>
        <v>95</v>
      </c>
      <c r="P123" s="49">
        <f t="shared" si="10"/>
        <v>0.4614614614614615</v>
      </c>
      <c r="Q123" s="55">
        <f t="shared" si="11"/>
        <v>0.15725806451612903</v>
      </c>
      <c r="R123" s="49">
        <f t="shared" si="12"/>
        <v>0.4614614614614615</v>
      </c>
      <c r="S123" s="49">
        <f t="shared" si="13"/>
        <v>0.15725806451612903</v>
      </c>
      <c r="T123" s="15"/>
    </row>
    <row r="124" spans="1:20" ht="15.75" thickBot="1" x14ac:dyDescent="0.3">
      <c r="A124" s="30">
        <v>2006</v>
      </c>
      <c r="B124" s="45">
        <v>21.1</v>
      </c>
      <c r="C124" s="32">
        <v>5.3</v>
      </c>
      <c r="D124" s="48">
        <v>0.45300000000000001</v>
      </c>
      <c r="E124" s="33">
        <v>0.158</v>
      </c>
      <c r="H124" s="15">
        <f t="shared" si="19"/>
        <v>94</v>
      </c>
      <c r="I124" s="49">
        <f t="shared" si="15"/>
        <v>0.45527638190954778</v>
      </c>
      <c r="J124" s="49">
        <f t="shared" si="16"/>
        <v>0.16339193381592554</v>
      </c>
      <c r="K124" s="49">
        <f t="shared" si="17"/>
        <v>0.45527638190954778</v>
      </c>
      <c r="L124" s="49">
        <f t="shared" si="18"/>
        <v>0.16339193381592554</v>
      </c>
      <c r="M124" s="15"/>
      <c r="O124" s="15">
        <f t="shared" si="14"/>
        <v>96</v>
      </c>
      <c r="P124" s="49">
        <f t="shared" si="10"/>
        <v>0.45345345345345345</v>
      </c>
      <c r="Q124" s="55">
        <f t="shared" si="11"/>
        <v>0.15927419354838709</v>
      </c>
      <c r="R124" s="49">
        <f t="shared" si="12"/>
        <v>0.45345345345345345</v>
      </c>
      <c r="S124" s="49">
        <f t="shared" si="13"/>
        <v>0.15927419354838709</v>
      </c>
      <c r="T124" s="15"/>
    </row>
    <row r="125" spans="1:20" ht="15.75" thickBot="1" x14ac:dyDescent="0.3">
      <c r="A125" s="30">
        <v>2007</v>
      </c>
      <c r="B125" s="45">
        <v>20.7</v>
      </c>
      <c r="C125" s="32">
        <v>5.3</v>
      </c>
      <c r="D125" s="48">
        <v>0.44600000000000001</v>
      </c>
      <c r="E125" s="33">
        <v>0.16</v>
      </c>
      <c r="H125" s="15">
        <f t="shared" si="19"/>
        <v>95</v>
      </c>
      <c r="I125" s="49">
        <f t="shared" si="15"/>
        <v>0.44824120603015077</v>
      </c>
      <c r="J125" s="49">
        <f t="shared" si="16"/>
        <v>0.16546018614270941</v>
      </c>
      <c r="K125" s="49">
        <f t="shared" si="17"/>
        <v>0.44824120603015077</v>
      </c>
      <c r="L125" s="49">
        <f t="shared" si="18"/>
        <v>0.16546018614270941</v>
      </c>
      <c r="M125" s="15"/>
      <c r="O125" s="15">
        <f t="shared" si="14"/>
        <v>97</v>
      </c>
      <c r="P125" s="49">
        <f t="shared" si="10"/>
        <v>0.44644644644644643</v>
      </c>
      <c r="Q125" s="55">
        <f t="shared" si="11"/>
        <v>0.16129032258064516</v>
      </c>
      <c r="R125" s="49">
        <f t="shared" si="12"/>
        <v>0.44644644644644643</v>
      </c>
      <c r="S125" s="49">
        <f t="shared" si="13"/>
        <v>0.16129032258064516</v>
      </c>
      <c r="T125" s="15"/>
    </row>
    <row r="126" spans="1:20" ht="15.75" thickBot="1" x14ac:dyDescent="0.3">
      <c r="A126" s="30">
        <v>2008</v>
      </c>
      <c r="B126" s="45">
        <v>20.399999999999999</v>
      </c>
      <c r="C126" s="32">
        <v>5.4</v>
      </c>
      <c r="D126" s="48">
        <v>0.438</v>
      </c>
      <c r="E126" s="33">
        <v>0.16200000000000001</v>
      </c>
      <c r="H126" s="15">
        <f t="shared" si="19"/>
        <v>96</v>
      </c>
      <c r="I126" s="49">
        <f t="shared" si="15"/>
        <v>0.44020100502512566</v>
      </c>
      <c r="J126" s="49">
        <f t="shared" si="16"/>
        <v>0.16752843846949328</v>
      </c>
      <c r="K126" s="49">
        <f t="shared" si="17"/>
        <v>0.44020100502512566</v>
      </c>
      <c r="L126" s="49">
        <f t="shared" si="18"/>
        <v>0.16752843846949328</v>
      </c>
      <c r="M126" s="15"/>
      <c r="O126" s="15">
        <f t="shared" si="14"/>
        <v>98</v>
      </c>
      <c r="P126" s="49">
        <f t="shared" si="10"/>
        <v>0.43843843843843844</v>
      </c>
      <c r="Q126" s="55">
        <f t="shared" si="11"/>
        <v>0.16330645161290322</v>
      </c>
      <c r="R126" s="49">
        <f t="shared" si="12"/>
        <v>0.43843843843843844</v>
      </c>
      <c r="S126" s="49">
        <f t="shared" si="13"/>
        <v>0.16330645161290322</v>
      </c>
      <c r="T126" s="15"/>
    </row>
    <row r="127" spans="1:20" ht="15.75" thickBot="1" x14ac:dyDescent="0.3">
      <c r="A127" s="30">
        <v>2009</v>
      </c>
      <c r="B127" s="45">
        <v>20.100000000000001</v>
      </c>
      <c r="C127" s="32">
        <v>5.5</v>
      </c>
      <c r="D127" s="48">
        <v>0.43099999999999999</v>
      </c>
      <c r="E127" s="33">
        <v>0.16400000000000001</v>
      </c>
      <c r="H127" s="15">
        <f t="shared" si="19"/>
        <v>97</v>
      </c>
      <c r="I127" s="49">
        <f t="shared" si="15"/>
        <v>0.43316582914572865</v>
      </c>
      <c r="J127" s="49">
        <f t="shared" si="16"/>
        <v>0.16959669079627715</v>
      </c>
      <c r="K127" s="49">
        <f t="shared" si="17"/>
        <v>0.43316582914572865</v>
      </c>
      <c r="L127" s="49">
        <f t="shared" si="18"/>
        <v>0.16959669079627715</v>
      </c>
      <c r="M127" s="15"/>
      <c r="O127" s="15">
        <f t="shared" si="14"/>
        <v>99</v>
      </c>
      <c r="P127" s="49">
        <f t="shared" si="10"/>
        <v>0.43143143143143142</v>
      </c>
      <c r="Q127" s="55">
        <f t="shared" si="11"/>
        <v>0.16532258064516131</v>
      </c>
      <c r="R127" s="49">
        <f t="shared" si="12"/>
        <v>0.43143143143143142</v>
      </c>
      <c r="S127" s="49">
        <f t="shared" si="13"/>
        <v>0.16532258064516131</v>
      </c>
      <c r="T127" s="15"/>
    </row>
    <row r="128" spans="1:20" ht="15.75" thickBot="1" x14ac:dyDescent="0.3">
      <c r="A128" s="30">
        <v>2010</v>
      </c>
      <c r="B128" s="45">
        <v>19.8</v>
      </c>
      <c r="C128" s="32">
        <v>5.6</v>
      </c>
      <c r="D128" s="48">
        <v>0.42499999999999999</v>
      </c>
      <c r="E128" s="33">
        <v>0.16600000000000001</v>
      </c>
      <c r="H128" s="15">
        <f t="shared" si="19"/>
        <v>98</v>
      </c>
      <c r="I128" s="49">
        <f t="shared" si="15"/>
        <v>0.42713567839195982</v>
      </c>
      <c r="J128" s="49">
        <f t="shared" si="16"/>
        <v>0.17166494312306102</v>
      </c>
      <c r="K128" s="49">
        <f t="shared" si="17"/>
        <v>0.42713567839195982</v>
      </c>
      <c r="L128" s="49">
        <f t="shared" si="18"/>
        <v>0.17166494312306102</v>
      </c>
      <c r="M128" s="15"/>
      <c r="O128" s="15">
        <f t="shared" si="14"/>
        <v>100</v>
      </c>
      <c r="P128" s="49">
        <f t="shared" si="10"/>
        <v>0.42542542542542544</v>
      </c>
      <c r="Q128" s="55">
        <f t="shared" si="11"/>
        <v>0.16733870967741937</v>
      </c>
      <c r="R128" s="49">
        <f t="shared" si="12"/>
        <v>0.42542542542542544</v>
      </c>
      <c r="S128" s="49">
        <f t="shared" si="13"/>
        <v>0.16733870967741937</v>
      </c>
      <c r="T128" s="15"/>
    </row>
    <row r="129" spans="1:20" ht="15.75" thickBot="1" x14ac:dyDescent="0.3">
      <c r="A129" s="30">
        <v>2011</v>
      </c>
      <c r="B129" s="45">
        <v>19.5</v>
      </c>
      <c r="C129" s="32">
        <v>5.6</v>
      </c>
      <c r="D129" s="48">
        <v>0.41899999999999998</v>
      </c>
      <c r="E129" s="33">
        <v>0.16800000000000001</v>
      </c>
      <c r="H129" s="15">
        <f t="shared" si="19"/>
        <v>99</v>
      </c>
      <c r="I129" s="49">
        <f t="shared" si="15"/>
        <v>0.42110552763819092</v>
      </c>
      <c r="J129" s="49">
        <f t="shared" si="16"/>
        <v>0.17373319544984489</v>
      </c>
      <c r="K129" s="49">
        <f t="shared" si="17"/>
        <v>0.42110552763819092</v>
      </c>
      <c r="L129" s="49">
        <f t="shared" si="18"/>
        <v>0.17373319544984489</v>
      </c>
      <c r="M129" s="15"/>
      <c r="O129" s="15">
        <f t="shared" si="14"/>
        <v>101</v>
      </c>
      <c r="P129" s="49">
        <f t="shared" si="10"/>
        <v>0.4194194194194194</v>
      </c>
      <c r="Q129" s="55">
        <f t="shared" si="11"/>
        <v>0.16935483870967744</v>
      </c>
      <c r="R129" s="49">
        <f t="shared" si="12"/>
        <v>0.4194194194194194</v>
      </c>
      <c r="S129" s="49">
        <f t="shared" si="13"/>
        <v>0.16935483870967744</v>
      </c>
      <c r="T129" s="15"/>
    </row>
    <row r="130" spans="1:20" ht="15.75" thickBot="1" x14ac:dyDescent="0.3">
      <c r="A130" s="30">
        <v>2012</v>
      </c>
      <c r="B130" s="45">
        <v>19.2</v>
      </c>
      <c r="C130" s="32">
        <v>5.7</v>
      </c>
      <c r="D130" s="48">
        <v>0.41299999999999998</v>
      </c>
      <c r="E130" s="33">
        <v>0.17</v>
      </c>
      <c r="H130" s="15">
        <f t="shared" si="19"/>
        <v>100</v>
      </c>
      <c r="I130" s="49">
        <f t="shared" si="15"/>
        <v>0.41507537688442209</v>
      </c>
      <c r="J130" s="49">
        <f t="shared" si="16"/>
        <v>0.17580144777662876</v>
      </c>
      <c r="K130" s="49">
        <f t="shared" si="17"/>
        <v>0.41507537688442209</v>
      </c>
      <c r="L130" s="49">
        <f t="shared" si="18"/>
        <v>0.17580144777662876</v>
      </c>
      <c r="M130" s="15"/>
      <c r="O130" s="15">
        <f t="shared" si="14"/>
        <v>102</v>
      </c>
      <c r="P130" s="49">
        <f t="shared" si="10"/>
        <v>0.41341341341341337</v>
      </c>
      <c r="Q130" s="55">
        <f t="shared" si="11"/>
        <v>0.1713709677419355</v>
      </c>
      <c r="R130" s="49">
        <f t="shared" si="12"/>
        <v>0.41341341341341337</v>
      </c>
      <c r="S130" s="49">
        <f t="shared" si="13"/>
        <v>0.1713709677419355</v>
      </c>
      <c r="T130" s="15"/>
    </row>
    <row r="131" spans="1:20" ht="15.75" thickBot="1" x14ac:dyDescent="0.3">
      <c r="A131" s="30">
        <v>2013</v>
      </c>
      <c r="B131" s="45">
        <v>18.899999999999999</v>
      </c>
      <c r="C131" s="32">
        <v>5.7</v>
      </c>
      <c r="D131" s="48">
        <v>0.40699999999999997</v>
      </c>
      <c r="E131" s="33">
        <v>0.17</v>
      </c>
      <c r="H131" s="15">
        <f t="shared" si="19"/>
        <v>101</v>
      </c>
      <c r="I131" s="49">
        <f t="shared" si="15"/>
        <v>0.40904522613065325</v>
      </c>
      <c r="J131" s="49">
        <f t="shared" si="16"/>
        <v>0.17580144777662876</v>
      </c>
      <c r="K131" s="49">
        <f t="shared" si="17"/>
        <v>0.40904522613065325</v>
      </c>
      <c r="L131" s="49">
        <f t="shared" si="18"/>
        <v>0.17580144777662876</v>
      </c>
      <c r="M131" s="15"/>
      <c r="O131" s="15">
        <f t="shared" si="14"/>
        <v>103</v>
      </c>
      <c r="P131" s="49">
        <f t="shared" si="10"/>
        <v>0.40740740740740738</v>
      </c>
      <c r="Q131" s="55">
        <f t="shared" si="11"/>
        <v>0.1713709677419355</v>
      </c>
      <c r="R131" s="49">
        <f t="shared" si="12"/>
        <v>0.40740740740740738</v>
      </c>
      <c r="S131" s="49">
        <f t="shared" si="13"/>
        <v>0.1713709677419355</v>
      </c>
      <c r="T131" s="15"/>
    </row>
    <row r="132" spans="1:20" ht="15.75" thickBot="1" x14ac:dyDescent="0.3">
      <c r="A132" s="30">
        <v>2014</v>
      </c>
      <c r="B132" s="45">
        <v>18.7</v>
      </c>
      <c r="C132" s="32">
        <v>5.7</v>
      </c>
      <c r="D132" s="48">
        <v>0.40100000000000002</v>
      </c>
      <c r="E132" s="33">
        <v>0.17100000000000001</v>
      </c>
      <c r="H132" s="15">
        <f t="shared" si="19"/>
        <v>102</v>
      </c>
      <c r="I132" s="49">
        <f t="shared" si="15"/>
        <v>0.40301507537688447</v>
      </c>
      <c r="J132" s="49">
        <f t="shared" si="16"/>
        <v>0.1768355739400207</v>
      </c>
      <c r="K132" s="49">
        <f t="shared" si="17"/>
        <v>0.40301507537688447</v>
      </c>
      <c r="L132" s="49">
        <f t="shared" si="18"/>
        <v>0.1768355739400207</v>
      </c>
      <c r="M132" s="15"/>
      <c r="O132" s="15">
        <f t="shared" si="14"/>
        <v>104</v>
      </c>
      <c r="P132" s="49">
        <f t="shared" si="10"/>
        <v>0.4014014014014014</v>
      </c>
      <c r="Q132" s="55">
        <f t="shared" si="11"/>
        <v>0.17237903225806453</v>
      </c>
      <c r="R132" s="49">
        <f t="shared" si="12"/>
        <v>0.4014014014014014</v>
      </c>
      <c r="S132" s="49">
        <f t="shared" si="13"/>
        <v>0.17237903225806453</v>
      </c>
      <c r="T132" s="15"/>
    </row>
    <row r="133" spans="1:20" ht="15.75" thickBot="1" x14ac:dyDescent="0.3">
      <c r="A133" s="30">
        <v>2015</v>
      </c>
      <c r="B133" s="45">
        <v>18.399999999999999</v>
      </c>
      <c r="C133" s="32">
        <v>5.8</v>
      </c>
      <c r="D133" s="48">
        <v>0.39600000000000002</v>
      </c>
      <c r="E133" s="33">
        <v>0.17299999999999999</v>
      </c>
      <c r="H133" s="15">
        <f t="shared" si="19"/>
        <v>103</v>
      </c>
      <c r="I133" s="49">
        <f t="shared" si="15"/>
        <v>0.39798994974874374</v>
      </c>
      <c r="J133" s="49">
        <f t="shared" si="16"/>
        <v>0.17890382626680454</v>
      </c>
      <c r="K133" s="49">
        <f t="shared" si="17"/>
        <v>0.39798994974874374</v>
      </c>
      <c r="L133" s="49">
        <f t="shared" si="18"/>
        <v>0.17890382626680454</v>
      </c>
      <c r="M133" s="15"/>
      <c r="O133" s="15">
        <f t="shared" si="14"/>
        <v>105</v>
      </c>
      <c r="P133" s="49">
        <f t="shared" si="10"/>
        <v>0.3963963963963964</v>
      </c>
      <c r="Q133" s="55">
        <f t="shared" si="11"/>
        <v>0.17439516129032256</v>
      </c>
      <c r="R133" s="49">
        <f t="shared" si="12"/>
        <v>0.3963963963963964</v>
      </c>
      <c r="S133" s="49">
        <f t="shared" si="13"/>
        <v>0.17439516129032256</v>
      </c>
      <c r="T133" s="15"/>
    </row>
    <row r="134" spans="1:20" ht="15.75" thickBot="1" x14ac:dyDescent="0.3">
      <c r="A134" s="30">
        <v>2016</v>
      </c>
      <c r="B134" s="45">
        <v>18.100000000000001</v>
      </c>
      <c r="C134" s="32">
        <v>5.8</v>
      </c>
      <c r="D134" s="48">
        <v>0.38900000000000001</v>
      </c>
      <c r="E134" s="33">
        <v>0.17399999999999999</v>
      </c>
      <c r="H134" s="15">
        <f t="shared" si="19"/>
        <v>104</v>
      </c>
      <c r="I134" s="49">
        <f t="shared" si="15"/>
        <v>0.39095477386934674</v>
      </c>
      <c r="J134" s="49">
        <f t="shared" si="16"/>
        <v>0.17993795243019647</v>
      </c>
      <c r="K134" s="49">
        <f t="shared" si="17"/>
        <v>0.39095477386934674</v>
      </c>
      <c r="L134" s="49">
        <f t="shared" si="18"/>
        <v>0.17993795243019647</v>
      </c>
      <c r="M134" s="15"/>
      <c r="O134" s="15">
        <f t="shared" si="14"/>
        <v>106</v>
      </c>
      <c r="P134" s="49">
        <f t="shared" si="10"/>
        <v>0.38938938938938938</v>
      </c>
      <c r="Q134" s="55">
        <f t="shared" si="11"/>
        <v>0.1754032258064516</v>
      </c>
      <c r="R134" s="49">
        <f t="shared" si="12"/>
        <v>0.38938938938938938</v>
      </c>
      <c r="S134" s="49">
        <f t="shared" si="13"/>
        <v>0.1754032258064516</v>
      </c>
      <c r="T134" s="15"/>
    </row>
    <row r="135" spans="1:20" ht="15.75" thickBot="1" x14ac:dyDescent="0.3">
      <c r="A135" s="30">
        <v>2017</v>
      </c>
      <c r="B135" s="45">
        <v>17.8</v>
      </c>
      <c r="C135" s="32">
        <v>5.9</v>
      </c>
      <c r="D135" s="48">
        <v>0.38300000000000001</v>
      </c>
      <c r="E135" s="33">
        <v>0.17599999999999999</v>
      </c>
      <c r="H135" s="15">
        <f t="shared" si="19"/>
        <v>105</v>
      </c>
      <c r="I135" s="49">
        <f t="shared" si="15"/>
        <v>0.3849246231155779</v>
      </c>
      <c r="J135" s="49">
        <f t="shared" si="16"/>
        <v>0.18200620475698034</v>
      </c>
      <c r="K135" s="49">
        <f t="shared" si="17"/>
        <v>0.3849246231155779</v>
      </c>
      <c r="L135" s="49">
        <f t="shared" si="18"/>
        <v>0.18200620475698034</v>
      </c>
      <c r="M135" s="15"/>
      <c r="O135" s="15">
        <f t="shared" si="14"/>
        <v>107</v>
      </c>
      <c r="P135" s="49">
        <f t="shared" si="10"/>
        <v>0.3833833833833834</v>
      </c>
      <c r="Q135" s="55">
        <f t="shared" si="11"/>
        <v>0.17741935483870966</v>
      </c>
      <c r="R135" s="49">
        <f t="shared" si="12"/>
        <v>0.3833833833833834</v>
      </c>
      <c r="S135" s="49">
        <f t="shared" si="13"/>
        <v>0.17741935483870966</v>
      </c>
      <c r="T135" s="15"/>
    </row>
    <row r="136" spans="1:20" ht="15.75" thickBot="1" x14ac:dyDescent="0.3">
      <c r="A136" s="30">
        <v>2018</v>
      </c>
      <c r="B136" s="45">
        <v>17.5</v>
      </c>
      <c r="C136" s="32">
        <v>6</v>
      </c>
      <c r="D136" s="48">
        <v>0.375</v>
      </c>
      <c r="E136" s="33">
        <v>0.17899999999999999</v>
      </c>
      <c r="H136" s="15">
        <f t="shared" si="19"/>
        <v>106</v>
      </c>
      <c r="I136" s="49">
        <f t="shared" si="15"/>
        <v>0.37688442211055279</v>
      </c>
      <c r="J136" s="49">
        <f t="shared" si="16"/>
        <v>0.18510858324715615</v>
      </c>
      <c r="K136" s="49">
        <f t="shared" si="17"/>
        <v>0.37688442211055279</v>
      </c>
      <c r="L136" s="49">
        <f t="shared" si="18"/>
        <v>0.18510858324715615</v>
      </c>
      <c r="M136" s="15"/>
      <c r="O136" s="15">
        <f t="shared" si="14"/>
        <v>108</v>
      </c>
      <c r="P136" s="49">
        <f t="shared" si="10"/>
        <v>0.37537537537537535</v>
      </c>
      <c r="Q136" s="55">
        <f t="shared" si="11"/>
        <v>0.18044354838709678</v>
      </c>
      <c r="R136" s="49">
        <f t="shared" si="12"/>
        <v>0.37537537537537535</v>
      </c>
      <c r="S136" s="49">
        <f t="shared" si="13"/>
        <v>0.18044354838709678</v>
      </c>
      <c r="T136" s="15"/>
    </row>
    <row r="137" spans="1:20" ht="15.75" thickBot="1" x14ac:dyDescent="0.3">
      <c r="A137" s="30">
        <v>2019</v>
      </c>
      <c r="B137" s="45">
        <v>17.100000000000001</v>
      </c>
      <c r="C137" s="32">
        <v>6</v>
      </c>
      <c r="D137" s="48">
        <v>0.36799999999999999</v>
      </c>
      <c r="E137" s="33">
        <v>0.18</v>
      </c>
      <c r="H137" s="15">
        <f t="shared" si="19"/>
        <v>107</v>
      </c>
      <c r="I137" s="49">
        <f t="shared" si="15"/>
        <v>0.36984924623115578</v>
      </c>
      <c r="J137" s="49">
        <f t="shared" si="16"/>
        <v>0.18614270941054809</v>
      </c>
      <c r="K137" s="49">
        <f t="shared" si="17"/>
        <v>0.36984924623115578</v>
      </c>
      <c r="L137" s="49">
        <f t="shared" si="18"/>
        <v>0.18614270941054809</v>
      </c>
      <c r="M137" s="15"/>
      <c r="O137" s="15">
        <f t="shared" si="14"/>
        <v>109</v>
      </c>
      <c r="P137" s="49">
        <f t="shared" si="10"/>
        <v>0.36836836836836834</v>
      </c>
      <c r="Q137" s="55">
        <f t="shared" si="11"/>
        <v>0.18145161290322581</v>
      </c>
      <c r="R137" s="49">
        <f t="shared" si="12"/>
        <v>0.36836836836836834</v>
      </c>
      <c r="S137" s="49">
        <f t="shared" si="13"/>
        <v>0.18145161290322581</v>
      </c>
      <c r="T137" s="15"/>
    </row>
    <row r="138" spans="1:20" ht="15.75" thickBot="1" x14ac:dyDescent="0.3">
      <c r="A138" s="29">
        <v>2020</v>
      </c>
      <c r="B138" s="45">
        <v>16.8</v>
      </c>
      <c r="C138" s="32">
        <v>6.1</v>
      </c>
      <c r="D138" s="48">
        <v>0.36</v>
      </c>
      <c r="E138" s="33">
        <v>0.18099999999999999</v>
      </c>
      <c r="H138" s="15">
        <f t="shared" si="19"/>
        <v>108</v>
      </c>
      <c r="I138" s="49">
        <f t="shared" si="15"/>
        <v>0.36180904522613067</v>
      </c>
      <c r="J138" s="49">
        <f t="shared" si="16"/>
        <v>0.18717683557394002</v>
      </c>
      <c r="K138" s="49">
        <f t="shared" si="17"/>
        <v>0.36180904522613067</v>
      </c>
      <c r="L138" s="49">
        <f t="shared" si="18"/>
        <v>0.18717683557394002</v>
      </c>
      <c r="M138" s="15"/>
      <c r="O138" s="15">
        <f t="shared" si="14"/>
        <v>110</v>
      </c>
      <c r="P138" s="49">
        <f t="shared" si="10"/>
        <v>0.36036036036036034</v>
      </c>
      <c r="Q138" s="55">
        <f t="shared" si="11"/>
        <v>0.18245967741935484</v>
      </c>
      <c r="R138" s="49">
        <f t="shared" si="12"/>
        <v>0.36036036036036034</v>
      </c>
      <c r="S138" s="49">
        <f t="shared" si="13"/>
        <v>0.18245967741935484</v>
      </c>
      <c r="T138" s="15"/>
    </row>
    <row r="139" spans="1:20" ht="15.75" thickBot="1" x14ac:dyDescent="0.3">
      <c r="A139" s="30">
        <v>2021</v>
      </c>
      <c r="B139" s="45">
        <v>16.399999999999999</v>
      </c>
      <c r="C139" s="32">
        <v>6.1</v>
      </c>
      <c r="D139" s="48">
        <v>0.35299999999999998</v>
      </c>
      <c r="E139" s="33">
        <v>0.182</v>
      </c>
      <c r="H139" s="15">
        <f t="shared" si="19"/>
        <v>109</v>
      </c>
      <c r="I139" s="49">
        <f t="shared" si="15"/>
        <v>0.35477386934673366</v>
      </c>
      <c r="J139" s="49">
        <f t="shared" si="16"/>
        <v>0.18821096173733196</v>
      </c>
      <c r="K139" s="49">
        <f t="shared" si="17"/>
        <v>0.35477386934673366</v>
      </c>
      <c r="L139" s="49">
        <f t="shared" si="18"/>
        <v>0.18821096173733196</v>
      </c>
      <c r="M139" s="15"/>
      <c r="O139" s="15">
        <f t="shared" si="14"/>
        <v>111</v>
      </c>
      <c r="P139" s="49">
        <f t="shared" si="10"/>
        <v>0.35335335335335333</v>
      </c>
      <c r="Q139" s="55">
        <f t="shared" si="11"/>
        <v>0.18346774193548387</v>
      </c>
      <c r="R139" s="49">
        <f t="shared" si="12"/>
        <v>0.35335335335335333</v>
      </c>
      <c r="S139" s="49">
        <f t="shared" si="13"/>
        <v>0.18346774193548387</v>
      </c>
      <c r="T139" s="15"/>
    </row>
    <row r="140" spans="1:20" ht="15.75" thickBot="1" x14ac:dyDescent="0.3">
      <c r="A140" s="30">
        <v>2022</v>
      </c>
      <c r="B140" s="45">
        <v>16.100000000000001</v>
      </c>
      <c r="C140" s="32">
        <v>6.1</v>
      </c>
      <c r="D140" s="48">
        <v>0.34599999999999997</v>
      </c>
      <c r="E140" s="33">
        <v>0.183</v>
      </c>
      <c r="H140" s="15">
        <f t="shared" si="19"/>
        <v>110</v>
      </c>
      <c r="I140" s="49">
        <f t="shared" si="15"/>
        <v>0.34773869346733666</v>
      </c>
      <c r="J140" s="49">
        <f t="shared" si="16"/>
        <v>0.18924508790072389</v>
      </c>
      <c r="K140" s="49">
        <f t="shared" si="17"/>
        <v>0.34773869346733666</v>
      </c>
      <c r="L140" s="49">
        <f t="shared" si="18"/>
        <v>0.18924508790072389</v>
      </c>
      <c r="M140" s="15"/>
      <c r="O140" s="15">
        <f t="shared" si="14"/>
        <v>112</v>
      </c>
      <c r="P140" s="49">
        <f t="shared" si="10"/>
        <v>0.34634634634634631</v>
      </c>
      <c r="Q140" s="55">
        <f t="shared" si="11"/>
        <v>0.18447580645161291</v>
      </c>
      <c r="R140" s="49">
        <f t="shared" si="12"/>
        <v>0.34634634634634631</v>
      </c>
      <c r="S140" s="49">
        <f t="shared" si="13"/>
        <v>0.18447580645161291</v>
      </c>
      <c r="T140" s="15"/>
    </row>
    <row r="141" spans="1:20" ht="15.75" thickBot="1" x14ac:dyDescent="0.3">
      <c r="A141" s="30">
        <v>2023</v>
      </c>
      <c r="B141" s="45">
        <v>15.8</v>
      </c>
      <c r="C141" s="32">
        <v>6.2</v>
      </c>
      <c r="D141" s="48">
        <v>0.33900000000000002</v>
      </c>
      <c r="E141" s="33">
        <v>0.184</v>
      </c>
      <c r="H141" s="15">
        <f t="shared" si="19"/>
        <v>111</v>
      </c>
      <c r="I141" s="49">
        <f t="shared" si="15"/>
        <v>0.34070351758793971</v>
      </c>
      <c r="J141" s="49">
        <f t="shared" si="16"/>
        <v>0.19027921406411583</v>
      </c>
      <c r="K141" s="49">
        <f t="shared" si="17"/>
        <v>0.34070351758793971</v>
      </c>
      <c r="L141" s="49">
        <f t="shared" si="18"/>
        <v>0.19027921406411583</v>
      </c>
      <c r="M141" s="15"/>
      <c r="O141" s="15">
        <f t="shared" si="14"/>
        <v>113</v>
      </c>
      <c r="P141" s="49">
        <f t="shared" si="10"/>
        <v>0.33933933933933935</v>
      </c>
      <c r="Q141" s="55">
        <f t="shared" si="11"/>
        <v>0.18548387096774194</v>
      </c>
      <c r="R141" s="49">
        <f t="shared" si="12"/>
        <v>0.33933933933933935</v>
      </c>
      <c r="S141" s="49">
        <f t="shared" si="13"/>
        <v>0.18548387096774194</v>
      </c>
      <c r="T141" s="15"/>
    </row>
    <row r="142" spans="1:20" ht="15.75" thickBot="1" x14ac:dyDescent="0.3">
      <c r="A142" s="30">
        <v>2024</v>
      </c>
      <c r="B142" s="45">
        <v>15.5</v>
      </c>
      <c r="C142" s="32">
        <v>6.2</v>
      </c>
      <c r="D142" s="48">
        <v>0.33200000000000002</v>
      </c>
      <c r="E142" s="33">
        <v>0.186</v>
      </c>
      <c r="H142" s="15">
        <f t="shared" si="19"/>
        <v>112</v>
      </c>
      <c r="I142" s="49">
        <f t="shared" si="15"/>
        <v>0.33366834170854276</v>
      </c>
      <c r="J142" s="49">
        <f t="shared" si="16"/>
        <v>0.1923474663908997</v>
      </c>
      <c r="K142" s="49">
        <f t="shared" si="17"/>
        <v>0.33366834170854276</v>
      </c>
      <c r="L142" s="49">
        <f t="shared" si="18"/>
        <v>0.1923474663908997</v>
      </c>
      <c r="M142" s="15"/>
      <c r="O142" s="15">
        <f t="shared" si="14"/>
        <v>114</v>
      </c>
      <c r="P142" s="49">
        <f t="shared" si="10"/>
        <v>0.33233233233233234</v>
      </c>
      <c r="Q142" s="55">
        <f t="shared" si="11"/>
        <v>0.1875</v>
      </c>
      <c r="R142" s="49">
        <f t="shared" si="12"/>
        <v>0.33233233233233234</v>
      </c>
      <c r="S142" s="49">
        <f t="shared" si="13"/>
        <v>0.1875</v>
      </c>
      <c r="T142" s="15"/>
    </row>
    <row r="143" spans="1:20" ht="15.75" thickBot="1" x14ac:dyDescent="0.3">
      <c r="A143" s="30">
        <v>2025</v>
      </c>
      <c r="B143" s="45">
        <v>15.1</v>
      </c>
      <c r="C143" s="32">
        <v>6.3</v>
      </c>
      <c r="D143" s="48">
        <v>0.32500000000000001</v>
      </c>
      <c r="E143" s="33">
        <v>0.187</v>
      </c>
      <c r="H143" s="15">
        <f t="shared" si="19"/>
        <v>113</v>
      </c>
      <c r="I143" s="49">
        <f t="shared" si="15"/>
        <v>0.32663316582914576</v>
      </c>
      <c r="J143" s="49">
        <f t="shared" si="16"/>
        <v>0.19338159255429163</v>
      </c>
      <c r="K143" s="49">
        <f t="shared" si="17"/>
        <v>0.32663316582914576</v>
      </c>
      <c r="L143" s="49">
        <f t="shared" si="18"/>
        <v>0.19338159255429163</v>
      </c>
      <c r="M143" s="15"/>
      <c r="O143" s="15">
        <f t="shared" si="14"/>
        <v>115</v>
      </c>
      <c r="P143" s="49">
        <f t="shared" si="10"/>
        <v>0.32532532532532532</v>
      </c>
      <c r="Q143" s="55">
        <f t="shared" si="11"/>
        <v>0.18850806451612903</v>
      </c>
      <c r="R143" s="49">
        <f t="shared" si="12"/>
        <v>0.32532532532532532</v>
      </c>
      <c r="S143" s="49">
        <f t="shared" si="13"/>
        <v>0.18850806451612903</v>
      </c>
      <c r="T143" s="15"/>
    </row>
    <row r="144" spans="1:20" ht="15.75" thickBot="1" x14ac:dyDescent="0.3">
      <c r="A144" s="30">
        <v>2026</v>
      </c>
      <c r="B144" s="45">
        <v>14.8</v>
      </c>
      <c r="C144" s="32">
        <v>6.3</v>
      </c>
      <c r="D144" s="48">
        <v>0.318</v>
      </c>
      <c r="E144" s="33">
        <v>0.189</v>
      </c>
      <c r="H144" s="15">
        <f t="shared" si="19"/>
        <v>114</v>
      </c>
      <c r="I144" s="49">
        <f t="shared" si="15"/>
        <v>0.31959798994974875</v>
      </c>
      <c r="J144" s="49">
        <f t="shared" si="16"/>
        <v>0.1954498448810755</v>
      </c>
      <c r="K144" s="49">
        <f t="shared" si="17"/>
        <v>0.31959798994974875</v>
      </c>
      <c r="L144" s="49">
        <f t="shared" si="18"/>
        <v>0.1954498448810755</v>
      </c>
      <c r="M144" s="15"/>
      <c r="O144" s="15">
        <f t="shared" si="14"/>
        <v>116</v>
      </c>
      <c r="P144" s="49">
        <f t="shared" si="10"/>
        <v>0.31831831831831831</v>
      </c>
      <c r="Q144" s="55">
        <f t="shared" si="11"/>
        <v>0.19052419354838709</v>
      </c>
      <c r="R144" s="49">
        <f t="shared" si="12"/>
        <v>0.31831831831831831</v>
      </c>
      <c r="S144" s="49">
        <f t="shared" si="13"/>
        <v>0.19052419354838709</v>
      </c>
      <c r="T144" s="15"/>
    </row>
    <row r="145" spans="1:20" ht="15.75" thickBot="1" x14ac:dyDescent="0.3">
      <c r="A145" s="69" t="s">
        <v>149</v>
      </c>
      <c r="B145" s="69"/>
      <c r="D145" s="67">
        <v>0.311</v>
      </c>
      <c r="E145" s="67">
        <v>0.19</v>
      </c>
      <c r="I145" s="66">
        <f t="shared" si="15"/>
        <v>0.31256281407035175</v>
      </c>
      <c r="J145" s="66">
        <f t="shared" si="16"/>
        <v>0.19648397104446744</v>
      </c>
      <c r="K145" s="66">
        <f t="shared" si="17"/>
        <v>0.31256281407035175</v>
      </c>
      <c r="L145" s="66">
        <f t="shared" si="18"/>
        <v>0.19648397104446744</v>
      </c>
      <c r="M145" s="15"/>
      <c r="P145" s="1"/>
      <c r="Q145" s="1"/>
      <c r="R145" s="66">
        <v>0.311</v>
      </c>
      <c r="S145" s="66">
        <v>0.192</v>
      </c>
      <c r="T145" s="68"/>
    </row>
    <row r="146" spans="1:20" ht="15.75" thickBot="1" x14ac:dyDescent="0.3">
      <c r="D146" s="67">
        <v>0.30399999999999999</v>
      </c>
      <c r="E146" s="67">
        <v>0.192</v>
      </c>
      <c r="I146" s="66">
        <f t="shared" si="15"/>
        <v>0.30552763819095474</v>
      </c>
      <c r="J146" s="66">
        <f t="shared" si="16"/>
        <v>0.19855222337125131</v>
      </c>
      <c r="K146" s="66">
        <f t="shared" si="17"/>
        <v>0.30552763819095474</v>
      </c>
      <c r="L146" s="66">
        <f t="shared" si="18"/>
        <v>0.19855222337125131</v>
      </c>
      <c r="M146" s="15"/>
      <c r="P146" s="1"/>
      <c r="Q146" s="1"/>
      <c r="R146" s="66">
        <v>0.30399999999999999</v>
      </c>
      <c r="S146" s="66">
        <v>0.19400000000000001</v>
      </c>
      <c r="T146" s="68"/>
    </row>
    <row r="147" spans="1:20" x14ac:dyDescent="0.25">
      <c r="K147" s="65">
        <v>0.29899999999999999</v>
      </c>
      <c r="L147" s="65">
        <v>0.2</v>
      </c>
      <c r="P147" s="1"/>
      <c r="Q147" s="1"/>
      <c r="R147" s="66">
        <v>0.29699999999999999</v>
      </c>
      <c r="S147" s="66">
        <v>0.19500000000000001</v>
      </c>
    </row>
    <row r="148" spans="1:20" x14ac:dyDescent="0.25">
      <c r="K148" s="65">
        <v>0.29199999999999998</v>
      </c>
      <c r="L148" s="65">
        <v>0.20200000000000001</v>
      </c>
      <c r="P148" s="1"/>
      <c r="Q148" s="1"/>
      <c r="R148" s="66">
        <v>0.28999999999999998</v>
      </c>
      <c r="S148" s="66">
        <v>0.19700000000000001</v>
      </c>
    </row>
    <row r="149" spans="1:20" x14ac:dyDescent="0.25">
      <c r="K149" s="65">
        <v>0.28499999999999998</v>
      </c>
      <c r="L149" s="65">
        <v>0.20300000000000001</v>
      </c>
      <c r="P149" s="1"/>
      <c r="Q149" s="1"/>
      <c r="R149" s="66">
        <v>0.28299999999999997</v>
      </c>
      <c r="S149" s="66">
        <v>0.19800000000000001</v>
      </c>
    </row>
    <row r="150" spans="1:20" x14ac:dyDescent="0.25">
      <c r="K150" s="65">
        <v>0.27800000000000002</v>
      </c>
      <c r="L150" s="65">
        <v>0.20499999999999999</v>
      </c>
      <c r="P150" s="1"/>
      <c r="Q150" s="1"/>
      <c r="R150" s="66">
        <v>0.27600000000000002</v>
      </c>
      <c r="S150" s="66">
        <v>0.2</v>
      </c>
    </row>
    <row r="151" spans="1:20" x14ac:dyDescent="0.25">
      <c r="K151" s="66">
        <v>0.27100000000000002</v>
      </c>
      <c r="L151" s="66">
        <v>0.20599999999999999</v>
      </c>
      <c r="P151" s="1"/>
      <c r="Q151" s="1"/>
      <c r="R151" s="66">
        <v>0.26900000000000002</v>
      </c>
      <c r="S151" s="66">
        <v>0.20100000000000001</v>
      </c>
    </row>
    <row r="152" spans="1:20" x14ac:dyDescent="0.25">
      <c r="K152" s="66">
        <v>0.26400000000000001</v>
      </c>
      <c r="L152" s="66">
        <v>0.20799999999999999</v>
      </c>
      <c r="P152" s="1"/>
      <c r="Q152" s="1"/>
      <c r="R152" s="66">
        <v>0.26200000000000001</v>
      </c>
      <c r="S152" s="66">
        <v>0.20300000000000001</v>
      </c>
    </row>
    <row r="153" spans="1:20" x14ac:dyDescent="0.25">
      <c r="K153" s="66">
        <v>0.25700000000000001</v>
      </c>
      <c r="L153" s="66">
        <v>0.20899999999999999</v>
      </c>
      <c r="R153" s="66">
        <v>0.255</v>
      </c>
      <c r="S153" s="66">
        <v>0.20399999999999999</v>
      </c>
    </row>
    <row r="154" spans="1:20" x14ac:dyDescent="0.25">
      <c r="K154" s="66">
        <v>0.25</v>
      </c>
      <c r="L154" s="66">
        <v>0.21099999999999999</v>
      </c>
      <c r="R154" s="66">
        <v>0.248</v>
      </c>
      <c r="S154" s="66">
        <v>0.20599999999999999</v>
      </c>
    </row>
    <row r="155" spans="1:20" x14ac:dyDescent="0.25">
      <c r="K155" s="66">
        <v>0.24299999999999999</v>
      </c>
      <c r="L155" s="66">
        <v>0.21199999999999999</v>
      </c>
      <c r="R155" s="66">
        <v>0.24099999999999999</v>
      </c>
      <c r="S155" s="66">
        <v>0.20699999999999999</v>
      </c>
    </row>
    <row r="156" spans="1:20" x14ac:dyDescent="0.25">
      <c r="K156" s="66">
        <v>0.23599999999999999</v>
      </c>
      <c r="L156" s="66">
        <v>0.214</v>
      </c>
      <c r="R156" s="66">
        <v>0.23400000000000001</v>
      </c>
      <c r="S156" s="66">
        <v>0.20899999999999999</v>
      </c>
    </row>
    <row r="157" spans="1:20" x14ac:dyDescent="0.25">
      <c r="K157" s="66">
        <v>0.22900000000000001</v>
      </c>
      <c r="L157" s="66">
        <v>0.215</v>
      </c>
      <c r="R157" s="66">
        <v>0.22700000000000001</v>
      </c>
      <c r="S157" s="66">
        <v>0.21</v>
      </c>
    </row>
    <row r="158" spans="1:20" x14ac:dyDescent="0.25">
      <c r="K158" s="66">
        <v>0.222</v>
      </c>
      <c r="L158" s="66">
        <v>0.217</v>
      </c>
      <c r="R158" s="66">
        <v>0.22</v>
      </c>
      <c r="S158" s="66">
        <v>0.21199999999999999</v>
      </c>
    </row>
  </sheetData>
  <mergeCells count="5">
    <mergeCell ref="B11:C11"/>
    <mergeCell ref="D11:E11"/>
    <mergeCell ref="A11:A12"/>
    <mergeCell ref="K12:L12"/>
    <mergeCell ref="R12:S1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D43E-3BF9-467F-A132-8F9ED68CFF3D}">
  <dimension ref="A2:E203"/>
  <sheetViews>
    <sheetView topLeftCell="A46" workbookViewId="0">
      <selection activeCell="E61" sqref="E61"/>
    </sheetView>
  </sheetViews>
  <sheetFormatPr defaultRowHeight="15" x14ac:dyDescent="0.25"/>
  <cols>
    <col min="1" max="1" width="5" bestFit="1" customWidth="1"/>
    <col min="2" max="2" width="25.5703125" bestFit="1" customWidth="1"/>
    <col min="3" max="3" width="23.28515625" bestFit="1" customWidth="1"/>
    <col min="4" max="4" width="26.140625" bestFit="1" customWidth="1"/>
    <col min="5" max="5" width="23.85546875" bestFit="1" customWidth="1"/>
  </cols>
  <sheetData>
    <row r="2" spans="1:5" ht="21" x14ac:dyDescent="0.35">
      <c r="A2" s="37" t="s">
        <v>177</v>
      </c>
    </row>
    <row r="4" spans="1:5" x14ac:dyDescent="0.25">
      <c r="A4" s="71" t="s">
        <v>0</v>
      </c>
      <c r="B4" s="71" t="s">
        <v>173</v>
      </c>
      <c r="C4" s="71" t="s">
        <v>174</v>
      </c>
      <c r="D4" s="71" t="s">
        <v>175</v>
      </c>
      <c r="E4" s="71" t="s">
        <v>176</v>
      </c>
    </row>
    <row r="5" spans="1:5" x14ac:dyDescent="0.25">
      <c r="A5" s="11">
        <v>1927</v>
      </c>
      <c r="B5" s="3">
        <v>48.856499999999997</v>
      </c>
      <c r="C5" s="3">
        <v>29.756700000000002</v>
      </c>
      <c r="D5" s="3">
        <v>49.6</v>
      </c>
      <c r="E5" s="3">
        <v>28.6</v>
      </c>
    </row>
    <row r="6" spans="1:5" x14ac:dyDescent="0.25">
      <c r="A6" s="11">
        <v>1928</v>
      </c>
      <c r="B6" s="3">
        <v>48.7575</v>
      </c>
      <c r="C6" s="3">
        <v>29.339400000000001</v>
      </c>
      <c r="D6" s="3">
        <v>48.9</v>
      </c>
      <c r="E6" s="3">
        <v>26.8</v>
      </c>
    </row>
    <row r="7" spans="1:5" x14ac:dyDescent="0.25">
      <c r="A7" s="11">
        <v>1929</v>
      </c>
      <c r="B7" s="3">
        <v>48.609000000000002</v>
      </c>
      <c r="C7" s="3">
        <v>28.9221</v>
      </c>
      <c r="D7" s="3">
        <v>47</v>
      </c>
      <c r="E7" s="3">
        <v>28.6</v>
      </c>
    </row>
    <row r="8" spans="1:5" x14ac:dyDescent="0.25">
      <c r="A8" s="11">
        <v>1930</v>
      </c>
      <c r="B8" s="3">
        <v>48.51</v>
      </c>
      <c r="C8" s="3">
        <v>28.472700000000003</v>
      </c>
      <c r="D8" s="3">
        <v>43.9</v>
      </c>
      <c r="E8" s="3">
        <v>27.3</v>
      </c>
    </row>
    <row r="9" spans="1:5" x14ac:dyDescent="0.25">
      <c r="A9" s="11">
        <v>1931</v>
      </c>
      <c r="B9" s="3">
        <v>48.51</v>
      </c>
      <c r="C9" s="3">
        <v>28.055400000000002</v>
      </c>
      <c r="D9" s="3">
        <v>43.3</v>
      </c>
      <c r="E9" s="3">
        <v>30.3</v>
      </c>
    </row>
    <row r="10" spans="1:5" x14ac:dyDescent="0.25">
      <c r="A10" s="11">
        <v>1932</v>
      </c>
      <c r="B10" s="3">
        <v>48.411000000000001</v>
      </c>
      <c r="C10" s="3">
        <v>27.702300000000001</v>
      </c>
      <c r="D10" s="3">
        <v>39.299999999999997</v>
      </c>
      <c r="E10" s="3">
        <v>29.8</v>
      </c>
    </row>
    <row r="11" spans="1:5" x14ac:dyDescent="0.25">
      <c r="A11" s="11">
        <v>1933</v>
      </c>
      <c r="B11" s="3">
        <v>48.262499999999996</v>
      </c>
      <c r="C11" s="3">
        <v>27.573900000000002</v>
      </c>
      <c r="D11" s="3">
        <v>32.299999999999997</v>
      </c>
      <c r="E11" s="3">
        <v>51</v>
      </c>
    </row>
    <row r="12" spans="1:5" x14ac:dyDescent="0.25">
      <c r="A12" s="11">
        <v>1934</v>
      </c>
      <c r="B12" s="3">
        <v>48.113999999999997</v>
      </c>
      <c r="C12" s="3">
        <v>27.3171</v>
      </c>
      <c r="D12" s="3">
        <v>28.7</v>
      </c>
      <c r="E12" s="3">
        <v>26.1</v>
      </c>
    </row>
    <row r="13" spans="1:5" x14ac:dyDescent="0.25">
      <c r="A13" s="11">
        <v>1935</v>
      </c>
      <c r="B13" s="3">
        <v>47.915999999999997</v>
      </c>
      <c r="C13" s="3">
        <v>26.996100000000002</v>
      </c>
      <c r="D13" s="3">
        <v>34.799999999999997</v>
      </c>
      <c r="E13" s="3">
        <v>23.6</v>
      </c>
    </row>
    <row r="14" spans="1:5" x14ac:dyDescent="0.25">
      <c r="A14" s="11">
        <v>1936</v>
      </c>
      <c r="B14" s="3">
        <v>47.321999999999996</v>
      </c>
      <c r="C14" s="3">
        <v>26.610900000000001</v>
      </c>
      <c r="D14" s="3">
        <v>37.5</v>
      </c>
      <c r="E14" s="3">
        <v>26.2</v>
      </c>
    </row>
    <row r="15" spans="1:5" x14ac:dyDescent="0.25">
      <c r="A15" s="11">
        <v>1937</v>
      </c>
      <c r="B15" s="3">
        <v>47.569499999999998</v>
      </c>
      <c r="C15" s="3">
        <v>26.2578</v>
      </c>
      <c r="D15" s="3">
        <v>41.5</v>
      </c>
      <c r="E15" s="3">
        <v>26.2</v>
      </c>
    </row>
    <row r="16" spans="1:5" x14ac:dyDescent="0.25">
      <c r="A16" s="11">
        <v>1938</v>
      </c>
      <c r="B16" s="3">
        <v>47.817</v>
      </c>
      <c r="C16" s="3">
        <v>25.872600000000002</v>
      </c>
      <c r="D16" s="3">
        <v>40.9</v>
      </c>
      <c r="E16" s="3">
        <v>25.6</v>
      </c>
    </row>
    <row r="17" spans="1:5" x14ac:dyDescent="0.25">
      <c r="A17" s="11">
        <v>1939</v>
      </c>
      <c r="B17" s="3">
        <v>47.965499999999999</v>
      </c>
      <c r="C17" s="3">
        <v>25.647900000000003</v>
      </c>
      <c r="D17" s="3">
        <v>39.799999999999997</v>
      </c>
      <c r="E17" s="3">
        <v>23.9</v>
      </c>
    </row>
    <row r="18" spans="1:5" x14ac:dyDescent="0.25">
      <c r="A18" s="11">
        <v>1940</v>
      </c>
      <c r="B18" s="3">
        <v>47.767499999999998</v>
      </c>
      <c r="C18" s="3">
        <v>25.487400000000001</v>
      </c>
      <c r="D18" s="3">
        <v>34.6</v>
      </c>
      <c r="E18" s="3">
        <v>23.2</v>
      </c>
    </row>
    <row r="19" spans="1:5" x14ac:dyDescent="0.25">
      <c r="A19" s="11">
        <v>1941</v>
      </c>
      <c r="B19" s="3">
        <v>47.767499999999998</v>
      </c>
      <c r="C19" s="3">
        <v>25.551600000000004</v>
      </c>
      <c r="D19" s="3">
        <v>32.799999999999997</v>
      </c>
      <c r="E19" s="3">
        <v>51.7</v>
      </c>
    </row>
    <row r="20" spans="1:5" x14ac:dyDescent="0.25">
      <c r="A20" s="11">
        <v>1942</v>
      </c>
      <c r="B20" s="3">
        <v>47.619</v>
      </c>
      <c r="C20" s="3">
        <v>25.519500000000001</v>
      </c>
      <c r="D20" s="3">
        <v>21.3</v>
      </c>
      <c r="E20" s="3">
        <v>67.900000000000006</v>
      </c>
    </row>
    <row r="21" spans="1:5" x14ac:dyDescent="0.25">
      <c r="A21" s="11">
        <v>1943</v>
      </c>
      <c r="B21" s="3">
        <v>47.321999999999996</v>
      </c>
      <c r="C21" s="3">
        <v>25.294800000000002</v>
      </c>
      <c r="D21" s="3">
        <v>12.9</v>
      </c>
      <c r="E21" s="3">
        <v>51.5</v>
      </c>
    </row>
    <row r="22" spans="1:5" x14ac:dyDescent="0.25">
      <c r="A22" s="11">
        <v>1944</v>
      </c>
      <c r="B22" s="3">
        <v>47.024999999999999</v>
      </c>
      <c r="C22" s="3">
        <v>24.652800000000003</v>
      </c>
      <c r="D22" s="3">
        <v>13.7</v>
      </c>
      <c r="E22" s="3">
        <v>40.9</v>
      </c>
    </row>
    <row r="23" spans="1:5" x14ac:dyDescent="0.25">
      <c r="A23" s="11">
        <v>1945</v>
      </c>
      <c r="B23" s="3">
        <v>46.579499999999996</v>
      </c>
      <c r="C23" s="3">
        <v>23.818200000000001</v>
      </c>
      <c r="D23" s="3">
        <v>15.1</v>
      </c>
      <c r="E23" s="3">
        <v>25</v>
      </c>
    </row>
    <row r="24" spans="1:5" x14ac:dyDescent="0.25">
      <c r="A24" s="11">
        <v>1946</v>
      </c>
      <c r="B24" s="3">
        <v>46.233000000000004</v>
      </c>
      <c r="C24" s="3">
        <v>23.3367</v>
      </c>
      <c r="D24" s="3">
        <v>26</v>
      </c>
      <c r="E24" s="3">
        <v>12.3</v>
      </c>
    </row>
    <row r="25" spans="1:5" x14ac:dyDescent="0.25">
      <c r="A25" s="11">
        <v>1947</v>
      </c>
      <c r="B25" s="3">
        <v>45.985500000000002</v>
      </c>
      <c r="C25" s="3">
        <v>22.8552</v>
      </c>
      <c r="D25" s="3">
        <v>27.5</v>
      </c>
      <c r="E25" s="3">
        <v>17</v>
      </c>
    </row>
    <row r="26" spans="1:5" x14ac:dyDescent="0.25">
      <c r="A26" s="11">
        <v>1948</v>
      </c>
      <c r="B26" s="3">
        <v>45.589500000000001</v>
      </c>
      <c r="C26" s="3">
        <v>22.405799999999999</v>
      </c>
      <c r="D26" s="3">
        <v>25.2</v>
      </c>
      <c r="E26" s="3">
        <v>13.1</v>
      </c>
    </row>
    <row r="27" spans="1:5" x14ac:dyDescent="0.25">
      <c r="A27" s="11">
        <v>1949</v>
      </c>
      <c r="B27" s="3">
        <v>46.183500000000002</v>
      </c>
      <c r="C27" s="3">
        <v>22.3416</v>
      </c>
      <c r="D27" s="3">
        <v>30.5</v>
      </c>
      <c r="E27" s="3">
        <v>11.7</v>
      </c>
    </row>
    <row r="28" spans="1:5" x14ac:dyDescent="0.25">
      <c r="A28" s="11">
        <v>1950</v>
      </c>
      <c r="B28" s="3">
        <v>46.628999999999998</v>
      </c>
      <c r="C28" s="3">
        <v>22.373699999999999</v>
      </c>
      <c r="D28" s="3">
        <v>27.8</v>
      </c>
      <c r="E28" s="3">
        <v>11.5</v>
      </c>
    </row>
    <row r="29" spans="1:5" x14ac:dyDescent="0.25">
      <c r="A29" s="11">
        <v>1951</v>
      </c>
      <c r="B29" s="3">
        <v>46.925999999999995</v>
      </c>
      <c r="C29" s="3">
        <v>22.2774</v>
      </c>
      <c r="D29" s="3">
        <v>28.1</v>
      </c>
      <c r="E29" s="3">
        <v>11.6</v>
      </c>
    </row>
    <row r="30" spans="1:5" x14ac:dyDescent="0.25">
      <c r="A30" s="11">
        <v>1952</v>
      </c>
      <c r="B30" s="3">
        <v>47.173499999999997</v>
      </c>
      <c r="C30" s="3">
        <v>22.084799999999998</v>
      </c>
      <c r="D30" s="3">
        <v>27.6</v>
      </c>
      <c r="E30" s="3">
        <v>10.7</v>
      </c>
    </row>
    <row r="31" spans="1:5" x14ac:dyDescent="0.25">
      <c r="A31" s="11">
        <v>1953</v>
      </c>
      <c r="B31" s="3">
        <v>47.371499999999997</v>
      </c>
      <c r="C31" s="3">
        <v>21.795900000000003</v>
      </c>
      <c r="D31" s="3">
        <v>26.2</v>
      </c>
      <c r="E31" s="3">
        <v>10.4</v>
      </c>
    </row>
    <row r="32" spans="1:5" x14ac:dyDescent="0.25">
      <c r="A32" s="11">
        <v>1954</v>
      </c>
      <c r="B32" s="3">
        <v>47.470500000000001</v>
      </c>
      <c r="C32" s="3">
        <v>21.474900000000002</v>
      </c>
      <c r="D32" s="3">
        <v>27.8</v>
      </c>
      <c r="E32" s="3">
        <v>10.3</v>
      </c>
    </row>
    <row r="33" spans="1:5" x14ac:dyDescent="0.25">
      <c r="A33" s="11">
        <v>1955</v>
      </c>
      <c r="B33" s="3">
        <v>47.519999999999996</v>
      </c>
      <c r="C33" s="3">
        <v>20.993400000000001</v>
      </c>
      <c r="D33" s="3">
        <v>26.4</v>
      </c>
      <c r="E33" s="3">
        <v>9.3000000000000007</v>
      </c>
    </row>
    <row r="34" spans="1:5" x14ac:dyDescent="0.25">
      <c r="A34" s="11">
        <v>1956</v>
      </c>
      <c r="B34" s="3">
        <v>47.668500000000002</v>
      </c>
      <c r="C34" s="3">
        <v>20.0625</v>
      </c>
      <c r="D34" s="3">
        <v>24.9</v>
      </c>
      <c r="E34" s="3">
        <v>8.4</v>
      </c>
    </row>
    <row r="35" spans="1:5" x14ac:dyDescent="0.25">
      <c r="A35" s="11">
        <v>1957</v>
      </c>
      <c r="B35" s="3">
        <v>47.767499999999998</v>
      </c>
      <c r="C35" s="3">
        <v>18.9069</v>
      </c>
      <c r="D35" s="3">
        <v>25</v>
      </c>
      <c r="E35" s="3">
        <v>8.8000000000000007</v>
      </c>
    </row>
    <row r="36" spans="1:5" x14ac:dyDescent="0.25">
      <c r="A36" s="11">
        <v>1958</v>
      </c>
      <c r="B36" s="3">
        <v>48.015000000000001</v>
      </c>
      <c r="C36" s="3">
        <v>17.879700000000003</v>
      </c>
      <c r="D36" s="3">
        <v>24.5</v>
      </c>
      <c r="E36" s="3">
        <v>8</v>
      </c>
    </row>
    <row r="37" spans="1:5" x14ac:dyDescent="0.25">
      <c r="A37" s="11">
        <v>1959</v>
      </c>
      <c r="B37" s="3">
        <v>47.965499999999999</v>
      </c>
      <c r="C37" s="3">
        <v>16.948800000000002</v>
      </c>
      <c r="D37" s="3">
        <v>23.7</v>
      </c>
      <c r="E37" s="3">
        <v>7.8</v>
      </c>
    </row>
    <row r="38" spans="1:5" x14ac:dyDescent="0.25">
      <c r="A38" s="11">
        <v>1960</v>
      </c>
      <c r="B38" s="3">
        <v>47.668500000000002</v>
      </c>
      <c r="C38" s="3">
        <v>16.692</v>
      </c>
      <c r="D38" s="3">
        <v>23.2</v>
      </c>
      <c r="E38" s="3">
        <v>7.4</v>
      </c>
    </row>
    <row r="39" spans="1:5" x14ac:dyDescent="0.25">
      <c r="A39" s="11">
        <v>1961</v>
      </c>
      <c r="B39" s="3">
        <v>47.668500000000002</v>
      </c>
      <c r="C39" s="3">
        <v>16.242599999999999</v>
      </c>
      <c r="D39" s="3">
        <v>21.9</v>
      </c>
      <c r="E39" s="3">
        <v>7.4</v>
      </c>
    </row>
    <row r="40" spans="1:5" x14ac:dyDescent="0.25">
      <c r="A40" s="11">
        <v>1962</v>
      </c>
      <c r="B40" s="3">
        <v>47.817</v>
      </c>
      <c r="C40" s="3">
        <v>16.1142</v>
      </c>
      <c r="D40" s="3">
        <v>20.2</v>
      </c>
      <c r="E40" s="3">
        <v>7.7</v>
      </c>
    </row>
    <row r="41" spans="1:5" x14ac:dyDescent="0.25">
      <c r="A41" s="11">
        <v>1963</v>
      </c>
      <c r="B41" s="3">
        <v>47.866500000000002</v>
      </c>
      <c r="C41" s="3">
        <v>15.8253</v>
      </c>
      <c r="D41" s="3">
        <v>18.8</v>
      </c>
      <c r="E41" s="3">
        <v>7.5</v>
      </c>
    </row>
    <row r="42" spans="1:5" x14ac:dyDescent="0.25">
      <c r="A42" s="11">
        <v>1964</v>
      </c>
      <c r="B42" s="3">
        <v>48.311999999999998</v>
      </c>
      <c r="C42" s="3">
        <v>15.183299999999999</v>
      </c>
      <c r="D42" s="3">
        <v>16.899999999999999</v>
      </c>
      <c r="E42" s="3">
        <v>7.2</v>
      </c>
    </row>
    <row r="43" spans="1:5" x14ac:dyDescent="0.25">
      <c r="A43" s="11">
        <v>1965</v>
      </c>
      <c r="B43" s="3">
        <v>48.163499999999999</v>
      </c>
      <c r="C43" s="3">
        <v>14.1561</v>
      </c>
      <c r="D43" s="3">
        <v>15.7</v>
      </c>
      <c r="E43" s="3">
        <v>7.6</v>
      </c>
    </row>
    <row r="44" spans="1:5" x14ac:dyDescent="0.25">
      <c r="A44" s="11">
        <v>1966</v>
      </c>
      <c r="B44" s="3">
        <v>48.609000000000002</v>
      </c>
      <c r="C44" s="3">
        <v>13.514100000000001</v>
      </c>
      <c r="D44" s="3">
        <v>15.3</v>
      </c>
      <c r="E44" s="3">
        <v>7.6</v>
      </c>
    </row>
    <row r="45" spans="1:5" x14ac:dyDescent="0.25">
      <c r="A45" s="11">
        <v>1967</v>
      </c>
      <c r="B45" s="3">
        <v>49.005000000000003</v>
      </c>
      <c r="C45" s="3">
        <v>12.775800000000002</v>
      </c>
      <c r="D45" s="3">
        <v>14.4</v>
      </c>
      <c r="E45" s="3">
        <v>7.9</v>
      </c>
    </row>
    <row r="46" spans="1:5" x14ac:dyDescent="0.25">
      <c r="A46" s="11">
        <v>1968</v>
      </c>
      <c r="B46" s="3">
        <v>49.252499999999998</v>
      </c>
      <c r="C46" s="3">
        <v>12.454800000000001</v>
      </c>
      <c r="D46" s="3">
        <v>14.1</v>
      </c>
      <c r="E46" s="3">
        <v>8.1</v>
      </c>
    </row>
    <row r="47" spans="1:5" x14ac:dyDescent="0.25">
      <c r="A47" s="11">
        <v>1969</v>
      </c>
      <c r="B47" s="3">
        <v>49.549499999999995</v>
      </c>
      <c r="C47" s="3">
        <v>12.0054</v>
      </c>
      <c r="D47" s="3">
        <v>14.2</v>
      </c>
      <c r="E47" s="3">
        <v>8.5</v>
      </c>
    </row>
    <row r="48" spans="1:5" x14ac:dyDescent="0.25">
      <c r="A48" s="11">
        <v>1970</v>
      </c>
      <c r="B48" s="3">
        <v>49.5</v>
      </c>
      <c r="C48" s="3">
        <v>11.844900000000001</v>
      </c>
      <c r="D48" s="3">
        <v>14.6</v>
      </c>
      <c r="E48" s="3">
        <v>8.6999999999999993</v>
      </c>
    </row>
    <row r="49" spans="1:5" x14ac:dyDescent="0.25">
      <c r="A49" s="11">
        <v>1971</v>
      </c>
      <c r="B49" s="3">
        <v>49.302</v>
      </c>
      <c r="C49" s="3">
        <v>11.3955</v>
      </c>
      <c r="D49" s="3">
        <v>15.1</v>
      </c>
      <c r="E49" s="3">
        <v>8.6999999999999993</v>
      </c>
    </row>
    <row r="50" spans="1:5" x14ac:dyDescent="0.25">
      <c r="A50" s="11">
        <v>1972</v>
      </c>
      <c r="B50" s="3">
        <v>49.054499999999997</v>
      </c>
      <c r="C50" s="3">
        <v>11.1066</v>
      </c>
      <c r="D50" s="3">
        <v>15.3</v>
      </c>
      <c r="E50" s="3">
        <v>9</v>
      </c>
    </row>
    <row r="51" spans="1:5" x14ac:dyDescent="0.25">
      <c r="A51" s="11">
        <v>1973</v>
      </c>
      <c r="B51" s="3">
        <v>48.955500000000001</v>
      </c>
      <c r="C51" s="3">
        <v>10.593000000000002</v>
      </c>
      <c r="D51" s="3">
        <v>15.1</v>
      </c>
      <c r="E51" s="3">
        <v>9.1999999999999993</v>
      </c>
    </row>
    <row r="52" spans="1:5" x14ac:dyDescent="0.25">
      <c r="A52" s="11">
        <v>1974</v>
      </c>
      <c r="B52" s="3">
        <v>48.807000000000002</v>
      </c>
      <c r="C52" s="3">
        <v>10.272</v>
      </c>
      <c r="D52" s="3">
        <v>15.6</v>
      </c>
      <c r="E52" s="3">
        <v>9.1999999999999993</v>
      </c>
    </row>
    <row r="53" spans="1:5" x14ac:dyDescent="0.25">
      <c r="A53" s="11">
        <v>1975</v>
      </c>
      <c r="B53" s="3">
        <v>48.707999999999998</v>
      </c>
      <c r="C53" s="3">
        <v>10.0473</v>
      </c>
      <c r="D53" s="3">
        <v>15.7</v>
      </c>
      <c r="E53" s="3">
        <v>9.8000000000000007</v>
      </c>
    </row>
    <row r="54" spans="1:5" x14ac:dyDescent="0.25">
      <c r="A54" s="11">
        <v>1976</v>
      </c>
      <c r="B54" s="3">
        <v>48.707999999999998</v>
      </c>
      <c r="C54" s="3">
        <v>9.7584</v>
      </c>
      <c r="D54" s="3">
        <v>15.9</v>
      </c>
      <c r="E54" s="3">
        <v>10</v>
      </c>
    </row>
    <row r="55" spans="1:5" x14ac:dyDescent="0.25">
      <c r="A55" s="11">
        <v>1977</v>
      </c>
      <c r="B55" s="3">
        <v>48.361499999999999</v>
      </c>
      <c r="C55" s="3">
        <v>9.5978999999999992</v>
      </c>
      <c r="D55" s="3">
        <v>15.8</v>
      </c>
      <c r="E55" s="3">
        <v>10.199999999999999</v>
      </c>
    </row>
    <row r="56" spans="1:5" x14ac:dyDescent="0.25">
      <c r="A56" s="11">
        <v>1978</v>
      </c>
      <c r="B56" s="3">
        <v>48.163499999999999</v>
      </c>
      <c r="C56" s="3">
        <v>9.4053000000000004</v>
      </c>
      <c r="D56" s="3">
        <v>15.9</v>
      </c>
      <c r="E56" s="3">
        <v>10.3</v>
      </c>
    </row>
    <row r="57" spans="1:5" x14ac:dyDescent="0.25">
      <c r="A57" s="11">
        <v>1979</v>
      </c>
      <c r="B57" s="3">
        <v>47.569499999999998</v>
      </c>
      <c r="C57" s="3">
        <v>9.4053000000000004</v>
      </c>
      <c r="D57" s="3">
        <v>15.8</v>
      </c>
      <c r="E57" s="81">
        <v>10.8</v>
      </c>
    </row>
    <row r="58" spans="1:5" x14ac:dyDescent="0.25">
      <c r="A58" s="11">
        <v>1980</v>
      </c>
      <c r="B58" s="3">
        <v>47.123999999999995</v>
      </c>
      <c r="C58" s="3">
        <v>9.3732000000000006</v>
      </c>
      <c r="D58" s="3">
        <v>15.9</v>
      </c>
      <c r="E58" s="3">
        <v>11</v>
      </c>
    </row>
    <row r="59" spans="1:5" x14ac:dyDescent="0.25">
      <c r="A59" s="11">
        <v>1981</v>
      </c>
      <c r="B59" s="3">
        <v>47.222999999999999</v>
      </c>
      <c r="C59" s="3">
        <v>9.2768999999999995</v>
      </c>
      <c r="D59" s="3">
        <v>16</v>
      </c>
      <c r="E59" s="3">
        <v>10.9</v>
      </c>
    </row>
    <row r="60" spans="1:5" x14ac:dyDescent="0.25">
      <c r="A60" s="11">
        <v>1982</v>
      </c>
      <c r="B60" s="3">
        <v>47.0745</v>
      </c>
      <c r="C60" s="3">
        <v>9.1163999999999987</v>
      </c>
      <c r="D60" s="3">
        <v>16.600000000000001</v>
      </c>
      <c r="E60" s="3">
        <v>10.7</v>
      </c>
    </row>
    <row r="61" spans="1:5" x14ac:dyDescent="0.25">
      <c r="A61" s="11">
        <v>1983</v>
      </c>
      <c r="B61" s="3">
        <v>46.8765</v>
      </c>
      <c r="C61" s="3">
        <v>8.7954000000000008</v>
      </c>
      <c r="D61" s="3">
        <v>17.5</v>
      </c>
      <c r="E61" s="3">
        <v>11</v>
      </c>
    </row>
    <row r="62" spans="1:5" x14ac:dyDescent="0.25">
      <c r="A62" s="11">
        <v>1984</v>
      </c>
      <c r="B62" s="3">
        <v>46.529999999999994</v>
      </c>
      <c r="C62" s="3">
        <v>8.2176000000000009</v>
      </c>
      <c r="D62" s="3">
        <v>16.899999999999999</v>
      </c>
      <c r="E62" s="3">
        <v>11.6</v>
      </c>
    </row>
    <row r="63" spans="1:5" x14ac:dyDescent="0.25">
      <c r="A63" s="11">
        <v>1985</v>
      </c>
      <c r="B63" s="3">
        <v>45.886500000000005</v>
      </c>
      <c r="C63" s="3">
        <v>7.8003</v>
      </c>
      <c r="D63" s="3">
        <v>16.600000000000001</v>
      </c>
      <c r="E63" s="3">
        <v>11.3</v>
      </c>
    </row>
    <row r="64" spans="1:5" x14ac:dyDescent="0.25">
      <c r="A64" s="11">
        <v>1986</v>
      </c>
      <c r="B64" s="3">
        <v>44.9955</v>
      </c>
      <c r="C64" s="3">
        <v>7.4472000000000005</v>
      </c>
      <c r="D64" s="3">
        <v>17.2</v>
      </c>
      <c r="E64" s="3">
        <v>10.4</v>
      </c>
    </row>
    <row r="65" spans="1:5" x14ac:dyDescent="0.25">
      <c r="A65" s="11">
        <v>1987</v>
      </c>
      <c r="B65" s="3">
        <v>43.906500000000001</v>
      </c>
      <c r="C65" s="3">
        <v>7.2225000000000001</v>
      </c>
      <c r="D65" s="3">
        <v>17.2</v>
      </c>
      <c r="E65" s="3">
        <v>10.5</v>
      </c>
    </row>
    <row r="66" spans="1:5" x14ac:dyDescent="0.25">
      <c r="A66" s="11">
        <v>1988</v>
      </c>
      <c r="B66" s="3">
        <v>42.966000000000001</v>
      </c>
      <c r="C66" s="3">
        <v>6.9015000000000004</v>
      </c>
      <c r="D66" s="3">
        <v>16</v>
      </c>
      <c r="E66" s="3">
        <v>10.7</v>
      </c>
    </row>
    <row r="67" spans="1:5" x14ac:dyDescent="0.25">
      <c r="A67" s="11">
        <v>1989</v>
      </c>
      <c r="B67" s="3">
        <v>41.481000000000002</v>
      </c>
      <c r="C67" s="3">
        <v>6.6768000000000001</v>
      </c>
      <c r="D67" s="3">
        <v>14.6</v>
      </c>
      <c r="E67" s="3">
        <v>10.7</v>
      </c>
    </row>
    <row r="68" spans="1:5" x14ac:dyDescent="0.25">
      <c r="A68" s="11">
        <v>1990</v>
      </c>
      <c r="B68" s="3">
        <v>40.095000000000006</v>
      </c>
      <c r="C68" s="3">
        <v>6.5163000000000011</v>
      </c>
      <c r="D68" s="3">
        <v>13.4</v>
      </c>
      <c r="E68" s="3">
        <v>11.2</v>
      </c>
    </row>
    <row r="69" spans="1:5" x14ac:dyDescent="0.25">
      <c r="A69" s="11">
        <v>1991</v>
      </c>
      <c r="B69" s="3">
        <v>38.659500000000001</v>
      </c>
      <c r="C69" s="3">
        <v>6.2595000000000001</v>
      </c>
      <c r="D69" s="3">
        <v>12.1</v>
      </c>
      <c r="E69" s="3">
        <v>11.4</v>
      </c>
    </row>
    <row r="70" spans="1:5" x14ac:dyDescent="0.25">
      <c r="A70" s="11">
        <v>1992</v>
      </c>
      <c r="B70" s="3">
        <v>38.0655</v>
      </c>
      <c r="C70" s="3">
        <v>5.9385000000000003</v>
      </c>
      <c r="D70" s="3">
        <v>10.7</v>
      </c>
      <c r="E70" s="3">
        <v>12.2</v>
      </c>
    </row>
    <row r="71" spans="1:5" x14ac:dyDescent="0.25">
      <c r="A71" s="11">
        <v>1993</v>
      </c>
      <c r="B71" s="3">
        <v>37.669499999999999</v>
      </c>
      <c r="C71" s="3">
        <v>5.7780000000000005</v>
      </c>
      <c r="D71" s="3">
        <v>9.4</v>
      </c>
      <c r="E71" s="3">
        <v>14.5</v>
      </c>
    </row>
    <row r="72" spans="1:5" x14ac:dyDescent="0.25">
      <c r="A72" s="11">
        <v>1994</v>
      </c>
      <c r="B72" s="3">
        <v>37.521000000000001</v>
      </c>
      <c r="C72" s="3">
        <v>5.6495999999999995</v>
      </c>
      <c r="D72" s="3">
        <v>9.6</v>
      </c>
      <c r="E72" s="3">
        <v>15.7</v>
      </c>
    </row>
    <row r="73" spans="1:5" x14ac:dyDescent="0.25">
      <c r="A73" s="11">
        <v>1995</v>
      </c>
      <c r="B73" s="3">
        <v>37.421999999999997</v>
      </c>
      <c r="C73" s="3">
        <v>5.4891000000000005</v>
      </c>
      <c r="D73" s="3">
        <v>9.3000000000000007</v>
      </c>
      <c r="E73" s="3">
        <v>15</v>
      </c>
    </row>
    <row r="74" spans="1:5" x14ac:dyDescent="0.25">
      <c r="A74" s="11">
        <v>1996</v>
      </c>
      <c r="B74" s="3">
        <v>37.669499999999999</v>
      </c>
      <c r="C74" s="3">
        <v>5.3286000000000007</v>
      </c>
      <c r="D74" s="3">
        <v>8.9</v>
      </c>
      <c r="E74" s="3">
        <v>14.2</v>
      </c>
    </row>
    <row r="75" spans="1:5" x14ac:dyDescent="0.25">
      <c r="A75" s="11">
        <v>1997</v>
      </c>
      <c r="B75" s="3">
        <v>37.372500000000002</v>
      </c>
      <c r="C75" s="3">
        <v>5.2323000000000004</v>
      </c>
      <c r="D75" s="3">
        <v>8.6</v>
      </c>
      <c r="E75" s="3">
        <v>13.7</v>
      </c>
    </row>
    <row r="76" spans="1:5" x14ac:dyDescent="0.25">
      <c r="A76" s="11">
        <v>1998</v>
      </c>
      <c r="B76" s="3">
        <v>36.778500000000001</v>
      </c>
      <c r="C76" s="3">
        <v>5.1360000000000001</v>
      </c>
      <c r="D76" s="3">
        <v>8.8000000000000007</v>
      </c>
      <c r="E76" s="3">
        <v>13.6</v>
      </c>
    </row>
    <row r="77" spans="1:5" x14ac:dyDescent="0.25">
      <c r="A77" s="11">
        <v>1999</v>
      </c>
      <c r="B77" s="3">
        <v>35.936999999999998</v>
      </c>
      <c r="C77" s="3">
        <v>5.1039000000000003</v>
      </c>
      <c r="D77" s="3">
        <v>8.3000000000000007</v>
      </c>
      <c r="E77" s="3">
        <v>14.7</v>
      </c>
    </row>
    <row r="78" spans="1:5" x14ac:dyDescent="0.25">
      <c r="A78" s="11">
        <v>2000</v>
      </c>
      <c r="B78" s="3">
        <v>34.897500000000001</v>
      </c>
      <c r="C78" s="3">
        <v>5.1360000000000001</v>
      </c>
      <c r="D78" s="3">
        <v>8.6999999999999993</v>
      </c>
      <c r="E78" s="3">
        <v>15.3</v>
      </c>
    </row>
    <row r="79" spans="1:5" x14ac:dyDescent="0.25">
      <c r="A79" s="11">
        <v>2001</v>
      </c>
      <c r="B79" s="3">
        <v>33.412500000000001</v>
      </c>
      <c r="C79" s="3">
        <v>5.1681000000000008</v>
      </c>
      <c r="D79" s="3">
        <v>9</v>
      </c>
      <c r="E79" s="3">
        <v>15.6</v>
      </c>
    </row>
    <row r="80" spans="1:5" x14ac:dyDescent="0.25">
      <c r="A80" s="11">
        <v>2002</v>
      </c>
      <c r="B80" s="3">
        <v>32.076000000000001</v>
      </c>
      <c r="C80" s="3">
        <v>5.2323000000000004</v>
      </c>
      <c r="D80" s="3">
        <v>9.6999999999999993</v>
      </c>
      <c r="E80" s="3">
        <v>16.2</v>
      </c>
    </row>
    <row r="81" spans="1:5" x14ac:dyDescent="0.25">
      <c r="A81" s="11">
        <v>2003</v>
      </c>
      <c r="B81" s="3">
        <v>30.591000000000001</v>
      </c>
      <c r="C81" s="3">
        <v>5.2323000000000004</v>
      </c>
      <c r="D81" s="3">
        <v>10.199999999999999</v>
      </c>
      <c r="E81" s="3">
        <v>16.399999999999999</v>
      </c>
    </row>
    <row r="82" spans="1:5" x14ac:dyDescent="0.25">
      <c r="A82" s="11">
        <v>2004</v>
      </c>
      <c r="B82" s="3">
        <v>29.402999999999999</v>
      </c>
      <c r="C82" s="3">
        <v>5.2002000000000006</v>
      </c>
      <c r="D82" s="3">
        <v>10.4</v>
      </c>
      <c r="E82" s="3">
        <v>15.9</v>
      </c>
    </row>
    <row r="83" spans="1:5" x14ac:dyDescent="0.25">
      <c r="A83" s="11">
        <v>2005</v>
      </c>
      <c r="B83" s="3">
        <v>28.165499999999998</v>
      </c>
      <c r="C83" s="3">
        <v>5.1681000000000008</v>
      </c>
      <c r="D83" s="3">
        <v>10.199999999999999</v>
      </c>
      <c r="E83" s="3">
        <v>16.100000000000001</v>
      </c>
    </row>
    <row r="84" spans="1:5" x14ac:dyDescent="0.25">
      <c r="A84" s="11">
        <v>2006</v>
      </c>
      <c r="B84" s="3">
        <v>27.571500000000004</v>
      </c>
      <c r="C84" s="3">
        <v>5.0718000000000005</v>
      </c>
      <c r="D84" s="3">
        <v>10.3</v>
      </c>
      <c r="E84" s="3">
        <v>15.1</v>
      </c>
    </row>
    <row r="85" spans="1:5" x14ac:dyDescent="0.25">
      <c r="A85" s="11">
        <v>2007</v>
      </c>
      <c r="B85" s="3">
        <v>27.076500000000003</v>
      </c>
      <c r="C85" s="3">
        <v>5.0076000000000001</v>
      </c>
      <c r="D85" s="3">
        <v>11.3</v>
      </c>
      <c r="E85" s="3">
        <v>14.6</v>
      </c>
    </row>
    <row r="86" spans="1:5" x14ac:dyDescent="0.25">
      <c r="A86" s="11">
        <v>2008</v>
      </c>
      <c r="B86" s="3">
        <v>26.977500000000003</v>
      </c>
      <c r="C86" s="3">
        <v>4.9755000000000003</v>
      </c>
      <c r="D86" s="3">
        <v>12</v>
      </c>
      <c r="E86" s="3">
        <v>14.5</v>
      </c>
    </row>
    <row r="87" spans="1:5" x14ac:dyDescent="0.25">
      <c r="A87" s="11">
        <v>2009</v>
      </c>
      <c r="B87" s="3">
        <v>26.433</v>
      </c>
      <c r="C87" s="3">
        <v>4.9434000000000005</v>
      </c>
      <c r="D87" s="3">
        <v>12.3</v>
      </c>
      <c r="E87" s="3">
        <v>14.1</v>
      </c>
    </row>
    <row r="88" spans="1:5" x14ac:dyDescent="0.25">
      <c r="A88" s="11">
        <v>2010</v>
      </c>
      <c r="B88" s="3">
        <v>25.938000000000002</v>
      </c>
      <c r="C88" s="3">
        <v>4.9112999999999998</v>
      </c>
      <c r="D88" s="3">
        <v>12.5</v>
      </c>
      <c r="E88" s="3">
        <v>14.2</v>
      </c>
    </row>
    <row r="89" spans="1:5" x14ac:dyDescent="0.25">
      <c r="A89" s="11">
        <v>2011</v>
      </c>
      <c r="B89" s="3">
        <v>25.3935</v>
      </c>
      <c r="C89" s="3">
        <v>4.8792</v>
      </c>
      <c r="D89" s="3">
        <v>12.6</v>
      </c>
      <c r="E89" s="3">
        <v>13.5</v>
      </c>
    </row>
    <row r="90" spans="1:5" x14ac:dyDescent="0.25">
      <c r="A90" s="11">
        <v>2012</v>
      </c>
      <c r="B90" s="3">
        <v>24.948</v>
      </c>
      <c r="C90" s="3">
        <v>4.8792</v>
      </c>
      <c r="D90" s="3">
        <v>13.3</v>
      </c>
      <c r="E90" s="3">
        <v>13.3</v>
      </c>
    </row>
    <row r="91" spans="1:5" x14ac:dyDescent="0.25">
      <c r="A91" s="11">
        <v>2013</v>
      </c>
      <c r="B91" s="3">
        <v>24.452999999999999</v>
      </c>
      <c r="C91" s="3">
        <v>4.8792</v>
      </c>
      <c r="D91" s="3">
        <v>13.2</v>
      </c>
      <c r="E91" s="3">
        <v>13</v>
      </c>
    </row>
    <row r="92" spans="1:5" x14ac:dyDescent="0.25">
      <c r="A92" s="11">
        <v>2014</v>
      </c>
      <c r="B92" s="3">
        <v>24.0075</v>
      </c>
      <c r="C92" s="3">
        <v>4.9112999999999998</v>
      </c>
      <c r="D92" s="3">
        <v>13.3</v>
      </c>
      <c r="E92" s="3">
        <v>13.1</v>
      </c>
    </row>
    <row r="93" spans="1:5" x14ac:dyDescent="0.25">
      <c r="A93" s="11">
        <v>2015</v>
      </c>
      <c r="B93" s="3">
        <v>23.611499999999999</v>
      </c>
      <c r="C93" s="3">
        <v>4.9434000000000005</v>
      </c>
      <c r="D93" s="3">
        <v>13.3</v>
      </c>
      <c r="E93" s="3">
        <v>13</v>
      </c>
    </row>
    <row r="94" spans="1:5" x14ac:dyDescent="0.25">
      <c r="A94" s="11">
        <v>2016</v>
      </c>
      <c r="B94" s="3">
        <v>23.215499999999999</v>
      </c>
      <c r="C94" s="3">
        <v>4.9755000000000003</v>
      </c>
      <c r="D94" s="3">
        <v>12.9</v>
      </c>
      <c r="E94" s="3">
        <v>12.9</v>
      </c>
    </row>
    <row r="95" spans="1:5" x14ac:dyDescent="0.25">
      <c r="A95" s="11">
        <v>2017</v>
      </c>
      <c r="B95" s="3">
        <v>22.819500000000001</v>
      </c>
      <c r="C95" s="3">
        <v>5.0076000000000001</v>
      </c>
      <c r="D95" s="3">
        <v>11.5</v>
      </c>
      <c r="E95" s="3">
        <v>12.4</v>
      </c>
    </row>
    <row r="96" spans="1:5" x14ac:dyDescent="0.25">
      <c r="A96" s="11">
        <v>2018</v>
      </c>
      <c r="B96" s="3">
        <v>22.423500000000001</v>
      </c>
      <c r="C96" s="3">
        <v>5.0718000000000005</v>
      </c>
      <c r="D96" s="3">
        <v>10.9</v>
      </c>
      <c r="E96" s="3">
        <v>12.5</v>
      </c>
    </row>
    <row r="97" spans="1:5" x14ac:dyDescent="0.25">
      <c r="A97" s="11">
        <v>2019</v>
      </c>
      <c r="B97" s="3">
        <v>22.077000000000002</v>
      </c>
      <c r="C97" s="3">
        <v>5.1360000000000001</v>
      </c>
      <c r="D97" s="3">
        <v>10.1</v>
      </c>
      <c r="E97" s="3">
        <v>12.3</v>
      </c>
    </row>
    <row r="98" spans="1:5" x14ac:dyDescent="0.25">
      <c r="A98" s="11">
        <v>2020</v>
      </c>
      <c r="B98" s="3">
        <v>21.681000000000001</v>
      </c>
      <c r="C98" s="3">
        <v>5.2002000000000006</v>
      </c>
      <c r="D98" s="3">
        <v>9.8000000000000007</v>
      </c>
      <c r="E98" s="3">
        <v>14.6</v>
      </c>
    </row>
    <row r="99" spans="1:5" x14ac:dyDescent="0.25">
      <c r="A99" s="11">
        <v>2021</v>
      </c>
      <c r="B99" s="3">
        <v>21.334499999999998</v>
      </c>
      <c r="C99" s="3">
        <v>5.2644000000000002</v>
      </c>
      <c r="D99" s="3">
        <v>9.4</v>
      </c>
      <c r="E99" s="3">
        <v>17.3</v>
      </c>
    </row>
    <row r="100" spans="1:5" x14ac:dyDescent="0.25">
      <c r="A100" s="11">
        <v>2022</v>
      </c>
      <c r="B100" s="3">
        <v>21.037499999999998</v>
      </c>
      <c r="C100" s="3">
        <v>5.3286000000000007</v>
      </c>
      <c r="D100" s="3">
        <v>8.8000000000000007</v>
      </c>
      <c r="E100" s="3">
        <v>13.8</v>
      </c>
    </row>
    <row r="101" spans="1:5" x14ac:dyDescent="0.25">
      <c r="A101" s="11">
        <v>2023</v>
      </c>
      <c r="B101" s="3">
        <v>20.740500000000001</v>
      </c>
      <c r="C101" s="3">
        <v>5.3928000000000003</v>
      </c>
      <c r="D101" s="3">
        <v>8.6</v>
      </c>
      <c r="E101" s="3">
        <v>13</v>
      </c>
    </row>
    <row r="104" spans="1:5" ht="21" x14ac:dyDescent="0.35">
      <c r="A104" s="37" t="s">
        <v>178</v>
      </c>
    </row>
    <row r="106" spans="1:5" x14ac:dyDescent="0.25">
      <c r="A106" s="76" t="s">
        <v>0</v>
      </c>
      <c r="B106" s="76" t="s">
        <v>181</v>
      </c>
      <c r="C106" s="76" t="s">
        <v>182</v>
      </c>
      <c r="D106" s="76" t="s">
        <v>180</v>
      </c>
      <c r="E106" s="76" t="s">
        <v>179</v>
      </c>
    </row>
    <row r="107" spans="1:5" x14ac:dyDescent="0.25">
      <c r="A107" s="11">
        <v>1927</v>
      </c>
      <c r="B107" s="82">
        <v>44.3</v>
      </c>
      <c r="C107" s="82">
        <v>26.7</v>
      </c>
      <c r="D107" s="3">
        <v>49.6</v>
      </c>
      <c r="E107" s="3">
        <v>28.6</v>
      </c>
    </row>
    <row r="108" spans="1:5" x14ac:dyDescent="0.25">
      <c r="A108" s="11">
        <v>1928</v>
      </c>
      <c r="B108" s="82">
        <v>44.3</v>
      </c>
      <c r="C108" s="82">
        <v>26.7</v>
      </c>
      <c r="D108" s="3">
        <v>48.9</v>
      </c>
      <c r="E108" s="3">
        <v>26.8</v>
      </c>
    </row>
    <row r="109" spans="1:5" x14ac:dyDescent="0.25">
      <c r="A109" s="11">
        <v>1929</v>
      </c>
      <c r="B109" s="82">
        <v>44.3</v>
      </c>
      <c r="C109" s="82">
        <v>26.7</v>
      </c>
      <c r="D109" s="3">
        <v>47</v>
      </c>
      <c r="E109" s="3">
        <v>28.6</v>
      </c>
    </row>
    <row r="110" spans="1:5" x14ac:dyDescent="0.25">
      <c r="A110" s="11">
        <v>1930</v>
      </c>
      <c r="B110" s="82">
        <v>49.4</v>
      </c>
      <c r="C110" s="82">
        <v>26.6</v>
      </c>
      <c r="D110" s="3">
        <v>43.9</v>
      </c>
      <c r="E110" s="3">
        <v>27.3</v>
      </c>
    </row>
    <row r="111" spans="1:5" x14ac:dyDescent="0.25">
      <c r="A111" s="11">
        <v>1931</v>
      </c>
      <c r="B111" s="82">
        <v>43.8</v>
      </c>
      <c r="C111" s="82">
        <v>25.9</v>
      </c>
      <c r="D111" s="3">
        <v>43.3</v>
      </c>
      <c r="E111" s="3">
        <v>30.3</v>
      </c>
    </row>
    <row r="112" spans="1:5" x14ac:dyDescent="0.25">
      <c r="A112" s="11">
        <v>1932</v>
      </c>
      <c r="B112" s="82">
        <v>43.3</v>
      </c>
      <c r="C112" s="82">
        <v>26.1</v>
      </c>
      <c r="D112" s="3">
        <v>39.299999999999997</v>
      </c>
      <c r="E112" s="3">
        <v>29.8</v>
      </c>
    </row>
    <row r="113" spans="1:5" x14ac:dyDescent="0.25">
      <c r="A113" s="11">
        <v>1933</v>
      </c>
      <c r="B113" s="82">
        <v>42.2</v>
      </c>
      <c r="C113" s="82">
        <v>25.7</v>
      </c>
      <c r="D113" s="3">
        <v>32.299999999999997</v>
      </c>
      <c r="E113" s="3">
        <v>51</v>
      </c>
    </row>
    <row r="114" spans="1:5" x14ac:dyDescent="0.25">
      <c r="A114" s="11">
        <v>1934</v>
      </c>
      <c r="B114" s="82">
        <v>44.3</v>
      </c>
      <c r="C114" s="82">
        <v>23.8</v>
      </c>
      <c r="D114" s="3">
        <v>28.7</v>
      </c>
      <c r="E114" s="3">
        <v>26.1</v>
      </c>
    </row>
    <row r="115" spans="1:5" x14ac:dyDescent="0.25">
      <c r="A115" s="11">
        <v>1935</v>
      </c>
      <c r="B115" s="82">
        <v>42.3</v>
      </c>
      <c r="C115" s="82">
        <v>22.6</v>
      </c>
      <c r="D115" s="3">
        <v>34.799999999999997</v>
      </c>
      <c r="E115" s="3">
        <v>23.6</v>
      </c>
    </row>
    <row r="116" spans="1:5" x14ac:dyDescent="0.25">
      <c r="A116" s="11">
        <v>1936</v>
      </c>
      <c r="B116" s="82">
        <v>43</v>
      </c>
      <c r="C116" s="82">
        <v>23.5</v>
      </c>
      <c r="D116" s="3">
        <v>37.5</v>
      </c>
      <c r="E116" s="3">
        <v>26.2</v>
      </c>
    </row>
    <row r="117" spans="1:5" x14ac:dyDescent="0.25">
      <c r="A117" s="11">
        <v>1937</v>
      </c>
      <c r="B117" s="82">
        <v>44.1</v>
      </c>
      <c r="C117" s="82">
        <v>24.4</v>
      </c>
      <c r="D117" s="3">
        <v>41.5</v>
      </c>
      <c r="E117" s="3">
        <v>26.2</v>
      </c>
    </row>
    <row r="118" spans="1:5" x14ac:dyDescent="0.25">
      <c r="A118" s="11">
        <v>1938</v>
      </c>
      <c r="B118" s="82">
        <v>43.5</v>
      </c>
      <c r="C118" s="82">
        <v>22.9</v>
      </c>
      <c r="D118" s="3">
        <v>40.9</v>
      </c>
      <c r="E118" s="3">
        <v>25.6</v>
      </c>
    </row>
    <row r="119" spans="1:5" x14ac:dyDescent="0.25">
      <c r="A119" s="11">
        <v>1939</v>
      </c>
      <c r="B119" s="82">
        <v>44.6</v>
      </c>
      <c r="C119" s="82">
        <v>23</v>
      </c>
      <c r="D119" s="3">
        <v>39.799999999999997</v>
      </c>
      <c r="E119" s="3">
        <v>23.9</v>
      </c>
    </row>
    <row r="120" spans="1:5" x14ac:dyDescent="0.25">
      <c r="A120" s="11">
        <v>1940</v>
      </c>
      <c r="B120" s="82">
        <v>44.3</v>
      </c>
      <c r="C120" s="82">
        <v>23.2</v>
      </c>
      <c r="D120" s="3">
        <v>34.6</v>
      </c>
      <c r="E120" s="3">
        <v>23.2</v>
      </c>
    </row>
    <row r="121" spans="1:5" x14ac:dyDescent="0.25">
      <c r="A121" s="11">
        <v>1941</v>
      </c>
      <c r="B121" s="82">
        <v>43.5</v>
      </c>
      <c r="C121" s="82">
        <v>22.1</v>
      </c>
      <c r="D121" s="3">
        <v>32.799999999999997</v>
      </c>
      <c r="E121" s="3">
        <v>51.7</v>
      </c>
    </row>
    <row r="122" spans="1:5" x14ac:dyDescent="0.25">
      <c r="A122" s="11">
        <v>1942</v>
      </c>
      <c r="B122" s="82">
        <v>45.5</v>
      </c>
      <c r="C122" s="82">
        <v>22.8</v>
      </c>
      <c r="D122" s="3">
        <v>21.3</v>
      </c>
      <c r="E122" s="3">
        <v>67.900000000000006</v>
      </c>
    </row>
    <row r="123" spans="1:5" x14ac:dyDescent="0.25">
      <c r="A123" s="11">
        <v>1943</v>
      </c>
      <c r="B123" s="82">
        <v>45.5</v>
      </c>
      <c r="C123" s="82">
        <v>22.4</v>
      </c>
      <c r="D123" s="3">
        <v>12.9</v>
      </c>
      <c r="E123" s="3">
        <v>51.5</v>
      </c>
    </row>
    <row r="124" spans="1:5" x14ac:dyDescent="0.25">
      <c r="A124" s="11">
        <v>1944</v>
      </c>
      <c r="B124" s="82">
        <v>44.2</v>
      </c>
      <c r="C124" s="82">
        <v>20.6</v>
      </c>
      <c r="D124" s="3">
        <v>13.7</v>
      </c>
      <c r="E124" s="3">
        <v>40.9</v>
      </c>
    </row>
    <row r="125" spans="1:5" x14ac:dyDescent="0.25">
      <c r="A125" s="11">
        <v>1945</v>
      </c>
      <c r="B125" s="82">
        <v>44.9</v>
      </c>
      <c r="C125" s="82">
        <v>19.5</v>
      </c>
      <c r="D125" s="3">
        <v>15.1</v>
      </c>
      <c r="E125" s="3">
        <v>25</v>
      </c>
    </row>
    <row r="126" spans="1:5" x14ac:dyDescent="0.25">
      <c r="A126" s="11">
        <v>1946</v>
      </c>
      <c r="B126" s="82">
        <v>43.7</v>
      </c>
      <c r="C126" s="82">
        <v>19.399999999999999</v>
      </c>
      <c r="D126" s="3">
        <v>26</v>
      </c>
      <c r="E126" s="3">
        <v>12.3</v>
      </c>
    </row>
    <row r="127" spans="1:5" x14ac:dyDescent="0.25">
      <c r="A127" s="11">
        <v>1947</v>
      </c>
      <c r="B127" s="82">
        <v>46.1</v>
      </c>
      <c r="C127" s="82">
        <v>16.600000000000001</v>
      </c>
      <c r="D127" s="3">
        <v>27.5</v>
      </c>
      <c r="E127" s="3">
        <v>17</v>
      </c>
    </row>
    <row r="128" spans="1:5" x14ac:dyDescent="0.25">
      <c r="A128" s="11">
        <v>1948</v>
      </c>
      <c r="B128" s="82">
        <v>45.2</v>
      </c>
      <c r="C128" s="82">
        <v>16.899999999999999</v>
      </c>
      <c r="D128" s="3">
        <v>25.2</v>
      </c>
      <c r="E128" s="3">
        <v>13.1</v>
      </c>
    </row>
    <row r="129" spans="1:5" x14ac:dyDescent="0.25">
      <c r="A129" s="11">
        <v>1949</v>
      </c>
      <c r="B129" s="82">
        <v>45.2</v>
      </c>
      <c r="C129" s="82">
        <v>17.899999999999999</v>
      </c>
      <c r="D129" s="3">
        <v>30.5</v>
      </c>
      <c r="E129" s="3">
        <v>11.7</v>
      </c>
    </row>
    <row r="130" spans="1:5" x14ac:dyDescent="0.25">
      <c r="A130" s="11">
        <v>1950</v>
      </c>
      <c r="B130" s="82">
        <v>45.5</v>
      </c>
      <c r="C130" s="82">
        <v>16.2</v>
      </c>
      <c r="D130" s="3">
        <v>27.8</v>
      </c>
      <c r="E130" s="3">
        <v>11.5</v>
      </c>
    </row>
    <row r="131" spans="1:5" x14ac:dyDescent="0.25">
      <c r="A131" s="11">
        <v>1951</v>
      </c>
      <c r="B131" s="82">
        <v>44.6</v>
      </c>
      <c r="C131" s="82">
        <v>17.3</v>
      </c>
      <c r="D131" s="3">
        <v>28.1</v>
      </c>
      <c r="E131" s="3">
        <v>11.6</v>
      </c>
    </row>
    <row r="132" spans="1:5" x14ac:dyDescent="0.25">
      <c r="A132" s="11">
        <v>1952</v>
      </c>
      <c r="B132" s="82">
        <v>43.8</v>
      </c>
      <c r="C132" s="82">
        <v>15</v>
      </c>
      <c r="D132" s="3">
        <v>27.6</v>
      </c>
      <c r="E132" s="3">
        <v>10.7</v>
      </c>
    </row>
    <row r="133" spans="1:5" x14ac:dyDescent="0.25">
      <c r="A133" s="11">
        <v>1953</v>
      </c>
      <c r="B133" s="82">
        <v>45</v>
      </c>
      <c r="C133" s="82">
        <v>15.9</v>
      </c>
      <c r="D133" s="3">
        <v>26.2</v>
      </c>
      <c r="E133" s="3">
        <v>10.4</v>
      </c>
    </row>
    <row r="134" spans="1:5" x14ac:dyDescent="0.25">
      <c r="A134" s="11">
        <v>1954</v>
      </c>
      <c r="B134" s="82">
        <v>46.4</v>
      </c>
      <c r="C134" s="82">
        <v>13.1</v>
      </c>
      <c r="D134" s="3">
        <v>27.8</v>
      </c>
      <c r="E134" s="3">
        <v>10.3</v>
      </c>
    </row>
    <row r="135" spans="1:5" x14ac:dyDescent="0.25">
      <c r="A135" s="11">
        <v>1955</v>
      </c>
      <c r="B135" s="82">
        <v>46.4</v>
      </c>
      <c r="C135" s="82">
        <v>13.7</v>
      </c>
      <c r="D135" s="3">
        <v>26.4</v>
      </c>
      <c r="E135" s="3">
        <v>9.3000000000000007</v>
      </c>
    </row>
    <row r="136" spans="1:5" x14ac:dyDescent="0.25">
      <c r="A136" s="11">
        <v>1956</v>
      </c>
      <c r="B136" s="82">
        <v>46.8</v>
      </c>
      <c r="C136" s="82">
        <v>12.1</v>
      </c>
      <c r="D136" s="3">
        <v>24.9</v>
      </c>
      <c r="E136" s="3">
        <v>8.4</v>
      </c>
    </row>
    <row r="137" spans="1:5" x14ac:dyDescent="0.25">
      <c r="A137" s="11">
        <v>1957</v>
      </c>
      <c r="B137" s="82">
        <v>47.3</v>
      </c>
      <c r="C137" s="82">
        <v>13.2</v>
      </c>
      <c r="D137" s="3">
        <v>25</v>
      </c>
      <c r="E137" s="3">
        <v>8.8000000000000007</v>
      </c>
    </row>
    <row r="138" spans="1:5" x14ac:dyDescent="0.25">
      <c r="A138" s="11">
        <v>1958</v>
      </c>
      <c r="B138" s="82">
        <v>44.8</v>
      </c>
      <c r="C138" s="82">
        <v>12.5</v>
      </c>
      <c r="D138" s="3">
        <v>24.5</v>
      </c>
      <c r="E138" s="3">
        <v>8</v>
      </c>
    </row>
    <row r="139" spans="1:5" x14ac:dyDescent="0.25">
      <c r="A139" s="11">
        <v>1959</v>
      </c>
      <c r="B139" s="82">
        <v>47.7</v>
      </c>
      <c r="C139" s="82">
        <v>11.9</v>
      </c>
      <c r="D139" s="3">
        <v>23.7</v>
      </c>
      <c r="E139" s="3">
        <v>7.8</v>
      </c>
    </row>
    <row r="140" spans="1:5" x14ac:dyDescent="0.25">
      <c r="A140" s="11">
        <v>1960</v>
      </c>
      <c r="B140" s="82">
        <v>46</v>
      </c>
      <c r="C140" s="82">
        <v>11.5</v>
      </c>
      <c r="D140" s="3">
        <v>23.2</v>
      </c>
      <c r="E140" s="3">
        <v>7.4</v>
      </c>
    </row>
    <row r="141" spans="1:5" x14ac:dyDescent="0.25">
      <c r="A141" s="11">
        <v>1961</v>
      </c>
      <c r="B141" s="82">
        <v>45.5</v>
      </c>
      <c r="C141" s="82">
        <v>10.7</v>
      </c>
      <c r="D141" s="3">
        <v>21.9</v>
      </c>
      <c r="E141" s="3">
        <v>7.4</v>
      </c>
    </row>
    <row r="142" spans="1:5" x14ac:dyDescent="0.25">
      <c r="A142" s="11">
        <v>1962</v>
      </c>
      <c r="B142" s="82">
        <v>45.6</v>
      </c>
      <c r="C142" s="82">
        <v>10.8</v>
      </c>
      <c r="D142" s="3">
        <v>20.2</v>
      </c>
      <c r="E142" s="3">
        <v>7.7</v>
      </c>
    </row>
    <row r="143" spans="1:5" x14ac:dyDescent="0.25">
      <c r="A143" s="11">
        <v>1963</v>
      </c>
      <c r="B143" s="82">
        <v>45.4</v>
      </c>
      <c r="C143" s="82">
        <v>10.7</v>
      </c>
      <c r="D143" s="3">
        <v>18.8</v>
      </c>
      <c r="E143" s="3">
        <v>7.5</v>
      </c>
    </row>
    <row r="144" spans="1:5" x14ac:dyDescent="0.25">
      <c r="A144" s="11">
        <v>1964</v>
      </c>
      <c r="B144" s="82">
        <v>46.3</v>
      </c>
      <c r="C144" s="82">
        <v>10.199999999999999</v>
      </c>
      <c r="D144" s="3">
        <v>16.899999999999999</v>
      </c>
      <c r="E144" s="3">
        <v>7.2</v>
      </c>
    </row>
    <row r="145" spans="1:5" x14ac:dyDescent="0.25">
      <c r="A145" s="11">
        <v>1965</v>
      </c>
      <c r="B145" s="82">
        <v>45.7</v>
      </c>
      <c r="C145" s="82">
        <v>9.8000000000000007</v>
      </c>
      <c r="D145" s="3">
        <v>15.7</v>
      </c>
      <c r="E145" s="3">
        <v>7.6</v>
      </c>
    </row>
    <row r="146" spans="1:5" x14ac:dyDescent="0.25">
      <c r="A146" s="11">
        <v>1966</v>
      </c>
      <c r="B146" s="82">
        <v>45.7</v>
      </c>
      <c r="C146" s="82">
        <v>9.9</v>
      </c>
      <c r="D146" s="3">
        <v>15.3</v>
      </c>
      <c r="E146" s="3">
        <v>7.6</v>
      </c>
    </row>
    <row r="147" spans="1:5" x14ac:dyDescent="0.25">
      <c r="A147" s="11">
        <v>1967</v>
      </c>
      <c r="B147" s="82">
        <v>44.8</v>
      </c>
      <c r="C147" s="82">
        <v>9.5</v>
      </c>
      <c r="D147" s="3">
        <v>14.4</v>
      </c>
      <c r="E147" s="3">
        <v>7.9</v>
      </c>
    </row>
    <row r="148" spans="1:5" x14ac:dyDescent="0.25">
      <c r="A148" s="11">
        <v>1968</v>
      </c>
      <c r="B148" s="82">
        <v>44.5</v>
      </c>
      <c r="C148" s="82">
        <v>9.9</v>
      </c>
      <c r="D148" s="3">
        <v>14.1</v>
      </c>
      <c r="E148" s="3">
        <v>8.1</v>
      </c>
    </row>
    <row r="149" spans="1:5" x14ac:dyDescent="0.25">
      <c r="A149" s="11">
        <v>1969</v>
      </c>
      <c r="B149" s="82">
        <v>44.1</v>
      </c>
      <c r="C149" s="82">
        <v>9.6999999999999993</v>
      </c>
      <c r="D149" s="3">
        <v>14.2</v>
      </c>
      <c r="E149" s="3">
        <v>8.5</v>
      </c>
    </row>
    <row r="150" spans="1:5" x14ac:dyDescent="0.25">
      <c r="A150" s="11">
        <v>1970</v>
      </c>
      <c r="B150" s="82">
        <v>43.4</v>
      </c>
      <c r="C150" s="82">
        <v>9.9</v>
      </c>
      <c r="D150" s="3">
        <v>14.6</v>
      </c>
      <c r="E150" s="3">
        <v>8.6999999999999993</v>
      </c>
    </row>
    <row r="151" spans="1:5" x14ac:dyDescent="0.25">
      <c r="A151" s="11">
        <v>1971</v>
      </c>
      <c r="B151" s="82">
        <v>42.5</v>
      </c>
      <c r="C151" s="82">
        <v>8.6999999999999993</v>
      </c>
      <c r="D151" s="3">
        <v>15.1</v>
      </c>
      <c r="E151" s="3">
        <v>8.6999999999999993</v>
      </c>
    </row>
    <row r="152" spans="1:5" x14ac:dyDescent="0.25">
      <c r="A152" s="11">
        <v>1972</v>
      </c>
      <c r="B152" s="82">
        <v>43.2</v>
      </c>
      <c r="C152" s="82">
        <v>8.8000000000000007</v>
      </c>
      <c r="D152" s="3">
        <v>15.3</v>
      </c>
      <c r="E152" s="3">
        <v>9</v>
      </c>
    </row>
    <row r="153" spans="1:5" x14ac:dyDescent="0.25">
      <c r="A153" s="11">
        <v>1973</v>
      </c>
      <c r="B153" s="82">
        <v>45.8</v>
      </c>
      <c r="C153" s="82">
        <v>8.1999999999999993</v>
      </c>
      <c r="D153" s="3">
        <v>15.1</v>
      </c>
      <c r="E153" s="3">
        <v>9.1999999999999993</v>
      </c>
    </row>
    <row r="154" spans="1:5" x14ac:dyDescent="0.25">
      <c r="A154" s="11">
        <v>1974</v>
      </c>
      <c r="B154" s="82">
        <v>44.9</v>
      </c>
      <c r="C154" s="82">
        <v>7.5</v>
      </c>
      <c r="D154" s="3">
        <v>15.6</v>
      </c>
      <c r="E154" s="3">
        <v>9.1999999999999993</v>
      </c>
    </row>
    <row r="155" spans="1:5" x14ac:dyDescent="0.25">
      <c r="A155" s="11">
        <v>1975</v>
      </c>
      <c r="B155" s="82">
        <v>40.4</v>
      </c>
      <c r="C155" s="82">
        <v>7.2</v>
      </c>
      <c r="D155" s="3">
        <v>15.7</v>
      </c>
      <c r="E155" s="3">
        <v>9.8000000000000007</v>
      </c>
    </row>
    <row r="156" spans="1:5" x14ac:dyDescent="0.25">
      <c r="A156" s="11">
        <v>1976</v>
      </c>
      <c r="B156" s="82">
        <v>39.299999999999997</v>
      </c>
      <c r="C156" s="82">
        <v>7.6</v>
      </c>
      <c r="D156" s="3">
        <v>15.9</v>
      </c>
      <c r="E156" s="3">
        <v>10</v>
      </c>
    </row>
    <row r="157" spans="1:5" x14ac:dyDescent="0.25">
      <c r="A157" s="11">
        <v>1977</v>
      </c>
      <c r="B157" s="82">
        <v>38.5</v>
      </c>
      <c r="C157" s="82">
        <v>7.2</v>
      </c>
      <c r="D157" s="3">
        <v>15.8</v>
      </c>
      <c r="E157" s="3">
        <v>10.199999999999999</v>
      </c>
    </row>
    <row r="158" spans="1:5" x14ac:dyDescent="0.25">
      <c r="A158" s="11">
        <v>1978</v>
      </c>
      <c r="B158" s="82">
        <v>36.4</v>
      </c>
      <c r="C158" s="82">
        <v>6.5</v>
      </c>
      <c r="D158" s="3">
        <v>15.9</v>
      </c>
      <c r="E158" s="3">
        <v>10.3</v>
      </c>
    </row>
    <row r="159" spans="1:5" x14ac:dyDescent="0.25">
      <c r="A159" s="11">
        <v>1979</v>
      </c>
      <c r="B159" s="82">
        <v>36.9</v>
      </c>
      <c r="C159" s="82">
        <v>6.4</v>
      </c>
      <c r="D159" s="3">
        <v>15.8</v>
      </c>
      <c r="E159" s="81">
        <v>10.8</v>
      </c>
    </row>
    <row r="160" spans="1:5" x14ac:dyDescent="0.25">
      <c r="A160" s="11">
        <v>1980</v>
      </c>
      <c r="B160" s="82">
        <v>36.299999999999997</v>
      </c>
      <c r="C160" s="82">
        <v>6.3</v>
      </c>
      <c r="D160" s="3">
        <v>15.9</v>
      </c>
      <c r="E160" s="3">
        <v>11</v>
      </c>
    </row>
    <row r="161" spans="1:5" x14ac:dyDescent="0.25">
      <c r="A161" s="11">
        <v>1981</v>
      </c>
      <c r="B161" s="82">
        <v>36.299999999999997</v>
      </c>
      <c r="C161" s="82">
        <v>6.1</v>
      </c>
      <c r="D161" s="3">
        <v>16</v>
      </c>
      <c r="E161" s="3">
        <v>10.9</v>
      </c>
    </row>
    <row r="162" spans="1:5" x14ac:dyDescent="0.25">
      <c r="A162" s="11">
        <v>1982</v>
      </c>
      <c r="B162" s="82">
        <v>33.6</v>
      </c>
      <c r="C162" s="82">
        <v>5.8</v>
      </c>
      <c r="D162" s="3">
        <v>16.600000000000001</v>
      </c>
      <c r="E162" s="3">
        <v>10.7</v>
      </c>
    </row>
    <row r="163" spans="1:5" x14ac:dyDescent="0.25">
      <c r="A163" s="11">
        <v>1983</v>
      </c>
      <c r="B163" s="82">
        <v>36</v>
      </c>
      <c r="C163" s="82">
        <v>5.7</v>
      </c>
      <c r="D163" s="3">
        <v>17.5</v>
      </c>
      <c r="E163" s="3">
        <v>11</v>
      </c>
    </row>
    <row r="164" spans="1:5" x14ac:dyDescent="0.25">
      <c r="A164" s="11">
        <v>1984</v>
      </c>
      <c r="B164" s="82">
        <v>34.1</v>
      </c>
      <c r="C164" s="82">
        <v>5.6</v>
      </c>
      <c r="D164" s="3">
        <v>16.899999999999999</v>
      </c>
      <c r="E164" s="3">
        <v>11.6</v>
      </c>
    </row>
    <row r="165" spans="1:5" x14ac:dyDescent="0.25">
      <c r="A165" s="11">
        <v>1985</v>
      </c>
      <c r="B165" s="82">
        <v>35.5</v>
      </c>
      <c r="C165" s="82">
        <v>5.5</v>
      </c>
      <c r="D165" s="3">
        <v>16.600000000000001</v>
      </c>
      <c r="E165" s="3">
        <v>11.3</v>
      </c>
    </row>
    <row r="166" spans="1:5" x14ac:dyDescent="0.25">
      <c r="A166" s="11">
        <v>1986</v>
      </c>
      <c r="B166" s="82">
        <v>33.9</v>
      </c>
      <c r="C166" s="82">
        <v>5.3</v>
      </c>
      <c r="D166" s="3">
        <v>17.2</v>
      </c>
      <c r="E166" s="3">
        <v>10.4</v>
      </c>
    </row>
    <row r="167" spans="1:5" x14ac:dyDescent="0.25">
      <c r="A167" s="11">
        <v>1987</v>
      </c>
      <c r="B167" s="82">
        <v>36.200000000000003</v>
      </c>
      <c r="C167" s="82">
        <v>5.3</v>
      </c>
      <c r="D167" s="3">
        <v>17.2</v>
      </c>
      <c r="E167" s="3">
        <v>10.5</v>
      </c>
    </row>
    <row r="168" spans="1:5" x14ac:dyDescent="0.25">
      <c r="A168" s="11">
        <v>1988</v>
      </c>
      <c r="B168" s="82">
        <v>33.5</v>
      </c>
      <c r="C168" s="82">
        <v>5.3</v>
      </c>
      <c r="D168" s="3">
        <v>16</v>
      </c>
      <c r="E168" s="3">
        <v>10.7</v>
      </c>
    </row>
    <row r="169" spans="1:5" x14ac:dyDescent="0.25">
      <c r="A169" s="11">
        <v>1989</v>
      </c>
      <c r="B169" s="82">
        <v>32.9</v>
      </c>
      <c r="C169" s="82">
        <v>5.3</v>
      </c>
      <c r="D169" s="3">
        <v>14.6</v>
      </c>
      <c r="E169" s="3">
        <v>10.7</v>
      </c>
    </row>
    <row r="170" spans="1:5" x14ac:dyDescent="0.25">
      <c r="A170" s="11">
        <v>1990</v>
      </c>
      <c r="B170" s="82">
        <v>27.9</v>
      </c>
      <c r="C170" s="82">
        <v>5.6</v>
      </c>
      <c r="D170" s="3">
        <v>13.4</v>
      </c>
      <c r="E170" s="3">
        <v>11.2</v>
      </c>
    </row>
    <row r="171" spans="1:5" x14ac:dyDescent="0.25">
      <c r="A171" s="11">
        <v>1991</v>
      </c>
      <c r="B171" s="82">
        <v>27.5</v>
      </c>
      <c r="C171" s="82">
        <v>5.5</v>
      </c>
      <c r="D171" s="3">
        <v>12.1</v>
      </c>
      <c r="E171" s="3">
        <v>11.4</v>
      </c>
    </row>
    <row r="172" spans="1:5" x14ac:dyDescent="0.25">
      <c r="A172" s="11">
        <v>1992</v>
      </c>
      <c r="B172" s="82">
        <v>27.1</v>
      </c>
      <c r="C172" s="82">
        <v>5.4</v>
      </c>
      <c r="D172" s="3">
        <v>10.7</v>
      </c>
      <c r="E172" s="3">
        <v>12.2</v>
      </c>
    </row>
    <row r="173" spans="1:5" x14ac:dyDescent="0.25">
      <c r="A173" s="11">
        <v>1993</v>
      </c>
      <c r="B173" s="82">
        <v>26.8</v>
      </c>
      <c r="C173" s="82">
        <v>5.3</v>
      </c>
      <c r="D173" s="3">
        <v>9.4</v>
      </c>
      <c r="E173" s="3">
        <v>14.5</v>
      </c>
    </row>
    <row r="174" spans="1:5" x14ac:dyDescent="0.25">
      <c r="A174" s="11">
        <v>1994</v>
      </c>
      <c r="B174" s="82">
        <v>26.3</v>
      </c>
      <c r="C174" s="82">
        <v>5.3</v>
      </c>
      <c r="D174" s="3">
        <v>9.6</v>
      </c>
      <c r="E174" s="3">
        <v>15.7</v>
      </c>
    </row>
    <row r="175" spans="1:5" x14ac:dyDescent="0.25">
      <c r="A175" s="11">
        <v>1995</v>
      </c>
      <c r="B175" s="82">
        <v>25.9</v>
      </c>
      <c r="C175" s="82">
        <v>5.2</v>
      </c>
      <c r="D175" s="3">
        <v>9.3000000000000007</v>
      </c>
      <c r="E175" s="3">
        <v>15</v>
      </c>
    </row>
    <row r="176" spans="1:5" x14ac:dyDescent="0.25">
      <c r="A176" s="11">
        <v>1996</v>
      </c>
      <c r="B176" s="82">
        <v>25.4</v>
      </c>
      <c r="C176" s="82">
        <v>5.2</v>
      </c>
      <c r="D176" s="3">
        <v>8.9</v>
      </c>
      <c r="E176" s="3">
        <v>14.2</v>
      </c>
    </row>
    <row r="177" spans="1:5" x14ac:dyDescent="0.25">
      <c r="A177" s="11">
        <v>1997</v>
      </c>
      <c r="B177" s="82">
        <v>24.8</v>
      </c>
      <c r="C177" s="82">
        <v>5.0999999999999996</v>
      </c>
      <c r="D177" s="3">
        <v>8.6</v>
      </c>
      <c r="E177" s="3">
        <v>13.7</v>
      </c>
    </row>
    <row r="178" spans="1:5" x14ac:dyDescent="0.25">
      <c r="A178" s="11">
        <v>1998</v>
      </c>
      <c r="B178" s="82">
        <v>24.3</v>
      </c>
      <c r="C178" s="82">
        <v>5.0999999999999996</v>
      </c>
      <c r="D178" s="3">
        <v>8.8000000000000007</v>
      </c>
      <c r="E178" s="3">
        <v>13.6</v>
      </c>
    </row>
    <row r="179" spans="1:5" x14ac:dyDescent="0.25">
      <c r="A179" s="11">
        <v>1999</v>
      </c>
      <c r="B179" s="82">
        <v>23.9</v>
      </c>
      <c r="C179" s="82">
        <v>5.0999999999999996</v>
      </c>
      <c r="D179" s="3">
        <v>8.3000000000000007</v>
      </c>
      <c r="E179" s="3">
        <v>14.7</v>
      </c>
    </row>
    <row r="180" spans="1:5" x14ac:dyDescent="0.25">
      <c r="A180" s="11">
        <v>2000</v>
      </c>
      <c r="B180" s="82">
        <v>23.4</v>
      </c>
      <c r="C180" s="82">
        <v>5.0999999999999996</v>
      </c>
      <c r="D180" s="3">
        <v>8.6999999999999993</v>
      </c>
      <c r="E180" s="3">
        <v>15.3</v>
      </c>
    </row>
    <row r="181" spans="1:5" x14ac:dyDescent="0.25">
      <c r="A181" s="11">
        <v>2001</v>
      </c>
      <c r="B181" s="82">
        <v>23</v>
      </c>
      <c r="C181" s="82">
        <v>5.0999999999999996</v>
      </c>
      <c r="D181" s="3">
        <v>9</v>
      </c>
      <c r="E181" s="3">
        <v>15.6</v>
      </c>
    </row>
    <row r="182" spans="1:5" x14ac:dyDescent="0.25">
      <c r="A182" s="11">
        <v>2002</v>
      </c>
      <c r="B182" s="82">
        <v>22.6</v>
      </c>
      <c r="C182" s="82">
        <v>5.0999999999999996</v>
      </c>
      <c r="D182" s="3">
        <v>9.6999999999999993</v>
      </c>
      <c r="E182" s="3">
        <v>16.2</v>
      </c>
    </row>
    <row r="183" spans="1:5" x14ac:dyDescent="0.25">
      <c r="A183" s="11">
        <v>2003</v>
      </c>
      <c r="B183" s="82">
        <v>22.2</v>
      </c>
      <c r="C183" s="82">
        <v>5.0999999999999996</v>
      </c>
      <c r="D183" s="3">
        <v>10.199999999999999</v>
      </c>
      <c r="E183" s="3">
        <v>16.399999999999999</v>
      </c>
    </row>
    <row r="184" spans="1:5" x14ac:dyDescent="0.25">
      <c r="A184" s="11">
        <v>2004</v>
      </c>
      <c r="B184" s="82">
        <v>21.8</v>
      </c>
      <c r="C184" s="82">
        <v>5.2</v>
      </c>
      <c r="D184" s="3">
        <v>10.4</v>
      </c>
      <c r="E184" s="3">
        <v>15.9</v>
      </c>
    </row>
    <row r="185" spans="1:5" x14ac:dyDescent="0.25">
      <c r="A185" s="11">
        <v>2005</v>
      </c>
      <c r="B185" s="82">
        <v>21.5</v>
      </c>
      <c r="C185" s="82">
        <v>5.2</v>
      </c>
      <c r="D185" s="3">
        <v>10.199999999999999</v>
      </c>
      <c r="E185" s="3">
        <v>16.100000000000001</v>
      </c>
    </row>
    <row r="186" spans="1:5" x14ac:dyDescent="0.25">
      <c r="A186" s="11">
        <v>2006</v>
      </c>
      <c r="B186" s="82">
        <v>21.1</v>
      </c>
      <c r="C186" s="82">
        <v>5.3</v>
      </c>
      <c r="D186" s="3">
        <v>10.3</v>
      </c>
      <c r="E186" s="3">
        <v>15.1</v>
      </c>
    </row>
    <row r="187" spans="1:5" x14ac:dyDescent="0.25">
      <c r="A187" s="11">
        <v>2007</v>
      </c>
      <c r="B187" s="82">
        <v>20.8</v>
      </c>
      <c r="C187" s="82">
        <v>5.3</v>
      </c>
      <c r="D187" s="3">
        <v>11.3</v>
      </c>
      <c r="E187" s="3">
        <v>14.6</v>
      </c>
    </row>
    <row r="188" spans="1:5" x14ac:dyDescent="0.25">
      <c r="A188" s="11">
        <v>2008</v>
      </c>
      <c r="B188" s="82">
        <v>20.399999999999999</v>
      </c>
      <c r="C188" s="82">
        <v>5.4</v>
      </c>
      <c r="D188" s="3">
        <v>12</v>
      </c>
      <c r="E188" s="3">
        <v>14.5</v>
      </c>
    </row>
    <row r="189" spans="1:5" x14ac:dyDescent="0.25">
      <c r="A189" s="11">
        <v>2009</v>
      </c>
      <c r="B189" s="82">
        <v>20.100000000000001</v>
      </c>
      <c r="C189" s="82">
        <v>5.5</v>
      </c>
      <c r="D189" s="3">
        <v>12.3</v>
      </c>
      <c r="E189" s="3">
        <v>14.1</v>
      </c>
    </row>
    <row r="190" spans="1:5" x14ac:dyDescent="0.25">
      <c r="A190" s="11">
        <v>2010</v>
      </c>
      <c r="B190" s="82">
        <v>19.7</v>
      </c>
      <c r="C190" s="82">
        <v>5.6</v>
      </c>
      <c r="D190" s="3">
        <v>12.5</v>
      </c>
      <c r="E190" s="3">
        <v>14.2</v>
      </c>
    </row>
    <row r="191" spans="1:5" x14ac:dyDescent="0.25">
      <c r="A191" s="11">
        <v>2011</v>
      </c>
      <c r="B191" s="82">
        <v>19.399999999999999</v>
      </c>
      <c r="C191" s="82">
        <v>5.6</v>
      </c>
      <c r="D191" s="3">
        <v>12.6</v>
      </c>
      <c r="E191" s="3">
        <v>13.5</v>
      </c>
    </row>
    <row r="192" spans="1:5" x14ac:dyDescent="0.25">
      <c r="A192" s="11">
        <v>2012</v>
      </c>
      <c r="B192" s="82">
        <v>19.2</v>
      </c>
      <c r="C192" s="82">
        <v>5.7</v>
      </c>
      <c r="D192" s="3">
        <v>13.3</v>
      </c>
      <c r="E192" s="3">
        <v>13.3</v>
      </c>
    </row>
    <row r="193" spans="1:5" x14ac:dyDescent="0.25">
      <c r="A193" s="11">
        <v>2013</v>
      </c>
      <c r="B193" s="82">
        <v>19</v>
      </c>
      <c r="C193" s="82">
        <v>5.7</v>
      </c>
      <c r="D193" s="3">
        <v>13.2</v>
      </c>
      <c r="E193" s="3">
        <v>13</v>
      </c>
    </row>
    <row r="194" spans="1:5" x14ac:dyDescent="0.25">
      <c r="A194" s="11">
        <v>2014</v>
      </c>
      <c r="B194" s="82">
        <v>18.7</v>
      </c>
      <c r="C194" s="82">
        <v>5.7</v>
      </c>
      <c r="D194" s="3">
        <v>13.3</v>
      </c>
      <c r="E194" s="3">
        <v>13.1</v>
      </c>
    </row>
    <row r="195" spans="1:5" x14ac:dyDescent="0.25">
      <c r="A195" s="11">
        <v>2015</v>
      </c>
      <c r="B195" s="83">
        <v>18.5</v>
      </c>
      <c r="C195" s="83">
        <v>5.8</v>
      </c>
      <c r="D195" s="3">
        <v>13.3</v>
      </c>
      <c r="E195" s="3">
        <v>13</v>
      </c>
    </row>
    <row r="196" spans="1:5" x14ac:dyDescent="0.25">
      <c r="A196" s="11">
        <v>2016</v>
      </c>
      <c r="B196" s="83">
        <v>18.100000000000001</v>
      </c>
      <c r="C196" s="83">
        <v>5.8</v>
      </c>
      <c r="D196" s="3">
        <v>12.9</v>
      </c>
      <c r="E196" s="3">
        <v>12.9</v>
      </c>
    </row>
    <row r="197" spans="1:5" x14ac:dyDescent="0.25">
      <c r="A197" s="11">
        <v>2017</v>
      </c>
      <c r="B197" s="83">
        <v>17.8</v>
      </c>
      <c r="C197" s="83">
        <v>5.9</v>
      </c>
      <c r="D197" s="3">
        <v>11.5</v>
      </c>
      <c r="E197" s="3">
        <v>12.4</v>
      </c>
    </row>
    <row r="198" spans="1:5" x14ac:dyDescent="0.25">
      <c r="A198" s="11">
        <v>2018</v>
      </c>
      <c r="B198" s="83">
        <v>17.5</v>
      </c>
      <c r="C198" s="83">
        <v>6</v>
      </c>
      <c r="D198" s="3">
        <v>10.9</v>
      </c>
      <c r="E198" s="3">
        <v>12.5</v>
      </c>
    </row>
    <row r="199" spans="1:5" x14ac:dyDescent="0.25">
      <c r="A199" s="11">
        <v>2019</v>
      </c>
      <c r="B199" s="83">
        <v>17.100000000000001</v>
      </c>
      <c r="C199" s="83">
        <v>6</v>
      </c>
      <c r="D199" s="3">
        <v>10.1</v>
      </c>
      <c r="E199" s="3">
        <v>12.3</v>
      </c>
    </row>
    <row r="200" spans="1:5" x14ac:dyDescent="0.25">
      <c r="A200" s="11">
        <v>2020</v>
      </c>
      <c r="B200" s="83">
        <v>16.8</v>
      </c>
      <c r="C200" s="83">
        <v>6.1</v>
      </c>
      <c r="D200" s="3">
        <v>9.8000000000000007</v>
      </c>
      <c r="E200" s="3">
        <v>14.6</v>
      </c>
    </row>
    <row r="201" spans="1:5" x14ac:dyDescent="0.25">
      <c r="A201" s="11">
        <v>2021</v>
      </c>
      <c r="B201" s="82">
        <v>16.3</v>
      </c>
      <c r="C201" s="82">
        <v>9.5</v>
      </c>
      <c r="D201" s="3">
        <v>9.4</v>
      </c>
      <c r="E201" s="3">
        <v>17.3</v>
      </c>
    </row>
    <row r="202" spans="1:5" x14ac:dyDescent="0.25">
      <c r="A202" s="11">
        <v>2022</v>
      </c>
      <c r="B202" s="82">
        <v>16.100000000000001</v>
      </c>
      <c r="C202" s="82">
        <v>6.1</v>
      </c>
      <c r="D202" s="3">
        <v>8.8000000000000007</v>
      </c>
      <c r="E202" s="3">
        <v>13.8</v>
      </c>
    </row>
    <row r="203" spans="1:5" x14ac:dyDescent="0.25">
      <c r="A203" s="11">
        <v>2023</v>
      </c>
      <c r="B203" s="82">
        <v>15.8</v>
      </c>
      <c r="C203" s="82">
        <v>6.1</v>
      </c>
      <c r="D203" s="3">
        <v>8.6</v>
      </c>
      <c r="E203" s="3">
        <v>13</v>
      </c>
    </row>
  </sheetData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NOTES</vt:lpstr>
      <vt:lpstr>RSFSR</vt:lpstr>
      <vt:lpstr>NR</vt:lpstr>
      <vt:lpstr>MR</vt:lpstr>
      <vt:lpstr>BR</vt:lpstr>
      <vt:lpstr>USSR</vt:lpstr>
      <vt:lpstr>USSR-Simplified</vt:lpstr>
      <vt:lpstr>RB-RD</vt:lpstr>
      <vt:lpstr>Графики</vt:lpstr>
      <vt:lpstr>URK_2020_1989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2026-04-11T11:25:57Z</dcterms:created>
  <dcterms:modified xsi:type="dcterms:W3CDTF">2026-05-25T11:34:37Z</dcterms:modified>
</cp:coreProperties>
</file>