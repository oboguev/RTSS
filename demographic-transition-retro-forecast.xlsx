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E57B9ED3-AC97-4954-BE5D-CBF7FE6F82C8}" xr6:coauthVersionLast="45" xr6:coauthVersionMax="45" xr10:uidLastSave="{00000000-0000-0000-0000-000000000000}"/>
  <bookViews>
    <workbookView xWindow="-60" yWindow="-60" windowWidth="38520" windowHeight="23700" activeTab="3" xr2:uid="{573FC42F-0BD4-4412-A5CF-D809ABCC1B4D}"/>
  </bookViews>
  <sheets>
    <sheet name="RSFSR" sheetId="1" r:id="rId1"/>
    <sheet name="NR" sheetId="2" r:id="rId2"/>
    <sheet name="BR" sheetId="3" r:id="rId3"/>
    <sheet name="MR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F8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9" i="3"/>
  <c r="D9" i="3"/>
  <c r="A9" i="3"/>
  <c r="E8" i="3"/>
  <c r="H8" i="3" s="1"/>
  <c r="D8" i="3"/>
  <c r="A8" i="3"/>
  <c r="G7" i="3"/>
  <c r="F8" i="3" s="1"/>
  <c r="E7" i="3"/>
  <c r="H7" i="3" s="1"/>
  <c r="D7" i="3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8" i="2"/>
  <c r="D8" i="2"/>
  <c r="A8" i="2"/>
  <c r="E7" i="2"/>
  <c r="H7" i="2" s="1"/>
  <c r="D7" i="2"/>
  <c r="G7" i="2" s="1"/>
  <c r="F8" i="2" s="1"/>
  <c r="D134" i="1"/>
  <c r="D133" i="1"/>
  <c r="D132" i="1"/>
  <c r="D131" i="1"/>
  <c r="D130" i="1"/>
  <c r="D129" i="1"/>
  <c r="D128" i="1"/>
  <c r="E131" i="1"/>
  <c r="E129" i="1"/>
  <c r="E132" i="1"/>
  <c r="E130" i="1"/>
  <c r="E134" i="1"/>
  <c r="E128" i="1"/>
  <c r="E133" i="1"/>
  <c r="G8" i="4" l="1"/>
  <c r="F9" i="4" s="1"/>
  <c r="J7" i="4"/>
  <c r="H8" i="4"/>
  <c r="G8" i="3"/>
  <c r="F9" i="3" s="1"/>
  <c r="J7" i="3"/>
  <c r="G8" i="2"/>
  <c r="J7" i="2"/>
  <c r="H8" i="2"/>
  <c r="F9" i="2" s="1"/>
  <c r="F134" i="1"/>
  <c r="F130" i="1"/>
  <c r="F132" i="1"/>
  <c r="F129" i="1"/>
  <c r="F131" i="1"/>
  <c r="F133" i="1"/>
  <c r="F128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G9" i="4" l="1"/>
  <c r="J8" i="4"/>
  <c r="F10" i="4"/>
  <c r="H9" i="4"/>
  <c r="G9" i="3"/>
  <c r="J8" i="3"/>
  <c r="F10" i="3"/>
  <c r="H9" i="3"/>
  <c r="G9" i="2"/>
  <c r="J8" i="2"/>
  <c r="F10" i="2"/>
  <c r="H9" i="2"/>
  <c r="F8" i="1"/>
  <c r="J9" i="4" l="1"/>
  <c r="H10" i="4"/>
  <c r="G10" i="4"/>
  <c r="F11" i="4" s="1"/>
  <c r="J9" i="3"/>
  <c r="G10" i="3"/>
  <c r="F11" i="3" s="1"/>
  <c r="H10" i="3"/>
  <c r="G10" i="2"/>
  <c r="H10" i="2"/>
  <c r="F11" i="2" s="1"/>
  <c r="J9" i="2"/>
  <c r="G8" i="1"/>
  <c r="J7" i="1"/>
  <c r="H8" i="1"/>
  <c r="H11" i="4" l="1"/>
  <c r="G11" i="4"/>
  <c r="J10" i="4"/>
  <c r="F12" i="4"/>
  <c r="H11" i="3"/>
  <c r="G11" i="3"/>
  <c r="J10" i="3"/>
  <c r="F12" i="3"/>
  <c r="H11" i="2"/>
  <c r="G11" i="2"/>
  <c r="F12" i="2" s="1"/>
  <c r="J10" i="2"/>
  <c r="F9" i="1"/>
  <c r="J11" i="4" l="1"/>
  <c r="H12" i="4"/>
  <c r="G12" i="4"/>
  <c r="F13" i="4" s="1"/>
  <c r="J11" i="3"/>
  <c r="G12" i="3"/>
  <c r="F13" i="3" s="1"/>
  <c r="H12" i="3"/>
  <c r="J11" i="2"/>
  <c r="G12" i="2"/>
  <c r="H12" i="2"/>
  <c r="F13" i="2" s="1"/>
  <c r="J8" i="1"/>
  <c r="H9" i="1"/>
  <c r="G9" i="1"/>
  <c r="F10" i="1" s="1"/>
  <c r="G13" i="4" l="1"/>
  <c r="J12" i="4"/>
  <c r="H13" i="4"/>
  <c r="F14" i="4" s="1"/>
  <c r="G13" i="3"/>
  <c r="J12" i="3"/>
  <c r="H13" i="3"/>
  <c r="F14" i="3" s="1"/>
  <c r="G13" i="2"/>
  <c r="J12" i="2"/>
  <c r="H13" i="2"/>
  <c r="F14" i="2" s="1"/>
  <c r="J9" i="1"/>
  <c r="H10" i="1"/>
  <c r="G10" i="1"/>
  <c r="F11" i="1"/>
  <c r="G14" i="4" l="1"/>
  <c r="F15" i="4" s="1"/>
  <c r="J13" i="4"/>
  <c r="H14" i="4"/>
  <c r="G14" i="3"/>
  <c r="F15" i="3" s="1"/>
  <c r="J13" i="3"/>
  <c r="H14" i="3"/>
  <c r="G14" i="2"/>
  <c r="F15" i="2" s="1"/>
  <c r="J13" i="2"/>
  <c r="H14" i="2"/>
  <c r="G11" i="1"/>
  <c r="H11" i="1"/>
  <c r="J10" i="1"/>
  <c r="H15" i="4" l="1"/>
  <c r="G15" i="4"/>
  <c r="F16" i="4" s="1"/>
  <c r="J14" i="4"/>
  <c r="J14" i="3"/>
  <c r="F16" i="3"/>
  <c r="G15" i="3"/>
  <c r="H15" i="3"/>
  <c r="G15" i="2"/>
  <c r="F16" i="2" s="1"/>
  <c r="J14" i="2"/>
  <c r="H15" i="2"/>
  <c r="F12" i="1"/>
  <c r="G16" i="4" l="1"/>
  <c r="J15" i="4"/>
  <c r="D128" i="4"/>
  <c r="H16" i="4"/>
  <c r="F17" i="4" s="1"/>
  <c r="G16" i="3"/>
  <c r="H16" i="3"/>
  <c r="F17" i="3" s="1"/>
  <c r="J15" i="3"/>
  <c r="D128" i="3"/>
  <c r="H16" i="2"/>
  <c r="D128" i="2"/>
  <c r="G16" i="2"/>
  <c r="F17" i="2" s="1"/>
  <c r="J15" i="2"/>
  <c r="H12" i="1"/>
  <c r="J11" i="1"/>
  <c r="G12" i="1"/>
  <c r="F13" i="1" s="1"/>
  <c r="E128" i="4"/>
  <c r="E128" i="2"/>
  <c r="E128" i="3"/>
  <c r="J16" i="4" l="1"/>
  <c r="G17" i="4"/>
  <c r="F18" i="4" s="1"/>
  <c r="H17" i="4"/>
  <c r="F128" i="4"/>
  <c r="J16" i="3"/>
  <c r="H17" i="3"/>
  <c r="G17" i="3"/>
  <c r="F18" i="3" s="1"/>
  <c r="F128" i="3"/>
  <c r="J16" i="2"/>
  <c r="G17" i="2"/>
  <c r="F18" i="2" s="1"/>
  <c r="H17" i="2"/>
  <c r="F128" i="2"/>
  <c r="H13" i="1"/>
  <c r="G13" i="1"/>
  <c r="F14" i="1" s="1"/>
  <c r="J12" i="1"/>
  <c r="G18" i="4" l="1"/>
  <c r="J17" i="4"/>
  <c r="H18" i="4"/>
  <c r="F19" i="4" s="1"/>
  <c r="J17" i="3"/>
  <c r="G18" i="3"/>
  <c r="F19" i="3" s="1"/>
  <c r="H18" i="3"/>
  <c r="G18" i="2"/>
  <c r="J17" i="2"/>
  <c r="H18" i="2"/>
  <c r="F19" i="2" s="1"/>
  <c r="J13" i="1"/>
  <c r="G14" i="1"/>
  <c r="H14" i="1"/>
  <c r="F15" i="1" s="1"/>
  <c r="J18" i="4" l="1"/>
  <c r="G19" i="4"/>
  <c r="F20" i="4" s="1"/>
  <c r="H19" i="4"/>
  <c r="J18" i="3"/>
  <c r="G19" i="3"/>
  <c r="F20" i="3" s="1"/>
  <c r="H19" i="3"/>
  <c r="J18" i="2"/>
  <c r="G19" i="2"/>
  <c r="F20" i="2" s="1"/>
  <c r="H19" i="2"/>
  <c r="J14" i="1"/>
  <c r="H15" i="1"/>
  <c r="G15" i="1"/>
  <c r="F16" i="1" s="1"/>
  <c r="G20" i="4" l="1"/>
  <c r="J19" i="4"/>
  <c r="H20" i="4"/>
  <c r="F21" i="4" s="1"/>
  <c r="G20" i="3"/>
  <c r="J19" i="3"/>
  <c r="H20" i="3"/>
  <c r="F21" i="3" s="1"/>
  <c r="G20" i="2"/>
  <c r="J19" i="2"/>
  <c r="H20" i="2"/>
  <c r="F21" i="2" s="1"/>
  <c r="H16" i="1"/>
  <c r="F17" i="1" s="1"/>
  <c r="G16" i="1"/>
  <c r="J15" i="1"/>
  <c r="G21" i="4" l="1"/>
  <c r="J20" i="4"/>
  <c r="H21" i="4"/>
  <c r="F22" i="4" s="1"/>
  <c r="G21" i="3"/>
  <c r="J20" i="3"/>
  <c r="H21" i="3"/>
  <c r="F22" i="3" s="1"/>
  <c r="G21" i="2"/>
  <c r="J20" i="2"/>
  <c r="H21" i="2"/>
  <c r="F22" i="2" s="1"/>
  <c r="J16" i="1"/>
  <c r="G17" i="1"/>
  <c r="H17" i="1"/>
  <c r="J21" i="4" l="1"/>
  <c r="H22" i="4"/>
  <c r="G22" i="4"/>
  <c r="F23" i="4" s="1"/>
  <c r="J21" i="3"/>
  <c r="G22" i="3"/>
  <c r="F23" i="3" s="1"/>
  <c r="H22" i="3"/>
  <c r="G22" i="2"/>
  <c r="H22" i="2"/>
  <c r="J21" i="2"/>
  <c r="F23" i="2"/>
  <c r="F18" i="1"/>
  <c r="J17" i="1"/>
  <c r="H18" i="1"/>
  <c r="G18" i="1"/>
  <c r="F19" i="1" s="1"/>
  <c r="G23" i="4" l="1"/>
  <c r="H23" i="4"/>
  <c r="F24" i="4" s="1"/>
  <c r="J22" i="4"/>
  <c r="H23" i="3"/>
  <c r="J22" i="3"/>
  <c r="G23" i="3"/>
  <c r="F24" i="3" s="1"/>
  <c r="H23" i="2"/>
  <c r="G23" i="2"/>
  <c r="F24" i="2" s="1"/>
  <c r="J22" i="2"/>
  <c r="J18" i="1"/>
  <c r="H19" i="1"/>
  <c r="G19" i="1"/>
  <c r="F20" i="1" s="1"/>
  <c r="J23" i="4" l="1"/>
  <c r="H24" i="4"/>
  <c r="G24" i="4"/>
  <c r="F25" i="4" s="1"/>
  <c r="J23" i="3"/>
  <c r="G24" i="3"/>
  <c r="F25" i="3" s="1"/>
  <c r="H24" i="3"/>
  <c r="J23" i="2"/>
  <c r="H24" i="2"/>
  <c r="F25" i="2" s="1"/>
  <c r="G24" i="2"/>
  <c r="J19" i="1"/>
  <c r="H20" i="1"/>
  <c r="G20" i="1"/>
  <c r="F21" i="1" s="1"/>
  <c r="G25" i="4" l="1"/>
  <c r="J24" i="4"/>
  <c r="H25" i="4"/>
  <c r="F26" i="4" s="1"/>
  <c r="G25" i="3"/>
  <c r="J24" i="3"/>
  <c r="H25" i="3"/>
  <c r="F26" i="3" s="1"/>
  <c r="G25" i="2"/>
  <c r="J24" i="2"/>
  <c r="H25" i="2"/>
  <c r="F26" i="2" s="1"/>
  <c r="J20" i="1"/>
  <c r="H21" i="1"/>
  <c r="G21" i="1"/>
  <c r="F22" i="1"/>
  <c r="G26" i="4" l="1"/>
  <c r="F27" i="4" s="1"/>
  <c r="J25" i="4"/>
  <c r="H26" i="4"/>
  <c r="G26" i="3"/>
  <c r="F27" i="3" s="1"/>
  <c r="J25" i="3"/>
  <c r="H26" i="3"/>
  <c r="G26" i="2"/>
  <c r="F27" i="2" s="1"/>
  <c r="J25" i="2"/>
  <c r="H26" i="2"/>
  <c r="J21" i="1"/>
  <c r="G22" i="1"/>
  <c r="H22" i="1"/>
  <c r="D129" i="4" l="1"/>
  <c r="J26" i="4"/>
  <c r="H27" i="4"/>
  <c r="G27" i="4"/>
  <c r="F28" i="4" s="1"/>
  <c r="J26" i="3"/>
  <c r="D129" i="3"/>
  <c r="H27" i="3"/>
  <c r="G27" i="3"/>
  <c r="F28" i="3" s="1"/>
  <c r="D129" i="2"/>
  <c r="H27" i="2"/>
  <c r="G27" i="2"/>
  <c r="F28" i="2" s="1"/>
  <c r="J26" i="2"/>
  <c r="F23" i="1"/>
  <c r="J22" i="1"/>
  <c r="G23" i="1"/>
  <c r="H23" i="1"/>
  <c r="E129" i="4"/>
  <c r="E129" i="2"/>
  <c r="E129" i="3"/>
  <c r="G28" i="4" l="1"/>
  <c r="F29" i="4" s="1"/>
  <c r="J27" i="4"/>
  <c r="H28" i="4"/>
  <c r="F129" i="4"/>
  <c r="G28" i="3"/>
  <c r="J27" i="3"/>
  <c r="H28" i="3"/>
  <c r="F29" i="3" s="1"/>
  <c r="F129" i="3"/>
  <c r="G28" i="2"/>
  <c r="F29" i="2" s="1"/>
  <c r="H28" i="2"/>
  <c r="J27" i="2"/>
  <c r="F129" i="2"/>
  <c r="F24" i="1"/>
  <c r="D130" i="4" l="1"/>
  <c r="J28" i="4"/>
  <c r="H29" i="4"/>
  <c r="G29" i="4"/>
  <c r="F30" i="4" s="1"/>
  <c r="D130" i="3"/>
  <c r="J28" i="3"/>
  <c r="H29" i="3"/>
  <c r="G29" i="3"/>
  <c r="F30" i="3"/>
  <c r="D130" i="2"/>
  <c r="G29" i="2"/>
  <c r="J28" i="2"/>
  <c r="H29" i="2"/>
  <c r="F30" i="2" s="1"/>
  <c r="J23" i="1"/>
  <c r="G24" i="1"/>
  <c r="H24" i="1"/>
  <c r="E130" i="4"/>
  <c r="E130" i="3"/>
  <c r="E130" i="2"/>
  <c r="G30" i="4" l="1"/>
  <c r="J29" i="4"/>
  <c r="H30" i="4"/>
  <c r="F31" i="4" s="1"/>
  <c r="F130" i="4"/>
  <c r="G30" i="3"/>
  <c r="J29" i="3"/>
  <c r="H30" i="3"/>
  <c r="F31" i="3" s="1"/>
  <c r="F130" i="3"/>
  <c r="J29" i="2"/>
  <c r="G30" i="2"/>
  <c r="F31" i="2" s="1"/>
  <c r="H30" i="2"/>
  <c r="F130" i="2"/>
  <c r="F25" i="1"/>
  <c r="J24" i="1"/>
  <c r="G25" i="1"/>
  <c r="H25" i="1"/>
  <c r="F26" i="1"/>
  <c r="J30" i="4" l="1"/>
  <c r="G31" i="4"/>
  <c r="H31" i="4"/>
  <c r="F32" i="4" s="1"/>
  <c r="J30" i="3"/>
  <c r="G31" i="3"/>
  <c r="F32" i="3" s="1"/>
  <c r="H31" i="3"/>
  <c r="J30" i="2"/>
  <c r="G31" i="2"/>
  <c r="F32" i="2" s="1"/>
  <c r="H31" i="2"/>
  <c r="J25" i="1"/>
  <c r="H26" i="1"/>
  <c r="G26" i="1"/>
  <c r="G32" i="4" l="1"/>
  <c r="J31" i="4"/>
  <c r="H32" i="4"/>
  <c r="F33" i="4" s="1"/>
  <c r="G32" i="3"/>
  <c r="J31" i="3"/>
  <c r="H32" i="3"/>
  <c r="F33" i="3" s="1"/>
  <c r="G32" i="2"/>
  <c r="J31" i="2"/>
  <c r="H32" i="2"/>
  <c r="F33" i="2" s="1"/>
  <c r="F27" i="1"/>
  <c r="G33" i="4" l="1"/>
  <c r="J32" i="4"/>
  <c r="H33" i="4"/>
  <c r="F34" i="4" s="1"/>
  <c r="G33" i="3"/>
  <c r="J32" i="3"/>
  <c r="H33" i="3"/>
  <c r="F34" i="3" s="1"/>
  <c r="G33" i="2"/>
  <c r="J32" i="2"/>
  <c r="H33" i="2"/>
  <c r="F34" i="2" s="1"/>
  <c r="J26" i="1"/>
  <c r="G27" i="1"/>
  <c r="H27" i="1"/>
  <c r="J33" i="4" l="1"/>
  <c r="G34" i="4"/>
  <c r="F35" i="4" s="1"/>
  <c r="H34" i="4"/>
  <c r="H34" i="3"/>
  <c r="J33" i="3"/>
  <c r="G34" i="3"/>
  <c r="F35" i="3" s="1"/>
  <c r="G34" i="2"/>
  <c r="H34" i="2"/>
  <c r="J33" i="2"/>
  <c r="F35" i="2"/>
  <c r="F28" i="1"/>
  <c r="J27" i="1"/>
  <c r="G28" i="1"/>
  <c r="H28" i="1"/>
  <c r="F29" i="1" s="1"/>
  <c r="H35" i="4" l="1"/>
  <c r="G35" i="4"/>
  <c r="F36" i="4"/>
  <c r="J34" i="4"/>
  <c r="H35" i="3"/>
  <c r="J34" i="3"/>
  <c r="G35" i="3"/>
  <c r="F36" i="3"/>
  <c r="J34" i="2"/>
  <c r="G35" i="2"/>
  <c r="H35" i="2"/>
  <c r="F36" i="2"/>
  <c r="J28" i="1"/>
  <c r="G29" i="1"/>
  <c r="H29" i="1"/>
  <c r="F30" i="1" s="1"/>
  <c r="J35" i="4" l="1"/>
  <c r="G36" i="4"/>
  <c r="F37" i="4" s="1"/>
  <c r="H36" i="4"/>
  <c r="J35" i="3"/>
  <c r="G36" i="3"/>
  <c r="F37" i="3" s="1"/>
  <c r="H36" i="3"/>
  <c r="J35" i="2"/>
  <c r="H36" i="2"/>
  <c r="G36" i="2"/>
  <c r="F37" i="2" s="1"/>
  <c r="J29" i="1"/>
  <c r="H30" i="1"/>
  <c r="G30" i="1"/>
  <c r="F31" i="1" s="1"/>
  <c r="G37" i="4" l="1"/>
  <c r="J36" i="4"/>
  <c r="H37" i="4"/>
  <c r="F38" i="4" s="1"/>
  <c r="G37" i="3"/>
  <c r="J36" i="3"/>
  <c r="H37" i="3"/>
  <c r="F38" i="3" s="1"/>
  <c r="G37" i="2"/>
  <c r="J36" i="2"/>
  <c r="H37" i="2"/>
  <c r="F38" i="2" s="1"/>
  <c r="J30" i="1"/>
  <c r="H31" i="1"/>
  <c r="G31" i="1"/>
  <c r="F32" i="1" s="1"/>
  <c r="G38" i="4" l="1"/>
  <c r="F39" i="4" s="1"/>
  <c r="J37" i="4"/>
  <c r="H38" i="4"/>
  <c r="G38" i="3"/>
  <c r="F39" i="3" s="1"/>
  <c r="J37" i="3"/>
  <c r="H38" i="3"/>
  <c r="G38" i="2"/>
  <c r="F39" i="2" s="1"/>
  <c r="J37" i="2"/>
  <c r="H38" i="2"/>
  <c r="J31" i="1"/>
  <c r="H32" i="1"/>
  <c r="G32" i="1"/>
  <c r="F33" i="1" s="1"/>
  <c r="J38" i="4" l="1"/>
  <c r="G39" i="4"/>
  <c r="F40" i="4" s="1"/>
  <c r="H39" i="4"/>
  <c r="J38" i="3"/>
  <c r="H39" i="3"/>
  <c r="F40" i="3" s="1"/>
  <c r="G39" i="3"/>
  <c r="H39" i="2"/>
  <c r="G39" i="2"/>
  <c r="F40" i="2" s="1"/>
  <c r="J38" i="2"/>
  <c r="J32" i="1"/>
  <c r="G33" i="1"/>
  <c r="H33" i="1"/>
  <c r="G40" i="4" l="1"/>
  <c r="J39" i="4"/>
  <c r="H40" i="4"/>
  <c r="F41" i="4" s="1"/>
  <c r="G40" i="3"/>
  <c r="H40" i="3"/>
  <c r="F41" i="3" s="1"/>
  <c r="J39" i="3"/>
  <c r="J39" i="2"/>
  <c r="G40" i="2"/>
  <c r="F41" i="2" s="1"/>
  <c r="H40" i="2"/>
  <c r="F34" i="1"/>
  <c r="J33" i="1" s="1"/>
  <c r="H34" i="1"/>
  <c r="G34" i="1"/>
  <c r="J40" i="4" l="1"/>
  <c r="G41" i="4"/>
  <c r="F42" i="4" s="1"/>
  <c r="H41" i="4"/>
  <c r="J40" i="3"/>
  <c r="G41" i="3"/>
  <c r="F42" i="3"/>
  <c r="H41" i="3"/>
  <c r="J40" i="2"/>
  <c r="G41" i="2"/>
  <c r="F42" i="2" s="1"/>
  <c r="H41" i="2"/>
  <c r="F35" i="1"/>
  <c r="G42" i="4" l="1"/>
  <c r="J41" i="4"/>
  <c r="H42" i="4"/>
  <c r="F43" i="4" s="1"/>
  <c r="G42" i="3"/>
  <c r="J41" i="3"/>
  <c r="H42" i="3"/>
  <c r="F43" i="3" s="1"/>
  <c r="G42" i="2"/>
  <c r="J41" i="2"/>
  <c r="F43" i="2"/>
  <c r="H42" i="2"/>
  <c r="J34" i="1"/>
  <c r="G35" i="1"/>
  <c r="H35" i="1"/>
  <c r="J42" i="4" l="1"/>
  <c r="G43" i="4"/>
  <c r="F44" i="4" s="1"/>
  <c r="H43" i="4"/>
  <c r="J42" i="3"/>
  <c r="G43" i="3"/>
  <c r="F44" i="3" s="1"/>
  <c r="H43" i="3"/>
  <c r="J42" i="2"/>
  <c r="G43" i="2"/>
  <c r="F44" i="2" s="1"/>
  <c r="H43" i="2"/>
  <c r="F36" i="1"/>
  <c r="G44" i="4" l="1"/>
  <c r="J43" i="4"/>
  <c r="H44" i="4"/>
  <c r="F45" i="4" s="1"/>
  <c r="G44" i="3"/>
  <c r="J43" i="3"/>
  <c r="H44" i="3"/>
  <c r="F45" i="3" s="1"/>
  <c r="G44" i="2"/>
  <c r="J43" i="2"/>
  <c r="H44" i="2"/>
  <c r="F45" i="2" s="1"/>
  <c r="J35" i="1"/>
  <c r="H36" i="1"/>
  <c r="G36" i="1"/>
  <c r="F37" i="1" s="1"/>
  <c r="G45" i="4" l="1"/>
  <c r="H45" i="4"/>
  <c r="F46" i="4" s="1"/>
  <c r="J44" i="4"/>
  <c r="G45" i="3"/>
  <c r="F46" i="3" s="1"/>
  <c r="J44" i="3"/>
  <c r="H45" i="3"/>
  <c r="G45" i="2"/>
  <c r="J44" i="2"/>
  <c r="H45" i="2"/>
  <c r="F46" i="2" s="1"/>
  <c r="J36" i="1"/>
  <c r="H37" i="1"/>
  <c r="G37" i="1"/>
  <c r="F38" i="1" s="1"/>
  <c r="J45" i="4" l="1"/>
  <c r="H46" i="4"/>
  <c r="G46" i="4"/>
  <c r="F47" i="4"/>
  <c r="J45" i="3"/>
  <c r="H46" i="3"/>
  <c r="G46" i="3"/>
  <c r="F47" i="3" s="1"/>
  <c r="G46" i="2"/>
  <c r="F47" i="2" s="1"/>
  <c r="J45" i="2"/>
  <c r="H46" i="2"/>
  <c r="J37" i="1"/>
  <c r="H38" i="1"/>
  <c r="G38" i="1"/>
  <c r="G47" i="4" l="1"/>
  <c r="J46" i="4"/>
  <c r="H47" i="4"/>
  <c r="F48" i="4" s="1"/>
  <c r="H47" i="3"/>
  <c r="G47" i="3"/>
  <c r="F48" i="3" s="1"/>
  <c r="J46" i="3"/>
  <c r="H47" i="2"/>
  <c r="G47" i="2"/>
  <c r="F48" i="2" s="1"/>
  <c r="J46" i="2"/>
  <c r="F39" i="1"/>
  <c r="J47" i="4" l="1"/>
  <c r="G48" i="4"/>
  <c r="F49" i="4" s="1"/>
  <c r="H48" i="4"/>
  <c r="J47" i="3"/>
  <c r="G48" i="3"/>
  <c r="F49" i="3" s="1"/>
  <c r="H48" i="3"/>
  <c r="J47" i="2"/>
  <c r="H48" i="2"/>
  <c r="G48" i="2"/>
  <c r="F49" i="2" s="1"/>
  <c r="J38" i="1"/>
  <c r="G39" i="1"/>
  <c r="H39" i="1"/>
  <c r="G49" i="4" l="1"/>
  <c r="J48" i="4"/>
  <c r="D131" i="4"/>
  <c r="H49" i="4"/>
  <c r="F50" i="4" s="1"/>
  <c r="G49" i="3"/>
  <c r="J48" i="3"/>
  <c r="D131" i="3"/>
  <c r="H49" i="3"/>
  <c r="F50" i="3" s="1"/>
  <c r="G49" i="2"/>
  <c r="J48" i="2"/>
  <c r="D131" i="2"/>
  <c r="H49" i="2"/>
  <c r="F50" i="2" s="1"/>
  <c r="F40" i="1"/>
  <c r="J39" i="1"/>
  <c r="H40" i="1"/>
  <c r="G40" i="1"/>
  <c r="E131" i="4"/>
  <c r="E131" i="3"/>
  <c r="E131" i="2"/>
  <c r="G50" i="4" l="1"/>
  <c r="F51" i="4" s="1"/>
  <c r="J49" i="4"/>
  <c r="H50" i="4"/>
  <c r="F131" i="4"/>
  <c r="G50" i="3"/>
  <c r="F51" i="3" s="1"/>
  <c r="J49" i="3"/>
  <c r="H50" i="3"/>
  <c r="F131" i="3"/>
  <c r="G50" i="2"/>
  <c r="F51" i="2" s="1"/>
  <c r="J49" i="2"/>
  <c r="H50" i="2"/>
  <c r="F131" i="2"/>
  <c r="F41" i="1"/>
  <c r="G51" i="4" l="1"/>
  <c r="F52" i="4" s="1"/>
  <c r="H51" i="4"/>
  <c r="J50" i="4"/>
  <c r="J50" i="3"/>
  <c r="H51" i="3"/>
  <c r="G51" i="3"/>
  <c r="F52" i="3" s="1"/>
  <c r="H51" i="2"/>
  <c r="G51" i="2"/>
  <c r="F52" i="2" s="1"/>
  <c r="J50" i="2"/>
  <c r="J40" i="1"/>
  <c r="G41" i="1"/>
  <c r="H41" i="1"/>
  <c r="J51" i="4" l="1"/>
  <c r="G52" i="4"/>
  <c r="F53" i="4" s="1"/>
  <c r="H52" i="4"/>
  <c r="G52" i="3"/>
  <c r="J51" i="3"/>
  <c r="H52" i="3"/>
  <c r="F53" i="3" s="1"/>
  <c r="J51" i="2"/>
  <c r="G52" i="2"/>
  <c r="F53" i="2" s="1"/>
  <c r="H52" i="2"/>
  <c r="F42" i="1"/>
  <c r="J52" i="4" l="1"/>
  <c r="H53" i="4"/>
  <c r="G53" i="4"/>
  <c r="F54" i="4" s="1"/>
  <c r="J52" i="3"/>
  <c r="H53" i="3"/>
  <c r="G53" i="3"/>
  <c r="F54" i="3"/>
  <c r="J52" i="2"/>
  <c r="G53" i="2"/>
  <c r="F54" i="2" s="1"/>
  <c r="H53" i="2"/>
  <c r="J41" i="1"/>
  <c r="H42" i="1"/>
  <c r="G42" i="1"/>
  <c r="F43" i="1" s="1"/>
  <c r="G54" i="4" l="1"/>
  <c r="J53" i="4"/>
  <c r="H54" i="4"/>
  <c r="F55" i="4" s="1"/>
  <c r="G54" i="3"/>
  <c r="J53" i="3"/>
  <c r="H54" i="3"/>
  <c r="F55" i="3" s="1"/>
  <c r="G54" i="2"/>
  <c r="J53" i="2"/>
  <c r="H54" i="2"/>
  <c r="F55" i="2" s="1"/>
  <c r="J42" i="1"/>
  <c r="H43" i="1"/>
  <c r="G43" i="1"/>
  <c r="J54" i="4" l="1"/>
  <c r="G55" i="4"/>
  <c r="F56" i="4" s="1"/>
  <c r="H55" i="4"/>
  <c r="J54" i="3"/>
  <c r="G55" i="3"/>
  <c r="F56" i="3" s="1"/>
  <c r="H55" i="3"/>
  <c r="J54" i="2"/>
  <c r="G55" i="2"/>
  <c r="F56" i="2" s="1"/>
  <c r="H55" i="2"/>
  <c r="F44" i="1"/>
  <c r="J43" i="1"/>
  <c r="H44" i="1"/>
  <c r="G44" i="1"/>
  <c r="G56" i="4" l="1"/>
  <c r="J55" i="4"/>
  <c r="H56" i="4"/>
  <c r="F57" i="4" s="1"/>
  <c r="G56" i="3"/>
  <c r="J55" i="3"/>
  <c r="H56" i="3"/>
  <c r="F57" i="3" s="1"/>
  <c r="G56" i="2"/>
  <c r="F57" i="2" s="1"/>
  <c r="J55" i="2"/>
  <c r="H56" i="2"/>
  <c r="F45" i="1"/>
  <c r="J44" i="1"/>
  <c r="H45" i="1"/>
  <c r="G45" i="1"/>
  <c r="F46" i="1" s="1"/>
  <c r="G57" i="4" l="1"/>
  <c r="J56" i="4"/>
  <c r="H57" i="4"/>
  <c r="F58" i="4" s="1"/>
  <c r="G57" i="3"/>
  <c r="J56" i="3"/>
  <c r="H57" i="3"/>
  <c r="F58" i="3" s="1"/>
  <c r="G57" i="2"/>
  <c r="J56" i="2"/>
  <c r="H57" i="2"/>
  <c r="F58" i="2" s="1"/>
  <c r="J45" i="1"/>
  <c r="H46" i="1"/>
  <c r="G46" i="1"/>
  <c r="F47" i="1" s="1"/>
  <c r="J57" i="4" l="1"/>
  <c r="H58" i="4"/>
  <c r="G58" i="4"/>
  <c r="F59" i="4" s="1"/>
  <c r="J57" i="3"/>
  <c r="H58" i="3"/>
  <c r="G58" i="3"/>
  <c r="F59" i="3" s="1"/>
  <c r="G58" i="2"/>
  <c r="J57" i="2"/>
  <c r="H58" i="2"/>
  <c r="F59" i="2" s="1"/>
  <c r="J46" i="1"/>
  <c r="G47" i="1"/>
  <c r="H47" i="1"/>
  <c r="G59" i="4" l="1"/>
  <c r="J58" i="4"/>
  <c r="H59" i="4"/>
  <c r="F60" i="4" s="1"/>
  <c r="H59" i="3"/>
  <c r="J58" i="3"/>
  <c r="G59" i="3"/>
  <c r="F60" i="3" s="1"/>
  <c r="H59" i="2"/>
  <c r="G59" i="2"/>
  <c r="F60" i="2" s="1"/>
  <c r="J58" i="2"/>
  <c r="F48" i="1"/>
  <c r="J47" i="1"/>
  <c r="G48" i="1"/>
  <c r="H48" i="1"/>
  <c r="J59" i="4" l="1"/>
  <c r="D132" i="4"/>
  <c r="G60" i="4"/>
  <c r="F61" i="4" s="1"/>
  <c r="H60" i="4"/>
  <c r="J59" i="3"/>
  <c r="D132" i="3"/>
  <c r="G60" i="3"/>
  <c r="F61" i="3" s="1"/>
  <c r="H60" i="3"/>
  <c r="J59" i="2"/>
  <c r="H60" i="2"/>
  <c r="G60" i="2"/>
  <c r="F61" i="2" s="1"/>
  <c r="D132" i="2"/>
  <c r="F49" i="1"/>
  <c r="E132" i="4"/>
  <c r="E132" i="2"/>
  <c r="E132" i="3"/>
  <c r="G61" i="4" l="1"/>
  <c r="J60" i="4"/>
  <c r="H61" i="4"/>
  <c r="F62" i="4" s="1"/>
  <c r="F132" i="4"/>
  <c r="G61" i="3"/>
  <c r="J60" i="3"/>
  <c r="F62" i="3"/>
  <c r="H61" i="3"/>
  <c r="F132" i="3"/>
  <c r="G61" i="2"/>
  <c r="F62" i="2" s="1"/>
  <c r="J60" i="2"/>
  <c r="H61" i="2"/>
  <c r="F132" i="2"/>
  <c r="J48" i="1"/>
  <c r="G49" i="1"/>
  <c r="H49" i="1"/>
  <c r="G62" i="4" l="1"/>
  <c r="F63" i="4" s="1"/>
  <c r="J61" i="4"/>
  <c r="H62" i="4"/>
  <c r="G62" i="3"/>
  <c r="F63" i="3" s="1"/>
  <c r="J61" i="3"/>
  <c r="H62" i="3"/>
  <c r="G62" i="2"/>
  <c r="F63" i="2" s="1"/>
  <c r="J61" i="2"/>
  <c r="H62" i="2"/>
  <c r="F50" i="1"/>
  <c r="J49" i="1"/>
  <c r="H50" i="1"/>
  <c r="G50" i="1"/>
  <c r="J62" i="4" l="1"/>
  <c r="H63" i="4"/>
  <c r="G63" i="4"/>
  <c r="F64" i="4" s="1"/>
  <c r="J62" i="3"/>
  <c r="G63" i="3"/>
  <c r="F64" i="3" s="1"/>
  <c r="H63" i="3"/>
  <c r="H63" i="2"/>
  <c r="G63" i="2"/>
  <c r="F64" i="2" s="1"/>
  <c r="J62" i="2"/>
  <c r="F51" i="1"/>
  <c r="J50" i="1"/>
  <c r="H51" i="1"/>
  <c r="G51" i="1"/>
  <c r="F52" i="1" s="1"/>
  <c r="G64" i="4" l="1"/>
  <c r="F65" i="4" s="1"/>
  <c r="J63" i="4"/>
  <c r="H64" i="4"/>
  <c r="G64" i="3"/>
  <c r="H64" i="3"/>
  <c r="F65" i="3" s="1"/>
  <c r="J63" i="3"/>
  <c r="H64" i="2"/>
  <c r="G64" i="2"/>
  <c r="F65" i="2" s="1"/>
  <c r="J63" i="2"/>
  <c r="J51" i="1"/>
  <c r="H52" i="1"/>
  <c r="G52" i="1"/>
  <c r="F53" i="1" s="1"/>
  <c r="J64" i="4" l="1"/>
  <c r="H65" i="4"/>
  <c r="G65" i="4"/>
  <c r="F66" i="4" s="1"/>
  <c r="J64" i="3"/>
  <c r="G65" i="3"/>
  <c r="F66" i="3" s="1"/>
  <c r="H65" i="3"/>
  <c r="J64" i="2"/>
  <c r="G65" i="2"/>
  <c r="F66" i="2" s="1"/>
  <c r="H65" i="2"/>
  <c r="J52" i="1"/>
  <c r="G53" i="1"/>
  <c r="H53" i="1"/>
  <c r="G66" i="4" l="1"/>
  <c r="J65" i="4"/>
  <c r="H66" i="4"/>
  <c r="F67" i="4" s="1"/>
  <c r="G66" i="3"/>
  <c r="J65" i="3"/>
  <c r="H66" i="3"/>
  <c r="F67" i="3" s="1"/>
  <c r="G66" i="2"/>
  <c r="F67" i="2" s="1"/>
  <c r="J65" i="2"/>
  <c r="H66" i="2"/>
  <c r="F54" i="1"/>
  <c r="J53" i="1"/>
  <c r="H54" i="1"/>
  <c r="G54" i="1"/>
  <c r="F55" i="1" s="1"/>
  <c r="J66" i="4" l="1"/>
  <c r="G67" i="4"/>
  <c r="F68" i="4" s="1"/>
  <c r="H67" i="4"/>
  <c r="J66" i="3"/>
  <c r="G67" i="3"/>
  <c r="F68" i="3" s="1"/>
  <c r="H67" i="3"/>
  <c r="J66" i="2"/>
  <c r="G67" i="2"/>
  <c r="F68" i="2" s="1"/>
  <c r="H67" i="2"/>
  <c r="J54" i="1"/>
  <c r="G55" i="1"/>
  <c r="H55" i="1"/>
  <c r="G68" i="4" l="1"/>
  <c r="J67" i="4"/>
  <c r="F69" i="4"/>
  <c r="H68" i="4"/>
  <c r="G68" i="3"/>
  <c r="J67" i="3"/>
  <c r="H68" i="3"/>
  <c r="F69" i="3" s="1"/>
  <c r="G68" i="2"/>
  <c r="J67" i="2"/>
  <c r="H68" i="2"/>
  <c r="F69" i="2" s="1"/>
  <c r="F56" i="1"/>
  <c r="D133" i="4" l="1"/>
  <c r="G69" i="4"/>
  <c r="F70" i="4" s="1"/>
  <c r="H69" i="4"/>
  <c r="J68" i="4"/>
  <c r="D133" i="3"/>
  <c r="G69" i="3"/>
  <c r="J68" i="3"/>
  <c r="F70" i="3"/>
  <c r="H69" i="3"/>
  <c r="D133" i="2"/>
  <c r="G69" i="2"/>
  <c r="J68" i="2"/>
  <c r="H69" i="2"/>
  <c r="F70" i="2" s="1"/>
  <c r="J55" i="1"/>
  <c r="G56" i="1"/>
  <c r="H56" i="1"/>
  <c r="E133" i="4"/>
  <c r="E133" i="3"/>
  <c r="E133" i="2"/>
  <c r="J69" i="4" l="1"/>
  <c r="H70" i="4"/>
  <c r="G70" i="4"/>
  <c r="F71" i="4" s="1"/>
  <c r="F133" i="4"/>
  <c r="H70" i="3"/>
  <c r="G70" i="3"/>
  <c r="F71" i="3" s="1"/>
  <c r="J69" i="3"/>
  <c r="F133" i="3"/>
  <c r="G70" i="2"/>
  <c r="H70" i="2"/>
  <c r="J69" i="2"/>
  <c r="F71" i="2"/>
  <c r="F133" i="2"/>
  <c r="F57" i="1"/>
  <c r="G71" i="4" l="1"/>
  <c r="J70" i="4"/>
  <c r="F72" i="4"/>
  <c r="H71" i="4"/>
  <c r="H71" i="3"/>
  <c r="J70" i="3"/>
  <c r="G71" i="3"/>
  <c r="F72" i="3" s="1"/>
  <c r="H71" i="2"/>
  <c r="J70" i="2"/>
  <c r="G71" i="2"/>
  <c r="F72" i="2" s="1"/>
  <c r="J56" i="1"/>
  <c r="H57" i="1"/>
  <c r="G57" i="1"/>
  <c r="F58" i="1" s="1"/>
  <c r="J71" i="4" l="1"/>
  <c r="G72" i="4"/>
  <c r="F73" i="4" s="1"/>
  <c r="H72" i="4"/>
  <c r="J71" i="3"/>
  <c r="G72" i="3"/>
  <c r="F73" i="3" s="1"/>
  <c r="H72" i="3"/>
  <c r="J71" i="2"/>
  <c r="H72" i="2"/>
  <c r="G72" i="2"/>
  <c r="F73" i="2" s="1"/>
  <c r="J57" i="1"/>
  <c r="H58" i="1"/>
  <c r="G58" i="1"/>
  <c r="F59" i="1" s="1"/>
  <c r="G73" i="4" l="1"/>
  <c r="J72" i="4"/>
  <c r="H73" i="4"/>
  <c r="F74" i="4" s="1"/>
  <c r="G73" i="3"/>
  <c r="J72" i="3"/>
  <c r="H73" i="3"/>
  <c r="F74" i="3" s="1"/>
  <c r="G73" i="2"/>
  <c r="J72" i="2"/>
  <c r="H73" i="2"/>
  <c r="F74" i="2" s="1"/>
  <c r="J58" i="1"/>
  <c r="G59" i="1"/>
  <c r="H59" i="1"/>
  <c r="F60" i="1" s="1"/>
  <c r="G74" i="4" l="1"/>
  <c r="F75" i="4" s="1"/>
  <c r="J73" i="4"/>
  <c r="H74" i="4"/>
  <c r="G74" i="3"/>
  <c r="F75" i="3" s="1"/>
  <c r="J73" i="3"/>
  <c r="H74" i="3"/>
  <c r="G74" i="2"/>
  <c r="F75" i="2" s="1"/>
  <c r="J73" i="2"/>
  <c r="H74" i="2"/>
  <c r="J59" i="1"/>
  <c r="H60" i="1"/>
  <c r="G60" i="1"/>
  <c r="F61" i="1" s="1"/>
  <c r="G75" i="4" l="1"/>
  <c r="F76" i="4" s="1"/>
  <c r="H75" i="4"/>
  <c r="J74" i="4"/>
  <c r="J74" i="3"/>
  <c r="H75" i="3"/>
  <c r="G75" i="3"/>
  <c r="F76" i="3" s="1"/>
  <c r="H75" i="2"/>
  <c r="G75" i="2"/>
  <c r="F76" i="2" s="1"/>
  <c r="J74" i="2"/>
  <c r="J60" i="1"/>
  <c r="H61" i="1"/>
  <c r="G61" i="1"/>
  <c r="F62" i="1" s="1"/>
  <c r="J75" i="4" l="1"/>
  <c r="G76" i="4"/>
  <c r="F77" i="4" s="1"/>
  <c r="H76" i="4"/>
  <c r="G76" i="3"/>
  <c r="H76" i="3"/>
  <c r="F77" i="3"/>
  <c r="J75" i="3"/>
  <c r="H76" i="2"/>
  <c r="G76" i="2"/>
  <c r="F77" i="2" s="1"/>
  <c r="J75" i="2"/>
  <c r="J61" i="1"/>
  <c r="H62" i="1"/>
  <c r="G62" i="1"/>
  <c r="F63" i="1" s="1"/>
  <c r="J76" i="4" l="1"/>
  <c r="H77" i="4"/>
  <c r="G77" i="4"/>
  <c r="F78" i="4" s="1"/>
  <c r="J76" i="3"/>
  <c r="G77" i="3"/>
  <c r="F78" i="3" s="1"/>
  <c r="H77" i="3"/>
  <c r="J76" i="2"/>
  <c r="H77" i="2"/>
  <c r="G77" i="2"/>
  <c r="F78" i="2"/>
  <c r="J62" i="1"/>
  <c r="H63" i="1"/>
  <c r="G63" i="1"/>
  <c r="F64" i="1" s="1"/>
  <c r="G78" i="4" l="1"/>
  <c r="J77" i="4"/>
  <c r="H78" i="4"/>
  <c r="F79" i="4" s="1"/>
  <c r="G78" i="3"/>
  <c r="J77" i="3"/>
  <c r="H78" i="3"/>
  <c r="F79" i="3" s="1"/>
  <c r="G78" i="2"/>
  <c r="J77" i="2"/>
  <c r="H78" i="2"/>
  <c r="F79" i="2" s="1"/>
  <c r="J63" i="1"/>
  <c r="G64" i="1"/>
  <c r="H64" i="1"/>
  <c r="F65" i="1" s="1"/>
  <c r="J78" i="4" l="1"/>
  <c r="D134" i="4"/>
  <c r="G79" i="4"/>
  <c r="F80" i="4" s="1"/>
  <c r="H79" i="4"/>
  <c r="J78" i="3"/>
  <c r="D134" i="3"/>
  <c r="G79" i="3"/>
  <c r="F80" i="3" s="1"/>
  <c r="H79" i="3"/>
  <c r="J78" i="2"/>
  <c r="D134" i="2"/>
  <c r="G79" i="2"/>
  <c r="F80" i="2" s="1"/>
  <c r="H79" i="2"/>
  <c r="J64" i="1"/>
  <c r="G65" i="1"/>
  <c r="H65" i="1"/>
  <c r="F66" i="1" s="1"/>
  <c r="E134" i="4"/>
  <c r="E134" i="3"/>
  <c r="E134" i="2"/>
  <c r="G80" i="4" l="1"/>
  <c r="J79" i="4"/>
  <c r="H80" i="4"/>
  <c r="F81" i="4" s="1"/>
  <c r="F134" i="4"/>
  <c r="G80" i="3"/>
  <c r="J79" i="3"/>
  <c r="H80" i="3"/>
  <c r="F81" i="3" s="1"/>
  <c r="F134" i="3"/>
  <c r="G80" i="2"/>
  <c r="J79" i="2"/>
  <c r="H80" i="2"/>
  <c r="F81" i="2" s="1"/>
  <c r="F134" i="2"/>
  <c r="J65" i="1"/>
  <c r="G66" i="1"/>
  <c r="H66" i="1"/>
  <c r="G81" i="4" l="1"/>
  <c r="J80" i="4"/>
  <c r="H81" i="4"/>
  <c r="F82" i="4" s="1"/>
  <c r="G81" i="3"/>
  <c r="F82" i="3"/>
  <c r="J80" i="3"/>
  <c r="H81" i="3"/>
  <c r="G81" i="2"/>
  <c r="J80" i="2"/>
  <c r="H81" i="2"/>
  <c r="F82" i="2" s="1"/>
  <c r="F67" i="1"/>
  <c r="J66" i="1"/>
  <c r="H67" i="1"/>
  <c r="G67" i="1"/>
  <c r="F68" i="1" s="1"/>
  <c r="J81" i="4" l="1"/>
  <c r="H82" i="4"/>
  <c r="G82" i="4"/>
  <c r="F83" i="4" s="1"/>
  <c r="G82" i="3"/>
  <c r="F83" i="3" s="1"/>
  <c r="H82" i="3"/>
  <c r="J81" i="3"/>
  <c r="G82" i="2"/>
  <c r="H82" i="2"/>
  <c r="F83" i="2" s="1"/>
  <c r="J81" i="2"/>
  <c r="J67" i="1"/>
  <c r="H68" i="1"/>
  <c r="G68" i="1"/>
  <c r="F69" i="1" s="1"/>
  <c r="G83" i="4" l="1"/>
  <c r="H83" i="4"/>
  <c r="J82" i="4"/>
  <c r="F84" i="4"/>
  <c r="H83" i="3"/>
  <c r="G83" i="3"/>
  <c r="F84" i="3" s="1"/>
  <c r="J82" i="3"/>
  <c r="H83" i="2"/>
  <c r="G83" i="2"/>
  <c r="J82" i="2"/>
  <c r="F84" i="2"/>
  <c r="J68" i="1"/>
  <c r="H69" i="1"/>
  <c r="G69" i="1"/>
  <c r="J83" i="4" l="1"/>
  <c r="G84" i="4"/>
  <c r="F85" i="4" s="1"/>
  <c r="H84" i="4"/>
  <c r="J83" i="3"/>
  <c r="F85" i="3"/>
  <c r="G84" i="3"/>
  <c r="H84" i="3"/>
  <c r="J83" i="2"/>
  <c r="H84" i="2"/>
  <c r="G84" i="2"/>
  <c r="F85" i="2" s="1"/>
  <c r="F70" i="1"/>
  <c r="G85" i="4" l="1"/>
  <c r="J84" i="4"/>
  <c r="H85" i="4"/>
  <c r="F86" i="4" s="1"/>
  <c r="G85" i="3"/>
  <c r="J84" i="3"/>
  <c r="H85" i="3"/>
  <c r="F86" i="3" s="1"/>
  <c r="G85" i="2"/>
  <c r="J84" i="2"/>
  <c r="H85" i="2"/>
  <c r="F86" i="2" s="1"/>
  <c r="J69" i="1"/>
  <c r="G70" i="1"/>
  <c r="H70" i="1"/>
  <c r="G86" i="4" l="1"/>
  <c r="F87" i="4" s="1"/>
  <c r="J85" i="4"/>
  <c r="H86" i="4"/>
  <c r="G86" i="3"/>
  <c r="F87" i="3" s="1"/>
  <c r="J85" i="3"/>
  <c r="H86" i="3"/>
  <c r="G86" i="2"/>
  <c r="F87" i="2" s="1"/>
  <c r="J85" i="2"/>
  <c r="H86" i="2"/>
  <c r="F71" i="1"/>
  <c r="J70" i="1"/>
  <c r="G71" i="1"/>
  <c r="H71" i="1"/>
  <c r="J86" i="4" l="1"/>
  <c r="H87" i="4"/>
  <c r="G87" i="4"/>
  <c r="F88" i="4" s="1"/>
  <c r="J86" i="3"/>
  <c r="H87" i="3"/>
  <c r="G87" i="3"/>
  <c r="F88" i="3" s="1"/>
  <c r="H87" i="2"/>
  <c r="G87" i="2"/>
  <c r="F88" i="2" s="1"/>
  <c r="J86" i="2"/>
  <c r="F72" i="1"/>
  <c r="G88" i="4" l="1"/>
  <c r="F89" i="4" s="1"/>
  <c r="J87" i="4"/>
  <c r="H88" i="4"/>
  <c r="G88" i="3"/>
  <c r="H88" i="3"/>
  <c r="J87" i="3"/>
  <c r="F89" i="3"/>
  <c r="J87" i="2"/>
  <c r="H88" i="2"/>
  <c r="G88" i="2"/>
  <c r="F89" i="2" s="1"/>
  <c r="J71" i="1"/>
  <c r="G72" i="1"/>
  <c r="H72" i="1"/>
  <c r="J88" i="4" l="1"/>
  <c r="G89" i="4"/>
  <c r="F90" i="4" s="1"/>
  <c r="H89" i="4"/>
  <c r="J88" i="3"/>
  <c r="G89" i="3"/>
  <c r="F90" i="3" s="1"/>
  <c r="H89" i="3"/>
  <c r="J88" i="2"/>
  <c r="H89" i="2"/>
  <c r="G89" i="2"/>
  <c r="F90" i="2" s="1"/>
  <c r="F73" i="1"/>
  <c r="G90" i="4" l="1"/>
  <c r="J89" i="4"/>
  <c r="H90" i="4"/>
  <c r="F91" i="4" s="1"/>
  <c r="G90" i="3"/>
  <c r="J89" i="3"/>
  <c r="H90" i="3"/>
  <c r="F91" i="3" s="1"/>
  <c r="G90" i="2"/>
  <c r="J89" i="2"/>
  <c r="H90" i="2"/>
  <c r="F91" i="2" s="1"/>
  <c r="J72" i="1"/>
  <c r="H73" i="1"/>
  <c r="G73" i="1"/>
  <c r="F74" i="1" s="1"/>
  <c r="J90" i="4" l="1"/>
  <c r="G91" i="4"/>
  <c r="F92" i="4" s="1"/>
  <c r="H91" i="4"/>
  <c r="J90" i="3"/>
  <c r="G91" i="3"/>
  <c r="F92" i="3" s="1"/>
  <c r="H91" i="3"/>
  <c r="J90" i="2"/>
  <c r="G91" i="2"/>
  <c r="F92" i="2" s="1"/>
  <c r="H91" i="2"/>
  <c r="J73" i="1"/>
  <c r="H74" i="1"/>
  <c r="G74" i="1"/>
  <c r="G92" i="4" l="1"/>
  <c r="J91" i="4"/>
  <c r="H92" i="4"/>
  <c r="F93" i="4" s="1"/>
  <c r="G92" i="3"/>
  <c r="J91" i="3"/>
  <c r="H92" i="3"/>
  <c r="F93" i="3" s="1"/>
  <c r="G92" i="2"/>
  <c r="J91" i="2"/>
  <c r="H92" i="2"/>
  <c r="F93" i="2" s="1"/>
  <c r="F75" i="1"/>
  <c r="J74" i="1"/>
  <c r="G75" i="1"/>
  <c r="H75" i="1"/>
  <c r="F76" i="1" s="1"/>
  <c r="G93" i="4" l="1"/>
  <c r="H93" i="4"/>
  <c r="F94" i="4"/>
  <c r="J92" i="4"/>
  <c r="G93" i="3"/>
  <c r="J92" i="3"/>
  <c r="H93" i="3"/>
  <c r="F94" i="3" s="1"/>
  <c r="G93" i="2"/>
  <c r="J92" i="2"/>
  <c r="H93" i="2"/>
  <c r="F94" i="2" s="1"/>
  <c r="J75" i="1"/>
  <c r="H76" i="1"/>
  <c r="G76" i="1"/>
  <c r="F77" i="1"/>
  <c r="J93" i="4" l="1"/>
  <c r="H94" i="4"/>
  <c r="G94" i="4"/>
  <c r="F95" i="4"/>
  <c r="H94" i="3"/>
  <c r="J93" i="3"/>
  <c r="G94" i="3"/>
  <c r="F95" i="3" s="1"/>
  <c r="G94" i="2"/>
  <c r="F95" i="2" s="1"/>
  <c r="J93" i="2"/>
  <c r="H94" i="2"/>
  <c r="J76" i="1"/>
  <c r="G77" i="1"/>
  <c r="H77" i="1"/>
  <c r="F78" i="1" s="1"/>
  <c r="G95" i="4" l="1"/>
  <c r="J94" i="4"/>
  <c r="H95" i="4"/>
  <c r="F96" i="4" s="1"/>
  <c r="H95" i="3"/>
  <c r="J94" i="3"/>
  <c r="G95" i="3"/>
  <c r="F96" i="3" s="1"/>
  <c r="H95" i="2"/>
  <c r="G95" i="2"/>
  <c r="F96" i="2" s="1"/>
  <c r="J94" i="2"/>
  <c r="J77" i="1"/>
  <c r="G78" i="1"/>
  <c r="H78" i="1"/>
  <c r="J95" i="4" l="1"/>
  <c r="G96" i="4"/>
  <c r="F97" i="4" s="1"/>
  <c r="H96" i="4"/>
  <c r="J95" i="3"/>
  <c r="G96" i="3"/>
  <c r="F97" i="3" s="1"/>
  <c r="H96" i="3"/>
  <c r="J95" i="2"/>
  <c r="H96" i="2"/>
  <c r="G96" i="2"/>
  <c r="F97" i="2" s="1"/>
  <c r="F79" i="1"/>
  <c r="G97" i="4" l="1"/>
  <c r="J96" i="4"/>
  <c r="F98" i="4"/>
  <c r="H97" i="4"/>
  <c r="G97" i="3"/>
  <c r="J96" i="3"/>
  <c r="H97" i="3"/>
  <c r="F98" i="3" s="1"/>
  <c r="G97" i="2"/>
  <c r="J96" i="2"/>
  <c r="H97" i="2"/>
  <c r="F98" i="2" s="1"/>
  <c r="J78" i="1"/>
  <c r="H79" i="1"/>
  <c r="G79" i="1"/>
  <c r="F80" i="1" s="1"/>
  <c r="G98" i="4" l="1"/>
  <c r="F99" i="4" s="1"/>
  <c r="J97" i="4"/>
  <c r="H98" i="4"/>
  <c r="G98" i="3"/>
  <c r="F99" i="3" s="1"/>
  <c r="J97" i="3"/>
  <c r="H98" i="3"/>
  <c r="G98" i="2"/>
  <c r="F99" i="2" s="1"/>
  <c r="J97" i="2"/>
  <c r="H98" i="2"/>
  <c r="J79" i="1"/>
  <c r="H80" i="1"/>
  <c r="G80" i="1"/>
  <c r="H99" i="4" l="1"/>
  <c r="G99" i="4"/>
  <c r="F100" i="4" s="1"/>
  <c r="J98" i="4"/>
  <c r="J98" i="3"/>
  <c r="H99" i="3"/>
  <c r="G99" i="3"/>
  <c r="F100" i="3" s="1"/>
  <c r="H99" i="2"/>
  <c r="G99" i="2"/>
  <c r="F100" i="2" s="1"/>
  <c r="J98" i="2"/>
  <c r="F81" i="1"/>
  <c r="H100" i="4" l="1"/>
  <c r="J99" i="4"/>
  <c r="G100" i="4"/>
  <c r="F101" i="4" s="1"/>
  <c r="G100" i="3"/>
  <c r="J99" i="3"/>
  <c r="H100" i="3"/>
  <c r="F101" i="3" s="1"/>
  <c r="H100" i="2"/>
  <c r="G100" i="2"/>
  <c r="F101" i="2" s="1"/>
  <c r="J99" i="2"/>
  <c r="J80" i="1"/>
  <c r="H81" i="1"/>
  <c r="G81" i="1"/>
  <c r="F82" i="1" s="1"/>
  <c r="J100" i="4" l="1"/>
  <c r="H101" i="4"/>
  <c r="G101" i="4"/>
  <c r="F102" i="4" s="1"/>
  <c r="J100" i="3"/>
  <c r="G101" i="3"/>
  <c r="H101" i="3"/>
  <c r="F102" i="3" s="1"/>
  <c r="J100" i="2"/>
  <c r="H101" i="2"/>
  <c r="F102" i="2" s="1"/>
  <c r="G101" i="2"/>
  <c r="J81" i="1"/>
  <c r="G82" i="1"/>
  <c r="H82" i="1"/>
  <c r="G102" i="4" l="1"/>
  <c r="J101" i="4"/>
  <c r="H102" i="4"/>
  <c r="F103" i="4" s="1"/>
  <c r="G102" i="3"/>
  <c r="J101" i="3"/>
  <c r="H102" i="3"/>
  <c r="F103" i="3" s="1"/>
  <c r="G102" i="2"/>
  <c r="J101" i="2"/>
  <c r="H102" i="2"/>
  <c r="F103" i="2" s="1"/>
  <c r="F83" i="1"/>
  <c r="J82" i="1"/>
  <c r="H83" i="1"/>
  <c r="G83" i="1"/>
  <c r="J102" i="4" l="1"/>
  <c r="G103" i="4"/>
  <c r="F104" i="4" s="1"/>
  <c r="H103" i="4"/>
  <c r="J102" i="3"/>
  <c r="G103" i="3"/>
  <c r="F104" i="3" s="1"/>
  <c r="H103" i="3"/>
  <c r="J102" i="2"/>
  <c r="G103" i="2"/>
  <c r="F104" i="2" s="1"/>
  <c r="H103" i="2"/>
  <c r="F84" i="1"/>
  <c r="G104" i="4" l="1"/>
  <c r="J103" i="4"/>
  <c r="H104" i="4"/>
  <c r="F105" i="4" s="1"/>
  <c r="G104" i="3"/>
  <c r="J103" i="3"/>
  <c r="H104" i="3"/>
  <c r="F105" i="3" s="1"/>
  <c r="G104" i="2"/>
  <c r="J103" i="2"/>
  <c r="H104" i="2"/>
  <c r="F105" i="2" s="1"/>
  <c r="J83" i="1"/>
  <c r="G84" i="1"/>
  <c r="H84" i="1"/>
  <c r="G105" i="4" l="1"/>
  <c r="H105" i="4"/>
  <c r="J104" i="4"/>
  <c r="F106" i="4"/>
  <c r="G105" i="3"/>
  <c r="J104" i="3"/>
  <c r="H105" i="3"/>
  <c r="F106" i="3" s="1"/>
  <c r="G105" i="2"/>
  <c r="J104" i="2"/>
  <c r="H105" i="2"/>
  <c r="F106" i="2" s="1"/>
  <c r="F85" i="1"/>
  <c r="J105" i="4" l="1"/>
  <c r="H106" i="4"/>
  <c r="G106" i="4"/>
  <c r="F107" i="4" s="1"/>
  <c r="J105" i="3"/>
  <c r="H106" i="3"/>
  <c r="G106" i="3"/>
  <c r="F107" i="3" s="1"/>
  <c r="G106" i="2"/>
  <c r="H106" i="2"/>
  <c r="J105" i="2"/>
  <c r="F107" i="2"/>
  <c r="J84" i="1"/>
  <c r="H85" i="1"/>
  <c r="G85" i="1"/>
  <c r="F86" i="1" s="1"/>
  <c r="G107" i="4" l="1"/>
  <c r="J106" i="4"/>
  <c r="H107" i="4"/>
  <c r="F108" i="4" s="1"/>
  <c r="H107" i="3"/>
  <c r="G107" i="3"/>
  <c r="F108" i="3" s="1"/>
  <c r="J106" i="3"/>
  <c r="H107" i="2"/>
  <c r="J106" i="2"/>
  <c r="G107" i="2"/>
  <c r="F108" i="2" s="1"/>
  <c r="J85" i="1"/>
  <c r="H86" i="1"/>
  <c r="G86" i="1"/>
  <c r="J107" i="4" l="1"/>
  <c r="G108" i="4"/>
  <c r="F109" i="4" s="1"/>
  <c r="H108" i="4"/>
  <c r="J107" i="3"/>
  <c r="G108" i="3"/>
  <c r="F109" i="3" s="1"/>
  <c r="H108" i="3"/>
  <c r="J107" i="2"/>
  <c r="H108" i="2"/>
  <c r="G108" i="2"/>
  <c r="F109" i="2" s="1"/>
  <c r="F87" i="1"/>
  <c r="J86" i="1"/>
  <c r="G87" i="1"/>
  <c r="H87" i="1"/>
  <c r="F88" i="1" s="1"/>
  <c r="G109" i="4" l="1"/>
  <c r="J108" i="4"/>
  <c r="H109" i="4"/>
  <c r="F110" i="4" s="1"/>
  <c r="G109" i="3"/>
  <c r="J108" i="3"/>
  <c r="H109" i="3"/>
  <c r="F110" i="3" s="1"/>
  <c r="G109" i="2"/>
  <c r="J108" i="2"/>
  <c r="H109" i="2"/>
  <c r="F110" i="2" s="1"/>
  <c r="J87" i="1"/>
  <c r="H88" i="1"/>
  <c r="G88" i="1"/>
  <c r="F89" i="1" s="1"/>
  <c r="G110" i="4" l="1"/>
  <c r="F111" i="4" s="1"/>
  <c r="J109" i="4"/>
  <c r="H110" i="4"/>
  <c r="G110" i="3"/>
  <c r="F111" i="3" s="1"/>
  <c r="J109" i="3"/>
  <c r="H110" i="3"/>
  <c r="G110" i="2"/>
  <c r="F111" i="2" s="1"/>
  <c r="J109" i="2"/>
  <c r="H110" i="2"/>
  <c r="J88" i="1"/>
  <c r="G89" i="1"/>
  <c r="H89" i="1"/>
  <c r="F90" i="1" s="1"/>
  <c r="J110" i="4" l="1"/>
  <c r="H111" i="4"/>
  <c r="G111" i="4"/>
  <c r="F112" i="4" s="1"/>
  <c r="J110" i="3"/>
  <c r="H111" i="3"/>
  <c r="G111" i="3"/>
  <c r="F112" i="3" s="1"/>
  <c r="H111" i="2"/>
  <c r="G111" i="2"/>
  <c r="F112" i="2" s="1"/>
  <c r="J110" i="2"/>
  <c r="J89" i="1"/>
  <c r="G90" i="1"/>
  <c r="H90" i="1"/>
  <c r="H112" i="4" l="1"/>
  <c r="G112" i="4"/>
  <c r="F113" i="4" s="1"/>
  <c r="J111" i="4"/>
  <c r="G112" i="3"/>
  <c r="J111" i="3"/>
  <c r="H112" i="3"/>
  <c r="F113" i="3" s="1"/>
  <c r="G112" i="2"/>
  <c r="F113" i="2" s="1"/>
  <c r="J111" i="2"/>
  <c r="H112" i="2"/>
  <c r="F91" i="1"/>
  <c r="J112" i="4" l="1"/>
  <c r="H113" i="4"/>
  <c r="G113" i="4"/>
  <c r="F114" i="4" s="1"/>
  <c r="J112" i="3"/>
  <c r="H113" i="3"/>
  <c r="G113" i="3"/>
  <c r="F114" i="3" s="1"/>
  <c r="J112" i="2"/>
  <c r="H113" i="2"/>
  <c r="G113" i="2"/>
  <c r="F114" i="2" s="1"/>
  <c r="J90" i="1"/>
  <c r="H91" i="1"/>
  <c r="G91" i="1"/>
  <c r="G114" i="4" l="1"/>
  <c r="J113" i="4"/>
  <c r="H114" i="4"/>
  <c r="F115" i="4" s="1"/>
  <c r="G114" i="3"/>
  <c r="J113" i="3"/>
  <c r="H114" i="3"/>
  <c r="F115" i="3" s="1"/>
  <c r="G114" i="2"/>
  <c r="J113" i="2"/>
  <c r="H114" i="2"/>
  <c r="F115" i="2" s="1"/>
  <c r="F92" i="1"/>
  <c r="J91" i="1"/>
  <c r="H92" i="1"/>
  <c r="G92" i="1"/>
  <c r="F93" i="1" s="1"/>
  <c r="J114" i="4" l="1"/>
  <c r="G115" i="4"/>
  <c r="F116" i="4" s="1"/>
  <c r="H115" i="4"/>
  <c r="J114" i="3"/>
  <c r="G115" i="3"/>
  <c r="F116" i="3" s="1"/>
  <c r="H115" i="3"/>
  <c r="J114" i="2"/>
  <c r="G115" i="2"/>
  <c r="F116" i="2" s="1"/>
  <c r="H115" i="2"/>
  <c r="J92" i="1"/>
  <c r="G93" i="1"/>
  <c r="H93" i="1"/>
  <c r="F94" i="1" s="1"/>
  <c r="G116" i="4" l="1"/>
  <c r="J115" i="4"/>
  <c r="H116" i="4"/>
  <c r="F117" i="4" s="1"/>
  <c r="G116" i="3"/>
  <c r="J115" i="3"/>
  <c r="H116" i="3"/>
  <c r="F117" i="3" s="1"/>
  <c r="G116" i="2"/>
  <c r="J115" i="2"/>
  <c r="H116" i="2"/>
  <c r="F117" i="2" s="1"/>
  <c r="J93" i="1"/>
  <c r="H94" i="1"/>
  <c r="G94" i="1"/>
  <c r="F95" i="1" s="1"/>
  <c r="G117" i="4" l="1"/>
  <c r="H117" i="4"/>
  <c r="F118" i="4"/>
  <c r="J116" i="4"/>
  <c r="G117" i="3"/>
  <c r="J116" i="3"/>
  <c r="H117" i="3"/>
  <c r="F118" i="3" s="1"/>
  <c r="G117" i="2"/>
  <c r="J116" i="2"/>
  <c r="H117" i="2"/>
  <c r="F118" i="2" s="1"/>
  <c r="J94" i="1"/>
  <c r="G95" i="1"/>
  <c r="H95" i="1"/>
  <c r="F96" i="1" s="1"/>
  <c r="J117" i="4" l="1"/>
  <c r="H118" i="4"/>
  <c r="G118" i="4"/>
  <c r="F119" i="4"/>
  <c r="G118" i="3"/>
  <c r="F119" i="3" s="1"/>
  <c r="J117" i="3"/>
  <c r="H118" i="3"/>
  <c r="G118" i="2"/>
  <c r="F119" i="2"/>
  <c r="H118" i="2"/>
  <c r="J117" i="2"/>
  <c r="J95" i="1"/>
  <c r="G96" i="1"/>
  <c r="H96" i="1"/>
  <c r="G119" i="4" l="1"/>
  <c r="J118" i="4"/>
  <c r="H119" i="4"/>
  <c r="F120" i="4" s="1"/>
  <c r="H119" i="3"/>
  <c r="G119" i="3"/>
  <c r="F120" i="3" s="1"/>
  <c r="J118" i="3"/>
  <c r="H119" i="2"/>
  <c r="G119" i="2"/>
  <c r="J118" i="2"/>
  <c r="F120" i="2"/>
  <c r="F97" i="1"/>
  <c r="J119" i="4" l="1"/>
  <c r="G120" i="4"/>
  <c r="F121" i="4" s="1"/>
  <c r="H120" i="4"/>
  <c r="J119" i="3"/>
  <c r="G120" i="3"/>
  <c r="F121" i="3" s="1"/>
  <c r="H120" i="3"/>
  <c r="J119" i="2"/>
  <c r="H120" i="2"/>
  <c r="G120" i="2"/>
  <c r="F121" i="2" s="1"/>
  <c r="J96" i="1"/>
  <c r="H97" i="1"/>
  <c r="G97" i="1"/>
  <c r="F98" i="1" s="1"/>
  <c r="G121" i="4" l="1"/>
  <c r="J120" i="4"/>
  <c r="H121" i="4"/>
  <c r="F122" i="4" s="1"/>
  <c r="J121" i="4" s="1"/>
  <c r="G121" i="3"/>
  <c r="J120" i="3"/>
  <c r="H121" i="3"/>
  <c r="F122" i="3" s="1"/>
  <c r="J121" i="3" s="1"/>
  <c r="G121" i="2"/>
  <c r="J120" i="2"/>
  <c r="F122" i="2"/>
  <c r="J121" i="2" s="1"/>
  <c r="H121" i="2"/>
  <c r="J97" i="1"/>
  <c r="H98" i="1"/>
  <c r="G98" i="1"/>
  <c r="F99" i="1" s="1"/>
  <c r="J98" i="1" l="1"/>
  <c r="G99" i="1"/>
  <c r="H99" i="1"/>
  <c r="F100" i="1" s="1"/>
  <c r="J99" i="1" l="1"/>
  <c r="H100" i="1"/>
  <c r="G100" i="1"/>
  <c r="F101" i="1" s="1"/>
  <c r="J100" i="1" l="1"/>
  <c r="G101" i="1"/>
  <c r="H101" i="1"/>
  <c r="F102" i="1" l="1"/>
  <c r="J101" i="1"/>
  <c r="H102" i="1"/>
  <c r="G102" i="1"/>
  <c r="F103" i="1" s="1"/>
  <c r="J102" i="1" l="1"/>
  <c r="H103" i="1"/>
  <c r="G103" i="1"/>
  <c r="F104" i="1" s="1"/>
  <c r="J103" i="1" l="1"/>
  <c r="H104" i="1"/>
  <c r="G104" i="1"/>
  <c r="F105" i="1" s="1"/>
  <c r="J104" i="1" l="1"/>
  <c r="H105" i="1"/>
  <c r="G105" i="1"/>
  <c r="F106" i="1" l="1"/>
  <c r="H106" i="1" s="1"/>
  <c r="J105" i="1"/>
  <c r="G106" i="1"/>
  <c r="F107" i="1" l="1"/>
  <c r="J106" i="1"/>
  <c r="G107" i="1"/>
  <c r="H107" i="1"/>
  <c r="F108" i="1" s="1"/>
  <c r="J107" i="1" l="1"/>
  <c r="G108" i="1"/>
  <c r="H108" i="1"/>
  <c r="F109" i="1" l="1"/>
  <c r="J108" i="1" l="1"/>
  <c r="H109" i="1"/>
  <c r="G109" i="1"/>
  <c r="F110" i="1" s="1"/>
  <c r="J109" i="1" l="1"/>
  <c r="H110" i="1"/>
  <c r="G110" i="1"/>
  <c r="F111" i="1" s="1"/>
  <c r="J110" i="1" l="1"/>
  <c r="H111" i="1"/>
  <c r="G111" i="1"/>
  <c r="F112" i="1" s="1"/>
  <c r="J111" i="1" l="1"/>
  <c r="H112" i="1"/>
  <c r="G112" i="1"/>
  <c r="F113" i="1" s="1"/>
  <c r="J112" i="1" l="1"/>
  <c r="G113" i="1"/>
  <c r="H113" i="1"/>
  <c r="F114" i="1" s="1"/>
  <c r="J113" i="1" l="1"/>
  <c r="H114" i="1"/>
  <c r="G114" i="1"/>
  <c r="F115" i="1" s="1"/>
  <c r="J114" i="1" l="1"/>
  <c r="H115" i="1"/>
  <c r="G115" i="1"/>
  <c r="F116" i="1" s="1"/>
  <c r="J115" i="1" l="1"/>
  <c r="H116" i="1"/>
  <c r="G116" i="1"/>
  <c r="F117" i="1" s="1"/>
  <c r="J116" i="1" l="1"/>
  <c r="G117" i="1"/>
  <c r="H117" i="1"/>
  <c r="F118" i="1" l="1"/>
  <c r="J117" i="1" l="1"/>
  <c r="H118" i="1"/>
  <c r="G118" i="1"/>
  <c r="F119" i="1" s="1"/>
  <c r="J118" i="1" l="1"/>
  <c r="G119" i="1"/>
  <c r="H119" i="1"/>
  <c r="F120" i="1" s="1"/>
  <c r="J119" i="1" l="1"/>
  <c r="G120" i="1"/>
  <c r="H120" i="1"/>
  <c r="F121" i="1" l="1"/>
  <c r="J120" i="1" l="1"/>
  <c r="H121" i="1"/>
  <c r="G121" i="1"/>
  <c r="F122" i="1" s="1"/>
  <c r="J121" i="1" s="1"/>
</calcChain>
</file>

<file path=xl/sharedStrings.xml><?xml version="1.0" encoding="utf-8"?>
<sst xmlns="http://schemas.openxmlformats.org/spreadsheetml/2006/main" count="124" uniqueCount="31">
  <si>
    <t>год</t>
  </si>
  <si>
    <t>FB</t>
  </si>
  <si>
    <t>FD</t>
  </si>
  <si>
    <t>промилле</t>
  </si>
  <si>
    <t>рождаемость</t>
  </si>
  <si>
    <t>смертность</t>
  </si>
  <si>
    <t>1909-1914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</si>
  <si>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</si>
  <si>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</si>
  <si>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</si>
  <si>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</si>
  <si>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</si>
  <si>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</si>
  <si>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</si>
  <si>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</si>
  <si>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</si>
  <si>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</si>
  <si>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</si>
  <si>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</si>
  <si>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</si>
  <si>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</si>
  <si>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</si>
  <si>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</si>
  <si>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</si>
  <si>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</si>
  <si>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</si>
  <si>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</si>
  <si>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РСФСР-1991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</si>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</sst>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/>
    <xf numFmtId="0" fontId="0" fillId="0" borderId="0" xfId="0" applyFont="1" applyBorder="1"/>
    <xf numFmtId="164" fontId="0" fillId="0" borderId="0" xfId="0" applyNumberFormat="1" applyFont="1" applyBorder="1"/>
    <xf numFmtId="164" fontId="2" fillId="0" borderId="0" xfId="0" applyNumberFormat="1" applyFont="1" applyBorder="1" applyAlignment="1">
      <alignment horizontal="right" vertical="center"/>
    </xf>
    <xf numFmtId="165" fontId="0" fillId="0" borderId="0" xfId="0" applyNumberFormat="1" applyFont="1" applyBorder="1"/>
    <xf numFmtId="3" fontId="0" fillId="0" borderId="0" xfId="0" applyNumberFormat="1" applyFont="1"/>
    <xf numFmtId="0" fontId="1" fillId="0" borderId="0" xfId="0" applyFont="1"/>
    <xf numFmtId="0" fontId="1" fillId="0" borderId="0" xfId="0" applyFont="1" applyBorder="1"/>
    <xf numFmtId="166" fontId="0" fillId="0" borderId="0" xfId="0" applyNumberFormat="1" applyFont="1"/>
    <xf numFmtId="0" fontId="0" fillId="0" borderId="0" xfId="0" applyFont="1" applyFill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3" fontId="0" fillId="0" borderId="0" xfId="0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55"/>
  <sheetViews>
    <sheetView topLeftCell="A91" workbookViewId="0">
      <selection activeCell="L155" sqref="L155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27</v>
      </c>
    </row>
    <row r="4" spans="1:12" x14ac:dyDescent="0.25">
      <c r="D4" s="18" t="s">
        <v>3</v>
      </c>
      <c r="E4" s="18"/>
      <c r="F4" s="18" t="s">
        <v>11</v>
      </c>
      <c r="G4" s="18"/>
      <c r="H4" s="18"/>
      <c r="I4" s="18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7</v>
      </c>
      <c r="G5" s="16" t="s">
        <v>8</v>
      </c>
      <c r="H5" s="16" t="s">
        <v>9</v>
      </c>
      <c r="I5" s="16" t="s">
        <v>10</v>
      </c>
      <c r="J5" s="16" t="s">
        <v>12</v>
      </c>
      <c r="L5" s="16" t="s">
        <v>25</v>
      </c>
    </row>
    <row r="6" spans="1:12" x14ac:dyDescent="0.25">
      <c r="A6" s="2" t="s">
        <v>6</v>
      </c>
      <c r="B6" s="2"/>
      <c r="C6" s="2"/>
      <c r="D6" s="5">
        <v>49.6</v>
      </c>
      <c r="E6" s="5">
        <v>32.6</v>
      </c>
      <c r="F6" s="6">
        <v>89243</v>
      </c>
      <c r="L6" s="17" t="s">
        <v>24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25.296000000000003</v>
      </c>
      <c r="E7" s="5">
        <f>C7*$E$6</f>
        <v>32.6</v>
      </c>
      <c r="F7" s="6">
        <v>91000</v>
      </c>
      <c r="G7" s="6">
        <f>F7*D7/1000</f>
        <v>2301.9360000000006</v>
      </c>
      <c r="H7" s="6">
        <f>E7*F7/1000</f>
        <v>2966.6</v>
      </c>
      <c r="I7" s="1">
        <v>-54</v>
      </c>
      <c r="J7" s="9">
        <f>100 *(F8-F7) / F7</f>
        <v>-0.78974065934066406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29.759999999999998</v>
      </c>
      <c r="E8" s="5">
        <f t="shared" ref="E8:E71" si="1">C8*$E$6</f>
        <v>32.6</v>
      </c>
      <c r="F8" s="6">
        <f>F7+G7-H7+I7</f>
        <v>90281.335999999996</v>
      </c>
      <c r="G8" s="6">
        <f t="shared" ref="G8:G71" si="2">F8*D8/1000</f>
        <v>2686.7725593599998</v>
      </c>
      <c r="H8" s="6">
        <f t="shared" ref="H8:H71" si="3">E8*F8/1000</f>
        <v>2943.1715536000002</v>
      </c>
      <c r="I8" s="1">
        <v>-145</v>
      </c>
      <c r="J8" s="9">
        <f t="shared" ref="J8:J71" si="4">100 *(F9-F8) / F8</f>
        <v>-0.44460905434539988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49.6</v>
      </c>
      <c r="E9" s="5">
        <f t="shared" si="1"/>
        <v>32.6</v>
      </c>
      <c r="F9" s="6">
        <f t="shared" ref="F9:F72" si="6">F8+G8-H8+I8</f>
        <v>89879.937005760003</v>
      </c>
      <c r="G9" s="6">
        <f t="shared" si="2"/>
        <v>4458.0448754856961</v>
      </c>
      <c r="H9" s="6">
        <f t="shared" si="3"/>
        <v>2930.0859463877759</v>
      </c>
      <c r="I9" s="1">
        <v>1450</v>
      </c>
      <c r="J9" s="9">
        <f t="shared" si="4"/>
        <v>3.3132632579694357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49.6</v>
      </c>
      <c r="E10" s="5">
        <f t="shared" si="1"/>
        <v>32.6</v>
      </c>
      <c r="F10" s="6">
        <f t="shared" si="6"/>
        <v>92857.895934857923</v>
      </c>
      <c r="G10" s="6">
        <f t="shared" si="2"/>
        <v>4605.7516383689526</v>
      </c>
      <c r="H10" s="6">
        <f t="shared" si="3"/>
        <v>3027.1674074763682</v>
      </c>
      <c r="I10" s="1">
        <v>870</v>
      </c>
      <c r="J10" s="9">
        <f t="shared" si="4"/>
        <v>2.6369154784751099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49.6</v>
      </c>
      <c r="E11" s="5">
        <f t="shared" si="1"/>
        <v>32.6</v>
      </c>
      <c r="F11" s="6">
        <f t="shared" si="6"/>
        <v>95306.480165750501</v>
      </c>
      <c r="G11" s="6">
        <f t="shared" si="2"/>
        <v>4727.2014162212245</v>
      </c>
      <c r="H11" s="6">
        <f t="shared" si="3"/>
        <v>3106.9912534034665</v>
      </c>
      <c r="I11" s="1">
        <v>580</v>
      </c>
      <c r="J11" s="9">
        <f t="shared" si="4"/>
        <v>2.308563026345436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49.550400000000003</v>
      </c>
      <c r="E12" s="5">
        <f t="shared" si="1"/>
        <v>32.339199999999998</v>
      </c>
      <c r="F12" s="6">
        <f t="shared" si="6"/>
        <v>97506.690328568264</v>
      </c>
      <c r="G12" s="6">
        <f t="shared" si="2"/>
        <v>4831.4955084566891</v>
      </c>
      <c r="H12" s="6">
        <f t="shared" si="3"/>
        <v>3153.2883598736348</v>
      </c>
      <c r="J12" s="9">
        <f t="shared" si="4"/>
        <v>1.7211199999999989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49.4512</v>
      </c>
      <c r="E13" s="5">
        <f t="shared" si="1"/>
        <v>31.980600000000003</v>
      </c>
      <c r="F13" s="6">
        <f t="shared" si="6"/>
        <v>99184.897477151317</v>
      </c>
      <c r="G13" s="6">
        <f t="shared" si="2"/>
        <v>4904.8122021221052</v>
      </c>
      <c r="H13" s="6">
        <f t="shared" si="3"/>
        <v>3171.9925322577856</v>
      </c>
      <c r="J13" s="9">
        <f t="shared" si="4"/>
        <v>1.7470599999999952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49.352000000000004</v>
      </c>
      <c r="E14" s="5">
        <f t="shared" si="1"/>
        <v>31.5242</v>
      </c>
      <c r="F14" s="6">
        <f t="shared" si="6"/>
        <v>100917.71714701563</v>
      </c>
      <c r="G14" s="6">
        <f t="shared" si="2"/>
        <v>4980.4911766395162</v>
      </c>
      <c r="H14" s="6">
        <f t="shared" si="3"/>
        <v>3181.3502988859505</v>
      </c>
      <c r="J14" s="9">
        <f t="shared" si="4"/>
        <v>1.7827800000000036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49.203200000000002</v>
      </c>
      <c r="E15" s="5">
        <f t="shared" si="1"/>
        <v>31.067799999999998</v>
      </c>
      <c r="F15" s="6">
        <f t="shared" si="6"/>
        <v>102716.8580247692</v>
      </c>
      <c r="G15" s="6">
        <f t="shared" si="2"/>
        <v>5053.9981087643246</v>
      </c>
      <c r="H15" s="6">
        <f t="shared" si="3"/>
        <v>3191.1868017419247</v>
      </c>
      <c r="J15" s="9">
        <f t="shared" si="4"/>
        <v>1.8135400000000068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49.103999999999999</v>
      </c>
      <c r="E16" s="5">
        <f t="shared" si="1"/>
        <v>30.643999999999998</v>
      </c>
      <c r="F16" s="6">
        <f t="shared" si="6"/>
        <v>104579.66933179161</v>
      </c>
      <c r="G16" s="6">
        <f t="shared" si="2"/>
        <v>5135.2800828682948</v>
      </c>
      <c r="H16" s="6">
        <f t="shared" si="3"/>
        <v>3204.7393870034216</v>
      </c>
      <c r="J16" s="9">
        <f t="shared" si="4"/>
        <v>1.8459999999999945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48.955199999999998</v>
      </c>
      <c r="E17" s="5">
        <f t="shared" si="1"/>
        <v>30.220200000000002</v>
      </c>
      <c r="F17" s="6">
        <f t="shared" si="6"/>
        <v>106510.21002765647</v>
      </c>
      <c r="G17" s="6">
        <f t="shared" si="2"/>
        <v>5214.2286339459279</v>
      </c>
      <c r="H17" s="6">
        <f t="shared" si="3"/>
        <v>3218.7598490777846</v>
      </c>
      <c r="J17" s="9">
        <f t="shared" si="4"/>
        <v>1.8734999999999917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48.856000000000002</v>
      </c>
      <c r="E18" s="5">
        <f t="shared" si="1"/>
        <v>29.796400000000002</v>
      </c>
      <c r="F18" s="6">
        <f t="shared" si="6"/>
        <v>108505.67881252461</v>
      </c>
      <c r="G18" s="6">
        <f t="shared" si="2"/>
        <v>5301.1534440647029</v>
      </c>
      <c r="H18" s="6">
        <f t="shared" si="3"/>
        <v>3233.0786081695087</v>
      </c>
      <c r="J18" s="9">
        <f t="shared" si="4"/>
        <v>1.9059600000000025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48.7072</v>
      </c>
      <c r="E19" s="5">
        <f t="shared" si="1"/>
        <v>29.372600000000002</v>
      </c>
      <c r="F19" s="6">
        <f t="shared" si="6"/>
        <v>110573.75364841981</v>
      </c>
      <c r="G19" s="6">
        <f t="shared" si="2"/>
        <v>5385.737933704313</v>
      </c>
      <c r="H19" s="6">
        <f t="shared" si="3"/>
        <v>3247.8386364135758</v>
      </c>
      <c r="J19" s="9">
        <f t="shared" si="4"/>
        <v>1.9334599999999922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48.607999999999997</v>
      </c>
      <c r="E20" s="5">
        <f t="shared" si="1"/>
        <v>28.9162</v>
      </c>
      <c r="F20" s="6">
        <f t="shared" si="6"/>
        <v>112711.65294571054</v>
      </c>
      <c r="G20" s="6">
        <f t="shared" si="2"/>
        <v>5478.6880263850981</v>
      </c>
      <c r="H20" s="6">
        <f t="shared" si="3"/>
        <v>3259.1926989087551</v>
      </c>
      <c r="J20" s="9">
        <f t="shared" si="4"/>
        <v>1.9691800000000099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48.607999999999997</v>
      </c>
      <c r="E21" s="5">
        <f t="shared" si="1"/>
        <v>28.4924</v>
      </c>
      <c r="F21" s="6">
        <f t="shared" si="6"/>
        <v>114931.14827318689</v>
      </c>
      <c r="G21" s="6">
        <f t="shared" si="2"/>
        <v>5586.5732552630679</v>
      </c>
      <c r="H21" s="6">
        <f t="shared" si="3"/>
        <v>3274.6642490589502</v>
      </c>
      <c r="J21" s="9">
        <f t="shared" si="4"/>
        <v>2.0115600000000029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48.508800000000001</v>
      </c>
      <c r="E22" s="5">
        <f t="shared" si="1"/>
        <v>28.133800000000001</v>
      </c>
      <c r="F22" s="6">
        <f t="shared" si="6"/>
        <v>117243.05727939101</v>
      </c>
      <c r="G22" s="6">
        <f t="shared" si="2"/>
        <v>5687.3200169545225</v>
      </c>
      <c r="H22" s="6">
        <f t="shared" si="3"/>
        <v>3298.4927248869312</v>
      </c>
      <c r="J22" s="9">
        <f t="shared" si="4"/>
        <v>2.0374999999999908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48.36</v>
      </c>
      <c r="E23" s="5">
        <f t="shared" si="1"/>
        <v>28.003399999999999</v>
      </c>
      <c r="F23" s="6">
        <f t="shared" si="6"/>
        <v>119631.88457145859</v>
      </c>
      <c r="G23" s="6">
        <f t="shared" si="2"/>
        <v>5785.3979378757376</v>
      </c>
      <c r="H23" s="6">
        <f t="shared" si="3"/>
        <v>3350.0995164083834</v>
      </c>
      <c r="J23" s="9">
        <f t="shared" si="4"/>
        <v>2.0356599999999956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48.211199999999998</v>
      </c>
      <c r="E24" s="5">
        <f t="shared" si="1"/>
        <v>27.742599999999999</v>
      </c>
      <c r="F24" s="6">
        <f t="shared" si="6"/>
        <v>122067.18299292594</v>
      </c>
      <c r="G24" s="6">
        <f t="shared" si="2"/>
        <v>5885.0053727085506</v>
      </c>
      <c r="H24" s="6">
        <f t="shared" si="3"/>
        <v>3386.461030899547</v>
      </c>
      <c r="J24" s="9">
        <f t="shared" si="4"/>
        <v>2.0468599999999966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48.012799999999999</v>
      </c>
      <c r="E25" s="5">
        <f t="shared" si="1"/>
        <v>27.416599999999999</v>
      </c>
      <c r="F25" s="6">
        <f t="shared" si="6"/>
        <v>124565.72733473494</v>
      </c>
      <c r="G25" s="6">
        <f t="shared" si="2"/>
        <v>5980.7493533771612</v>
      </c>
      <c r="H25" s="6">
        <f t="shared" si="3"/>
        <v>3415.168720045494</v>
      </c>
      <c r="J25" s="9">
        <f t="shared" si="4"/>
        <v>2.0596200000000038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47.4176</v>
      </c>
      <c r="E26" s="5">
        <f t="shared" si="1"/>
        <v>27.025400000000001</v>
      </c>
      <c r="F26" s="6">
        <f t="shared" si="6"/>
        <v>127131.30796806661</v>
      </c>
      <c r="G26" s="6">
        <f t="shared" si="2"/>
        <v>6028.261508706596</v>
      </c>
      <c r="H26" s="6">
        <f t="shared" si="3"/>
        <v>3435.774450360188</v>
      </c>
      <c r="J26" s="9">
        <f t="shared" si="4"/>
        <v>2.0392199999999994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47.665599999999998</v>
      </c>
      <c r="E27" s="5">
        <f t="shared" si="1"/>
        <v>26.666799999999999</v>
      </c>
      <c r="F27" s="6">
        <f t="shared" si="6"/>
        <v>129723.79502641302</v>
      </c>
      <c r="G27" s="6">
        <f t="shared" si="2"/>
        <v>6183.362524210992</v>
      </c>
      <c r="H27" s="6">
        <f t="shared" si="3"/>
        <v>3459.3184972103504</v>
      </c>
      <c r="J27" s="9">
        <f t="shared" si="4"/>
        <v>2.0998799999999962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47.913600000000002</v>
      </c>
      <c r="E28" s="5">
        <f t="shared" si="1"/>
        <v>26.275600000000004</v>
      </c>
      <c r="F28" s="6">
        <f t="shared" si="6"/>
        <v>132447.83905341366</v>
      </c>
      <c r="G28" s="6">
        <f t="shared" si="2"/>
        <v>6346.0527812696409</v>
      </c>
      <c r="H28" s="6">
        <f t="shared" si="3"/>
        <v>3480.1464398318767</v>
      </c>
      <c r="J28" s="9">
        <f t="shared" si="4"/>
        <v>2.1638000000000073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48.062399999999997</v>
      </c>
      <c r="E29" s="5">
        <f t="shared" si="1"/>
        <v>26.047400000000003</v>
      </c>
      <c r="F29" s="6">
        <f t="shared" si="6"/>
        <v>135313.74539485143</v>
      </c>
      <c r="G29" s="6">
        <f t="shared" si="2"/>
        <v>6503.5033566655065</v>
      </c>
      <c r="H29" s="6">
        <f t="shared" si="3"/>
        <v>3524.5712517978536</v>
      </c>
      <c r="J29" s="9">
        <f t="shared" si="4"/>
        <v>2.2014999999999971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47.863999999999997</v>
      </c>
      <c r="E30" s="5">
        <f t="shared" si="1"/>
        <v>25.884400000000003</v>
      </c>
      <c r="F30" s="6">
        <f t="shared" si="6"/>
        <v>138292.67749971908</v>
      </c>
      <c r="G30" s="6">
        <f t="shared" si="2"/>
        <v>6619.240715846553</v>
      </c>
      <c r="H30" s="6">
        <f t="shared" si="3"/>
        <v>3579.6229814737289</v>
      </c>
      <c r="J30" s="9">
        <f t="shared" si="4"/>
        <v>2.1979600000000166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47.863999999999997</v>
      </c>
      <c r="E31" s="5">
        <f t="shared" si="1"/>
        <v>25.949600000000004</v>
      </c>
      <c r="F31" s="6">
        <f t="shared" si="6"/>
        <v>141332.29523409193</v>
      </c>
      <c r="G31" s="6">
        <f t="shared" si="2"/>
        <v>6764.7289790845753</v>
      </c>
      <c r="H31" s="6">
        <f t="shared" si="3"/>
        <v>3667.5165284065924</v>
      </c>
      <c r="J31" s="9">
        <f t="shared" si="4"/>
        <v>2.1914400000000076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47.715200000000003</v>
      </c>
      <c r="E32" s="5">
        <f t="shared" si="1"/>
        <v>25.917000000000002</v>
      </c>
      <c r="F32" s="6">
        <f t="shared" si="6"/>
        <v>144429.50768476992</v>
      </c>
      <c r="G32" s="6">
        <f t="shared" si="2"/>
        <v>6891.4828450803343</v>
      </c>
      <c r="H32" s="6">
        <f t="shared" si="3"/>
        <v>3743.1795506661824</v>
      </c>
      <c r="I32" s="1">
        <v>-90</v>
      </c>
      <c r="J32" s="9">
        <f t="shared" si="4"/>
        <v>2.1175058638911759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47.4176</v>
      </c>
      <c r="E33" s="5">
        <f t="shared" si="1"/>
        <v>25.688800000000001</v>
      </c>
      <c r="F33" s="6">
        <f t="shared" si="6"/>
        <v>147487.81097918408</v>
      </c>
      <c r="G33" s="6">
        <f t="shared" si="2"/>
        <v>6993.5180258865594</v>
      </c>
      <c r="H33" s="6">
        <f t="shared" si="3"/>
        <v>3788.7848786820646</v>
      </c>
      <c r="I33" s="1">
        <v>-90</v>
      </c>
      <c r="J33" s="9">
        <f t="shared" si="4"/>
        <v>2.1118580081469287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47.12</v>
      </c>
      <c r="E34" s="5">
        <f t="shared" si="1"/>
        <v>25.036800000000003</v>
      </c>
      <c r="F34" s="6">
        <f t="shared" si="6"/>
        <v>150602.54412638859</v>
      </c>
      <c r="G34" s="6">
        <f t="shared" si="2"/>
        <v>7096.3918792354298</v>
      </c>
      <c r="H34" s="6">
        <f t="shared" si="3"/>
        <v>3770.6057767835664</v>
      </c>
      <c r="I34" s="1">
        <v>-90</v>
      </c>
      <c r="J34" s="9">
        <f t="shared" si="4"/>
        <v>2.1485600533655758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46.6736</v>
      </c>
      <c r="E35" s="5">
        <f t="shared" si="1"/>
        <v>24.1892</v>
      </c>
      <c r="F35" s="6">
        <f t="shared" si="6"/>
        <v>153838.33022884044</v>
      </c>
      <c r="G35" s="6">
        <f t="shared" si="2"/>
        <v>7180.1886897688073</v>
      </c>
      <c r="H35" s="6">
        <f t="shared" si="3"/>
        <v>3721.226137571467</v>
      </c>
      <c r="J35" s="9">
        <f t="shared" si="4"/>
        <v>2.2484399999999973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46.326400000000007</v>
      </c>
      <c r="E36" s="5">
        <f t="shared" si="1"/>
        <v>23.700199999999999</v>
      </c>
      <c r="F36" s="6">
        <f t="shared" si="6"/>
        <v>157297.29278103777</v>
      </c>
      <c r="G36" s="6">
        <f t="shared" si="2"/>
        <v>7287.0173042914694</v>
      </c>
      <c r="H36" s="6">
        <f t="shared" si="3"/>
        <v>3727.977298369151</v>
      </c>
      <c r="J36" s="9">
        <f t="shared" si="4"/>
        <v>2.2626200000000187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46.078400000000002</v>
      </c>
      <c r="E37" s="5">
        <f t="shared" si="1"/>
        <v>23.211200000000002</v>
      </c>
      <c r="F37" s="6">
        <f t="shared" si="6"/>
        <v>160856.33278696012</v>
      </c>
      <c r="G37" s="6">
        <f t="shared" si="2"/>
        <v>7412.0024446906637</v>
      </c>
      <c r="H37" s="6">
        <f t="shared" si="3"/>
        <v>3733.668511584689</v>
      </c>
      <c r="J37" s="9">
        <f t="shared" si="4"/>
        <v>2.2867200000000056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45.681600000000003</v>
      </c>
      <c r="E38" s="5">
        <f t="shared" si="1"/>
        <v>22.754799999999999</v>
      </c>
      <c r="F38" s="6">
        <f t="shared" si="6"/>
        <v>164534.6667200661</v>
      </c>
      <c r="G38" s="6">
        <f t="shared" si="2"/>
        <v>7516.2068312393721</v>
      </c>
      <c r="H38" s="6">
        <f t="shared" si="3"/>
        <v>3743.9534342817601</v>
      </c>
      <c r="J38" s="9">
        <f t="shared" si="4"/>
        <v>2.2926800000000038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46.276800000000001</v>
      </c>
      <c r="E39" s="5">
        <f t="shared" si="1"/>
        <v>22.689599999999999</v>
      </c>
      <c r="F39" s="6">
        <f t="shared" si="6"/>
        <v>168306.92011702372</v>
      </c>
      <c r="G39" s="6">
        <f t="shared" si="2"/>
        <v>7788.7056808714842</v>
      </c>
      <c r="H39" s="6">
        <f t="shared" si="3"/>
        <v>3818.8166946872211</v>
      </c>
      <c r="J39" s="9">
        <f t="shared" si="4"/>
        <v>2.3587199999999999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46.723199999999999</v>
      </c>
      <c r="E40" s="5">
        <f t="shared" si="1"/>
        <v>22.722200000000001</v>
      </c>
      <c r="F40" s="6">
        <f t="shared" si="6"/>
        <v>172276.80910320798</v>
      </c>
      <c r="G40" s="6">
        <f t="shared" si="2"/>
        <v>8049.3238070910074</v>
      </c>
      <c r="H40" s="6">
        <f t="shared" si="3"/>
        <v>3914.5081118049129</v>
      </c>
      <c r="J40" s="9">
        <f t="shared" si="4"/>
        <v>2.400100000000013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47.020800000000001</v>
      </c>
      <c r="E41" s="5">
        <f t="shared" si="1"/>
        <v>22.624399999999998</v>
      </c>
      <c r="F41" s="6">
        <f t="shared" si="6"/>
        <v>176411.6247984941</v>
      </c>
      <c r="G41" s="6">
        <f t="shared" si="2"/>
        <v>8295.0157273250315</v>
      </c>
      <c r="H41" s="6">
        <f t="shared" si="3"/>
        <v>3991.2071640910499</v>
      </c>
      <c r="J41" s="9">
        <f t="shared" si="4"/>
        <v>2.4396399999999905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47.268799999999999</v>
      </c>
      <c r="E42" s="5">
        <f t="shared" si="1"/>
        <v>22.428799999999999</v>
      </c>
      <c r="F42" s="6">
        <f t="shared" si="6"/>
        <v>180715.43336172806</v>
      </c>
      <c r="G42" s="6">
        <f t="shared" si="2"/>
        <v>8542.2016764888522</v>
      </c>
      <c r="H42" s="6">
        <f t="shared" si="3"/>
        <v>4053.2303117835263</v>
      </c>
      <c r="J42" s="9">
        <f t="shared" si="4"/>
        <v>2.4840000000000018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47.467199999999998</v>
      </c>
      <c r="E43" s="5">
        <f t="shared" si="1"/>
        <v>22.135400000000004</v>
      </c>
      <c r="F43" s="6">
        <f t="shared" si="6"/>
        <v>185204.40472643339</v>
      </c>
      <c r="G43" s="6">
        <f t="shared" si="2"/>
        <v>8791.1345200305586</v>
      </c>
      <c r="H43" s="6">
        <f t="shared" si="3"/>
        <v>4099.5735803814941</v>
      </c>
      <c r="J43" s="9">
        <f t="shared" si="4"/>
        <v>2.533179999999998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47.566400000000002</v>
      </c>
      <c r="E44" s="5">
        <f t="shared" si="1"/>
        <v>21.809400000000004</v>
      </c>
      <c r="F44" s="6">
        <f t="shared" si="6"/>
        <v>189895.96566608245</v>
      </c>
      <c r="G44" s="6">
        <f t="shared" si="2"/>
        <v>9032.6674612591451</v>
      </c>
      <c r="H44" s="6">
        <f t="shared" si="3"/>
        <v>4141.51707359786</v>
      </c>
      <c r="J44" s="9">
        <f t="shared" si="4"/>
        <v>2.575700000000007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47.616</v>
      </c>
      <c r="E45" s="5">
        <f t="shared" si="1"/>
        <v>21.320400000000003</v>
      </c>
      <c r="F45" s="6">
        <f t="shared" si="6"/>
        <v>194787.11605374375</v>
      </c>
      <c r="G45" s="6">
        <f t="shared" si="2"/>
        <v>9274.9833180150636</v>
      </c>
      <c r="H45" s="6">
        <f t="shared" si="3"/>
        <v>4152.9392291122394</v>
      </c>
      <c r="J45" s="9">
        <f t="shared" si="4"/>
        <v>2.6295600000000006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47.764800000000001</v>
      </c>
      <c r="E46" s="5">
        <f t="shared" si="1"/>
        <v>20.375</v>
      </c>
      <c r="F46" s="6">
        <f t="shared" si="6"/>
        <v>199909.16014264658</v>
      </c>
      <c r="G46" s="6">
        <f t="shared" si="2"/>
        <v>9548.6210523814862</v>
      </c>
      <c r="H46" s="6">
        <f t="shared" si="3"/>
        <v>4073.1491379064241</v>
      </c>
      <c r="J46" s="9">
        <f t="shared" si="4"/>
        <v>2.7389800000000122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47.863999999999997</v>
      </c>
      <c r="E47" s="5">
        <f t="shared" si="1"/>
        <v>19.2014</v>
      </c>
      <c r="F47" s="6">
        <f t="shared" si="6"/>
        <v>205384.63205712166</v>
      </c>
      <c r="G47" s="6">
        <f t="shared" si="2"/>
        <v>9830.5300287820719</v>
      </c>
      <c r="H47" s="6">
        <f t="shared" si="3"/>
        <v>3943.6724739816154</v>
      </c>
      <c r="J47" s="9">
        <f t="shared" si="4"/>
        <v>2.8662600000000018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48.112000000000002</v>
      </c>
      <c r="E48" s="5">
        <f t="shared" si="1"/>
        <v>18.158200000000001</v>
      </c>
      <c r="F48" s="6">
        <f t="shared" si="6"/>
        <v>211271.48961192212</v>
      </c>
      <c r="G48" s="6">
        <f t="shared" si="2"/>
        <v>10164.693908208797</v>
      </c>
      <c r="H48" s="6">
        <f t="shared" si="3"/>
        <v>3836.3099626712046</v>
      </c>
      <c r="J48" s="9">
        <f t="shared" si="4"/>
        <v>2.9953800000000101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48.062399999999997</v>
      </c>
      <c r="E49" s="5">
        <f t="shared" si="1"/>
        <v>17.212800000000001</v>
      </c>
      <c r="F49" s="6">
        <f t="shared" si="6"/>
        <v>217599.87355745974</v>
      </c>
      <c r="G49" s="6">
        <f t="shared" si="2"/>
        <v>10458.372162868052</v>
      </c>
      <c r="H49" s="6">
        <f t="shared" si="3"/>
        <v>3745.5031035698435</v>
      </c>
      <c r="J49" s="9">
        <f t="shared" si="4"/>
        <v>3.0849600000000033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47.764800000000001</v>
      </c>
      <c r="E50" s="5">
        <f t="shared" si="1"/>
        <v>16.952000000000002</v>
      </c>
      <c r="F50" s="6">
        <f t="shared" si="6"/>
        <v>224312.74261675795</v>
      </c>
      <c r="G50" s="6">
        <f t="shared" si="2"/>
        <v>10714.25328854092</v>
      </c>
      <c r="H50" s="6">
        <f t="shared" si="3"/>
        <v>3802.5496128392811</v>
      </c>
      <c r="J50" s="9">
        <f t="shared" si="4"/>
        <v>3.0812800000000098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47.764800000000001</v>
      </c>
      <c r="E51" s="5">
        <f t="shared" si="1"/>
        <v>16.4956</v>
      </c>
      <c r="F51" s="6">
        <f t="shared" si="6"/>
        <v>231224.44629245962</v>
      </c>
      <c r="G51" s="6">
        <f t="shared" si="2"/>
        <v>11044.389432270076</v>
      </c>
      <c r="H51" s="6">
        <f t="shared" si="3"/>
        <v>3814.1859762618965</v>
      </c>
      <c r="J51" s="9">
        <f t="shared" si="4"/>
        <v>3.1269200000000077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47.913600000000002</v>
      </c>
      <c r="E52" s="5">
        <f t="shared" si="1"/>
        <v>16.365200000000002</v>
      </c>
      <c r="F52" s="6">
        <f t="shared" si="6"/>
        <v>238454.64974846781</v>
      </c>
      <c r="G52" s="6">
        <f t="shared" si="2"/>
        <v>11425.220706188187</v>
      </c>
      <c r="H52" s="6">
        <f t="shared" si="3"/>
        <v>3902.3580340636258</v>
      </c>
      <c r="J52" s="9">
        <f t="shared" si="4"/>
        <v>3.1548399999999961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47.963200000000001</v>
      </c>
      <c r="E53" s="5">
        <f t="shared" si="1"/>
        <v>16.0718</v>
      </c>
      <c r="F53" s="6">
        <f t="shared" si="6"/>
        <v>245977.51242059236</v>
      </c>
      <c r="G53" s="6">
        <f t="shared" si="2"/>
        <v>11797.868623731356</v>
      </c>
      <c r="H53" s="6">
        <f t="shared" si="3"/>
        <v>3953.3013841212764</v>
      </c>
      <c r="J53" s="9">
        <f t="shared" si="4"/>
        <v>3.1891400000000085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48.409599999999998</v>
      </c>
      <c r="E54" s="5">
        <f t="shared" si="1"/>
        <v>15.4198</v>
      </c>
      <c r="F54" s="6">
        <f t="shared" si="6"/>
        <v>253822.07966020246</v>
      </c>
      <c r="G54" s="6">
        <f t="shared" si="2"/>
        <v>12287.425347518538</v>
      </c>
      <c r="H54" s="6">
        <f t="shared" si="3"/>
        <v>3913.8857039443901</v>
      </c>
      <c r="J54" s="9">
        <f t="shared" si="4"/>
        <v>3.2989800000000153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48.260800000000003</v>
      </c>
      <c r="E55" s="5">
        <f t="shared" si="1"/>
        <v>14.376600000000002</v>
      </c>
      <c r="F55" s="6">
        <f t="shared" si="6"/>
        <v>262195.61930377665</v>
      </c>
      <c r="G55" s="6">
        <f t="shared" si="2"/>
        <v>12653.770344095705</v>
      </c>
      <c r="H55" s="6">
        <f t="shared" si="3"/>
        <v>3769.4815404826759</v>
      </c>
      <c r="J55" s="9">
        <f t="shared" si="4"/>
        <v>3.3884200000000066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48.7072</v>
      </c>
      <c r="E56" s="5">
        <f t="shared" si="1"/>
        <v>13.724600000000001</v>
      </c>
      <c r="F56" s="6">
        <f t="shared" si="6"/>
        <v>271079.9081073897</v>
      </c>
      <c r="G56" s="6">
        <f t="shared" si="2"/>
        <v>13203.543300168252</v>
      </c>
      <c r="H56" s="6">
        <f t="shared" si="3"/>
        <v>3720.4633068106809</v>
      </c>
      <c r="J56" s="9">
        <f t="shared" si="4"/>
        <v>3.4982599999999859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49.103999999999999</v>
      </c>
      <c r="E57" s="5">
        <f t="shared" si="1"/>
        <v>12.974800000000002</v>
      </c>
      <c r="F57" s="6">
        <f t="shared" si="6"/>
        <v>280562.98810074723</v>
      </c>
      <c r="G57" s="6">
        <f t="shared" si="2"/>
        <v>13776.764967699091</v>
      </c>
      <c r="H57" s="6">
        <f t="shared" si="3"/>
        <v>3640.2486580095756</v>
      </c>
      <c r="J57" s="9">
        <f t="shared" si="4"/>
        <v>3.6129199999999932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49.352000000000004</v>
      </c>
      <c r="E58" s="5">
        <f t="shared" si="1"/>
        <v>12.648800000000001</v>
      </c>
      <c r="F58" s="6">
        <f t="shared" si="6"/>
        <v>290699.50441043673</v>
      </c>
      <c r="G58" s="6">
        <f t="shared" si="2"/>
        <v>14346.601941663874</v>
      </c>
      <c r="H58" s="6">
        <f t="shared" si="3"/>
        <v>3676.9998913867325</v>
      </c>
      <c r="J58" s="9">
        <f t="shared" si="4"/>
        <v>3.6703200000000105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49.649599999999992</v>
      </c>
      <c r="E59" s="5">
        <f t="shared" si="1"/>
        <v>12.192400000000001</v>
      </c>
      <c r="F59" s="6">
        <f t="shared" si="6"/>
        <v>301369.1064607139</v>
      </c>
      <c r="G59" s="6">
        <f t="shared" si="2"/>
        <v>14962.855588131859</v>
      </c>
      <c r="H59" s="6">
        <f t="shared" si="3"/>
        <v>3674.4126936116086</v>
      </c>
      <c r="J59" s="9">
        <f t="shared" si="4"/>
        <v>3.7457199999999951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49.6</v>
      </c>
      <c r="E60" s="5">
        <f t="shared" si="1"/>
        <v>12.029400000000001</v>
      </c>
      <c r="F60" s="6">
        <f t="shared" si="6"/>
        <v>312657.54935523414</v>
      </c>
      <c r="G60" s="6">
        <f t="shared" si="2"/>
        <v>15507.814448019615</v>
      </c>
      <c r="H60" s="6">
        <f t="shared" si="3"/>
        <v>3761.0827242138539</v>
      </c>
      <c r="J60" s="9">
        <f t="shared" si="4"/>
        <v>3.7570600000000045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49.401600000000002</v>
      </c>
      <c r="E61" s="5">
        <f t="shared" si="1"/>
        <v>11.573</v>
      </c>
      <c r="F61" s="6">
        <f t="shared" si="6"/>
        <v>324404.28107903991</v>
      </c>
      <c r="G61" s="6">
        <f t="shared" si="2"/>
        <v>16026.0905321543</v>
      </c>
      <c r="H61" s="6">
        <f t="shared" si="3"/>
        <v>3754.330744927729</v>
      </c>
      <c r="J61" s="9">
        <f t="shared" si="4"/>
        <v>3.7828599999999977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49.153600000000004</v>
      </c>
      <c r="E62" s="5">
        <f t="shared" si="1"/>
        <v>11.2796</v>
      </c>
      <c r="F62" s="6">
        <f t="shared" si="6"/>
        <v>336676.04086626647</v>
      </c>
      <c r="G62" s="6">
        <f t="shared" si="2"/>
        <v>16548.839442324115</v>
      </c>
      <c r="H62" s="6">
        <f t="shared" si="3"/>
        <v>3797.5710705551392</v>
      </c>
      <c r="J62" s="9">
        <f t="shared" si="4"/>
        <v>3.7874000000000052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49.054400000000001</v>
      </c>
      <c r="E63" s="5">
        <f t="shared" si="1"/>
        <v>10.758000000000001</v>
      </c>
      <c r="F63" s="6">
        <f t="shared" si="6"/>
        <v>349427.30923803546</v>
      </c>
      <c r="G63" s="6">
        <f t="shared" si="2"/>
        <v>17140.946998286287</v>
      </c>
      <c r="H63" s="6">
        <f t="shared" si="3"/>
        <v>3759.1389927827859</v>
      </c>
      <c r="J63" s="9">
        <f t="shared" si="4"/>
        <v>3.8296399999999982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48.9056</v>
      </c>
      <c r="E64" s="5">
        <f t="shared" si="1"/>
        <v>10.432</v>
      </c>
      <c r="F64" s="6">
        <f t="shared" si="6"/>
        <v>362809.11724353896</v>
      </c>
      <c r="G64" s="6">
        <f t="shared" si="2"/>
        <v>17743.397564265619</v>
      </c>
      <c r="H64" s="6">
        <f t="shared" si="3"/>
        <v>3784.8247110845987</v>
      </c>
      <c r="J64" s="9">
        <f t="shared" si="4"/>
        <v>3.8473600000000068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48.806400000000004</v>
      </c>
      <c r="E65" s="5">
        <f t="shared" si="1"/>
        <v>10.203800000000001</v>
      </c>
      <c r="F65" s="6">
        <f t="shared" si="6"/>
        <v>376767.69009672001</v>
      </c>
      <c r="G65" s="6">
        <f t="shared" si="2"/>
        <v>18388.67458993656</v>
      </c>
      <c r="H65" s="6">
        <f t="shared" si="3"/>
        <v>3844.4621562089119</v>
      </c>
      <c r="J65" s="9">
        <f t="shared" si="4"/>
        <v>3.8602599999999971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48.806400000000004</v>
      </c>
      <c r="E66" s="5">
        <f t="shared" si="1"/>
        <v>9.910400000000001</v>
      </c>
      <c r="F66" s="6">
        <f t="shared" si="6"/>
        <v>391311.90253044764</v>
      </c>
      <c r="G66" s="6">
        <f t="shared" si="2"/>
        <v>19098.525239662042</v>
      </c>
      <c r="H66" s="6">
        <f t="shared" si="3"/>
        <v>3878.0574788377485</v>
      </c>
      <c r="J66" s="9">
        <f t="shared" si="4"/>
        <v>3.8896000000000042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48.459200000000003</v>
      </c>
      <c r="E67" s="5">
        <f t="shared" si="1"/>
        <v>9.7474000000000007</v>
      </c>
      <c r="F67" s="6">
        <f t="shared" si="6"/>
        <v>406532.37029127195</v>
      </c>
      <c r="G67" s="6">
        <f t="shared" si="2"/>
        <v>19700.233438418807</v>
      </c>
      <c r="H67" s="6">
        <f t="shared" si="3"/>
        <v>3962.6336261771444</v>
      </c>
      <c r="J67" s="9">
        <f t="shared" si="4"/>
        <v>3.8711800000000043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48.260800000000003</v>
      </c>
      <c r="E68" s="5">
        <f t="shared" si="1"/>
        <v>9.5518000000000001</v>
      </c>
      <c r="F68" s="6">
        <f t="shared" si="6"/>
        <v>422269.97010351362</v>
      </c>
      <c r="G68" s="6">
        <f t="shared" si="2"/>
        <v>20379.086573171651</v>
      </c>
      <c r="H68" s="6">
        <f t="shared" si="3"/>
        <v>4033.4383004347414</v>
      </c>
      <c r="J68" s="9">
        <f t="shared" si="4"/>
        <v>3.8709000000000047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47.665599999999998</v>
      </c>
      <c r="E69" s="5">
        <f t="shared" si="1"/>
        <v>9.5518000000000001</v>
      </c>
      <c r="F69" s="6">
        <f t="shared" si="6"/>
        <v>438615.61837625055</v>
      </c>
      <c r="G69" s="6">
        <f t="shared" si="2"/>
        <v>20906.876619275008</v>
      </c>
      <c r="H69" s="6">
        <f t="shared" si="3"/>
        <v>4189.5686636062701</v>
      </c>
      <c r="J69" s="9">
        <f t="shared" si="4"/>
        <v>3.8113800000000082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47.219200000000001</v>
      </c>
      <c r="E70" s="5">
        <f t="shared" si="1"/>
        <v>9.5191999999999997</v>
      </c>
      <c r="F70" s="6">
        <f t="shared" si="6"/>
        <v>455332.92633191933</v>
      </c>
      <c r="G70" s="6">
        <f t="shared" si="2"/>
        <v>21500.456515052167</v>
      </c>
      <c r="H70" s="6">
        <f t="shared" si="3"/>
        <v>4334.405192338807</v>
      </c>
      <c r="J70" s="9">
        <f t="shared" si="4"/>
        <v>3.770000000000004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47.318399999999997</v>
      </c>
      <c r="E71" s="5">
        <f t="shared" si="1"/>
        <v>9.4214000000000002</v>
      </c>
      <c r="F71" s="6">
        <f t="shared" si="6"/>
        <v>472498.9776546327</v>
      </c>
      <c r="G71" s="6">
        <f t="shared" si="2"/>
        <v>22357.895624252971</v>
      </c>
      <c r="H71" s="6">
        <f t="shared" si="3"/>
        <v>4451.6018680753568</v>
      </c>
      <c r="J71" s="9">
        <f t="shared" si="4"/>
        <v>3.7896999999999945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47.169600000000003</v>
      </c>
      <c r="E72" s="5">
        <f t="shared" ref="E72:E121" si="8">C72*$E$6</f>
        <v>9.2584</v>
      </c>
      <c r="F72" s="6">
        <f t="shared" si="6"/>
        <v>490405.2714108103</v>
      </c>
      <c r="G72" s="6">
        <f t="shared" ref="G72:G121" si="9">F72*D72/1000</f>
        <v>23132.220490339358</v>
      </c>
      <c r="H72" s="6">
        <f t="shared" ref="H72:H121" si="10">E72*F72/1000</f>
        <v>4540.3681648298461</v>
      </c>
      <c r="J72" s="9">
        <f t="shared" ref="J72:J121" si="11">100 *(F73-F72) / F72</f>
        <v>3.7911199999999932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46.971199999999996</v>
      </c>
      <c r="E73" s="5">
        <f t="shared" si="8"/>
        <v>8.9324000000000012</v>
      </c>
      <c r="F73" s="6">
        <f t="shared" ref="F73:F122" si="13">F72+G72-H72+I72</f>
        <v>508997.12373631977</v>
      </c>
      <c r="G73" s="6">
        <f t="shared" si="9"/>
        <v>23908.20569844342</v>
      </c>
      <c r="H73" s="6">
        <f t="shared" si="10"/>
        <v>4546.5659080623036</v>
      </c>
      <c r="J73" s="9">
        <f t="shared" si="11"/>
        <v>3.8038800000000017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46.623999999999995</v>
      </c>
      <c r="E74" s="5">
        <f t="shared" si="8"/>
        <v>8.345600000000001</v>
      </c>
      <c r="F74" s="6">
        <f t="shared" si="13"/>
        <v>528358.7635267009</v>
      </c>
      <c r="G74" s="6">
        <f t="shared" si="9"/>
        <v>24634.198990668901</v>
      </c>
      <c r="H74" s="6">
        <f t="shared" si="10"/>
        <v>4409.4708968884361</v>
      </c>
      <c r="J74" s="9">
        <f t="shared" si="11"/>
        <v>3.8278399999999988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45.979200000000006</v>
      </c>
      <c r="E75" s="5">
        <f t="shared" si="8"/>
        <v>7.9218000000000002</v>
      </c>
      <c r="F75" s="6">
        <f t="shared" si="13"/>
        <v>548583.49162048136</v>
      </c>
      <c r="G75" s="6">
        <f t="shared" si="9"/>
        <v>25223.43007791644</v>
      </c>
      <c r="H75" s="6">
        <f t="shared" si="10"/>
        <v>4345.7687039191296</v>
      </c>
      <c r="J75" s="9">
        <f t="shared" si="11"/>
        <v>3.8057400000000059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45.086400000000005</v>
      </c>
      <c r="E76" s="5">
        <f t="shared" si="8"/>
        <v>7.563200000000001</v>
      </c>
      <c r="F76" s="6">
        <f t="shared" si="13"/>
        <v>569461.1529944787</v>
      </c>
      <c r="G76" s="6">
        <f t="shared" si="9"/>
        <v>25674.953328370266</v>
      </c>
      <c r="H76" s="6">
        <f t="shared" si="10"/>
        <v>4306.9485923278417</v>
      </c>
      <c r="J76" s="9">
        <f t="shared" si="11"/>
        <v>3.7523199999999868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43.995200000000004</v>
      </c>
      <c r="E77" s="5">
        <f t="shared" si="8"/>
        <v>7.3350000000000009</v>
      </c>
      <c r="F77" s="6">
        <f t="shared" si="13"/>
        <v>590829.15773052105</v>
      </c>
      <c r="G77" s="6">
        <f t="shared" si="9"/>
        <v>25993.646960185823</v>
      </c>
      <c r="H77" s="6">
        <f t="shared" si="10"/>
        <v>4333.7318719533732</v>
      </c>
      <c r="J77" s="9">
        <f t="shared" si="11"/>
        <v>3.6660200000000072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43.052799999999998</v>
      </c>
      <c r="E78" s="5">
        <f t="shared" si="8"/>
        <v>7.0090000000000003</v>
      </c>
      <c r="F78" s="6">
        <f t="shared" si="13"/>
        <v>612489.07281875354</v>
      </c>
      <c r="G78" s="6">
        <f t="shared" si="9"/>
        <v>26369.369554251232</v>
      </c>
      <c r="H78" s="6">
        <f t="shared" si="10"/>
        <v>4292.935911386644</v>
      </c>
      <c r="J78" s="9">
        <f t="shared" si="11"/>
        <v>3.6043799999999981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41.564799999999998</v>
      </c>
      <c r="E79" s="5">
        <f t="shared" si="8"/>
        <v>6.7808000000000002</v>
      </c>
      <c r="F79" s="6">
        <f t="shared" si="13"/>
        <v>634565.50646161812</v>
      </c>
      <c r="G79" s="6">
        <f t="shared" si="9"/>
        <v>26375.588362975861</v>
      </c>
      <c r="H79" s="6">
        <f t="shared" si="10"/>
        <v>4302.8617862149404</v>
      </c>
      <c r="J79" s="9">
        <f t="shared" si="11"/>
        <v>3.4783999999999926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40.176000000000002</v>
      </c>
      <c r="E80" s="5">
        <f t="shared" si="8"/>
        <v>6.6178000000000008</v>
      </c>
      <c r="F80" s="6">
        <f t="shared" si="13"/>
        <v>656638.233038379</v>
      </c>
      <c r="G80" s="6">
        <f t="shared" si="9"/>
        <v>26381.097650549913</v>
      </c>
      <c r="H80" s="6">
        <f t="shared" si="10"/>
        <v>4345.5004986013855</v>
      </c>
      <c r="J80" s="9">
        <f t="shared" si="11"/>
        <v>3.3558200000000116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38.7376</v>
      </c>
      <c r="E81" s="5">
        <f t="shared" si="8"/>
        <v>6.3570000000000002</v>
      </c>
      <c r="F81" s="6">
        <f t="shared" si="13"/>
        <v>678673.8301903276</v>
      </c>
      <c r="G81" s="6">
        <f t="shared" si="9"/>
        <v>26290.195364380837</v>
      </c>
      <c r="H81" s="6">
        <f t="shared" si="10"/>
        <v>4314.3295385199126</v>
      </c>
      <c r="J81" s="9">
        <f t="shared" si="11"/>
        <v>3.2380599999999933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38.142400000000002</v>
      </c>
      <c r="E82" s="5">
        <f t="shared" si="8"/>
        <v>6.0310000000000006</v>
      </c>
      <c r="F82" s="6">
        <f t="shared" si="13"/>
        <v>700649.69601618848</v>
      </c>
      <c r="G82" s="6">
        <f t="shared" si="9"/>
        <v>26724.460965327871</v>
      </c>
      <c r="H82" s="6">
        <f t="shared" si="10"/>
        <v>4225.6183166736328</v>
      </c>
      <c r="J82" s="9">
        <f t="shared" si="11"/>
        <v>3.2111400000000017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37.745600000000003</v>
      </c>
      <c r="E83" s="5">
        <f t="shared" si="8"/>
        <v>5.8680000000000003</v>
      </c>
      <c r="F83" s="6">
        <f t="shared" si="13"/>
        <v>723148.53866484272</v>
      </c>
      <c r="G83" s="6">
        <f t="shared" si="9"/>
        <v>27295.675481027687</v>
      </c>
      <c r="H83" s="6">
        <f t="shared" si="10"/>
        <v>4243.4356248852973</v>
      </c>
      <c r="J83" s="9">
        <f t="shared" si="11"/>
        <v>3.1877600000000061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37.596800000000002</v>
      </c>
      <c r="E84" s="5">
        <f t="shared" si="8"/>
        <v>5.7375999999999996</v>
      </c>
      <c r="F84" s="6">
        <f t="shared" si="13"/>
        <v>746200.77852098516</v>
      </c>
      <c r="G84" s="6">
        <f t="shared" si="9"/>
        <v>28054.761429897779</v>
      </c>
      <c r="H84" s="6">
        <f t="shared" si="10"/>
        <v>4281.4015868420038</v>
      </c>
      <c r="J84" s="9">
        <f t="shared" si="11"/>
        <v>3.1859199999999928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37.497599999999998</v>
      </c>
      <c r="E85" s="5">
        <f t="shared" si="8"/>
        <v>5.5746000000000011</v>
      </c>
      <c r="F85" s="6">
        <f t="shared" si="13"/>
        <v>769974.13836404087</v>
      </c>
      <c r="G85" s="6">
        <f t="shared" si="9"/>
        <v>28872.182250719459</v>
      </c>
      <c r="H85" s="6">
        <f t="shared" si="10"/>
        <v>4292.2978317241823</v>
      </c>
      <c r="J85" s="9">
        <f t="shared" si="11"/>
        <v>3.1922999999999946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37.745600000000003</v>
      </c>
      <c r="E86" s="5">
        <f t="shared" si="8"/>
        <v>5.4116000000000009</v>
      </c>
      <c r="F86" s="6">
        <f t="shared" si="13"/>
        <v>794554.02278303611</v>
      </c>
      <c r="G86" s="6">
        <f t="shared" si="9"/>
        <v>29990.918322359372</v>
      </c>
      <c r="H86" s="6">
        <f t="shared" si="10"/>
        <v>4299.8085496926788</v>
      </c>
      <c r="J86" s="9">
        <f t="shared" si="11"/>
        <v>3.2334000000000023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37.448</v>
      </c>
      <c r="E87" s="5">
        <f t="shared" si="8"/>
        <v>5.3138000000000005</v>
      </c>
      <c r="F87" s="6">
        <f t="shared" si="13"/>
        <v>820245.13255570282</v>
      </c>
      <c r="G87" s="6">
        <f t="shared" si="9"/>
        <v>30716.53972394596</v>
      </c>
      <c r="H87" s="6">
        <f t="shared" si="10"/>
        <v>4358.6185853744937</v>
      </c>
      <c r="J87" s="9">
        <f t="shared" si="11"/>
        <v>3.2134200000000135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36.852800000000002</v>
      </c>
      <c r="E88" s="5">
        <f t="shared" si="8"/>
        <v>5.2160000000000002</v>
      </c>
      <c r="F88" s="6">
        <f t="shared" si="13"/>
        <v>846603.05369427439</v>
      </c>
      <c r="G88" s="6">
        <f t="shared" si="9"/>
        <v>31199.69301718436</v>
      </c>
      <c r="H88" s="6">
        <f t="shared" si="10"/>
        <v>4415.8815280693352</v>
      </c>
      <c r="J88" s="9">
        <f t="shared" si="11"/>
        <v>3.163679999999998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36.009599999999999</v>
      </c>
      <c r="E89" s="5">
        <f t="shared" si="8"/>
        <v>5.1834000000000007</v>
      </c>
      <c r="F89" s="6">
        <f t="shared" si="13"/>
        <v>873386.8651833894</v>
      </c>
      <c r="G89" s="6">
        <f t="shared" si="9"/>
        <v>31450.311660507781</v>
      </c>
      <c r="H89" s="6">
        <f t="shared" si="10"/>
        <v>4527.1134769915807</v>
      </c>
      <c r="J89" s="9">
        <f t="shared" si="11"/>
        <v>3.0826200000000088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34.967999999999996</v>
      </c>
      <c r="E90" s="5">
        <f t="shared" si="8"/>
        <v>5.2160000000000002</v>
      </c>
      <c r="F90" s="6">
        <f t="shared" si="13"/>
        <v>900310.06336690567</v>
      </c>
      <c r="G90" s="6">
        <f t="shared" si="9"/>
        <v>31482.042295813957</v>
      </c>
      <c r="H90" s="6">
        <f t="shared" si="10"/>
        <v>4696.0172905217796</v>
      </c>
      <c r="J90" s="9">
        <f t="shared" si="11"/>
        <v>2.9751999999999965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33.480000000000004</v>
      </c>
      <c r="E91" s="5">
        <f t="shared" si="8"/>
        <v>5.2486000000000006</v>
      </c>
      <c r="F91" s="6">
        <f t="shared" si="13"/>
        <v>927096.08837219782</v>
      </c>
      <c r="G91" s="6">
        <f t="shared" si="9"/>
        <v>31039.177038701189</v>
      </c>
      <c r="H91" s="6">
        <f t="shared" si="10"/>
        <v>4865.9565294303175</v>
      </c>
      <c r="J91" s="9">
        <f t="shared" si="11"/>
        <v>2.8231399999999915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32.140799999999999</v>
      </c>
      <c r="E92" s="5">
        <f t="shared" si="8"/>
        <v>5.3138000000000005</v>
      </c>
      <c r="F92" s="6">
        <f t="shared" si="13"/>
        <v>953269.30888146861</v>
      </c>
      <c r="G92" s="6">
        <f t="shared" si="9"/>
        <v>30638.838202897503</v>
      </c>
      <c r="H92" s="6">
        <f t="shared" si="10"/>
        <v>5065.4824535343478</v>
      </c>
      <c r="J92" s="9">
        <f t="shared" si="11"/>
        <v>2.6826999999999916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30.652799999999999</v>
      </c>
      <c r="E93" s="5">
        <f t="shared" si="8"/>
        <v>5.3138000000000005</v>
      </c>
      <c r="F93" s="6">
        <f t="shared" si="13"/>
        <v>978842.66463083168</v>
      </c>
      <c r="G93" s="6">
        <f t="shared" si="9"/>
        <v>30004.268430395958</v>
      </c>
      <c r="H93" s="6">
        <f t="shared" si="10"/>
        <v>5201.3741513153136</v>
      </c>
      <c r="J93" s="9">
        <f t="shared" si="11"/>
        <v>2.5339000000000031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29.462399999999999</v>
      </c>
      <c r="E94" s="5">
        <f t="shared" si="8"/>
        <v>5.2812000000000001</v>
      </c>
      <c r="F94" s="6">
        <f t="shared" si="13"/>
        <v>1003645.5589099124</v>
      </c>
      <c r="G94" s="6">
        <f t="shared" si="9"/>
        <v>29569.806914827401</v>
      </c>
      <c r="H94" s="6">
        <f t="shared" si="10"/>
        <v>5300.4529257150289</v>
      </c>
      <c r="J94" s="9">
        <f t="shared" si="11"/>
        <v>2.4181200000000049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28.222399999999997</v>
      </c>
      <c r="E95" s="5">
        <f t="shared" si="8"/>
        <v>5.2486000000000006</v>
      </c>
      <c r="F95" s="6">
        <f t="shared" si="13"/>
        <v>1027914.9128990248</v>
      </c>
      <c r="G95" s="6">
        <f t="shared" si="9"/>
        <v>29010.225837801434</v>
      </c>
      <c r="H95" s="6">
        <f t="shared" si="10"/>
        <v>5395.114211841822</v>
      </c>
      <c r="J95" s="9">
        <f t="shared" si="11"/>
        <v>2.2973800000000013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27.627200000000002</v>
      </c>
      <c r="E96" s="5">
        <f t="shared" si="8"/>
        <v>5.1508000000000003</v>
      </c>
      <c r="F96" s="6">
        <f t="shared" si="13"/>
        <v>1051530.0245249844</v>
      </c>
      <c r="G96" s="6">
        <f t="shared" si="9"/>
        <v>29050.830293556653</v>
      </c>
      <c r="H96" s="6">
        <f t="shared" si="10"/>
        <v>5416.2208503232896</v>
      </c>
      <c r="J96" s="9">
        <f t="shared" si="11"/>
        <v>2.2476399999999988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27.131200000000003</v>
      </c>
      <c r="E97" s="5">
        <f t="shared" si="8"/>
        <v>5.0856000000000003</v>
      </c>
      <c r="F97" s="6">
        <f t="shared" si="13"/>
        <v>1075164.6339682178</v>
      </c>
      <c r="G97" s="6">
        <f t="shared" si="9"/>
        <v>29170.506717118515</v>
      </c>
      <c r="H97" s="6">
        <f t="shared" si="10"/>
        <v>5467.8572625087681</v>
      </c>
      <c r="J97" s="9">
        <f t="shared" si="11"/>
        <v>2.2045599999999985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27.032000000000004</v>
      </c>
      <c r="E98" s="5">
        <f t="shared" si="8"/>
        <v>5.0529999999999999</v>
      </c>
      <c r="F98" s="6">
        <f t="shared" si="13"/>
        <v>1098867.2834228275</v>
      </c>
      <c r="G98" s="6">
        <f t="shared" si="9"/>
        <v>29704.580405485875</v>
      </c>
      <c r="H98" s="6">
        <f t="shared" si="10"/>
        <v>5552.5763831355471</v>
      </c>
      <c r="J98" s="9">
        <f t="shared" si="11"/>
        <v>2.197899999999998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26.486400000000003</v>
      </c>
      <c r="E99" s="5">
        <f t="shared" si="8"/>
        <v>5.0204000000000004</v>
      </c>
      <c r="F99" s="6">
        <f t="shared" si="13"/>
        <v>1123019.2874451778</v>
      </c>
      <c r="G99" s="6">
        <f t="shared" si="9"/>
        <v>29744.73805498796</v>
      </c>
      <c r="H99" s="6">
        <f t="shared" si="10"/>
        <v>5638.0060306897713</v>
      </c>
      <c r="J99" s="9">
        <f t="shared" si="11"/>
        <v>2.1466000000000087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25.990400000000001</v>
      </c>
      <c r="E100" s="5">
        <f t="shared" si="8"/>
        <v>4.9878</v>
      </c>
      <c r="F100" s="6">
        <f t="shared" si="13"/>
        <v>1147126.0194694761</v>
      </c>
      <c r="G100" s="6">
        <f t="shared" si="9"/>
        <v>29814.264096419472</v>
      </c>
      <c r="H100" s="6">
        <f t="shared" si="10"/>
        <v>5721.6351599098525</v>
      </c>
      <c r="J100" s="9">
        <f t="shared" si="11"/>
        <v>2.1002599999999987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25.444800000000001</v>
      </c>
      <c r="E101" s="5">
        <f t="shared" si="8"/>
        <v>4.9552000000000005</v>
      </c>
      <c r="F101" s="6">
        <f t="shared" si="13"/>
        <v>1171218.6484059857</v>
      </c>
      <c r="G101" s="6">
        <f t="shared" si="9"/>
        <v>29801.424264960624</v>
      </c>
      <c r="H101" s="6">
        <f t="shared" si="10"/>
        <v>5803.6226465813406</v>
      </c>
      <c r="J101" s="9">
        <f t="shared" si="11"/>
        <v>2.0489600000000019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24.9984</v>
      </c>
      <c r="E102" s="5">
        <f t="shared" si="8"/>
        <v>4.9552000000000005</v>
      </c>
      <c r="F102" s="6">
        <f t="shared" si="13"/>
        <v>1195216.450024365</v>
      </c>
      <c r="G102" s="6">
        <f t="shared" si="9"/>
        <v>29878.498904289085</v>
      </c>
      <c r="H102" s="6">
        <f t="shared" si="10"/>
        <v>5922.5365531607331</v>
      </c>
      <c r="J102" s="9">
        <f t="shared" si="11"/>
        <v>2.0043199999999897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24.502400000000002</v>
      </c>
      <c r="E103" s="5">
        <f t="shared" si="8"/>
        <v>4.9552000000000005</v>
      </c>
      <c r="F103" s="6">
        <f t="shared" si="13"/>
        <v>1219172.4123754932</v>
      </c>
      <c r="G103" s="6">
        <f t="shared" si="9"/>
        <v>29872.650116989287</v>
      </c>
      <c r="H103" s="6">
        <f t="shared" si="10"/>
        <v>6041.2431378030442</v>
      </c>
      <c r="J103" s="9">
        <f t="shared" si="11"/>
        <v>1.954720000000018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24.056000000000001</v>
      </c>
      <c r="E104" s="5">
        <f t="shared" si="8"/>
        <v>4.9878</v>
      </c>
      <c r="F104" s="6">
        <f t="shared" si="13"/>
        <v>1243003.8193546797</v>
      </c>
      <c r="G104" s="6">
        <f t="shared" si="9"/>
        <v>29901.699878396175</v>
      </c>
      <c r="H104" s="6">
        <f t="shared" si="10"/>
        <v>6199.8544501772712</v>
      </c>
      <c r="J104" s="9">
        <f t="shared" si="11"/>
        <v>1.9068200000000131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23.659199999999998</v>
      </c>
      <c r="E105" s="5">
        <f t="shared" si="8"/>
        <v>5.0204000000000004</v>
      </c>
      <c r="F105" s="6">
        <f t="shared" si="13"/>
        <v>1266705.6647828987</v>
      </c>
      <c r="G105" s="6">
        <f t="shared" si="9"/>
        <v>29969.242664231559</v>
      </c>
      <c r="H105" s="6">
        <f t="shared" si="10"/>
        <v>6359.369119476065</v>
      </c>
      <c r="J105" s="9">
        <f t="shared" si="11"/>
        <v>1.863879999999992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23.2624</v>
      </c>
      <c r="E106" s="5">
        <f t="shared" si="8"/>
        <v>5.0529999999999999</v>
      </c>
      <c r="F106" s="6">
        <f t="shared" si="13"/>
        <v>1290315.5383276541</v>
      </c>
      <c r="G106" s="6">
        <f t="shared" si="9"/>
        <v>30015.836178793223</v>
      </c>
      <c r="H106" s="6">
        <f t="shared" si="10"/>
        <v>6519.9644151696357</v>
      </c>
      <c r="J106" s="9">
        <f t="shared" si="11"/>
        <v>1.8209400000000155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22.865600000000001</v>
      </c>
      <c r="E107" s="5">
        <f t="shared" si="8"/>
        <v>5.0856000000000003</v>
      </c>
      <c r="F107" s="6">
        <f t="shared" si="13"/>
        <v>1313811.4100912779</v>
      </c>
      <c r="G107" s="6">
        <f t="shared" si="9"/>
        <v>30041.086178583126</v>
      </c>
      <c r="H107" s="6">
        <f t="shared" si="10"/>
        <v>6681.5193071602034</v>
      </c>
      <c r="J107" s="9">
        <f t="shared" si="11"/>
        <v>1.7779999999999914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22.468800000000002</v>
      </c>
      <c r="E108" s="5">
        <f t="shared" si="8"/>
        <v>5.1508000000000003</v>
      </c>
      <c r="F108" s="6">
        <f t="shared" si="13"/>
        <v>1337170.9769627007</v>
      </c>
      <c r="G108" s="6">
        <f t="shared" si="9"/>
        <v>30044.627247179531</v>
      </c>
      <c r="H108" s="6">
        <f t="shared" si="10"/>
        <v>6887.5002681394799</v>
      </c>
      <c r="J108" s="9">
        <f t="shared" si="11"/>
        <v>1.7318000000000122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22.121600000000001</v>
      </c>
      <c r="E109" s="5">
        <f t="shared" si="8"/>
        <v>5.2160000000000002</v>
      </c>
      <c r="F109" s="6">
        <f t="shared" si="13"/>
        <v>1360328.1039417409</v>
      </c>
      <c r="G109" s="6">
        <f t="shared" si="9"/>
        <v>30092.634184157618</v>
      </c>
      <c r="H109" s="6">
        <f t="shared" si="10"/>
        <v>7095.4713901601208</v>
      </c>
      <c r="J109" s="9">
        <f t="shared" si="11"/>
        <v>1.6905600000000132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21.724800000000002</v>
      </c>
      <c r="E110" s="5">
        <f t="shared" si="8"/>
        <v>5.2812000000000001</v>
      </c>
      <c r="F110" s="6">
        <f t="shared" si="13"/>
        <v>1383325.2667357386</v>
      </c>
      <c r="G110" s="6">
        <f t="shared" si="9"/>
        <v>30052.464754780576</v>
      </c>
      <c r="H110" s="6">
        <f t="shared" si="10"/>
        <v>7305.6173986847825</v>
      </c>
      <c r="J110" s="9">
        <f t="shared" si="11"/>
        <v>1.6443599999999918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21.278400000000001</v>
      </c>
      <c r="E111" s="5">
        <f t="shared" si="8"/>
        <v>5.3464</v>
      </c>
      <c r="F111" s="6">
        <f t="shared" si="13"/>
        <v>1406072.1140918343</v>
      </c>
      <c r="G111" s="6">
        <f t="shared" si="9"/>
        <v>29918.964872491688</v>
      </c>
      <c r="H111" s="6">
        <f t="shared" si="10"/>
        <v>7517.4239507805823</v>
      </c>
      <c r="J111" s="9">
        <f t="shared" si="11"/>
        <v>1.5932000000000019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20.980799999999999</v>
      </c>
      <c r="E112" s="5">
        <f t="shared" si="8"/>
        <v>5.4116000000000009</v>
      </c>
      <c r="F112" s="6">
        <f t="shared" si="13"/>
        <v>1428473.6550135454</v>
      </c>
      <c r="G112" s="6">
        <f t="shared" si="9"/>
        <v>29970.520061108189</v>
      </c>
      <c r="H112" s="6">
        <f t="shared" si="10"/>
        <v>7730.3280314713038</v>
      </c>
      <c r="J112" s="9">
        <f t="shared" si="11"/>
        <v>1.5569200000000112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20.832000000000001</v>
      </c>
      <c r="E113" s="5">
        <f t="shared" si="8"/>
        <v>5.5094000000000003</v>
      </c>
      <c r="F113" s="6">
        <f t="shared" si="13"/>
        <v>1450713.8470431825</v>
      </c>
      <c r="G113" s="6">
        <f t="shared" si="9"/>
        <v>30221.270861603578</v>
      </c>
      <c r="H113" s="6">
        <f t="shared" si="10"/>
        <v>7992.5628688997094</v>
      </c>
      <c r="J113" s="9">
        <f t="shared" si="11"/>
        <v>1.5322600000000013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20.683199999999999</v>
      </c>
      <c r="E114" s="5">
        <f t="shared" si="8"/>
        <v>5.5094000000000003</v>
      </c>
      <c r="F114" s="6">
        <f t="shared" si="13"/>
        <v>1472942.5550358864</v>
      </c>
      <c r="G114" s="6">
        <f t="shared" si="9"/>
        <v>30465.165454318245</v>
      </c>
      <c r="H114" s="6">
        <f t="shared" si="10"/>
        <v>8115.0297127147132</v>
      </c>
      <c r="J114" s="9">
        <f t="shared" si="11"/>
        <v>1.5173800000000019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20.4848</v>
      </c>
      <c r="E115" s="5">
        <f t="shared" si="8"/>
        <v>5.5094000000000003</v>
      </c>
      <c r="F115" s="6">
        <f t="shared" si="13"/>
        <v>1495292.6907774899</v>
      </c>
      <c r="G115" s="6">
        <f t="shared" si="9"/>
        <v>30630.771712038724</v>
      </c>
      <c r="H115" s="6">
        <f t="shared" si="10"/>
        <v>8238.1655505695035</v>
      </c>
      <c r="J115" s="9">
        <f t="shared" si="11"/>
        <v>1.4975399999999937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20.2864</v>
      </c>
      <c r="E116" s="5">
        <f t="shared" si="8"/>
        <v>5.5094000000000003</v>
      </c>
      <c r="F116" s="6">
        <f t="shared" si="13"/>
        <v>1517685.296938959</v>
      </c>
      <c r="G116" s="6">
        <f t="shared" si="9"/>
        <v>30788.371007822498</v>
      </c>
      <c r="H116" s="6">
        <f t="shared" si="10"/>
        <v>8361.5353749555015</v>
      </c>
      <c r="J116" s="9">
        <f t="shared" si="11"/>
        <v>1.4776999999999967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20.038400000000003</v>
      </c>
      <c r="E117" s="5">
        <f t="shared" si="8"/>
        <v>5.5094000000000003</v>
      </c>
      <c r="F117" s="6">
        <f t="shared" si="13"/>
        <v>1540112.132571826</v>
      </c>
      <c r="G117" s="6">
        <f t="shared" si="9"/>
        <v>30861.382957327285</v>
      </c>
      <c r="H117" s="6">
        <f t="shared" si="10"/>
        <v>8485.0937831912197</v>
      </c>
      <c r="J117" s="9">
        <f t="shared" si="11"/>
        <v>1.4528999999999965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19.790400000000002</v>
      </c>
      <c r="E118" s="5">
        <f t="shared" si="8"/>
        <v>5.5746000000000011</v>
      </c>
      <c r="F118" s="6">
        <f t="shared" si="13"/>
        <v>1562488.421745962</v>
      </c>
      <c r="G118" s="6">
        <f t="shared" si="9"/>
        <v>30922.270861721288</v>
      </c>
      <c r="H118" s="6">
        <f t="shared" si="10"/>
        <v>8710.247955865043</v>
      </c>
      <c r="J118" s="9">
        <f t="shared" si="11"/>
        <v>1.4215800000000081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19.542400000000001</v>
      </c>
      <c r="E119" s="5">
        <f t="shared" si="8"/>
        <v>5.6398000000000001</v>
      </c>
      <c r="F119" s="6">
        <f t="shared" si="13"/>
        <v>1584700.4446518184</v>
      </c>
      <c r="G119" s="6">
        <f t="shared" si="9"/>
        <v>30968.849969563697</v>
      </c>
      <c r="H119" s="6">
        <f t="shared" si="10"/>
        <v>8937.3935677473255</v>
      </c>
      <c r="J119" s="9">
        <f t="shared" si="11"/>
        <v>1.3902599999999978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19.2944</v>
      </c>
      <c r="E120" s="5">
        <f t="shared" si="8"/>
        <v>5.7375999999999996</v>
      </c>
      <c r="F120" s="6">
        <f t="shared" si="13"/>
        <v>1606731.9010536347</v>
      </c>
      <c r="G120" s="6">
        <f t="shared" si="9"/>
        <v>31000.927991689248</v>
      </c>
      <c r="H120" s="6">
        <f t="shared" si="10"/>
        <v>9218.7849554853346</v>
      </c>
      <c r="J120" s="9">
        <f t="shared" si="11"/>
        <v>1.3556800000000007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19.096</v>
      </c>
      <c r="E121" s="5">
        <f t="shared" si="8"/>
        <v>5.8353999999999999</v>
      </c>
      <c r="F121" s="6">
        <f t="shared" si="13"/>
        <v>1628514.0440898386</v>
      </c>
      <c r="G121" s="6">
        <f t="shared" si="9"/>
        <v>31098.104185939559</v>
      </c>
      <c r="H121" s="6">
        <f t="shared" si="10"/>
        <v>9503.0308528818459</v>
      </c>
      <c r="J121" s="9">
        <f t="shared" si="11"/>
        <v>1.3260599999999914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1650109.1174228962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26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19" t="s">
        <v>23</v>
      </c>
      <c r="E126" s="19"/>
      <c r="F126" s="19"/>
    </row>
    <row r="127" spans="1:10" x14ac:dyDescent="0.25">
      <c r="A127" s="14" t="s">
        <v>0</v>
      </c>
      <c r="B127" s="15" t="s">
        <v>13</v>
      </c>
      <c r="C127" s="15" t="s">
        <v>19</v>
      </c>
      <c r="D127" s="16" t="s">
        <v>20</v>
      </c>
      <c r="E127" s="16" t="s">
        <v>21</v>
      </c>
      <c r="F127" s="16" t="s">
        <v>22</v>
      </c>
    </row>
    <row r="128" spans="1:10" x14ac:dyDescent="0.25">
      <c r="A128" s="11">
        <v>1926</v>
      </c>
      <c r="B128" s="11" t="s">
        <v>14</v>
      </c>
      <c r="C128" s="2">
        <v>351</v>
      </c>
      <c r="D128" s="13">
        <f>F16</f>
        <v>104579.66933179161</v>
      </c>
      <c r="E128" s="13">
        <f ca="1">OFFSET(INDIRECT(MID(_xlfn.FORMULATEXT(D128),2,255)),1,0)</f>
        <v>106510.21002765647</v>
      </c>
      <c r="F128" s="6">
        <f ca="1">D128*(E128/D128)^((C128-1)/365)</f>
        <v>106430.17500590743</v>
      </c>
    </row>
    <row r="129" spans="1:6" x14ac:dyDescent="0.25">
      <c r="A129" s="11">
        <v>1937</v>
      </c>
      <c r="B129" s="11" t="s">
        <v>15</v>
      </c>
      <c r="C129" s="2">
        <v>6</v>
      </c>
      <c r="D129" s="13">
        <f>F27</f>
        <v>129723.79502641302</v>
      </c>
      <c r="E129" s="13">
        <f t="shared" ref="E129:E134" ca="1" si="14">OFFSET(INDIRECT(MID(_xlfn.FORMULATEXT(D129),2,255)),1,0)</f>
        <v>132447.83905341366</v>
      </c>
      <c r="F129" s="6">
        <f t="shared" ref="F129:F134" ca="1" si="15">D129*(E129/D129)^((C129-1)/365)</f>
        <v>129760.72956261864</v>
      </c>
    </row>
    <row r="130" spans="1:6" x14ac:dyDescent="0.25">
      <c r="A130" s="11">
        <v>1939</v>
      </c>
      <c r="B130" s="12" t="s">
        <v>16</v>
      </c>
      <c r="C130" s="2">
        <v>17</v>
      </c>
      <c r="D130" s="13">
        <f>F29</f>
        <v>135313.74539485143</v>
      </c>
      <c r="E130" s="13">
        <f t="shared" ca="1" si="14"/>
        <v>138292.67749971908</v>
      </c>
      <c r="F130" s="6">
        <f t="shared" ca="1" si="15"/>
        <v>135442.97374698232</v>
      </c>
    </row>
    <row r="131" spans="1:6" x14ac:dyDescent="0.25">
      <c r="A131" s="12">
        <v>1959</v>
      </c>
      <c r="B131" s="12" t="s">
        <v>17</v>
      </c>
      <c r="C131" s="10">
        <v>15</v>
      </c>
      <c r="D131" s="13">
        <f>F49</f>
        <v>217599.87355745974</v>
      </c>
      <c r="E131" s="13">
        <f t="shared" ca="1" si="14"/>
        <v>224312.74261675795</v>
      </c>
      <c r="F131" s="6">
        <f t="shared" ca="1" si="15"/>
        <v>217853.60954876442</v>
      </c>
    </row>
    <row r="132" spans="1:6" x14ac:dyDescent="0.25">
      <c r="A132" s="12">
        <v>1970</v>
      </c>
      <c r="B132" s="12" t="s">
        <v>17</v>
      </c>
      <c r="C132" s="10">
        <v>15</v>
      </c>
      <c r="D132" s="13">
        <f>F60</f>
        <v>312657.54935523414</v>
      </c>
      <c r="E132" s="13">
        <f t="shared" ca="1" si="14"/>
        <v>324404.28107903991</v>
      </c>
      <c r="F132" s="6">
        <f t="shared" ca="1" si="15"/>
        <v>313100.16422710015</v>
      </c>
    </row>
    <row r="133" spans="1:6" x14ac:dyDescent="0.25">
      <c r="A133" s="12">
        <v>1979</v>
      </c>
      <c r="B133" s="12" t="s">
        <v>16</v>
      </c>
      <c r="C133" s="10">
        <v>17</v>
      </c>
      <c r="D133" s="13">
        <f>F69</f>
        <v>438615.61837625055</v>
      </c>
      <c r="E133" s="13">
        <f t="shared" ca="1" si="14"/>
        <v>455332.92633191933</v>
      </c>
      <c r="F133" s="6">
        <f t="shared" ca="1" si="15"/>
        <v>439335.40167115058</v>
      </c>
    </row>
    <row r="134" spans="1:6" x14ac:dyDescent="0.25">
      <c r="A134" s="12">
        <v>1989</v>
      </c>
      <c r="B134" s="12" t="s">
        <v>18</v>
      </c>
      <c r="C134" s="10">
        <v>12</v>
      </c>
      <c r="D134" s="13">
        <f>F79</f>
        <v>634565.50646161812</v>
      </c>
      <c r="E134" s="13">
        <f t="shared" ca="1" si="14"/>
        <v>656638.233038379</v>
      </c>
      <c r="F134" s="6">
        <f t="shared" ca="1" si="15"/>
        <v>635219.74116549885</v>
      </c>
    </row>
    <row r="135" spans="1:6" x14ac:dyDescent="0.25">
      <c r="A135" s="2"/>
      <c r="B135" s="2"/>
      <c r="C135" s="2"/>
      <c r="D135" s="2"/>
      <c r="E135" s="2"/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55"/>
  <sheetViews>
    <sheetView workbookViewId="0">
      <selection activeCell="A2" sqref="A2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28</v>
      </c>
    </row>
    <row r="4" spans="1:12" x14ac:dyDescent="0.25">
      <c r="D4" s="18" t="s">
        <v>3</v>
      </c>
      <c r="E4" s="18"/>
      <c r="F4" s="18" t="s">
        <v>11</v>
      </c>
      <c r="G4" s="18"/>
      <c r="H4" s="18"/>
      <c r="I4" s="18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7</v>
      </c>
      <c r="G5" s="16" t="s">
        <v>8</v>
      </c>
      <c r="H5" s="16" t="s">
        <v>9</v>
      </c>
      <c r="I5" s="16" t="s">
        <v>10</v>
      </c>
      <c r="J5" s="16" t="s">
        <v>12</v>
      </c>
      <c r="L5" s="16" t="s">
        <v>25</v>
      </c>
    </row>
    <row r="6" spans="1:12" x14ac:dyDescent="0.25">
      <c r="A6" s="2" t="s">
        <v>6</v>
      </c>
      <c r="B6" s="2"/>
      <c r="C6" s="2"/>
      <c r="D6" s="5">
        <v>49.6</v>
      </c>
      <c r="E6" s="5">
        <v>32.6</v>
      </c>
      <c r="F6" s="6">
        <v>89243</v>
      </c>
      <c r="L6" s="17" t="s">
        <v>24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25.296000000000003</v>
      </c>
      <c r="E7" s="5">
        <f>C7*$E$6</f>
        <v>32.6</v>
      </c>
      <c r="F7" s="6">
        <v>91000</v>
      </c>
      <c r="G7" s="6">
        <f>F7*D7/1000</f>
        <v>2301.9360000000006</v>
      </c>
      <c r="H7" s="6">
        <f>E7*F7/1000</f>
        <v>2966.6</v>
      </c>
      <c r="I7" s="1">
        <v>-54</v>
      </c>
      <c r="J7" s="9">
        <f>100 *(F8-F7) / F7</f>
        <v>-0.78974065934066406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29.759999999999998</v>
      </c>
      <c r="E8" s="5">
        <f t="shared" ref="E8:E71" si="1">C8*$E$6</f>
        <v>32.6</v>
      </c>
      <c r="F8" s="6">
        <f>F7+G7-H7+I7</f>
        <v>90281.335999999996</v>
      </c>
      <c r="G8" s="6">
        <f t="shared" ref="G8:G71" si="2">F8*D8/1000</f>
        <v>2686.7725593599998</v>
      </c>
      <c r="H8" s="6">
        <f t="shared" ref="H8:H71" si="3">E8*F8/1000</f>
        <v>2943.1715536000002</v>
      </c>
      <c r="I8" s="1">
        <v>-145</v>
      </c>
      <c r="J8" s="9">
        <f t="shared" ref="J8:J71" si="4">100 *(F9-F8) / F8</f>
        <v>-0.44460905434539988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49.6</v>
      </c>
      <c r="E9" s="5">
        <f t="shared" si="1"/>
        <v>32.6</v>
      </c>
      <c r="F9" s="6">
        <f t="shared" ref="F9:F72" si="6">F8+G8-H8+I8</f>
        <v>89879.937005760003</v>
      </c>
      <c r="G9" s="6">
        <f t="shared" si="2"/>
        <v>4458.0448754856961</v>
      </c>
      <c r="H9" s="6">
        <f t="shared" si="3"/>
        <v>2930.0859463877759</v>
      </c>
      <c r="I9" s="1">
        <v>1450</v>
      </c>
      <c r="J9" s="9">
        <f t="shared" si="4"/>
        <v>3.3132632579694357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49.6</v>
      </c>
      <c r="E10" s="5">
        <f t="shared" si="1"/>
        <v>32.6</v>
      </c>
      <c r="F10" s="6">
        <f t="shared" si="6"/>
        <v>92857.895934857923</v>
      </c>
      <c r="G10" s="6">
        <f t="shared" si="2"/>
        <v>4605.7516383689526</v>
      </c>
      <c r="H10" s="6">
        <f t="shared" si="3"/>
        <v>3027.1674074763682</v>
      </c>
      <c r="I10" s="1">
        <v>870</v>
      </c>
      <c r="J10" s="9">
        <f t="shared" si="4"/>
        <v>2.6369154784751099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49.6</v>
      </c>
      <c r="E11" s="5">
        <f t="shared" si="1"/>
        <v>32.6</v>
      </c>
      <c r="F11" s="6">
        <f t="shared" si="6"/>
        <v>95306.480165750501</v>
      </c>
      <c r="G11" s="6">
        <f t="shared" si="2"/>
        <v>4727.2014162212245</v>
      </c>
      <c r="H11" s="6">
        <f t="shared" si="3"/>
        <v>3106.9912534034665</v>
      </c>
      <c r="I11" s="1">
        <v>580</v>
      </c>
      <c r="J11" s="9">
        <f t="shared" si="4"/>
        <v>2.308563026345436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49.550400000000003</v>
      </c>
      <c r="E12" s="5">
        <f t="shared" si="1"/>
        <v>32.339199999999998</v>
      </c>
      <c r="F12" s="6">
        <f t="shared" si="6"/>
        <v>97506.690328568264</v>
      </c>
      <c r="G12" s="6">
        <f t="shared" si="2"/>
        <v>4831.4955084566891</v>
      </c>
      <c r="H12" s="6">
        <f t="shared" si="3"/>
        <v>3153.2883598736348</v>
      </c>
      <c r="J12" s="9">
        <f t="shared" si="4"/>
        <v>1.7211199999999989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49.4512</v>
      </c>
      <c r="E13" s="5">
        <f t="shared" si="1"/>
        <v>31.980600000000003</v>
      </c>
      <c r="F13" s="6">
        <f t="shared" si="6"/>
        <v>99184.897477151317</v>
      </c>
      <c r="G13" s="6">
        <f t="shared" si="2"/>
        <v>4904.8122021221052</v>
      </c>
      <c r="H13" s="6">
        <f t="shared" si="3"/>
        <v>3171.9925322577856</v>
      </c>
      <c r="J13" s="9">
        <f t="shared" si="4"/>
        <v>1.7470599999999952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49.352000000000004</v>
      </c>
      <c r="E14" s="5">
        <f t="shared" si="1"/>
        <v>31.5242</v>
      </c>
      <c r="F14" s="6">
        <f t="shared" si="6"/>
        <v>100917.71714701563</v>
      </c>
      <c r="G14" s="6">
        <f t="shared" si="2"/>
        <v>4980.4911766395162</v>
      </c>
      <c r="H14" s="6">
        <f t="shared" si="3"/>
        <v>3181.3502988859505</v>
      </c>
      <c r="J14" s="9">
        <f t="shared" si="4"/>
        <v>1.7827800000000036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49.203200000000002</v>
      </c>
      <c r="E15" s="5">
        <f t="shared" si="1"/>
        <v>31.067799999999998</v>
      </c>
      <c r="F15" s="6">
        <f t="shared" si="6"/>
        <v>102716.8580247692</v>
      </c>
      <c r="G15" s="6">
        <f t="shared" si="2"/>
        <v>5053.9981087643246</v>
      </c>
      <c r="H15" s="6">
        <f t="shared" si="3"/>
        <v>3191.1868017419247</v>
      </c>
      <c r="J15" s="9">
        <f t="shared" si="4"/>
        <v>1.8135400000000068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49.103999999999999</v>
      </c>
      <c r="E16" s="5">
        <f t="shared" si="1"/>
        <v>30.643999999999998</v>
      </c>
      <c r="F16" s="6">
        <f t="shared" si="6"/>
        <v>104579.66933179161</v>
      </c>
      <c r="G16" s="6">
        <f t="shared" si="2"/>
        <v>5135.2800828682948</v>
      </c>
      <c r="H16" s="6">
        <f t="shared" si="3"/>
        <v>3204.7393870034216</v>
      </c>
      <c r="J16" s="9">
        <f t="shared" si="4"/>
        <v>1.8459999999999945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48.955199999999998</v>
      </c>
      <c r="E17" s="5">
        <f t="shared" si="1"/>
        <v>30.220200000000002</v>
      </c>
      <c r="F17" s="6">
        <f t="shared" si="6"/>
        <v>106510.21002765647</v>
      </c>
      <c r="G17" s="6">
        <f t="shared" si="2"/>
        <v>5214.2286339459279</v>
      </c>
      <c r="H17" s="6">
        <f t="shared" si="3"/>
        <v>3218.7598490777846</v>
      </c>
      <c r="J17" s="9">
        <f t="shared" si="4"/>
        <v>1.8734999999999917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48.856000000000002</v>
      </c>
      <c r="E18" s="5">
        <f t="shared" si="1"/>
        <v>29.796400000000002</v>
      </c>
      <c r="F18" s="6">
        <f t="shared" si="6"/>
        <v>108505.67881252461</v>
      </c>
      <c r="G18" s="6">
        <f t="shared" si="2"/>
        <v>5301.1534440647029</v>
      </c>
      <c r="H18" s="6">
        <f t="shared" si="3"/>
        <v>3233.0786081695087</v>
      </c>
      <c r="J18" s="9">
        <f t="shared" si="4"/>
        <v>1.9059600000000025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48.7072</v>
      </c>
      <c r="E19" s="5">
        <f t="shared" si="1"/>
        <v>29.372600000000002</v>
      </c>
      <c r="F19" s="6">
        <f t="shared" si="6"/>
        <v>110573.75364841981</v>
      </c>
      <c r="G19" s="6">
        <f t="shared" si="2"/>
        <v>5385.737933704313</v>
      </c>
      <c r="H19" s="6">
        <f t="shared" si="3"/>
        <v>3247.8386364135758</v>
      </c>
      <c r="J19" s="9">
        <f t="shared" si="4"/>
        <v>1.9334599999999922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48.607999999999997</v>
      </c>
      <c r="E20" s="5">
        <f t="shared" si="1"/>
        <v>28.9162</v>
      </c>
      <c r="F20" s="6">
        <f t="shared" si="6"/>
        <v>112711.65294571054</v>
      </c>
      <c r="G20" s="6">
        <f t="shared" si="2"/>
        <v>5478.6880263850981</v>
      </c>
      <c r="H20" s="6">
        <f t="shared" si="3"/>
        <v>3259.1926989087551</v>
      </c>
      <c r="J20" s="9">
        <f t="shared" si="4"/>
        <v>1.9691800000000099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48.607999999999997</v>
      </c>
      <c r="E21" s="5">
        <f t="shared" si="1"/>
        <v>28.4924</v>
      </c>
      <c r="F21" s="6">
        <f t="shared" si="6"/>
        <v>114931.14827318689</v>
      </c>
      <c r="G21" s="6">
        <f t="shared" si="2"/>
        <v>5586.5732552630679</v>
      </c>
      <c r="H21" s="6">
        <f t="shared" si="3"/>
        <v>3274.6642490589502</v>
      </c>
      <c r="J21" s="9">
        <f t="shared" si="4"/>
        <v>2.0115600000000029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48.508800000000001</v>
      </c>
      <c r="E22" s="5">
        <f t="shared" si="1"/>
        <v>28.133800000000001</v>
      </c>
      <c r="F22" s="6">
        <f t="shared" si="6"/>
        <v>117243.05727939101</v>
      </c>
      <c r="G22" s="6">
        <f t="shared" si="2"/>
        <v>5687.3200169545225</v>
      </c>
      <c r="H22" s="6">
        <f t="shared" si="3"/>
        <v>3298.4927248869312</v>
      </c>
      <c r="J22" s="9">
        <f t="shared" si="4"/>
        <v>2.0374999999999908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48.36</v>
      </c>
      <c r="E23" s="5">
        <f t="shared" si="1"/>
        <v>28.003399999999999</v>
      </c>
      <c r="F23" s="6">
        <f t="shared" si="6"/>
        <v>119631.88457145859</v>
      </c>
      <c r="G23" s="6">
        <f t="shared" si="2"/>
        <v>5785.3979378757376</v>
      </c>
      <c r="H23" s="6">
        <f t="shared" si="3"/>
        <v>3350.0995164083834</v>
      </c>
      <c r="J23" s="9">
        <f t="shared" si="4"/>
        <v>2.0356599999999956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48.211199999999998</v>
      </c>
      <c r="E24" s="5">
        <f t="shared" si="1"/>
        <v>27.742599999999999</v>
      </c>
      <c r="F24" s="6">
        <f t="shared" si="6"/>
        <v>122067.18299292594</v>
      </c>
      <c r="G24" s="6">
        <f t="shared" si="2"/>
        <v>5885.0053727085506</v>
      </c>
      <c r="H24" s="6">
        <f t="shared" si="3"/>
        <v>3386.461030899547</v>
      </c>
      <c r="J24" s="9">
        <f t="shared" si="4"/>
        <v>2.0468599999999966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48.012799999999999</v>
      </c>
      <c r="E25" s="5">
        <f t="shared" si="1"/>
        <v>27.416599999999999</v>
      </c>
      <c r="F25" s="6">
        <f t="shared" si="6"/>
        <v>124565.72733473494</v>
      </c>
      <c r="G25" s="6">
        <f t="shared" si="2"/>
        <v>5980.7493533771612</v>
      </c>
      <c r="H25" s="6">
        <f t="shared" si="3"/>
        <v>3415.168720045494</v>
      </c>
      <c r="J25" s="9">
        <f t="shared" si="4"/>
        <v>2.0596200000000038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47.4176</v>
      </c>
      <c r="E26" s="5">
        <f t="shared" si="1"/>
        <v>27.025400000000001</v>
      </c>
      <c r="F26" s="6">
        <f t="shared" si="6"/>
        <v>127131.30796806661</v>
      </c>
      <c r="G26" s="6">
        <f t="shared" si="2"/>
        <v>6028.261508706596</v>
      </c>
      <c r="H26" s="6">
        <f t="shared" si="3"/>
        <v>3435.774450360188</v>
      </c>
      <c r="J26" s="9">
        <f t="shared" si="4"/>
        <v>2.0392199999999994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47.665599999999998</v>
      </c>
      <c r="E27" s="5">
        <f t="shared" si="1"/>
        <v>26.666799999999999</v>
      </c>
      <c r="F27" s="6">
        <f t="shared" si="6"/>
        <v>129723.79502641302</v>
      </c>
      <c r="G27" s="6">
        <f t="shared" si="2"/>
        <v>6183.362524210992</v>
      </c>
      <c r="H27" s="6">
        <f t="shared" si="3"/>
        <v>3459.3184972103504</v>
      </c>
      <c r="J27" s="9">
        <f t="shared" si="4"/>
        <v>2.0998799999999962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47.913600000000002</v>
      </c>
      <c r="E28" s="5">
        <f t="shared" si="1"/>
        <v>26.275600000000004</v>
      </c>
      <c r="F28" s="6">
        <f t="shared" si="6"/>
        <v>132447.83905341366</v>
      </c>
      <c r="G28" s="6">
        <f t="shared" si="2"/>
        <v>6346.0527812696409</v>
      </c>
      <c r="H28" s="6">
        <f t="shared" si="3"/>
        <v>3480.1464398318767</v>
      </c>
      <c r="J28" s="9">
        <f t="shared" si="4"/>
        <v>2.1638000000000073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48.062399999999997</v>
      </c>
      <c r="E29" s="5">
        <f t="shared" si="1"/>
        <v>26.047400000000003</v>
      </c>
      <c r="F29" s="6">
        <f t="shared" si="6"/>
        <v>135313.74539485143</v>
      </c>
      <c r="G29" s="6">
        <f t="shared" si="2"/>
        <v>6503.5033566655065</v>
      </c>
      <c r="H29" s="6">
        <f t="shared" si="3"/>
        <v>3524.5712517978536</v>
      </c>
      <c r="J29" s="9">
        <f t="shared" si="4"/>
        <v>2.2014999999999971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47.863999999999997</v>
      </c>
      <c r="E30" s="5">
        <f t="shared" si="1"/>
        <v>25.884400000000003</v>
      </c>
      <c r="F30" s="6">
        <f t="shared" si="6"/>
        <v>138292.67749971908</v>
      </c>
      <c r="G30" s="6">
        <f t="shared" si="2"/>
        <v>6619.240715846553</v>
      </c>
      <c r="H30" s="6">
        <f t="shared" si="3"/>
        <v>3579.6229814737289</v>
      </c>
      <c r="J30" s="9">
        <f t="shared" si="4"/>
        <v>2.1979600000000166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47.863999999999997</v>
      </c>
      <c r="E31" s="5">
        <f t="shared" si="1"/>
        <v>25.949600000000004</v>
      </c>
      <c r="F31" s="6">
        <f t="shared" si="6"/>
        <v>141332.29523409193</v>
      </c>
      <c r="G31" s="6">
        <f t="shared" si="2"/>
        <v>6764.7289790845753</v>
      </c>
      <c r="H31" s="6">
        <f t="shared" si="3"/>
        <v>3667.5165284065924</v>
      </c>
      <c r="J31" s="9">
        <f t="shared" si="4"/>
        <v>2.1914400000000076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47.715200000000003</v>
      </c>
      <c r="E32" s="5">
        <f t="shared" si="1"/>
        <v>25.917000000000002</v>
      </c>
      <c r="F32" s="6">
        <f t="shared" si="6"/>
        <v>144429.50768476992</v>
      </c>
      <c r="G32" s="6">
        <f t="shared" si="2"/>
        <v>6891.4828450803343</v>
      </c>
      <c r="H32" s="6">
        <f t="shared" si="3"/>
        <v>3743.1795506661824</v>
      </c>
      <c r="I32" s="1">
        <v>-90</v>
      </c>
      <c r="J32" s="9">
        <f t="shared" si="4"/>
        <v>2.1175058638911759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47.4176</v>
      </c>
      <c r="E33" s="5">
        <f t="shared" si="1"/>
        <v>25.688800000000001</v>
      </c>
      <c r="F33" s="6">
        <f t="shared" si="6"/>
        <v>147487.81097918408</v>
      </c>
      <c r="G33" s="6">
        <f t="shared" si="2"/>
        <v>6993.5180258865594</v>
      </c>
      <c r="H33" s="6">
        <f t="shared" si="3"/>
        <v>3788.7848786820646</v>
      </c>
      <c r="I33" s="1">
        <v>-90</v>
      </c>
      <c r="J33" s="9">
        <f t="shared" si="4"/>
        <v>2.1118580081469287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47.12</v>
      </c>
      <c r="E34" s="5">
        <f t="shared" si="1"/>
        <v>25.036800000000003</v>
      </c>
      <c r="F34" s="6">
        <f t="shared" si="6"/>
        <v>150602.54412638859</v>
      </c>
      <c r="G34" s="6">
        <f t="shared" si="2"/>
        <v>7096.3918792354298</v>
      </c>
      <c r="H34" s="6">
        <f t="shared" si="3"/>
        <v>3770.6057767835664</v>
      </c>
      <c r="I34" s="1">
        <v>-90</v>
      </c>
      <c r="J34" s="9">
        <f t="shared" si="4"/>
        <v>2.1485600533655758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46.6736</v>
      </c>
      <c r="E35" s="5">
        <f t="shared" si="1"/>
        <v>24.1892</v>
      </c>
      <c r="F35" s="6">
        <f t="shared" si="6"/>
        <v>153838.33022884044</v>
      </c>
      <c r="G35" s="6">
        <f t="shared" si="2"/>
        <v>7180.1886897688073</v>
      </c>
      <c r="H35" s="6">
        <f t="shared" si="3"/>
        <v>3721.226137571467</v>
      </c>
      <c r="J35" s="9">
        <f t="shared" si="4"/>
        <v>2.2484399999999973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46.326400000000007</v>
      </c>
      <c r="E36" s="5">
        <f t="shared" si="1"/>
        <v>23.700199999999999</v>
      </c>
      <c r="F36" s="6">
        <f t="shared" si="6"/>
        <v>157297.29278103777</v>
      </c>
      <c r="G36" s="6">
        <f t="shared" si="2"/>
        <v>7287.0173042914694</v>
      </c>
      <c r="H36" s="6">
        <f t="shared" si="3"/>
        <v>3727.977298369151</v>
      </c>
      <c r="J36" s="9">
        <f t="shared" si="4"/>
        <v>2.2626200000000187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46.078400000000002</v>
      </c>
      <c r="E37" s="5">
        <f t="shared" si="1"/>
        <v>23.211200000000002</v>
      </c>
      <c r="F37" s="6">
        <f t="shared" si="6"/>
        <v>160856.33278696012</v>
      </c>
      <c r="G37" s="6">
        <f t="shared" si="2"/>
        <v>7412.0024446906637</v>
      </c>
      <c r="H37" s="6">
        <f t="shared" si="3"/>
        <v>3733.668511584689</v>
      </c>
      <c r="J37" s="9">
        <f t="shared" si="4"/>
        <v>2.2867200000000056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45.681600000000003</v>
      </c>
      <c r="E38" s="5">
        <f t="shared" si="1"/>
        <v>22.754799999999999</v>
      </c>
      <c r="F38" s="6">
        <f t="shared" si="6"/>
        <v>164534.6667200661</v>
      </c>
      <c r="G38" s="6">
        <f t="shared" si="2"/>
        <v>7516.2068312393721</v>
      </c>
      <c r="H38" s="6">
        <f t="shared" si="3"/>
        <v>3743.9534342817601</v>
      </c>
      <c r="J38" s="9">
        <f t="shared" si="4"/>
        <v>2.2926800000000038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46.276800000000001</v>
      </c>
      <c r="E39" s="5">
        <f t="shared" si="1"/>
        <v>22.689599999999999</v>
      </c>
      <c r="F39" s="6">
        <f t="shared" si="6"/>
        <v>168306.92011702372</v>
      </c>
      <c r="G39" s="6">
        <f t="shared" si="2"/>
        <v>7788.7056808714842</v>
      </c>
      <c r="H39" s="6">
        <f t="shared" si="3"/>
        <v>3818.8166946872211</v>
      </c>
      <c r="J39" s="9">
        <f t="shared" si="4"/>
        <v>2.3587199999999999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46.723199999999999</v>
      </c>
      <c r="E40" s="5">
        <f t="shared" si="1"/>
        <v>22.722200000000001</v>
      </c>
      <c r="F40" s="6">
        <f t="shared" si="6"/>
        <v>172276.80910320798</v>
      </c>
      <c r="G40" s="6">
        <f t="shared" si="2"/>
        <v>8049.3238070910074</v>
      </c>
      <c r="H40" s="6">
        <f t="shared" si="3"/>
        <v>3914.5081118049129</v>
      </c>
      <c r="J40" s="9">
        <f t="shared" si="4"/>
        <v>2.400100000000013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47.020800000000001</v>
      </c>
      <c r="E41" s="5">
        <f t="shared" si="1"/>
        <v>22.624399999999998</v>
      </c>
      <c r="F41" s="6">
        <f t="shared" si="6"/>
        <v>176411.6247984941</v>
      </c>
      <c r="G41" s="6">
        <f t="shared" si="2"/>
        <v>8295.0157273250315</v>
      </c>
      <c r="H41" s="6">
        <f t="shared" si="3"/>
        <v>3991.2071640910499</v>
      </c>
      <c r="J41" s="9">
        <f t="shared" si="4"/>
        <v>2.4396399999999905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47.268799999999999</v>
      </c>
      <c r="E42" s="5">
        <f t="shared" si="1"/>
        <v>22.428799999999999</v>
      </c>
      <c r="F42" s="6">
        <f t="shared" si="6"/>
        <v>180715.43336172806</v>
      </c>
      <c r="G42" s="6">
        <f t="shared" si="2"/>
        <v>8542.2016764888522</v>
      </c>
      <c r="H42" s="6">
        <f t="shared" si="3"/>
        <v>4053.2303117835263</v>
      </c>
      <c r="J42" s="9">
        <f t="shared" si="4"/>
        <v>2.4840000000000018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47.467199999999998</v>
      </c>
      <c r="E43" s="5">
        <f t="shared" si="1"/>
        <v>22.135400000000004</v>
      </c>
      <c r="F43" s="6">
        <f t="shared" si="6"/>
        <v>185204.40472643339</v>
      </c>
      <c r="G43" s="6">
        <f t="shared" si="2"/>
        <v>8791.1345200305586</v>
      </c>
      <c r="H43" s="6">
        <f t="shared" si="3"/>
        <v>4099.5735803814941</v>
      </c>
      <c r="J43" s="9">
        <f t="shared" si="4"/>
        <v>2.533179999999998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47.566400000000002</v>
      </c>
      <c r="E44" s="5">
        <f t="shared" si="1"/>
        <v>21.809400000000004</v>
      </c>
      <c r="F44" s="6">
        <f t="shared" si="6"/>
        <v>189895.96566608245</v>
      </c>
      <c r="G44" s="6">
        <f t="shared" si="2"/>
        <v>9032.6674612591451</v>
      </c>
      <c r="H44" s="6">
        <f t="shared" si="3"/>
        <v>4141.51707359786</v>
      </c>
      <c r="J44" s="9">
        <f t="shared" si="4"/>
        <v>2.575700000000007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47.616</v>
      </c>
      <c r="E45" s="5">
        <f t="shared" si="1"/>
        <v>21.320400000000003</v>
      </c>
      <c r="F45" s="6">
        <f t="shared" si="6"/>
        <v>194787.11605374375</v>
      </c>
      <c r="G45" s="6">
        <f t="shared" si="2"/>
        <v>9274.9833180150636</v>
      </c>
      <c r="H45" s="6">
        <f t="shared" si="3"/>
        <v>4152.9392291122394</v>
      </c>
      <c r="J45" s="9">
        <f t="shared" si="4"/>
        <v>2.6295600000000006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47.764800000000001</v>
      </c>
      <c r="E46" s="5">
        <f t="shared" si="1"/>
        <v>20.375</v>
      </c>
      <c r="F46" s="6">
        <f t="shared" si="6"/>
        <v>199909.16014264658</v>
      </c>
      <c r="G46" s="6">
        <f t="shared" si="2"/>
        <v>9548.6210523814862</v>
      </c>
      <c r="H46" s="6">
        <f t="shared" si="3"/>
        <v>4073.1491379064241</v>
      </c>
      <c r="J46" s="9">
        <f t="shared" si="4"/>
        <v>2.7389800000000122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47.863999999999997</v>
      </c>
      <c r="E47" s="5">
        <f t="shared" si="1"/>
        <v>19.2014</v>
      </c>
      <c r="F47" s="6">
        <f t="shared" si="6"/>
        <v>205384.63205712166</v>
      </c>
      <c r="G47" s="6">
        <f t="shared" si="2"/>
        <v>9830.5300287820719</v>
      </c>
      <c r="H47" s="6">
        <f t="shared" si="3"/>
        <v>3943.6724739816154</v>
      </c>
      <c r="J47" s="9">
        <f t="shared" si="4"/>
        <v>2.8662600000000018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48.112000000000002</v>
      </c>
      <c r="E48" s="5">
        <f t="shared" si="1"/>
        <v>18.158200000000001</v>
      </c>
      <c r="F48" s="6">
        <f t="shared" si="6"/>
        <v>211271.48961192212</v>
      </c>
      <c r="G48" s="6">
        <f t="shared" si="2"/>
        <v>10164.693908208797</v>
      </c>
      <c r="H48" s="6">
        <f t="shared" si="3"/>
        <v>3836.3099626712046</v>
      </c>
      <c r="J48" s="9">
        <f t="shared" si="4"/>
        <v>2.9953800000000101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48.062399999999997</v>
      </c>
      <c r="E49" s="5">
        <f t="shared" si="1"/>
        <v>17.212800000000001</v>
      </c>
      <c r="F49" s="6">
        <f t="shared" si="6"/>
        <v>217599.87355745974</v>
      </c>
      <c r="G49" s="6">
        <f t="shared" si="2"/>
        <v>10458.372162868052</v>
      </c>
      <c r="H49" s="6">
        <f t="shared" si="3"/>
        <v>3745.5031035698435</v>
      </c>
      <c r="J49" s="9">
        <f t="shared" si="4"/>
        <v>3.0849600000000033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47.764800000000001</v>
      </c>
      <c r="E50" s="5">
        <f t="shared" si="1"/>
        <v>16.952000000000002</v>
      </c>
      <c r="F50" s="6">
        <f t="shared" si="6"/>
        <v>224312.74261675795</v>
      </c>
      <c r="G50" s="6">
        <f t="shared" si="2"/>
        <v>10714.25328854092</v>
      </c>
      <c r="H50" s="6">
        <f t="shared" si="3"/>
        <v>3802.5496128392811</v>
      </c>
      <c r="J50" s="9">
        <f t="shared" si="4"/>
        <v>3.0812800000000098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47.764800000000001</v>
      </c>
      <c r="E51" s="5">
        <f t="shared" si="1"/>
        <v>16.4956</v>
      </c>
      <c r="F51" s="6">
        <f t="shared" si="6"/>
        <v>231224.44629245962</v>
      </c>
      <c r="G51" s="6">
        <f t="shared" si="2"/>
        <v>11044.389432270076</v>
      </c>
      <c r="H51" s="6">
        <f t="shared" si="3"/>
        <v>3814.1859762618965</v>
      </c>
      <c r="J51" s="9">
        <f t="shared" si="4"/>
        <v>3.1269200000000077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47.913600000000002</v>
      </c>
      <c r="E52" s="5">
        <f t="shared" si="1"/>
        <v>16.365200000000002</v>
      </c>
      <c r="F52" s="6">
        <f t="shared" si="6"/>
        <v>238454.64974846781</v>
      </c>
      <c r="G52" s="6">
        <f t="shared" si="2"/>
        <v>11425.220706188187</v>
      </c>
      <c r="H52" s="6">
        <f t="shared" si="3"/>
        <v>3902.3580340636258</v>
      </c>
      <c r="J52" s="9">
        <f t="shared" si="4"/>
        <v>3.1548399999999961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47.963200000000001</v>
      </c>
      <c r="E53" s="5">
        <f t="shared" si="1"/>
        <v>16.0718</v>
      </c>
      <c r="F53" s="6">
        <f t="shared" si="6"/>
        <v>245977.51242059236</v>
      </c>
      <c r="G53" s="6">
        <f t="shared" si="2"/>
        <v>11797.868623731356</v>
      </c>
      <c r="H53" s="6">
        <f t="shared" si="3"/>
        <v>3953.3013841212764</v>
      </c>
      <c r="J53" s="9">
        <f t="shared" si="4"/>
        <v>3.1891400000000085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48.409599999999998</v>
      </c>
      <c r="E54" s="5">
        <f t="shared" si="1"/>
        <v>15.4198</v>
      </c>
      <c r="F54" s="6">
        <f t="shared" si="6"/>
        <v>253822.07966020246</v>
      </c>
      <c r="G54" s="6">
        <f t="shared" si="2"/>
        <v>12287.425347518538</v>
      </c>
      <c r="H54" s="6">
        <f t="shared" si="3"/>
        <v>3913.8857039443901</v>
      </c>
      <c r="J54" s="9">
        <f t="shared" si="4"/>
        <v>3.2989800000000153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48.260800000000003</v>
      </c>
      <c r="E55" s="5">
        <f t="shared" si="1"/>
        <v>14.376600000000002</v>
      </c>
      <c r="F55" s="6">
        <f t="shared" si="6"/>
        <v>262195.61930377665</v>
      </c>
      <c r="G55" s="6">
        <f t="shared" si="2"/>
        <v>12653.770344095705</v>
      </c>
      <c r="H55" s="6">
        <f t="shared" si="3"/>
        <v>3769.4815404826759</v>
      </c>
      <c r="J55" s="9">
        <f t="shared" si="4"/>
        <v>3.3884200000000066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48.7072</v>
      </c>
      <c r="E56" s="5">
        <f t="shared" si="1"/>
        <v>13.724600000000001</v>
      </c>
      <c r="F56" s="6">
        <f t="shared" si="6"/>
        <v>271079.9081073897</v>
      </c>
      <c r="G56" s="6">
        <f t="shared" si="2"/>
        <v>13203.543300168252</v>
      </c>
      <c r="H56" s="6">
        <f t="shared" si="3"/>
        <v>3720.4633068106809</v>
      </c>
      <c r="J56" s="9">
        <f t="shared" si="4"/>
        <v>3.4982599999999859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49.103999999999999</v>
      </c>
      <c r="E57" s="5">
        <f t="shared" si="1"/>
        <v>12.974800000000002</v>
      </c>
      <c r="F57" s="6">
        <f t="shared" si="6"/>
        <v>280562.98810074723</v>
      </c>
      <c r="G57" s="6">
        <f t="shared" si="2"/>
        <v>13776.764967699091</v>
      </c>
      <c r="H57" s="6">
        <f t="shared" si="3"/>
        <v>3640.2486580095756</v>
      </c>
      <c r="J57" s="9">
        <f t="shared" si="4"/>
        <v>3.6129199999999932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49.352000000000004</v>
      </c>
      <c r="E58" s="5">
        <f t="shared" si="1"/>
        <v>12.648800000000001</v>
      </c>
      <c r="F58" s="6">
        <f t="shared" si="6"/>
        <v>290699.50441043673</v>
      </c>
      <c r="G58" s="6">
        <f t="shared" si="2"/>
        <v>14346.601941663874</v>
      </c>
      <c r="H58" s="6">
        <f t="shared" si="3"/>
        <v>3676.9998913867325</v>
      </c>
      <c r="J58" s="9">
        <f t="shared" si="4"/>
        <v>3.6703200000000105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49.649599999999992</v>
      </c>
      <c r="E59" s="5">
        <f t="shared" si="1"/>
        <v>12.192400000000001</v>
      </c>
      <c r="F59" s="6">
        <f t="shared" si="6"/>
        <v>301369.1064607139</v>
      </c>
      <c r="G59" s="6">
        <f t="shared" si="2"/>
        <v>14962.855588131859</v>
      </c>
      <c r="H59" s="6">
        <f t="shared" si="3"/>
        <v>3674.4126936116086</v>
      </c>
      <c r="J59" s="9">
        <f t="shared" si="4"/>
        <v>3.7457199999999951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49.6</v>
      </c>
      <c r="E60" s="5">
        <f t="shared" si="1"/>
        <v>12.029400000000001</v>
      </c>
      <c r="F60" s="6">
        <f t="shared" si="6"/>
        <v>312657.54935523414</v>
      </c>
      <c r="G60" s="6">
        <f t="shared" si="2"/>
        <v>15507.814448019615</v>
      </c>
      <c r="H60" s="6">
        <f t="shared" si="3"/>
        <v>3761.0827242138539</v>
      </c>
      <c r="J60" s="9">
        <f t="shared" si="4"/>
        <v>3.7570600000000045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49.401600000000002</v>
      </c>
      <c r="E61" s="5">
        <f t="shared" si="1"/>
        <v>11.573</v>
      </c>
      <c r="F61" s="6">
        <f t="shared" si="6"/>
        <v>324404.28107903991</v>
      </c>
      <c r="G61" s="6">
        <f t="shared" si="2"/>
        <v>16026.0905321543</v>
      </c>
      <c r="H61" s="6">
        <f t="shared" si="3"/>
        <v>3754.330744927729</v>
      </c>
      <c r="J61" s="9">
        <f t="shared" si="4"/>
        <v>3.7828599999999977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49.153600000000004</v>
      </c>
      <c r="E62" s="5">
        <f t="shared" si="1"/>
        <v>11.2796</v>
      </c>
      <c r="F62" s="6">
        <f t="shared" si="6"/>
        <v>336676.04086626647</v>
      </c>
      <c r="G62" s="6">
        <f t="shared" si="2"/>
        <v>16548.839442324115</v>
      </c>
      <c r="H62" s="6">
        <f t="shared" si="3"/>
        <v>3797.5710705551392</v>
      </c>
      <c r="J62" s="9">
        <f t="shared" si="4"/>
        <v>3.7874000000000052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49.054400000000001</v>
      </c>
      <c r="E63" s="5">
        <f t="shared" si="1"/>
        <v>10.758000000000001</v>
      </c>
      <c r="F63" s="6">
        <f t="shared" si="6"/>
        <v>349427.30923803546</v>
      </c>
      <c r="G63" s="6">
        <f t="shared" si="2"/>
        <v>17140.946998286287</v>
      </c>
      <c r="H63" s="6">
        <f t="shared" si="3"/>
        <v>3759.1389927827859</v>
      </c>
      <c r="J63" s="9">
        <f t="shared" si="4"/>
        <v>3.8296399999999982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48.9056</v>
      </c>
      <c r="E64" s="5">
        <f t="shared" si="1"/>
        <v>10.432</v>
      </c>
      <c r="F64" s="6">
        <f t="shared" si="6"/>
        <v>362809.11724353896</v>
      </c>
      <c r="G64" s="6">
        <f t="shared" si="2"/>
        <v>17743.397564265619</v>
      </c>
      <c r="H64" s="6">
        <f t="shared" si="3"/>
        <v>3784.8247110845987</v>
      </c>
      <c r="J64" s="9">
        <f t="shared" si="4"/>
        <v>3.8473600000000068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48.806400000000004</v>
      </c>
      <c r="E65" s="5">
        <f t="shared" si="1"/>
        <v>10.203800000000001</v>
      </c>
      <c r="F65" s="6">
        <f t="shared" si="6"/>
        <v>376767.69009672001</v>
      </c>
      <c r="G65" s="6">
        <f t="shared" si="2"/>
        <v>18388.67458993656</v>
      </c>
      <c r="H65" s="6">
        <f t="shared" si="3"/>
        <v>3844.4621562089119</v>
      </c>
      <c r="J65" s="9">
        <f t="shared" si="4"/>
        <v>3.8602599999999971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48.806400000000004</v>
      </c>
      <c r="E66" s="5">
        <f t="shared" si="1"/>
        <v>9.910400000000001</v>
      </c>
      <c r="F66" s="6">
        <f t="shared" si="6"/>
        <v>391311.90253044764</v>
      </c>
      <c r="G66" s="6">
        <f t="shared" si="2"/>
        <v>19098.525239662042</v>
      </c>
      <c r="H66" s="6">
        <f t="shared" si="3"/>
        <v>3878.0574788377485</v>
      </c>
      <c r="J66" s="9">
        <f t="shared" si="4"/>
        <v>3.8896000000000042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48.459200000000003</v>
      </c>
      <c r="E67" s="5">
        <f t="shared" si="1"/>
        <v>9.7474000000000007</v>
      </c>
      <c r="F67" s="6">
        <f t="shared" si="6"/>
        <v>406532.37029127195</v>
      </c>
      <c r="G67" s="6">
        <f t="shared" si="2"/>
        <v>19700.233438418807</v>
      </c>
      <c r="H67" s="6">
        <f t="shared" si="3"/>
        <v>3962.6336261771444</v>
      </c>
      <c r="J67" s="9">
        <f t="shared" si="4"/>
        <v>3.8711800000000043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48.260800000000003</v>
      </c>
      <c r="E68" s="5">
        <f t="shared" si="1"/>
        <v>9.5518000000000001</v>
      </c>
      <c r="F68" s="6">
        <f t="shared" si="6"/>
        <v>422269.97010351362</v>
      </c>
      <c r="G68" s="6">
        <f t="shared" si="2"/>
        <v>20379.086573171651</v>
      </c>
      <c r="H68" s="6">
        <f t="shared" si="3"/>
        <v>4033.4383004347414</v>
      </c>
      <c r="J68" s="9">
        <f t="shared" si="4"/>
        <v>3.8709000000000047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47.665599999999998</v>
      </c>
      <c r="E69" s="5">
        <f t="shared" si="1"/>
        <v>9.5518000000000001</v>
      </c>
      <c r="F69" s="6">
        <f t="shared" si="6"/>
        <v>438615.61837625055</v>
      </c>
      <c r="G69" s="6">
        <f t="shared" si="2"/>
        <v>20906.876619275008</v>
      </c>
      <c r="H69" s="6">
        <f t="shared" si="3"/>
        <v>4189.5686636062701</v>
      </c>
      <c r="J69" s="9">
        <f t="shared" si="4"/>
        <v>3.8113800000000082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47.219200000000001</v>
      </c>
      <c r="E70" s="5">
        <f t="shared" si="1"/>
        <v>9.5191999999999997</v>
      </c>
      <c r="F70" s="6">
        <f t="shared" si="6"/>
        <v>455332.92633191933</v>
      </c>
      <c r="G70" s="6">
        <f t="shared" si="2"/>
        <v>21500.456515052167</v>
      </c>
      <c r="H70" s="6">
        <f t="shared" si="3"/>
        <v>4334.405192338807</v>
      </c>
      <c r="J70" s="9">
        <f t="shared" si="4"/>
        <v>3.770000000000004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47.318399999999997</v>
      </c>
      <c r="E71" s="5">
        <f t="shared" si="1"/>
        <v>9.4214000000000002</v>
      </c>
      <c r="F71" s="6">
        <f t="shared" si="6"/>
        <v>472498.9776546327</v>
      </c>
      <c r="G71" s="6">
        <f t="shared" si="2"/>
        <v>22357.895624252971</v>
      </c>
      <c r="H71" s="6">
        <f t="shared" si="3"/>
        <v>4451.6018680753568</v>
      </c>
      <c r="J71" s="9">
        <f t="shared" si="4"/>
        <v>3.7896999999999945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47.169600000000003</v>
      </c>
      <c r="E72" s="5">
        <f t="shared" ref="E72:E121" si="8">C72*$E$6</f>
        <v>9.2584</v>
      </c>
      <c r="F72" s="6">
        <f t="shared" si="6"/>
        <v>490405.2714108103</v>
      </c>
      <c r="G72" s="6">
        <f t="shared" ref="G72:G121" si="9">F72*D72/1000</f>
        <v>23132.220490339358</v>
      </c>
      <c r="H72" s="6">
        <f t="shared" ref="H72:H121" si="10">E72*F72/1000</f>
        <v>4540.3681648298461</v>
      </c>
      <c r="J72" s="9">
        <f t="shared" ref="J72:J121" si="11">100 *(F73-F72) / F72</f>
        <v>3.7911199999999932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46.971199999999996</v>
      </c>
      <c r="E73" s="5">
        <f t="shared" si="8"/>
        <v>8.9324000000000012</v>
      </c>
      <c r="F73" s="6">
        <f t="shared" ref="F73:F122" si="13">F72+G72-H72+I72</f>
        <v>508997.12373631977</v>
      </c>
      <c r="G73" s="6">
        <f t="shared" si="9"/>
        <v>23908.20569844342</v>
      </c>
      <c r="H73" s="6">
        <f t="shared" si="10"/>
        <v>4546.5659080623036</v>
      </c>
      <c r="J73" s="9">
        <f t="shared" si="11"/>
        <v>3.8038800000000017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46.623999999999995</v>
      </c>
      <c r="E74" s="5">
        <f t="shared" si="8"/>
        <v>8.345600000000001</v>
      </c>
      <c r="F74" s="6">
        <f t="shared" si="13"/>
        <v>528358.7635267009</v>
      </c>
      <c r="G74" s="6">
        <f t="shared" si="9"/>
        <v>24634.198990668901</v>
      </c>
      <c r="H74" s="6">
        <f t="shared" si="10"/>
        <v>4409.4708968884361</v>
      </c>
      <c r="J74" s="9">
        <f t="shared" si="11"/>
        <v>3.8278399999999988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45.979200000000006</v>
      </c>
      <c r="E75" s="5">
        <f t="shared" si="8"/>
        <v>7.9218000000000002</v>
      </c>
      <c r="F75" s="6">
        <f t="shared" si="13"/>
        <v>548583.49162048136</v>
      </c>
      <c r="G75" s="6">
        <f t="shared" si="9"/>
        <v>25223.43007791644</v>
      </c>
      <c r="H75" s="6">
        <f t="shared" si="10"/>
        <v>4345.7687039191296</v>
      </c>
      <c r="J75" s="9">
        <f t="shared" si="11"/>
        <v>3.8057400000000059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45.086400000000005</v>
      </c>
      <c r="E76" s="5">
        <f t="shared" si="8"/>
        <v>7.563200000000001</v>
      </c>
      <c r="F76" s="6">
        <f t="shared" si="13"/>
        <v>569461.1529944787</v>
      </c>
      <c r="G76" s="6">
        <f t="shared" si="9"/>
        <v>25674.953328370266</v>
      </c>
      <c r="H76" s="6">
        <f t="shared" si="10"/>
        <v>4306.9485923278417</v>
      </c>
      <c r="J76" s="9">
        <f t="shared" si="11"/>
        <v>3.7523199999999868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43.995200000000004</v>
      </c>
      <c r="E77" s="5">
        <f t="shared" si="8"/>
        <v>7.3350000000000009</v>
      </c>
      <c r="F77" s="6">
        <f t="shared" si="13"/>
        <v>590829.15773052105</v>
      </c>
      <c r="G77" s="6">
        <f t="shared" si="9"/>
        <v>25993.646960185823</v>
      </c>
      <c r="H77" s="6">
        <f t="shared" si="10"/>
        <v>4333.7318719533732</v>
      </c>
      <c r="J77" s="9">
        <f t="shared" si="11"/>
        <v>3.6660200000000072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43.052799999999998</v>
      </c>
      <c r="E78" s="5">
        <f t="shared" si="8"/>
        <v>7.0090000000000003</v>
      </c>
      <c r="F78" s="6">
        <f t="shared" si="13"/>
        <v>612489.07281875354</v>
      </c>
      <c r="G78" s="6">
        <f t="shared" si="9"/>
        <v>26369.369554251232</v>
      </c>
      <c r="H78" s="6">
        <f t="shared" si="10"/>
        <v>4292.935911386644</v>
      </c>
      <c r="J78" s="9">
        <f t="shared" si="11"/>
        <v>3.6043799999999981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41.564799999999998</v>
      </c>
      <c r="E79" s="5">
        <f t="shared" si="8"/>
        <v>6.7808000000000002</v>
      </c>
      <c r="F79" s="6">
        <f t="shared" si="13"/>
        <v>634565.50646161812</v>
      </c>
      <c r="G79" s="6">
        <f t="shared" si="9"/>
        <v>26375.588362975861</v>
      </c>
      <c r="H79" s="6">
        <f t="shared" si="10"/>
        <v>4302.8617862149404</v>
      </c>
      <c r="J79" s="9">
        <f t="shared" si="11"/>
        <v>3.4783999999999926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40.176000000000002</v>
      </c>
      <c r="E80" s="5">
        <f t="shared" si="8"/>
        <v>6.6178000000000008</v>
      </c>
      <c r="F80" s="6">
        <f t="shared" si="13"/>
        <v>656638.233038379</v>
      </c>
      <c r="G80" s="6">
        <f t="shared" si="9"/>
        <v>26381.097650549913</v>
      </c>
      <c r="H80" s="6">
        <f t="shared" si="10"/>
        <v>4345.5004986013855</v>
      </c>
      <c r="J80" s="9">
        <f t="shared" si="11"/>
        <v>3.3558200000000116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38.7376</v>
      </c>
      <c r="E81" s="5">
        <f t="shared" si="8"/>
        <v>6.3570000000000002</v>
      </c>
      <c r="F81" s="6">
        <f t="shared" si="13"/>
        <v>678673.8301903276</v>
      </c>
      <c r="G81" s="6">
        <f t="shared" si="9"/>
        <v>26290.195364380837</v>
      </c>
      <c r="H81" s="6">
        <f t="shared" si="10"/>
        <v>4314.3295385199126</v>
      </c>
      <c r="J81" s="9">
        <f t="shared" si="11"/>
        <v>3.2380599999999933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38.142400000000002</v>
      </c>
      <c r="E82" s="5">
        <f t="shared" si="8"/>
        <v>6.0310000000000006</v>
      </c>
      <c r="F82" s="6">
        <f t="shared" si="13"/>
        <v>700649.69601618848</v>
      </c>
      <c r="G82" s="6">
        <f t="shared" si="9"/>
        <v>26724.460965327871</v>
      </c>
      <c r="H82" s="6">
        <f t="shared" si="10"/>
        <v>4225.6183166736328</v>
      </c>
      <c r="J82" s="9">
        <f t="shared" si="11"/>
        <v>3.2111400000000017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37.745600000000003</v>
      </c>
      <c r="E83" s="5">
        <f t="shared" si="8"/>
        <v>5.8680000000000003</v>
      </c>
      <c r="F83" s="6">
        <f t="shared" si="13"/>
        <v>723148.53866484272</v>
      </c>
      <c r="G83" s="6">
        <f t="shared" si="9"/>
        <v>27295.675481027687</v>
      </c>
      <c r="H83" s="6">
        <f t="shared" si="10"/>
        <v>4243.4356248852973</v>
      </c>
      <c r="J83" s="9">
        <f t="shared" si="11"/>
        <v>3.1877600000000061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37.596800000000002</v>
      </c>
      <c r="E84" s="5">
        <f t="shared" si="8"/>
        <v>5.7375999999999996</v>
      </c>
      <c r="F84" s="6">
        <f t="shared" si="13"/>
        <v>746200.77852098516</v>
      </c>
      <c r="G84" s="6">
        <f t="shared" si="9"/>
        <v>28054.761429897779</v>
      </c>
      <c r="H84" s="6">
        <f t="shared" si="10"/>
        <v>4281.4015868420038</v>
      </c>
      <c r="J84" s="9">
        <f t="shared" si="11"/>
        <v>3.1859199999999928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37.497599999999998</v>
      </c>
      <c r="E85" s="5">
        <f t="shared" si="8"/>
        <v>5.5746000000000011</v>
      </c>
      <c r="F85" s="6">
        <f t="shared" si="13"/>
        <v>769974.13836404087</v>
      </c>
      <c r="G85" s="6">
        <f t="shared" si="9"/>
        <v>28872.182250719459</v>
      </c>
      <c r="H85" s="6">
        <f t="shared" si="10"/>
        <v>4292.2978317241823</v>
      </c>
      <c r="J85" s="9">
        <f t="shared" si="11"/>
        <v>3.1922999999999946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37.745600000000003</v>
      </c>
      <c r="E86" s="5">
        <f t="shared" si="8"/>
        <v>5.4116000000000009</v>
      </c>
      <c r="F86" s="6">
        <f t="shared" si="13"/>
        <v>794554.02278303611</v>
      </c>
      <c r="G86" s="6">
        <f t="shared" si="9"/>
        <v>29990.918322359372</v>
      </c>
      <c r="H86" s="6">
        <f t="shared" si="10"/>
        <v>4299.8085496926788</v>
      </c>
      <c r="J86" s="9">
        <f t="shared" si="11"/>
        <v>3.2334000000000023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37.448</v>
      </c>
      <c r="E87" s="5">
        <f t="shared" si="8"/>
        <v>5.3138000000000005</v>
      </c>
      <c r="F87" s="6">
        <f t="shared" si="13"/>
        <v>820245.13255570282</v>
      </c>
      <c r="G87" s="6">
        <f t="shared" si="9"/>
        <v>30716.53972394596</v>
      </c>
      <c r="H87" s="6">
        <f t="shared" si="10"/>
        <v>4358.6185853744937</v>
      </c>
      <c r="J87" s="9">
        <f t="shared" si="11"/>
        <v>3.2134200000000135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36.852800000000002</v>
      </c>
      <c r="E88" s="5">
        <f t="shared" si="8"/>
        <v>5.2160000000000002</v>
      </c>
      <c r="F88" s="6">
        <f t="shared" si="13"/>
        <v>846603.05369427439</v>
      </c>
      <c r="G88" s="6">
        <f t="shared" si="9"/>
        <v>31199.69301718436</v>
      </c>
      <c r="H88" s="6">
        <f t="shared" si="10"/>
        <v>4415.8815280693352</v>
      </c>
      <c r="J88" s="9">
        <f t="shared" si="11"/>
        <v>3.163679999999998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36.009599999999999</v>
      </c>
      <c r="E89" s="5">
        <f t="shared" si="8"/>
        <v>5.1834000000000007</v>
      </c>
      <c r="F89" s="6">
        <f t="shared" si="13"/>
        <v>873386.8651833894</v>
      </c>
      <c r="G89" s="6">
        <f t="shared" si="9"/>
        <v>31450.311660507781</v>
      </c>
      <c r="H89" s="6">
        <f t="shared" si="10"/>
        <v>4527.1134769915807</v>
      </c>
      <c r="J89" s="9">
        <f t="shared" si="11"/>
        <v>3.0826200000000088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34.967999999999996</v>
      </c>
      <c r="E90" s="5">
        <f t="shared" si="8"/>
        <v>5.2160000000000002</v>
      </c>
      <c r="F90" s="6">
        <f t="shared" si="13"/>
        <v>900310.06336690567</v>
      </c>
      <c r="G90" s="6">
        <f t="shared" si="9"/>
        <v>31482.042295813957</v>
      </c>
      <c r="H90" s="6">
        <f t="shared" si="10"/>
        <v>4696.0172905217796</v>
      </c>
      <c r="J90" s="9">
        <f t="shared" si="11"/>
        <v>2.9751999999999965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33.480000000000004</v>
      </c>
      <c r="E91" s="5">
        <f t="shared" si="8"/>
        <v>5.2486000000000006</v>
      </c>
      <c r="F91" s="6">
        <f t="shared" si="13"/>
        <v>927096.08837219782</v>
      </c>
      <c r="G91" s="6">
        <f t="shared" si="9"/>
        <v>31039.177038701189</v>
      </c>
      <c r="H91" s="6">
        <f t="shared" si="10"/>
        <v>4865.9565294303175</v>
      </c>
      <c r="J91" s="9">
        <f t="shared" si="11"/>
        <v>2.8231399999999915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32.140799999999999</v>
      </c>
      <c r="E92" s="5">
        <f t="shared" si="8"/>
        <v>5.3138000000000005</v>
      </c>
      <c r="F92" s="6">
        <f t="shared" si="13"/>
        <v>953269.30888146861</v>
      </c>
      <c r="G92" s="6">
        <f t="shared" si="9"/>
        <v>30638.838202897503</v>
      </c>
      <c r="H92" s="6">
        <f t="shared" si="10"/>
        <v>5065.4824535343478</v>
      </c>
      <c r="J92" s="9">
        <f t="shared" si="11"/>
        <v>2.6826999999999916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30.652799999999999</v>
      </c>
      <c r="E93" s="5">
        <f t="shared" si="8"/>
        <v>5.3138000000000005</v>
      </c>
      <c r="F93" s="6">
        <f t="shared" si="13"/>
        <v>978842.66463083168</v>
      </c>
      <c r="G93" s="6">
        <f t="shared" si="9"/>
        <v>30004.268430395958</v>
      </c>
      <c r="H93" s="6">
        <f t="shared" si="10"/>
        <v>5201.3741513153136</v>
      </c>
      <c r="J93" s="9">
        <f t="shared" si="11"/>
        <v>2.5339000000000031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29.462399999999999</v>
      </c>
      <c r="E94" s="5">
        <f t="shared" si="8"/>
        <v>5.2812000000000001</v>
      </c>
      <c r="F94" s="6">
        <f t="shared" si="13"/>
        <v>1003645.5589099124</v>
      </c>
      <c r="G94" s="6">
        <f t="shared" si="9"/>
        <v>29569.806914827401</v>
      </c>
      <c r="H94" s="6">
        <f t="shared" si="10"/>
        <v>5300.4529257150289</v>
      </c>
      <c r="J94" s="9">
        <f t="shared" si="11"/>
        <v>2.4181200000000049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28.222399999999997</v>
      </c>
      <c r="E95" s="5">
        <f t="shared" si="8"/>
        <v>5.2486000000000006</v>
      </c>
      <c r="F95" s="6">
        <f t="shared" si="13"/>
        <v>1027914.9128990248</v>
      </c>
      <c r="G95" s="6">
        <f t="shared" si="9"/>
        <v>29010.225837801434</v>
      </c>
      <c r="H95" s="6">
        <f t="shared" si="10"/>
        <v>5395.114211841822</v>
      </c>
      <c r="J95" s="9">
        <f t="shared" si="11"/>
        <v>2.2973800000000013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27.627200000000002</v>
      </c>
      <c r="E96" s="5">
        <f t="shared" si="8"/>
        <v>5.1508000000000003</v>
      </c>
      <c r="F96" s="6">
        <f t="shared" si="13"/>
        <v>1051530.0245249844</v>
      </c>
      <c r="G96" s="6">
        <f t="shared" si="9"/>
        <v>29050.830293556653</v>
      </c>
      <c r="H96" s="6">
        <f t="shared" si="10"/>
        <v>5416.2208503232896</v>
      </c>
      <c r="J96" s="9">
        <f t="shared" si="11"/>
        <v>2.2476399999999988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27.131200000000003</v>
      </c>
      <c r="E97" s="5">
        <f t="shared" si="8"/>
        <v>5.0856000000000003</v>
      </c>
      <c r="F97" s="6">
        <f t="shared" si="13"/>
        <v>1075164.6339682178</v>
      </c>
      <c r="G97" s="6">
        <f t="shared" si="9"/>
        <v>29170.506717118515</v>
      </c>
      <c r="H97" s="6">
        <f t="shared" si="10"/>
        <v>5467.8572625087681</v>
      </c>
      <c r="J97" s="9">
        <f t="shared" si="11"/>
        <v>2.2045599999999985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27.032000000000004</v>
      </c>
      <c r="E98" s="5">
        <f t="shared" si="8"/>
        <v>5.0529999999999999</v>
      </c>
      <c r="F98" s="6">
        <f t="shared" si="13"/>
        <v>1098867.2834228275</v>
      </c>
      <c r="G98" s="6">
        <f t="shared" si="9"/>
        <v>29704.580405485875</v>
      </c>
      <c r="H98" s="6">
        <f t="shared" si="10"/>
        <v>5552.5763831355471</v>
      </c>
      <c r="J98" s="9">
        <f t="shared" si="11"/>
        <v>2.197899999999998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26.486400000000003</v>
      </c>
      <c r="E99" s="5">
        <f t="shared" si="8"/>
        <v>5.0204000000000004</v>
      </c>
      <c r="F99" s="6">
        <f t="shared" si="13"/>
        <v>1123019.2874451778</v>
      </c>
      <c r="G99" s="6">
        <f t="shared" si="9"/>
        <v>29744.73805498796</v>
      </c>
      <c r="H99" s="6">
        <f t="shared" si="10"/>
        <v>5638.0060306897713</v>
      </c>
      <c r="J99" s="9">
        <f t="shared" si="11"/>
        <v>2.1466000000000087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25.990400000000001</v>
      </c>
      <c r="E100" s="5">
        <f t="shared" si="8"/>
        <v>4.9878</v>
      </c>
      <c r="F100" s="6">
        <f t="shared" si="13"/>
        <v>1147126.0194694761</v>
      </c>
      <c r="G100" s="6">
        <f t="shared" si="9"/>
        <v>29814.264096419472</v>
      </c>
      <c r="H100" s="6">
        <f t="shared" si="10"/>
        <v>5721.6351599098525</v>
      </c>
      <c r="J100" s="9">
        <f t="shared" si="11"/>
        <v>2.1002599999999987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25.444800000000001</v>
      </c>
      <c r="E101" s="5">
        <f t="shared" si="8"/>
        <v>4.9552000000000005</v>
      </c>
      <c r="F101" s="6">
        <f t="shared" si="13"/>
        <v>1171218.6484059857</v>
      </c>
      <c r="G101" s="6">
        <f t="shared" si="9"/>
        <v>29801.424264960624</v>
      </c>
      <c r="H101" s="6">
        <f t="shared" si="10"/>
        <v>5803.6226465813406</v>
      </c>
      <c r="J101" s="9">
        <f t="shared" si="11"/>
        <v>2.0489600000000019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24.9984</v>
      </c>
      <c r="E102" s="5">
        <f t="shared" si="8"/>
        <v>4.9552000000000005</v>
      </c>
      <c r="F102" s="6">
        <f t="shared" si="13"/>
        <v>1195216.450024365</v>
      </c>
      <c r="G102" s="6">
        <f t="shared" si="9"/>
        <v>29878.498904289085</v>
      </c>
      <c r="H102" s="6">
        <f t="shared" si="10"/>
        <v>5922.5365531607331</v>
      </c>
      <c r="J102" s="9">
        <f t="shared" si="11"/>
        <v>2.0043199999999897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24.502400000000002</v>
      </c>
      <c r="E103" s="5">
        <f t="shared" si="8"/>
        <v>4.9552000000000005</v>
      </c>
      <c r="F103" s="6">
        <f t="shared" si="13"/>
        <v>1219172.4123754932</v>
      </c>
      <c r="G103" s="6">
        <f t="shared" si="9"/>
        <v>29872.650116989287</v>
      </c>
      <c r="H103" s="6">
        <f t="shared" si="10"/>
        <v>6041.2431378030442</v>
      </c>
      <c r="J103" s="9">
        <f t="shared" si="11"/>
        <v>1.954720000000018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24.056000000000001</v>
      </c>
      <c r="E104" s="5">
        <f t="shared" si="8"/>
        <v>4.9878</v>
      </c>
      <c r="F104" s="6">
        <f t="shared" si="13"/>
        <v>1243003.8193546797</v>
      </c>
      <c r="G104" s="6">
        <f t="shared" si="9"/>
        <v>29901.699878396175</v>
      </c>
      <c r="H104" s="6">
        <f t="shared" si="10"/>
        <v>6199.8544501772712</v>
      </c>
      <c r="J104" s="9">
        <f t="shared" si="11"/>
        <v>1.9068200000000131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23.659199999999998</v>
      </c>
      <c r="E105" s="5">
        <f t="shared" si="8"/>
        <v>5.0204000000000004</v>
      </c>
      <c r="F105" s="6">
        <f t="shared" si="13"/>
        <v>1266705.6647828987</v>
      </c>
      <c r="G105" s="6">
        <f t="shared" si="9"/>
        <v>29969.242664231559</v>
      </c>
      <c r="H105" s="6">
        <f t="shared" si="10"/>
        <v>6359.369119476065</v>
      </c>
      <c r="J105" s="9">
        <f t="shared" si="11"/>
        <v>1.863879999999992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23.2624</v>
      </c>
      <c r="E106" s="5">
        <f t="shared" si="8"/>
        <v>5.0529999999999999</v>
      </c>
      <c r="F106" s="6">
        <f t="shared" si="13"/>
        <v>1290315.5383276541</v>
      </c>
      <c r="G106" s="6">
        <f t="shared" si="9"/>
        <v>30015.836178793223</v>
      </c>
      <c r="H106" s="6">
        <f t="shared" si="10"/>
        <v>6519.9644151696357</v>
      </c>
      <c r="J106" s="9">
        <f t="shared" si="11"/>
        <v>1.8209400000000155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22.865600000000001</v>
      </c>
      <c r="E107" s="5">
        <f t="shared" si="8"/>
        <v>5.0856000000000003</v>
      </c>
      <c r="F107" s="6">
        <f t="shared" si="13"/>
        <v>1313811.4100912779</v>
      </c>
      <c r="G107" s="6">
        <f t="shared" si="9"/>
        <v>30041.086178583126</v>
      </c>
      <c r="H107" s="6">
        <f t="shared" si="10"/>
        <v>6681.5193071602034</v>
      </c>
      <c r="J107" s="9">
        <f t="shared" si="11"/>
        <v>1.7779999999999914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22.468800000000002</v>
      </c>
      <c r="E108" s="5">
        <f t="shared" si="8"/>
        <v>5.1508000000000003</v>
      </c>
      <c r="F108" s="6">
        <f t="shared" si="13"/>
        <v>1337170.9769627007</v>
      </c>
      <c r="G108" s="6">
        <f t="shared" si="9"/>
        <v>30044.627247179531</v>
      </c>
      <c r="H108" s="6">
        <f t="shared" si="10"/>
        <v>6887.5002681394799</v>
      </c>
      <c r="J108" s="9">
        <f t="shared" si="11"/>
        <v>1.7318000000000122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22.121600000000001</v>
      </c>
      <c r="E109" s="5">
        <f t="shared" si="8"/>
        <v>5.2160000000000002</v>
      </c>
      <c r="F109" s="6">
        <f t="shared" si="13"/>
        <v>1360328.1039417409</v>
      </c>
      <c r="G109" s="6">
        <f t="shared" si="9"/>
        <v>30092.634184157618</v>
      </c>
      <c r="H109" s="6">
        <f t="shared" si="10"/>
        <v>7095.4713901601208</v>
      </c>
      <c r="J109" s="9">
        <f t="shared" si="11"/>
        <v>1.6905600000000132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21.724800000000002</v>
      </c>
      <c r="E110" s="5">
        <f t="shared" si="8"/>
        <v>5.2812000000000001</v>
      </c>
      <c r="F110" s="6">
        <f t="shared" si="13"/>
        <v>1383325.2667357386</v>
      </c>
      <c r="G110" s="6">
        <f t="shared" si="9"/>
        <v>30052.464754780576</v>
      </c>
      <c r="H110" s="6">
        <f t="shared" si="10"/>
        <v>7305.6173986847825</v>
      </c>
      <c r="J110" s="9">
        <f t="shared" si="11"/>
        <v>1.6443599999999918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21.278400000000001</v>
      </c>
      <c r="E111" s="5">
        <f t="shared" si="8"/>
        <v>5.3464</v>
      </c>
      <c r="F111" s="6">
        <f t="shared" si="13"/>
        <v>1406072.1140918343</v>
      </c>
      <c r="G111" s="6">
        <f t="shared" si="9"/>
        <v>29918.964872491688</v>
      </c>
      <c r="H111" s="6">
        <f t="shared" si="10"/>
        <v>7517.4239507805823</v>
      </c>
      <c r="J111" s="9">
        <f t="shared" si="11"/>
        <v>1.5932000000000019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20.980799999999999</v>
      </c>
      <c r="E112" s="5">
        <f t="shared" si="8"/>
        <v>5.4116000000000009</v>
      </c>
      <c r="F112" s="6">
        <f t="shared" si="13"/>
        <v>1428473.6550135454</v>
      </c>
      <c r="G112" s="6">
        <f t="shared" si="9"/>
        <v>29970.520061108189</v>
      </c>
      <c r="H112" s="6">
        <f t="shared" si="10"/>
        <v>7730.3280314713038</v>
      </c>
      <c r="J112" s="9">
        <f t="shared" si="11"/>
        <v>1.5569200000000112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20.832000000000001</v>
      </c>
      <c r="E113" s="5">
        <f t="shared" si="8"/>
        <v>5.5094000000000003</v>
      </c>
      <c r="F113" s="6">
        <f t="shared" si="13"/>
        <v>1450713.8470431825</v>
      </c>
      <c r="G113" s="6">
        <f t="shared" si="9"/>
        <v>30221.270861603578</v>
      </c>
      <c r="H113" s="6">
        <f t="shared" si="10"/>
        <v>7992.5628688997094</v>
      </c>
      <c r="J113" s="9">
        <f t="shared" si="11"/>
        <v>1.5322600000000013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20.683199999999999</v>
      </c>
      <c r="E114" s="5">
        <f t="shared" si="8"/>
        <v>5.5094000000000003</v>
      </c>
      <c r="F114" s="6">
        <f t="shared" si="13"/>
        <v>1472942.5550358864</v>
      </c>
      <c r="G114" s="6">
        <f t="shared" si="9"/>
        <v>30465.165454318245</v>
      </c>
      <c r="H114" s="6">
        <f t="shared" si="10"/>
        <v>8115.0297127147132</v>
      </c>
      <c r="J114" s="9">
        <f t="shared" si="11"/>
        <v>1.5173800000000019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20.4848</v>
      </c>
      <c r="E115" s="5">
        <f t="shared" si="8"/>
        <v>5.5094000000000003</v>
      </c>
      <c r="F115" s="6">
        <f t="shared" si="13"/>
        <v>1495292.6907774899</v>
      </c>
      <c r="G115" s="6">
        <f t="shared" si="9"/>
        <v>30630.771712038724</v>
      </c>
      <c r="H115" s="6">
        <f t="shared" si="10"/>
        <v>8238.1655505695035</v>
      </c>
      <c r="J115" s="9">
        <f t="shared" si="11"/>
        <v>1.4975399999999937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20.2864</v>
      </c>
      <c r="E116" s="5">
        <f t="shared" si="8"/>
        <v>5.5094000000000003</v>
      </c>
      <c r="F116" s="6">
        <f t="shared" si="13"/>
        <v>1517685.296938959</v>
      </c>
      <c r="G116" s="6">
        <f t="shared" si="9"/>
        <v>30788.371007822498</v>
      </c>
      <c r="H116" s="6">
        <f t="shared" si="10"/>
        <v>8361.5353749555015</v>
      </c>
      <c r="J116" s="9">
        <f t="shared" si="11"/>
        <v>1.4776999999999967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20.038400000000003</v>
      </c>
      <c r="E117" s="5">
        <f t="shared" si="8"/>
        <v>5.5094000000000003</v>
      </c>
      <c r="F117" s="6">
        <f t="shared" si="13"/>
        <v>1540112.132571826</v>
      </c>
      <c r="G117" s="6">
        <f t="shared" si="9"/>
        <v>30861.382957327285</v>
      </c>
      <c r="H117" s="6">
        <f t="shared" si="10"/>
        <v>8485.0937831912197</v>
      </c>
      <c r="J117" s="9">
        <f t="shared" si="11"/>
        <v>1.4528999999999965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19.790400000000002</v>
      </c>
      <c r="E118" s="5">
        <f t="shared" si="8"/>
        <v>5.5746000000000011</v>
      </c>
      <c r="F118" s="6">
        <f t="shared" si="13"/>
        <v>1562488.421745962</v>
      </c>
      <c r="G118" s="6">
        <f t="shared" si="9"/>
        <v>30922.270861721288</v>
      </c>
      <c r="H118" s="6">
        <f t="shared" si="10"/>
        <v>8710.247955865043</v>
      </c>
      <c r="J118" s="9">
        <f t="shared" si="11"/>
        <v>1.4215800000000081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19.542400000000001</v>
      </c>
      <c r="E119" s="5">
        <f t="shared" si="8"/>
        <v>5.6398000000000001</v>
      </c>
      <c r="F119" s="6">
        <f t="shared" si="13"/>
        <v>1584700.4446518184</v>
      </c>
      <c r="G119" s="6">
        <f t="shared" si="9"/>
        <v>30968.849969563697</v>
      </c>
      <c r="H119" s="6">
        <f t="shared" si="10"/>
        <v>8937.3935677473255</v>
      </c>
      <c r="J119" s="9">
        <f t="shared" si="11"/>
        <v>1.3902599999999978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19.2944</v>
      </c>
      <c r="E120" s="5">
        <f t="shared" si="8"/>
        <v>5.7375999999999996</v>
      </c>
      <c r="F120" s="6">
        <f t="shared" si="13"/>
        <v>1606731.9010536347</v>
      </c>
      <c r="G120" s="6">
        <f t="shared" si="9"/>
        <v>31000.927991689248</v>
      </c>
      <c r="H120" s="6">
        <f t="shared" si="10"/>
        <v>9218.7849554853346</v>
      </c>
      <c r="J120" s="9">
        <f t="shared" si="11"/>
        <v>1.3556800000000007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19.096</v>
      </c>
      <c r="E121" s="5">
        <f t="shared" si="8"/>
        <v>5.8353999999999999</v>
      </c>
      <c r="F121" s="6">
        <f t="shared" si="13"/>
        <v>1628514.0440898386</v>
      </c>
      <c r="G121" s="6">
        <f t="shared" si="9"/>
        <v>31098.104185939559</v>
      </c>
      <c r="H121" s="6">
        <f t="shared" si="10"/>
        <v>9503.0308528818459</v>
      </c>
      <c r="J121" s="9">
        <f t="shared" si="11"/>
        <v>1.3260599999999914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1650109.1174228962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26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19" t="s">
        <v>23</v>
      </c>
      <c r="E126" s="19"/>
      <c r="F126" s="19"/>
    </row>
    <row r="127" spans="1:10" x14ac:dyDescent="0.25">
      <c r="A127" s="14" t="s">
        <v>0</v>
      </c>
      <c r="B127" s="15" t="s">
        <v>13</v>
      </c>
      <c r="C127" s="15" t="s">
        <v>19</v>
      </c>
      <c r="D127" s="16" t="s">
        <v>20</v>
      </c>
      <c r="E127" s="16" t="s">
        <v>21</v>
      </c>
      <c r="F127" s="16" t="s">
        <v>22</v>
      </c>
    </row>
    <row r="128" spans="1:10" x14ac:dyDescent="0.25">
      <c r="A128" s="11">
        <v>1926</v>
      </c>
      <c r="B128" s="11" t="s">
        <v>14</v>
      </c>
      <c r="C128" s="2">
        <v>351</v>
      </c>
      <c r="D128" s="13">
        <f>F16</f>
        <v>104579.66933179161</v>
      </c>
      <c r="E128" s="13">
        <f ca="1">OFFSET(INDIRECT(MID(_xlfn.FORMULATEXT(D128),2,255)),1,0)</f>
        <v>106510.21002765647</v>
      </c>
      <c r="F128" s="6">
        <f ca="1">D128*(E128/D128)^((C128-1)/365)</f>
        <v>106430.17500590743</v>
      </c>
    </row>
    <row r="129" spans="1:6" x14ac:dyDescent="0.25">
      <c r="A129" s="11">
        <v>1937</v>
      </c>
      <c r="B129" s="11" t="s">
        <v>15</v>
      </c>
      <c r="C129" s="2">
        <v>6</v>
      </c>
      <c r="D129" s="13">
        <f>F27</f>
        <v>129723.79502641302</v>
      </c>
      <c r="E129" s="13">
        <f t="shared" ref="E129:E134" ca="1" si="14">OFFSET(INDIRECT(MID(_xlfn.FORMULATEXT(D129),2,255)),1,0)</f>
        <v>132447.83905341366</v>
      </c>
      <c r="F129" s="6">
        <f t="shared" ref="F129:F134" ca="1" si="15">D129*(E129/D129)^((C129-1)/365)</f>
        <v>129760.72956261864</v>
      </c>
    </row>
    <row r="130" spans="1:6" x14ac:dyDescent="0.25">
      <c r="A130" s="11">
        <v>1939</v>
      </c>
      <c r="B130" s="12" t="s">
        <v>16</v>
      </c>
      <c r="C130" s="2">
        <v>17</v>
      </c>
      <c r="D130" s="13">
        <f>F29</f>
        <v>135313.74539485143</v>
      </c>
      <c r="E130" s="13">
        <f t="shared" ca="1" si="14"/>
        <v>138292.67749971908</v>
      </c>
      <c r="F130" s="6">
        <f t="shared" ca="1" si="15"/>
        <v>135442.97374698232</v>
      </c>
    </row>
    <row r="131" spans="1:6" x14ac:dyDescent="0.25">
      <c r="A131" s="12">
        <v>1959</v>
      </c>
      <c r="B131" s="12" t="s">
        <v>17</v>
      </c>
      <c r="C131" s="10">
        <v>15</v>
      </c>
      <c r="D131" s="13">
        <f>F49</f>
        <v>217599.87355745974</v>
      </c>
      <c r="E131" s="13">
        <f t="shared" ca="1" si="14"/>
        <v>224312.74261675795</v>
      </c>
      <c r="F131" s="6">
        <f t="shared" ca="1" si="15"/>
        <v>217853.60954876442</v>
      </c>
    </row>
    <row r="132" spans="1:6" x14ac:dyDescent="0.25">
      <c r="A132" s="12">
        <v>1970</v>
      </c>
      <c r="B132" s="12" t="s">
        <v>17</v>
      </c>
      <c r="C132" s="10">
        <v>15</v>
      </c>
      <c r="D132" s="13">
        <f>F60</f>
        <v>312657.54935523414</v>
      </c>
      <c r="E132" s="13">
        <f t="shared" ca="1" si="14"/>
        <v>324404.28107903991</v>
      </c>
      <c r="F132" s="6">
        <f t="shared" ca="1" si="15"/>
        <v>313100.16422710015</v>
      </c>
    </row>
    <row r="133" spans="1:6" x14ac:dyDescent="0.25">
      <c r="A133" s="12">
        <v>1979</v>
      </c>
      <c r="B133" s="12" t="s">
        <v>16</v>
      </c>
      <c r="C133" s="10">
        <v>17</v>
      </c>
      <c r="D133" s="13">
        <f>F69</f>
        <v>438615.61837625055</v>
      </c>
      <c r="E133" s="13">
        <f t="shared" ca="1" si="14"/>
        <v>455332.92633191933</v>
      </c>
      <c r="F133" s="6">
        <f t="shared" ca="1" si="15"/>
        <v>439335.40167115058</v>
      </c>
    </row>
    <row r="134" spans="1:6" x14ac:dyDescent="0.25">
      <c r="A134" s="12">
        <v>1989</v>
      </c>
      <c r="B134" s="12" t="s">
        <v>18</v>
      </c>
      <c r="C134" s="10">
        <v>12</v>
      </c>
      <c r="D134" s="13">
        <f>F79</f>
        <v>634565.50646161812</v>
      </c>
      <c r="E134" s="13">
        <f t="shared" ca="1" si="14"/>
        <v>656638.233038379</v>
      </c>
      <c r="F134" s="6">
        <f t="shared" ca="1" si="15"/>
        <v>635219.74116549885</v>
      </c>
    </row>
    <row r="135" spans="1:6" x14ac:dyDescent="0.25">
      <c r="A135" s="2"/>
      <c r="B135" s="2"/>
      <c r="C135" s="2"/>
      <c r="D135" s="2"/>
      <c r="E135" s="2"/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55"/>
  <sheetViews>
    <sheetView workbookViewId="0">
      <selection activeCell="A2" sqref="A2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29</v>
      </c>
    </row>
    <row r="4" spans="1:12" x14ac:dyDescent="0.25">
      <c r="D4" s="18" t="s">
        <v>3</v>
      </c>
      <c r="E4" s="18"/>
      <c r="F4" s="18" t="s">
        <v>11</v>
      </c>
      <c r="G4" s="18"/>
      <c r="H4" s="18"/>
      <c r="I4" s="18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7</v>
      </c>
      <c r="G5" s="16" t="s">
        <v>8</v>
      </c>
      <c r="H5" s="16" t="s">
        <v>9</v>
      </c>
      <c r="I5" s="16" t="s">
        <v>10</v>
      </c>
      <c r="J5" s="16" t="s">
        <v>12</v>
      </c>
      <c r="L5" s="16" t="s">
        <v>25</v>
      </c>
    </row>
    <row r="6" spans="1:12" x14ac:dyDescent="0.25">
      <c r="A6" s="2" t="s">
        <v>6</v>
      </c>
      <c r="B6" s="2"/>
      <c r="C6" s="2"/>
      <c r="D6" s="5">
        <v>49.6</v>
      </c>
      <c r="E6" s="5">
        <v>32.6</v>
      </c>
      <c r="F6" s="6">
        <v>89243</v>
      </c>
      <c r="L6" s="17" t="s">
        <v>24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25.296000000000003</v>
      </c>
      <c r="E7" s="5">
        <f>C7*$E$6</f>
        <v>32.6</v>
      </c>
      <c r="F7" s="6">
        <v>91000</v>
      </c>
      <c r="G7" s="6">
        <f>F7*D7/1000</f>
        <v>2301.9360000000006</v>
      </c>
      <c r="H7" s="6">
        <f>E7*F7/1000</f>
        <v>2966.6</v>
      </c>
      <c r="I7" s="1">
        <v>-54</v>
      </c>
      <c r="J7" s="9">
        <f>100 *(F8-F7) / F7</f>
        <v>-0.78974065934066406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29.759999999999998</v>
      </c>
      <c r="E8" s="5">
        <f t="shared" ref="E8:E71" si="1">C8*$E$6</f>
        <v>32.6</v>
      </c>
      <c r="F8" s="6">
        <f>F7+G7-H7+I7</f>
        <v>90281.335999999996</v>
      </c>
      <c r="G8" s="6">
        <f t="shared" ref="G8:G71" si="2">F8*D8/1000</f>
        <v>2686.7725593599998</v>
      </c>
      <c r="H8" s="6">
        <f t="shared" ref="H8:H71" si="3">E8*F8/1000</f>
        <v>2943.1715536000002</v>
      </c>
      <c r="I8" s="1">
        <v>-145</v>
      </c>
      <c r="J8" s="9">
        <f t="shared" ref="J8:J71" si="4">100 *(F9-F8) / F8</f>
        <v>-0.44460905434539988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49.6</v>
      </c>
      <c r="E9" s="5">
        <f t="shared" si="1"/>
        <v>32.6</v>
      </c>
      <c r="F9" s="6">
        <f t="shared" ref="F9:F72" si="6">F8+G8-H8+I8</f>
        <v>89879.937005760003</v>
      </c>
      <c r="G9" s="6">
        <f t="shared" si="2"/>
        <v>4458.0448754856961</v>
      </c>
      <c r="H9" s="6">
        <f t="shared" si="3"/>
        <v>2930.0859463877759</v>
      </c>
      <c r="I9" s="1">
        <v>1450</v>
      </c>
      <c r="J9" s="9">
        <f t="shared" si="4"/>
        <v>3.3132632579694357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49.6</v>
      </c>
      <c r="E10" s="5">
        <f t="shared" si="1"/>
        <v>32.6</v>
      </c>
      <c r="F10" s="6">
        <f t="shared" si="6"/>
        <v>92857.895934857923</v>
      </c>
      <c r="G10" s="6">
        <f t="shared" si="2"/>
        <v>4605.7516383689526</v>
      </c>
      <c r="H10" s="6">
        <f t="shared" si="3"/>
        <v>3027.1674074763682</v>
      </c>
      <c r="I10" s="1">
        <v>870</v>
      </c>
      <c r="J10" s="9">
        <f t="shared" si="4"/>
        <v>2.6369154784751099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49.6</v>
      </c>
      <c r="E11" s="5">
        <f t="shared" si="1"/>
        <v>32.6</v>
      </c>
      <c r="F11" s="6">
        <f t="shared" si="6"/>
        <v>95306.480165750501</v>
      </c>
      <c r="G11" s="6">
        <f t="shared" si="2"/>
        <v>4727.2014162212245</v>
      </c>
      <c r="H11" s="6">
        <f t="shared" si="3"/>
        <v>3106.9912534034665</v>
      </c>
      <c r="I11" s="1">
        <v>580</v>
      </c>
      <c r="J11" s="9">
        <f t="shared" si="4"/>
        <v>2.308563026345436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49.550400000000003</v>
      </c>
      <c r="E12" s="5">
        <f t="shared" si="1"/>
        <v>32.339199999999998</v>
      </c>
      <c r="F12" s="6">
        <f t="shared" si="6"/>
        <v>97506.690328568264</v>
      </c>
      <c r="G12" s="6">
        <f t="shared" si="2"/>
        <v>4831.4955084566891</v>
      </c>
      <c r="H12" s="6">
        <f t="shared" si="3"/>
        <v>3153.2883598736348</v>
      </c>
      <c r="J12" s="9">
        <f t="shared" si="4"/>
        <v>1.7211199999999989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49.4512</v>
      </c>
      <c r="E13" s="5">
        <f t="shared" si="1"/>
        <v>31.980600000000003</v>
      </c>
      <c r="F13" s="6">
        <f t="shared" si="6"/>
        <v>99184.897477151317</v>
      </c>
      <c r="G13" s="6">
        <f t="shared" si="2"/>
        <v>4904.8122021221052</v>
      </c>
      <c r="H13" s="6">
        <f t="shared" si="3"/>
        <v>3171.9925322577856</v>
      </c>
      <c r="J13" s="9">
        <f t="shared" si="4"/>
        <v>1.7470599999999952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49.352000000000004</v>
      </c>
      <c r="E14" s="5">
        <f t="shared" si="1"/>
        <v>31.5242</v>
      </c>
      <c r="F14" s="6">
        <f t="shared" si="6"/>
        <v>100917.71714701563</v>
      </c>
      <c r="G14" s="6">
        <f t="shared" si="2"/>
        <v>4980.4911766395162</v>
      </c>
      <c r="H14" s="6">
        <f t="shared" si="3"/>
        <v>3181.3502988859505</v>
      </c>
      <c r="J14" s="9">
        <f t="shared" si="4"/>
        <v>1.7827800000000036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49.203200000000002</v>
      </c>
      <c r="E15" s="5">
        <f t="shared" si="1"/>
        <v>31.067799999999998</v>
      </c>
      <c r="F15" s="6">
        <f t="shared" si="6"/>
        <v>102716.8580247692</v>
      </c>
      <c r="G15" s="6">
        <f t="shared" si="2"/>
        <v>5053.9981087643246</v>
      </c>
      <c r="H15" s="6">
        <f t="shared" si="3"/>
        <v>3191.1868017419247</v>
      </c>
      <c r="J15" s="9">
        <f t="shared" si="4"/>
        <v>1.8135400000000068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49.103999999999999</v>
      </c>
      <c r="E16" s="5">
        <f t="shared" si="1"/>
        <v>30.643999999999998</v>
      </c>
      <c r="F16" s="6">
        <f t="shared" si="6"/>
        <v>104579.66933179161</v>
      </c>
      <c r="G16" s="6">
        <f t="shared" si="2"/>
        <v>5135.2800828682948</v>
      </c>
      <c r="H16" s="6">
        <f t="shared" si="3"/>
        <v>3204.7393870034216</v>
      </c>
      <c r="J16" s="9">
        <f t="shared" si="4"/>
        <v>1.8459999999999945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48.955199999999998</v>
      </c>
      <c r="E17" s="5">
        <f t="shared" si="1"/>
        <v>30.220200000000002</v>
      </c>
      <c r="F17" s="6">
        <f t="shared" si="6"/>
        <v>106510.21002765647</v>
      </c>
      <c r="G17" s="6">
        <f t="shared" si="2"/>
        <v>5214.2286339459279</v>
      </c>
      <c r="H17" s="6">
        <f t="shared" si="3"/>
        <v>3218.7598490777846</v>
      </c>
      <c r="J17" s="9">
        <f t="shared" si="4"/>
        <v>1.8734999999999917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48.856000000000002</v>
      </c>
      <c r="E18" s="5">
        <f t="shared" si="1"/>
        <v>29.796400000000002</v>
      </c>
      <c r="F18" s="6">
        <f t="shared" si="6"/>
        <v>108505.67881252461</v>
      </c>
      <c r="G18" s="6">
        <f t="shared" si="2"/>
        <v>5301.1534440647029</v>
      </c>
      <c r="H18" s="6">
        <f t="shared" si="3"/>
        <v>3233.0786081695087</v>
      </c>
      <c r="J18" s="9">
        <f t="shared" si="4"/>
        <v>1.9059600000000025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48.7072</v>
      </c>
      <c r="E19" s="5">
        <f t="shared" si="1"/>
        <v>29.372600000000002</v>
      </c>
      <c r="F19" s="6">
        <f t="shared" si="6"/>
        <v>110573.75364841981</v>
      </c>
      <c r="G19" s="6">
        <f t="shared" si="2"/>
        <v>5385.737933704313</v>
      </c>
      <c r="H19" s="6">
        <f t="shared" si="3"/>
        <v>3247.8386364135758</v>
      </c>
      <c r="J19" s="9">
        <f t="shared" si="4"/>
        <v>1.9334599999999922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48.607999999999997</v>
      </c>
      <c r="E20" s="5">
        <f t="shared" si="1"/>
        <v>28.9162</v>
      </c>
      <c r="F20" s="6">
        <f t="shared" si="6"/>
        <v>112711.65294571054</v>
      </c>
      <c r="G20" s="6">
        <f t="shared" si="2"/>
        <v>5478.6880263850981</v>
      </c>
      <c r="H20" s="6">
        <f t="shared" si="3"/>
        <v>3259.1926989087551</v>
      </c>
      <c r="J20" s="9">
        <f t="shared" si="4"/>
        <v>1.9691800000000099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48.607999999999997</v>
      </c>
      <c r="E21" s="5">
        <f t="shared" si="1"/>
        <v>28.4924</v>
      </c>
      <c r="F21" s="6">
        <f t="shared" si="6"/>
        <v>114931.14827318689</v>
      </c>
      <c r="G21" s="6">
        <f t="shared" si="2"/>
        <v>5586.5732552630679</v>
      </c>
      <c r="H21" s="6">
        <f t="shared" si="3"/>
        <v>3274.6642490589502</v>
      </c>
      <c r="J21" s="9">
        <f t="shared" si="4"/>
        <v>2.0115600000000029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48.508800000000001</v>
      </c>
      <c r="E22" s="5">
        <f t="shared" si="1"/>
        <v>28.133800000000001</v>
      </c>
      <c r="F22" s="6">
        <f t="shared" si="6"/>
        <v>117243.05727939101</v>
      </c>
      <c r="G22" s="6">
        <f t="shared" si="2"/>
        <v>5687.3200169545225</v>
      </c>
      <c r="H22" s="6">
        <f t="shared" si="3"/>
        <v>3298.4927248869312</v>
      </c>
      <c r="J22" s="9">
        <f t="shared" si="4"/>
        <v>2.0374999999999908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48.36</v>
      </c>
      <c r="E23" s="5">
        <f t="shared" si="1"/>
        <v>28.003399999999999</v>
      </c>
      <c r="F23" s="6">
        <f t="shared" si="6"/>
        <v>119631.88457145859</v>
      </c>
      <c r="G23" s="6">
        <f t="shared" si="2"/>
        <v>5785.3979378757376</v>
      </c>
      <c r="H23" s="6">
        <f t="shared" si="3"/>
        <v>3350.0995164083834</v>
      </c>
      <c r="J23" s="9">
        <f t="shared" si="4"/>
        <v>2.0356599999999956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48.211199999999998</v>
      </c>
      <c r="E24" s="5">
        <f t="shared" si="1"/>
        <v>27.742599999999999</v>
      </c>
      <c r="F24" s="6">
        <f t="shared" si="6"/>
        <v>122067.18299292594</v>
      </c>
      <c r="G24" s="6">
        <f t="shared" si="2"/>
        <v>5885.0053727085506</v>
      </c>
      <c r="H24" s="6">
        <f t="shared" si="3"/>
        <v>3386.461030899547</v>
      </c>
      <c r="J24" s="9">
        <f t="shared" si="4"/>
        <v>2.0468599999999966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48.012799999999999</v>
      </c>
      <c r="E25" s="5">
        <f t="shared" si="1"/>
        <v>27.416599999999999</v>
      </c>
      <c r="F25" s="6">
        <f t="shared" si="6"/>
        <v>124565.72733473494</v>
      </c>
      <c r="G25" s="6">
        <f t="shared" si="2"/>
        <v>5980.7493533771612</v>
      </c>
      <c r="H25" s="6">
        <f t="shared" si="3"/>
        <v>3415.168720045494</v>
      </c>
      <c r="J25" s="9">
        <f t="shared" si="4"/>
        <v>2.0596200000000038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47.4176</v>
      </c>
      <c r="E26" s="5">
        <f t="shared" si="1"/>
        <v>27.025400000000001</v>
      </c>
      <c r="F26" s="6">
        <f t="shared" si="6"/>
        <v>127131.30796806661</v>
      </c>
      <c r="G26" s="6">
        <f t="shared" si="2"/>
        <v>6028.261508706596</v>
      </c>
      <c r="H26" s="6">
        <f t="shared" si="3"/>
        <v>3435.774450360188</v>
      </c>
      <c r="J26" s="9">
        <f t="shared" si="4"/>
        <v>2.0392199999999994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47.665599999999998</v>
      </c>
      <c r="E27" s="5">
        <f t="shared" si="1"/>
        <v>26.666799999999999</v>
      </c>
      <c r="F27" s="6">
        <f t="shared" si="6"/>
        <v>129723.79502641302</v>
      </c>
      <c r="G27" s="6">
        <f t="shared" si="2"/>
        <v>6183.362524210992</v>
      </c>
      <c r="H27" s="6">
        <f t="shared" si="3"/>
        <v>3459.3184972103504</v>
      </c>
      <c r="J27" s="9">
        <f t="shared" si="4"/>
        <v>2.0998799999999962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47.913600000000002</v>
      </c>
      <c r="E28" s="5">
        <f t="shared" si="1"/>
        <v>26.275600000000004</v>
      </c>
      <c r="F28" s="6">
        <f t="shared" si="6"/>
        <v>132447.83905341366</v>
      </c>
      <c r="G28" s="6">
        <f t="shared" si="2"/>
        <v>6346.0527812696409</v>
      </c>
      <c r="H28" s="6">
        <f t="shared" si="3"/>
        <v>3480.1464398318767</v>
      </c>
      <c r="J28" s="9">
        <f t="shared" si="4"/>
        <v>2.1638000000000073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48.062399999999997</v>
      </c>
      <c r="E29" s="5">
        <f t="shared" si="1"/>
        <v>26.047400000000003</v>
      </c>
      <c r="F29" s="6">
        <f t="shared" si="6"/>
        <v>135313.74539485143</v>
      </c>
      <c r="G29" s="6">
        <f t="shared" si="2"/>
        <v>6503.5033566655065</v>
      </c>
      <c r="H29" s="6">
        <f t="shared" si="3"/>
        <v>3524.5712517978536</v>
      </c>
      <c r="J29" s="9">
        <f t="shared" si="4"/>
        <v>2.2014999999999971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47.863999999999997</v>
      </c>
      <c r="E30" s="5">
        <f t="shared" si="1"/>
        <v>25.884400000000003</v>
      </c>
      <c r="F30" s="6">
        <f t="shared" si="6"/>
        <v>138292.67749971908</v>
      </c>
      <c r="G30" s="6">
        <f t="shared" si="2"/>
        <v>6619.240715846553</v>
      </c>
      <c r="H30" s="6">
        <f t="shared" si="3"/>
        <v>3579.6229814737289</v>
      </c>
      <c r="J30" s="9">
        <f t="shared" si="4"/>
        <v>2.1979600000000166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47.863999999999997</v>
      </c>
      <c r="E31" s="5">
        <f t="shared" si="1"/>
        <v>25.949600000000004</v>
      </c>
      <c r="F31" s="6">
        <f t="shared" si="6"/>
        <v>141332.29523409193</v>
      </c>
      <c r="G31" s="6">
        <f t="shared" si="2"/>
        <v>6764.7289790845753</v>
      </c>
      <c r="H31" s="6">
        <f t="shared" si="3"/>
        <v>3667.5165284065924</v>
      </c>
      <c r="J31" s="9">
        <f t="shared" si="4"/>
        <v>2.1914400000000076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47.715200000000003</v>
      </c>
      <c r="E32" s="5">
        <f t="shared" si="1"/>
        <v>25.917000000000002</v>
      </c>
      <c r="F32" s="6">
        <f t="shared" si="6"/>
        <v>144429.50768476992</v>
      </c>
      <c r="G32" s="6">
        <f t="shared" si="2"/>
        <v>6891.4828450803343</v>
      </c>
      <c r="H32" s="6">
        <f t="shared" si="3"/>
        <v>3743.1795506661824</v>
      </c>
      <c r="I32" s="1">
        <v>-90</v>
      </c>
      <c r="J32" s="9">
        <f t="shared" si="4"/>
        <v>2.1175058638911759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47.4176</v>
      </c>
      <c r="E33" s="5">
        <f t="shared" si="1"/>
        <v>25.688800000000001</v>
      </c>
      <c r="F33" s="6">
        <f t="shared" si="6"/>
        <v>147487.81097918408</v>
      </c>
      <c r="G33" s="6">
        <f t="shared" si="2"/>
        <v>6993.5180258865594</v>
      </c>
      <c r="H33" s="6">
        <f t="shared" si="3"/>
        <v>3788.7848786820646</v>
      </c>
      <c r="I33" s="1">
        <v>-90</v>
      </c>
      <c r="J33" s="9">
        <f t="shared" si="4"/>
        <v>2.1118580081469287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47.12</v>
      </c>
      <c r="E34" s="5">
        <f t="shared" si="1"/>
        <v>25.036800000000003</v>
      </c>
      <c r="F34" s="6">
        <f t="shared" si="6"/>
        <v>150602.54412638859</v>
      </c>
      <c r="G34" s="6">
        <f t="shared" si="2"/>
        <v>7096.3918792354298</v>
      </c>
      <c r="H34" s="6">
        <f t="shared" si="3"/>
        <v>3770.6057767835664</v>
      </c>
      <c r="I34" s="1">
        <v>-90</v>
      </c>
      <c r="J34" s="9">
        <f t="shared" si="4"/>
        <v>2.1485600533655758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46.6736</v>
      </c>
      <c r="E35" s="5">
        <f t="shared" si="1"/>
        <v>24.1892</v>
      </c>
      <c r="F35" s="6">
        <f t="shared" si="6"/>
        <v>153838.33022884044</v>
      </c>
      <c r="G35" s="6">
        <f t="shared" si="2"/>
        <v>7180.1886897688073</v>
      </c>
      <c r="H35" s="6">
        <f t="shared" si="3"/>
        <v>3721.226137571467</v>
      </c>
      <c r="J35" s="9">
        <f t="shared" si="4"/>
        <v>2.2484399999999973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46.326400000000007</v>
      </c>
      <c r="E36" s="5">
        <f t="shared" si="1"/>
        <v>23.700199999999999</v>
      </c>
      <c r="F36" s="6">
        <f t="shared" si="6"/>
        <v>157297.29278103777</v>
      </c>
      <c r="G36" s="6">
        <f t="shared" si="2"/>
        <v>7287.0173042914694</v>
      </c>
      <c r="H36" s="6">
        <f t="shared" si="3"/>
        <v>3727.977298369151</v>
      </c>
      <c r="J36" s="9">
        <f t="shared" si="4"/>
        <v>2.2626200000000187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46.078400000000002</v>
      </c>
      <c r="E37" s="5">
        <f t="shared" si="1"/>
        <v>23.211200000000002</v>
      </c>
      <c r="F37" s="6">
        <f t="shared" si="6"/>
        <v>160856.33278696012</v>
      </c>
      <c r="G37" s="6">
        <f t="shared" si="2"/>
        <v>7412.0024446906637</v>
      </c>
      <c r="H37" s="6">
        <f t="shared" si="3"/>
        <v>3733.668511584689</v>
      </c>
      <c r="J37" s="9">
        <f t="shared" si="4"/>
        <v>2.2867200000000056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45.681600000000003</v>
      </c>
      <c r="E38" s="5">
        <f t="shared" si="1"/>
        <v>22.754799999999999</v>
      </c>
      <c r="F38" s="6">
        <f t="shared" si="6"/>
        <v>164534.6667200661</v>
      </c>
      <c r="G38" s="6">
        <f t="shared" si="2"/>
        <v>7516.2068312393721</v>
      </c>
      <c r="H38" s="6">
        <f t="shared" si="3"/>
        <v>3743.9534342817601</v>
      </c>
      <c r="J38" s="9">
        <f t="shared" si="4"/>
        <v>2.2926800000000038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46.276800000000001</v>
      </c>
      <c r="E39" s="5">
        <f t="shared" si="1"/>
        <v>22.689599999999999</v>
      </c>
      <c r="F39" s="6">
        <f t="shared" si="6"/>
        <v>168306.92011702372</v>
      </c>
      <c r="G39" s="6">
        <f t="shared" si="2"/>
        <v>7788.7056808714842</v>
      </c>
      <c r="H39" s="6">
        <f t="shared" si="3"/>
        <v>3818.8166946872211</v>
      </c>
      <c r="J39" s="9">
        <f t="shared" si="4"/>
        <v>2.3587199999999999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46.723199999999999</v>
      </c>
      <c r="E40" s="5">
        <f t="shared" si="1"/>
        <v>22.722200000000001</v>
      </c>
      <c r="F40" s="6">
        <f t="shared" si="6"/>
        <v>172276.80910320798</v>
      </c>
      <c r="G40" s="6">
        <f t="shared" si="2"/>
        <v>8049.3238070910074</v>
      </c>
      <c r="H40" s="6">
        <f t="shared" si="3"/>
        <v>3914.5081118049129</v>
      </c>
      <c r="J40" s="9">
        <f t="shared" si="4"/>
        <v>2.400100000000013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47.020800000000001</v>
      </c>
      <c r="E41" s="5">
        <f t="shared" si="1"/>
        <v>22.624399999999998</v>
      </c>
      <c r="F41" s="6">
        <f t="shared" si="6"/>
        <v>176411.6247984941</v>
      </c>
      <c r="G41" s="6">
        <f t="shared" si="2"/>
        <v>8295.0157273250315</v>
      </c>
      <c r="H41" s="6">
        <f t="shared" si="3"/>
        <v>3991.2071640910499</v>
      </c>
      <c r="J41" s="9">
        <f t="shared" si="4"/>
        <v>2.4396399999999905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47.268799999999999</v>
      </c>
      <c r="E42" s="5">
        <f t="shared" si="1"/>
        <v>22.428799999999999</v>
      </c>
      <c r="F42" s="6">
        <f t="shared" si="6"/>
        <v>180715.43336172806</v>
      </c>
      <c r="G42" s="6">
        <f t="shared" si="2"/>
        <v>8542.2016764888522</v>
      </c>
      <c r="H42" s="6">
        <f t="shared" si="3"/>
        <v>4053.2303117835263</v>
      </c>
      <c r="J42" s="9">
        <f t="shared" si="4"/>
        <v>2.4840000000000018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47.467199999999998</v>
      </c>
      <c r="E43" s="5">
        <f t="shared" si="1"/>
        <v>22.135400000000004</v>
      </c>
      <c r="F43" s="6">
        <f t="shared" si="6"/>
        <v>185204.40472643339</v>
      </c>
      <c r="G43" s="6">
        <f t="shared" si="2"/>
        <v>8791.1345200305586</v>
      </c>
      <c r="H43" s="6">
        <f t="shared" si="3"/>
        <v>4099.5735803814941</v>
      </c>
      <c r="J43" s="9">
        <f t="shared" si="4"/>
        <v>2.533179999999998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47.566400000000002</v>
      </c>
      <c r="E44" s="5">
        <f t="shared" si="1"/>
        <v>21.809400000000004</v>
      </c>
      <c r="F44" s="6">
        <f t="shared" si="6"/>
        <v>189895.96566608245</v>
      </c>
      <c r="G44" s="6">
        <f t="shared" si="2"/>
        <v>9032.6674612591451</v>
      </c>
      <c r="H44" s="6">
        <f t="shared" si="3"/>
        <v>4141.51707359786</v>
      </c>
      <c r="J44" s="9">
        <f t="shared" si="4"/>
        <v>2.575700000000007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47.616</v>
      </c>
      <c r="E45" s="5">
        <f t="shared" si="1"/>
        <v>21.320400000000003</v>
      </c>
      <c r="F45" s="6">
        <f t="shared" si="6"/>
        <v>194787.11605374375</v>
      </c>
      <c r="G45" s="6">
        <f t="shared" si="2"/>
        <v>9274.9833180150636</v>
      </c>
      <c r="H45" s="6">
        <f t="shared" si="3"/>
        <v>4152.9392291122394</v>
      </c>
      <c r="J45" s="9">
        <f t="shared" si="4"/>
        <v>2.6295600000000006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47.764800000000001</v>
      </c>
      <c r="E46" s="5">
        <f t="shared" si="1"/>
        <v>20.375</v>
      </c>
      <c r="F46" s="6">
        <f t="shared" si="6"/>
        <v>199909.16014264658</v>
      </c>
      <c r="G46" s="6">
        <f t="shared" si="2"/>
        <v>9548.6210523814862</v>
      </c>
      <c r="H46" s="6">
        <f t="shared" si="3"/>
        <v>4073.1491379064241</v>
      </c>
      <c r="J46" s="9">
        <f t="shared" si="4"/>
        <v>2.7389800000000122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47.863999999999997</v>
      </c>
      <c r="E47" s="5">
        <f t="shared" si="1"/>
        <v>19.2014</v>
      </c>
      <c r="F47" s="6">
        <f t="shared" si="6"/>
        <v>205384.63205712166</v>
      </c>
      <c r="G47" s="6">
        <f t="shared" si="2"/>
        <v>9830.5300287820719</v>
      </c>
      <c r="H47" s="6">
        <f t="shared" si="3"/>
        <v>3943.6724739816154</v>
      </c>
      <c r="J47" s="9">
        <f t="shared" si="4"/>
        <v>2.8662600000000018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48.112000000000002</v>
      </c>
      <c r="E48" s="5">
        <f t="shared" si="1"/>
        <v>18.158200000000001</v>
      </c>
      <c r="F48" s="6">
        <f t="shared" si="6"/>
        <v>211271.48961192212</v>
      </c>
      <c r="G48" s="6">
        <f t="shared" si="2"/>
        <v>10164.693908208797</v>
      </c>
      <c r="H48" s="6">
        <f t="shared" si="3"/>
        <v>3836.3099626712046</v>
      </c>
      <c r="J48" s="9">
        <f t="shared" si="4"/>
        <v>2.9953800000000101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48.062399999999997</v>
      </c>
      <c r="E49" s="5">
        <f t="shared" si="1"/>
        <v>17.212800000000001</v>
      </c>
      <c r="F49" s="6">
        <f t="shared" si="6"/>
        <v>217599.87355745974</v>
      </c>
      <c r="G49" s="6">
        <f t="shared" si="2"/>
        <v>10458.372162868052</v>
      </c>
      <c r="H49" s="6">
        <f t="shared" si="3"/>
        <v>3745.5031035698435</v>
      </c>
      <c r="J49" s="9">
        <f t="shared" si="4"/>
        <v>3.0849600000000033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47.764800000000001</v>
      </c>
      <c r="E50" s="5">
        <f t="shared" si="1"/>
        <v>16.952000000000002</v>
      </c>
      <c r="F50" s="6">
        <f t="shared" si="6"/>
        <v>224312.74261675795</v>
      </c>
      <c r="G50" s="6">
        <f t="shared" si="2"/>
        <v>10714.25328854092</v>
      </c>
      <c r="H50" s="6">
        <f t="shared" si="3"/>
        <v>3802.5496128392811</v>
      </c>
      <c r="J50" s="9">
        <f t="shared" si="4"/>
        <v>3.0812800000000098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47.764800000000001</v>
      </c>
      <c r="E51" s="5">
        <f t="shared" si="1"/>
        <v>16.4956</v>
      </c>
      <c r="F51" s="6">
        <f t="shared" si="6"/>
        <v>231224.44629245962</v>
      </c>
      <c r="G51" s="6">
        <f t="shared" si="2"/>
        <v>11044.389432270076</v>
      </c>
      <c r="H51" s="6">
        <f t="shared" si="3"/>
        <v>3814.1859762618965</v>
      </c>
      <c r="J51" s="9">
        <f t="shared" si="4"/>
        <v>3.1269200000000077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47.913600000000002</v>
      </c>
      <c r="E52" s="5">
        <f t="shared" si="1"/>
        <v>16.365200000000002</v>
      </c>
      <c r="F52" s="6">
        <f t="shared" si="6"/>
        <v>238454.64974846781</v>
      </c>
      <c r="G52" s="6">
        <f t="shared" si="2"/>
        <v>11425.220706188187</v>
      </c>
      <c r="H52" s="6">
        <f t="shared" si="3"/>
        <v>3902.3580340636258</v>
      </c>
      <c r="J52" s="9">
        <f t="shared" si="4"/>
        <v>3.1548399999999961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47.963200000000001</v>
      </c>
      <c r="E53" s="5">
        <f t="shared" si="1"/>
        <v>16.0718</v>
      </c>
      <c r="F53" s="6">
        <f t="shared" si="6"/>
        <v>245977.51242059236</v>
      </c>
      <c r="G53" s="6">
        <f t="shared" si="2"/>
        <v>11797.868623731356</v>
      </c>
      <c r="H53" s="6">
        <f t="shared" si="3"/>
        <v>3953.3013841212764</v>
      </c>
      <c r="J53" s="9">
        <f t="shared" si="4"/>
        <v>3.1891400000000085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48.409599999999998</v>
      </c>
      <c r="E54" s="5">
        <f t="shared" si="1"/>
        <v>15.4198</v>
      </c>
      <c r="F54" s="6">
        <f t="shared" si="6"/>
        <v>253822.07966020246</v>
      </c>
      <c r="G54" s="6">
        <f t="shared" si="2"/>
        <v>12287.425347518538</v>
      </c>
      <c r="H54" s="6">
        <f t="shared" si="3"/>
        <v>3913.8857039443901</v>
      </c>
      <c r="J54" s="9">
        <f t="shared" si="4"/>
        <v>3.2989800000000153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48.260800000000003</v>
      </c>
      <c r="E55" s="5">
        <f t="shared" si="1"/>
        <v>14.376600000000002</v>
      </c>
      <c r="F55" s="6">
        <f t="shared" si="6"/>
        <v>262195.61930377665</v>
      </c>
      <c r="G55" s="6">
        <f t="shared" si="2"/>
        <v>12653.770344095705</v>
      </c>
      <c r="H55" s="6">
        <f t="shared" si="3"/>
        <v>3769.4815404826759</v>
      </c>
      <c r="J55" s="9">
        <f t="shared" si="4"/>
        <v>3.3884200000000066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48.7072</v>
      </c>
      <c r="E56" s="5">
        <f t="shared" si="1"/>
        <v>13.724600000000001</v>
      </c>
      <c r="F56" s="6">
        <f t="shared" si="6"/>
        <v>271079.9081073897</v>
      </c>
      <c r="G56" s="6">
        <f t="shared" si="2"/>
        <v>13203.543300168252</v>
      </c>
      <c r="H56" s="6">
        <f t="shared" si="3"/>
        <v>3720.4633068106809</v>
      </c>
      <c r="J56" s="9">
        <f t="shared" si="4"/>
        <v>3.4982599999999859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49.103999999999999</v>
      </c>
      <c r="E57" s="5">
        <f t="shared" si="1"/>
        <v>12.974800000000002</v>
      </c>
      <c r="F57" s="6">
        <f t="shared" si="6"/>
        <v>280562.98810074723</v>
      </c>
      <c r="G57" s="6">
        <f t="shared" si="2"/>
        <v>13776.764967699091</v>
      </c>
      <c r="H57" s="6">
        <f t="shared" si="3"/>
        <v>3640.2486580095756</v>
      </c>
      <c r="J57" s="9">
        <f t="shared" si="4"/>
        <v>3.6129199999999932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49.352000000000004</v>
      </c>
      <c r="E58" s="5">
        <f t="shared" si="1"/>
        <v>12.648800000000001</v>
      </c>
      <c r="F58" s="6">
        <f t="shared" si="6"/>
        <v>290699.50441043673</v>
      </c>
      <c r="G58" s="6">
        <f t="shared" si="2"/>
        <v>14346.601941663874</v>
      </c>
      <c r="H58" s="6">
        <f t="shared" si="3"/>
        <v>3676.9998913867325</v>
      </c>
      <c r="J58" s="9">
        <f t="shared" si="4"/>
        <v>3.6703200000000105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49.649599999999992</v>
      </c>
      <c r="E59" s="5">
        <f t="shared" si="1"/>
        <v>12.192400000000001</v>
      </c>
      <c r="F59" s="6">
        <f t="shared" si="6"/>
        <v>301369.1064607139</v>
      </c>
      <c r="G59" s="6">
        <f t="shared" si="2"/>
        <v>14962.855588131859</v>
      </c>
      <c r="H59" s="6">
        <f t="shared" si="3"/>
        <v>3674.4126936116086</v>
      </c>
      <c r="J59" s="9">
        <f t="shared" si="4"/>
        <v>3.7457199999999951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49.6</v>
      </c>
      <c r="E60" s="5">
        <f t="shared" si="1"/>
        <v>12.029400000000001</v>
      </c>
      <c r="F60" s="6">
        <f t="shared" si="6"/>
        <v>312657.54935523414</v>
      </c>
      <c r="G60" s="6">
        <f t="shared" si="2"/>
        <v>15507.814448019615</v>
      </c>
      <c r="H60" s="6">
        <f t="shared" si="3"/>
        <v>3761.0827242138539</v>
      </c>
      <c r="J60" s="9">
        <f t="shared" si="4"/>
        <v>3.7570600000000045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49.401600000000002</v>
      </c>
      <c r="E61" s="5">
        <f t="shared" si="1"/>
        <v>11.573</v>
      </c>
      <c r="F61" s="6">
        <f t="shared" si="6"/>
        <v>324404.28107903991</v>
      </c>
      <c r="G61" s="6">
        <f t="shared" si="2"/>
        <v>16026.0905321543</v>
      </c>
      <c r="H61" s="6">
        <f t="shared" si="3"/>
        <v>3754.330744927729</v>
      </c>
      <c r="J61" s="9">
        <f t="shared" si="4"/>
        <v>3.7828599999999977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49.153600000000004</v>
      </c>
      <c r="E62" s="5">
        <f t="shared" si="1"/>
        <v>11.2796</v>
      </c>
      <c r="F62" s="6">
        <f t="shared" si="6"/>
        <v>336676.04086626647</v>
      </c>
      <c r="G62" s="6">
        <f t="shared" si="2"/>
        <v>16548.839442324115</v>
      </c>
      <c r="H62" s="6">
        <f t="shared" si="3"/>
        <v>3797.5710705551392</v>
      </c>
      <c r="J62" s="9">
        <f t="shared" si="4"/>
        <v>3.7874000000000052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49.054400000000001</v>
      </c>
      <c r="E63" s="5">
        <f t="shared" si="1"/>
        <v>10.758000000000001</v>
      </c>
      <c r="F63" s="6">
        <f t="shared" si="6"/>
        <v>349427.30923803546</v>
      </c>
      <c r="G63" s="6">
        <f t="shared" si="2"/>
        <v>17140.946998286287</v>
      </c>
      <c r="H63" s="6">
        <f t="shared" si="3"/>
        <v>3759.1389927827859</v>
      </c>
      <c r="J63" s="9">
        <f t="shared" si="4"/>
        <v>3.8296399999999982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48.9056</v>
      </c>
      <c r="E64" s="5">
        <f t="shared" si="1"/>
        <v>10.432</v>
      </c>
      <c r="F64" s="6">
        <f t="shared" si="6"/>
        <v>362809.11724353896</v>
      </c>
      <c r="G64" s="6">
        <f t="shared" si="2"/>
        <v>17743.397564265619</v>
      </c>
      <c r="H64" s="6">
        <f t="shared" si="3"/>
        <v>3784.8247110845987</v>
      </c>
      <c r="J64" s="9">
        <f t="shared" si="4"/>
        <v>3.8473600000000068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48.806400000000004</v>
      </c>
      <c r="E65" s="5">
        <f t="shared" si="1"/>
        <v>10.203800000000001</v>
      </c>
      <c r="F65" s="6">
        <f t="shared" si="6"/>
        <v>376767.69009672001</v>
      </c>
      <c r="G65" s="6">
        <f t="shared" si="2"/>
        <v>18388.67458993656</v>
      </c>
      <c r="H65" s="6">
        <f t="shared" si="3"/>
        <v>3844.4621562089119</v>
      </c>
      <c r="J65" s="9">
        <f t="shared" si="4"/>
        <v>3.8602599999999971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48.806400000000004</v>
      </c>
      <c r="E66" s="5">
        <f t="shared" si="1"/>
        <v>9.910400000000001</v>
      </c>
      <c r="F66" s="6">
        <f t="shared" si="6"/>
        <v>391311.90253044764</v>
      </c>
      <c r="G66" s="6">
        <f t="shared" si="2"/>
        <v>19098.525239662042</v>
      </c>
      <c r="H66" s="6">
        <f t="shared" si="3"/>
        <v>3878.0574788377485</v>
      </c>
      <c r="J66" s="9">
        <f t="shared" si="4"/>
        <v>3.8896000000000042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48.459200000000003</v>
      </c>
      <c r="E67" s="5">
        <f t="shared" si="1"/>
        <v>9.7474000000000007</v>
      </c>
      <c r="F67" s="6">
        <f t="shared" si="6"/>
        <v>406532.37029127195</v>
      </c>
      <c r="G67" s="6">
        <f t="shared" si="2"/>
        <v>19700.233438418807</v>
      </c>
      <c r="H67" s="6">
        <f t="shared" si="3"/>
        <v>3962.6336261771444</v>
      </c>
      <c r="J67" s="9">
        <f t="shared" si="4"/>
        <v>3.8711800000000043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48.260800000000003</v>
      </c>
      <c r="E68" s="5">
        <f t="shared" si="1"/>
        <v>9.5518000000000001</v>
      </c>
      <c r="F68" s="6">
        <f t="shared" si="6"/>
        <v>422269.97010351362</v>
      </c>
      <c r="G68" s="6">
        <f t="shared" si="2"/>
        <v>20379.086573171651</v>
      </c>
      <c r="H68" s="6">
        <f t="shared" si="3"/>
        <v>4033.4383004347414</v>
      </c>
      <c r="J68" s="9">
        <f t="shared" si="4"/>
        <v>3.8709000000000047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47.665599999999998</v>
      </c>
      <c r="E69" s="5">
        <f t="shared" si="1"/>
        <v>9.5518000000000001</v>
      </c>
      <c r="F69" s="6">
        <f t="shared" si="6"/>
        <v>438615.61837625055</v>
      </c>
      <c r="G69" s="6">
        <f t="shared" si="2"/>
        <v>20906.876619275008</v>
      </c>
      <c r="H69" s="6">
        <f t="shared" si="3"/>
        <v>4189.5686636062701</v>
      </c>
      <c r="J69" s="9">
        <f t="shared" si="4"/>
        <v>3.8113800000000082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47.219200000000001</v>
      </c>
      <c r="E70" s="5">
        <f t="shared" si="1"/>
        <v>9.5191999999999997</v>
      </c>
      <c r="F70" s="6">
        <f t="shared" si="6"/>
        <v>455332.92633191933</v>
      </c>
      <c r="G70" s="6">
        <f t="shared" si="2"/>
        <v>21500.456515052167</v>
      </c>
      <c r="H70" s="6">
        <f t="shared" si="3"/>
        <v>4334.405192338807</v>
      </c>
      <c r="J70" s="9">
        <f t="shared" si="4"/>
        <v>3.770000000000004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47.318399999999997</v>
      </c>
      <c r="E71" s="5">
        <f t="shared" si="1"/>
        <v>9.4214000000000002</v>
      </c>
      <c r="F71" s="6">
        <f t="shared" si="6"/>
        <v>472498.9776546327</v>
      </c>
      <c r="G71" s="6">
        <f t="shared" si="2"/>
        <v>22357.895624252971</v>
      </c>
      <c r="H71" s="6">
        <f t="shared" si="3"/>
        <v>4451.6018680753568</v>
      </c>
      <c r="J71" s="9">
        <f t="shared" si="4"/>
        <v>3.7896999999999945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47.169600000000003</v>
      </c>
      <c r="E72" s="5">
        <f t="shared" ref="E72:E121" si="8">C72*$E$6</f>
        <v>9.2584</v>
      </c>
      <c r="F72" s="6">
        <f t="shared" si="6"/>
        <v>490405.2714108103</v>
      </c>
      <c r="G72" s="6">
        <f t="shared" ref="G72:G121" si="9">F72*D72/1000</f>
        <v>23132.220490339358</v>
      </c>
      <c r="H72" s="6">
        <f t="shared" ref="H72:H121" si="10">E72*F72/1000</f>
        <v>4540.3681648298461</v>
      </c>
      <c r="J72" s="9">
        <f t="shared" ref="J72:J121" si="11">100 *(F73-F72) / F72</f>
        <v>3.7911199999999932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46.971199999999996</v>
      </c>
      <c r="E73" s="5">
        <f t="shared" si="8"/>
        <v>8.9324000000000012</v>
      </c>
      <c r="F73" s="6">
        <f t="shared" ref="F73:F122" si="13">F72+G72-H72+I72</f>
        <v>508997.12373631977</v>
      </c>
      <c r="G73" s="6">
        <f t="shared" si="9"/>
        <v>23908.20569844342</v>
      </c>
      <c r="H73" s="6">
        <f t="shared" si="10"/>
        <v>4546.5659080623036</v>
      </c>
      <c r="J73" s="9">
        <f t="shared" si="11"/>
        <v>3.8038800000000017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46.623999999999995</v>
      </c>
      <c r="E74" s="5">
        <f t="shared" si="8"/>
        <v>8.345600000000001</v>
      </c>
      <c r="F74" s="6">
        <f t="shared" si="13"/>
        <v>528358.7635267009</v>
      </c>
      <c r="G74" s="6">
        <f t="shared" si="9"/>
        <v>24634.198990668901</v>
      </c>
      <c r="H74" s="6">
        <f t="shared" si="10"/>
        <v>4409.4708968884361</v>
      </c>
      <c r="J74" s="9">
        <f t="shared" si="11"/>
        <v>3.8278399999999988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45.979200000000006</v>
      </c>
      <c r="E75" s="5">
        <f t="shared" si="8"/>
        <v>7.9218000000000002</v>
      </c>
      <c r="F75" s="6">
        <f t="shared" si="13"/>
        <v>548583.49162048136</v>
      </c>
      <c r="G75" s="6">
        <f t="shared" si="9"/>
        <v>25223.43007791644</v>
      </c>
      <c r="H75" s="6">
        <f t="shared" si="10"/>
        <v>4345.7687039191296</v>
      </c>
      <c r="J75" s="9">
        <f t="shared" si="11"/>
        <v>3.8057400000000059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45.086400000000005</v>
      </c>
      <c r="E76" s="5">
        <f t="shared" si="8"/>
        <v>7.563200000000001</v>
      </c>
      <c r="F76" s="6">
        <f t="shared" si="13"/>
        <v>569461.1529944787</v>
      </c>
      <c r="G76" s="6">
        <f t="shared" si="9"/>
        <v>25674.953328370266</v>
      </c>
      <c r="H76" s="6">
        <f t="shared" si="10"/>
        <v>4306.9485923278417</v>
      </c>
      <c r="J76" s="9">
        <f t="shared" si="11"/>
        <v>3.7523199999999868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43.995200000000004</v>
      </c>
      <c r="E77" s="5">
        <f t="shared" si="8"/>
        <v>7.3350000000000009</v>
      </c>
      <c r="F77" s="6">
        <f t="shared" si="13"/>
        <v>590829.15773052105</v>
      </c>
      <c r="G77" s="6">
        <f t="shared" si="9"/>
        <v>25993.646960185823</v>
      </c>
      <c r="H77" s="6">
        <f t="shared" si="10"/>
        <v>4333.7318719533732</v>
      </c>
      <c r="J77" s="9">
        <f t="shared" si="11"/>
        <v>3.6660200000000072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43.052799999999998</v>
      </c>
      <c r="E78" s="5">
        <f t="shared" si="8"/>
        <v>7.0090000000000003</v>
      </c>
      <c r="F78" s="6">
        <f t="shared" si="13"/>
        <v>612489.07281875354</v>
      </c>
      <c r="G78" s="6">
        <f t="shared" si="9"/>
        <v>26369.369554251232</v>
      </c>
      <c r="H78" s="6">
        <f t="shared" si="10"/>
        <v>4292.935911386644</v>
      </c>
      <c r="J78" s="9">
        <f t="shared" si="11"/>
        <v>3.6043799999999981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41.564799999999998</v>
      </c>
      <c r="E79" s="5">
        <f t="shared" si="8"/>
        <v>6.7808000000000002</v>
      </c>
      <c r="F79" s="6">
        <f t="shared" si="13"/>
        <v>634565.50646161812</v>
      </c>
      <c r="G79" s="6">
        <f t="shared" si="9"/>
        <v>26375.588362975861</v>
      </c>
      <c r="H79" s="6">
        <f t="shared" si="10"/>
        <v>4302.8617862149404</v>
      </c>
      <c r="J79" s="9">
        <f t="shared" si="11"/>
        <v>3.4783999999999926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40.176000000000002</v>
      </c>
      <c r="E80" s="5">
        <f t="shared" si="8"/>
        <v>6.6178000000000008</v>
      </c>
      <c r="F80" s="6">
        <f t="shared" si="13"/>
        <v>656638.233038379</v>
      </c>
      <c r="G80" s="6">
        <f t="shared" si="9"/>
        <v>26381.097650549913</v>
      </c>
      <c r="H80" s="6">
        <f t="shared" si="10"/>
        <v>4345.5004986013855</v>
      </c>
      <c r="J80" s="9">
        <f t="shared" si="11"/>
        <v>3.3558200000000116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38.7376</v>
      </c>
      <c r="E81" s="5">
        <f t="shared" si="8"/>
        <v>6.3570000000000002</v>
      </c>
      <c r="F81" s="6">
        <f t="shared" si="13"/>
        <v>678673.8301903276</v>
      </c>
      <c r="G81" s="6">
        <f t="shared" si="9"/>
        <v>26290.195364380837</v>
      </c>
      <c r="H81" s="6">
        <f t="shared" si="10"/>
        <v>4314.3295385199126</v>
      </c>
      <c r="J81" s="9">
        <f t="shared" si="11"/>
        <v>3.2380599999999933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38.142400000000002</v>
      </c>
      <c r="E82" s="5">
        <f t="shared" si="8"/>
        <v>6.0310000000000006</v>
      </c>
      <c r="F82" s="6">
        <f t="shared" si="13"/>
        <v>700649.69601618848</v>
      </c>
      <c r="G82" s="6">
        <f t="shared" si="9"/>
        <v>26724.460965327871</v>
      </c>
      <c r="H82" s="6">
        <f t="shared" si="10"/>
        <v>4225.6183166736328</v>
      </c>
      <c r="J82" s="9">
        <f t="shared" si="11"/>
        <v>3.2111400000000017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37.745600000000003</v>
      </c>
      <c r="E83" s="5">
        <f t="shared" si="8"/>
        <v>5.8680000000000003</v>
      </c>
      <c r="F83" s="6">
        <f t="shared" si="13"/>
        <v>723148.53866484272</v>
      </c>
      <c r="G83" s="6">
        <f t="shared" si="9"/>
        <v>27295.675481027687</v>
      </c>
      <c r="H83" s="6">
        <f t="shared" si="10"/>
        <v>4243.4356248852973</v>
      </c>
      <c r="J83" s="9">
        <f t="shared" si="11"/>
        <v>3.1877600000000061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37.596800000000002</v>
      </c>
      <c r="E84" s="5">
        <f t="shared" si="8"/>
        <v>5.7375999999999996</v>
      </c>
      <c r="F84" s="6">
        <f t="shared" si="13"/>
        <v>746200.77852098516</v>
      </c>
      <c r="G84" s="6">
        <f t="shared" si="9"/>
        <v>28054.761429897779</v>
      </c>
      <c r="H84" s="6">
        <f t="shared" si="10"/>
        <v>4281.4015868420038</v>
      </c>
      <c r="J84" s="9">
        <f t="shared" si="11"/>
        <v>3.1859199999999928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37.497599999999998</v>
      </c>
      <c r="E85" s="5">
        <f t="shared" si="8"/>
        <v>5.5746000000000011</v>
      </c>
      <c r="F85" s="6">
        <f t="shared" si="13"/>
        <v>769974.13836404087</v>
      </c>
      <c r="G85" s="6">
        <f t="shared" si="9"/>
        <v>28872.182250719459</v>
      </c>
      <c r="H85" s="6">
        <f t="shared" si="10"/>
        <v>4292.2978317241823</v>
      </c>
      <c r="J85" s="9">
        <f t="shared" si="11"/>
        <v>3.1922999999999946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37.745600000000003</v>
      </c>
      <c r="E86" s="5">
        <f t="shared" si="8"/>
        <v>5.4116000000000009</v>
      </c>
      <c r="F86" s="6">
        <f t="shared" si="13"/>
        <v>794554.02278303611</v>
      </c>
      <c r="G86" s="6">
        <f t="shared" si="9"/>
        <v>29990.918322359372</v>
      </c>
      <c r="H86" s="6">
        <f t="shared" si="10"/>
        <v>4299.8085496926788</v>
      </c>
      <c r="J86" s="9">
        <f t="shared" si="11"/>
        <v>3.2334000000000023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37.448</v>
      </c>
      <c r="E87" s="5">
        <f t="shared" si="8"/>
        <v>5.3138000000000005</v>
      </c>
      <c r="F87" s="6">
        <f t="shared" si="13"/>
        <v>820245.13255570282</v>
      </c>
      <c r="G87" s="6">
        <f t="shared" si="9"/>
        <v>30716.53972394596</v>
      </c>
      <c r="H87" s="6">
        <f t="shared" si="10"/>
        <v>4358.6185853744937</v>
      </c>
      <c r="J87" s="9">
        <f t="shared" si="11"/>
        <v>3.2134200000000135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36.852800000000002</v>
      </c>
      <c r="E88" s="5">
        <f t="shared" si="8"/>
        <v>5.2160000000000002</v>
      </c>
      <c r="F88" s="6">
        <f t="shared" si="13"/>
        <v>846603.05369427439</v>
      </c>
      <c r="G88" s="6">
        <f t="shared" si="9"/>
        <v>31199.69301718436</v>
      </c>
      <c r="H88" s="6">
        <f t="shared" si="10"/>
        <v>4415.8815280693352</v>
      </c>
      <c r="J88" s="9">
        <f t="shared" si="11"/>
        <v>3.163679999999998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36.009599999999999</v>
      </c>
      <c r="E89" s="5">
        <f t="shared" si="8"/>
        <v>5.1834000000000007</v>
      </c>
      <c r="F89" s="6">
        <f t="shared" si="13"/>
        <v>873386.8651833894</v>
      </c>
      <c r="G89" s="6">
        <f t="shared" si="9"/>
        <v>31450.311660507781</v>
      </c>
      <c r="H89" s="6">
        <f t="shared" si="10"/>
        <v>4527.1134769915807</v>
      </c>
      <c r="J89" s="9">
        <f t="shared" si="11"/>
        <v>3.0826200000000088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34.967999999999996</v>
      </c>
      <c r="E90" s="5">
        <f t="shared" si="8"/>
        <v>5.2160000000000002</v>
      </c>
      <c r="F90" s="6">
        <f t="shared" si="13"/>
        <v>900310.06336690567</v>
      </c>
      <c r="G90" s="6">
        <f t="shared" si="9"/>
        <v>31482.042295813957</v>
      </c>
      <c r="H90" s="6">
        <f t="shared" si="10"/>
        <v>4696.0172905217796</v>
      </c>
      <c r="J90" s="9">
        <f t="shared" si="11"/>
        <v>2.9751999999999965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33.480000000000004</v>
      </c>
      <c r="E91" s="5">
        <f t="shared" si="8"/>
        <v>5.2486000000000006</v>
      </c>
      <c r="F91" s="6">
        <f t="shared" si="13"/>
        <v>927096.08837219782</v>
      </c>
      <c r="G91" s="6">
        <f t="shared" si="9"/>
        <v>31039.177038701189</v>
      </c>
      <c r="H91" s="6">
        <f t="shared" si="10"/>
        <v>4865.9565294303175</v>
      </c>
      <c r="J91" s="9">
        <f t="shared" si="11"/>
        <v>2.8231399999999915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32.140799999999999</v>
      </c>
      <c r="E92" s="5">
        <f t="shared" si="8"/>
        <v>5.3138000000000005</v>
      </c>
      <c r="F92" s="6">
        <f t="shared" si="13"/>
        <v>953269.30888146861</v>
      </c>
      <c r="G92" s="6">
        <f t="shared" si="9"/>
        <v>30638.838202897503</v>
      </c>
      <c r="H92" s="6">
        <f t="shared" si="10"/>
        <v>5065.4824535343478</v>
      </c>
      <c r="J92" s="9">
        <f t="shared" si="11"/>
        <v>2.6826999999999916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30.652799999999999</v>
      </c>
      <c r="E93" s="5">
        <f t="shared" si="8"/>
        <v>5.3138000000000005</v>
      </c>
      <c r="F93" s="6">
        <f t="shared" si="13"/>
        <v>978842.66463083168</v>
      </c>
      <c r="G93" s="6">
        <f t="shared" si="9"/>
        <v>30004.268430395958</v>
      </c>
      <c r="H93" s="6">
        <f t="shared" si="10"/>
        <v>5201.3741513153136</v>
      </c>
      <c r="J93" s="9">
        <f t="shared" si="11"/>
        <v>2.5339000000000031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29.462399999999999</v>
      </c>
      <c r="E94" s="5">
        <f t="shared" si="8"/>
        <v>5.2812000000000001</v>
      </c>
      <c r="F94" s="6">
        <f t="shared" si="13"/>
        <v>1003645.5589099124</v>
      </c>
      <c r="G94" s="6">
        <f t="shared" si="9"/>
        <v>29569.806914827401</v>
      </c>
      <c r="H94" s="6">
        <f t="shared" si="10"/>
        <v>5300.4529257150289</v>
      </c>
      <c r="J94" s="9">
        <f t="shared" si="11"/>
        <v>2.4181200000000049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28.222399999999997</v>
      </c>
      <c r="E95" s="5">
        <f t="shared" si="8"/>
        <v>5.2486000000000006</v>
      </c>
      <c r="F95" s="6">
        <f t="shared" si="13"/>
        <v>1027914.9128990248</v>
      </c>
      <c r="G95" s="6">
        <f t="shared" si="9"/>
        <v>29010.225837801434</v>
      </c>
      <c r="H95" s="6">
        <f t="shared" si="10"/>
        <v>5395.114211841822</v>
      </c>
      <c r="J95" s="9">
        <f t="shared" si="11"/>
        <v>2.2973800000000013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27.627200000000002</v>
      </c>
      <c r="E96" s="5">
        <f t="shared" si="8"/>
        <v>5.1508000000000003</v>
      </c>
      <c r="F96" s="6">
        <f t="shared" si="13"/>
        <v>1051530.0245249844</v>
      </c>
      <c r="G96" s="6">
        <f t="shared" si="9"/>
        <v>29050.830293556653</v>
      </c>
      <c r="H96" s="6">
        <f t="shared" si="10"/>
        <v>5416.2208503232896</v>
      </c>
      <c r="J96" s="9">
        <f t="shared" si="11"/>
        <v>2.2476399999999988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27.131200000000003</v>
      </c>
      <c r="E97" s="5">
        <f t="shared" si="8"/>
        <v>5.0856000000000003</v>
      </c>
      <c r="F97" s="6">
        <f t="shared" si="13"/>
        <v>1075164.6339682178</v>
      </c>
      <c r="G97" s="6">
        <f t="shared" si="9"/>
        <v>29170.506717118515</v>
      </c>
      <c r="H97" s="6">
        <f t="shared" si="10"/>
        <v>5467.8572625087681</v>
      </c>
      <c r="J97" s="9">
        <f t="shared" si="11"/>
        <v>2.2045599999999985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27.032000000000004</v>
      </c>
      <c r="E98" s="5">
        <f t="shared" si="8"/>
        <v>5.0529999999999999</v>
      </c>
      <c r="F98" s="6">
        <f t="shared" si="13"/>
        <v>1098867.2834228275</v>
      </c>
      <c r="G98" s="6">
        <f t="shared" si="9"/>
        <v>29704.580405485875</v>
      </c>
      <c r="H98" s="6">
        <f t="shared" si="10"/>
        <v>5552.5763831355471</v>
      </c>
      <c r="J98" s="9">
        <f t="shared" si="11"/>
        <v>2.197899999999998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26.486400000000003</v>
      </c>
      <c r="E99" s="5">
        <f t="shared" si="8"/>
        <v>5.0204000000000004</v>
      </c>
      <c r="F99" s="6">
        <f t="shared" si="13"/>
        <v>1123019.2874451778</v>
      </c>
      <c r="G99" s="6">
        <f t="shared" si="9"/>
        <v>29744.73805498796</v>
      </c>
      <c r="H99" s="6">
        <f t="shared" si="10"/>
        <v>5638.0060306897713</v>
      </c>
      <c r="J99" s="9">
        <f t="shared" si="11"/>
        <v>2.1466000000000087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25.990400000000001</v>
      </c>
      <c r="E100" s="5">
        <f t="shared" si="8"/>
        <v>4.9878</v>
      </c>
      <c r="F100" s="6">
        <f t="shared" si="13"/>
        <v>1147126.0194694761</v>
      </c>
      <c r="G100" s="6">
        <f t="shared" si="9"/>
        <v>29814.264096419472</v>
      </c>
      <c r="H100" s="6">
        <f t="shared" si="10"/>
        <v>5721.6351599098525</v>
      </c>
      <c r="J100" s="9">
        <f t="shared" si="11"/>
        <v>2.1002599999999987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25.444800000000001</v>
      </c>
      <c r="E101" s="5">
        <f t="shared" si="8"/>
        <v>4.9552000000000005</v>
      </c>
      <c r="F101" s="6">
        <f t="shared" si="13"/>
        <v>1171218.6484059857</v>
      </c>
      <c r="G101" s="6">
        <f t="shared" si="9"/>
        <v>29801.424264960624</v>
      </c>
      <c r="H101" s="6">
        <f t="shared" si="10"/>
        <v>5803.6226465813406</v>
      </c>
      <c r="J101" s="9">
        <f t="shared" si="11"/>
        <v>2.0489600000000019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24.9984</v>
      </c>
      <c r="E102" s="5">
        <f t="shared" si="8"/>
        <v>4.9552000000000005</v>
      </c>
      <c r="F102" s="6">
        <f t="shared" si="13"/>
        <v>1195216.450024365</v>
      </c>
      <c r="G102" s="6">
        <f t="shared" si="9"/>
        <v>29878.498904289085</v>
      </c>
      <c r="H102" s="6">
        <f t="shared" si="10"/>
        <v>5922.5365531607331</v>
      </c>
      <c r="J102" s="9">
        <f t="shared" si="11"/>
        <v>2.0043199999999897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24.502400000000002</v>
      </c>
      <c r="E103" s="5">
        <f t="shared" si="8"/>
        <v>4.9552000000000005</v>
      </c>
      <c r="F103" s="6">
        <f t="shared" si="13"/>
        <v>1219172.4123754932</v>
      </c>
      <c r="G103" s="6">
        <f t="shared" si="9"/>
        <v>29872.650116989287</v>
      </c>
      <c r="H103" s="6">
        <f t="shared" si="10"/>
        <v>6041.2431378030442</v>
      </c>
      <c r="J103" s="9">
        <f t="shared" si="11"/>
        <v>1.954720000000018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24.056000000000001</v>
      </c>
      <c r="E104" s="5">
        <f t="shared" si="8"/>
        <v>4.9878</v>
      </c>
      <c r="F104" s="6">
        <f t="shared" si="13"/>
        <v>1243003.8193546797</v>
      </c>
      <c r="G104" s="6">
        <f t="shared" si="9"/>
        <v>29901.699878396175</v>
      </c>
      <c r="H104" s="6">
        <f t="shared" si="10"/>
        <v>6199.8544501772712</v>
      </c>
      <c r="J104" s="9">
        <f t="shared" si="11"/>
        <v>1.9068200000000131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23.659199999999998</v>
      </c>
      <c r="E105" s="5">
        <f t="shared" si="8"/>
        <v>5.0204000000000004</v>
      </c>
      <c r="F105" s="6">
        <f t="shared" si="13"/>
        <v>1266705.6647828987</v>
      </c>
      <c r="G105" s="6">
        <f t="shared" si="9"/>
        <v>29969.242664231559</v>
      </c>
      <c r="H105" s="6">
        <f t="shared" si="10"/>
        <v>6359.369119476065</v>
      </c>
      <c r="J105" s="9">
        <f t="shared" si="11"/>
        <v>1.863879999999992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23.2624</v>
      </c>
      <c r="E106" s="5">
        <f t="shared" si="8"/>
        <v>5.0529999999999999</v>
      </c>
      <c r="F106" s="6">
        <f t="shared" si="13"/>
        <v>1290315.5383276541</v>
      </c>
      <c r="G106" s="6">
        <f t="shared" si="9"/>
        <v>30015.836178793223</v>
      </c>
      <c r="H106" s="6">
        <f t="shared" si="10"/>
        <v>6519.9644151696357</v>
      </c>
      <c r="J106" s="9">
        <f t="shared" si="11"/>
        <v>1.8209400000000155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22.865600000000001</v>
      </c>
      <c r="E107" s="5">
        <f t="shared" si="8"/>
        <v>5.0856000000000003</v>
      </c>
      <c r="F107" s="6">
        <f t="shared" si="13"/>
        <v>1313811.4100912779</v>
      </c>
      <c r="G107" s="6">
        <f t="shared" si="9"/>
        <v>30041.086178583126</v>
      </c>
      <c r="H107" s="6">
        <f t="shared" si="10"/>
        <v>6681.5193071602034</v>
      </c>
      <c r="J107" s="9">
        <f t="shared" si="11"/>
        <v>1.7779999999999914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22.468800000000002</v>
      </c>
      <c r="E108" s="5">
        <f t="shared" si="8"/>
        <v>5.1508000000000003</v>
      </c>
      <c r="F108" s="6">
        <f t="shared" si="13"/>
        <v>1337170.9769627007</v>
      </c>
      <c r="G108" s="6">
        <f t="shared" si="9"/>
        <v>30044.627247179531</v>
      </c>
      <c r="H108" s="6">
        <f t="shared" si="10"/>
        <v>6887.5002681394799</v>
      </c>
      <c r="J108" s="9">
        <f t="shared" si="11"/>
        <v>1.7318000000000122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22.121600000000001</v>
      </c>
      <c r="E109" s="5">
        <f t="shared" si="8"/>
        <v>5.2160000000000002</v>
      </c>
      <c r="F109" s="6">
        <f t="shared" si="13"/>
        <v>1360328.1039417409</v>
      </c>
      <c r="G109" s="6">
        <f t="shared" si="9"/>
        <v>30092.634184157618</v>
      </c>
      <c r="H109" s="6">
        <f t="shared" si="10"/>
        <v>7095.4713901601208</v>
      </c>
      <c r="J109" s="9">
        <f t="shared" si="11"/>
        <v>1.6905600000000132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21.724800000000002</v>
      </c>
      <c r="E110" s="5">
        <f t="shared" si="8"/>
        <v>5.2812000000000001</v>
      </c>
      <c r="F110" s="6">
        <f t="shared" si="13"/>
        <v>1383325.2667357386</v>
      </c>
      <c r="G110" s="6">
        <f t="shared" si="9"/>
        <v>30052.464754780576</v>
      </c>
      <c r="H110" s="6">
        <f t="shared" si="10"/>
        <v>7305.6173986847825</v>
      </c>
      <c r="J110" s="9">
        <f t="shared" si="11"/>
        <v>1.6443599999999918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21.278400000000001</v>
      </c>
      <c r="E111" s="5">
        <f t="shared" si="8"/>
        <v>5.3464</v>
      </c>
      <c r="F111" s="6">
        <f t="shared" si="13"/>
        <v>1406072.1140918343</v>
      </c>
      <c r="G111" s="6">
        <f t="shared" si="9"/>
        <v>29918.964872491688</v>
      </c>
      <c r="H111" s="6">
        <f t="shared" si="10"/>
        <v>7517.4239507805823</v>
      </c>
      <c r="J111" s="9">
        <f t="shared" si="11"/>
        <v>1.5932000000000019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20.980799999999999</v>
      </c>
      <c r="E112" s="5">
        <f t="shared" si="8"/>
        <v>5.4116000000000009</v>
      </c>
      <c r="F112" s="6">
        <f t="shared" si="13"/>
        <v>1428473.6550135454</v>
      </c>
      <c r="G112" s="6">
        <f t="shared" si="9"/>
        <v>29970.520061108189</v>
      </c>
      <c r="H112" s="6">
        <f t="shared" si="10"/>
        <v>7730.3280314713038</v>
      </c>
      <c r="J112" s="9">
        <f t="shared" si="11"/>
        <v>1.5569200000000112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20.832000000000001</v>
      </c>
      <c r="E113" s="5">
        <f t="shared" si="8"/>
        <v>5.5094000000000003</v>
      </c>
      <c r="F113" s="6">
        <f t="shared" si="13"/>
        <v>1450713.8470431825</v>
      </c>
      <c r="G113" s="6">
        <f t="shared" si="9"/>
        <v>30221.270861603578</v>
      </c>
      <c r="H113" s="6">
        <f t="shared" si="10"/>
        <v>7992.5628688997094</v>
      </c>
      <c r="J113" s="9">
        <f t="shared" si="11"/>
        <v>1.5322600000000013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20.683199999999999</v>
      </c>
      <c r="E114" s="5">
        <f t="shared" si="8"/>
        <v>5.5094000000000003</v>
      </c>
      <c r="F114" s="6">
        <f t="shared" si="13"/>
        <v>1472942.5550358864</v>
      </c>
      <c r="G114" s="6">
        <f t="shared" si="9"/>
        <v>30465.165454318245</v>
      </c>
      <c r="H114" s="6">
        <f t="shared" si="10"/>
        <v>8115.0297127147132</v>
      </c>
      <c r="J114" s="9">
        <f t="shared" si="11"/>
        <v>1.5173800000000019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20.4848</v>
      </c>
      <c r="E115" s="5">
        <f t="shared" si="8"/>
        <v>5.5094000000000003</v>
      </c>
      <c r="F115" s="6">
        <f t="shared" si="13"/>
        <v>1495292.6907774899</v>
      </c>
      <c r="G115" s="6">
        <f t="shared" si="9"/>
        <v>30630.771712038724</v>
      </c>
      <c r="H115" s="6">
        <f t="shared" si="10"/>
        <v>8238.1655505695035</v>
      </c>
      <c r="J115" s="9">
        <f t="shared" si="11"/>
        <v>1.4975399999999937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20.2864</v>
      </c>
      <c r="E116" s="5">
        <f t="shared" si="8"/>
        <v>5.5094000000000003</v>
      </c>
      <c r="F116" s="6">
        <f t="shared" si="13"/>
        <v>1517685.296938959</v>
      </c>
      <c r="G116" s="6">
        <f t="shared" si="9"/>
        <v>30788.371007822498</v>
      </c>
      <c r="H116" s="6">
        <f t="shared" si="10"/>
        <v>8361.5353749555015</v>
      </c>
      <c r="J116" s="9">
        <f t="shared" si="11"/>
        <v>1.4776999999999967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20.038400000000003</v>
      </c>
      <c r="E117" s="5">
        <f t="shared" si="8"/>
        <v>5.5094000000000003</v>
      </c>
      <c r="F117" s="6">
        <f t="shared" si="13"/>
        <v>1540112.132571826</v>
      </c>
      <c r="G117" s="6">
        <f t="shared" si="9"/>
        <v>30861.382957327285</v>
      </c>
      <c r="H117" s="6">
        <f t="shared" si="10"/>
        <v>8485.0937831912197</v>
      </c>
      <c r="J117" s="9">
        <f t="shared" si="11"/>
        <v>1.4528999999999965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19.790400000000002</v>
      </c>
      <c r="E118" s="5">
        <f t="shared" si="8"/>
        <v>5.5746000000000011</v>
      </c>
      <c r="F118" s="6">
        <f t="shared" si="13"/>
        <v>1562488.421745962</v>
      </c>
      <c r="G118" s="6">
        <f t="shared" si="9"/>
        <v>30922.270861721288</v>
      </c>
      <c r="H118" s="6">
        <f t="shared" si="10"/>
        <v>8710.247955865043</v>
      </c>
      <c r="J118" s="9">
        <f t="shared" si="11"/>
        <v>1.4215800000000081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19.542400000000001</v>
      </c>
      <c r="E119" s="5">
        <f t="shared" si="8"/>
        <v>5.6398000000000001</v>
      </c>
      <c r="F119" s="6">
        <f t="shared" si="13"/>
        <v>1584700.4446518184</v>
      </c>
      <c r="G119" s="6">
        <f t="shared" si="9"/>
        <v>30968.849969563697</v>
      </c>
      <c r="H119" s="6">
        <f t="shared" si="10"/>
        <v>8937.3935677473255</v>
      </c>
      <c r="J119" s="9">
        <f t="shared" si="11"/>
        <v>1.3902599999999978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19.2944</v>
      </c>
      <c r="E120" s="5">
        <f t="shared" si="8"/>
        <v>5.7375999999999996</v>
      </c>
      <c r="F120" s="6">
        <f t="shared" si="13"/>
        <v>1606731.9010536347</v>
      </c>
      <c r="G120" s="6">
        <f t="shared" si="9"/>
        <v>31000.927991689248</v>
      </c>
      <c r="H120" s="6">
        <f t="shared" si="10"/>
        <v>9218.7849554853346</v>
      </c>
      <c r="J120" s="9">
        <f t="shared" si="11"/>
        <v>1.3556800000000007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19.096</v>
      </c>
      <c r="E121" s="5">
        <f t="shared" si="8"/>
        <v>5.8353999999999999</v>
      </c>
      <c r="F121" s="6">
        <f t="shared" si="13"/>
        <v>1628514.0440898386</v>
      </c>
      <c r="G121" s="6">
        <f t="shared" si="9"/>
        <v>31098.104185939559</v>
      </c>
      <c r="H121" s="6">
        <f t="shared" si="10"/>
        <v>9503.0308528818459</v>
      </c>
      <c r="J121" s="9">
        <f t="shared" si="11"/>
        <v>1.3260599999999914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1650109.1174228962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26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19" t="s">
        <v>23</v>
      </c>
      <c r="E126" s="19"/>
      <c r="F126" s="19"/>
    </row>
    <row r="127" spans="1:10" x14ac:dyDescent="0.25">
      <c r="A127" s="14" t="s">
        <v>0</v>
      </c>
      <c r="B127" s="15" t="s">
        <v>13</v>
      </c>
      <c r="C127" s="15" t="s">
        <v>19</v>
      </c>
      <c r="D127" s="16" t="s">
        <v>20</v>
      </c>
      <c r="E127" s="16" t="s">
        <v>21</v>
      </c>
      <c r="F127" s="16" t="s">
        <v>22</v>
      </c>
    </row>
    <row r="128" spans="1:10" x14ac:dyDescent="0.25">
      <c r="A128" s="11">
        <v>1926</v>
      </c>
      <c r="B128" s="11" t="s">
        <v>14</v>
      </c>
      <c r="C128" s="2">
        <v>351</v>
      </c>
      <c r="D128" s="13">
        <f>F16</f>
        <v>104579.66933179161</v>
      </c>
      <c r="E128" s="13">
        <f ca="1">OFFSET(INDIRECT(MID(_xlfn.FORMULATEXT(D128),2,255)),1,0)</f>
        <v>106510.21002765647</v>
      </c>
      <c r="F128" s="6">
        <f ca="1">D128*(E128/D128)^((C128-1)/365)</f>
        <v>106430.17500590743</v>
      </c>
    </row>
    <row r="129" spans="1:6" x14ac:dyDescent="0.25">
      <c r="A129" s="11">
        <v>1937</v>
      </c>
      <c r="B129" s="11" t="s">
        <v>15</v>
      </c>
      <c r="C129" s="2">
        <v>6</v>
      </c>
      <c r="D129" s="13">
        <f>F27</f>
        <v>129723.79502641302</v>
      </c>
      <c r="E129" s="13">
        <f t="shared" ref="E129:E134" ca="1" si="14">OFFSET(INDIRECT(MID(_xlfn.FORMULATEXT(D129),2,255)),1,0)</f>
        <v>132447.83905341366</v>
      </c>
      <c r="F129" s="6">
        <f t="shared" ref="F129:F134" ca="1" si="15">D129*(E129/D129)^((C129-1)/365)</f>
        <v>129760.72956261864</v>
      </c>
    </row>
    <row r="130" spans="1:6" x14ac:dyDescent="0.25">
      <c r="A130" s="11">
        <v>1939</v>
      </c>
      <c r="B130" s="12" t="s">
        <v>16</v>
      </c>
      <c r="C130" s="2">
        <v>17</v>
      </c>
      <c r="D130" s="13">
        <f>F29</f>
        <v>135313.74539485143</v>
      </c>
      <c r="E130" s="13">
        <f t="shared" ca="1" si="14"/>
        <v>138292.67749971908</v>
      </c>
      <c r="F130" s="6">
        <f t="shared" ca="1" si="15"/>
        <v>135442.97374698232</v>
      </c>
    </row>
    <row r="131" spans="1:6" x14ac:dyDescent="0.25">
      <c r="A131" s="12">
        <v>1959</v>
      </c>
      <c r="B131" s="12" t="s">
        <v>17</v>
      </c>
      <c r="C131" s="10">
        <v>15</v>
      </c>
      <c r="D131" s="13">
        <f>F49</f>
        <v>217599.87355745974</v>
      </c>
      <c r="E131" s="13">
        <f t="shared" ca="1" si="14"/>
        <v>224312.74261675795</v>
      </c>
      <c r="F131" s="6">
        <f t="shared" ca="1" si="15"/>
        <v>217853.60954876442</v>
      </c>
    </row>
    <row r="132" spans="1:6" x14ac:dyDescent="0.25">
      <c r="A132" s="12">
        <v>1970</v>
      </c>
      <c r="B132" s="12" t="s">
        <v>17</v>
      </c>
      <c r="C132" s="10">
        <v>15</v>
      </c>
      <c r="D132" s="13">
        <f>F60</f>
        <v>312657.54935523414</v>
      </c>
      <c r="E132" s="13">
        <f t="shared" ca="1" si="14"/>
        <v>324404.28107903991</v>
      </c>
      <c r="F132" s="6">
        <f t="shared" ca="1" si="15"/>
        <v>313100.16422710015</v>
      </c>
    </row>
    <row r="133" spans="1:6" x14ac:dyDescent="0.25">
      <c r="A133" s="12">
        <v>1979</v>
      </c>
      <c r="B133" s="12" t="s">
        <v>16</v>
      </c>
      <c r="C133" s="10">
        <v>17</v>
      </c>
      <c r="D133" s="13">
        <f>F69</f>
        <v>438615.61837625055</v>
      </c>
      <c r="E133" s="13">
        <f t="shared" ca="1" si="14"/>
        <v>455332.92633191933</v>
      </c>
      <c r="F133" s="6">
        <f t="shared" ca="1" si="15"/>
        <v>439335.40167115058</v>
      </c>
    </row>
    <row r="134" spans="1:6" x14ac:dyDescent="0.25">
      <c r="A134" s="12">
        <v>1989</v>
      </c>
      <c r="B134" s="12" t="s">
        <v>18</v>
      </c>
      <c r="C134" s="10">
        <v>12</v>
      </c>
      <c r="D134" s="13">
        <f>F79</f>
        <v>634565.50646161812</v>
      </c>
      <c r="E134" s="13">
        <f t="shared" ca="1" si="14"/>
        <v>656638.233038379</v>
      </c>
      <c r="F134" s="6">
        <f t="shared" ca="1" si="15"/>
        <v>635219.74116549885</v>
      </c>
    </row>
    <row r="135" spans="1:6" x14ac:dyDescent="0.25">
      <c r="A135" s="2"/>
      <c r="B135" s="2"/>
      <c r="C135" s="2"/>
      <c r="D135" s="2"/>
      <c r="E135" s="2"/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55"/>
  <sheetViews>
    <sheetView tabSelected="1" workbookViewId="0">
      <selection activeCell="A2" sqref="A2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30</v>
      </c>
    </row>
    <row r="4" spans="1:12" x14ac:dyDescent="0.25">
      <c r="D4" s="18" t="s">
        <v>3</v>
      </c>
      <c r="E4" s="18"/>
      <c r="F4" s="18" t="s">
        <v>11</v>
      </c>
      <c r="G4" s="18"/>
      <c r="H4" s="18"/>
      <c r="I4" s="18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7</v>
      </c>
      <c r="G5" s="16" t="s">
        <v>8</v>
      </c>
      <c r="H5" s="16" t="s">
        <v>9</v>
      </c>
      <c r="I5" s="16" t="s">
        <v>10</v>
      </c>
      <c r="J5" s="16" t="s">
        <v>12</v>
      </c>
      <c r="L5" s="16" t="s">
        <v>25</v>
      </c>
    </row>
    <row r="6" spans="1:12" x14ac:dyDescent="0.25">
      <c r="A6" s="2" t="s">
        <v>6</v>
      </c>
      <c r="B6" s="2"/>
      <c r="C6" s="2"/>
      <c r="D6" s="5">
        <v>49.6</v>
      </c>
      <c r="E6" s="5">
        <v>32.6</v>
      </c>
      <c r="F6" s="6">
        <v>89243</v>
      </c>
      <c r="L6" s="17" t="s">
        <v>24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25.296000000000003</v>
      </c>
      <c r="E7" s="5">
        <f>C7*$E$6</f>
        <v>32.6</v>
      </c>
      <c r="F7" s="6">
        <v>91000</v>
      </c>
      <c r="G7" s="6">
        <f>F7*D7/1000</f>
        <v>2301.9360000000006</v>
      </c>
      <c r="H7" s="6">
        <f>E7*F7/1000</f>
        <v>2966.6</v>
      </c>
      <c r="I7" s="1">
        <v>-54</v>
      </c>
      <c r="J7" s="9">
        <f>100 *(F8-F7) / F7</f>
        <v>-0.78974065934066406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29.759999999999998</v>
      </c>
      <c r="E8" s="5">
        <f t="shared" ref="E8:E71" si="1">C8*$E$6</f>
        <v>32.6</v>
      </c>
      <c r="F8" s="6">
        <f>F7+G7-H7+I7</f>
        <v>90281.335999999996</v>
      </c>
      <c r="G8" s="6">
        <f t="shared" ref="G8:G71" si="2">F8*D8/1000</f>
        <v>2686.7725593599998</v>
      </c>
      <c r="H8" s="6">
        <f t="shared" ref="H8:H71" si="3">E8*F8/1000</f>
        <v>2943.1715536000002</v>
      </c>
      <c r="I8" s="1">
        <v>-145</v>
      </c>
      <c r="J8" s="9">
        <f t="shared" ref="J8:J71" si="4">100 *(F9-F8) / F8</f>
        <v>-0.44460905434539988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49.6</v>
      </c>
      <c r="E9" s="5">
        <f t="shared" si="1"/>
        <v>32.6</v>
      </c>
      <c r="F9" s="6">
        <f t="shared" ref="F9:F72" si="6">F8+G8-H8+I8</f>
        <v>89879.937005760003</v>
      </c>
      <c r="G9" s="6">
        <f t="shared" si="2"/>
        <v>4458.0448754856961</v>
      </c>
      <c r="H9" s="6">
        <f t="shared" si="3"/>
        <v>2930.0859463877759</v>
      </c>
      <c r="I9" s="1">
        <v>1450</v>
      </c>
      <c r="J9" s="9">
        <f t="shared" si="4"/>
        <v>3.3132632579694357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49.6</v>
      </c>
      <c r="E10" s="5">
        <f t="shared" si="1"/>
        <v>32.6</v>
      </c>
      <c r="F10" s="6">
        <f t="shared" si="6"/>
        <v>92857.895934857923</v>
      </c>
      <c r="G10" s="6">
        <f t="shared" si="2"/>
        <v>4605.7516383689526</v>
      </c>
      <c r="H10" s="6">
        <f t="shared" si="3"/>
        <v>3027.1674074763682</v>
      </c>
      <c r="I10" s="1">
        <v>870</v>
      </c>
      <c r="J10" s="9">
        <f t="shared" si="4"/>
        <v>2.6369154784751099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49.6</v>
      </c>
      <c r="E11" s="5">
        <f t="shared" si="1"/>
        <v>32.6</v>
      </c>
      <c r="F11" s="6">
        <f t="shared" si="6"/>
        <v>95306.480165750501</v>
      </c>
      <c r="G11" s="6">
        <f t="shared" si="2"/>
        <v>4727.2014162212245</v>
      </c>
      <c r="H11" s="6">
        <f t="shared" si="3"/>
        <v>3106.9912534034665</v>
      </c>
      <c r="I11" s="1">
        <v>580</v>
      </c>
      <c r="J11" s="9">
        <f t="shared" si="4"/>
        <v>2.308563026345436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49.550400000000003</v>
      </c>
      <c r="E12" s="5">
        <f t="shared" si="1"/>
        <v>32.339199999999998</v>
      </c>
      <c r="F12" s="6">
        <f t="shared" si="6"/>
        <v>97506.690328568264</v>
      </c>
      <c r="G12" s="6">
        <f t="shared" si="2"/>
        <v>4831.4955084566891</v>
      </c>
      <c r="H12" s="6">
        <f t="shared" si="3"/>
        <v>3153.2883598736348</v>
      </c>
      <c r="J12" s="9">
        <f t="shared" si="4"/>
        <v>1.7211199999999989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49.4512</v>
      </c>
      <c r="E13" s="5">
        <f t="shared" si="1"/>
        <v>31.980600000000003</v>
      </c>
      <c r="F13" s="6">
        <f t="shared" si="6"/>
        <v>99184.897477151317</v>
      </c>
      <c r="G13" s="6">
        <f t="shared" si="2"/>
        <v>4904.8122021221052</v>
      </c>
      <c r="H13" s="6">
        <f t="shared" si="3"/>
        <v>3171.9925322577856</v>
      </c>
      <c r="J13" s="9">
        <f t="shared" si="4"/>
        <v>1.7470599999999952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49.352000000000004</v>
      </c>
      <c r="E14" s="5">
        <f t="shared" si="1"/>
        <v>31.5242</v>
      </c>
      <c r="F14" s="6">
        <f t="shared" si="6"/>
        <v>100917.71714701563</v>
      </c>
      <c r="G14" s="6">
        <f t="shared" si="2"/>
        <v>4980.4911766395162</v>
      </c>
      <c r="H14" s="6">
        <f t="shared" si="3"/>
        <v>3181.3502988859505</v>
      </c>
      <c r="J14" s="9">
        <f t="shared" si="4"/>
        <v>1.7827800000000036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49.203200000000002</v>
      </c>
      <c r="E15" s="5">
        <f t="shared" si="1"/>
        <v>31.067799999999998</v>
      </c>
      <c r="F15" s="6">
        <f t="shared" si="6"/>
        <v>102716.8580247692</v>
      </c>
      <c r="G15" s="6">
        <f t="shared" si="2"/>
        <v>5053.9981087643246</v>
      </c>
      <c r="H15" s="6">
        <f t="shared" si="3"/>
        <v>3191.1868017419247</v>
      </c>
      <c r="J15" s="9">
        <f t="shared" si="4"/>
        <v>1.8135400000000068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49.103999999999999</v>
      </c>
      <c r="E16" s="5">
        <f t="shared" si="1"/>
        <v>30.643999999999998</v>
      </c>
      <c r="F16" s="6">
        <f t="shared" si="6"/>
        <v>104579.66933179161</v>
      </c>
      <c r="G16" s="6">
        <f t="shared" si="2"/>
        <v>5135.2800828682948</v>
      </c>
      <c r="H16" s="6">
        <f t="shared" si="3"/>
        <v>3204.7393870034216</v>
      </c>
      <c r="J16" s="9">
        <f t="shared" si="4"/>
        <v>1.8459999999999945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48.955199999999998</v>
      </c>
      <c r="E17" s="5">
        <f t="shared" si="1"/>
        <v>30.220200000000002</v>
      </c>
      <c r="F17" s="6">
        <f t="shared" si="6"/>
        <v>106510.21002765647</v>
      </c>
      <c r="G17" s="6">
        <f t="shared" si="2"/>
        <v>5214.2286339459279</v>
      </c>
      <c r="H17" s="6">
        <f t="shared" si="3"/>
        <v>3218.7598490777846</v>
      </c>
      <c r="J17" s="9">
        <f t="shared" si="4"/>
        <v>1.8734999999999917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48.856000000000002</v>
      </c>
      <c r="E18" s="5">
        <f t="shared" si="1"/>
        <v>29.796400000000002</v>
      </c>
      <c r="F18" s="6">
        <f t="shared" si="6"/>
        <v>108505.67881252461</v>
      </c>
      <c r="G18" s="6">
        <f t="shared" si="2"/>
        <v>5301.1534440647029</v>
      </c>
      <c r="H18" s="6">
        <f t="shared" si="3"/>
        <v>3233.0786081695087</v>
      </c>
      <c r="J18" s="9">
        <f t="shared" si="4"/>
        <v>1.9059600000000025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48.7072</v>
      </c>
      <c r="E19" s="5">
        <f t="shared" si="1"/>
        <v>29.372600000000002</v>
      </c>
      <c r="F19" s="6">
        <f t="shared" si="6"/>
        <v>110573.75364841981</v>
      </c>
      <c r="G19" s="6">
        <f t="shared" si="2"/>
        <v>5385.737933704313</v>
      </c>
      <c r="H19" s="6">
        <f t="shared" si="3"/>
        <v>3247.8386364135758</v>
      </c>
      <c r="J19" s="9">
        <f t="shared" si="4"/>
        <v>1.9334599999999922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48.607999999999997</v>
      </c>
      <c r="E20" s="5">
        <f t="shared" si="1"/>
        <v>28.9162</v>
      </c>
      <c r="F20" s="6">
        <f t="shared" si="6"/>
        <v>112711.65294571054</v>
      </c>
      <c r="G20" s="6">
        <f t="shared" si="2"/>
        <v>5478.6880263850981</v>
      </c>
      <c r="H20" s="6">
        <f t="shared" si="3"/>
        <v>3259.1926989087551</v>
      </c>
      <c r="J20" s="9">
        <f t="shared" si="4"/>
        <v>1.9691800000000099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48.607999999999997</v>
      </c>
      <c r="E21" s="5">
        <f t="shared" si="1"/>
        <v>28.4924</v>
      </c>
      <c r="F21" s="6">
        <f t="shared" si="6"/>
        <v>114931.14827318689</v>
      </c>
      <c r="G21" s="6">
        <f t="shared" si="2"/>
        <v>5586.5732552630679</v>
      </c>
      <c r="H21" s="6">
        <f t="shared" si="3"/>
        <v>3274.6642490589502</v>
      </c>
      <c r="J21" s="9">
        <f t="shared" si="4"/>
        <v>2.0115600000000029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48.508800000000001</v>
      </c>
      <c r="E22" s="5">
        <f t="shared" si="1"/>
        <v>28.133800000000001</v>
      </c>
      <c r="F22" s="6">
        <f t="shared" si="6"/>
        <v>117243.05727939101</v>
      </c>
      <c r="G22" s="6">
        <f t="shared" si="2"/>
        <v>5687.3200169545225</v>
      </c>
      <c r="H22" s="6">
        <f t="shared" si="3"/>
        <v>3298.4927248869312</v>
      </c>
      <c r="J22" s="9">
        <f t="shared" si="4"/>
        <v>2.0374999999999908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48.36</v>
      </c>
      <c r="E23" s="5">
        <f t="shared" si="1"/>
        <v>28.003399999999999</v>
      </c>
      <c r="F23" s="6">
        <f t="shared" si="6"/>
        <v>119631.88457145859</v>
      </c>
      <c r="G23" s="6">
        <f t="shared" si="2"/>
        <v>5785.3979378757376</v>
      </c>
      <c r="H23" s="6">
        <f t="shared" si="3"/>
        <v>3350.0995164083834</v>
      </c>
      <c r="J23" s="9">
        <f t="shared" si="4"/>
        <v>2.0356599999999956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48.211199999999998</v>
      </c>
      <c r="E24" s="5">
        <f t="shared" si="1"/>
        <v>27.742599999999999</v>
      </c>
      <c r="F24" s="6">
        <f t="shared" si="6"/>
        <v>122067.18299292594</v>
      </c>
      <c r="G24" s="6">
        <f t="shared" si="2"/>
        <v>5885.0053727085506</v>
      </c>
      <c r="H24" s="6">
        <f t="shared" si="3"/>
        <v>3386.461030899547</v>
      </c>
      <c r="J24" s="9">
        <f t="shared" si="4"/>
        <v>2.0468599999999966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48.012799999999999</v>
      </c>
      <c r="E25" s="5">
        <f t="shared" si="1"/>
        <v>27.416599999999999</v>
      </c>
      <c r="F25" s="6">
        <f t="shared" si="6"/>
        <v>124565.72733473494</v>
      </c>
      <c r="G25" s="6">
        <f t="shared" si="2"/>
        <v>5980.7493533771612</v>
      </c>
      <c r="H25" s="6">
        <f t="shared" si="3"/>
        <v>3415.168720045494</v>
      </c>
      <c r="J25" s="9">
        <f t="shared" si="4"/>
        <v>2.0596200000000038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47.4176</v>
      </c>
      <c r="E26" s="5">
        <f t="shared" si="1"/>
        <v>27.025400000000001</v>
      </c>
      <c r="F26" s="6">
        <f t="shared" si="6"/>
        <v>127131.30796806661</v>
      </c>
      <c r="G26" s="6">
        <f t="shared" si="2"/>
        <v>6028.261508706596</v>
      </c>
      <c r="H26" s="6">
        <f t="shared" si="3"/>
        <v>3435.774450360188</v>
      </c>
      <c r="J26" s="9">
        <f t="shared" si="4"/>
        <v>2.0392199999999994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47.665599999999998</v>
      </c>
      <c r="E27" s="5">
        <f t="shared" si="1"/>
        <v>26.666799999999999</v>
      </c>
      <c r="F27" s="6">
        <f t="shared" si="6"/>
        <v>129723.79502641302</v>
      </c>
      <c r="G27" s="6">
        <f t="shared" si="2"/>
        <v>6183.362524210992</v>
      </c>
      <c r="H27" s="6">
        <f t="shared" si="3"/>
        <v>3459.3184972103504</v>
      </c>
      <c r="J27" s="9">
        <f t="shared" si="4"/>
        <v>2.0998799999999962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47.913600000000002</v>
      </c>
      <c r="E28" s="5">
        <f t="shared" si="1"/>
        <v>26.275600000000004</v>
      </c>
      <c r="F28" s="6">
        <f t="shared" si="6"/>
        <v>132447.83905341366</v>
      </c>
      <c r="G28" s="6">
        <f t="shared" si="2"/>
        <v>6346.0527812696409</v>
      </c>
      <c r="H28" s="6">
        <f t="shared" si="3"/>
        <v>3480.1464398318767</v>
      </c>
      <c r="J28" s="9">
        <f t="shared" si="4"/>
        <v>2.1638000000000073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48.062399999999997</v>
      </c>
      <c r="E29" s="5">
        <f t="shared" si="1"/>
        <v>26.047400000000003</v>
      </c>
      <c r="F29" s="6">
        <f t="shared" si="6"/>
        <v>135313.74539485143</v>
      </c>
      <c r="G29" s="6">
        <f t="shared" si="2"/>
        <v>6503.5033566655065</v>
      </c>
      <c r="H29" s="6">
        <f t="shared" si="3"/>
        <v>3524.5712517978536</v>
      </c>
      <c r="J29" s="9">
        <f t="shared" si="4"/>
        <v>2.2014999999999971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47.863999999999997</v>
      </c>
      <c r="E30" s="5">
        <f t="shared" si="1"/>
        <v>25.884400000000003</v>
      </c>
      <c r="F30" s="6">
        <f t="shared" si="6"/>
        <v>138292.67749971908</v>
      </c>
      <c r="G30" s="6">
        <f t="shared" si="2"/>
        <v>6619.240715846553</v>
      </c>
      <c r="H30" s="6">
        <f t="shared" si="3"/>
        <v>3579.6229814737289</v>
      </c>
      <c r="J30" s="9">
        <f t="shared" si="4"/>
        <v>2.1979600000000166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47.863999999999997</v>
      </c>
      <c r="E31" s="5">
        <f t="shared" si="1"/>
        <v>25.949600000000004</v>
      </c>
      <c r="F31" s="6">
        <f t="shared" si="6"/>
        <v>141332.29523409193</v>
      </c>
      <c r="G31" s="6">
        <f t="shared" si="2"/>
        <v>6764.7289790845753</v>
      </c>
      <c r="H31" s="6">
        <f t="shared" si="3"/>
        <v>3667.5165284065924</v>
      </c>
      <c r="J31" s="9">
        <f t="shared" si="4"/>
        <v>2.1914400000000076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47.715200000000003</v>
      </c>
      <c r="E32" s="5">
        <f t="shared" si="1"/>
        <v>25.917000000000002</v>
      </c>
      <c r="F32" s="6">
        <f t="shared" si="6"/>
        <v>144429.50768476992</v>
      </c>
      <c r="G32" s="6">
        <f t="shared" si="2"/>
        <v>6891.4828450803343</v>
      </c>
      <c r="H32" s="6">
        <f t="shared" si="3"/>
        <v>3743.1795506661824</v>
      </c>
      <c r="I32" s="1">
        <v>-90</v>
      </c>
      <c r="J32" s="9">
        <f t="shared" si="4"/>
        <v>2.1175058638911759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47.4176</v>
      </c>
      <c r="E33" s="5">
        <f t="shared" si="1"/>
        <v>25.688800000000001</v>
      </c>
      <c r="F33" s="6">
        <f t="shared" si="6"/>
        <v>147487.81097918408</v>
      </c>
      <c r="G33" s="6">
        <f t="shared" si="2"/>
        <v>6993.5180258865594</v>
      </c>
      <c r="H33" s="6">
        <f t="shared" si="3"/>
        <v>3788.7848786820646</v>
      </c>
      <c r="I33" s="1">
        <v>-90</v>
      </c>
      <c r="J33" s="9">
        <f t="shared" si="4"/>
        <v>2.1118580081469287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47.12</v>
      </c>
      <c r="E34" s="5">
        <f t="shared" si="1"/>
        <v>25.036800000000003</v>
      </c>
      <c r="F34" s="6">
        <f t="shared" si="6"/>
        <v>150602.54412638859</v>
      </c>
      <c r="G34" s="6">
        <f t="shared" si="2"/>
        <v>7096.3918792354298</v>
      </c>
      <c r="H34" s="6">
        <f t="shared" si="3"/>
        <v>3770.6057767835664</v>
      </c>
      <c r="I34" s="1">
        <v>-90</v>
      </c>
      <c r="J34" s="9">
        <f t="shared" si="4"/>
        <v>2.1485600533655758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46.6736</v>
      </c>
      <c r="E35" s="5">
        <f t="shared" si="1"/>
        <v>24.1892</v>
      </c>
      <c r="F35" s="6">
        <f t="shared" si="6"/>
        <v>153838.33022884044</v>
      </c>
      <c r="G35" s="6">
        <f t="shared" si="2"/>
        <v>7180.1886897688073</v>
      </c>
      <c r="H35" s="6">
        <f t="shared" si="3"/>
        <v>3721.226137571467</v>
      </c>
      <c r="J35" s="9">
        <f t="shared" si="4"/>
        <v>2.2484399999999973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46.326400000000007</v>
      </c>
      <c r="E36" s="5">
        <f t="shared" si="1"/>
        <v>23.700199999999999</v>
      </c>
      <c r="F36" s="6">
        <f t="shared" si="6"/>
        <v>157297.29278103777</v>
      </c>
      <c r="G36" s="6">
        <f t="shared" si="2"/>
        <v>7287.0173042914694</v>
      </c>
      <c r="H36" s="6">
        <f t="shared" si="3"/>
        <v>3727.977298369151</v>
      </c>
      <c r="J36" s="9">
        <f t="shared" si="4"/>
        <v>2.2626200000000187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46.078400000000002</v>
      </c>
      <c r="E37" s="5">
        <f t="shared" si="1"/>
        <v>23.211200000000002</v>
      </c>
      <c r="F37" s="6">
        <f t="shared" si="6"/>
        <v>160856.33278696012</v>
      </c>
      <c r="G37" s="6">
        <f t="shared" si="2"/>
        <v>7412.0024446906637</v>
      </c>
      <c r="H37" s="6">
        <f t="shared" si="3"/>
        <v>3733.668511584689</v>
      </c>
      <c r="J37" s="9">
        <f t="shared" si="4"/>
        <v>2.2867200000000056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45.681600000000003</v>
      </c>
      <c r="E38" s="5">
        <f t="shared" si="1"/>
        <v>22.754799999999999</v>
      </c>
      <c r="F38" s="6">
        <f t="shared" si="6"/>
        <v>164534.6667200661</v>
      </c>
      <c r="G38" s="6">
        <f t="shared" si="2"/>
        <v>7516.2068312393721</v>
      </c>
      <c r="H38" s="6">
        <f t="shared" si="3"/>
        <v>3743.9534342817601</v>
      </c>
      <c r="J38" s="9">
        <f t="shared" si="4"/>
        <v>2.2926800000000038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46.276800000000001</v>
      </c>
      <c r="E39" s="5">
        <f t="shared" si="1"/>
        <v>22.689599999999999</v>
      </c>
      <c r="F39" s="6">
        <f t="shared" si="6"/>
        <v>168306.92011702372</v>
      </c>
      <c r="G39" s="6">
        <f t="shared" si="2"/>
        <v>7788.7056808714842</v>
      </c>
      <c r="H39" s="6">
        <f t="shared" si="3"/>
        <v>3818.8166946872211</v>
      </c>
      <c r="J39" s="9">
        <f t="shared" si="4"/>
        <v>2.3587199999999999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46.723199999999999</v>
      </c>
      <c r="E40" s="5">
        <f t="shared" si="1"/>
        <v>22.722200000000001</v>
      </c>
      <c r="F40" s="6">
        <f t="shared" si="6"/>
        <v>172276.80910320798</v>
      </c>
      <c r="G40" s="6">
        <f t="shared" si="2"/>
        <v>8049.3238070910074</v>
      </c>
      <c r="H40" s="6">
        <f t="shared" si="3"/>
        <v>3914.5081118049129</v>
      </c>
      <c r="J40" s="9">
        <f t="shared" si="4"/>
        <v>2.400100000000013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47.020800000000001</v>
      </c>
      <c r="E41" s="5">
        <f t="shared" si="1"/>
        <v>22.624399999999998</v>
      </c>
      <c r="F41" s="6">
        <f t="shared" si="6"/>
        <v>176411.6247984941</v>
      </c>
      <c r="G41" s="6">
        <f t="shared" si="2"/>
        <v>8295.0157273250315</v>
      </c>
      <c r="H41" s="6">
        <f t="shared" si="3"/>
        <v>3991.2071640910499</v>
      </c>
      <c r="J41" s="9">
        <f t="shared" si="4"/>
        <v>2.4396399999999905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47.268799999999999</v>
      </c>
      <c r="E42" s="5">
        <f t="shared" si="1"/>
        <v>22.428799999999999</v>
      </c>
      <c r="F42" s="6">
        <f t="shared" si="6"/>
        <v>180715.43336172806</v>
      </c>
      <c r="G42" s="6">
        <f t="shared" si="2"/>
        <v>8542.2016764888522</v>
      </c>
      <c r="H42" s="6">
        <f t="shared" si="3"/>
        <v>4053.2303117835263</v>
      </c>
      <c r="J42" s="9">
        <f t="shared" si="4"/>
        <v>2.4840000000000018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47.467199999999998</v>
      </c>
      <c r="E43" s="5">
        <f t="shared" si="1"/>
        <v>22.135400000000004</v>
      </c>
      <c r="F43" s="6">
        <f t="shared" si="6"/>
        <v>185204.40472643339</v>
      </c>
      <c r="G43" s="6">
        <f t="shared" si="2"/>
        <v>8791.1345200305586</v>
      </c>
      <c r="H43" s="6">
        <f t="shared" si="3"/>
        <v>4099.5735803814941</v>
      </c>
      <c r="J43" s="9">
        <f t="shared" si="4"/>
        <v>2.533179999999998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47.566400000000002</v>
      </c>
      <c r="E44" s="5">
        <f t="shared" si="1"/>
        <v>21.809400000000004</v>
      </c>
      <c r="F44" s="6">
        <f t="shared" si="6"/>
        <v>189895.96566608245</v>
      </c>
      <c r="G44" s="6">
        <f t="shared" si="2"/>
        <v>9032.6674612591451</v>
      </c>
      <c r="H44" s="6">
        <f t="shared" si="3"/>
        <v>4141.51707359786</v>
      </c>
      <c r="J44" s="9">
        <f t="shared" si="4"/>
        <v>2.575700000000007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47.616</v>
      </c>
      <c r="E45" s="5">
        <f t="shared" si="1"/>
        <v>21.320400000000003</v>
      </c>
      <c r="F45" s="6">
        <f t="shared" si="6"/>
        <v>194787.11605374375</v>
      </c>
      <c r="G45" s="6">
        <f t="shared" si="2"/>
        <v>9274.9833180150636</v>
      </c>
      <c r="H45" s="6">
        <f t="shared" si="3"/>
        <v>4152.9392291122394</v>
      </c>
      <c r="J45" s="9">
        <f t="shared" si="4"/>
        <v>2.6295600000000006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47.764800000000001</v>
      </c>
      <c r="E46" s="5">
        <f t="shared" si="1"/>
        <v>20.375</v>
      </c>
      <c r="F46" s="6">
        <f t="shared" si="6"/>
        <v>199909.16014264658</v>
      </c>
      <c r="G46" s="6">
        <f t="shared" si="2"/>
        <v>9548.6210523814862</v>
      </c>
      <c r="H46" s="6">
        <f t="shared" si="3"/>
        <v>4073.1491379064241</v>
      </c>
      <c r="J46" s="9">
        <f t="shared" si="4"/>
        <v>2.7389800000000122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47.863999999999997</v>
      </c>
      <c r="E47" s="5">
        <f t="shared" si="1"/>
        <v>19.2014</v>
      </c>
      <c r="F47" s="6">
        <f t="shared" si="6"/>
        <v>205384.63205712166</v>
      </c>
      <c r="G47" s="6">
        <f t="shared" si="2"/>
        <v>9830.5300287820719</v>
      </c>
      <c r="H47" s="6">
        <f t="shared" si="3"/>
        <v>3943.6724739816154</v>
      </c>
      <c r="J47" s="9">
        <f t="shared" si="4"/>
        <v>2.8662600000000018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48.112000000000002</v>
      </c>
      <c r="E48" s="5">
        <f t="shared" si="1"/>
        <v>18.158200000000001</v>
      </c>
      <c r="F48" s="6">
        <f t="shared" si="6"/>
        <v>211271.48961192212</v>
      </c>
      <c r="G48" s="6">
        <f t="shared" si="2"/>
        <v>10164.693908208797</v>
      </c>
      <c r="H48" s="6">
        <f t="shared" si="3"/>
        <v>3836.3099626712046</v>
      </c>
      <c r="J48" s="9">
        <f t="shared" si="4"/>
        <v>2.9953800000000101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48.062399999999997</v>
      </c>
      <c r="E49" s="5">
        <f t="shared" si="1"/>
        <v>17.212800000000001</v>
      </c>
      <c r="F49" s="6">
        <f t="shared" si="6"/>
        <v>217599.87355745974</v>
      </c>
      <c r="G49" s="6">
        <f t="shared" si="2"/>
        <v>10458.372162868052</v>
      </c>
      <c r="H49" s="6">
        <f t="shared" si="3"/>
        <v>3745.5031035698435</v>
      </c>
      <c r="J49" s="9">
        <f t="shared" si="4"/>
        <v>3.0849600000000033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47.764800000000001</v>
      </c>
      <c r="E50" s="5">
        <f t="shared" si="1"/>
        <v>16.952000000000002</v>
      </c>
      <c r="F50" s="6">
        <f t="shared" si="6"/>
        <v>224312.74261675795</v>
      </c>
      <c r="G50" s="6">
        <f t="shared" si="2"/>
        <v>10714.25328854092</v>
      </c>
      <c r="H50" s="6">
        <f t="shared" si="3"/>
        <v>3802.5496128392811</v>
      </c>
      <c r="J50" s="9">
        <f t="shared" si="4"/>
        <v>3.0812800000000098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47.764800000000001</v>
      </c>
      <c r="E51" s="5">
        <f t="shared" si="1"/>
        <v>16.4956</v>
      </c>
      <c r="F51" s="6">
        <f t="shared" si="6"/>
        <v>231224.44629245962</v>
      </c>
      <c r="G51" s="6">
        <f t="shared" si="2"/>
        <v>11044.389432270076</v>
      </c>
      <c r="H51" s="6">
        <f t="shared" si="3"/>
        <v>3814.1859762618965</v>
      </c>
      <c r="J51" s="9">
        <f t="shared" si="4"/>
        <v>3.1269200000000077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47.913600000000002</v>
      </c>
      <c r="E52" s="5">
        <f t="shared" si="1"/>
        <v>16.365200000000002</v>
      </c>
      <c r="F52" s="6">
        <f t="shared" si="6"/>
        <v>238454.64974846781</v>
      </c>
      <c r="G52" s="6">
        <f t="shared" si="2"/>
        <v>11425.220706188187</v>
      </c>
      <c r="H52" s="6">
        <f t="shared" si="3"/>
        <v>3902.3580340636258</v>
      </c>
      <c r="J52" s="9">
        <f t="shared" si="4"/>
        <v>3.1548399999999961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47.963200000000001</v>
      </c>
      <c r="E53" s="5">
        <f t="shared" si="1"/>
        <v>16.0718</v>
      </c>
      <c r="F53" s="6">
        <f t="shared" si="6"/>
        <v>245977.51242059236</v>
      </c>
      <c r="G53" s="6">
        <f t="shared" si="2"/>
        <v>11797.868623731356</v>
      </c>
      <c r="H53" s="6">
        <f t="shared" si="3"/>
        <v>3953.3013841212764</v>
      </c>
      <c r="J53" s="9">
        <f t="shared" si="4"/>
        <v>3.1891400000000085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48.409599999999998</v>
      </c>
      <c r="E54" s="5">
        <f t="shared" si="1"/>
        <v>15.4198</v>
      </c>
      <c r="F54" s="6">
        <f t="shared" si="6"/>
        <v>253822.07966020246</v>
      </c>
      <c r="G54" s="6">
        <f t="shared" si="2"/>
        <v>12287.425347518538</v>
      </c>
      <c r="H54" s="6">
        <f t="shared" si="3"/>
        <v>3913.8857039443901</v>
      </c>
      <c r="J54" s="9">
        <f t="shared" si="4"/>
        <v>3.2989800000000153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48.260800000000003</v>
      </c>
      <c r="E55" s="5">
        <f t="shared" si="1"/>
        <v>14.376600000000002</v>
      </c>
      <c r="F55" s="6">
        <f t="shared" si="6"/>
        <v>262195.61930377665</v>
      </c>
      <c r="G55" s="6">
        <f t="shared" si="2"/>
        <v>12653.770344095705</v>
      </c>
      <c r="H55" s="6">
        <f t="shared" si="3"/>
        <v>3769.4815404826759</v>
      </c>
      <c r="J55" s="9">
        <f t="shared" si="4"/>
        <v>3.3884200000000066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48.7072</v>
      </c>
      <c r="E56" s="5">
        <f t="shared" si="1"/>
        <v>13.724600000000001</v>
      </c>
      <c r="F56" s="6">
        <f t="shared" si="6"/>
        <v>271079.9081073897</v>
      </c>
      <c r="G56" s="6">
        <f t="shared" si="2"/>
        <v>13203.543300168252</v>
      </c>
      <c r="H56" s="6">
        <f t="shared" si="3"/>
        <v>3720.4633068106809</v>
      </c>
      <c r="J56" s="9">
        <f t="shared" si="4"/>
        <v>3.4982599999999859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49.103999999999999</v>
      </c>
      <c r="E57" s="5">
        <f t="shared" si="1"/>
        <v>12.974800000000002</v>
      </c>
      <c r="F57" s="6">
        <f t="shared" si="6"/>
        <v>280562.98810074723</v>
      </c>
      <c r="G57" s="6">
        <f t="shared" si="2"/>
        <v>13776.764967699091</v>
      </c>
      <c r="H57" s="6">
        <f t="shared" si="3"/>
        <v>3640.2486580095756</v>
      </c>
      <c r="J57" s="9">
        <f t="shared" si="4"/>
        <v>3.6129199999999932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49.352000000000004</v>
      </c>
      <c r="E58" s="5">
        <f t="shared" si="1"/>
        <v>12.648800000000001</v>
      </c>
      <c r="F58" s="6">
        <f t="shared" si="6"/>
        <v>290699.50441043673</v>
      </c>
      <c r="G58" s="6">
        <f t="shared" si="2"/>
        <v>14346.601941663874</v>
      </c>
      <c r="H58" s="6">
        <f t="shared" si="3"/>
        <v>3676.9998913867325</v>
      </c>
      <c r="J58" s="9">
        <f t="shared" si="4"/>
        <v>3.6703200000000105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49.649599999999992</v>
      </c>
      <c r="E59" s="5">
        <f t="shared" si="1"/>
        <v>12.192400000000001</v>
      </c>
      <c r="F59" s="6">
        <f t="shared" si="6"/>
        <v>301369.1064607139</v>
      </c>
      <c r="G59" s="6">
        <f t="shared" si="2"/>
        <v>14962.855588131859</v>
      </c>
      <c r="H59" s="6">
        <f t="shared" si="3"/>
        <v>3674.4126936116086</v>
      </c>
      <c r="J59" s="9">
        <f t="shared" si="4"/>
        <v>3.7457199999999951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49.6</v>
      </c>
      <c r="E60" s="5">
        <f t="shared" si="1"/>
        <v>12.029400000000001</v>
      </c>
      <c r="F60" s="6">
        <f t="shared" si="6"/>
        <v>312657.54935523414</v>
      </c>
      <c r="G60" s="6">
        <f t="shared" si="2"/>
        <v>15507.814448019615</v>
      </c>
      <c r="H60" s="6">
        <f t="shared" si="3"/>
        <v>3761.0827242138539</v>
      </c>
      <c r="J60" s="9">
        <f t="shared" si="4"/>
        <v>3.7570600000000045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49.401600000000002</v>
      </c>
      <c r="E61" s="5">
        <f t="shared" si="1"/>
        <v>11.573</v>
      </c>
      <c r="F61" s="6">
        <f t="shared" si="6"/>
        <v>324404.28107903991</v>
      </c>
      <c r="G61" s="6">
        <f t="shared" si="2"/>
        <v>16026.0905321543</v>
      </c>
      <c r="H61" s="6">
        <f t="shared" si="3"/>
        <v>3754.330744927729</v>
      </c>
      <c r="J61" s="9">
        <f t="shared" si="4"/>
        <v>3.7828599999999977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49.153600000000004</v>
      </c>
      <c r="E62" s="5">
        <f t="shared" si="1"/>
        <v>11.2796</v>
      </c>
      <c r="F62" s="6">
        <f t="shared" si="6"/>
        <v>336676.04086626647</v>
      </c>
      <c r="G62" s="6">
        <f t="shared" si="2"/>
        <v>16548.839442324115</v>
      </c>
      <c r="H62" s="6">
        <f t="shared" si="3"/>
        <v>3797.5710705551392</v>
      </c>
      <c r="J62" s="9">
        <f t="shared" si="4"/>
        <v>3.7874000000000052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49.054400000000001</v>
      </c>
      <c r="E63" s="5">
        <f t="shared" si="1"/>
        <v>10.758000000000001</v>
      </c>
      <c r="F63" s="6">
        <f t="shared" si="6"/>
        <v>349427.30923803546</v>
      </c>
      <c r="G63" s="6">
        <f t="shared" si="2"/>
        <v>17140.946998286287</v>
      </c>
      <c r="H63" s="6">
        <f t="shared" si="3"/>
        <v>3759.1389927827859</v>
      </c>
      <c r="J63" s="9">
        <f t="shared" si="4"/>
        <v>3.8296399999999982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48.9056</v>
      </c>
      <c r="E64" s="5">
        <f t="shared" si="1"/>
        <v>10.432</v>
      </c>
      <c r="F64" s="6">
        <f t="shared" si="6"/>
        <v>362809.11724353896</v>
      </c>
      <c r="G64" s="6">
        <f t="shared" si="2"/>
        <v>17743.397564265619</v>
      </c>
      <c r="H64" s="6">
        <f t="shared" si="3"/>
        <v>3784.8247110845987</v>
      </c>
      <c r="J64" s="9">
        <f t="shared" si="4"/>
        <v>3.8473600000000068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48.806400000000004</v>
      </c>
      <c r="E65" s="5">
        <f t="shared" si="1"/>
        <v>10.203800000000001</v>
      </c>
      <c r="F65" s="6">
        <f t="shared" si="6"/>
        <v>376767.69009672001</v>
      </c>
      <c r="G65" s="6">
        <f t="shared" si="2"/>
        <v>18388.67458993656</v>
      </c>
      <c r="H65" s="6">
        <f t="shared" si="3"/>
        <v>3844.4621562089119</v>
      </c>
      <c r="J65" s="9">
        <f t="shared" si="4"/>
        <v>3.8602599999999971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48.806400000000004</v>
      </c>
      <c r="E66" s="5">
        <f t="shared" si="1"/>
        <v>9.910400000000001</v>
      </c>
      <c r="F66" s="6">
        <f t="shared" si="6"/>
        <v>391311.90253044764</v>
      </c>
      <c r="G66" s="6">
        <f t="shared" si="2"/>
        <v>19098.525239662042</v>
      </c>
      <c r="H66" s="6">
        <f t="shared" si="3"/>
        <v>3878.0574788377485</v>
      </c>
      <c r="J66" s="9">
        <f t="shared" si="4"/>
        <v>3.8896000000000042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48.459200000000003</v>
      </c>
      <c r="E67" s="5">
        <f t="shared" si="1"/>
        <v>9.7474000000000007</v>
      </c>
      <c r="F67" s="6">
        <f t="shared" si="6"/>
        <v>406532.37029127195</v>
      </c>
      <c r="G67" s="6">
        <f t="shared" si="2"/>
        <v>19700.233438418807</v>
      </c>
      <c r="H67" s="6">
        <f t="shared" si="3"/>
        <v>3962.6336261771444</v>
      </c>
      <c r="J67" s="9">
        <f t="shared" si="4"/>
        <v>3.8711800000000043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48.260800000000003</v>
      </c>
      <c r="E68" s="5">
        <f t="shared" si="1"/>
        <v>9.5518000000000001</v>
      </c>
      <c r="F68" s="6">
        <f t="shared" si="6"/>
        <v>422269.97010351362</v>
      </c>
      <c r="G68" s="6">
        <f t="shared" si="2"/>
        <v>20379.086573171651</v>
      </c>
      <c r="H68" s="6">
        <f t="shared" si="3"/>
        <v>4033.4383004347414</v>
      </c>
      <c r="J68" s="9">
        <f t="shared" si="4"/>
        <v>3.8709000000000047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47.665599999999998</v>
      </c>
      <c r="E69" s="5">
        <f t="shared" si="1"/>
        <v>9.5518000000000001</v>
      </c>
      <c r="F69" s="6">
        <f t="shared" si="6"/>
        <v>438615.61837625055</v>
      </c>
      <c r="G69" s="6">
        <f t="shared" si="2"/>
        <v>20906.876619275008</v>
      </c>
      <c r="H69" s="6">
        <f t="shared" si="3"/>
        <v>4189.5686636062701</v>
      </c>
      <c r="J69" s="9">
        <f t="shared" si="4"/>
        <v>3.8113800000000082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47.219200000000001</v>
      </c>
      <c r="E70" s="5">
        <f t="shared" si="1"/>
        <v>9.5191999999999997</v>
      </c>
      <c r="F70" s="6">
        <f t="shared" si="6"/>
        <v>455332.92633191933</v>
      </c>
      <c r="G70" s="6">
        <f t="shared" si="2"/>
        <v>21500.456515052167</v>
      </c>
      <c r="H70" s="6">
        <f t="shared" si="3"/>
        <v>4334.405192338807</v>
      </c>
      <c r="J70" s="9">
        <f t="shared" si="4"/>
        <v>3.770000000000004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47.318399999999997</v>
      </c>
      <c r="E71" s="5">
        <f t="shared" si="1"/>
        <v>9.4214000000000002</v>
      </c>
      <c r="F71" s="6">
        <f t="shared" si="6"/>
        <v>472498.9776546327</v>
      </c>
      <c r="G71" s="6">
        <f t="shared" si="2"/>
        <v>22357.895624252971</v>
      </c>
      <c r="H71" s="6">
        <f t="shared" si="3"/>
        <v>4451.6018680753568</v>
      </c>
      <c r="J71" s="9">
        <f t="shared" si="4"/>
        <v>3.7896999999999945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47.169600000000003</v>
      </c>
      <c r="E72" s="5">
        <f t="shared" ref="E72:E121" si="8">C72*$E$6</f>
        <v>9.2584</v>
      </c>
      <c r="F72" s="6">
        <f t="shared" si="6"/>
        <v>490405.2714108103</v>
      </c>
      <c r="G72" s="6">
        <f t="shared" ref="G72:G121" si="9">F72*D72/1000</f>
        <v>23132.220490339358</v>
      </c>
      <c r="H72" s="6">
        <f t="shared" ref="H72:H121" si="10">E72*F72/1000</f>
        <v>4540.3681648298461</v>
      </c>
      <c r="J72" s="9">
        <f t="shared" ref="J72:J121" si="11">100 *(F73-F72) / F72</f>
        <v>3.7911199999999932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46.971199999999996</v>
      </c>
      <c r="E73" s="5">
        <f t="shared" si="8"/>
        <v>8.9324000000000012</v>
      </c>
      <c r="F73" s="6">
        <f t="shared" ref="F73:F122" si="13">F72+G72-H72+I72</f>
        <v>508997.12373631977</v>
      </c>
      <c r="G73" s="6">
        <f t="shared" si="9"/>
        <v>23908.20569844342</v>
      </c>
      <c r="H73" s="6">
        <f t="shared" si="10"/>
        <v>4546.5659080623036</v>
      </c>
      <c r="J73" s="9">
        <f t="shared" si="11"/>
        <v>3.8038800000000017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46.623999999999995</v>
      </c>
      <c r="E74" s="5">
        <f t="shared" si="8"/>
        <v>8.345600000000001</v>
      </c>
      <c r="F74" s="6">
        <f t="shared" si="13"/>
        <v>528358.7635267009</v>
      </c>
      <c r="G74" s="6">
        <f t="shared" si="9"/>
        <v>24634.198990668901</v>
      </c>
      <c r="H74" s="6">
        <f t="shared" si="10"/>
        <v>4409.4708968884361</v>
      </c>
      <c r="J74" s="9">
        <f t="shared" si="11"/>
        <v>3.8278399999999988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45.979200000000006</v>
      </c>
      <c r="E75" s="5">
        <f t="shared" si="8"/>
        <v>7.9218000000000002</v>
      </c>
      <c r="F75" s="6">
        <f t="shared" si="13"/>
        <v>548583.49162048136</v>
      </c>
      <c r="G75" s="6">
        <f t="shared" si="9"/>
        <v>25223.43007791644</v>
      </c>
      <c r="H75" s="6">
        <f t="shared" si="10"/>
        <v>4345.7687039191296</v>
      </c>
      <c r="J75" s="9">
        <f t="shared" si="11"/>
        <v>3.8057400000000059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45.086400000000005</v>
      </c>
      <c r="E76" s="5">
        <f t="shared" si="8"/>
        <v>7.563200000000001</v>
      </c>
      <c r="F76" s="6">
        <f t="shared" si="13"/>
        <v>569461.1529944787</v>
      </c>
      <c r="G76" s="6">
        <f t="shared" si="9"/>
        <v>25674.953328370266</v>
      </c>
      <c r="H76" s="6">
        <f t="shared" si="10"/>
        <v>4306.9485923278417</v>
      </c>
      <c r="J76" s="9">
        <f t="shared" si="11"/>
        <v>3.7523199999999868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43.995200000000004</v>
      </c>
      <c r="E77" s="5">
        <f t="shared" si="8"/>
        <v>7.3350000000000009</v>
      </c>
      <c r="F77" s="6">
        <f t="shared" si="13"/>
        <v>590829.15773052105</v>
      </c>
      <c r="G77" s="6">
        <f t="shared" si="9"/>
        <v>25993.646960185823</v>
      </c>
      <c r="H77" s="6">
        <f t="shared" si="10"/>
        <v>4333.7318719533732</v>
      </c>
      <c r="J77" s="9">
        <f t="shared" si="11"/>
        <v>3.6660200000000072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43.052799999999998</v>
      </c>
      <c r="E78" s="5">
        <f t="shared" si="8"/>
        <v>7.0090000000000003</v>
      </c>
      <c r="F78" s="6">
        <f t="shared" si="13"/>
        <v>612489.07281875354</v>
      </c>
      <c r="G78" s="6">
        <f t="shared" si="9"/>
        <v>26369.369554251232</v>
      </c>
      <c r="H78" s="6">
        <f t="shared" si="10"/>
        <v>4292.935911386644</v>
      </c>
      <c r="J78" s="9">
        <f t="shared" si="11"/>
        <v>3.6043799999999981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41.564799999999998</v>
      </c>
      <c r="E79" s="5">
        <f t="shared" si="8"/>
        <v>6.7808000000000002</v>
      </c>
      <c r="F79" s="6">
        <f t="shared" si="13"/>
        <v>634565.50646161812</v>
      </c>
      <c r="G79" s="6">
        <f t="shared" si="9"/>
        <v>26375.588362975861</v>
      </c>
      <c r="H79" s="6">
        <f t="shared" si="10"/>
        <v>4302.8617862149404</v>
      </c>
      <c r="J79" s="9">
        <f t="shared" si="11"/>
        <v>3.4783999999999926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40.176000000000002</v>
      </c>
      <c r="E80" s="5">
        <f t="shared" si="8"/>
        <v>6.6178000000000008</v>
      </c>
      <c r="F80" s="6">
        <f t="shared" si="13"/>
        <v>656638.233038379</v>
      </c>
      <c r="G80" s="6">
        <f t="shared" si="9"/>
        <v>26381.097650549913</v>
      </c>
      <c r="H80" s="6">
        <f t="shared" si="10"/>
        <v>4345.5004986013855</v>
      </c>
      <c r="J80" s="9">
        <f t="shared" si="11"/>
        <v>3.3558200000000116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38.7376</v>
      </c>
      <c r="E81" s="5">
        <f t="shared" si="8"/>
        <v>6.3570000000000002</v>
      </c>
      <c r="F81" s="6">
        <f t="shared" si="13"/>
        <v>678673.8301903276</v>
      </c>
      <c r="G81" s="6">
        <f t="shared" si="9"/>
        <v>26290.195364380837</v>
      </c>
      <c r="H81" s="6">
        <f t="shared" si="10"/>
        <v>4314.3295385199126</v>
      </c>
      <c r="J81" s="9">
        <f t="shared" si="11"/>
        <v>3.2380599999999933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38.142400000000002</v>
      </c>
      <c r="E82" s="5">
        <f t="shared" si="8"/>
        <v>6.0310000000000006</v>
      </c>
      <c r="F82" s="6">
        <f t="shared" si="13"/>
        <v>700649.69601618848</v>
      </c>
      <c r="G82" s="6">
        <f t="shared" si="9"/>
        <v>26724.460965327871</v>
      </c>
      <c r="H82" s="6">
        <f t="shared" si="10"/>
        <v>4225.6183166736328</v>
      </c>
      <c r="J82" s="9">
        <f t="shared" si="11"/>
        <v>3.2111400000000017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37.745600000000003</v>
      </c>
      <c r="E83" s="5">
        <f t="shared" si="8"/>
        <v>5.8680000000000003</v>
      </c>
      <c r="F83" s="6">
        <f t="shared" si="13"/>
        <v>723148.53866484272</v>
      </c>
      <c r="G83" s="6">
        <f t="shared" si="9"/>
        <v>27295.675481027687</v>
      </c>
      <c r="H83" s="6">
        <f t="shared" si="10"/>
        <v>4243.4356248852973</v>
      </c>
      <c r="J83" s="9">
        <f t="shared" si="11"/>
        <v>3.1877600000000061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37.596800000000002</v>
      </c>
      <c r="E84" s="5">
        <f t="shared" si="8"/>
        <v>5.7375999999999996</v>
      </c>
      <c r="F84" s="6">
        <f t="shared" si="13"/>
        <v>746200.77852098516</v>
      </c>
      <c r="G84" s="6">
        <f t="shared" si="9"/>
        <v>28054.761429897779</v>
      </c>
      <c r="H84" s="6">
        <f t="shared" si="10"/>
        <v>4281.4015868420038</v>
      </c>
      <c r="J84" s="9">
        <f t="shared" si="11"/>
        <v>3.1859199999999928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37.497599999999998</v>
      </c>
      <c r="E85" s="5">
        <f t="shared" si="8"/>
        <v>5.5746000000000011</v>
      </c>
      <c r="F85" s="6">
        <f t="shared" si="13"/>
        <v>769974.13836404087</v>
      </c>
      <c r="G85" s="6">
        <f t="shared" si="9"/>
        <v>28872.182250719459</v>
      </c>
      <c r="H85" s="6">
        <f t="shared" si="10"/>
        <v>4292.2978317241823</v>
      </c>
      <c r="J85" s="9">
        <f t="shared" si="11"/>
        <v>3.1922999999999946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37.745600000000003</v>
      </c>
      <c r="E86" s="5">
        <f t="shared" si="8"/>
        <v>5.4116000000000009</v>
      </c>
      <c r="F86" s="6">
        <f t="shared" si="13"/>
        <v>794554.02278303611</v>
      </c>
      <c r="G86" s="6">
        <f t="shared" si="9"/>
        <v>29990.918322359372</v>
      </c>
      <c r="H86" s="6">
        <f t="shared" si="10"/>
        <v>4299.8085496926788</v>
      </c>
      <c r="J86" s="9">
        <f t="shared" si="11"/>
        <v>3.2334000000000023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37.448</v>
      </c>
      <c r="E87" s="5">
        <f t="shared" si="8"/>
        <v>5.3138000000000005</v>
      </c>
      <c r="F87" s="6">
        <f t="shared" si="13"/>
        <v>820245.13255570282</v>
      </c>
      <c r="G87" s="6">
        <f t="shared" si="9"/>
        <v>30716.53972394596</v>
      </c>
      <c r="H87" s="6">
        <f t="shared" si="10"/>
        <v>4358.6185853744937</v>
      </c>
      <c r="J87" s="9">
        <f t="shared" si="11"/>
        <v>3.2134200000000135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36.852800000000002</v>
      </c>
      <c r="E88" s="5">
        <f t="shared" si="8"/>
        <v>5.2160000000000002</v>
      </c>
      <c r="F88" s="6">
        <f t="shared" si="13"/>
        <v>846603.05369427439</v>
      </c>
      <c r="G88" s="6">
        <f t="shared" si="9"/>
        <v>31199.69301718436</v>
      </c>
      <c r="H88" s="6">
        <f t="shared" si="10"/>
        <v>4415.8815280693352</v>
      </c>
      <c r="J88" s="9">
        <f t="shared" si="11"/>
        <v>3.163679999999998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36.009599999999999</v>
      </c>
      <c r="E89" s="5">
        <f t="shared" si="8"/>
        <v>5.1834000000000007</v>
      </c>
      <c r="F89" s="6">
        <f t="shared" si="13"/>
        <v>873386.8651833894</v>
      </c>
      <c r="G89" s="6">
        <f t="shared" si="9"/>
        <v>31450.311660507781</v>
      </c>
      <c r="H89" s="6">
        <f t="shared" si="10"/>
        <v>4527.1134769915807</v>
      </c>
      <c r="J89" s="9">
        <f t="shared" si="11"/>
        <v>3.0826200000000088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34.967999999999996</v>
      </c>
      <c r="E90" s="5">
        <f t="shared" si="8"/>
        <v>5.2160000000000002</v>
      </c>
      <c r="F90" s="6">
        <f t="shared" si="13"/>
        <v>900310.06336690567</v>
      </c>
      <c r="G90" s="6">
        <f t="shared" si="9"/>
        <v>31482.042295813957</v>
      </c>
      <c r="H90" s="6">
        <f t="shared" si="10"/>
        <v>4696.0172905217796</v>
      </c>
      <c r="J90" s="9">
        <f t="shared" si="11"/>
        <v>2.9751999999999965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33.480000000000004</v>
      </c>
      <c r="E91" s="5">
        <f t="shared" si="8"/>
        <v>5.2486000000000006</v>
      </c>
      <c r="F91" s="6">
        <f t="shared" si="13"/>
        <v>927096.08837219782</v>
      </c>
      <c r="G91" s="6">
        <f t="shared" si="9"/>
        <v>31039.177038701189</v>
      </c>
      <c r="H91" s="6">
        <f t="shared" si="10"/>
        <v>4865.9565294303175</v>
      </c>
      <c r="J91" s="9">
        <f t="shared" si="11"/>
        <v>2.8231399999999915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32.140799999999999</v>
      </c>
      <c r="E92" s="5">
        <f t="shared" si="8"/>
        <v>5.3138000000000005</v>
      </c>
      <c r="F92" s="6">
        <f t="shared" si="13"/>
        <v>953269.30888146861</v>
      </c>
      <c r="G92" s="6">
        <f t="shared" si="9"/>
        <v>30638.838202897503</v>
      </c>
      <c r="H92" s="6">
        <f t="shared" si="10"/>
        <v>5065.4824535343478</v>
      </c>
      <c r="J92" s="9">
        <f t="shared" si="11"/>
        <v>2.6826999999999916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30.652799999999999</v>
      </c>
      <c r="E93" s="5">
        <f t="shared" si="8"/>
        <v>5.3138000000000005</v>
      </c>
      <c r="F93" s="6">
        <f t="shared" si="13"/>
        <v>978842.66463083168</v>
      </c>
      <c r="G93" s="6">
        <f t="shared" si="9"/>
        <v>30004.268430395958</v>
      </c>
      <c r="H93" s="6">
        <f t="shared" si="10"/>
        <v>5201.3741513153136</v>
      </c>
      <c r="J93" s="9">
        <f t="shared" si="11"/>
        <v>2.5339000000000031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29.462399999999999</v>
      </c>
      <c r="E94" s="5">
        <f t="shared" si="8"/>
        <v>5.2812000000000001</v>
      </c>
      <c r="F94" s="6">
        <f t="shared" si="13"/>
        <v>1003645.5589099124</v>
      </c>
      <c r="G94" s="6">
        <f t="shared" si="9"/>
        <v>29569.806914827401</v>
      </c>
      <c r="H94" s="6">
        <f t="shared" si="10"/>
        <v>5300.4529257150289</v>
      </c>
      <c r="J94" s="9">
        <f t="shared" si="11"/>
        <v>2.4181200000000049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28.222399999999997</v>
      </c>
      <c r="E95" s="5">
        <f t="shared" si="8"/>
        <v>5.2486000000000006</v>
      </c>
      <c r="F95" s="6">
        <f t="shared" si="13"/>
        <v>1027914.9128990248</v>
      </c>
      <c r="G95" s="6">
        <f t="shared" si="9"/>
        <v>29010.225837801434</v>
      </c>
      <c r="H95" s="6">
        <f t="shared" si="10"/>
        <v>5395.114211841822</v>
      </c>
      <c r="J95" s="9">
        <f t="shared" si="11"/>
        <v>2.2973800000000013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27.627200000000002</v>
      </c>
      <c r="E96" s="5">
        <f t="shared" si="8"/>
        <v>5.1508000000000003</v>
      </c>
      <c r="F96" s="6">
        <f t="shared" si="13"/>
        <v>1051530.0245249844</v>
      </c>
      <c r="G96" s="6">
        <f t="shared" si="9"/>
        <v>29050.830293556653</v>
      </c>
      <c r="H96" s="6">
        <f t="shared" si="10"/>
        <v>5416.2208503232896</v>
      </c>
      <c r="J96" s="9">
        <f t="shared" si="11"/>
        <v>2.2476399999999988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27.131200000000003</v>
      </c>
      <c r="E97" s="5">
        <f t="shared" si="8"/>
        <v>5.0856000000000003</v>
      </c>
      <c r="F97" s="6">
        <f t="shared" si="13"/>
        <v>1075164.6339682178</v>
      </c>
      <c r="G97" s="6">
        <f t="shared" si="9"/>
        <v>29170.506717118515</v>
      </c>
      <c r="H97" s="6">
        <f t="shared" si="10"/>
        <v>5467.8572625087681</v>
      </c>
      <c r="J97" s="9">
        <f t="shared" si="11"/>
        <v>2.2045599999999985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27.032000000000004</v>
      </c>
      <c r="E98" s="5">
        <f t="shared" si="8"/>
        <v>5.0529999999999999</v>
      </c>
      <c r="F98" s="6">
        <f t="shared" si="13"/>
        <v>1098867.2834228275</v>
      </c>
      <c r="G98" s="6">
        <f t="shared" si="9"/>
        <v>29704.580405485875</v>
      </c>
      <c r="H98" s="6">
        <f t="shared" si="10"/>
        <v>5552.5763831355471</v>
      </c>
      <c r="J98" s="9">
        <f t="shared" si="11"/>
        <v>2.197899999999998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26.486400000000003</v>
      </c>
      <c r="E99" s="5">
        <f t="shared" si="8"/>
        <v>5.0204000000000004</v>
      </c>
      <c r="F99" s="6">
        <f t="shared" si="13"/>
        <v>1123019.2874451778</v>
      </c>
      <c r="G99" s="6">
        <f t="shared" si="9"/>
        <v>29744.73805498796</v>
      </c>
      <c r="H99" s="6">
        <f t="shared" si="10"/>
        <v>5638.0060306897713</v>
      </c>
      <c r="J99" s="9">
        <f t="shared" si="11"/>
        <v>2.1466000000000087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25.990400000000001</v>
      </c>
      <c r="E100" s="5">
        <f t="shared" si="8"/>
        <v>4.9878</v>
      </c>
      <c r="F100" s="6">
        <f t="shared" si="13"/>
        <v>1147126.0194694761</v>
      </c>
      <c r="G100" s="6">
        <f t="shared" si="9"/>
        <v>29814.264096419472</v>
      </c>
      <c r="H100" s="6">
        <f t="shared" si="10"/>
        <v>5721.6351599098525</v>
      </c>
      <c r="J100" s="9">
        <f t="shared" si="11"/>
        <v>2.1002599999999987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25.444800000000001</v>
      </c>
      <c r="E101" s="5">
        <f t="shared" si="8"/>
        <v>4.9552000000000005</v>
      </c>
      <c r="F101" s="6">
        <f t="shared" si="13"/>
        <v>1171218.6484059857</v>
      </c>
      <c r="G101" s="6">
        <f t="shared" si="9"/>
        <v>29801.424264960624</v>
      </c>
      <c r="H101" s="6">
        <f t="shared" si="10"/>
        <v>5803.6226465813406</v>
      </c>
      <c r="J101" s="9">
        <f t="shared" si="11"/>
        <v>2.0489600000000019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24.9984</v>
      </c>
      <c r="E102" s="5">
        <f t="shared" si="8"/>
        <v>4.9552000000000005</v>
      </c>
      <c r="F102" s="6">
        <f t="shared" si="13"/>
        <v>1195216.450024365</v>
      </c>
      <c r="G102" s="6">
        <f t="shared" si="9"/>
        <v>29878.498904289085</v>
      </c>
      <c r="H102" s="6">
        <f t="shared" si="10"/>
        <v>5922.5365531607331</v>
      </c>
      <c r="J102" s="9">
        <f t="shared" si="11"/>
        <v>2.0043199999999897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24.502400000000002</v>
      </c>
      <c r="E103" s="5">
        <f t="shared" si="8"/>
        <v>4.9552000000000005</v>
      </c>
      <c r="F103" s="6">
        <f t="shared" si="13"/>
        <v>1219172.4123754932</v>
      </c>
      <c r="G103" s="6">
        <f t="shared" si="9"/>
        <v>29872.650116989287</v>
      </c>
      <c r="H103" s="6">
        <f t="shared" si="10"/>
        <v>6041.2431378030442</v>
      </c>
      <c r="J103" s="9">
        <f t="shared" si="11"/>
        <v>1.954720000000018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24.056000000000001</v>
      </c>
      <c r="E104" s="5">
        <f t="shared" si="8"/>
        <v>4.9878</v>
      </c>
      <c r="F104" s="6">
        <f t="shared" si="13"/>
        <v>1243003.8193546797</v>
      </c>
      <c r="G104" s="6">
        <f t="shared" si="9"/>
        <v>29901.699878396175</v>
      </c>
      <c r="H104" s="6">
        <f t="shared" si="10"/>
        <v>6199.8544501772712</v>
      </c>
      <c r="J104" s="9">
        <f t="shared" si="11"/>
        <v>1.9068200000000131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23.659199999999998</v>
      </c>
      <c r="E105" s="5">
        <f t="shared" si="8"/>
        <v>5.0204000000000004</v>
      </c>
      <c r="F105" s="6">
        <f t="shared" si="13"/>
        <v>1266705.6647828987</v>
      </c>
      <c r="G105" s="6">
        <f t="shared" si="9"/>
        <v>29969.242664231559</v>
      </c>
      <c r="H105" s="6">
        <f t="shared" si="10"/>
        <v>6359.369119476065</v>
      </c>
      <c r="J105" s="9">
        <f t="shared" si="11"/>
        <v>1.863879999999992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23.2624</v>
      </c>
      <c r="E106" s="5">
        <f t="shared" si="8"/>
        <v>5.0529999999999999</v>
      </c>
      <c r="F106" s="6">
        <f t="shared" si="13"/>
        <v>1290315.5383276541</v>
      </c>
      <c r="G106" s="6">
        <f t="shared" si="9"/>
        <v>30015.836178793223</v>
      </c>
      <c r="H106" s="6">
        <f t="shared" si="10"/>
        <v>6519.9644151696357</v>
      </c>
      <c r="J106" s="9">
        <f t="shared" si="11"/>
        <v>1.8209400000000155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22.865600000000001</v>
      </c>
      <c r="E107" s="5">
        <f t="shared" si="8"/>
        <v>5.0856000000000003</v>
      </c>
      <c r="F107" s="6">
        <f t="shared" si="13"/>
        <v>1313811.4100912779</v>
      </c>
      <c r="G107" s="6">
        <f t="shared" si="9"/>
        <v>30041.086178583126</v>
      </c>
      <c r="H107" s="6">
        <f t="shared" si="10"/>
        <v>6681.5193071602034</v>
      </c>
      <c r="J107" s="9">
        <f t="shared" si="11"/>
        <v>1.7779999999999914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22.468800000000002</v>
      </c>
      <c r="E108" s="5">
        <f t="shared" si="8"/>
        <v>5.1508000000000003</v>
      </c>
      <c r="F108" s="6">
        <f t="shared" si="13"/>
        <v>1337170.9769627007</v>
      </c>
      <c r="G108" s="6">
        <f t="shared" si="9"/>
        <v>30044.627247179531</v>
      </c>
      <c r="H108" s="6">
        <f t="shared" si="10"/>
        <v>6887.5002681394799</v>
      </c>
      <c r="J108" s="9">
        <f t="shared" si="11"/>
        <v>1.7318000000000122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22.121600000000001</v>
      </c>
      <c r="E109" s="5">
        <f t="shared" si="8"/>
        <v>5.2160000000000002</v>
      </c>
      <c r="F109" s="6">
        <f t="shared" si="13"/>
        <v>1360328.1039417409</v>
      </c>
      <c r="G109" s="6">
        <f t="shared" si="9"/>
        <v>30092.634184157618</v>
      </c>
      <c r="H109" s="6">
        <f t="shared" si="10"/>
        <v>7095.4713901601208</v>
      </c>
      <c r="J109" s="9">
        <f t="shared" si="11"/>
        <v>1.6905600000000132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21.724800000000002</v>
      </c>
      <c r="E110" s="5">
        <f t="shared" si="8"/>
        <v>5.2812000000000001</v>
      </c>
      <c r="F110" s="6">
        <f t="shared" si="13"/>
        <v>1383325.2667357386</v>
      </c>
      <c r="G110" s="6">
        <f t="shared" si="9"/>
        <v>30052.464754780576</v>
      </c>
      <c r="H110" s="6">
        <f t="shared" si="10"/>
        <v>7305.6173986847825</v>
      </c>
      <c r="J110" s="9">
        <f t="shared" si="11"/>
        <v>1.6443599999999918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21.278400000000001</v>
      </c>
      <c r="E111" s="5">
        <f t="shared" si="8"/>
        <v>5.3464</v>
      </c>
      <c r="F111" s="6">
        <f t="shared" si="13"/>
        <v>1406072.1140918343</v>
      </c>
      <c r="G111" s="6">
        <f t="shared" si="9"/>
        <v>29918.964872491688</v>
      </c>
      <c r="H111" s="6">
        <f t="shared" si="10"/>
        <v>7517.4239507805823</v>
      </c>
      <c r="J111" s="9">
        <f t="shared" si="11"/>
        <v>1.5932000000000019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20.980799999999999</v>
      </c>
      <c r="E112" s="5">
        <f t="shared" si="8"/>
        <v>5.4116000000000009</v>
      </c>
      <c r="F112" s="6">
        <f t="shared" si="13"/>
        <v>1428473.6550135454</v>
      </c>
      <c r="G112" s="6">
        <f t="shared" si="9"/>
        <v>29970.520061108189</v>
      </c>
      <c r="H112" s="6">
        <f t="shared" si="10"/>
        <v>7730.3280314713038</v>
      </c>
      <c r="J112" s="9">
        <f t="shared" si="11"/>
        <v>1.5569200000000112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20.832000000000001</v>
      </c>
      <c r="E113" s="5">
        <f t="shared" si="8"/>
        <v>5.5094000000000003</v>
      </c>
      <c r="F113" s="6">
        <f t="shared" si="13"/>
        <v>1450713.8470431825</v>
      </c>
      <c r="G113" s="6">
        <f t="shared" si="9"/>
        <v>30221.270861603578</v>
      </c>
      <c r="H113" s="6">
        <f t="shared" si="10"/>
        <v>7992.5628688997094</v>
      </c>
      <c r="J113" s="9">
        <f t="shared" si="11"/>
        <v>1.5322600000000013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20.683199999999999</v>
      </c>
      <c r="E114" s="5">
        <f t="shared" si="8"/>
        <v>5.5094000000000003</v>
      </c>
      <c r="F114" s="6">
        <f t="shared" si="13"/>
        <v>1472942.5550358864</v>
      </c>
      <c r="G114" s="6">
        <f t="shared" si="9"/>
        <v>30465.165454318245</v>
      </c>
      <c r="H114" s="6">
        <f t="shared" si="10"/>
        <v>8115.0297127147132</v>
      </c>
      <c r="J114" s="9">
        <f t="shared" si="11"/>
        <v>1.5173800000000019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20.4848</v>
      </c>
      <c r="E115" s="5">
        <f t="shared" si="8"/>
        <v>5.5094000000000003</v>
      </c>
      <c r="F115" s="6">
        <f t="shared" si="13"/>
        <v>1495292.6907774899</v>
      </c>
      <c r="G115" s="6">
        <f t="shared" si="9"/>
        <v>30630.771712038724</v>
      </c>
      <c r="H115" s="6">
        <f t="shared" si="10"/>
        <v>8238.1655505695035</v>
      </c>
      <c r="J115" s="9">
        <f t="shared" si="11"/>
        <v>1.4975399999999937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20.2864</v>
      </c>
      <c r="E116" s="5">
        <f t="shared" si="8"/>
        <v>5.5094000000000003</v>
      </c>
      <c r="F116" s="6">
        <f t="shared" si="13"/>
        <v>1517685.296938959</v>
      </c>
      <c r="G116" s="6">
        <f t="shared" si="9"/>
        <v>30788.371007822498</v>
      </c>
      <c r="H116" s="6">
        <f t="shared" si="10"/>
        <v>8361.5353749555015</v>
      </c>
      <c r="J116" s="9">
        <f t="shared" si="11"/>
        <v>1.4776999999999967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20.038400000000003</v>
      </c>
      <c r="E117" s="5">
        <f t="shared" si="8"/>
        <v>5.5094000000000003</v>
      </c>
      <c r="F117" s="6">
        <f t="shared" si="13"/>
        <v>1540112.132571826</v>
      </c>
      <c r="G117" s="6">
        <f t="shared" si="9"/>
        <v>30861.382957327285</v>
      </c>
      <c r="H117" s="6">
        <f t="shared" si="10"/>
        <v>8485.0937831912197</v>
      </c>
      <c r="J117" s="9">
        <f t="shared" si="11"/>
        <v>1.4528999999999965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19.790400000000002</v>
      </c>
      <c r="E118" s="5">
        <f t="shared" si="8"/>
        <v>5.5746000000000011</v>
      </c>
      <c r="F118" s="6">
        <f t="shared" si="13"/>
        <v>1562488.421745962</v>
      </c>
      <c r="G118" s="6">
        <f t="shared" si="9"/>
        <v>30922.270861721288</v>
      </c>
      <c r="H118" s="6">
        <f t="shared" si="10"/>
        <v>8710.247955865043</v>
      </c>
      <c r="J118" s="9">
        <f t="shared" si="11"/>
        <v>1.4215800000000081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19.542400000000001</v>
      </c>
      <c r="E119" s="5">
        <f t="shared" si="8"/>
        <v>5.6398000000000001</v>
      </c>
      <c r="F119" s="6">
        <f t="shared" si="13"/>
        <v>1584700.4446518184</v>
      </c>
      <c r="G119" s="6">
        <f t="shared" si="9"/>
        <v>30968.849969563697</v>
      </c>
      <c r="H119" s="6">
        <f t="shared" si="10"/>
        <v>8937.3935677473255</v>
      </c>
      <c r="J119" s="9">
        <f t="shared" si="11"/>
        <v>1.3902599999999978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19.2944</v>
      </c>
      <c r="E120" s="5">
        <f t="shared" si="8"/>
        <v>5.7375999999999996</v>
      </c>
      <c r="F120" s="6">
        <f t="shared" si="13"/>
        <v>1606731.9010536347</v>
      </c>
      <c r="G120" s="6">
        <f t="shared" si="9"/>
        <v>31000.927991689248</v>
      </c>
      <c r="H120" s="6">
        <f t="shared" si="10"/>
        <v>9218.7849554853346</v>
      </c>
      <c r="J120" s="9">
        <f t="shared" si="11"/>
        <v>1.3556800000000007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19.096</v>
      </c>
      <c r="E121" s="5">
        <f t="shared" si="8"/>
        <v>5.8353999999999999</v>
      </c>
      <c r="F121" s="6">
        <f t="shared" si="13"/>
        <v>1628514.0440898386</v>
      </c>
      <c r="G121" s="6">
        <f t="shared" si="9"/>
        <v>31098.104185939559</v>
      </c>
      <c r="H121" s="6">
        <f t="shared" si="10"/>
        <v>9503.0308528818459</v>
      </c>
      <c r="J121" s="9">
        <f t="shared" si="11"/>
        <v>1.3260599999999914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1650109.1174228962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26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19" t="s">
        <v>23</v>
      </c>
      <c r="E126" s="19"/>
      <c r="F126" s="19"/>
    </row>
    <row r="127" spans="1:10" x14ac:dyDescent="0.25">
      <c r="A127" s="14" t="s">
        <v>0</v>
      </c>
      <c r="B127" s="15" t="s">
        <v>13</v>
      </c>
      <c r="C127" s="15" t="s">
        <v>19</v>
      </c>
      <c r="D127" s="16" t="s">
        <v>20</v>
      </c>
      <c r="E127" s="16" t="s">
        <v>21</v>
      </c>
      <c r="F127" s="16" t="s">
        <v>22</v>
      </c>
    </row>
    <row r="128" spans="1:10" x14ac:dyDescent="0.25">
      <c r="A128" s="11">
        <v>1926</v>
      </c>
      <c r="B128" s="11" t="s">
        <v>14</v>
      </c>
      <c r="C128" s="2">
        <v>351</v>
      </c>
      <c r="D128" s="13">
        <f>F16</f>
        <v>104579.66933179161</v>
      </c>
      <c r="E128" s="13">
        <f ca="1">OFFSET(INDIRECT(MID(_xlfn.FORMULATEXT(D128),2,255)),1,0)</f>
        <v>106510.21002765647</v>
      </c>
      <c r="F128" s="6">
        <f ca="1">D128*(E128/D128)^((C128-1)/365)</f>
        <v>106430.17500590743</v>
      </c>
    </row>
    <row r="129" spans="1:6" x14ac:dyDescent="0.25">
      <c r="A129" s="11">
        <v>1937</v>
      </c>
      <c r="B129" s="11" t="s">
        <v>15</v>
      </c>
      <c r="C129" s="2">
        <v>6</v>
      </c>
      <c r="D129" s="13">
        <f>F27</f>
        <v>129723.79502641302</v>
      </c>
      <c r="E129" s="13">
        <f t="shared" ref="E129:E134" ca="1" si="14">OFFSET(INDIRECT(MID(_xlfn.FORMULATEXT(D129),2,255)),1,0)</f>
        <v>132447.83905341366</v>
      </c>
      <c r="F129" s="6">
        <f t="shared" ref="F129:F134" ca="1" si="15">D129*(E129/D129)^((C129-1)/365)</f>
        <v>129760.72956261864</v>
      </c>
    </row>
    <row r="130" spans="1:6" x14ac:dyDescent="0.25">
      <c r="A130" s="11">
        <v>1939</v>
      </c>
      <c r="B130" s="12" t="s">
        <v>16</v>
      </c>
      <c r="C130" s="2">
        <v>17</v>
      </c>
      <c r="D130" s="13">
        <f>F29</f>
        <v>135313.74539485143</v>
      </c>
      <c r="E130" s="13">
        <f t="shared" ca="1" si="14"/>
        <v>138292.67749971908</v>
      </c>
      <c r="F130" s="6">
        <f t="shared" ca="1" si="15"/>
        <v>135442.97374698232</v>
      </c>
    </row>
    <row r="131" spans="1:6" x14ac:dyDescent="0.25">
      <c r="A131" s="12">
        <v>1959</v>
      </c>
      <c r="B131" s="12" t="s">
        <v>17</v>
      </c>
      <c r="C131" s="10">
        <v>15</v>
      </c>
      <c r="D131" s="13">
        <f>F49</f>
        <v>217599.87355745974</v>
      </c>
      <c r="E131" s="13">
        <f t="shared" ca="1" si="14"/>
        <v>224312.74261675795</v>
      </c>
      <c r="F131" s="6">
        <f t="shared" ca="1" si="15"/>
        <v>217853.60954876442</v>
      </c>
    </row>
    <row r="132" spans="1:6" x14ac:dyDescent="0.25">
      <c r="A132" s="12">
        <v>1970</v>
      </c>
      <c r="B132" s="12" t="s">
        <v>17</v>
      </c>
      <c r="C132" s="10">
        <v>15</v>
      </c>
      <c r="D132" s="13">
        <f>F60</f>
        <v>312657.54935523414</v>
      </c>
      <c r="E132" s="13">
        <f t="shared" ca="1" si="14"/>
        <v>324404.28107903991</v>
      </c>
      <c r="F132" s="6">
        <f t="shared" ca="1" si="15"/>
        <v>313100.16422710015</v>
      </c>
    </row>
    <row r="133" spans="1:6" x14ac:dyDescent="0.25">
      <c r="A133" s="12">
        <v>1979</v>
      </c>
      <c r="B133" s="12" t="s">
        <v>16</v>
      </c>
      <c r="C133" s="10">
        <v>17</v>
      </c>
      <c r="D133" s="13">
        <f>F69</f>
        <v>438615.61837625055</v>
      </c>
      <c r="E133" s="13">
        <f t="shared" ca="1" si="14"/>
        <v>455332.92633191933</v>
      </c>
      <c r="F133" s="6">
        <f t="shared" ca="1" si="15"/>
        <v>439335.40167115058</v>
      </c>
    </row>
    <row r="134" spans="1:6" x14ac:dyDescent="0.25">
      <c r="A134" s="12">
        <v>1989</v>
      </c>
      <c r="B134" s="12" t="s">
        <v>18</v>
      </c>
      <c r="C134" s="10">
        <v>12</v>
      </c>
      <c r="D134" s="13">
        <f>F79</f>
        <v>634565.50646161812</v>
      </c>
      <c r="E134" s="13">
        <f t="shared" ca="1" si="14"/>
        <v>656638.233038379</v>
      </c>
      <c r="F134" s="6">
        <f t="shared" ca="1" si="15"/>
        <v>635219.74116549885</v>
      </c>
    </row>
    <row r="135" spans="1:6" x14ac:dyDescent="0.25">
      <c r="A135" s="2"/>
      <c r="B135" s="2"/>
      <c r="C135" s="2"/>
      <c r="D135" s="2"/>
      <c r="E135" s="2"/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RSFSR</vt:lpstr>
      <vt:lpstr>NR</vt:lpstr>
      <vt:lpstr>BR</vt:lpstr>
      <vt:lpstr>MR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2026-04-13T16:05:47Z</dcterms:modified>
</cp:coreProperties>
</file>