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406f92a344b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сновная сводка" sheetId="1" r:id="R0e45a2afa8024346"/>
    <x:sheet xmlns:r="http://schemas.openxmlformats.org/officeDocument/2006/relationships" name="Миграция" sheetId="2" r:id="R279594316ee3409a"/>
    <x:sheet xmlns:r="http://schemas.openxmlformats.org/officeDocument/2006/relationships" name="Метрические группы" sheetId="3" r:id="R067bf1e896824185"/>
    <x:sheet xmlns:r="http://schemas.openxmlformats.org/officeDocument/2006/relationships" name="Места зимовки" sheetId="4" r:id="Ra7544e217507442d"/>
    <x:sheet xmlns:r="http://schemas.openxmlformats.org/officeDocument/2006/relationships" name="Переселенцы по уездам" sheetId="5" r:id="R41f26023a0944ac6"/>
    <x:sheet xmlns:r="http://schemas.openxmlformats.org/officeDocument/2006/relationships" name="Проверки" sheetId="6" r:id="R2ecc49a226c94d66"/>
    <x:sheet xmlns:r="http://schemas.openxmlformats.org/officeDocument/2006/relationships" name="Источники" sheetId="7" r:id="R53c6ab9b05d64c6a"/>
    <x:sheet xmlns:r="http://schemas.openxmlformats.org/officeDocument/2006/relationships" name="Доли 1894" sheetId="8" r:id="Re77a20812c4a44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–"/>
    <x:numFmt numFmtId="201" formatCode="0.00%"/>
  </x:numFmts>
  <x:fonts count="7">
    <x:font>
      <x:sz val="11"/>
      <x:name val="Carlito"/>
    </x:font>
    <x:font>
      <x:b/>
      <x:sz val="15"/>
      <x:color rgb="FFFFFFFF"/>
      <x:name val="Carlito"/>
    </x:font>
    <x:font>
      <x:sz val="10"/>
      <x:color rgb="FF17243D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43D"/>
      </x:patternFill>
    </x:fill>
    <x:fill>
      <x:patternFill patternType="solid">
        <x:fgColor rgb="FFE8F3F2"/>
      </x:patternFill>
    </x:fill>
    <x:fill>
      <x:patternFill patternType="solid">
        <x:fgColor rgb="FF116B70"/>
      </x:patternFill>
    </x:fill>
    <x:fill>
      <x:patternFill patternType="solid">
        <x:fgColor rgb="FFF5F8FA"/>
      </x:patternFill>
    </x:fill>
    <x:fill>
      <x:patternFill patternType="solid">
        <x:fgColor rgb="FFFFF3D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0" fontId="4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200" fontId="5" fillId="5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0" fontId="5" fillId="6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ed93c9c534789" /><Relationship Type="http://schemas.openxmlformats.org/officeDocument/2006/relationships/theme" Target="/xl/theme/theme1.xml" Id="Rf112b736be6d496a" /><Relationship Type="http://schemas.openxmlformats.org/officeDocument/2006/relationships/sharedStrings" Target="/xl/sharedStrings.xml" Id="R1946f863471d4af5" /><Relationship Type="http://schemas.openxmlformats.org/officeDocument/2006/relationships/worksheet" Target="/xl/worksheets/sheet1.xml" Id="R0e45a2afa8024346" /><Relationship Type="http://schemas.openxmlformats.org/officeDocument/2006/relationships/worksheet" Target="/xl/worksheets/sheet2.xml" Id="R279594316ee3409a" /><Relationship Type="http://schemas.openxmlformats.org/officeDocument/2006/relationships/worksheet" Target="/xl/worksheets/sheet3.xml" Id="R067bf1e896824185" /><Relationship Type="http://schemas.openxmlformats.org/officeDocument/2006/relationships/worksheet" Target="/xl/worksheets/sheet4.xml" Id="Ra7544e217507442d" /><Relationship Type="http://schemas.openxmlformats.org/officeDocument/2006/relationships/worksheet" Target="/xl/worksheets/sheet5.xml" Id="R41f26023a0944ac6" /><Relationship Type="http://schemas.openxmlformats.org/officeDocument/2006/relationships/worksheet" Target="/xl/worksheets/sheet6.xml" Id="R2ecc49a226c94d66" /><Relationship Type="http://schemas.openxmlformats.org/officeDocument/2006/relationships/worksheet" Target="/xl/worksheets/sheet7.xml" Id="R53c6ab9b05d64c6a" /><Relationship Type="http://schemas.openxmlformats.org/officeDocument/2006/relationships/worksheet" Target="/xl/worksheets/sheet8.xml" Id="Re77a20812c4a44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3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7" hidden="0" customWidth="1"/>
    <x:col min="10" max="10" width="15" hidden="0" customWidth="1"/>
    <x:col min="11" max="11" width="15" hidden="0" customWidth="1"/>
    <x:col min="12" max="12" width="16" hidden="0" customWidth="1"/>
    <x:col min="13" max="13" width="15" hidden="0" customWidth="1"/>
    <x:col min="14" max="14" width="15" hidden="0" customWidth="1"/>
    <x:col min="15" max="15" width="16" hidden="0" customWidth="1"/>
    <x:col min="16" max="16" width="17" hidden="0" customWidth="1"/>
    <x:col min="17" max="17" width="42" hidden="0" customWidth="1"/>
    <x:col min="18" max="18" width="45" hidden="0" customWidth="1"/>
    <x:col min="19" max="19" width="46" hidden="0" customWidth="1"/>
  </x:cols>
  <x:sheetData>
    <x:row r="1" ht="34" customHeight="1">
      <x:c r="A1" s="4" t="str">
        <x:v>Семипалатинская область · 1880–1911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4" customHeight="1">
      <x:c r="A2" s="11" t="str">
        <x:v>Прямые «оседлые/кочевые» не смешиваются с административными «киргизы/остальные»; ≈ означает расчёт из долей, † — ретроспективную реконструкцию. Пустые клетки = нет данных, а не ноль.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</x:row>
    <x:row r="4" ht="46" customHeight="1">
      <x:c r="A4" s="19" t="str">
        <x:v>Год</x:v>
      </x:c>
      <x:c r="B4" s="19" t="str">
        <x:v>Момент / основание оценки</x:v>
      </x:c>
      <x:c r="C4" s="19" t="str">
        <x:v>Оседлые (ист.)</x:v>
      </x:c>
      <x:c r="D4" s="19" t="str">
        <x:v>Кочевые (ист.)</x:v>
      </x:c>
      <x:c r="E4" s="19" t="str">
        <x:v>Оседлые ≈</x:v>
      </x:c>
      <x:c r="F4" s="19" t="str">
        <x:v>Кочевые ≈</x:v>
      </x:c>
      <x:c r="G4" s="19" t="str">
        <x:v>«Киргизы» (адм.)</x:v>
      </x:c>
      <x:c r="H4" s="19" t="str">
        <x:v>Остальные (расч.)</x:v>
      </x:c>
      <x:c r="I4" s="19" t="str">
        <x:v>Всего жителей</x:v>
      </x:c>
      <x:c r="J4" s="19" t="str">
        <x:v>Род. оседлые</x:v>
      </x:c>
      <x:c r="K4" s="19" t="str">
        <x:v>Род. кочевые</x:v>
      </x:c>
      <x:c r="L4" s="19" t="str">
        <x:v>Род. всего</x:v>
      </x:c>
      <x:c r="M4" s="19" t="str">
        <x:v>Ум. оседлые</x:v>
      </x:c>
      <x:c r="N4" s="19" t="str">
        <x:v>Ум. кочевые</x:v>
      </x:c>
      <x:c r="O4" s="19" t="str">
        <x:v>Ум. всего</x:v>
      </x:c>
      <x:c r="P4" s="19" t="str">
        <x:v>Прирост (расч.)</x:v>
      </x:c>
      <x:c r="Q4" s="19" t="str">
        <x:v>Классификация населения</x:v>
      </x:c>
      <x:c r="R4" s="19" t="str">
        <x:v>Полнота метрич. учета</x:v>
      </x:c>
      <x:c r="S4" s="19" t="str">
        <x:v>Источник / страницы</x:v>
      </x:c>
    </x:row>
    <x:row r="5" ht="34" customHeight="1">
      <x:c r="A5" s="40" t="n">
        <x:v>1880</x:v>
      </x:c>
      <x:c r="B5" s="30" t="str">
        <x:v>Конец 1880 г.; статистический перечёт</x:v>
      </x:c>
      <x:c r="C5" s="32" t="n">
        <x:v>54920</x:v>
      </x:c>
      <x:c r="D5" s="32" t="n">
        <x:v>475800</x:v>
      </x:c>
      <x:c r="E5" s="32"/>
      <x:c r="F5" s="32"/>
      <x:c r="G5" s="32"/>
      <x:c r="H5" s="32"/>
      <x:c r="I5" s="32" t="n">
        <x:v>530720</x:v>
      </x:c>
      <x:c r="J5" s="32"/>
      <x:c r="K5" s="32"/>
      <x:c r="L5" s="32" t="n">
        <x:v>8796</x:v>
      </x:c>
      <x:c r="M5" s="32"/>
      <x:c r="N5" s="32"/>
      <x:c r="O5" s="32" t="n">
        <x:v>8095</x:v>
      </x:c>
      <x:c r="P5" s="32" t="n">
        <x:f>L5-O5</x:f>
        <x:v>701</x:v>
      </x:c>
      <x:c r="Q5" s="30" t="str">
        <x:v>Оседлые / кочевые (показатели обзора)</x:v>
      </x:c>
      <x:c r="R5" s="30" t="str">
        <x:v>Недоучёт метрик у мусульман; общие оговорки по выпускам</x:v>
      </x:c>
      <x:c r="S5" s="30" t="str">
        <x:v>Semipalatinskaia-1880-1884(1).md; RAW PDF 19–22</x:v>
      </x:c>
    </x:row>
    <x:row r="6" ht="34" customHeight="1">
      <x:c r="A6" s="41" t="n">
        <x:v>1881</x:v>
      </x:c>
      <x:c r="B6" s="26" t="str">
        <x:v>Номинально конец 1881; фактически разные даты</x:v>
      </x:c>
      <x:c r="C6" s="33" t="n">
        <x:v>57431</x:v>
      </x:c>
      <x:c r="D6" s="33" t="n">
        <x:v>480954</x:v>
      </x:c>
      <x:c r="E6" s="33"/>
      <x:c r="F6" s="33"/>
      <x:c r="G6" s="33"/>
      <x:c r="H6" s="33"/>
      <x:c r="I6" s="36" t="n">
        <x:v>538385</x:v>
      </x:c>
      <x:c r="J6" s="33"/>
      <x:c r="K6" s="33"/>
      <x:c r="L6" s="33" t="n">
        <x:v>10235</x:v>
      </x:c>
      <x:c r="M6" s="33"/>
      <x:c r="N6" s="33"/>
      <x:c r="O6" s="33" t="n">
        <x:v>11137</x:v>
      </x:c>
      <x:c r="P6" s="33" t="n">
        <x:f>L6-O6</x:f>
        <x:v>-902</x:v>
      </x:c>
      <x:c r="Q6" s="26" t="str">
        <x:v>Оседлые / кочевые (показатели обзора)</x:v>
      </x:c>
      <x:c r="R6" s="26" t="str">
        <x:v>Мусульманские метрики неполны</x:v>
      </x:c>
      <x:c r="S6" s="26" t="str">
        <x:v>Semipalatinskaia-1880-1884(1).md; PDF 11–13</x:v>
      </x:c>
    </x:row>
    <x:row r="7" ht="34" customHeight="1">
      <x:c r="A7" s="40" t="n">
        <x:v>1882</x:v>
      </x:c>
      <x:c r="B7" s="30" t="str">
        <x:v>Конец 1882 / начало 1883; Семипалатинск — март 1882</x:v>
      </x:c>
      <x:c r="C7" s="32" t="n">
        <x:v>56940</x:v>
      </x:c>
      <x:c r="D7" s="32" t="n">
        <x:v>547577</x:v>
      </x:c>
      <x:c r="E7" s="32"/>
      <x:c r="F7" s="32"/>
      <x:c r="G7" s="32"/>
      <x:c r="H7" s="32"/>
      <x:c r="I7" s="36" t="n">
        <x:v>604517</x:v>
      </x:c>
      <x:c r="J7" s="32"/>
      <x:c r="K7" s="32"/>
      <x:c r="L7" s="32" t="n">
        <x:v>10542</x:v>
      </x:c>
      <x:c r="M7" s="32"/>
      <x:c r="N7" s="32"/>
      <x:c r="O7" s="32" t="n">
        <x:v>8561</x:v>
      </x:c>
      <x:c r="P7" s="32" t="n">
        <x:f>L7-O7</x:f>
        <x:v>1981</x:v>
      </x:c>
      <x:c r="Q7" s="30" t="str">
        <x:v>Оседлые / кочевые (показатели обзора)</x:v>
      </x:c>
      <x:c r="R7" s="30" t="str">
        <x:v>Мусульманские метрики неполны</x:v>
      </x:c>
      <x:c r="S7" s="30" t="str">
        <x:v>Semipalatinskaia-1880-1884(1).md; PDF 25–28</x:v>
      </x:c>
    </x:row>
    <x:row r="8" ht="34" customHeight="1">
      <x:c r="A8" s="41" t="n">
        <x:v>1883</x:v>
      </x:c>
      <x:c r="B8" s="26" t="str">
        <x:v>Конец 1883; смешанные опорные переписи</x:v>
      </x:c>
      <x:c r="C8" s="33" t="n">
        <x:v>56160</x:v>
      </x:c>
      <x:c r="D8" s="33" t="n">
        <x:v>490379</x:v>
      </x:c>
      <x:c r="E8" s="33"/>
      <x:c r="F8" s="33"/>
      <x:c r="G8" s="33"/>
      <x:c r="H8" s="33"/>
      <x:c r="I8" s="36" t="n">
        <x:v>546539</x:v>
      </x:c>
      <x:c r="J8" s="33"/>
      <x:c r="K8" s="33"/>
      <x:c r="L8" s="33" t="n">
        <x:v>9208</x:v>
      </x:c>
      <x:c r="M8" s="33"/>
      <x:c r="N8" s="33"/>
      <x:c r="O8" s="33" t="n">
        <x:v>8344</x:v>
      </x:c>
      <x:c r="P8" s="33" t="n">
        <x:f>L8-O8</x:f>
        <x:v>864</x:v>
      </x:c>
      <x:c r="Q8" s="26" t="str">
        <x:v>Оседлые / кочевые (показатели обзора)</x:v>
      </x:c>
      <x:c r="R8" s="26" t="str">
        <x:v>Мусульманские метрики неполны</x:v>
      </x:c>
      <x:c r="S8" s="26" t="str">
        <x:v>Semipalatinskaia-1880-1884(1).md; RAW PDF 38–46</x:v>
      </x:c>
    </x:row>
    <x:row r="9" ht="34" customHeight="1">
      <x:c r="A9" s="40" t="n">
        <x:v>1884</x:v>
      </x:c>
      <x:c r="B9" s="30" t="str">
        <x:v>Конец 1884 г.</x:v>
      </x:c>
      <x:c r="C9" s="32" t="n">
        <x:v>53197</x:v>
      </x:c>
      <x:c r="D9" s="32" t="n">
        <x:v>507970</x:v>
      </x:c>
      <x:c r="E9" s="32"/>
      <x:c r="F9" s="32"/>
      <x:c r="G9" s="32"/>
      <x:c r="H9" s="32"/>
      <x:c r="I9" s="32" t="n">
        <x:v>561167</x:v>
      </x:c>
      <x:c r="J9" s="32"/>
      <x:c r="K9" s="32"/>
      <x:c r="L9" s="32" t="n">
        <x:v>9218</x:v>
      </x:c>
      <x:c r="M9" s="32"/>
      <x:c r="N9" s="32"/>
      <x:c r="O9" s="32" t="n">
        <x:v>6832</x:v>
      </x:c>
      <x:c r="P9" s="32" t="n">
        <x:f>L9-O9</x:f>
        <x:v>2386</x:v>
      </x:c>
      <x:c r="Q9" s="30" t="str">
        <x:v>Оседлые / кочевые (показатели обзора)</x:v>
      </x:c>
      <x:c r="R9" s="30" t="str">
        <x:v>Мусульманские метрики неполны</x:v>
      </x:c>
      <x:c r="S9" s="30" t="str">
        <x:v>Semipalatinskaia-1880-1884(1).md; PDF 27–29</x:v>
      </x:c>
    </x:row>
    <x:row r="10" ht="34" customHeight="1">
      <x:c r="A10" s="41" t="n">
        <x:v>1885</x:v>
      </x:c>
      <x:c r="B10" s="26" t="str">
        <x:v>Конец 1885 г.</x:v>
      </x:c>
      <x:c r="C10" s="33" t="n">
        <x:v>59911</x:v>
      </x:c>
      <x:c r="D10" s="33" t="n">
        <x:v>513833</x:v>
      </x:c>
      <x:c r="E10" s="33"/>
      <x:c r="F10" s="33"/>
      <x:c r="G10" s="33"/>
      <x:c r="H10" s="33"/>
      <x:c r="I10" s="33" t="n">
        <x:v>573744</x:v>
      </x:c>
      <x:c r="J10" s="33"/>
      <x:c r="K10" s="33"/>
      <x:c r="L10" s="33" t="n">
        <x:v>8862</x:v>
      </x:c>
      <x:c r="M10" s="33"/>
      <x:c r="N10" s="33"/>
      <x:c r="O10" s="33" t="n">
        <x:v>7859</x:v>
      </x:c>
      <x:c r="P10" s="33" t="n">
        <x:f>L10-O10</x:f>
        <x:v>1003</x:v>
      </x:c>
      <x:c r="Q10" s="26" t="str">
        <x:v>Оседлые / кочевые (показатели обзора)</x:v>
      </x:c>
      <x:c r="R10" s="26" t="str">
        <x:v>Православная регистрация надёжнее; мусульманская неполная</x:v>
      </x:c>
      <x:c r="S10" s="26" t="str">
        <x:v>Semipalatinskaia-1885-1889(1).md; PDF 29–33</x:v>
      </x:c>
    </x:row>
    <x:row r="11" ht="34" customHeight="1">
      <x:c r="A11" s="40" t="n">
        <x:v>1886</x:v>
      </x:c>
      <x:c r="B11" s="30" t="str">
        <x:v>Конец 1886 г.</x:v>
      </x:c>
      <x:c r="C11" s="32" t="n">
        <x:v>62879</x:v>
      </x:c>
      <x:c r="D11" s="32" t="n">
        <x:v>508702</x:v>
      </x:c>
      <x:c r="E11" s="32"/>
      <x:c r="F11" s="32"/>
      <x:c r="G11" s="32"/>
      <x:c r="H11" s="32"/>
      <x:c r="I11" s="32" t="n">
        <x:v>571581</x:v>
      </x:c>
      <x:c r="J11" s="32"/>
      <x:c r="K11" s="32"/>
      <x:c r="L11" s="32" t="n">
        <x:v>9252</x:v>
      </x:c>
      <x:c r="M11" s="32"/>
      <x:c r="N11" s="32"/>
      <x:c r="O11" s="32" t="n">
        <x:v>8646</x:v>
      </x:c>
      <x:c r="P11" s="32" t="n">
        <x:f>L11-O11</x:f>
        <x:v>606</x:v>
      </x:c>
      <x:c r="Q11" s="30" t="str">
        <x:v>Оседлые / кочевые (показатели обзора)</x:v>
      </x:c>
      <x:c r="R11" s="30" t="str">
        <x:v>Православная регистрация надёжнее; мусульманская неполная</x:v>
      </x:c>
      <x:c r="S11" s="30" t="str">
        <x:v>Semipalatinskaia-1885-1889(1).md; PDF 46–49</x:v>
      </x:c>
    </x:row>
    <x:row r="12" ht="34" customHeight="1">
      <x:c r="A12" s="41" t="n">
        <x:v>1887</x:v>
      </x:c>
      <x:c r="B12" s="26" t="str">
        <x:v>Конец 1887 г.</x:v>
      </x:c>
      <x:c r="C12" s="33" t="n">
        <x:v>65681</x:v>
      </x:c>
      <x:c r="D12" s="33" t="n">
        <x:v>510897</x:v>
      </x:c>
      <x:c r="E12" s="33"/>
      <x:c r="F12" s="33"/>
      <x:c r="G12" s="33"/>
      <x:c r="H12" s="33"/>
      <x:c r="I12" s="33" t="n">
        <x:v>576578</x:v>
      </x:c>
      <x:c r="J12" s="33"/>
      <x:c r="K12" s="33"/>
      <x:c r="L12" s="33" t="n">
        <x:v>9462</x:v>
      </x:c>
      <x:c r="M12" s="33"/>
      <x:c r="N12" s="33"/>
      <x:c r="O12" s="33" t="n">
        <x:v>8327</x:v>
      </x:c>
      <x:c r="P12" s="33" t="n">
        <x:f>L12-O12</x:f>
        <x:v>1135</x:v>
      </x:c>
      <x:c r="Q12" s="26" t="str">
        <x:v>Оседлые / кочевые (показатели обзора)</x:v>
      </x:c>
      <x:c r="R12" s="26" t="str">
        <x:v>Православная регистрация надёжнее; мусульманская неполная</x:v>
      </x:c>
      <x:c r="S12" s="26" t="str">
        <x:v>Semipalatinskaia-1885-1889(1).md; PDF 59–64; ведомость №3 PDF 106</x:v>
      </x:c>
    </x:row>
    <x:row r="13" ht="34" customHeight="1">
      <x:c r="A13" s="40" t="n">
        <x:v>1888</x:v>
      </x:c>
      <x:c r="B13" s="30" t="str">
        <x:v>Конец 1888 г.</x:v>
      </x:c>
      <x:c r="C13" s="32" t="n">
        <x:v>65907</x:v>
      </x:c>
      <x:c r="D13" s="32" t="n">
        <x:v>513294</x:v>
      </x:c>
      <x:c r="E13" s="32"/>
      <x:c r="F13" s="32"/>
      <x:c r="G13" s="32"/>
      <x:c r="H13" s="32"/>
      <x:c r="I13" s="32" t="n">
        <x:v>579201</x:v>
      </x:c>
      <x:c r="J13" s="32"/>
      <x:c r="K13" s="32"/>
      <x:c r="L13" s="32" t="n">
        <x:v>10012</x:v>
      </x:c>
      <x:c r="M13" s="32"/>
      <x:c r="N13" s="32"/>
      <x:c r="O13" s="32" t="n">
        <x:v>9761</x:v>
      </x:c>
      <x:c r="P13" s="32" t="n">
        <x:f>L13-O13</x:f>
        <x:v>251</x:v>
      </x:c>
      <x:c r="Q13" s="30" t="str">
        <x:v>Оседлые / кочевые (показатели обзора)</x:v>
      </x:c>
      <x:c r="R13" s="30" t="str">
        <x:v>Православная регистрация надёжнее; мусульманская неполная</x:v>
      </x:c>
      <x:c r="S13" s="30" t="str">
        <x:v>Semipalatinskaia-1885-1889(1).md; PDF 67–72; ведомость №3 PDF 111</x:v>
      </x:c>
    </x:row>
    <x:row r="14" ht="34" customHeight="1">
      <x:c r="A14" s="42" t="n">
        <x:v>1889</x:v>
      </x:c>
      <x:c r="B14" s="37" t="str">
        <x:v>Нет самостоятельного выпуска</x:v>
      </x:c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7" t="str">
        <x:v>Нет данных</x:v>
      </x:c>
      <x:c r="R14" s="37" t="str">
        <x:v>Нет выпуска</x:v>
      </x:c>
      <x:c r="S14" s="37" t="str">
        <x:v>Semipalatinskaia-1885-1889(1).md; </x:v>
      </x:c>
    </x:row>
    <x:row r="15" ht="34" customHeight="1">
      <x:c r="A15" s="40" t="n">
        <x:v>1890</x:v>
      </x:c>
      <x:c r="B15" s="30" t="str">
        <x:v>Конец 1890 г.</x:v>
      </x:c>
      <x:c r="C15" s="32" t="n">
        <x:v>74904</x:v>
      </x:c>
      <x:c r="D15" s="32" t="n">
        <x:v>520350</x:v>
      </x:c>
      <x:c r="E15" s="32"/>
      <x:c r="F15" s="32"/>
      <x:c r="G15" s="32"/>
      <x:c r="H15" s="32"/>
      <x:c r="I15" s="32" t="n">
        <x:v>595254</x:v>
      </x:c>
      <x:c r="J15" s="32"/>
      <x:c r="K15" s="32"/>
      <x:c r="L15" s="32" t="n">
        <x:v>10027</x:v>
      </x:c>
      <x:c r="M15" s="32"/>
      <x:c r="N15" s="32"/>
      <x:c r="O15" s="32" t="n">
        <x:v>7435</x:v>
      </x:c>
      <x:c r="P15" s="32" t="n">
        <x:f>L15-O15</x:f>
        <x:v>2592</x:v>
      </x:c>
      <x:c r="Q15" s="30" t="str">
        <x:v>Оседлые / кочевые (показатели обзора)</x:v>
      </x:c>
      <x:c r="R15" s="30" t="str">
        <x:v>Мусульманские рождения и смерти заведомо занижены</x:v>
      </x:c>
      <x:c r="S15" s="30" t="str">
        <x:v>Semipalatinskaia-1890-1894(1).md; PDF 16, 79–84</x:v>
      </x:c>
    </x:row>
    <x:row r="16" ht="34" customHeight="1">
      <x:c r="A16" s="42" t="n">
        <x:v>1891</x:v>
      </x:c>
      <x:c r="B16" s="37" t="str">
        <x:v>Нет самостоятельного выпуска</x:v>
      </x:c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7" t="str">
        <x:v>Нет данных</x:v>
      </x:c>
      <x:c r="R16" s="37" t="str">
        <x:v>Нет выпуска</x:v>
      </x:c>
      <x:c r="S16" s="37" t="str">
        <x:v>Semipalatinskaia-1890-1894(1).md; </x:v>
      </x:c>
    </x:row>
    <x:row r="17" ht="34" customHeight="1">
      <x:c r="A17" s="42" t="n">
        <x:v>1892</x:v>
      </x:c>
      <x:c r="B17" s="37" t="str">
        <x:v>Нет самостоятельного выпуска</x:v>
      </x:c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7" t="str">
        <x:v>Нет данных</x:v>
      </x:c>
      <x:c r="R17" s="37" t="str">
        <x:v>Нет выпуска</x:v>
      </x:c>
      <x:c r="S17" s="37" t="str">
        <x:v>Semipalatinskaia-1890-1894(1).md; </x:v>
      </x:c>
    </x:row>
    <x:row r="18" ht="34" customHeight="1">
      <x:c r="A18" s="41" t="n">
        <x:v>1893</x:v>
      </x:c>
      <x:c r="B18" s="26" t="str">
        <x:v>Нет выпуска; косвенно восстановлены только рождения/смерти</x:v>
      </x:c>
      <x:c r="C18" s="33"/>
      <x:c r="D18" s="33"/>
      <x:c r="E18" s="33"/>
      <x:c r="F18" s="33"/>
      <x:c r="G18" s="33"/>
      <x:c r="H18" s="33"/>
      <x:c r="I18" s="33"/>
      <x:c r="J18" s="33"/>
      <x:c r="K18" s="33"/>
      <x:c r="L18" s="36" t="n">
        <x:v>11190</x:v>
      </x:c>
      <x:c r="M18" s="33"/>
      <x:c r="N18" s="33"/>
      <x:c r="O18" s="36" t="n">
        <x:v>8009</x:v>
      </x:c>
      <x:c r="P18" s="33" t="n">
        <x:f>L18-O18</x:f>
        <x:v>3181</x:v>
      </x:c>
      <x:c r="Q18" s="26" t="str">
        <x:v>Нет обзора: † итоги рождения/смерти из обзора 1894 г.</x:v>
      </x:c>
      <x:c r="R18" s="26" t="str">
        <x:v>Оценки полноты нет: обзор отсутствует</x:v>
      </x:c>
      <x:c r="S18" s="26" t="str">
        <x:v>Semipalatinskaia-1890-1894(1).md; Обзор 1894, PDF 27</x:v>
      </x:c>
    </x:row>
    <x:row r="19" ht="34" customHeight="1">
      <x:c r="A19" s="40" t="n">
        <x:v>1894</x:v>
      </x:c>
      <x:c r="B19" s="30" t="str">
        <x:v>Отчётный 1894 г.; точная дата не указана</x:v>
      </x:c>
      <x:c r="C19" s="32"/>
      <x:c r="D19" s="32"/>
      <x:c r="E19" s="32" t="n">
        <x:f>ROUND(I19*'Доли 1894'!B2,0)</x:f>
        <x:v>91306</x:v>
      </x:c>
      <x:c r="F19" s="32" t="n">
        <x:f>I19-E19</x:f>
        <x:v>523962</x:v>
      </x:c>
      <x:c r="G19" s="32"/>
      <x:c r="H19" s="32"/>
      <x:c r="I19" s="32" t="n">
        <x:v>615268</x:v>
      </x:c>
      <x:c r="J19" s="32"/>
      <x:c r="K19" s="32"/>
      <x:c r="L19" s="32" t="n">
        <x:v>10582</x:v>
      </x:c>
      <x:c r="M19" s="32"/>
      <x:c r="N19" s="32"/>
      <x:c r="O19" s="32" t="n">
        <x:v>8476</x:v>
      </x:c>
      <x:c r="P19" s="32" t="n">
        <x:f>L19-O19</x:f>
        <x:v>2106</x:v>
      </x:c>
      <x:c r="Q19" s="30" t="str">
        <x:v>Доли 14,84% / 85,16%; число ≈ расчетное</x:v>
      </x:c>
      <x:c r="R19" s="30" t="str">
        <x:v>Специальное суждение о полноте в разделе не обнаружено</x:v>
      </x:c>
      <x:c r="S19" s="30" t="str">
        <x:v>Semipalatinskaia-1890-1894(1).md; PDF 7–8, 27–29; ведомость №4 PDF 69</x:v>
      </x:c>
    </x:row>
    <x:row r="20" ht="34" customHeight="1">
      <x:c r="A20" s="41" t="n">
        <x:v>1895</x:v>
      </x:c>
      <x:c r="B20" s="26" t="str">
        <x:v>За 1895 г.; точная дата не указана</x:v>
      </x:c>
      <x:c r="C20" s="33" t="n">
        <x:v>95566</x:v>
      </x:c>
      <x:c r="D20" s="33" t="n">
        <x:v>526941</x:v>
      </x:c>
      <x:c r="E20" s="33"/>
      <x:c r="F20" s="33"/>
      <x:c r="G20" s="33"/>
      <x:c r="H20" s="33"/>
      <x:c r="I20" s="33" t="n">
        <x:v>622507</x:v>
      </x:c>
      <x:c r="J20" s="33"/>
      <x:c r="K20" s="33"/>
      <x:c r="L20" s="33" t="n">
        <x:v>11398</x:v>
      </x:c>
      <x:c r="M20" s="33"/>
      <x:c r="N20" s="33"/>
      <x:c r="O20" s="33" t="n">
        <x:v>8297</x:v>
      </x:c>
      <x:c r="P20" s="33" t="n">
        <x:f>L20-O20</x:f>
        <x:v>3101</x:v>
      </x:c>
      <x:c r="Q20" s="26" t="str">
        <x:v>Оседлые / кочевые (показатели обзора)</x:v>
      </x:c>
      <x:c r="R20" s="26" t="str">
        <x:v>Крайне неполная мусульманская метрика, особенно в уездах</x:v>
      </x:c>
      <x:c r="S20" s="26" t="str">
        <x:v>Semipalatinskaia-1895-1899(2).md; PDF 12; 65–67</x:v>
      </x:c>
    </x:row>
    <x:row r="21" ht="34" customHeight="1">
      <x:c r="A21" s="40" t="n">
        <x:v>1896</x:v>
      </x:c>
      <x:c r="B21" s="30" t="str">
        <x:v>Конец 1896 г. (прямо указано)</x:v>
      </x:c>
      <x:c r="C21" s="32" t="n">
        <x:v>97880</x:v>
      </x:c>
      <x:c r="D21" s="32" t="n">
        <x:v>561419</x:v>
      </x:c>
      <x:c r="E21" s="32"/>
      <x:c r="F21" s="32"/>
      <x:c r="G21" s="32"/>
      <x:c r="H21" s="32"/>
      <x:c r="I21" s="32" t="n">
        <x:v>659299</x:v>
      </x:c>
      <x:c r="J21" s="32"/>
      <x:c r="K21" s="32"/>
      <x:c r="L21" s="32" t="n">
        <x:v>12696</x:v>
      </x:c>
      <x:c r="M21" s="32"/>
      <x:c r="N21" s="32"/>
      <x:c r="O21" s="32" t="n">
        <x:v>9713</x:v>
      </x:c>
      <x:c r="P21" s="32" t="n">
        <x:f>L21-O21</x:f>
        <x:v>2983</x:v>
      </x:c>
      <x:c r="Q21" s="30" t="str">
        <x:v>Оседлые / кочевые (показатели обзора)</x:v>
      </x:c>
      <x:c r="R21" s="30" t="str">
        <x:v>Крайне неполная мусульманская метрика, особенно в уездах</x:v>
      </x:c>
      <x:c r="S21" s="30" t="str">
        <x:v>Semipalatinskaia-1895-1899(2).md; PDF 12; 33–35</x:v>
      </x:c>
    </x:row>
    <x:row r="22" ht="34" customHeight="1">
      <x:c r="A22" s="41" t="n">
        <x:v>1897</x:v>
      </x:c>
      <x:c r="B22" s="26" t="str">
        <x:v>Административные сведения за год; точная дата неизвестна</x:v>
      </x:c>
      <x:c r="C22" s="33" t="n">
        <x:v>106008</x:v>
      </x:c>
      <x:c r="D22" s="33" t="n">
        <x:v>551416</x:v>
      </x:c>
      <x:c r="E22" s="33"/>
      <x:c r="F22" s="33"/>
      <x:c r="G22" s="33"/>
      <x:c r="H22" s="33"/>
      <x:c r="I22" s="33" t="n">
        <x:v>657424</x:v>
      </x:c>
      <x:c r="J22" s="33"/>
      <x:c r="K22" s="33"/>
      <x:c r="L22" s="33" t="n">
        <x:v>12646</x:v>
      </x:c>
      <x:c r="M22" s="33"/>
      <x:c r="N22" s="33"/>
      <x:c r="O22" s="33" t="n">
        <x:v>8219</x:v>
      </x:c>
      <x:c r="P22" s="33" t="n">
        <x:f>L22-O22</x:f>
        <x:v>4427</x:v>
      </x:c>
      <x:c r="Q22" s="26" t="str">
        <x:v>Оседлые / кочевые (показатели обзора)</x:v>
      </x:c>
      <x:c r="R22" s="26" t="str">
        <x:v>Крайне неполная мусульманская метрика, особенно в уездах</x:v>
      </x:c>
      <x:c r="S22" s="26" t="str">
        <x:v>Semipalatinskaia-1895-1899(2).md; PDF 10–11; 47–49</x:v>
      </x:c>
    </x:row>
    <x:row r="23" ht="34" customHeight="1">
      <x:c r="A23" s="40" t="n">
        <x:v>1898</x:v>
      </x:c>
      <x:c r="B23" s="30" t="str">
        <x:v>Административные сведения за год; точная дата неизвестна</x:v>
      </x:c>
      <x:c r="C23" s="32"/>
      <x:c r="D23" s="32"/>
      <x:c r="E23" s="32"/>
      <x:c r="F23" s="32"/>
      <x:c r="G23" s="32"/>
      <x:c r="H23" s="32"/>
      <x:c r="I23" s="32" t="n">
        <x:v>676062</x:v>
      </x:c>
      <x:c r="J23" s="32"/>
      <x:c r="K23" s="32"/>
      <x:c r="L23" s="32" t="n">
        <x:v>10767</x:v>
      </x:c>
      <x:c r="M23" s="32"/>
      <x:c r="N23" s="32"/>
      <x:c r="O23" s="32" t="n">
        <x:v>8361</x:v>
      </x:c>
      <x:c r="P23" s="32" t="n">
        <x:f>L23-O23</x:f>
        <x:v>2406</x:v>
      </x:c>
      <x:c r="Q23" s="30" t="str">
        <x:v>Имеется только общий итог</x:v>
      </x:c>
      <x:c r="R23" s="30" t="str">
        <x:v>Крайне неполная мусульманская метрика, особенно в уездах</x:v>
      </x:c>
      <x:c r="S23" s="30" t="str">
        <x:v>Semipalatinskaia-1895-1899(2).md; PDF 9–10; 51–53</x:v>
      </x:c>
    </x:row>
    <x:row r="24" ht="34" customHeight="1">
      <x:c r="A24" s="41" t="n">
        <x:v>1899</x:v>
      </x:c>
      <x:c r="B24" s="26" t="str">
        <x:v>Административные сведения за год; киргизы — конец года</x:v>
      </x:c>
      <x:c r="C24" s="33"/>
      <x:c r="D24" s="33"/>
      <x:c r="E24" s="33"/>
      <x:c r="F24" s="33"/>
      <x:c r="G24" s="33"/>
      <x:c r="H24" s="33"/>
      <x:c r="I24" s="33" t="n">
        <x:v>678232</x:v>
      </x:c>
      <x:c r="J24" s="33"/>
      <x:c r="K24" s="33"/>
      <x:c r="L24" s="33" t="n">
        <x:v>15308</x:v>
      </x:c>
      <x:c r="M24" s="33"/>
      <x:c r="N24" s="33"/>
      <x:c r="O24" s="33" t="n">
        <x:v>12031</x:v>
      </x:c>
      <x:c r="P24" s="33" t="n">
        <x:f>L24-O24</x:f>
        <x:v>3277</x:v>
      </x:c>
      <x:c r="Q24" s="26" t="str">
        <x:v>Имеется только общий итог</x:v>
      </x:c>
      <x:c r="R24" s="26" t="str">
        <x:v>Крайне неполная мусульманская метрика, особенно в уездах</x:v>
      </x:c>
      <x:c r="S24" s="26" t="str">
        <x:v>Semipalatinskaia-1895-1899(2).md; PDF 9–13; 86–87</x:v>
      </x:c>
    </x:row>
    <x:row r="25" ht="34" customHeight="1">
      <x:c r="A25" s="40" t="n">
        <x:v>1900</x:v>
      </x:c>
      <x:c r="B25" s="30" t="str">
        <x:v>Конец 1900 г.</x:v>
      </x:c>
      <x:c r="C25" s="32"/>
      <x:c r="D25" s="32"/>
      <x:c r="E25" s="32"/>
      <x:c r="F25" s="32"/>
      <x:c r="G25" s="32" t="n">
        <x:v>591701</x:v>
      </x:c>
      <x:c r="H25" s="32" t="n">
        <x:f>I25-G25</x:f>
        <x:v>94352</x:v>
      </x:c>
      <x:c r="I25" s="32" t="n">
        <x:v>686053</x:v>
      </x:c>
      <x:c r="J25" s="32"/>
      <x:c r="K25" s="32"/>
      <x:c r="L25" s="32" t="n">
        <x:v>15160</x:v>
      </x:c>
      <x:c r="M25" s="32"/>
      <x:c r="N25" s="32"/>
      <x:c r="O25" s="32" t="n">
        <x:v>11529</x:v>
      </x:c>
      <x:c r="P25" s="32" t="n">
        <x:f>L25-O25</x:f>
        <x:v>3631</x:v>
      </x:c>
      <x:c r="Q25" s="30" t="str">
        <x:v>Адм. «киргизы»; «остальные» = итог − «киргизы» (расчёт)</x:v>
      </x:c>
      <x:c r="R25" s="30" t="str">
        <x:v>Православные относительно надёжны; у мусульман крайне плохая регистрация</x:v>
      </x:c>
      <x:c r="S25" s="30" t="str">
        <x:v>Semipalatinskaia-1900-1904(1).md; PDF 11–15; 94–95</x:v>
      </x:c>
    </x:row>
    <x:row r="26" ht="34" customHeight="1">
      <x:c r="A26" s="41" t="n">
        <x:v>1901</x:v>
      </x:c>
      <x:c r="B26" s="26" t="str">
        <x:v>Конец 1901 г.</x:v>
      </x:c>
      <x:c r="C26" s="33"/>
      <x:c r="D26" s="33"/>
      <x:c r="E26" s="33"/>
      <x:c r="F26" s="33"/>
      <x:c r="G26" s="33" t="n">
        <x:v>602144</x:v>
      </x:c>
      <x:c r="H26" s="33" t="n">
        <x:f>I26-G26</x:f>
        <x:v>95845</x:v>
      </x:c>
      <x:c r="I26" s="33" t="n">
        <x:v>697989</x:v>
      </x:c>
      <x:c r="J26" s="33"/>
      <x:c r="K26" s="33"/>
      <x:c r="L26" s="33"/>
      <x:c r="M26" s="33"/>
      <x:c r="N26" s="33"/>
      <x:c r="O26" s="33"/>
      <x:c r="P26" s="33"/>
      <x:c r="Q26" s="26" t="str">
        <x:v>Адм. «киргизы»; «остальные» = итог − «киргизы» (расчёт)</x:v>
      </x:c>
      <x:c r="R26" s="26" t="str">
        <x:v>Сводные рождения/смерти в проверенных разделах не выявлены</x:v>
      </x:c>
      <x:c r="S26" s="26" t="str">
        <x:v>Semipalatinskaia-1900-1904(1).md; PDF 11–15</x:v>
      </x:c>
    </x:row>
    <x:row r="27" ht="34" customHeight="1">
      <x:c r="A27" s="40" t="n">
        <x:v>1902</x:v>
      </x:c>
      <x:c r="B27" s="30" t="str">
        <x:v>Конец 1902 г.</x:v>
      </x:c>
      <x:c r="C27" s="32"/>
      <x:c r="D27" s="32"/>
      <x:c r="E27" s="32"/>
      <x:c r="F27" s="32"/>
      <x:c r="G27" s="32" t="n">
        <x:v>610081</x:v>
      </x:c>
      <x:c r="H27" s="32" t="n">
        <x:f>I27-G27</x:f>
        <x:v>97884</x:v>
      </x:c>
      <x:c r="I27" s="32" t="n">
        <x:v>707965</x:v>
      </x:c>
      <x:c r="J27" s="32"/>
      <x:c r="K27" s="32"/>
      <x:c r="L27" s="32"/>
      <x:c r="M27" s="32"/>
      <x:c r="N27" s="32"/>
      <x:c r="O27" s="32"/>
      <x:c r="P27" s="32"/>
      <x:c r="Q27" s="30" t="str">
        <x:v>Адм. «киргизы»; «остальные» = итог − «киргизы» (расчёт)</x:v>
      </x:c>
      <x:c r="R27" s="30" t="str">
        <x:v>Сводные рождения/смерти в проверенных разделах не выявлены</x:v>
      </x:c>
      <x:c r="S27" s="30" t="str">
        <x:v>Semipalatinskaia-1900-1904(1).md; PDF 11–16</x:v>
      </x:c>
    </x:row>
    <x:row r="28" ht="34" customHeight="1">
      <x:c r="A28" s="41" t="n">
        <x:v>1903</x:v>
      </x:c>
      <x:c r="B28" s="26" t="str">
        <x:v>Конец 1903 г.</x:v>
      </x:c>
      <x:c r="C28" s="33"/>
      <x:c r="D28" s="33"/>
      <x:c r="E28" s="33"/>
      <x:c r="F28" s="33"/>
      <x:c r="G28" s="33" t="n">
        <x:v>623474</x:v>
      </x:c>
      <x:c r="H28" s="33" t="n">
        <x:f>I28-G28</x:f>
        <x:v>103599</x:v>
      </x:c>
      <x:c r="I28" s="33" t="n">
        <x:v>727073</x:v>
      </x:c>
      <x:c r="J28" s="33"/>
      <x:c r="K28" s="33"/>
      <x:c r="L28" s="33"/>
      <x:c r="M28" s="33"/>
      <x:c r="N28" s="33"/>
      <x:c r="O28" s="33"/>
      <x:c r="P28" s="33"/>
      <x:c r="Q28" s="26" t="str">
        <x:v>Адм. «киргизы»; «остальные» = итог − «киргизы» (расчёт)</x:v>
      </x:c>
      <x:c r="R28" s="26" t="str">
        <x:v>Сводные рождения/смерти в проверенных разделах не выявлены</x:v>
      </x:c>
      <x:c r="S28" s="26" t="str">
        <x:v>Semipalatinskaia-1900-1904(1).md; PDF 24–27</x:v>
      </x:c>
    </x:row>
    <x:row r="29" ht="34" customHeight="1">
      <x:c r="A29" s="40" t="n">
        <x:v>1904</x:v>
      </x:c>
      <x:c r="B29" s="30" t="str">
        <x:v>Конец 1904 г.</x:v>
      </x:c>
      <x:c r="C29" s="32"/>
      <x:c r="D29" s="32"/>
      <x:c r="E29" s="32"/>
      <x:c r="F29" s="32"/>
      <x:c r="G29" s="32" t="n">
        <x:v>625550</x:v>
      </x:c>
      <x:c r="H29" s="32" t="n">
        <x:f>I29-G29</x:f>
        <x:v>103143</x:v>
      </x:c>
      <x:c r="I29" s="32" t="n">
        <x:v>728693</x:v>
      </x:c>
      <x:c r="J29" s="32"/>
      <x:c r="K29" s="32"/>
      <x:c r="L29" s="32" t="n">
        <x:v>14535</x:v>
      </x:c>
      <x:c r="M29" s="32"/>
      <x:c r="N29" s="32"/>
      <x:c r="O29" s="32" t="n">
        <x:v>11895</x:v>
      </x:c>
      <x:c r="P29" s="32" t="n">
        <x:f>L29-O29</x:f>
        <x:v>2640</x:v>
      </x:c>
      <x:c r="Q29" s="30" t="str">
        <x:v>Адм. «киргизы»; «остальные» = итог − «киргизы» (расчёт)</x:v>
      </x:c>
      <x:c r="R29" s="30" t="str">
        <x:v>Количественная полнота метрического учета в этой таблице не оценена</x:v>
      </x:c>
      <x:c r="S29" s="30" t="str">
        <x:v>Semipalatinskaia-1900-1904(1).md; PDF 25–30</x:v>
      </x:c>
    </x:row>
    <x:row r="30" ht="34" customHeight="1">
      <x:c r="A30" s="41" t="n">
        <x:v>1905</x:v>
      </x:c>
      <x:c r="B30" s="26" t="str">
        <x:v>31 декабря 1905 г. (прямо указано)</x:v>
      </x:c>
      <x:c r="C30" s="33"/>
      <x:c r="D30" s="33"/>
      <x:c r="E30" s="33"/>
      <x:c r="F30" s="33"/>
      <x:c r="G30" s="33" t="n">
        <x:v>655971</x:v>
      </x:c>
      <x:c r="H30" s="33" t="n">
        <x:f>I30-G30</x:f>
        <x:v>105124</x:v>
      </x:c>
      <x:c r="I30" s="33" t="n">
        <x:v>761095</x:v>
      </x:c>
      <x:c r="J30" s="33"/>
      <x:c r="K30" s="33"/>
      <x:c r="L30" s="33"/>
      <x:c r="M30" s="33"/>
      <x:c r="N30" s="33"/>
      <x:c r="O30" s="33"/>
      <x:c r="P30" s="33"/>
      <x:c r="Q30" s="26" t="str">
        <x:v>Адм. «киргизы»; «остальные» = итог − «киргизы» (расчёт)</x:v>
      </x:c>
      <x:c r="R30" s="26" t="str">
        <x:v>Итоги рождения/смерти не найдены; оценить полноту по этим выпускам нельзя</x:v>
      </x:c>
      <x:c r="S30" s="26" t="str">
        <x:v>Semipalatinskaia-1905-1909(1).md; PDF 20–22</x:v>
      </x:c>
    </x:row>
    <x:row r="31" ht="34" customHeight="1">
      <x:c r="A31" s="40" t="n">
        <x:v>1906</x:v>
      </x:c>
      <x:c r="B31" s="30" t="str">
        <x:v>31 декабря 1906 г. (прямо указано)</x:v>
      </x:c>
      <x:c r="C31" s="32"/>
      <x:c r="D31" s="32"/>
      <x:c r="E31" s="32"/>
      <x:c r="F31" s="32"/>
      <x:c r="G31" s="32" t="n">
        <x:v>664066</x:v>
      </x:c>
      <x:c r="H31" s="32" t="n">
        <x:f>I31-G31</x:f>
        <x:v>109864</x:v>
      </x:c>
      <x:c r="I31" s="32" t="n">
        <x:v>773930</x:v>
      </x:c>
      <x:c r="J31" s="32"/>
      <x:c r="K31" s="32"/>
      <x:c r="L31" s="32"/>
      <x:c r="M31" s="32"/>
      <x:c r="N31" s="32"/>
      <x:c r="O31" s="32"/>
      <x:c r="P31" s="32"/>
      <x:c r="Q31" s="30" t="str">
        <x:v>Адм. «киргизы»; «остальные» = итог − «киргизы» (расчёт)</x:v>
      </x:c>
      <x:c r="R31" s="30" t="str">
        <x:v>Итоги рождения/смерти не найдены; оценить полноту по этим выпускам нельзя</x:v>
      </x:c>
      <x:c r="S31" s="30" t="str">
        <x:v>Semipalatinskaia-1905-1909(1).md; PDF 24–26</x:v>
      </x:c>
    </x:row>
    <x:row r="32" ht="34" customHeight="1">
      <x:c r="A32" s="41" t="n">
        <x:v>1907</x:v>
      </x:c>
      <x:c r="B32" s="26" t="str">
        <x:v>31 декабря 1907 г. (прямо указано)</x:v>
      </x:c>
      <x:c r="C32" s="33"/>
      <x:c r="D32" s="33"/>
      <x:c r="E32" s="33"/>
      <x:c r="F32" s="33"/>
      <x:c r="G32" s="33" t="n">
        <x:v>635857</x:v>
      </x:c>
      <x:c r="H32" s="33" t="n">
        <x:f>I32-G32</x:f>
        <x:v>113836</x:v>
      </x:c>
      <x:c r="I32" s="36" t="n">
        <x:v>749693</x:v>
      </x:c>
      <x:c r="J32" s="33"/>
      <x:c r="K32" s="33"/>
      <x:c r="L32" s="33"/>
      <x:c r="M32" s="33"/>
      <x:c r="N32" s="33"/>
      <x:c r="O32" s="33"/>
      <x:c r="P32" s="33"/>
      <x:c r="Q32" s="26" t="str">
        <x:v>Адм. «киргизы»; «остальные» = итог − «киргизы» (расчёт)</x:v>
      </x:c>
      <x:c r="R32" s="26" t="str">
        <x:v>Итоги рождения/смерти не найдены; оценить полноту по этим выпускам нельзя</x:v>
      </x:c>
      <x:c r="S32" s="26" t="str">
        <x:v>Semipalatinskaia-1905-1909(1).md; PDF 25–28</x:v>
      </x:c>
    </x:row>
    <x:row r="33" ht="34" customHeight="1">
      <x:c r="A33" s="40" t="n">
        <x:v>1908</x:v>
      </x:c>
      <x:c r="B33" s="30" t="str">
        <x:v>Конец 1908 г.</x:v>
      </x:c>
      <x:c r="C33" s="32"/>
      <x:c r="D33" s="32"/>
      <x:c r="E33" s="32"/>
      <x:c r="F33" s="32"/>
      <x:c r="G33" s="32" t="n">
        <x:v>643130</x:v>
      </x:c>
      <x:c r="H33" s="32" t="n">
        <x:f>I33-G33</x:f>
        <x:v>127886</x:v>
      </x:c>
      <x:c r="I33" s="32" t="n">
        <x:v>771016</x:v>
      </x:c>
      <x:c r="J33" s="32"/>
      <x:c r="K33" s="32"/>
      <x:c r="L33" s="32"/>
      <x:c r="M33" s="32"/>
      <x:c r="N33" s="32"/>
      <x:c r="O33" s="32"/>
      <x:c r="P33" s="32"/>
      <x:c r="Q33" s="30" t="str">
        <x:v>Адм. «киргизы»; «остальные» = итог − «киргизы» (расчёт)</x:v>
      </x:c>
      <x:c r="R33" s="30" t="str">
        <x:v>Итоги рождения/смерти не найдены; оценить полноту по этим выпускам нельзя</x:v>
      </x:c>
      <x:c r="S33" s="30" t="str">
        <x:v>Semipalatinskaia-1905-1909(1).md; PDF 20–22</x:v>
      </x:c>
    </x:row>
    <x:row r="34" ht="34" customHeight="1">
      <x:c r="A34" s="41" t="n">
        <x:v>1909</x:v>
      </x:c>
      <x:c r="B34" s="26" t="str">
        <x:v>Конец 1909 г.</x:v>
      </x:c>
      <x:c r="C34" s="33"/>
      <x:c r="D34" s="33"/>
      <x:c r="E34" s="33"/>
      <x:c r="F34" s="33"/>
      <x:c r="G34" s="33" t="n">
        <x:v>650122</x:v>
      </x:c>
      <x:c r="H34" s="33" t="n">
        <x:f>I34-G34</x:f>
        <x:v>171337</x:v>
      </x:c>
      <x:c r="I34" s="33" t="n">
        <x:v>821459</x:v>
      </x:c>
      <x:c r="J34" s="33"/>
      <x:c r="K34" s="33"/>
      <x:c r="L34" s="33"/>
      <x:c r="M34" s="33"/>
      <x:c r="N34" s="33"/>
      <x:c r="O34" s="33"/>
      <x:c r="P34" s="33"/>
      <x:c r="Q34" s="26" t="str">
        <x:v>Адм. «киргизы»; «остальные» = итог − «киргизы» (расчёт)</x:v>
      </x:c>
      <x:c r="R34" s="26" t="str">
        <x:v>Итоги рождения/смерти не найдены; оценить полноту по этим выпускам нельзя</x:v>
      </x:c>
      <x:c r="S34" s="26" t="str">
        <x:v>Semipalatinskaia-1905-1909(1).md; PDF 25–28</x:v>
      </x:c>
    </x:row>
    <x:row r="35" ht="34" customHeight="1">
      <x:c r="A35" s="40" t="n">
        <x:v>1910</x:v>
      </x:c>
      <x:c r="B35" s="30" t="str">
        <x:v>Конец 1910 г.</x:v>
      </x:c>
      <x:c r="C35" s="32"/>
      <x:c r="D35" s="32"/>
      <x:c r="E35" s="32"/>
      <x:c r="F35" s="32"/>
      <x:c r="G35" s="32" t="n">
        <x:v>675240</x:v>
      </x:c>
      <x:c r="H35" s="32" t="n">
        <x:f>I35-G35</x:f>
        <x:v>198520</x:v>
      </x:c>
      <x:c r="I35" s="32" t="n">
        <x:v>873760</x:v>
      </x:c>
      <x:c r="J35" s="32"/>
      <x:c r="K35" s="32"/>
      <x:c r="L35" s="32"/>
      <x:c r="M35" s="32"/>
      <x:c r="N35" s="32"/>
      <x:c r="O35" s="32"/>
      <x:c r="P35" s="32"/>
      <x:c r="Q35" s="30" t="str">
        <x:v>Адм. «киргизы»; «остальные» = итог − «киргизы» (расчёт)</x:v>
      </x:c>
      <x:c r="R35" s="30" t="str">
        <x:v>Итоги рождения/смерти не найдены; оценить полноту по этим выпускам нельзя</x:v>
      </x:c>
      <x:c r="S35" s="30" t="str">
        <x:v>Semipalatinskaia-1910-1911(1).md; PDF 24–30</x:v>
      </x:c>
    </x:row>
    <x:row r="36" ht="34" customHeight="1">
      <x:c r="A36" s="41" t="n">
        <x:v>1911</x:v>
      </x:c>
      <x:c r="B36" s="26" t="str">
        <x:v>Конец 1911 г.</x:v>
      </x:c>
      <x:c r="C36" s="33"/>
      <x:c r="D36" s="33"/>
      <x:c r="E36" s="33"/>
      <x:c r="F36" s="33"/>
      <x:c r="G36" s="33" t="n">
        <x:v>681545</x:v>
      </x:c>
      <x:c r="H36" s="33" t="n">
        <x:f>I36-G36</x:f>
        <x:v>224170</x:v>
      </x:c>
      <x:c r="I36" s="33" t="n">
        <x:v>905715</x:v>
      </x:c>
      <x:c r="J36" s="33"/>
      <x:c r="K36" s="33"/>
      <x:c r="L36" s="33"/>
      <x:c r="M36" s="33"/>
      <x:c r="N36" s="33"/>
      <x:c r="O36" s="33"/>
      <x:c r="P36" s="33"/>
      <x:c r="Q36" s="26" t="str">
        <x:v>Адм. «киргизы»; «остальные» = итог − «киргизы» (расчёт)</x:v>
      </x:c>
      <x:c r="R36" s="26" t="str">
        <x:v>Итоги рождения/смерти не найдены; оценить полноту по этим выпускам нельзя</x:v>
      </x:c>
      <x:c r="S36" s="26" t="str">
        <x:v>Semipalatinskaia-1910-1911(1).md; PDF 20–27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17" hidden="0" customWidth="1"/>
    <x:col min="4" max="4" width="17" hidden="0" customWidth="1"/>
    <x:col min="5" max="5" width="20" hidden="0" customWidth="1"/>
    <x:col min="6" max="6" width="17" hidden="0" customWidth="1"/>
    <x:col min="7" max="7" width="17" hidden="0" customWidth="1"/>
    <x:col min="8" max="8" width="24" hidden="0" customWidth="1"/>
    <x:col min="9" max="9" width="79" hidden="0" customWidth="1"/>
    <x:col min="10" max="10" width="63" hidden="0" customWidth="1"/>
    <x:col min="11" max="11" width="40" hidden="0" customWidth="1"/>
  </x:cols>
  <x:sheetData>
    <x:row r="1" ht="34" customHeight="1">
      <x:c r="A1" s="4" t="str">
        <x:v>Миграция, водворение и административные перемещения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11" t="str">
        <x:v>Годовые водворения, транзит, кибитки, выданные билеты и численность посёлков — разные сущности. Сведений о полном годовом внешнем миграционном балансе нет.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46" customHeight="1">
      <x:c r="A4" s="19" t="str">
        <x:v>Год</x:v>
      </x:c>
      <x:c r="B4" s="19" t="str">
        <x:v>Семьи водворены</x:v>
      </x:c>
      <x:c r="C4" s="19" t="str">
        <x:v>Мужчины водворены</x:v>
      </x:c>
      <x:c r="D4" s="19" t="str">
        <x:v>Женщины водворены</x:v>
      </x:c>
      <x:c r="E4" s="19" t="str">
        <x:v>Лица обоего пола водворены</x:v>
      </x:c>
      <x:c r="F4" s="19" t="str">
        <x:v>Отток людей, всего</x:v>
      </x:c>
      <x:c r="G4" s="19" t="str">
        <x:v>Отлучные билеты</x:v>
      </x:c>
      <x:c r="H4" s="19" t="str">
        <x:v>Переселенческих посёлков (запас)</x:v>
      </x:c>
      <x:c r="I4" s="19" t="str">
        <x:v>Сообщения о въезде / водворении и иных перемещениях</x:v>
      </x:c>
      <x:c r="J4" s="19" t="str">
        <x:v>Выезд и ограничения</x:v>
      </x:c>
      <x:c r="K4" s="19" t="str">
        <x:v>Источник / страницы</x:v>
      </x:c>
    </x:row>
    <x:row r="5" ht="47" customHeight="1">
      <x:c r="A5" s="32" t="n">
        <x:v>1880</x:v>
      </x:c>
      <x:c r="B5" s="32"/>
      <x:c r="C5" s="32"/>
      <x:c r="D5" s="32"/>
      <x:c r="E5" s="32"/>
      <x:c r="F5" s="32"/>
      <x:c r="G5" s="32"/>
      <x:c r="H5" s="32"/>
      <x:c r="I5" s="30" t="str">
        <x:v>Причислено в мещане около 145 окладных и 45 льготных; не поток миграции.</x:v>
      </x:c>
      <x:c r="J5" s="30" t="str">
        <x:v>Выезд населения в целом не установлен.</x:v>
      </x:c>
      <x:c r="K5" s="30" t="str">
        <x:v>Semipalatinskaia-1880-1884(1).md; RAW PDF 19–22</x:v>
      </x:c>
    </x:row>
    <x:row r="6" ht="47" customHeight="1">
      <x:c r="A6" s="33" t="n">
        <x:v>1881</x:v>
      </x:c>
      <x:c r="B6" s="33"/>
      <x:c r="C6" s="33"/>
      <x:c r="D6" s="33"/>
      <x:c r="E6" s="33"/>
      <x:c r="F6" s="33"/>
      <x:c r="G6" s="33"/>
      <x:c r="H6" s="33"/>
      <x:c r="I6" s="26" t="str">
        <x:v>В мещане +159 окладных и +40 льготных (83 из местных); административный показатель.</x:v>
      </x:c>
      <x:c r="J6" s="26" t="str">
        <x:v>В мещане −35 окладных и −2 льготных; 19+2 перечислены в другие губернии; не весь отток.</x:v>
      </x:c>
      <x:c r="K6" s="26" t="str">
        <x:v>Semipalatinskaia-1880-1884(1).md; PDF 11–13</x:v>
      </x:c>
    </x:row>
    <x:row r="7" ht="47" customHeight="1">
      <x:c r="A7" s="32" t="n">
        <x:v>1882</x:v>
      </x:c>
      <x:c r="B7" s="32"/>
      <x:c r="C7" s="32"/>
      <x:c r="D7" s="32"/>
      <x:c r="E7" s="32"/>
      <x:c r="F7" s="32"/>
      <x:c r="G7" s="32"/>
      <x:c r="H7" s="32"/>
      <x:c r="I7" s="30" t="str">
        <x:v>В мещане +162 окладных и +18 льготных (83 местных); не поток.</x:v>
      </x:c>
      <x:c r="J7" s="30" t="str">
        <x:v>−36 окладных и −53 льготных; 15 окладных переведены в другие губернии; не весь отток.</x:v>
      </x:c>
      <x:c r="K7" s="30" t="str">
        <x:v>Semipalatinskaia-1880-1884(1).md; PDF 25–28</x:v>
      </x:c>
    </x:row>
    <x:row r="8" ht="47" customHeight="1">
      <x:c r="A8" s="33" t="n">
        <x:v>1883</x:v>
      </x:c>
      <x:c r="B8" s="33"/>
      <x:c r="C8" s="33"/>
      <x:c r="D8" s="33"/>
      <x:c r="E8" s="33"/>
      <x:c r="F8" s="33"/>
      <x:c r="G8" s="33"/>
      <x:c r="H8" s="33"/>
      <x:c r="I8" s="26" t="str">
        <x:v>В мещане +105 окладных и +15 льготных (39 местных); не поток.</x:v>
      </x:c>
      <x:c r="J8" s="26" t="str">
        <x:v>В мещане −52 окладных, −6 льготных, из них 2 переведены в другие губернии.</x:v>
      </x:c>
      <x:c r="K8" s="26" t="str">
        <x:v>Semipalatinskaia-1880-1884(1).md; RAW PDF 38–46</x:v>
      </x:c>
    </x:row>
    <x:row r="9" ht="47" customHeight="1">
      <x:c r="A9" s="32" t="n">
        <x:v>1884</x:v>
      </x:c>
      <x:c r="B9" s="32"/>
      <x:c r="C9" s="32"/>
      <x:c r="D9" s="32"/>
      <x:c r="E9" s="32"/>
      <x:c r="F9" s="32"/>
      <x:c r="G9" s="32"/>
      <x:c r="H9" s="32"/>
      <x:c r="I9" s="30" t="str">
        <x:v>В мещане +116 окладных и +10 льготных (21 местный); не поток.</x:v>
      </x:c>
      <x:c r="J9" s="30" t="str">
        <x:v>В мещане −61 окладной, 20 переведены в другие губернии.</x:v>
      </x:c>
      <x:c r="K9" s="30" t="str">
        <x:v>Semipalatinskaia-1880-1884(1).md; PDF 27–29</x:v>
      </x:c>
    </x:row>
    <x:row r="10" ht="47" customHeight="1">
      <x:c r="A10" s="33" t="n">
        <x:v>1885</x:v>
      </x:c>
      <x:c r="B10" s="33"/>
      <x:c r="C10" s="33"/>
      <x:c r="D10" s="33"/>
      <x:c r="E10" s="33"/>
      <x:c r="F10" s="33"/>
      <x:c r="G10" s="33"/>
      <x:c r="H10" s="33"/>
      <x:c r="I10" s="26" t="str">
        <x:v>Из Китая включено 1003 кибитки при изменении пограничной принадлежности; не численность годовых иммигрантов.</x:v>
      </x:c>
      <x:c r="J10" s="26" t="str">
        <x:v>В Китай отошло 1914 кибиток при изменении границы; не численность годовых эмигрантов.</x:v>
      </x:c>
      <x:c r="K10" s="26" t="str">
        <x:v>Semipalatinskaia-1885-1889(1).md; PDF 29–33</x:v>
      </x:c>
    </x:row>
    <x:row r="11" ht="47" customHeight="1">
      <x:c r="A11" s="32" t="n">
        <x:v>1886</x:v>
      </x:c>
      <x:c r="B11" s="32"/>
      <x:c r="C11" s="32"/>
      <x:c r="D11" s="32"/>
      <x:c r="E11" s="32"/>
      <x:c r="F11" s="32"/>
      <x:c r="G11" s="32"/>
      <x:c r="H11" s="32"/>
      <x:c r="I11" s="30" t="str">
        <x:v>В Александровской волости по окладным душам +3; не миграция.</x:v>
      </x:c>
      <x:c r="J11" s="30" t="str">
        <x:v>Из оклада исключено 3, из них 1 переведен в крестьяне другой губернии; не полный выезд.</x:v>
      </x:c>
      <x:c r="K11" s="30" t="str">
        <x:v>Semipalatinskaia-1885-1889(1).md; PDF 46–49</x:v>
      </x:c>
    </x:row>
    <x:row r="12" ht="47" customHeight="1">
      <x:c r="A12" s="33" t="n">
        <x:v>1887</x:v>
      </x:c>
      <x:c r="B12" s="33"/>
      <x:c r="C12" s="33"/>
      <x:c r="D12" s="33"/>
      <x:c r="E12" s="33"/>
      <x:c r="F12" s="33"/>
      <x:c r="G12" s="33"/>
      <x:c r="H12" s="33"/>
      <x:c r="I12" s="26" t="str">
        <x:v>Через Семипалатинск проследовали 53 семьи / 244 человека; в области осталось только 2 семьи / 13 человек.</x:v>
      </x:c>
      <x:c r="J12" s="26" t="str">
        <x:v>194 человека направились в Семиреченскую область, 37 в Туркестанский край; транзит, не эмиграция из области.</x:v>
      </x:c>
      <x:c r="K12" s="26" t="str">
        <x:v>Semipalatinskaia-1885-1889(1).md; PDF 59–64; ведомость №3 PDF 106</x:v>
      </x:c>
    </x:row>
    <x:row r="13" ht="47" customHeight="1">
      <x:c r="A13" s="32" t="n">
        <x:v>1888</x:v>
      </x:c>
      <x:c r="B13" s="32"/>
      <x:c r="C13" s="32"/>
      <x:c r="D13" s="32"/>
      <x:c r="E13" s="32"/>
      <x:c r="F13" s="32"/>
      <x:c r="G13" s="32"/>
      <x:c r="H13" s="32"/>
      <x:c r="I13" s="30" t="str">
        <x:v>«Переселений в отчётном году не было» в разделе случайных изменений; не доказательство нулевой миграции.</x:v>
      </x:c>
      <x:c r="J13" s="30" t="str">
        <x:v>В Александровской волости исключено из оклада 32 души, включая 4 умерших; не миграция.</x:v>
      </x:c>
      <x:c r="K13" s="30" t="str">
        <x:v>Semipalatinskaia-1885-1889(1).md; PDF 67–72; ведомость №3 PDF 111</x:v>
      </x:c>
    </x:row>
    <x:row r="14" ht="47" customHeight="1">
      <x:c r="A14" s="33" t="n">
        <x:v>1889</x:v>
      </x:c>
      <x:c r="B14" s="33"/>
      <x:c r="C14" s="33"/>
      <x:c r="D14" s="33"/>
      <x:c r="E14" s="33"/>
      <x:c r="F14" s="33"/>
      <x:c r="G14" s="33"/>
      <x:c r="H14" s="33"/>
      <x:c r="I14" s="26" t="str"/>
      <x:c r="J14" s="26" t="str"/>
      <x:c r="K14" s="26" t="str">
        <x:v>Semipalatinskaia-1885-1889(1).md; </x:v>
      </x:c>
    </x:row>
    <x:row r="15" ht="47" customHeight="1">
      <x:c r="A15" s="32" t="n">
        <x:v>1890</x:v>
      </x:c>
      <x:c r="B15" s="32"/>
      <x:c r="C15" s="32"/>
      <x:c r="D15" s="32"/>
      <x:c r="E15" s="32"/>
      <x:c r="F15" s="32"/>
      <x:c r="G15" s="32" t="n">
        <x:v>18071</x:v>
      </x:c>
      <x:c r="H15" s="32"/>
      <x:c r="I15" s="30" t="str">
        <x:v>Выдано 18071 отлучных билетов для временной работы.</x:v>
      </x:c>
      <x:c r="J15" s="30" t="str">
        <x:v>Не установлен годовой постоянный отток.</x:v>
      </x:c>
      <x:c r="K15" s="30" t="str">
        <x:v>Semipalatinskaia-1890-1894(1).md; PDF 16, 79–84</x:v>
      </x:c>
    </x:row>
    <x:row r="16" ht="47" customHeight="1">
      <x:c r="A16" s="33" t="n">
        <x:v>1891</x:v>
      </x:c>
      <x:c r="B16" s="33"/>
      <x:c r="C16" s="33"/>
      <x:c r="D16" s="33"/>
      <x:c r="E16" s="33"/>
      <x:c r="F16" s="33"/>
      <x:c r="G16" s="33"/>
      <x:c r="H16" s="33"/>
      <x:c r="I16" s="26" t="str"/>
      <x:c r="J16" s="26" t="str"/>
      <x:c r="K16" s="26" t="str">
        <x:v>Semipalatinskaia-1890-1894(1).md; </x:v>
      </x:c>
    </x:row>
    <x:row r="17" ht="47" customHeight="1">
      <x:c r="A17" s="32" t="n">
        <x:v>1892</x:v>
      </x:c>
      <x:c r="B17" s="32"/>
      <x:c r="C17" s="32"/>
      <x:c r="D17" s="32"/>
      <x:c r="E17" s="32"/>
      <x:c r="F17" s="32"/>
      <x:c r="G17" s="32"/>
      <x:c r="H17" s="32"/>
      <x:c r="I17" s="30" t="str"/>
      <x:c r="J17" s="30" t="str"/>
      <x:c r="K17" s="30" t="str">
        <x:v>Semipalatinskaia-1890-1894(1).md; </x:v>
      </x:c>
    </x:row>
    <x:row r="18" ht="47" customHeight="1">
      <x:c r="A18" s="33" t="n">
        <x:v>1893</x:v>
      </x:c>
      <x:c r="B18" s="33"/>
      <x:c r="C18" s="33"/>
      <x:c r="D18" s="33"/>
      <x:c r="E18" s="33"/>
      <x:c r="F18" s="33"/>
      <x:c r="G18" s="33" t="n">
        <x:v>25262</x:v>
      </x:c>
      <x:c r="H18" s="33"/>
      <x:c r="I18" s="26" t="str">
        <x:v>Из обзора 1894 г. следует 25262 отлучных билета; не переселение.</x:v>
      </x:c>
      <x:c r="J18" s="26" t="str">
        <x:v>Не установлен годовой постоянный отток.</x:v>
      </x:c>
      <x:c r="K18" s="26" t="str">
        <x:v>Semipalatinskaia-1890-1894(1).md; Обзор 1894, PDF 27</x:v>
      </x:c>
    </x:row>
    <x:row r="19" ht="47" customHeight="1">
      <x:c r="A19" s="32" t="n">
        <x:v>1894</x:v>
      </x:c>
      <x:c r="B19" s="32"/>
      <x:c r="C19" s="32"/>
      <x:c r="D19" s="32"/>
      <x:c r="E19" s="32"/>
      <x:c r="F19" s="32"/>
      <x:c r="G19" s="32" t="n">
        <x:v>25188</x:v>
      </x:c>
      <x:c r="H19" s="32" t="n">
        <x:v>6</x:v>
      </x:c>
      <x:c r="I19" s="30" t="str">
        <x:v>Выдано 25188 отлучных билетов; 1045 жителей в 6 существующих переселенческих посёлках на конец года.</x:v>
      </x:c>
      <x:c r="J19" s="30" t="str">
        <x:v>Годовой отток не установлен.</x:v>
      </x:c>
      <x:c r="K19" s="30" t="str">
        <x:v>Semipalatinskaia-1890-1894(1).md; PDF 7–8, 27–29; ведомость №4 PDF 69</x:v>
      </x:c>
    </x:row>
    <x:row r="20" ht="47" customHeight="1">
      <x:c r="A20" s="33" t="n">
        <x:v>1895</x:v>
      </x:c>
      <x:c r="B20" s="33"/>
      <x:c r="C20" s="33"/>
      <x:c r="D20" s="33"/>
      <x:c r="E20" s="33"/>
      <x:c r="F20" s="33"/>
      <x:c r="G20" s="33"/>
      <x:c r="H20" s="33"/>
      <x:c r="I20" s="26" t="str">
        <x:v>Числового годового прибытия не обнаружено; есть сословная приписка.</x:v>
      </x:c>
      <x:c r="J20" s="26" t="str">
        <x:v>Не установлен.</x:v>
      </x:c>
      <x:c r="K20" s="26" t="str">
        <x:v>Semipalatinskaia-1895-1899(2).md; PDF 12; 65–67</x:v>
      </x:c>
    </x:row>
    <x:row r="21" ht="47" customHeight="1">
      <x:c r="A21" s="32" t="n">
        <x:v>1896</x:v>
      </x:c>
      <x:c r="B21" s="32"/>
      <x:c r="C21" s="32"/>
      <x:c r="D21" s="32"/>
      <x:c r="E21" s="32"/>
      <x:c r="F21" s="32"/>
      <x:c r="G21" s="32"/>
      <x:c r="H21" s="32" t="n">
        <x:v>12</x:v>
      </x:c>
      <x:c r="I21" s="30" t="str">
        <x:v>Имеется 12 переселенческих селений, не годовой приток.</x:v>
      </x:c>
      <x:c r="J21" s="30" t="str">
        <x:v>Не установлен.</x:v>
      </x:c>
      <x:c r="K21" s="30" t="str">
        <x:v>Semipalatinskaia-1895-1899(2).md; PDF 12; 33–35</x:v>
      </x:c>
    </x:row>
    <x:row r="22" ht="47" customHeight="1">
      <x:c r="A22" s="33" t="n">
        <x:v>1897</x:v>
      </x:c>
      <x:c r="B22" s="33"/>
      <x:c r="C22" s="33"/>
      <x:c r="D22" s="33"/>
      <x:c r="E22" s="33"/>
      <x:c r="F22" s="33"/>
      <x:c r="G22" s="33"/>
      <x:c r="H22" s="33" t="n">
        <x:v>13</x:v>
      </x:c>
      <x:c r="I22" s="26" t="str">
        <x:v>Имеется 13 переселенческих селений, не годовой приток.</x:v>
      </x:c>
      <x:c r="J22" s="26" t="str">
        <x:v>Не установлен.</x:v>
      </x:c>
      <x:c r="K22" s="26" t="str">
        <x:v>Semipalatinskaia-1895-1899(2).md; PDF 10–11; 47–49</x:v>
      </x:c>
    </x:row>
    <x:row r="23" ht="47" customHeight="1">
      <x:c r="A23" s="32" t="n">
        <x:v>1898</x:v>
      </x:c>
      <x:c r="B23" s="32"/>
      <x:c r="C23" s="32"/>
      <x:c r="D23" s="32"/>
      <x:c r="E23" s="32"/>
      <x:c r="F23" s="32"/>
      <x:c r="G23" s="32"/>
      <x:c r="H23" s="32" t="n">
        <x:v>13</x:v>
      </x:c>
      <x:c r="I23" s="30" t="str">
        <x:v>Переходы китайской границы: 1507 въездов (533 российских + 974 китайских подданных); не постоянная иммиграция.</x:v>
      </x:c>
      <x:c r="J23" s="30" t="str">
        <x:v>1453 выезда через границу (674 российских + 779 китайских); не постоянная эмиграция.</x:v>
      </x:c>
      <x:c r="K23" s="30" t="str">
        <x:v>Semipalatinskaia-1895-1899(2).md; PDF 9–10; 51–53</x:v>
      </x:c>
    </x:row>
    <x:row r="24" ht="47" customHeight="1">
      <x:c r="A24" s="33" t="n">
        <x:v>1899</x:v>
      </x:c>
      <x:c r="B24" s="33"/>
      <x:c r="C24" s="33"/>
      <x:c r="D24" s="33"/>
      <x:c r="E24" s="33"/>
      <x:c r="F24" s="33"/>
      <x:c r="G24" s="33"/>
      <x:c r="H24" s="33" t="n">
        <x:v>14</x:v>
      </x:c>
      <x:c r="I24" s="26" t="str">
        <x:v>Всего 14 переселенческих селений; Покровское 420 жителей, запас населения, не приток 1899 г.</x:v>
      </x:c>
      <x:c r="J24" s="26" t="str">
        <x:v>На зимовках 2302 в других губерниях/областях и 7173 в Китае; это наличие, не годовой отток.</x:v>
      </x:c>
      <x:c r="K24" s="26" t="str">
        <x:v>Semipalatinskaia-1895-1899(2).md; PDF 9–13; 86–87</x:v>
      </x:c>
    </x:row>
    <x:row r="25" ht="47" customHeight="1">
      <x:c r="A25" s="32" t="n">
        <x:v>1900</x:v>
      </x:c>
      <x:c r="B25" s="32"/>
      <x:c r="C25" s="32"/>
      <x:c r="D25" s="32"/>
      <x:c r="E25" s="32"/>
      <x:c r="F25" s="32"/>
      <x:c r="G25" s="32"/>
      <x:c r="H25" s="32"/>
      <x:c r="I25" s="30" t="str">
        <x:v>Приписные киргизы распределены по местам зимовки; годового притока нет.</x:v>
      </x:c>
      <x:c r="J25" s="30" t="str">
        <x:v>Запасы по местам пребывания — не годовые выезды.</x:v>
      </x:c>
      <x:c r="K25" s="30" t="str">
        <x:v>Semipalatinskaia-1900-1904(1).md; PDF 11–15; 94–95</x:v>
      </x:c>
    </x:row>
    <x:row r="26" ht="47" customHeight="1">
      <x:c r="A26" s="33" t="n">
        <x:v>1901</x:v>
      </x:c>
      <x:c r="B26" s="33"/>
      <x:c r="C26" s="33"/>
      <x:c r="D26" s="33"/>
      <x:c r="E26" s="33"/>
      <x:c r="F26" s="33"/>
      <x:c r="G26" s="33"/>
      <x:c r="H26" s="33"/>
      <x:c r="I26" s="26" t="str">
        <x:v>Нет годового итога прибытий; места зимовки в отдельной таблице.</x:v>
      </x:c>
      <x:c r="J26" s="26" t="str">
        <x:v>Нет годового итога.</x:v>
      </x:c>
      <x:c r="K26" s="26" t="str">
        <x:v>Semipalatinskaia-1900-1904(1).md; PDF 11–15</x:v>
      </x:c>
    </x:row>
    <x:row r="27" ht="47" customHeight="1">
      <x:c r="A27" s="32" t="n">
        <x:v>1902</x:v>
      </x:c>
      <x:c r="B27" s="32"/>
      <x:c r="C27" s="32"/>
      <x:c r="D27" s="32"/>
      <x:c r="E27" s="32"/>
      <x:c r="F27" s="32"/>
      <x:c r="G27" s="32"/>
      <x:c r="H27" s="32"/>
      <x:c r="I27" s="30" t="str">
        <x:v>Нет годового итога прибытий; места зимовки в отдельной таблице.</x:v>
      </x:c>
      <x:c r="J27" s="30" t="str">
        <x:v>Нет годового итога.</x:v>
      </x:c>
      <x:c r="K27" s="30" t="str">
        <x:v>Semipalatinskaia-1900-1904(1).md; PDF 11–16</x:v>
      </x:c>
    </x:row>
    <x:row r="28" ht="47" customHeight="1">
      <x:c r="A28" s="33" t="n">
        <x:v>1903</x:v>
      </x:c>
      <x:c r="B28" s="33"/>
      <x:c r="C28" s="33"/>
      <x:c r="D28" s="33"/>
      <x:c r="E28" s="33"/>
      <x:c r="F28" s="33"/>
      <x:c r="G28" s="33"/>
      <x:c r="H28" s="33"/>
      <x:c r="I28" s="26" t="str">
        <x:v>Нет годового итога прибытий; места зимовки в отдельной таблице.</x:v>
      </x:c>
      <x:c r="J28" s="26" t="str">
        <x:v>Нет годового итога.</x:v>
      </x:c>
      <x:c r="K28" s="26" t="str">
        <x:v>Semipalatinskaia-1900-1904(1).md; PDF 24–27</x:v>
      </x:c>
    </x:row>
    <x:row r="29" ht="47" customHeight="1">
      <x:c r="A29" s="32" t="n">
        <x:v>1904</x:v>
      </x:c>
      <x:c r="B29" s="32"/>
      <x:c r="C29" s="32"/>
      <x:c r="D29" s="32"/>
      <x:c r="E29" s="32"/>
      <x:c r="F29" s="32"/>
      <x:c r="G29" s="32"/>
      <x:c r="H29" s="32"/>
      <x:c r="I29" s="30" t="str">
        <x:v>Нет годового итога прибытий; упомянуто устройство переселенческих поселений.</x:v>
      </x:c>
      <x:c r="J29" s="30" t="str">
        <x:v>Нет годового итога.</x:v>
      </x:c>
      <x:c r="K29" s="30" t="str">
        <x:v>Semipalatinskaia-1900-1904(1).md; PDF 25–30</x:v>
      </x:c>
    </x:row>
    <x:row r="30" ht="47" customHeight="1">
      <x:c r="A30" s="33" t="n">
        <x:v>1905</x:v>
      </x:c>
      <x:c r="B30" s="33"/>
      <x:c r="C30" s="33"/>
      <x:c r="D30" s="33"/>
      <x:c r="E30" s="33"/>
      <x:c r="F30" s="33"/>
      <x:c r="G30" s="33"/>
      <x:c r="H30" s="33"/>
      <x:c r="I30" s="26" t="str">
        <x:v>Годового числа водворённых не приводится.</x:v>
      </x:c>
      <x:c r="J30" s="26" t="str">
        <x:v>Годовой отток не указан.</x:v>
      </x:c>
      <x:c r="K30" s="26" t="str">
        <x:v>Semipalatinskaia-1905-1909(1).md; PDF 20–22</x:v>
      </x:c>
    </x:row>
    <x:row r="31" ht="47" customHeight="1">
      <x:c r="A31" s="32" t="n">
        <x:v>1906</x:v>
      </x:c>
      <x:c r="B31" s="32"/>
      <x:c r="C31" s="32"/>
      <x:c r="D31" s="32"/>
      <x:c r="E31" s="32"/>
      <x:c r="F31" s="32"/>
      <x:c r="G31" s="32"/>
      <x:c r="H31" s="32"/>
      <x:c r="I31" s="30" t="str">
        <x:v>Годового итога нет; упомянуты 13 селений с переселенцами, прибывшими летом.</x:v>
      </x:c>
      <x:c r="J31" s="30" t="str">
        <x:v>Годовой отток не указан.</x:v>
      </x:c>
      <x:c r="K31" s="30" t="str">
        <x:v>Semipalatinskaia-1905-1909(1).md; PDF 24–26</x:v>
      </x:c>
    </x:row>
    <x:row r="32" ht="47" customHeight="1">
      <x:c r="A32" s="33" t="n">
        <x:v>1907</x:v>
      </x:c>
      <x:c r="B32" s="33" t="n">
        <x:v>1198</x:v>
      </x:c>
      <x:c r="C32" s="33"/>
      <x:c r="D32" s="33"/>
      <x:c r="E32" s="33" t="n">
        <x:v>6549</x:v>
      </x:c>
      <x:c r="F32" s="33"/>
      <x:c r="G32" s="33"/>
      <x:c r="H32" s="33"/>
      <x:c r="I32" s="26" t="str">
        <x:v>Водворено 1198 семей / 6549 человек (обоего пола).</x:v>
      </x:c>
      <x:c r="J32" s="26" t="str">
        <x:v>Годовой отток не указан.</x:v>
      </x:c>
      <x:c r="K32" s="26" t="str">
        <x:v>Semipalatinskaia-1905-1909(1).md; PDF 25–28</x:v>
      </x:c>
    </x:row>
    <x:row r="33" ht="47" customHeight="1">
      <x:c r="A33" s="32" t="n">
        <x:v>1908</x:v>
      </x:c>
      <x:c r="B33" s="32" t="n">
        <x:v>1849</x:v>
      </x:c>
      <x:c r="C33" s="32" t="n">
        <x:v>6024</x:v>
      </x:c>
      <x:c r="D33" s="32" t="n">
        <x:v>5087</x:v>
      </x:c>
      <x:c r="E33" s="32" t="n">
        <x:v>11111</x:v>
      </x:c>
      <x:c r="F33" s="32"/>
      <x:c r="G33" s="32"/>
      <x:c r="H33" s="32"/>
      <x:c r="I33" s="30" t="str">
        <x:v>Водворено 1849 семей; 6024 мужчины и 5087 женщин = 11111 человек.</x:v>
      </x:c>
      <x:c r="J33" s="30" t="str">
        <x:v>Годовой отток не указан.</x:v>
      </x:c>
      <x:c r="K33" s="30" t="str">
        <x:v>Semipalatinskaia-1905-1909(1).md; PDF 20–22</x:v>
      </x:c>
    </x:row>
    <x:row r="34" ht="47" customHeight="1">
      <x:c r="A34" s="33" t="n">
        <x:v>1909</x:v>
      </x:c>
      <x:c r="B34" s="33" t="n">
        <x:v>3136</x:v>
      </x:c>
      <x:c r="C34" s="33" t="n">
        <x:v>10159</x:v>
      </x:c>
      <x:c r="D34" s="33"/>
      <x:c r="E34" s="33"/>
      <x:c r="F34" s="33"/>
      <x:c r="G34" s="33"/>
      <x:c r="H34" s="33"/>
      <x:c r="I34" s="26" t="str">
        <x:v>Водворено 3136 семей (печатный итог) / 3186 (сумма по уездам); 10159 только мужчин.</x:v>
      </x:c>
      <x:c r="J34" s="26" t="str">
        <x:v>Годовой отток не указан.</x:v>
      </x:c>
      <x:c r="K34" s="26" t="str">
        <x:v>Semipalatinskaia-1905-1909(1).md; PDF 25–28</x:v>
      </x:c>
    </x:row>
    <x:row r="35" ht="47" customHeight="1">
      <x:c r="A35" s="32" t="n">
        <x:v>1910</x:v>
      </x:c>
      <x:c r="B35" s="36" t="n">
        <x:v>4003</x:v>
      </x:c>
      <x:c r="C35" s="32" t="n">
        <x:v>11494</x:v>
      </x:c>
      <x:c r="D35" s="32"/>
      <x:c r="E35" s="32"/>
      <x:c r="F35" s="32"/>
      <x:c r="G35" s="32"/>
      <x:c r="H35" s="32"/>
      <x:c r="I35" s="30" t="str">
        <x:v>Водворено 4003 семьи; 11494 мужчины, полная численность обоего пола отсутствует.</x:v>
      </x:c>
      <x:c r="J35" s="30" t="str">
        <x:v>Годовой отток не указан.</x:v>
      </x:c>
      <x:c r="K35" s="30" t="str">
        <x:v>Semipalatinskaia-1910-1911(1).md; PDF 24–30</x:v>
      </x:c>
    </x:row>
    <x:row r="36" ht="47" customHeight="1">
      <x:c r="A36" s="33" t="n">
        <x:v>1911</x:v>
      </x:c>
      <x:c r="B36" s="33" t="n">
        <x:v>3350</x:v>
      </x:c>
      <x:c r="C36" s="33" t="n">
        <x:v>9046</x:v>
      </x:c>
      <x:c r="D36" s="33"/>
      <x:c r="E36" s="33"/>
      <x:c r="F36" s="33"/>
      <x:c r="G36" s="33"/>
      <x:c r="H36" s="33"/>
      <x:c r="I36" s="26" t="str">
        <x:v>Водворено 3350 семей; 9046 мужчин, полная численность обоего пола отсутствует.</x:v>
      </x:c>
      <x:c r="J36" s="26" t="str">
        <x:v>Годовой отток не указан.</x:v>
      </x:c>
      <x:c r="K36" s="26" t="str">
        <x:v>Semipalatinskaia-1910-1911(1).md; PDF 20–27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9" hidden="0" customWidth="1"/>
    <x:col min="3" max="3" width="23" hidden="0" customWidth="1"/>
    <x:col min="4" max="4" width="23" hidden="0" customWidth="1"/>
    <x:col min="5" max="5" width="37" hidden="0" customWidth="1"/>
    <x:col min="6" max="6" width="58" hidden="0" customWidth="1"/>
  </x:cols>
  <x:sheetData>
    <x:row r="1" ht="34" customHeight="1">
      <x:c r="A1" s="4" t="str">
        <x:v>Метрический учёт · группы оригинальных источников</x:v>
      </x:c>
      <x:c r="B1" s="4"/>
      <x:c r="C1" s="4"/>
      <x:c r="D1" s="4"/>
      <x:c r="E1" s="4"/>
      <x:c r="F1" s="4"/>
    </x:row>
    <x:row r="2" ht="34" customHeight="1">
      <x:c r="A2" s="11" t="str">
        <x:v>Эта разбивка НЕ равна делению на оседлых и кочевых. Группы 1883 г. предварительны; в некоторых годах суммы групп не равны общим годовым итогам.</x:v>
      </x:c>
      <x:c r="B2" s="11"/>
      <x:c r="C2" s="11"/>
      <x:c r="D2" s="11"/>
      <x:c r="E2" s="11"/>
      <x:c r="F2" s="11"/>
    </x:row>
    <x:row r="4" ht="46" customHeight="1">
      <x:c r="A4" s="19" t="str">
        <x:v>Год</x:v>
      </x:c>
      <x:c r="B4" s="19" t="str">
        <x:v>Оригинальная учётная группа</x:v>
      </x:c>
      <x:c r="C4" s="19" t="str">
        <x:v>Зарегистрировано рождений</x:v>
      </x:c>
      <x:c r="D4" s="19" t="str">
        <x:v>Зарегистрировано смертей</x:v>
      </x:c>
      <x:c r="E4" s="19" t="str">
        <x:v>Обзор / страницы</x:v>
      </x:c>
      <x:c r="F4" s="19" t="str">
        <x:v>Оговорка</x:v>
      </x:c>
    </x:row>
    <x:row r="5" ht="34" customHeight="1">
      <x:c r="A5" s="32" t="n">
        <x:v>1880</x:v>
      </x:c>
      <x:c r="B5" s="30" t="str">
        <x:v>Всё население (без групп)</x:v>
      </x:c>
      <x:c r="C5" s="32" t="n">
        <x:v>8796</x:v>
      </x:c>
      <x:c r="D5" s="32" t="n">
        <x:v>8095</x:v>
      </x:c>
      <x:c r="E5" s="30" t="str">
        <x:v>Semipalatinskaia-1880-1884(1).md; RAW PDF 21</x:v>
      </x:c>
      <x:c r="F5" s="30" t="str">
        <x:v>Категории по вере/территории, не по оседлости</x:v>
      </x:c>
    </x:row>
    <x:row r="6" ht="34" customHeight="1">
      <x:c r="A6" s="33" t="n">
        <x:v>1881</x:v>
      </x:c>
      <x:c r="B6" s="26" t="str">
        <x:v>Православные, города и уезды</x:v>
      </x:c>
      <x:c r="C6" s="33" t="n">
        <x:v>2019</x:v>
      </x:c>
      <x:c r="D6" s="33" t="n">
        <x:v>1401</x:v>
      </x:c>
      <x:c r="E6" s="26" t="str">
        <x:v>Semipalatinskaia-1880-1884(1).md; PDF 12</x:v>
      </x:c>
      <x:c r="F6" s="26" t="str">
        <x:v>Категории по вере/территории, не по оседлости</x:v>
      </x:c>
    </x:row>
    <x:row r="7" ht="34" customHeight="1">
      <x:c r="A7" s="32" t="n">
        <x:v>1881</x:v>
      </x:c>
      <x:c r="B7" s="30" t="str">
        <x:v>Мусульмане, города</x:v>
      </x:c>
      <x:c r="C7" s="32" t="n">
        <x:v>443</x:v>
      </x:c>
      <x:c r="D7" s="32" t="n">
        <x:v>606</x:v>
      </x:c>
      <x:c r="E7" s="30" t="str">
        <x:v>Semipalatinskaia-1880-1884(1).md; PDF 12–13</x:v>
      </x:c>
      <x:c r="F7" s="30" t="str">
        <x:v>Категории по вере/территории, не по оседлости</x:v>
      </x:c>
    </x:row>
    <x:row r="8" ht="34" customHeight="1">
      <x:c r="A8" s="33" t="n">
        <x:v>1881</x:v>
      </x:c>
      <x:c r="B8" s="26" t="str">
        <x:v>Мусульмане, уезды</x:v>
      </x:c>
      <x:c r="C8" s="33" t="n">
        <x:v>7773</x:v>
      </x:c>
      <x:c r="D8" s="33" t="n">
        <x:v>9130</x:v>
      </x:c>
      <x:c r="E8" s="26" t="str">
        <x:v>Semipalatinskaia-1880-1884(1).md; PDF 13</x:v>
      </x:c>
      <x:c r="F8" s="26" t="str">
        <x:v>Категории по вере/территории, не по оседлости</x:v>
      </x:c>
    </x:row>
    <x:row r="9" ht="34" customHeight="1">
      <x:c r="A9" s="32" t="n">
        <x:v>1882</x:v>
      </x:c>
      <x:c r="B9" s="30" t="str">
        <x:v>Православные, города и уезды</x:v>
      </x:c>
      <x:c r="C9" s="32" t="n">
        <x:v>2005</x:v>
      </x:c>
      <x:c r="D9" s="32" t="n">
        <x:v>1232</x:v>
      </x:c>
      <x:c r="E9" s="30" t="str">
        <x:v>Semipalatinskaia-1880-1884(1).md; PDF 26</x:v>
      </x:c>
      <x:c r="F9" s="30" t="str">
        <x:v>Категории по вере/территории, не по оседлости</x:v>
      </x:c>
    </x:row>
    <x:row r="10" ht="34" customHeight="1">
      <x:c r="A10" s="33" t="n">
        <x:v>1882</x:v>
      </x:c>
      <x:c r="B10" s="26" t="str">
        <x:v>Мусульмане, города</x:v>
      </x:c>
      <x:c r="C10" s="33" t="n">
        <x:v>428</x:v>
      </x:c>
      <x:c r="D10" s="33" t="n">
        <x:v>496</x:v>
      </x:c>
      <x:c r="E10" s="26" t="str">
        <x:v>Semipalatinskaia-1880-1884(1).md; PDF 27</x:v>
      </x:c>
      <x:c r="F10" s="26" t="str">
        <x:v>Категории по вере/территории, не по оседлости</x:v>
      </x:c>
    </x:row>
    <x:row r="11" ht="34" customHeight="1">
      <x:c r="A11" s="32" t="n">
        <x:v>1882</x:v>
      </x:c>
      <x:c r="B11" s="30" t="str">
        <x:v>Мусульмане, уезды</x:v>
      </x:c>
      <x:c r="C11" s="32" t="n">
        <x:v>8109</x:v>
      </x:c>
      <x:c r="D11" s="32" t="n">
        <x:v>6831</x:v>
      </x:c>
      <x:c r="E11" s="30" t="str">
        <x:v>Semipalatinskaia-1880-1884(1).md; PDF 27</x:v>
      </x:c>
      <x:c r="F11" s="30" t="str">
        <x:v>Категории по вере/территории, не по оседлости</x:v>
      </x:c>
    </x:row>
    <x:row r="12" ht="34" customHeight="1">
      <x:c r="A12" s="33" t="n">
        <x:v>1883</x:v>
      </x:c>
      <x:c r="B12" s="26" t="str">
        <x:v>Православные, города</x:v>
      </x:c>
      <x:c r="C12" s="33" t="n">
        <x:v>1076</x:v>
      </x:c>
      <x:c r="D12" s="33" t="n">
        <x:v>865</x:v>
      </x:c>
      <x:c r="E12" s="26" t="str">
        <x:v>Semipalatinskaia-1880-1884(1).md; RAW PDF 41–42</x:v>
      </x:c>
      <x:c r="F12" s="26" t="str">
        <x:v>Предварительная транскрипция; суммы расходятся с итогом</x:v>
      </x:c>
    </x:row>
    <x:row r="13" ht="34" customHeight="1">
      <x:c r="A13" s="32" t="n">
        <x:v>1883</x:v>
      </x:c>
      <x:c r="B13" s="30" t="str">
        <x:v>Православные, уезды</x:v>
      </x:c>
      <x:c r="C13" s="32" t="n">
        <x:v>1113</x:v>
      </x:c>
      <x:c r="D13" s="32" t="n">
        <x:v>802</x:v>
      </x:c>
      <x:c r="E13" s="30" t="str">
        <x:v>Semipalatinskaia-1880-1884(1).md; RAW PDF 42</x:v>
      </x:c>
      <x:c r="F13" s="30" t="str">
        <x:v>Предварительная транскрипция; суммы расходятся с итогом</x:v>
      </x:c>
    </x:row>
    <x:row r="14" ht="34" customHeight="1">
      <x:c r="A14" s="33" t="n">
        <x:v>1883</x:v>
      </x:c>
      <x:c r="B14" s="26" t="str">
        <x:v>Мусульмане, города</x:v>
      </x:c>
      <x:c r="C14" s="33" t="n">
        <x:v>445</x:v>
      </x:c>
      <x:c r="D14" s="33" t="n">
        <x:v>403</x:v>
      </x:c>
      <x:c r="E14" s="26" t="str">
        <x:v>Semipalatinskaia-1880-1884(1).md; RAW PDF 42</x:v>
      </x:c>
      <x:c r="F14" s="26" t="str">
        <x:v>Предварительная транскрипция; суммы расходятся с итогом</x:v>
      </x:c>
    </x:row>
    <x:row r="15" ht="34" customHeight="1">
      <x:c r="A15" s="32" t="n">
        <x:v>1883</x:v>
      </x:c>
      <x:c r="B15" s="30" t="str">
        <x:v>Мусульмане, уезды</x:v>
      </x:c>
      <x:c r="C15" s="32" t="n">
        <x:v>6543</x:v>
      </x:c>
      <x:c r="D15" s="32" t="n">
        <x:v>6309</x:v>
      </x:c>
      <x:c r="E15" s="30" t="str">
        <x:v>Semipalatinskaia-1880-1884(1).md; RAW PDF 43</x:v>
      </x:c>
      <x:c r="F15" s="30" t="str">
        <x:v>Предварительная транскрипция; суммы расходятся с итогом</x:v>
      </x:c>
    </x:row>
    <x:row r="16" ht="34" customHeight="1">
      <x:c r="A16" s="33" t="n">
        <x:v>1884</x:v>
      </x:c>
      <x:c r="B16" s="26" t="str">
        <x:v>Православные, города</x:v>
      </x:c>
      <x:c r="C16" s="33" t="n">
        <x:v>1035</x:v>
      </x:c>
      <x:c r="D16" s="33" t="n">
        <x:v>608</x:v>
      </x:c>
      <x:c r="E16" s="26" t="str">
        <x:v>Semipalatinskaia-1880-1884(1).md; PDF 27–28</x:v>
      </x:c>
      <x:c r="F16" s="26" t="str">
        <x:v>Категории по вере/территории, не по оседлости</x:v>
      </x:c>
    </x:row>
    <x:row r="17" ht="34" customHeight="1">
      <x:c r="A17" s="32" t="n">
        <x:v>1884</x:v>
      </x:c>
      <x:c r="B17" s="30" t="str">
        <x:v>Православные, уезды</x:v>
      </x:c>
      <x:c r="C17" s="32" t="n">
        <x:v>1234</x:v>
      </x:c>
      <x:c r="D17" s="32" t="n">
        <x:v>703</x:v>
      </x:c>
      <x:c r="E17" s="30" t="str">
        <x:v>Semipalatinskaia-1880-1884(1).md; PDF 28</x:v>
      </x:c>
      <x:c r="F17" s="30" t="str">
        <x:v>Категории по вере/территории, не по оседлости</x:v>
      </x:c>
    </x:row>
    <x:row r="18" ht="34" customHeight="1">
      <x:c r="A18" s="33" t="n">
        <x:v>1884</x:v>
      </x:c>
      <x:c r="B18" s="26" t="str">
        <x:v>Мусульмане, города</x:v>
      </x:c>
      <x:c r="C18" s="33" t="n">
        <x:v>442</x:v>
      </x:c>
      <x:c r="D18" s="33" t="n">
        <x:v>323</x:v>
      </x:c>
      <x:c r="E18" s="26" t="str">
        <x:v>Semipalatinskaia-1880-1884(1).md; PDF 28</x:v>
      </x:c>
      <x:c r="F18" s="26" t="str">
        <x:v>Категории по вере/территории, не по оседлости</x:v>
      </x:c>
    </x:row>
    <x:row r="19" ht="34" customHeight="1">
      <x:c r="A19" s="32" t="n">
        <x:v>1884</x:v>
      </x:c>
      <x:c r="B19" s="30" t="str">
        <x:v>Мусульмане, уезды</x:v>
      </x:c>
      <x:c r="C19" s="32" t="n">
        <x:v>6507</x:v>
      </x:c>
      <x:c r="D19" s="32" t="n">
        <x:v>5198</x:v>
      </x:c>
      <x:c r="E19" s="30" t="str">
        <x:v>Semipalatinskaia-1880-1884(1).md; PDF 28–29</x:v>
      </x:c>
      <x:c r="F19" s="30" t="str">
        <x:v>Категории по вере/территории, не по оседлости</x:v>
      </x:c>
    </x:row>
    <x:row r="20" ht="34" customHeight="1">
      <x:c r="A20" s="33" t="n">
        <x:v>1885</x:v>
      </x:c>
      <x:c r="B20" s="26" t="str">
        <x:v>Православные, города</x:v>
      </x:c>
      <x:c r="C20" s="33" t="n">
        <x:v>1016</x:v>
      </x:c>
      <x:c r="D20" s="33" t="n">
        <x:v>726</x:v>
      </x:c>
      <x:c r="E20" s="26" t="str">
        <x:v>Semipalatinskaia-1885-1889(1).md; PDF 31</x:v>
      </x:c>
      <x:c r="F20" s="26" t="str">
        <x:v>Категории по вере/территории, не по оседлости</x:v>
      </x:c>
    </x:row>
    <x:row r="21" ht="34" customHeight="1">
      <x:c r="A21" s="32" t="n">
        <x:v>1885</x:v>
      </x:c>
      <x:c r="B21" s="30" t="str">
        <x:v>Православные, уезды</x:v>
      </x:c>
      <x:c r="C21" s="32" t="n">
        <x:v>1235</x:v>
      </x:c>
      <x:c r="D21" s="32" t="n">
        <x:v>756</x:v>
      </x:c>
      <x:c r="E21" s="30" t="str">
        <x:v>Semipalatinskaia-1885-1889(1).md; PDF 32</x:v>
      </x:c>
      <x:c r="F21" s="30" t="str">
        <x:v>Категории по вере/территории, не по оседлости</x:v>
      </x:c>
    </x:row>
    <x:row r="22" ht="34" customHeight="1">
      <x:c r="A22" s="33" t="n">
        <x:v>1885</x:v>
      </x:c>
      <x:c r="B22" s="26" t="str">
        <x:v>Мусульмане, города</x:v>
      </x:c>
      <x:c r="C22" s="33" t="n">
        <x:v>416</x:v>
      </x:c>
      <x:c r="D22" s="33" t="n">
        <x:v>603</x:v>
      </x:c>
      <x:c r="E22" s="26" t="str">
        <x:v>Semipalatinskaia-1885-1889(1).md; PDF 32</x:v>
      </x:c>
      <x:c r="F22" s="26" t="str">
        <x:v>Категории по вере/территории, не по оседлости</x:v>
      </x:c>
    </x:row>
    <x:row r="23" ht="34" customHeight="1">
      <x:c r="A23" s="32" t="n">
        <x:v>1885</x:v>
      </x:c>
      <x:c r="B23" s="30" t="str">
        <x:v>Мусульмане, уезды</x:v>
      </x:c>
      <x:c r="C23" s="32" t="n">
        <x:v>6183</x:v>
      </x:c>
      <x:c r="D23" s="32" t="n">
        <x:v>5770</x:v>
      </x:c>
      <x:c r="E23" s="30" t="str">
        <x:v>Semipalatinskaia-1885-1889(1).md; PDF 32</x:v>
      </x:c>
      <x:c r="F23" s="30" t="str">
        <x:v>Категории по вере/территории, не по оседлости</x:v>
      </x:c>
    </x:row>
    <x:row r="24" ht="34" customHeight="1">
      <x:c r="A24" s="33" t="n">
        <x:v>1885</x:v>
      </x:c>
      <x:c r="B24" s="26" t="str">
        <x:v>Католики, города</x:v>
      </x:c>
      <x:c r="C24" s="33" t="n">
        <x:v>1</x:v>
      </x:c>
      <x:c r="D24" s="33" t="n">
        <x:v>2</x:v>
      </x:c>
      <x:c r="E24" s="26" t="str">
        <x:v>Semipalatinskaia-1885-1889(1).md; PDF 32</x:v>
      </x:c>
      <x:c r="F24" s="26" t="str">
        <x:v>Категории по вере/территории, не по оседлости</x:v>
      </x:c>
    </x:row>
    <x:row r="25" ht="34" customHeight="1">
      <x:c r="A25" s="32" t="n">
        <x:v>1885</x:v>
      </x:c>
      <x:c r="B25" s="30" t="str">
        <x:v>Иудеи, города</x:v>
      </x:c>
      <x:c r="C25" s="32" t="n">
        <x:v>11</x:v>
      </x:c>
      <x:c r="D25" s="32" t="n">
        <x:v>2</x:v>
      </x:c>
      <x:c r="E25" s="30" t="str">
        <x:v>Semipalatinskaia-1885-1889(1).md; PDF 33</x:v>
      </x:c>
      <x:c r="F25" s="30" t="str">
        <x:v>Категории по вере/территории, не по оседлости</x:v>
      </x:c>
    </x:row>
    <x:row r="26" ht="34" customHeight="1">
      <x:c r="A26" s="33" t="n">
        <x:v>1886</x:v>
      </x:c>
      <x:c r="B26" s="26" t="str">
        <x:v>Православные, города</x:v>
      </x:c>
      <x:c r="C26" s="33" t="n">
        <x:v>1050</x:v>
      </x:c>
      <x:c r="D26" s="33" t="n">
        <x:v>686</x:v>
      </x:c>
      <x:c r="E26" s="26" t="str">
        <x:v>Semipalatinskaia-1885-1889(1).md; PDF 48</x:v>
      </x:c>
      <x:c r="F26" s="26" t="str">
        <x:v>Категории по вере/территории, не по оседлости</x:v>
      </x:c>
    </x:row>
    <x:row r="27" ht="34" customHeight="1">
      <x:c r="A27" s="32" t="n">
        <x:v>1886</x:v>
      </x:c>
      <x:c r="B27" s="30" t="str">
        <x:v>Православные, уезды</x:v>
      </x:c>
      <x:c r="C27" s="32" t="n">
        <x:v>1243</x:v>
      </x:c>
      <x:c r="D27" s="32" t="n">
        <x:v>840</x:v>
      </x:c>
      <x:c r="E27" s="30" t="str">
        <x:v>Semipalatinskaia-1885-1889(1).md; PDF 48</x:v>
      </x:c>
      <x:c r="F27" s="30" t="str">
        <x:v>Категории по вере/территории, не по оседлости</x:v>
      </x:c>
    </x:row>
    <x:row r="28" ht="34" customHeight="1">
      <x:c r="A28" s="33" t="n">
        <x:v>1886</x:v>
      </x:c>
      <x:c r="B28" s="26" t="str">
        <x:v>Мусульмане, города</x:v>
      </x:c>
      <x:c r="C28" s="33" t="n">
        <x:v>439</x:v>
      </x:c>
      <x:c r="D28" s="33" t="n">
        <x:v>760</x:v>
      </x:c>
      <x:c r="E28" s="26" t="str">
        <x:v>Semipalatinskaia-1885-1889(1).md; PDF 48</x:v>
      </x:c>
      <x:c r="F28" s="26" t="str">
        <x:v>Категории по вере/территории, не по оседлости</x:v>
      </x:c>
    </x:row>
    <x:row r="29" ht="34" customHeight="1">
      <x:c r="A29" s="32" t="n">
        <x:v>1886</x:v>
      </x:c>
      <x:c r="B29" s="30" t="str">
        <x:v>Мусульмане, уезды</x:v>
      </x:c>
      <x:c r="C29" s="32" t="n">
        <x:v>6510</x:v>
      </x:c>
      <x:c r="D29" s="32" t="n">
        <x:v>6355</x:v>
      </x:c>
      <x:c r="E29" s="30" t="str">
        <x:v>Semipalatinskaia-1885-1889(1).md; PDF 49</x:v>
      </x:c>
      <x:c r="F29" s="30" t="str">
        <x:v>Категории по вере/территории, не по оседлости</x:v>
      </x:c>
    </x:row>
    <x:row r="30" ht="34" customHeight="1">
      <x:c r="A30" s="33" t="n">
        <x:v>1886</x:v>
      </x:c>
      <x:c r="B30" s="26" t="str">
        <x:v>Иудеи, города</x:v>
      </x:c>
      <x:c r="C30" s="33" t="n">
        <x:v>10</x:v>
      </x:c>
      <x:c r="D30" s="33" t="n">
        <x:v>5</x:v>
      </x:c>
      <x:c r="E30" s="26" t="str">
        <x:v>Semipalatinskaia-1885-1889(1).md; PDF 49</x:v>
      </x:c>
      <x:c r="F30" s="26" t="str">
        <x:v>Категории по вере/территории, не по оседлости</x:v>
      </x:c>
    </x:row>
    <x:row r="31" ht="34" customHeight="1">
      <x:c r="A31" s="32" t="n">
        <x:v>1887</x:v>
      </x:c>
      <x:c r="B31" s="30" t="str">
        <x:v>Православные, города</x:v>
      </x:c>
      <x:c r="C31" s="32" t="n">
        <x:v>1090</x:v>
      </x:c>
      <x:c r="D31" s="32" t="n">
        <x:v>674</x:v>
      </x:c>
      <x:c r="E31" s="30" t="str">
        <x:v>Semipalatinskaia-1885-1889(1).md; PDF 62</x:v>
      </x:c>
      <x:c r="F31" s="30" t="str">
        <x:v>В исходнике варианты общего числа смертей 8327 / 8329</x:v>
      </x:c>
    </x:row>
    <x:row r="32" ht="34" customHeight="1">
      <x:c r="A32" s="33" t="n">
        <x:v>1887</x:v>
      </x:c>
      <x:c r="B32" s="26" t="str">
        <x:v>Православные, уезды</x:v>
      </x:c>
      <x:c r="C32" s="33" t="n">
        <x:v>1350</x:v>
      </x:c>
      <x:c r="D32" s="33" t="n">
        <x:v>838</x:v>
      </x:c>
      <x:c r="E32" s="26" t="str">
        <x:v>Semipalatinskaia-1885-1889(1).md; PDF 62</x:v>
      </x:c>
      <x:c r="F32" s="26" t="str">
        <x:v>В исходнике варианты общего числа смертей 8327 / 8329</x:v>
      </x:c>
    </x:row>
    <x:row r="33" ht="34" customHeight="1">
      <x:c r="A33" s="32" t="n">
        <x:v>1887</x:v>
      </x:c>
      <x:c r="B33" s="30" t="str">
        <x:v>Мусульмане, города</x:v>
      </x:c>
      <x:c r="C33" s="32" t="n">
        <x:v>427</x:v>
      </x:c>
      <x:c r="D33" s="32" t="n">
        <x:v>623</x:v>
      </x:c>
      <x:c r="E33" s="30" t="str">
        <x:v>Semipalatinskaia-1885-1889(1).md; PDF 62</x:v>
      </x:c>
      <x:c r="F33" s="30" t="str">
        <x:v>В исходнике варианты общего числа смертей 8327 / 8329</x:v>
      </x:c>
    </x:row>
    <x:row r="34" ht="34" customHeight="1">
      <x:c r="A34" s="33" t="n">
        <x:v>1887</x:v>
      </x:c>
      <x:c r="B34" s="26" t="str">
        <x:v>Мусульмане, уезды</x:v>
      </x:c>
      <x:c r="C34" s="33" t="n">
        <x:v>6595</x:v>
      </x:c>
      <x:c r="D34" s="33" t="n">
        <x:v>6192</x:v>
      </x:c>
      <x:c r="E34" s="26" t="str">
        <x:v>Semipalatinskaia-1885-1889(1).md; PDF 63</x:v>
      </x:c>
      <x:c r="F34" s="26" t="str">
        <x:v>В исходнике варианты общего числа смертей 8327 / 8329</x:v>
      </x:c>
    </x:row>
    <x:row r="35" ht="34" customHeight="1">
      <x:c r="A35" s="32" t="n">
        <x:v>1887</x:v>
      </x:c>
      <x:c r="B35" s="30" t="str">
        <x:v>Иудеи, города</x:v>
      </x:c>
      <x:c r="C35" s="32" t="n">
        <x:v>8</x:v>
      </x:c>
      <x:c r="D35" s="32" t="n">
        <x:v>2</x:v>
      </x:c>
      <x:c r="E35" s="30" t="str">
        <x:v>Semipalatinskaia-1885-1889(1).md; PDF 63</x:v>
      </x:c>
      <x:c r="F35" s="30" t="str">
        <x:v>В исходнике варианты общего числа смертей 8327 / 8329</x:v>
      </x:c>
    </x:row>
    <x:row r="36" ht="34" customHeight="1">
      <x:c r="A36" s="33" t="n">
        <x:v>1888</x:v>
      </x:c>
      <x:c r="B36" s="26" t="str">
        <x:v>Православные, города</x:v>
      </x:c>
      <x:c r="C36" s="33" t="n">
        <x:v>1166</x:v>
      </x:c>
      <x:c r="D36" s="33" t="n">
        <x:v>957</x:v>
      </x:c>
      <x:c r="E36" s="26" t="str">
        <x:v>Semipalatinskaia-1885-1889(1).md; PDF 69</x:v>
      </x:c>
      <x:c r="F36" s="26" t="str">
        <x:v>Категории по вере/территории, не по оседлости</x:v>
      </x:c>
    </x:row>
    <x:row r="37" ht="34" customHeight="1">
      <x:c r="A37" s="32" t="n">
        <x:v>1888</x:v>
      </x:c>
      <x:c r="B37" s="30" t="str">
        <x:v>Православные, уезды</x:v>
      </x:c>
      <x:c r="C37" s="32" t="n">
        <x:v>1249</x:v>
      </x:c>
      <x:c r="D37" s="32" t="n">
        <x:v>952</x:v>
      </x:c>
      <x:c r="E37" s="30" t="str">
        <x:v>Semipalatinskaia-1885-1889(1).md; PDF 70</x:v>
      </x:c>
      <x:c r="F37" s="30" t="str">
        <x:v>Категории по вере/территории, не по оседлости</x:v>
      </x:c>
    </x:row>
    <x:row r="38" ht="34" customHeight="1">
      <x:c r="A38" s="33" t="n">
        <x:v>1888</x:v>
      </x:c>
      <x:c r="B38" s="26" t="str">
        <x:v>Мусульмане, города</x:v>
      </x:c>
      <x:c r="C38" s="33" t="n">
        <x:v>462</x:v>
      </x:c>
      <x:c r="D38" s="33" t="n">
        <x:v>502</x:v>
      </x:c>
      <x:c r="E38" s="26" t="str">
        <x:v>Semipalatinskaia-1885-1889(1).md; PDF 70</x:v>
      </x:c>
      <x:c r="F38" s="26" t="str">
        <x:v>Категории по вере/территории, не по оседлости</x:v>
      </x:c>
    </x:row>
    <x:row r="39" ht="34" customHeight="1">
      <x:c r="A39" s="32" t="n">
        <x:v>1888</x:v>
      </x:c>
      <x:c r="B39" s="30" t="str">
        <x:v>Мусульмане, уезды</x:v>
      </x:c>
      <x:c r="C39" s="32" t="n">
        <x:v>7123</x:v>
      </x:c>
      <x:c r="D39" s="32" t="n">
        <x:v>7342</x:v>
      </x:c>
      <x:c r="E39" s="30" t="str">
        <x:v>Semipalatinskaia-1885-1889(1).md; PDF 71</x:v>
      </x:c>
      <x:c r="F39" s="30" t="str">
        <x:v>Категории по вере/территории, не по оседлости</x:v>
      </x:c>
    </x:row>
    <x:row r="40" ht="34" customHeight="1">
      <x:c r="A40" s="33" t="n">
        <x:v>1888</x:v>
      </x:c>
      <x:c r="B40" s="26" t="str">
        <x:v>Католики, города</x:v>
      </x:c>
      <x:c r="C40" s="33" t="n">
        <x:v>1</x:v>
      </x:c>
      <x:c r="D40" s="33" t="n">
        <x:v>1</x:v>
      </x:c>
      <x:c r="E40" s="26" t="str">
        <x:v>Semipalatinskaia-1885-1889(1).md; PDF 71</x:v>
      </x:c>
      <x:c r="F40" s="26" t="str">
        <x:v>Категории по вере/территории, не по оседлости</x:v>
      </x:c>
    </x:row>
    <x:row r="41" ht="34" customHeight="1">
      <x:c r="A41" s="32" t="n">
        <x:v>1888</x:v>
      </x:c>
      <x:c r="B41" s="30" t="str">
        <x:v>Иудеи, города</x:v>
      </x:c>
      <x:c r="C41" s="32" t="n">
        <x:v>11</x:v>
      </x:c>
      <x:c r="D41" s="32" t="n">
        <x:v>7</x:v>
      </x:c>
      <x:c r="E41" s="30" t="str">
        <x:v>Semipalatinskaia-1885-1889(1).md; PDF 71</x:v>
      </x:c>
      <x:c r="F41" s="30" t="str">
        <x:v>Категории по вере/территории, не по оседлости</x:v>
      </x:c>
    </x:row>
    <x:row r="42" ht="34" customHeight="1">
      <x:c r="A42" s="33" t="n">
        <x:v>1890</x:v>
      </x:c>
      <x:c r="B42" s="26" t="str">
        <x:v>Православные, города</x:v>
      </x:c>
      <x:c r="C42" s="33" t="n">
        <x:v>1227</x:v>
      </x:c>
      <x:c r="D42" s="33" t="n">
        <x:v>891</x:v>
      </x:c>
      <x:c r="E42" s="26" t="str">
        <x:v>Semipalatinskaia-1890-1894(1).md; PDF 81</x:v>
      </x:c>
      <x:c r="F42" s="26" t="str">
        <x:v>Категории по вере/территории, не по оседлости</x:v>
      </x:c>
    </x:row>
    <x:row r="43" ht="34" customHeight="1">
      <x:c r="A43" s="32" t="n">
        <x:v>1890</x:v>
      </x:c>
      <x:c r="B43" s="30" t="str">
        <x:v>Православные, уезды</x:v>
      </x:c>
      <x:c r="C43" s="32" t="n">
        <x:v>1184</x:v>
      </x:c>
      <x:c r="D43" s="32" t="n">
        <x:v>654</x:v>
      </x:c>
      <x:c r="E43" s="30" t="str">
        <x:v>Semipalatinskaia-1890-1894(1).md; PDF 81–82</x:v>
      </x:c>
      <x:c r="F43" s="30" t="str">
        <x:v>Категории по вере/территории, не по оседлости</x:v>
      </x:c>
    </x:row>
    <x:row r="44" ht="34" customHeight="1">
      <x:c r="A44" s="33" t="n">
        <x:v>1890</x:v>
      </x:c>
      <x:c r="B44" s="26" t="str">
        <x:v>Мусульмане, города</x:v>
      </x:c>
      <x:c r="C44" s="33" t="n">
        <x:v>387</x:v>
      </x:c>
      <x:c r="D44" s="33" t="n">
        <x:v>302</x:v>
      </x:c>
      <x:c r="E44" s="26" t="str">
        <x:v>Semipalatinskaia-1890-1894(1).md; PDF 82</x:v>
      </x:c>
      <x:c r="F44" s="26" t="str">
        <x:v>Категории по вере/территории, не по оседлости</x:v>
      </x:c>
    </x:row>
    <x:row r="45" ht="34" customHeight="1">
      <x:c r="A45" s="32" t="n">
        <x:v>1890</x:v>
      </x:c>
      <x:c r="B45" s="30" t="str">
        <x:v>Мусульмане, уезды</x:v>
      </x:c>
      <x:c r="C45" s="32" t="n">
        <x:v>7229</x:v>
      </x:c>
      <x:c r="D45" s="32" t="n">
        <x:v>5588</x:v>
      </x:c>
      <x:c r="E45" s="30" t="str">
        <x:v>Semipalatinskaia-1890-1894(1).md; PDF 83</x:v>
      </x:c>
      <x:c r="F45" s="30" t="str">
        <x:v>Категории по вере/территории, не по оседлости</x:v>
      </x:c>
    </x:row>
    <x:row r="46" ht="34" customHeight="1">
      <x:c r="A46" s="33" t="n">
        <x:v>1894</x:v>
      </x:c>
      <x:c r="B46" s="26" t="str">
        <x:v>Православные, города</x:v>
      </x:c>
      <x:c r="C46" s="33" t="n">
        <x:v>1416</x:v>
      </x:c>
      <x:c r="D46" s="33" t="n">
        <x:v>1034</x:v>
      </x:c>
      <x:c r="E46" s="26" t="str">
        <x:v>Semipalatinskaia-1890-1894(1).md; PDF 27</x:v>
      </x:c>
      <x:c r="F46" s="26" t="str">
        <x:v>Категории по вере/территории, не по оседлости</x:v>
      </x:c>
    </x:row>
    <x:row r="47" ht="34" customHeight="1">
      <x:c r="A47" s="32" t="n">
        <x:v>1894</x:v>
      </x:c>
      <x:c r="B47" s="30" t="str">
        <x:v>Православные, уезды</x:v>
      </x:c>
      <x:c r="C47" s="32" t="n">
        <x:v>1648</x:v>
      </x:c>
      <x:c r="D47" s="32" t="n">
        <x:v>880</x:v>
      </x:c>
      <x:c r="E47" s="30" t="str">
        <x:v>Semipalatinskaia-1890-1894(1).md; PDF 27</x:v>
      </x:c>
      <x:c r="F47" s="30" t="str">
        <x:v>Категории по вере/территории, не по оседлости</x:v>
      </x:c>
    </x:row>
    <x:row r="48" ht="34" customHeight="1">
      <x:c r="A48" s="33" t="n">
        <x:v>1894</x:v>
      </x:c>
      <x:c r="B48" s="26" t="str">
        <x:v>Мусульмане, города</x:v>
      </x:c>
      <x:c r="C48" s="33" t="n">
        <x:v>482</x:v>
      </x:c>
      <x:c r="D48" s="33" t="n">
        <x:v>594</x:v>
      </x:c>
      <x:c r="E48" s="26" t="str">
        <x:v>Semipalatinskaia-1890-1894(1).md; PDF 28</x:v>
      </x:c>
      <x:c r="F48" s="26" t="str">
        <x:v>Категории по вере/территории, не по оседлости</x:v>
      </x:c>
    </x:row>
    <x:row r="49" ht="34" customHeight="1">
      <x:c r="A49" s="32" t="n">
        <x:v>1894</x:v>
      </x:c>
      <x:c r="B49" s="30" t="str">
        <x:v>Мусульмане, уезды</x:v>
      </x:c>
      <x:c r="C49" s="32" t="n">
        <x:v>7034</x:v>
      </x:c>
      <x:c r="D49" s="32" t="n">
        <x:v>5965</x:v>
      </x:c>
      <x:c r="E49" s="30" t="str">
        <x:v>Semipalatinskaia-1890-1894(1).md; PDF 28</x:v>
      </x:c>
      <x:c r="F49" s="30" t="str">
        <x:v>Категории по вере/территории, не по оседлости</x:v>
      </x:c>
    </x:row>
    <x:row r="50" ht="34" customHeight="1">
      <x:c r="A50" s="33" t="n">
        <x:v>1900</x:v>
      </x:c>
      <x:c r="B50" s="26" t="str">
        <x:v>Православные, города</x:v>
      </x:c>
      <x:c r="C50" s="33" t="n">
        <x:v>2160</x:v>
      </x:c>
      <x:c r="D50" s="33" t="n">
        <x:v>1657</x:v>
      </x:c>
      <x:c r="E50" s="26" t="str">
        <x:v>Semipalatinskaia-1900-1904(1).md; PDF 94–95</x:v>
      </x:c>
      <x:c r="F50" s="26" t="str">
        <x:v>Категории по вере/территории, не по оседлости</x:v>
      </x:c>
    </x:row>
    <x:row r="51" ht="34" customHeight="1">
      <x:c r="A51" s="32" t="n">
        <x:v>1900</x:v>
      </x:c>
      <x:c r="B51" s="30" t="str">
        <x:v>Православные, уезды</x:v>
      </x:c>
      <x:c r="C51" s="32" t="n">
        <x:v>2400</x:v>
      </x:c>
      <x:c r="D51" s="32" t="n">
        <x:v>1433</x:v>
      </x:c>
      <x:c r="E51" s="30" t="str">
        <x:v>Semipalatinskaia-1900-1904(1).md; PDF 94–95</x:v>
      </x:c>
      <x:c r="F51" s="30" t="str">
        <x:v>Категории по вере/территории, не по оседлости</x:v>
      </x:c>
    </x:row>
    <x:row r="52" ht="34" customHeight="1">
      <x:c r="A52" s="33" t="n">
        <x:v>1900</x:v>
      </x:c>
      <x:c r="B52" s="26" t="str">
        <x:v>Мусульмане, города</x:v>
      </x:c>
      <x:c r="C52" s="33" t="n">
        <x:v>530</x:v>
      </x:c>
      <x:c r="D52" s="33" t="n">
        <x:v>432</x:v>
      </x:c>
      <x:c r="E52" s="26" t="str">
        <x:v>Semipalatinskaia-1900-1904(1).md; PDF 94–95</x:v>
      </x:c>
      <x:c r="F52" s="26" t="str">
        <x:v>Категории по вере/территории, не по оседлости</x:v>
      </x:c>
    </x:row>
    <x:row r="53" ht="34" customHeight="1">
      <x:c r="A53" s="32" t="n">
        <x:v>1900</x:v>
      </x:c>
      <x:c r="B53" s="30" t="str">
        <x:v>Мусульмане, уезды</x:v>
      </x:c>
      <x:c r="C53" s="32" t="n">
        <x:v>10070</x:v>
      </x:c>
      <x:c r="D53" s="32" t="n">
        <x:v>8007</x:v>
      </x:c>
      <x:c r="E53" s="30" t="str">
        <x:v>Semipalatinskaia-1900-1904(1).md; PDF 94–95</x:v>
      </x:c>
      <x:c r="F53" s="30" t="str">
        <x:v>Категории по вере/территории, не по оседлости</x:v>
      </x:c>
    </x:row>
    <x:row r="54" ht="34" customHeight="1">
      <x:c r="A54" s="33" t="n">
        <x:v>1895</x:v>
      </x:c>
      <x:c r="B54" s="26" t="str">
        <x:v>Православные (всего)</x:v>
      </x:c>
      <x:c r="C54" s="33" t="n">
        <x:v>3400</x:v>
      </x:c>
      <x:c r="D54" s="33" t="n">
        <x:v>2525</x:v>
      </x:c>
      <x:c r="E54" s="26" t="str">
        <x:v>Semipalatinskaia-1895-1899(2).md; PDF 65–67</x:v>
      </x:c>
      <x:c r="F54" s="26" t="str">
        <x:v>Категории по вере/территории, не по оседлости</x:v>
      </x:c>
    </x:row>
    <x:row r="55" ht="34" customHeight="1">
      <x:c r="A55" s="32" t="n">
        <x:v>1895</x:v>
      </x:c>
      <x:c r="B55" s="30" t="str">
        <x:v>Мусульмане (всего)</x:v>
      </x:c>
      <x:c r="C55" s="32" t="n">
        <x:v>7998</x:v>
      </x:c>
      <x:c r="D55" s="32" t="n">
        <x:v>5772</x:v>
      </x:c>
      <x:c r="E55" s="30" t="str">
        <x:v>Semipalatinskaia-1895-1899(2).md; PDF 65–67</x:v>
      </x:c>
      <x:c r="F55" s="30" t="str">
        <x:v>Категории по вере/территории, не по оседлости</x:v>
      </x:c>
    </x:row>
    <x:row r="56" ht="34" customHeight="1">
      <x:c r="A56" s="33" t="n">
        <x:v>1896</x:v>
      </x:c>
      <x:c r="B56" s="26" t="str">
        <x:v>Православные (всего)</x:v>
      </x:c>
      <x:c r="C56" s="33" t="n">
        <x:v>3834</x:v>
      </x:c>
      <x:c r="D56" s="33" t="n">
        <x:v>2411</x:v>
      </x:c>
      <x:c r="E56" s="26" t="str">
        <x:v>Semipalatinskaia-1895-1899(2).md; PDF 33–35</x:v>
      </x:c>
      <x:c r="F56" s="26" t="str">
        <x:v>Категории по вере/территории, не по оседлости</x:v>
      </x:c>
    </x:row>
    <x:row r="57" ht="34" customHeight="1">
      <x:c r="A57" s="32" t="n">
        <x:v>1896</x:v>
      </x:c>
      <x:c r="B57" s="30" t="str">
        <x:v>Мусульмане (всего)</x:v>
      </x:c>
      <x:c r="C57" s="32" t="n">
        <x:v>8862</x:v>
      </x:c>
      <x:c r="D57" s="32" t="n">
        <x:v>7297</x:v>
      </x:c>
      <x:c r="E57" s="30" t="str">
        <x:v>Semipalatinskaia-1895-1899(2).md; PDF 33–35</x:v>
      </x:c>
      <x:c r="F57" s="30" t="str">
        <x:v>Категории по вере/территории, не по оседлости</x:v>
      </x:c>
    </x:row>
    <x:row r="58" ht="34" customHeight="1">
      <x:c r="A58" s="33" t="n">
        <x:v>1896</x:v>
      </x:c>
      <x:c r="B58" s="26" t="str">
        <x:v>Прочие вероисповедания (всего)</x:v>
      </x:c>
      <x:c r="C58" s="33" t="n">
        <x:v>0</x:v>
      </x:c>
      <x:c r="D58" s="33" t="n">
        <x:v>5</x:v>
      </x:c>
      <x:c r="E58" s="26" t="str">
        <x:v>Semipalatinskaia-1895-1899(2).md; PDF 33–35</x:v>
      </x:c>
      <x:c r="F58" s="26" t="str">
        <x:v>Категории по вере/территории, не по оседлости</x:v>
      </x:c>
    </x:row>
    <x:row r="59" ht="34" customHeight="1">
      <x:c r="A59" s="32" t="n">
        <x:v>1897</x:v>
      </x:c>
      <x:c r="B59" s="30" t="str">
        <x:v>Православные (всего)</x:v>
      </x:c>
      <x:c r="C59" s="32" t="n">
        <x:v>3939</x:v>
      </x:c>
      <x:c r="D59" s="32" t="n">
        <x:v>1791</x:v>
      </x:c>
      <x:c r="E59" s="30" t="str">
        <x:v>Semipalatinskaia-1895-1899(2).md; PDF 47–49</x:v>
      </x:c>
      <x:c r="F59" s="30" t="str">
        <x:v>Категории по вере/территории, не по оседлости</x:v>
      </x:c>
    </x:row>
    <x:row r="60" ht="34" customHeight="1">
      <x:c r="A60" s="33" t="n">
        <x:v>1897</x:v>
      </x:c>
      <x:c r="B60" s="26" t="str">
        <x:v>Мусульмане (всего)</x:v>
      </x:c>
      <x:c r="C60" s="33" t="n">
        <x:v>8684</x:v>
      </x:c>
      <x:c r="D60" s="33" t="n">
        <x:v>6426</x:v>
      </x:c>
      <x:c r="E60" s="26" t="str">
        <x:v>Semipalatinskaia-1895-1899(2).md; PDF 47–49</x:v>
      </x:c>
      <x:c r="F60" s="26" t="str">
        <x:v>Категории по вере/территории, не по оседлости</x:v>
      </x:c>
    </x:row>
    <x:row r="61" ht="34" customHeight="1">
      <x:c r="A61" s="32" t="n">
        <x:v>1897</x:v>
      </x:c>
      <x:c r="B61" s="30" t="str">
        <x:v>Прочие вероисповедания (всего)</x:v>
      </x:c>
      <x:c r="C61" s="32" t="n">
        <x:v>23</x:v>
      </x:c>
      <x:c r="D61" s="32" t="n">
        <x:v>2</x:v>
      </x:c>
      <x:c r="E61" s="30" t="str">
        <x:v>Semipalatinskaia-1895-1899(2).md; PDF 47–49</x:v>
      </x:c>
      <x:c r="F61" s="30" t="str">
        <x:v>Категории по вере/территории, не по оседлости</x:v>
      </x:c>
    </x:row>
    <x:row r="62" ht="34" customHeight="1">
      <x:c r="A62" s="33" t="n">
        <x:v>1898</x:v>
      </x:c>
      <x:c r="B62" s="26" t="str">
        <x:v>Православные (всего)</x:v>
      </x:c>
      <x:c r="C62" s="33" t="n">
        <x:v>3719</x:v>
      </x:c>
      <x:c r="D62" s="33" t="n">
        <x:v>2042</x:v>
      </x:c>
      <x:c r="E62" s="26" t="str">
        <x:v>Semipalatinskaia-1895-1899(2).md; PDF 51–53</x:v>
      </x:c>
      <x:c r="F62" s="26" t="str">
        <x:v>Категории по вере/территории, не по оседлости</x:v>
      </x:c>
    </x:row>
    <x:row r="63" ht="34" customHeight="1">
      <x:c r="A63" s="32" t="n">
        <x:v>1898</x:v>
      </x:c>
      <x:c r="B63" s="30" t="str">
        <x:v>Мусульмане (всего)</x:v>
      </x:c>
      <x:c r="C63" s="32" t="n">
        <x:v>7040</x:v>
      </x:c>
      <x:c r="D63" s="32" t="n">
        <x:v>6313</x:v>
      </x:c>
      <x:c r="E63" s="30" t="str">
        <x:v>Semipalatinskaia-1895-1899(2).md; PDF 51–53</x:v>
      </x:c>
      <x:c r="F63" s="30" t="str">
        <x:v>Категории по вере/территории, не по оседлости</x:v>
      </x:c>
    </x:row>
    <x:row r="64" ht="34" customHeight="1">
      <x:c r="A64" s="33" t="n">
        <x:v>1898</x:v>
      </x:c>
      <x:c r="B64" s="26" t="str">
        <x:v>Прочие вероисповедания (всего)</x:v>
      </x:c>
      <x:c r="C64" s="33" t="n">
        <x:v>8</x:v>
      </x:c>
      <x:c r="D64" s="33" t="n">
        <x:v>6</x:v>
      </x:c>
      <x:c r="E64" s="26" t="str">
        <x:v>Semipalatinskaia-1895-1899(2).md; PDF 51–53</x:v>
      </x:c>
      <x:c r="F64" s="26" t="str">
        <x:v>Категории по вере/территории, не по оседлости</x:v>
      </x:c>
    </x:row>
    <x:row r="65" ht="34" customHeight="1">
      <x:c r="A65" s="32" t="n">
        <x:v>1899</x:v>
      </x:c>
      <x:c r="B65" s="30" t="str">
        <x:v>Православные (всего)</x:v>
      </x:c>
      <x:c r="C65" s="32" t="n">
        <x:v>4333</x:v>
      </x:c>
      <x:c r="D65" s="32" t="n">
        <x:v>2361</x:v>
      </x:c>
      <x:c r="E65" s="30" t="str">
        <x:v>Semipalatinskaia-1895-1899(2).md; PDF 86–87</x:v>
      </x:c>
      <x:c r="F65" s="30" t="str">
        <x:v>Категории по вере/территории, не по оседлости</x:v>
      </x:c>
    </x:row>
    <x:row r="66" ht="34" customHeight="1">
      <x:c r="A66" s="33" t="n">
        <x:v>1899</x:v>
      </x:c>
      <x:c r="B66" s="26" t="str">
        <x:v>Мусульмане (всего)</x:v>
      </x:c>
      <x:c r="C66" s="33" t="n">
        <x:v>10975</x:v>
      </x:c>
      <x:c r="D66" s="33" t="n">
        <x:v>9670</x:v>
      </x:c>
      <x:c r="E66" s="26" t="str">
        <x:v>Semipalatinskaia-1895-1899(2).md; PDF 86–87</x:v>
      </x:c>
      <x:c r="F66" s="26" t="str">
        <x:v>Категории по вере/территории, не по оседлости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20" hidden="0" customWidth="1"/>
    <x:col min="4" max="4" width="18" hidden="0" customWidth="1"/>
    <x:col min="5" max="5" width="23" hidden="0" customWidth="1"/>
    <x:col min="6" max="6" width="32" hidden="0" customWidth="1"/>
    <x:col min="7" max="7" width="29" hidden="0" customWidth="1"/>
    <x:col min="8" max="8" width="14" hidden="0" customWidth="1"/>
    <x:col min="9" max="9" width="22" hidden="0" customWidth="1"/>
    <x:col min="10" max="10" width="25" hidden="0" customWidth="1"/>
    <x:col min="11" max="11" width="24" hidden="0" customWidth="1"/>
    <x:col min="12" max="12" width="26" hidden="0" customWidth="1"/>
    <x:col min="13" max="13" width="46" hidden="0" customWidth="1"/>
  </x:cols>
  <x:sheetData>
    <x:row r="1" ht="34" customHeight="1">
      <x:c r="A1" s="4" t="str">
        <x:v>Приписанные к волостям: распределение по месту пребывания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4" customHeight="1">
      <x:c r="A2" s="11" t="str">
        <x:v>Срез на конец года. Особенно в 1910–1911 гг. число «приписных» в этой таблице отличается от административной категории «киргизы».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46" customHeight="1">
      <x:c r="A4" s="19" t="str">
        <x:v>Год</x:v>
      </x:c>
      <x:c r="B4" s="19" t="str">
        <x:v>В своей волости</x:v>
      </x:c>
      <x:c r="C4" s="19" t="str">
        <x:v>В чужих кирг. волостях</x:v>
      </x:c>
      <x:c r="D4" s="19" t="str">
        <x:v>На казачьих землях</x:v>
      </x:c>
      <x:c r="E4" s="19" t="str">
        <x:v>В городах и поселениях области</x:v>
      </x:c>
      <x:c r="F4" s="19" t="str">
        <x:v>Бельагачская/Ремовская и Томская губерния</x:v>
      </x:c>
      <x:c r="G4" s="19" t="str">
        <x:v>В прочих губерниях/областях</x:v>
      </x:c>
      <x:c r="H4" s="19" t="str">
        <x:v>В Китае</x:v>
      </x:c>
      <x:c r="I4" s="19" t="str">
        <x:v>Всего по таблице</x:v>
      </x:c>
      <x:c r="J4" s="19" t="str">
        <x:v>Сословная адм. категория «киргизы»</x:v>
      </x:c>
      <x:c r="K4" s="19" t="str">
        <x:v>Местный учёт: казачьи земли</x:v>
      </x:c>
      <x:c r="L4" s="19" t="str">
        <x:v>Местный учёт: города/селения</x:v>
      </x:c>
      <x:c r="M4" s="19" t="str">
        <x:v>Источник / оговорка</x:v>
      </x:c>
    </x:row>
    <x:row r="5" ht="34" customHeight="1">
      <x:c r="A5" s="32" t="n">
        <x:v>1900</x:v>
      </x:c>
      <x:c r="B5" s="32" t="n">
        <x:v>478004</x:v>
      </x:c>
      <x:c r="C5" s="32" t="n">
        <x:v>7340</x:v>
      </x:c>
      <x:c r="D5" s="32" t="n">
        <x:v>61667</x:v>
      </x:c>
      <x:c r="E5" s="32" t="n">
        <x:v>9876</x:v>
      </x:c>
      <x:c r="F5" s="32" t="n">
        <x:v>26469</x:v>
      </x:c>
      <x:c r="G5" s="32" t="n">
        <x:v>2460</x:v>
      </x:c>
      <x:c r="H5" s="32" t="n">
        <x:v>5885</x:v>
      </x:c>
      <x:c r="I5" s="32" t="n">
        <x:v>591701</x:v>
      </x:c>
      <x:c r="J5" s="32" t="n">
        <x:v>591701</x:v>
      </x:c>
      <x:c r="K5" s="32" t="n">
        <x:v>66254</x:v>
      </x:c>
      <x:c r="L5" s="32" t="n">
        <x:v>13456</x:v>
      </x:c>
      <x:c r="M5" s="30" t="str">
        <x:v>Semipalatinskaia-1900-1904(1).md; PDF 13/26/28; НЕ годовая миграция</x:v>
      </x:c>
    </x:row>
    <x:row r="6" ht="34" customHeight="1">
      <x:c r="A6" s="33" t="n">
        <x:v>1901</x:v>
      </x:c>
      <x:c r="B6" s="33" t="n">
        <x:v>486837</x:v>
      </x:c>
      <x:c r="C6" s="33" t="n">
        <x:v>7683</x:v>
      </x:c>
      <x:c r="D6" s="33" t="n">
        <x:v>63703</x:v>
      </x:c>
      <x:c r="E6" s="33" t="n">
        <x:v>8484</x:v>
      </x:c>
      <x:c r="F6" s="33" t="n">
        <x:v>28818</x:v>
      </x:c>
      <x:c r="G6" s="33" t="n">
        <x:v>1453</x:v>
      </x:c>
      <x:c r="H6" s="33" t="n">
        <x:v>5166</x:v>
      </x:c>
      <x:c r="I6" s="33" t="n">
        <x:v>602144</x:v>
      </x:c>
      <x:c r="J6" s="33" t="n">
        <x:v>602144</x:v>
      </x:c>
      <x:c r="K6" s="33" t="n">
        <x:v>64119</x:v>
      </x:c>
      <x:c r="L6" s="33" t="n">
        <x:v>13721</x:v>
      </x:c>
      <x:c r="M6" s="26" t="str">
        <x:v>Semipalatinskaia-1900-1904(1).md; PDF 13/26/28; НЕ годовая миграция</x:v>
      </x:c>
    </x:row>
    <x:row r="7" ht="34" customHeight="1">
      <x:c r="A7" s="32" t="n">
        <x:v>1902</x:v>
      </x:c>
      <x:c r="B7" s="32" t="n">
        <x:v>490617</x:v>
      </x:c>
      <x:c r="C7" s="32" t="n">
        <x:v>9742</x:v>
      </x:c>
      <x:c r="D7" s="32" t="n">
        <x:v>62516</x:v>
      </x:c>
      <x:c r="E7" s="32" t="n">
        <x:v>8655</x:v>
      </x:c>
      <x:c r="F7" s="32" t="n">
        <x:v>30820</x:v>
      </x:c>
      <x:c r="G7" s="32" t="n">
        <x:v>1507</x:v>
      </x:c>
      <x:c r="H7" s="32" t="n">
        <x:v>6224</x:v>
      </x:c>
      <x:c r="I7" s="32" t="n">
        <x:v>610081</x:v>
      </x:c>
      <x:c r="J7" s="32" t="n">
        <x:v>610081</x:v>
      </x:c>
      <x:c r="K7" s="32" t="n">
        <x:v>67558</x:v>
      </x:c>
      <x:c r="L7" s="32" t="n">
        <x:v>14512</x:v>
      </x:c>
      <x:c r="M7" s="30" t="str">
        <x:v>Semipalatinskaia-1900-1904(1).md; PDF 13/26/28; НЕ годовая миграция</x:v>
      </x:c>
    </x:row>
    <x:row r="8" ht="34" customHeight="1">
      <x:c r="A8" s="33" t="n">
        <x:v>1903</x:v>
      </x:c>
      <x:c r="B8" s="33" t="n">
        <x:v>507526</x:v>
      </x:c>
      <x:c r="C8" s="33" t="n">
        <x:v>9593</x:v>
      </x:c>
      <x:c r="D8" s="33" t="n">
        <x:v>59934</x:v>
      </x:c>
      <x:c r="E8" s="33" t="n">
        <x:v>9928</x:v>
      </x:c>
      <x:c r="F8" s="33" t="n">
        <x:v>28131</x:v>
      </x:c>
      <x:c r="G8" s="33" t="n">
        <x:v>2451</x:v>
      </x:c>
      <x:c r="H8" s="33" t="n">
        <x:v>5911</x:v>
      </x:c>
      <x:c r="I8" s="33" t="n">
        <x:v>623474</x:v>
      </x:c>
      <x:c r="J8" s="33" t="n">
        <x:v>623474</x:v>
      </x:c>
      <x:c r="K8" s="33" t="n">
        <x:v>64816</x:v>
      </x:c>
      <x:c r="L8" s="33" t="n">
        <x:v>16035</x:v>
      </x:c>
      <x:c r="M8" s="26" t="str">
        <x:v>Semipalatinskaia-1900-1904(1).md; PDF 13/26/28; НЕ годовая миграция</x:v>
      </x:c>
    </x:row>
    <x:row r="9" ht="34" customHeight="1">
      <x:c r="A9" s="32" t="n">
        <x:v>1904</x:v>
      </x:c>
      <x:c r="B9" s="32" t="n">
        <x:v>509194</x:v>
      </x:c>
      <x:c r="C9" s="32" t="n">
        <x:v>8727</x:v>
      </x:c>
      <x:c r="D9" s="32" t="n">
        <x:v>64469</x:v>
      </x:c>
      <x:c r="E9" s="32" t="n">
        <x:v>10380</x:v>
      </x:c>
      <x:c r="F9" s="32" t="n">
        <x:v>23857</x:v>
      </x:c>
      <x:c r="G9" s="32" t="n">
        <x:v>2123</x:v>
      </x:c>
      <x:c r="H9" s="32" t="n">
        <x:v>6800</x:v>
      </x:c>
      <x:c r="I9" s="32" t="n">
        <x:v>625550</x:v>
      </x:c>
      <x:c r="J9" s="32" t="n">
        <x:v>625550</x:v>
      </x:c>
      <x:c r="K9" s="32" t="n">
        <x:v>68079</x:v>
      </x:c>
      <x:c r="L9" s="32" t="n">
        <x:v>16673</x:v>
      </x:c>
      <x:c r="M9" s="30" t="str">
        <x:v>Semipalatinskaia-1900-1904(1).md; PDF 13/26/28; НЕ годовая миграция</x:v>
      </x:c>
    </x:row>
    <x:row r="10" ht="34" customHeight="1">
      <x:c r="A10" s="33" t="n">
        <x:v>1910</x:v>
      </x:c>
      <x:c r="B10" s="33" t="n">
        <x:v>533010</x:v>
      </x:c>
      <x:c r="C10" s="33" t="n">
        <x:v>12744</x:v>
      </x:c>
      <x:c r="D10" s="33" t="n">
        <x:v>61720</x:v>
      </x:c>
      <x:c r="E10" s="33" t="n">
        <x:v>16228</x:v>
      </x:c>
      <x:c r="F10" s="33" t="n">
        <x:v>26689</x:v>
      </x:c>
      <x:c r="G10" s="33" t="n">
        <x:v>2933</x:v>
      </x:c>
      <x:c r="H10" s="33" t="n">
        <x:v>1637</x:v>
      </x:c>
      <x:c r="I10" s="33" t="n">
        <x:v>654961</x:v>
      </x:c>
      <x:c r="J10" s="33" t="n">
        <x:v>675240</x:v>
      </x:c>
      <x:c r="K10" s="33"/>
      <x:c r="L10" s="33"/>
      <x:c r="M10" s="26" t="str">
        <x:v>Semipalatinskaia-1910-1911(1).md; PDF 29; НЕ годовая миграция</x:v>
      </x:c>
    </x:row>
    <x:row r="11" ht="34" customHeight="1">
      <x:c r="A11" s="32" t="n">
        <x:v>1911</x:v>
      </x:c>
      <x:c r="B11" s="32" t="n">
        <x:v>549107</x:v>
      </x:c>
      <x:c r="C11" s="32" t="n">
        <x:v>12464</x:v>
      </x:c>
      <x:c r="D11" s="32" t="n">
        <x:v>61521</x:v>
      </x:c>
      <x:c r="E11" s="32" t="n">
        <x:v>11422</x:v>
      </x:c>
      <x:c r="F11" s="32" t="n">
        <x:v>23770</x:v>
      </x:c>
      <x:c r="G11" s="32" t="n">
        <x:v>2643</x:v>
      </x:c>
      <x:c r="H11" s="32" t="n">
        <x:v>1682</x:v>
      </x:c>
      <x:c r="I11" s="32" t="n">
        <x:v>662609</x:v>
      </x:c>
      <x:c r="J11" s="32" t="n">
        <x:v>681545</x:v>
      </x:c>
      <x:c r="K11" s="32" t="n">
        <x:v>68403</x:v>
      </x:c>
      <x:c r="L11" s="32"/>
      <x:c r="M11" s="30" t="str">
        <x:v>Semipalatinskaia-1910-1911(1).md; PDF 25; НЕ годовая миграция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6" hidden="0" customWidth="1"/>
    <x:col min="3" max="3" width="16" hidden="0" customWidth="1"/>
    <x:col min="4" max="4" width="17" hidden="0" customWidth="1"/>
    <x:col min="5" max="5" width="17" hidden="0" customWidth="1"/>
    <x:col min="6" max="6" width="22" hidden="0" customWidth="1"/>
    <x:col min="7" max="7" width="71" hidden="0" customWidth="1"/>
  </x:cols>
  <x:sheetData>
    <x:row r="1" ht="34" customHeight="1">
      <x:c r="A1" s="4" t="str">
        <x:v>Водворённые переселенцы по уездам, 1908–1911</x:v>
      </x:c>
      <x:c r="B1" s="4"/>
      <x:c r="C1" s="4"/>
      <x:c r="D1" s="4"/>
      <x:c r="E1" s="4"/>
      <x:c r="F1" s="4"/>
      <x:c r="G1" s="4"/>
    </x:row>
    <x:row r="2" ht="34" customHeight="1">
      <x:c r="A2" s="11" t="str">
        <x:v>Для 1909–1911 полное число переселенцев обоего пола не указано. Таблица 1909 г. противоречива по числу семей.</x:v>
      </x:c>
      <x:c r="B2" s="11"/>
      <x:c r="C2" s="11"/>
      <x:c r="D2" s="11"/>
      <x:c r="E2" s="11"/>
      <x:c r="F2" s="11"/>
      <x:c r="G2" s="11"/>
    </x:row>
    <x:row r="4" ht="46" customHeight="1">
      <x:c r="A4" s="19" t="str">
        <x:v>Год</x:v>
      </x:c>
      <x:c r="B4" s="19" t="str">
        <x:v>Уезд</x:v>
      </x:c>
      <x:c r="C4" s="19" t="str">
        <x:v>Семей</x:v>
      </x:c>
      <x:c r="D4" s="19" t="str">
        <x:v>Мужчин</x:v>
      </x:c>
      <x:c r="E4" s="19" t="str">
        <x:v>Женщин</x:v>
      </x:c>
      <x:c r="F4" s="19" t="str">
        <x:v>Всего обоего пола</x:v>
      </x:c>
      <x:c r="G4" s="19" t="str">
        <x:v>Примечание / источник</x:v>
      </x:c>
    </x:row>
    <x:row r="5" ht="34" customHeight="1">
      <x:c r="A5" s="32" t="n">
        <x:v>1908</x:v>
      </x:c>
      <x:c r="B5" s="30" t="str">
        <x:v>Павлодарский</x:v>
      </x:c>
      <x:c r="C5" s="32" t="n">
        <x:v>1301</x:v>
      </x:c>
      <x:c r="D5" s="32" t="n">
        <x:v>4215</x:v>
      </x:c>
      <x:c r="E5" s="32" t="n">
        <x:v>3646</x:v>
      </x:c>
      <x:c r="F5" s="32" t="n">
        <x:v>7861</x:v>
      </x:c>
      <x:c r="G5" s="30" t="str">
        <x:v>Semipalatinskaia-1905-1909(1).md</x:v>
      </x:c>
    </x:row>
    <x:row r="6" ht="34" customHeight="1">
      <x:c r="A6" s="33" t="n">
        <x:v>1908</x:v>
      </x:c>
      <x:c r="B6" s="26" t="str">
        <x:v>Каркаралинский</x:v>
      </x:c>
      <x:c r="C6" s="33" t="n">
        <x:v>114</x:v>
      </x:c>
      <x:c r="D6" s="33" t="n">
        <x:v>320</x:v>
      </x:c>
      <x:c r="E6" s="33" t="n">
        <x:v>285</x:v>
      </x:c>
      <x:c r="F6" s="33" t="n">
        <x:v>605</x:v>
      </x:c>
      <x:c r="G6" s="26" t="str">
        <x:v>Semipalatinskaia-1905-1909(1).md</x:v>
      </x:c>
    </x:row>
    <x:row r="7" ht="34" customHeight="1">
      <x:c r="A7" s="32" t="n">
        <x:v>1908</x:v>
      </x:c>
      <x:c r="B7" s="30" t="str">
        <x:v>Усть-Каменогорский</x:v>
      </x:c>
      <x:c r="C7" s="32" t="n">
        <x:v>256</x:v>
      </x:c>
      <x:c r="D7" s="32" t="n">
        <x:v>889</x:v>
      </x:c>
      <x:c r="E7" s="32" t="n">
        <x:v>799</x:v>
      </x:c>
      <x:c r="F7" s="32" t="n">
        <x:v>1688</x:v>
      </x:c>
      <x:c r="G7" s="30" t="str">
        <x:v>Semipalatinskaia-1905-1909(1).md</x:v>
      </x:c>
    </x:row>
    <x:row r="8" ht="34" customHeight="1">
      <x:c r="A8" s="33" t="n">
        <x:v>1908</x:v>
      </x:c>
      <x:c r="B8" s="26" t="str">
        <x:v>Зайсанский</x:v>
      </x:c>
      <x:c r="C8" s="33" t="n">
        <x:v>19</x:v>
      </x:c>
      <x:c r="D8" s="33" t="n">
        <x:v>63</x:v>
      </x:c>
      <x:c r="E8" s="33" t="n">
        <x:v>59</x:v>
      </x:c>
      <x:c r="F8" s="33" t="n">
        <x:v>122</x:v>
      </x:c>
      <x:c r="G8" s="26" t="str">
        <x:v>Semipalatinskaia-1905-1909(1).md</x:v>
      </x:c>
    </x:row>
    <x:row r="9" ht="34" customHeight="1">
      <x:c r="A9" s="32" t="n">
        <x:v>1908</x:v>
      </x:c>
      <x:c r="B9" s="30" t="str">
        <x:v>Семипалатинский</x:v>
      </x:c>
      <x:c r="C9" s="32" t="n">
        <x:v>159</x:v>
      </x:c>
      <x:c r="D9" s="32" t="n">
        <x:v>537</x:v>
      </x:c>
      <x:c r="E9" s="32" t="n">
        <x:v>298</x:v>
      </x:c>
      <x:c r="F9" s="32" t="n">
        <x:v>835</x:v>
      </x:c>
      <x:c r="G9" s="30" t="str">
        <x:v>Semipalatinskaia-1905-1909(1).md</x:v>
      </x:c>
    </x:row>
    <x:row r="10" ht="34" customHeight="1">
      <x:c r="A10" s="33" t="n">
        <x:v>1909</x:v>
      </x:c>
      <x:c r="B10" s="26" t="str">
        <x:v>Павлодарский</x:v>
      </x:c>
      <x:c r="C10" s="33" t="n">
        <x:v>2435</x:v>
      </x:c>
      <x:c r="D10" s="33" t="n">
        <x:v>7853</x:v>
      </x:c>
      <x:c r="E10" s="33"/>
      <x:c r="F10" s="33"/>
      <x:c r="G10" s="26" t="str">
        <x:v>1909: сумма уездных семей 3186; в печатной строке итога 3136. Semipalatinskaia-1905-1909(1).md</x:v>
      </x:c>
    </x:row>
    <x:row r="11" ht="34" customHeight="1">
      <x:c r="A11" s="32" t="n">
        <x:v>1909</x:v>
      </x:c>
      <x:c r="B11" s="30" t="str">
        <x:v>Каркаралинский</x:v>
      </x:c>
      <x:c r="C11" s="32" t="n">
        <x:v>160</x:v>
      </x:c>
      <x:c r="D11" s="32" t="n">
        <x:v>509</x:v>
      </x:c>
      <x:c r="E11" s="32"/>
      <x:c r="F11" s="32"/>
      <x:c r="G11" s="30" t="str">
        <x:v>1909: сумма уездных семей 3186; в печатной строке итога 3136. Semipalatinskaia-1905-1909(1).md</x:v>
      </x:c>
    </x:row>
    <x:row r="12" ht="34" customHeight="1">
      <x:c r="A12" s="33" t="n">
        <x:v>1909</x:v>
      </x:c>
      <x:c r="B12" s="26" t="str">
        <x:v>Усть-Каменогорский</x:v>
      </x:c>
      <x:c r="C12" s="33" t="n">
        <x:v>277</x:v>
      </x:c>
      <x:c r="D12" s="33" t="n">
        <x:v>915</x:v>
      </x:c>
      <x:c r="E12" s="33"/>
      <x:c r="F12" s="33"/>
      <x:c r="G12" s="26" t="str">
        <x:v>1909: сумма уездных семей 3186; в печатной строке итога 3136. Semipalatinskaia-1905-1909(1).md</x:v>
      </x:c>
    </x:row>
    <x:row r="13" ht="34" customHeight="1">
      <x:c r="A13" s="32" t="n">
        <x:v>1909</x:v>
      </x:c>
      <x:c r="B13" s="30" t="str">
        <x:v>Зайсанский</x:v>
      </x:c>
      <x:c r="C13" s="32" t="n">
        <x:v>283</x:v>
      </x:c>
      <x:c r="D13" s="32" t="n">
        <x:v>777</x:v>
      </x:c>
      <x:c r="E13" s="32"/>
      <x:c r="F13" s="32"/>
      <x:c r="G13" s="30" t="str">
        <x:v>1909: сумма уездных семей 3186; в печатной строке итога 3136. Semipalatinskaia-1905-1909(1).md</x:v>
      </x:c>
    </x:row>
    <x:row r="14" ht="34" customHeight="1">
      <x:c r="A14" s="33" t="n">
        <x:v>1909</x:v>
      </x:c>
      <x:c r="B14" s="26" t="str">
        <x:v>Семипалатинский</x:v>
      </x:c>
      <x:c r="C14" s="33" t="n">
        <x:v>31</x:v>
      </x:c>
      <x:c r="D14" s="33" t="n">
        <x:v>105</x:v>
      </x:c>
      <x:c r="E14" s="33"/>
      <x:c r="F14" s="33"/>
      <x:c r="G14" s="26" t="str">
        <x:v>1909: сумма уездных семей 3186; в печатной строке итога 3136. Semipalatinskaia-1905-1909(1).md</x:v>
      </x:c>
    </x:row>
    <x:row r="15" ht="34" customHeight="1">
      <x:c r="A15" s="32" t="n">
        <x:v>1910</x:v>
      </x:c>
      <x:c r="B15" s="30" t="str">
        <x:v>Павлодарский</x:v>
      </x:c>
      <x:c r="C15" s="32" t="n">
        <x:v>2536</x:v>
      </x:c>
      <x:c r="D15" s="32" t="n">
        <x:v>7545</x:v>
      </x:c>
      <x:c r="E15" s="32"/>
      <x:c r="F15" s="32"/>
      <x:c r="G15" s="30" t="str">
        <x:v>Semipalatinskaia-1910-1911(1).md</x:v>
      </x:c>
    </x:row>
    <x:row r="16" ht="34" customHeight="1">
      <x:c r="A16" s="33" t="n">
        <x:v>1910</x:v>
      </x:c>
      <x:c r="B16" s="26" t="str">
        <x:v>Каркаралинский</x:v>
      </x:c>
      <x:c r="C16" s="33" t="n">
        <x:v>73</x:v>
      </x:c>
      <x:c r="D16" s="33" t="n">
        <x:v>200</x:v>
      </x:c>
      <x:c r="E16" s="33"/>
      <x:c r="F16" s="33"/>
      <x:c r="G16" s="26" t="str">
        <x:v>Semipalatinskaia-1910-1911(1).md</x:v>
      </x:c>
    </x:row>
    <x:row r="17" ht="34" customHeight="1">
      <x:c r="A17" s="32" t="n">
        <x:v>1910</x:v>
      </x:c>
      <x:c r="B17" s="30" t="str">
        <x:v>Усть-Каменогорский</x:v>
      </x:c>
      <x:c r="C17" s="32" t="n">
        <x:v>725</x:v>
      </x:c>
      <x:c r="D17" s="32" t="n">
        <x:v>1964</x:v>
      </x:c>
      <x:c r="E17" s="32"/>
      <x:c r="F17" s="32"/>
      <x:c r="G17" s="30" t="str">
        <x:v>Semipalatinskaia-1910-1911(1).md</x:v>
      </x:c>
    </x:row>
    <x:row r="18" ht="34" customHeight="1">
      <x:c r="A18" s="33" t="n">
        <x:v>1910</x:v>
      </x:c>
      <x:c r="B18" s="26" t="str">
        <x:v>Зайсанский</x:v>
      </x:c>
      <x:c r="C18" s="33" t="n">
        <x:v>488</x:v>
      </x:c>
      <x:c r="D18" s="33" t="n">
        <x:v>1243</x:v>
      </x:c>
      <x:c r="E18" s="33"/>
      <x:c r="F18" s="33"/>
      <x:c r="G18" s="26" t="str">
        <x:v>Semipalatinskaia-1910-1911(1).md</x:v>
      </x:c>
    </x:row>
    <x:row r="19" ht="34" customHeight="1">
      <x:c r="A19" s="32" t="n">
        <x:v>1910</x:v>
      </x:c>
      <x:c r="B19" s="30" t="str">
        <x:v>Семипалатинский</x:v>
      </x:c>
      <x:c r="C19" s="32" t="n">
        <x:v>181</x:v>
      </x:c>
      <x:c r="D19" s="32" t="n">
        <x:v>542</x:v>
      </x:c>
      <x:c r="E19" s="32"/>
      <x:c r="F19" s="32"/>
      <x:c r="G19" s="30" t="str">
        <x:v>Semipalatinskaia-1910-1911(1).md</x:v>
      </x:c>
    </x:row>
    <x:row r="20" ht="34" customHeight="1">
      <x:c r="A20" s="33" t="n">
        <x:v>1911</x:v>
      </x:c>
      <x:c r="B20" s="26" t="str">
        <x:v>Павлодарский</x:v>
      </x:c>
      <x:c r="C20" s="33" t="n">
        <x:v>790</x:v>
      </x:c>
      <x:c r="D20" s="33" t="n">
        <x:v>2054</x:v>
      </x:c>
      <x:c r="E20" s="33"/>
      <x:c r="F20" s="33"/>
      <x:c r="G20" s="26" t="str">
        <x:v>Semipalatinskaia-1910-1911(1).md</x:v>
      </x:c>
    </x:row>
    <x:row r="21" ht="34" customHeight="1">
      <x:c r="A21" s="32" t="n">
        <x:v>1911</x:v>
      </x:c>
      <x:c r="B21" s="30" t="str">
        <x:v>Каркаралинский</x:v>
      </x:c>
      <x:c r="C21" s="32" t="n">
        <x:v>24</x:v>
      </x:c>
      <x:c r="D21" s="32" t="n">
        <x:v>66</x:v>
      </x:c>
      <x:c r="E21" s="32"/>
      <x:c r="F21" s="32"/>
      <x:c r="G21" s="30" t="str">
        <x:v>Semipalatinskaia-1910-1911(1).md</x:v>
      </x:c>
    </x:row>
    <x:row r="22" ht="34" customHeight="1">
      <x:c r="A22" s="33" t="n">
        <x:v>1911</x:v>
      </x:c>
      <x:c r="B22" s="26" t="str">
        <x:v>Усть-Каменогорский</x:v>
      </x:c>
      <x:c r="C22" s="33" t="n">
        <x:v>728</x:v>
      </x:c>
      <x:c r="D22" s="33" t="n">
        <x:v>1806</x:v>
      </x:c>
      <x:c r="E22" s="33"/>
      <x:c r="F22" s="33"/>
      <x:c r="G22" s="26" t="str">
        <x:v>Semipalatinskaia-1910-1911(1).md</x:v>
      </x:c>
    </x:row>
    <x:row r="23" ht="34" customHeight="1">
      <x:c r="A23" s="32" t="n">
        <x:v>1911</x:v>
      </x:c>
      <x:c r="B23" s="30" t="str">
        <x:v>Зайсанский</x:v>
      </x:c>
      <x:c r="C23" s="32" t="n">
        <x:v>1207</x:v>
      </x:c>
      <x:c r="D23" s="32" t="n">
        <x:v>3411</x:v>
      </x:c>
      <x:c r="E23" s="32"/>
      <x:c r="F23" s="32"/>
      <x:c r="G23" s="30" t="str">
        <x:v>Semipalatinskaia-1910-1911(1).md</x:v>
      </x:c>
    </x:row>
    <x:row r="24" ht="34" customHeight="1">
      <x:c r="A24" s="33" t="n">
        <x:v>1911</x:v>
      </x:c>
      <x:c r="B24" s="26" t="str">
        <x:v>Семипалатинский</x:v>
      </x:c>
      <x:c r="C24" s="33" t="n">
        <x:v>601</x:v>
      </x:c>
      <x:c r="D24" s="33" t="n">
        <x:v>1709</x:v>
      </x:c>
      <x:c r="E24" s="33"/>
      <x:c r="F24" s="33"/>
      <x:c r="G24" s="26" t="str">
        <x:v>Semipalatinskaia-1910-1911(1).md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2" hidden="0" customWidth="1"/>
    <x:col min="3" max="3" width="93" hidden="0" customWidth="1"/>
    <x:col min="4" max="4" width="74" hidden="0" customWidth="1"/>
    <x:col min="5" max="5" width="40" hidden="0" customWidth="1"/>
  </x:cols>
  <x:sheetData>
    <x:row r="1" ht="34" customHeight="1">
      <x:c r="A1" s="4" t="str">
        <x:v>Проблемы сопоставимости, разночтения и решения</x:v>
      </x:c>
      <x:c r="B1" s="4"/>
      <x:c r="C1" s="4"/>
      <x:c r="D1" s="4"/>
      <x:c r="E1" s="4"/>
    </x:row>
    <x:row r="2" ht="34" customHeight="1">
      <x:c r="A2" s="11" t="str">
        <x:v>Это редакционные замечания к сводке; исправления и ретроспективные расчёты не должны незаметно заменять оригинальные числа.</x:v>
      </x:c>
      <x:c r="B2" s="11"/>
      <x:c r="C2" s="11"/>
      <x:c r="D2" s="11"/>
      <x:c r="E2" s="11"/>
    </x:row>
    <x:row r="4" ht="46" customHeight="1">
      <x:c r="A4" s="19" t="str">
        <x:v>Год</x:v>
      </x:c>
      <x:c r="B4" s="19" t="str">
        <x:v>Тема</x:v>
      </x:c>
      <x:c r="C4" s="19" t="str">
        <x:v>Расхождение / ограничение</x:v>
      </x:c>
      <x:c r="D4" s="19" t="str">
        <x:v>Решение при объединении</x:v>
      </x:c>
      <x:c r="E4" s="19" t="str">
        <x:v>Файл-основание</x:v>
      </x:c>
    </x:row>
    <x:row r="5" ht="54" customHeight="1">
      <x:c r="A5" s="32" t="n">
        <x:v>1880</x:v>
      </x:c>
      <x:c r="B5" s="30" t="str">
        <x:v>Рождения и смерти</x:v>
      </x:c>
      <x:c r="C5" s="30" t="str">
        <x:v>Указано 8796 рождений и 8095 смертей, но рукопись пишет прирост 601. Арифметический результат 701.</x:v>
      </x:c>
      <x:c r="D5" s="30" t="str">
        <x:v>По общим числам вычислен 701; исходное расхождение отмечено.</x:v>
      </x:c>
      <x:c r="E5" s="30" t="str">
        <x:v>Semipalatinskaia-1880-1884(1).md</x:v>
      </x:c>
    </x:row>
    <x:row r="6" ht="54" customHeight="1">
      <x:c r="A6" s="33" t="n">
        <x:v>1881</x:v>
      </x:c>
      <x:c r="B6" s="26" t="str">
        <x:v>Метод учёта кочевников</x:v>
      </x:c>
      <x:c r="C6" s="26" t="str">
        <x:v>Показаны 538385 официально и авторская альтернатива 602331 из коэффициента 5 душ/кибитку.</x:v>
      </x:c>
      <x:c r="D6" s="26" t="str">
        <x:v>В основной ряд внесено 538385; 602331 только примечание.</x:v>
      </x:c>
      <x:c r="E6" s="26" t="str">
        <x:v>Semipalatinskaia-1880-1884(1).md</x:v>
      </x:c>
    </x:row>
    <x:row r="7" ht="54" customHeight="1">
      <x:c r="A7" s="32" t="n">
        <x:v>1882</x:v>
      </x:c>
      <x:c r="B7" s="30" t="str">
        <x:v>Метод учёта кочевников</x:v>
      </x:c>
      <x:c r="C7" s="30" t="str">
        <x:v>Количество кибиток ×5, порождает скачок +66132 к 1881 г.; конфессиональные смерти дают 8559 против общего 8561.</x:v>
      </x:c>
      <x:c r="D7" s="30" t="str">
        <x:v>Сохранено официальное 604517 и 8561; не считать скачок ростом.</x:v>
      </x:c>
      <x:c r="E7" s="30" t="str">
        <x:v>Semipalatinskaia-1880-1884(1).md</x:v>
      </x:c>
    </x:row>
    <x:row r="8" ht="54" customHeight="1">
      <x:c r="A8" s="33" t="n">
        <x:v>1883</x:v>
      </x:c>
      <x:c r="B8" s="26" t="str">
        <x:v>Сумма по группам</x:v>
      </x:c>
      <x:c r="C8" s="26" t="str">
        <x:v>Групповые 9177 рождений / 8379 смертей против общих 9208 / 8344; рукопись.</x:v>
      </x:c>
      <x:c r="D8" s="26" t="str">
        <x:v>Используются общие итоги, групповые в отдельной таблице с оговоркой.</x:v>
      </x:c>
      <x:c r="E8" s="26" t="str">
        <x:v>Semipalatinskaia-1880-1884(1).md</x:v>
      </x:c>
    </x:row>
    <x:row r="9" ht="54" customHeight="1">
      <x:c r="A9" s="32" t="n">
        <x:v>1887</x:v>
      </x:c>
      <x:c r="B9" s="30" t="str">
        <x:v>Оседлые и смертность</x:v>
      </x:c>
      <x:c r="C9" s="30" t="str">
        <x:v>В тексте ошибочное 66681 оседлых; по городам+селам 65681. 8327 смертей в тексте и 8329 в ведомости.</x:v>
      </x:c>
      <x:c r="D9" s="30" t="str">
        <x:v>65681; смерти 8327 из текста, 8329 — вариант.</x:v>
      </x:c>
      <x:c r="E9" s="30" t="str">
        <x:v>Semipalatinskaia-1885-1889(1).md</x:v>
      </x:c>
    </x:row>
    <x:row r="10" ht="54" customHeight="1">
      <x:c r="A10" s="33" t="n">
        <x:v>1888</x:v>
      </x:c>
      <x:c r="B10" s="26" t="str">
        <x:v>Рождения, мальчики/девочки</x:v>
      </x:c>
      <x:c r="C10" s="26" t="str">
        <x:v>Печатные половые суммы расходятся между текстом и ведомостью; общий итог 10012 подтверждён.</x:v>
      </x:c>
      <x:c r="D10" s="26" t="str">
        <x:v>Сохранено 10012.</x:v>
      </x:c>
      <x:c r="E10" s="26" t="str">
        <x:v>Semipalatinskaia-1885-1889(1).md</x:v>
      </x:c>
    </x:row>
    <x:row r="11" ht="54" customHeight="1">
      <x:c r="A11" s="32" t="n">
        <x:v>1889</x:v>
      </x:c>
      <x:c r="B11" s="30" t="str">
        <x:v>Нет выпуска</x:v>
      </x:c>
      <x:c r="C11" s="30" t="str">
        <x:v>Не поступало исходного обзора.</x:v>
      </x:c>
      <x:c r="D11" s="30" t="str">
        <x:v>Поля пустые, не нули.</x:v>
      </x:c>
      <x:c r="E11" s="30" t="str">
        <x:v>Semipalatinskaia-1885-1889(1).md</x:v>
      </x:c>
    </x:row>
    <x:row r="12" ht="54" customHeight="1">
      <x:c r="A12" s="33" t="n">
        <x:v>1891</x:v>
      </x:c>
      <x:c r="B12" s="26" t="str">
        <x:v>Нет выпуска</x:v>
      </x:c>
      <x:c r="C12" s="26" t="str">
        <x:v>Не поступало исходного обзора.</x:v>
      </x:c>
      <x:c r="D12" s="26" t="str">
        <x:v>Поля пустые, не нули.</x:v>
      </x:c>
      <x:c r="E12" s="26" t="str">
        <x:v>Semipalatinskaia-1890-1894(1).md</x:v>
      </x:c>
    </x:row>
    <x:row r="13" ht="54" customHeight="1">
      <x:c r="A13" s="32" t="n">
        <x:v>1892</x:v>
      </x:c>
      <x:c r="B13" s="30" t="str">
        <x:v>Нет выпуска</x:v>
      </x:c>
      <x:c r="C13" s="30" t="str">
        <x:v>Не поступало исходного обзора.</x:v>
      </x:c>
      <x:c r="D13" s="30" t="str">
        <x:v>Поля пустые, не нули.</x:v>
      </x:c>
      <x:c r="E13" s="30" t="str">
        <x:v>Semipalatinskaia-1890-1894(1).md</x:v>
      </x:c>
    </x:row>
    <x:row r="14" ht="54" customHeight="1">
      <x:c r="A14" s="33" t="n">
        <x:v>1893</x:v>
      </x:c>
      <x:c r="B14" s="26" t="str">
        <x:v>Нет выпуска</x:v>
      </x:c>
      <x:c r="C14" s="26" t="str">
        <x:v>Рождения 11190 и смерти 8009 выведены по сравнениям обзора 1894 года.</x:v>
      </x:c>
      <x:c r="D14" s="26" t="str">
        <x:v>Пометка †: косвенная реконструкция.</x:v>
      </x:c>
      <x:c r="E14" s="26" t="str">
        <x:v>Semipalatinskaia-1890-1894(1).md</x:v>
      </x:c>
    </x:row>
    <x:row r="15" ht="54" customHeight="1">
      <x:c r="A15" s="32" t="n">
        <x:v>1894</x:v>
      </x:c>
      <x:c r="B15" s="30" t="str">
        <x:v>Приблизительные доли и несовпадение итогов</x:v>
      </x:c>
      <x:c r="C15" s="30" t="str">
        <x:v>14,84% оседлых ⇒ ≈91306; неопределённость ≈±31. Сумма конфессий 10580/8473 vs итоги 10582/8476.</x:v>
      </x:c>
      <x:c r="D15" s="30" t="str">
        <x:v>Категории ≈ отдельно; общие итоги из свода.</x:v>
      </x:c>
      <x:c r="E15" s="30" t="str">
        <x:v>Semipalatinskaia-1890-1894(1).md</x:v>
      </x:c>
    </x:row>
    <x:row r="16" ht="54" customHeight="1">
      <x:c r="A16" s="33" t="n">
        <x:v>1894</x:v>
      </x:c>
      <x:c r="B16" s="26" t="str">
        <x:v>Колонисты в посёлках</x:v>
      </x:c>
      <x:c r="C16" s="26" t="str">
        <x:v>По таблице 547 мужчин + 498 женщин = 1045, но в тексте опечатка 647 мужчин.</x:v>
      </x:c>
      <x:c r="D16" s="26" t="str">
        <x:v>Это запас жителей, не прибывшие за 1894.</x:v>
      </x:c>
      <x:c r="E16" s="26" t="str">
        <x:v>Semipalatinskaia-1890-1894(1).md</x:v>
      </x:c>
    </x:row>
    <x:row r="17" ht="54" customHeight="1">
      <x:c r="A17" s="32" t="n">
        <x:v>1896</x:v>
      </x:c>
      <x:c r="B17" s="30" t="str">
        <x:v>Скачок населения</x:v>
      </x:c>
      <x:c r="C17" s="30" t="str">
        <x:v>Разница к 1895 г. +36792 при зарегистрированном естественном приросте лишь 2983.</x:v>
      </x:c>
      <x:c r="D17" s="30" t="str">
        <x:v>Остаток +33809 не считать миграцией.</x:v>
      </x:c>
      <x:c r="E17" s="30" t="str">
        <x:v>Semipalatinskaia-1895-1899(2).md</x:v>
      </x:c>
    </x:row>
    <x:row r="18" ht="54" customHeight="1">
      <x:c r="A18" s="33" t="n">
        <x:v>1898</x:v>
      </x:c>
      <x:c r="B18" s="26" t="str">
        <x:v>Несовпадение естественного прироста</x:v>
      </x:c>
      <x:c r="C18" s="26" t="str">
        <x:v>Печаталось 4427, от руки исправлено на 2406 = 10767−8361.</x:v>
      </x:c>
      <x:c r="D18" s="26" t="str">
        <x:v>Сохранено арифметическое 2406.</x:v>
      </x:c>
      <x:c r="E18" s="26" t="str">
        <x:v>Semipalatinskaia-1895-1899(2).md</x:v>
      </x:c>
    </x:row>
    <x:row r="19" ht="54" customHeight="1">
      <x:c r="A19" s="32" t="n">
        <x:v>1899</x:v>
      </x:c>
      <x:c r="B19" s="30" t="str">
        <x:v>Разница естественного прироста</x:v>
      </x:c>
      <x:c r="C19" s="30" t="str">
        <x:v>В тексте +3279, по 15308−12031 и по ведомости +3277.</x:v>
      </x:c>
      <x:c r="D19" s="30" t="str">
        <x:v>Сохранено +3277.</x:v>
      </x:c>
      <x:c r="E19" s="30" t="str">
        <x:v>Semipalatinskaia-1895-1899(2).md</x:v>
      </x:c>
    </x:row>
    <x:row r="20" ht="54" customHeight="1">
      <x:c r="A20" s="33" t="n">
        <x:v>1900</x:v>
      </x:c>
      <x:c r="B20" s="26" t="str">
        <x:v>Новые учётные категории</x:v>
      </x:c>
      <x:c r="C20" s="26" t="str">
        <x:v>«Киргизы» включают часть оседлых; «остальные» не обязательно оседлые.</x:v>
      </x:c>
      <x:c r="D20" s="26" t="str">
        <x:v>Хранятся в отдельных колонках.</x:v>
      </x:c>
      <x:c r="E20" s="26" t="str">
        <x:v>Semipalatinskaia-1900-1904(1).md</x:v>
      </x:c>
    </x:row>
    <x:row r="21" ht="54" customHeight="1">
      <x:c r="A21" s="32" t="n">
        <x:v>1907</x:v>
      </x:c>
      <x:c r="B21" s="30" t="str">
        <x:v>Падение оценки населения</x:v>
      </x:c>
      <x:c r="C21" s="30" t="str">
        <x:v>Изменение −24237 к 1906 г., хотя водворено 6549 человек.</x:v>
      </x:c>
      <x:c r="D21" s="30" t="str">
        <x:v>Методическая/административная причина не установлена.</x:v>
      </x:c>
      <x:c r="E21" s="30" t="str">
        <x:v>Semipalatinskaia-1905-1909(1).md</x:v>
      </x:c>
    </x:row>
    <x:row r="22" ht="54" customHeight="1">
      <x:c r="A22" s="33" t="n">
        <x:v>1908</x:v>
      </x:c>
      <x:c r="B22" s="26" t="str">
        <x:v>Половые подытоги</x:v>
      </x:c>
      <x:c r="C22" s="26" t="str">
        <x:v>В тексте 421897 мужчин против суммы уездов 421895.</x:v>
      </x:c>
      <x:c r="D22" s="26" t="str">
        <x:v>Сохранено население 771016.</x:v>
      </x:c>
      <x:c r="E22" s="26" t="str">
        <x:v>Semipalatinskaia-1905-1909(1).md</x:v>
      </x:c>
    </x:row>
    <x:row r="23" ht="54" customHeight="1">
      <x:c r="A23" s="32" t="n">
        <x:v>1909</x:v>
      </x:c>
      <x:c r="B23" s="30" t="str">
        <x:v>Ошибки уездных сумм и семей</x:v>
      </x:c>
      <x:c r="C23" s="30" t="str">
        <x:v>В Павлодарском уезде 204680 против суммы 204580; семьи переселенцев 3136 итог, но 3186 по строкам.</x:v>
      </x:c>
      <x:c r="D23" s="30" t="str">
        <x:v>Сохранены областной итог и оба варианта семей.</x:v>
      </x:c>
      <x:c r="E23" s="30" t="str">
        <x:v>Semipalatinskaia-1905-1909(1).md</x:v>
      </x:c>
    </x:row>
    <x:row r="24" ht="54" customHeight="1">
      <x:c r="A24" s="33" t="n">
        <x:v>1910</x:v>
      </x:c>
      <x:c r="B24" s="26" t="str">
        <x:v>Разные совокупности киргизов</x:v>
      </x:c>
      <x:c r="C24" s="26" t="str">
        <x:v>675240 киргизов по адм. группам vs 654961 приписных в таблице местопребывания.</x:v>
      </x:c>
      <x:c r="D24" s="26" t="str">
        <x:v>Не складывать и не отождествлять.</x:v>
      </x:c>
      <x:c r="E24" s="26" t="str">
        <x:v>Semipalatinskaia-1910-1911(1).md</x:v>
      </x:c>
    </x:row>
    <x:row r="25" ht="54" customHeight="1">
      <x:c r="A25" s="32" t="n">
        <x:v>1911</x:v>
      </x:c>
      <x:c r="B25" s="30" t="str">
        <x:v>Разные итоги и совокупности</x:v>
      </x:c>
      <x:c r="C25" s="30" t="str">
        <x:v>Уездные суммы 905715, половые итоговые печатные числа 905815; киргизы 681545 vs 662609 в таблице приписанных.</x:v>
      </x:c>
      <x:c r="D25" s="30" t="str">
        <x:v>Сохранено 905715; показатели разных совокупностей отдельно.</x:v>
      </x:c>
      <x:c r="E25" s="30" t="str">
        <x:v>Semipalatinskaia-1910-1911(1).md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8" hidden="0" customWidth="1"/>
    <x:col min="3" max="3" width="58" hidden="0" customWidth="1"/>
    <x:col min="4" max="4" width="102" hidden="0" customWidth="1"/>
  </x:cols>
  <x:sheetData>
    <x:row r="1" ht="34" customHeight="1">
      <x:c r="A1" s="4" t="str">
        <x:v>Источники и правила объединения</x:v>
      </x:c>
      <x:c r="B1" s="4"/>
      <x:c r="C1" s="4"/>
      <x:c r="D1" s="4"/>
    </x:row>
    <x:row r="2" ht="34" customHeight="1">
      <x:c r="A2" s="11" t="str">
        <x:v>Оригиналы «Обзоров» были обработаны в семи загруженных частичных сводках. Это сведение по ранее выверенным таблицам, а не повторная экспертиза первичных PDF.</x:v>
      </x:c>
      <x:c r="B2" s="11"/>
      <x:c r="C2" s="11"/>
      <x:c r="D2" s="11"/>
    </x:row>
    <x:row r="4" ht="46" customHeight="1">
      <x:c r="A4" s="19" t="str">
        <x:v>Годы</x:v>
      </x:c>
      <x:c r="B4" s="19" t="str">
        <x:v>Файл Markdown</x:v>
      </x:c>
      <x:c r="C4" s="19" t="str">
        <x:v>Файл Excel</x:v>
      </x:c>
      <x:c r="D4" s="19" t="str">
        <x:v>Характер проверки</x:v>
      </x:c>
    </x:row>
    <x:row r="5" ht="34" customHeight="1">
      <x:c r="A5" s="30" t="str">
        <x:v>1880–1884</x:v>
      </x:c>
      <x:c r="B5" s="30" t="str">
        <x:v>Semipalatinskaia-1880-1884(1).md</x:v>
      </x:c>
      <x:c r="C5" s="30" t="str">
        <x:v>Semipalatinskaia-1880-1884(1).xlsx</x:v>
      </x:c>
      <x:c r="D5" s="30" t="str">
        <x:v>Сводки подготовлены ранее по OCR и RAW; в настоящем объединении новые сканы повторно не анализировались.</x:v>
      </x:c>
    </x:row>
    <x:row r="6" ht="34" customHeight="1">
      <x:c r="A6" s="26" t="str">
        <x:v>1885–1889</x:v>
      </x:c>
      <x:c r="B6" s="26" t="str">
        <x:v>Semipalatinskaia-1885-1889(1).md</x:v>
      </x:c>
      <x:c r="C6" s="26" t="str">
        <x:v>Semipalatinskaia-1885-1889(1).xlsx</x:v>
      </x:c>
      <x:c r="D6" s="26" t="str">
        <x:v>Сводки подготовлены ранее по OCR и RAW; в настоящем объединении новые сканы повторно не анализировались.</x:v>
      </x:c>
    </x:row>
    <x:row r="7" ht="34" customHeight="1">
      <x:c r="A7" s="30" t="str">
        <x:v>1890–1894</x:v>
      </x:c>
      <x:c r="B7" s="30" t="str">
        <x:v>Semipalatinskaia-1890-1894(1).md</x:v>
      </x:c>
      <x:c r="C7" s="30" t="str">
        <x:v>Semipalatinskaia-1890-1894(1).xlsx</x:v>
      </x:c>
      <x:c r="D7" s="30" t="str">
        <x:v>Сводки подготовлены ранее по OCR и RAW; в настоящем объединении новые сканы повторно не анализировались.</x:v>
      </x:c>
    </x:row>
    <x:row r="8" ht="34" customHeight="1">
      <x:c r="A8" s="26" t="str">
        <x:v>1895–1899</x:v>
      </x:c>
      <x:c r="B8" s="26" t="str">
        <x:v>Semipalatinskaia-1895-1899(2).md</x:v>
      </x:c>
      <x:c r="C8" s="26" t="str">
        <x:v>Semipalatinskaia-1895-1899(2).xlsx</x:v>
      </x:c>
      <x:c r="D8" s="26" t="str">
        <x:v>Сводки подготовлены ранее по OCR и RAW; в настоящем объединении новые сканы повторно не анализировались.</x:v>
      </x:c>
    </x:row>
    <x:row r="9" ht="34" customHeight="1">
      <x:c r="A9" s="30" t="str">
        <x:v>1900–1904</x:v>
      </x:c>
      <x:c r="B9" s="30" t="str">
        <x:v>Semipalatinskaia-1900-1904(1).md</x:v>
      </x:c>
      <x:c r="C9" s="30" t="str">
        <x:v>Semipalatinskaia-1900-1904(1).xlsx</x:v>
      </x:c>
      <x:c r="D9" s="30" t="str">
        <x:v>Сводки подготовлены ранее по OCR и RAW; в настоящем объединении новые сканы повторно не анализировались.</x:v>
      </x:c>
    </x:row>
    <x:row r="10" ht="34" customHeight="1">
      <x:c r="A10" s="26" t="str">
        <x:v>1905–1909</x:v>
      </x:c>
      <x:c r="B10" s="26" t="str">
        <x:v>Semipalatinskaia-1905-1909(1).md</x:v>
      </x:c>
      <x:c r="C10" s="26" t="str">
        <x:v>Semipalatinskaia-1905-1909(2).xlsx</x:v>
      </x:c>
      <x:c r="D10" s="26" t="str">
        <x:v>Сводки подготовлены ранее по OCR и RAW; в настоящем объединении новые сканы повторно не анализировались.</x:v>
      </x:c>
    </x:row>
    <x:row r="11" ht="34" customHeight="1">
      <x:c r="A11" s="30" t="str">
        <x:v>1910–1911</x:v>
      </x:c>
      <x:c r="B11" s="30" t="str">
        <x:v>Semipalatinskaia-1910-1911(1).md</x:v>
      </x:c>
      <x:c r="C11" s="30" t="str">
        <x:v>Semipalatinskaia-1910-1911(1).xlsx</x:v>
      </x:c>
      <x:c r="D11" s="30" t="str">
        <x:v>Сводки подготовлены ранее по OCR и RAW; в настоящем объединении новые сканы повторно не анализировались.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1" hidden="0" customWidth="1"/>
    <x:col min="3" max="3" width="21" hidden="0" customWidth="1"/>
    <x:col min="4" max="4" width="65" hidden="0" customWidth="1"/>
  </x:cols>
  <x:sheetData>
    <x:row r="1" ht="30" customHeight="1">
      <x:c r="A1" s="46" t="str">
        <x:v>Год</x:v>
      </x:c>
      <x:c r="B1" s="46" t="str">
        <x:v>Доля оседлых</x:v>
      </x:c>
      <x:c r="C1" s="46" t="str">
        <x:v>Доля кочевых</x:v>
      </x:c>
      <x:c r="D1" s="46" t="str">
        <x:v>Происхождение</x:v>
      </x:c>
    </x:row>
    <x:row r="2" ht="27" customHeight="1">
      <x:c r="A2" t="n">
        <x:v>1894</x:v>
      </x:c>
      <x:c r="B2" s="48" t="n">
        <x:v>0.1484</x:v>
      </x:c>
      <x:c r="C2" s="48" t="n">
        <x:v>0.8516</x:v>
      </x:c>
      <x:c r="D2" t="str">
        <x:v>Обзор 1894, PDF 7–8; доли округлены до 0,01%</x:v>
      </x:c>
    </x:row>
  </x:sheetData>
  <x:pageMargins left="0.7" right="0.7" top="0.75" bottom="0.75" header="0.3" footer="0.3"/>
</x:worksheet>
</file>