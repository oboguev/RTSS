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6.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f51c2d5402451a" /></Relationships>
</file>

<file path=xl/workbook.xml><?xml version="1.0" encoding="utf-8"?>
<x:workbook xmlns:x="http://schemas.openxmlformats.org/spreadsheetml/2006/main">
  <x:sheets>
    <x:sheet xmlns:r="http://schemas.openxmlformats.org/officeDocument/2006/relationships" name="Сводка" sheetId="1" r:id="R8f7082d650f143f4"/>
    <x:sheet xmlns:r="http://schemas.openxmlformats.org/officeDocument/2006/relationships" name="Миграция" sheetId="2" r:id="R4e971f698daf4194"/>
    <x:sheet xmlns:r="http://schemas.openxmlformats.org/officeDocument/2006/relationships" name="Миграционные записи" sheetId="3" r:id="Rb719fdec0fb74641"/>
    <x:sheet xmlns:r="http://schemas.openxmlformats.org/officeDocument/2006/relationships" name="Баланс" sheetId="4" r:id="R861c83ef2af54b56"/>
    <x:sheet xmlns:r="http://schemas.openxmlformats.org/officeDocument/2006/relationships" name="Детализация" sheetId="5" r:id="Rca0d264baed842b0"/>
    <x:sheet xmlns:r="http://schemas.openxmlformats.org/officeDocument/2006/relationships" name="Примечания" sheetId="6" r:id="Re8f95693cc964b6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Red]-#,##0;0"/>
    <x:numFmt numFmtId="202" formatCode="0.0%"/>
  </x:numFmts>
  <x:fonts count="6">
    <x:font>
      <x:sz val="11"/>
      <x:name val="Carlito"/>
    </x:font>
    <x:font>
      <x:b/>
      <x:sz val="16"/>
      <x:color rgb="FF1F2937"/>
      <x:name val="Arial"/>
    </x:font>
    <x:font>
      <x:sz val="11"/>
      <x:color rgb="FF52606D"/>
      <x:name val="Arial"/>
    </x:font>
    <x:font>
      <x:b/>
      <x:sz val="14"/>
      <x:color rgb="FF1F2937"/>
      <x:name val="Arial"/>
    </x:font>
    <x:font>
      <x:sz val="11"/>
      <x:color rgb="FF1F2937"/>
      <x:name val="Arial"/>
    </x:font>
    <x:font>
      <x:b/>
      <x:sz val="11"/>
      <x:color rgb="FFFFFFFF"/>
      <x:name val="Arial"/>
    </x:font>
  </x:fonts>
  <x:fills count="4">
    <x:fill>
      <x:patternFill patternType="none"/>
    </x:fill>
    <x:fill>
      <x:patternFill patternType="gray125"/>
    </x:fill>
    <x:fill>
      <x:patternFill patternType="solid">
        <x:fgColor rgb="FF243B53"/>
      </x:patternFill>
    </x:fill>
    <x:fill>
      <x:patternFill patternType="solid">
        <x:fgColor rgb="FFF1F5F9"/>
      </x:patternFill>
    </x:fill>
  </x:fills>
  <x:borders count="4">
    <x:border>
      <x:left/>
      <x:right/>
      <x:top/>
      <x:bottom/>
      <x:diagonal/>
    </x:border>
    <x:border>
      <x:left/>
      <x:right style="thin">
        <x:color rgb="FFFFFFFF"/>
      </x:right>
      <x:top/>
      <x:bottom style="thin">
        <x:color rgb="FF243B53"/>
      </x:bottom>
      <x:diagonal/>
    </x:border>
    <x:border>
      <x:left style="thin">
        <x:color rgb="FFFFFFFF"/>
      </x:left>
      <x:right style="thin">
        <x:color rgb="FFFFFFFF"/>
      </x:right>
      <x:top/>
      <x:bottom style="thin">
        <x:color rgb="FF243B53"/>
      </x:bottom>
      <x:diagonal/>
    </x:border>
    <x:border>
      <x:left style="thin">
        <x:color rgb="FFFFFFFF"/>
      </x:left>
      <x:right/>
      <x:top/>
      <x:bottom style="thin">
        <x:color rgb="FF243B53"/>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left" vertical="center"/>
    </x:xf>
    <x:xf numFmtId="0" fontId="4" fillId="0" borderId="0" xfId="0" applyNumberFormat="1" applyFont="1" applyFill="1" applyBorder="1" applyAlignment="1">
      <x:alignment horizontal="left" vertical="center" wrapText="1"/>
    </x:xf>
    <x:xf numFmtId="0" fontId="4"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4" fillId="3" borderId="0" xfId="0" applyNumberFormat="1" applyFont="1" applyFill="1" applyBorder="1" applyAlignment="1">
      <x:alignment horizontal="left" vertical="center" wrapText="1"/>
    </x:xf>
    <x:xf numFmtId="200" fontId="4" fillId="0" borderId="0" xfId="0" applyNumberFormat="1" applyFont="1" applyFill="1" applyBorder="1" applyAlignment="1">
      <x:alignment horizontal="left" vertical="center" wrapText="1"/>
    </x:xf>
    <x:xf numFmtId="200" fontId="4" fillId="3" borderId="0" xfId="0" applyNumberFormat="1" applyFont="1" applyFill="1" applyBorder="1" applyAlignment="1">
      <x:alignment horizontal="left" vertical="center" wrapText="1"/>
    </x:xf>
    <x:xf numFmtId="200" fontId="4" fillId="0" borderId="0" xfId="0" applyNumberFormat="1" applyFont="1" applyFill="1" applyBorder="1" applyAlignment="1">
      <x:alignment horizontal="right" vertical="center" wrapText="1"/>
    </x:xf>
    <x:xf numFmtId="200" fontId="4" fillId="3" borderId="0" xfId="0" applyNumberFormat="1" applyFont="1" applyFill="1" applyBorder="1" applyAlignment="1">
      <x:alignment horizontal="right" vertical="center" wrapText="1"/>
    </x:xf>
    <x:xf numFmtId="200" fontId="4" fillId="0" borderId="0" xfId="0" applyNumberFormat="1" applyFont="1" applyFill="1" applyBorder="1" applyAlignment="1">
      <x:alignment horizontal="right" vertical="center" wrapText="0"/>
    </x:xf>
    <x:xf numFmtId="200" fontId="4" fillId="3" borderId="0" xfId="0" applyNumberFormat="1" applyFont="1" applyFill="1" applyBorder="1" applyAlignment="1">
      <x:alignment horizontal="right" vertical="center" wrapText="0"/>
    </x:xf>
    <x:xf numFmtId="201" fontId="4" fillId="0" borderId="0" xfId="0" applyNumberFormat="1" applyFont="1" applyFill="1" applyBorder="1" applyAlignment="1">
      <x:alignment horizontal="left" vertical="center" wrapText="1"/>
    </x:xf>
    <x:xf numFmtId="201" fontId="4" fillId="3" borderId="0" xfId="0" applyNumberFormat="1" applyFont="1" applyFill="1" applyBorder="1" applyAlignment="1">
      <x:alignment horizontal="left" vertical="center" wrapText="1"/>
    </x:xf>
    <x:xf numFmtId="201" fontId="4" fillId="0" borderId="0" xfId="0" applyNumberFormat="1" applyFont="1" applyFill="1" applyBorder="1" applyAlignment="1">
      <x:alignment horizontal="right" vertical="center" wrapText="1"/>
    </x:xf>
    <x:xf numFmtId="201" fontId="4" fillId="3" borderId="0" xfId="0" applyNumberFormat="1" applyFont="1" applyFill="1" applyBorder="1" applyAlignment="1">
      <x:alignment horizontal="right" vertical="center" wrapText="1"/>
    </x:xf>
    <x:xf numFmtId="201" fontId="4" fillId="0" borderId="0" xfId="0" applyNumberFormat="1" applyFont="1" applyFill="1" applyBorder="1" applyAlignment="1">
      <x:alignment horizontal="right" vertical="center" wrapText="0"/>
    </x:xf>
    <x:xf numFmtId="201" fontId="4" fillId="3" borderId="0" xfId="0" applyNumberFormat="1" applyFont="1" applyFill="1" applyBorder="1" applyAlignment="1">
      <x:alignment horizontal="right" vertical="center" wrapText="0"/>
    </x:xf>
    <x:xf numFmtId="202" fontId="4" fillId="0" borderId="0" xfId="0" applyNumberFormat="1" applyFont="1" applyFill="1" applyBorder="1" applyAlignment="1">
      <x:alignment horizontal="right" vertical="center" wrapText="0"/>
    </x:xf>
    <x:xf numFmtId="202" fontId="4" fillId="3" borderId="0" xfId="0" applyNumberFormat="1" applyFont="1" applyFill="1" applyBorder="1" applyAlignment="1">
      <x:alignment horizontal="right" vertical="center" wrapText="0"/>
    </x:xf>
  </x:cellXfs>
  <x:cellStyles count="1">
    <x:cellStyle name="Normal" xfId="0"/>
  </x:cellStyles>
  <x:dxfs count="1">
    <x:dxf>
      <x:font>
        <x:b/>
        <x:color rgb="FF8A4B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8d859499134d4c" /><Relationship Type="http://schemas.openxmlformats.org/officeDocument/2006/relationships/theme" Target="/xl/theme/theme1.xml" Id="Rda128efb3e6c4216" /><Relationship Type="http://schemas.openxmlformats.org/officeDocument/2006/relationships/sharedStrings" Target="/xl/sharedStrings.xml" Id="R65d06cbe025b45f3" /><Relationship Type="http://schemas.openxmlformats.org/officeDocument/2006/relationships/worksheet" Target="/xl/worksheets/sheet1.xml" Id="R8f7082d650f143f4" /><Relationship Type="http://schemas.openxmlformats.org/officeDocument/2006/relationships/worksheet" Target="/xl/worksheets/sheet2.xml" Id="R4e971f698daf4194" /><Relationship Type="http://schemas.openxmlformats.org/officeDocument/2006/relationships/worksheet" Target="/xl/worksheets/sheet3.xml" Id="Rb719fdec0fb74641" /><Relationship Type="http://schemas.openxmlformats.org/officeDocument/2006/relationships/worksheet" Target="/xl/worksheets/sheet4.xml" Id="R861c83ef2af54b56" /><Relationship Type="http://schemas.openxmlformats.org/officeDocument/2006/relationships/worksheet" Target="/xl/worksheets/sheet5.xml" Id="Rca0d264baed842b0" /><Relationship Type="http://schemas.openxmlformats.org/officeDocument/2006/relationships/worksheet" Target="/xl/worksheets/sheet6.xml" Id="Re8f95693cc964b65" /></Relationships>
</file>

<file path=xl/tables/table1.xml><?xml version="1.0" encoding="utf-8"?>
<x:table xmlns:x="http://schemas.openxmlformats.org/spreadsheetml/2006/main" id="12" name="TurgaiSummary" displayName="TurgaiSummary" ref="A5:T40" headerRowCount="1" totalsRowCount="0" totalsRowShown="0">
  <x:autoFilter ref="A5:T40"/>
  <x:tableColumns count="20">
    <x:tableColumn id="1" name="Год"/>
    <x:tableColumn id="2" name="Население: оседлое"/>
    <x:tableColumn id="3" name="Население: кочевое"/>
    <x:tableColumn id="4" name="Сумма населения"/>
    <x:tableColumn id="5" name="Иной общий итог"/>
    <x:tableColumn id="6" name="Момент оценки / база"/>
    <x:tableColumn id="7" name="Рождения: оседлое"/>
    <x:tableColumn id="8" name="Рождения: кочевое"/>
    <x:tableColumn id="9" name="Сумма рождений"/>
    <x:tableColumn id="10" name="Смерти: оседлое"/>
    <x:tableColumn id="11" name="Смерти: кочевое"/>
    <x:tableColumn id="12" name="Сумма смертей"/>
    <x:tableColumn id="13" name="Приход / в область"/>
    <x:tableColumn id="14" name="Выбытие / из области"/>
    <x:tableColumn id="15" name="Охват регистрации"/>
    <x:tableColumn id="16" name="Особые оговорки"/>
    <x:tableColumn id="17" name="Население: страницы"/>
    <x:tableColumn id="18" name="Рождения / смерти: страницы"/>
    <x:tableColumn id="19" name="Миграция: страницы"/>
    <x:tableColumn id="20" name="Исходная часть"/>
  </x:tableColumns>
  <x:tableStyleInfo name="TableStyleLight1" showFirstColumn="0" showLastColumn="0" showRowStripes="1" showColumnStripes="0"/>
</x:table>
</file>

<file path=xl/tables/table2.xml><?xml version="1.0" encoding="utf-8"?>
<x:table xmlns:x="http://schemas.openxmlformats.org/spreadsheetml/2006/main" id="11" name="AnnualMigration" displayName="AnnualMigration" ref="A5:L40" headerRowCount="1" totalsRowCount="0" totalsRowShown="0">
  <x:autoFilter ref="A5:L40"/>
  <x:tableColumns count="12">
    <x:tableColumn id="1" name="Год"/>
    <x:tableColumn id="2" name="Приход: оседлое"/>
    <x:tableColumn id="3" name="Приход: кочевое"/>
    <x:tableColumn id="4" name="Учтённый приход"/>
    <x:tableColumn id="5" name="Выбытие: оседлое"/>
    <x:tableColumn id="6" name="Выбытие: кочевое"/>
    <x:tableColumn id="7" name="Учтённое выбытие"/>
    <x:tableColumn id="8" name="Учётный баланс"/>
    <x:tableColumn id="9" name="Смысл / ограничения"/>
    <x:tableColumn id="10" name="Страницы"/>
    <x:tableColumn id="11" name="Адрес источника"/>
    <x:tableColumn id="12" name="Исходная часть"/>
  </x:tableColumns>
  <x:tableStyleInfo name="TableStyleLight1" showFirstColumn="0" showLastColumn="0" showRowStripes="1" showColumnStripes="0"/>
</x:table>
</file>

<file path=xl/tables/table3.xml><?xml version="1.0" encoding="utf-8"?>
<x:table xmlns:x="http://schemas.openxmlformats.org/spreadsheetml/2006/main" id="13" name="MigrationRecords" displayName="MigrationRecords" ref="A5:L90" headerRowCount="1" totalsRowCount="0" totalsRowShown="0">
  <x:autoFilter ref="A5:L90"/>
  <x:tableColumns count="12">
    <x:tableColumn id="1" name="Год данных"/>
    <x:tableColumn id="2" name="Выпуск"/>
    <x:tableColumn id="3" name="Показатель"/>
    <x:tableColumn id="4" name="Величина"/>
    <x:tableColumn id="5" name="Единица"/>
    <x:tableColumn id="6" name="Семей"/>
    <x:tableColumn id="7" name="Доля"/>
    <x:tableColumn id="8" name="Группа / территория / период"/>
    <x:tableColumn id="9" name="Пояснение"/>
    <x:tableColumn id="10" name="Страницы"/>
    <x:tableColumn id="11" name="Адрес источника"/>
    <x:tableColumn id="12" name="Исходная часть"/>
  </x:tableColumns>
  <x:tableStyleInfo name="TableStyleLight1" showFirstColumn="0" showLastColumn="0" showRowStripes="1" showColumnStripes="0"/>
</x:table>
</file>

<file path=xl/tables/table4.xml><?xml version="1.0" encoding="utf-8"?>
<x:table xmlns:x="http://schemas.openxmlformats.org/spreadsheetml/2006/main" id="14" name="PopulationBalance" displayName="PopulationBalance" ref="A5:K12" headerRowCount="1" totalsRowCount="0" totalsRowShown="0">
  <x:autoFilter ref="A5:K12"/>
  <x:tableColumns count="11">
    <x:tableColumn id="1" name="Год"/>
    <x:tableColumn id="2" name="Начало года"/>
    <x:tableColumn id="3" name="Конец года"/>
    <x:tableColumn id="4" name="Изменение оценок"/>
    <x:tableColumn id="5" name="Рождения − смерти"/>
    <x:tableColumn id="6" name="Учётный баланс миграции"/>
    <x:tableColumn id="7" name="По компонентам"/>
    <x:tableColumn id="8" name="Остаток"/>
    <x:tableColumn id="9" name="Прирост в тексте"/>
    <x:tableColumn id="10" name="Страницы"/>
    <x:tableColumn id="11" name="Пояснение"/>
  </x:tableColumns>
  <x:tableStyleInfo name="TableStyleLight1" showFirstColumn="0" showLastColumn="0" showRowStripes="1" showColumnStripes="0"/>
</x:table>
</file>

<file path=xl/tables/table5.xml><?xml version="1.0" encoding="utf-8"?>
<x:table xmlns:x="http://schemas.openxmlformats.org/spreadsheetml/2006/main" id="1" name="Detail1" displayName="Detail1" ref="A7:M52" headerRowCount="1" totalsRowCount="0" totalsRowShown="0">
  <x:autoFilter ref="A7:M52"/>
  <x:tableColumns count="13">
    <x:tableColumn id="1" name="Год"/>
    <x:tableColumn id="2" name="Пункт"/>
    <x:tableColumn id="3" name="Население, чел."/>
    <x:tableColumn id="4" name="Рождения: М"/>
    <x:tableColumn id="5" name="Рождения: Ж"/>
    <x:tableColumn id="6" name="Рождения: оба пола"/>
    <x:tableColumn id="7" name="Смерти: М"/>
    <x:tableColumn id="8" name="Смерти: Ж"/>
    <x:tableColumn id="9" name="Смерти: оба пола"/>
    <x:tableColumn id="10" name="Р−С"/>
    <x:tableColumn id="11" name="Оговорка"/>
    <x:tableColumn id="12" name="Население: источник"/>
    <x:tableColumn id="13" name="Р/С: источник"/>
  </x:tableColumns>
  <x:tableStyleInfo name="TableStyleLight1" showFirstColumn="0" showLastColumn="0" showRowStripes="1" showColumnStripes="0"/>
</x:table>
</file>

<file path=xl/tables/table6.xml><?xml version="1.0" encoding="utf-8"?>
<x:table xmlns:x="http://schemas.openxmlformats.org/spreadsheetml/2006/main" id="2" name="Detail2" displayName="Detail2" ref="A58:G67" headerRowCount="1" totalsRowCount="0" totalsRowShown="0">
  <x:autoFilter ref="A58:G67"/>
  <x:tableColumns count="7">
    <x:tableColumn id="1" name="Год"/>
    <x:tableColumn id="2" name="Кибитки"/>
    <x:tableColumn id="3" name="Человек на кибитку"/>
    <x:tableColumn id="4" name="Произведение"/>
    <x:tableColumn id="5" name="Кочевые: принято в сводке"/>
    <x:tableColumn id="6" name="Разница с произведением"/>
    <x:tableColumn id="7" name="Основание"/>
  </x:tableColumns>
  <x:tableStyleInfo name="TableStyleLight1" showFirstColumn="0" showLastColumn="0" showRowStripes="1" showColumnStripes="0"/>
</x:table>
</file>

<file path=xl/tables/table7.xml><?xml version="1.0" encoding="utf-8"?>
<x:table xmlns:x="http://schemas.openxmlformats.org/spreadsheetml/2006/main" id="3" name="Detail3" displayName="Detail3" ref="A73:F77" headerRowCount="1" totalsRowCount="0" totalsRowShown="0">
  <x:autoFilter ref="A73:F77"/>
  <x:tableColumns count="6">
    <x:tableColumn id="1" name="Год"/>
    <x:tableColumn id="2" name="Уезд"/>
    <x:tableColumn id="3" name="Рождения"/>
    <x:tableColumn id="4" name="Смерти"/>
    <x:tableColumn id="5" name="Охват"/>
    <x:tableColumn id="6" name="RAW PDF"/>
  </x:tableColumns>
  <x:tableStyleInfo name="TableStyleLight1" showFirstColumn="0" showLastColumn="0" showRowStripes="1" showColumnStripes="0"/>
</x:table>
</file>

<file path=xl/tables/table8.xml><?xml version="1.0" encoding="utf-8"?>
<x:table xmlns:x="http://schemas.openxmlformats.org/spreadsheetml/2006/main" id="4" name="Detail4" displayName="Detail4" ref="A83:D85" headerRowCount="1" totalsRowCount="0" totalsRowShown="0">
  <x:autoFilter ref="A83:D85"/>
  <x:tableColumns count="4">
    <x:tableColumn id="1" name="Год"/>
    <x:tableColumn id="2" name="Тип числа"/>
    <x:tableColumn id="3" name="Людей"/>
    <x:tableColumn id="4" name="Источник и оговорка"/>
  </x:tableColumns>
  <x:tableStyleInfo name="TableStyleLight1" showFirstColumn="0" showLastColumn="0" showRowStripes="1" showColumnStripes="0"/>
</x:table>
</file>

<file path=xl/tables/table9.xml><?xml version="1.0" encoding="utf-8"?>
<x:table xmlns:x="http://schemas.openxmlformats.org/spreadsheetml/2006/main" id="5" name="Detail5" displayName="Detail5" ref="A91:E93" headerRowCount="1" totalsRowCount="0" totalsRowShown="0">
  <x:autoFilter ref="A91:E93"/>
  <x:tableColumns count="5">
    <x:tableColumn id="1" name="Выпуск"/>
    <x:tableColumn id="2" name="Киргизское сословие"/>
    <x:tableColumn id="3" name="Другие сословия"/>
    <x:tableColumn id="4" name="Общий итог"/>
    <x:tableColumn id="5" name="Ограничение"/>
  </x:tableColumns>
  <x:tableStyleInfo name="TableStyleLight1" showFirstColumn="0" showLastColumn="0" showRowStripes="1" showColumnStripes="0"/>
</x:table>
</file>

<file path=xl/tables/table10.xml><?xml version="1.0" encoding="utf-8"?>
<x:table xmlns:x="http://schemas.openxmlformats.org/spreadsheetml/2006/main" id="6" name="Detail6" displayName="Detail6" ref="A99:M101" headerRowCount="1" totalsRowCount="0" totalsRowShown="0">
  <x:autoFilter ref="A99:M101"/>
  <x:tableColumns count="13">
    <x:tableColumn id="1" name="Год"/>
    <x:tableColumn id="2" name="Версия"/>
    <x:tableColumn id="3" name="Рождения&#10;оседлые"/>
    <x:tableColumn id="4" name="Рождения&#10;кочевые"/>
    <x:tableColumn id="5" name="Сумма&#10;рождений"/>
    <x:tableColumn id="6" name="Смерти&#10;оседлые"/>
    <x:tableColumn id="7" name="Смерти&#10;кочевые"/>
    <x:tableColumn id="8" name="Сумма&#10;смертей"/>
    <x:tableColumn id="9" name="Прирост&#10;по разности"/>
    <x:tableColumn id="10" name="Прирост&#10;в печати"/>
    <x:tableColumn id="11" name="Разница&#10;прироста"/>
    <x:tableColumn id="12" name="Общий итог&#10;смертей в печати"/>
    <x:tableColumn id="13" name="Источник"/>
  </x:tableColumns>
  <x:tableStyleInfo name="TableStyleLight1" showFirstColumn="0" showLastColumn="0" showRowStripes="1" showColumnStripes="0"/>
</x:table>
</file>

<file path=xl/tables/table11.xml><?xml version="1.0" encoding="utf-8"?>
<x:table xmlns:x="http://schemas.openxmlformats.org/spreadsheetml/2006/main" id="7" name="Detail7" displayName="Detail7" ref="A107:E113" headerRowCount="1" totalsRowCount="0" totalsRowShown="0">
  <x:autoFilter ref="A107:E113"/>
  <x:tableColumns count="5">
    <x:tableColumn id="1" name="Год выпуска"/>
    <x:tableColumn id="2" name="Дата оценки"/>
    <x:tableColumn id="3" name="Оседлое, чел."/>
    <x:tableColumn id="4" name="Кочевое, чел."/>
    <x:tableColumn id="5" name="Всего, чел."/>
  </x:tableColumns>
  <x:tableStyleInfo name="TableStyleLight1" showFirstColumn="0" showLastColumn="0" showRowStripes="1" showColumnStripes="0"/>
</x:table>
</file>

<file path=xl/tables/table12.xml><?xml version="1.0" encoding="utf-8"?>
<x:table xmlns:x="http://schemas.openxmlformats.org/spreadsheetml/2006/main" id="8" name="Detail8" displayName="Detail8" ref="A119:I125" headerRowCount="1" totalsRowCount="0" totalsRowShown="0">
  <x:autoFilter ref="A119:I125"/>
  <x:tableColumns count="9">
    <x:tableColumn id="1" name="Год"/>
    <x:tableColumn id="2" name="Начало:&#10;оседлые М"/>
    <x:tableColumn id="3" name="Начало:&#10;оседлые Ж"/>
    <x:tableColumn id="4" name="Начало:&#10;кочевые М"/>
    <x:tableColumn id="5" name="Начало:&#10;кочевые Ж"/>
    <x:tableColumn id="6" name="Конец:&#10;оседлые М"/>
    <x:tableColumn id="7" name="Конец:&#10;оседлые Ж"/>
    <x:tableColumn id="8" name="Конец:&#10;кочевые М"/>
    <x:tableColumn id="9" name="Конец:&#10;кочевые Ж"/>
  </x:tableColumns>
  <x:tableStyleInfo name="TableStyleLight1" showFirstColumn="0" showLastColumn="0" showRowStripes="1" showColumnStripes="0"/>
</x:table>
</file>

<file path=xl/tables/table13.xml><?xml version="1.0" encoding="utf-8"?>
<x:table xmlns:x="http://schemas.openxmlformats.org/spreadsheetml/2006/main" id="9" name="Detail9" displayName="Detail9" ref="A131:I137" headerRowCount="1" totalsRowCount="0" totalsRowShown="0">
  <x:autoFilter ref="A131:I137"/>
  <x:tableColumns count="9">
    <x:tableColumn id="1" name="Год"/>
    <x:tableColumn id="2" name="Рождения:&#10;оседлые М"/>
    <x:tableColumn id="3" name="Рождения:&#10;оседлые Ж"/>
    <x:tableColumn id="4" name="Рождения:&#10;кочевые М"/>
    <x:tableColumn id="5" name="Рождения:&#10;кочевые Ж"/>
    <x:tableColumn id="6" name="Смерти:&#10;оседлые М"/>
    <x:tableColumn id="7" name="Смерти:&#10;оседлые Ж"/>
    <x:tableColumn id="8" name="Смерти:&#10;кочевые М"/>
    <x:tableColumn id="9" name="Смерти:&#10;кочевые Ж"/>
  </x:tableColumns>
  <x:tableStyleInfo name="TableStyleLight1" showFirstColumn="0" showLastColumn="0" showRowStripes="1" showColumnStripes="0"/>
</x:table>
</file>

<file path=xl/tables/table14.xml><?xml version="1.0" encoding="utf-8"?>
<x:table xmlns:x="http://schemas.openxmlformats.org/spreadsheetml/2006/main" id="10" name="Detail10" displayName="Detail10" ref="A143:I149" headerRowCount="1" totalsRowCount="0" totalsRowShown="0">
  <x:autoFilter ref="A143:I149"/>
  <x:tableColumns count="9">
    <x:tableColumn id="1" name="Год"/>
    <x:tableColumn id="2" name="Переселилось:&#10;оседлые М"/>
    <x:tableColumn id="3" name="Переселилось:&#10;оседлые Ж"/>
    <x:tableColumn id="4" name="Переселилось:&#10;кочевые М"/>
    <x:tableColumn id="5" name="Переселилось:&#10;кочевые Ж"/>
    <x:tableColumn id="6" name="Выбыло:&#10;оседлые М"/>
    <x:tableColumn id="7" name="Выбыло:&#10;оседлые Ж"/>
    <x:tableColumn id="8" name="Выбыло:&#10;кочевые М"/>
    <x:tableColumn id="9" name="Выбыло:&#10;кочевые Ж"/>
  </x:tableColumns>
  <x:tableStyleInfo name="TableStyleLight1" showFirstColumn="0" showLastColumn="0" showRowStripes="1" showColumnStripes="0"/>
</x:table>
</file>

<file path=xl/tables/table15.xml><?xml version="1.0" encoding="utf-8"?>
<x:table xmlns:x="http://schemas.openxmlformats.org/spreadsheetml/2006/main" id="15" name="SourceNotes" displayName="SourceNotes" ref="A5:F115" headerRowCount="1" totalsRowCount="0" totalsRowShown="0">
  <x:autoFilter ref="A5:F115"/>
  <x:tableColumns count="6">
    <x:tableColumn id="1" name="Год / период"/>
    <x:tableColumn id="2" name="Тема"/>
    <x:tableColumn id="3" name="Пояснение"/>
    <x:tableColumn id="4" name="Страницы"/>
    <x:tableColumn id="5" name="Адрес источника"/>
    <x:tableColumn id="6" name="Исходная часть"/>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f12200536446be" /></Relationships>
</file>

<file path=xl/worksheets/_rels/sheet2.xml.rels>&#65279;<?xml version="1.0" encoding="utf-8"?><Relationships xmlns="http://schemas.openxmlformats.org/package/2006/relationships"><Relationship Type="http://schemas.openxmlformats.org/officeDocument/2006/relationships/table" Target="/xl/tables/table2.xml" Id="R61ff80f1502e4c9f" /></Relationships>
</file>

<file path=xl/worksheets/_rels/sheet3.xml.rels>&#65279;<?xml version="1.0" encoding="utf-8"?><Relationships xmlns="http://schemas.openxmlformats.org/package/2006/relationships"><Relationship Type="http://schemas.openxmlformats.org/officeDocument/2006/relationships/table" Target="/xl/tables/table3.xml" Id="R2cfa38e84f6540af" /></Relationships>
</file>

<file path=xl/worksheets/_rels/sheet4.xml.rels>&#65279;<?xml version="1.0" encoding="utf-8"?><Relationships xmlns="http://schemas.openxmlformats.org/package/2006/relationships"><Relationship Type="http://schemas.openxmlformats.org/officeDocument/2006/relationships/table" Target="/xl/tables/table4.xml" Id="Rf5811a8fc1ed41ae" /></Relationships>
</file>

<file path=xl/worksheets/_rels/sheet5.xml.rels>&#65279;<?xml version="1.0" encoding="utf-8"?><Relationships xmlns="http://schemas.openxmlformats.org/package/2006/relationships"><Relationship Type="http://schemas.openxmlformats.org/officeDocument/2006/relationships/table" Target="/xl/tables/table5.xml" Id="R5b86e32e2ce94532" /><Relationship Type="http://schemas.openxmlformats.org/officeDocument/2006/relationships/table" Target="/xl/tables/table6.xml" Id="Rbaf5e9d0d4954853" /><Relationship Type="http://schemas.openxmlformats.org/officeDocument/2006/relationships/table" Target="/xl/tables/table7.xml" Id="R88403400132149fc" /><Relationship Type="http://schemas.openxmlformats.org/officeDocument/2006/relationships/table" Target="/xl/tables/table8.xml" Id="R5ecd71f9696244af" /><Relationship Type="http://schemas.openxmlformats.org/officeDocument/2006/relationships/table" Target="/xl/tables/table9.xml" Id="R7e98b155331841e6" /><Relationship Type="http://schemas.openxmlformats.org/officeDocument/2006/relationships/table" Target="/xl/tables/table10.xml" Id="R01f6d77887574490" /><Relationship Type="http://schemas.openxmlformats.org/officeDocument/2006/relationships/table" Target="/xl/tables/table11.xml" Id="Rd8b404ded6654dc0" /><Relationship Type="http://schemas.openxmlformats.org/officeDocument/2006/relationships/table" Target="/xl/tables/table12.xml" Id="Rfcb777fefc8f4276" /><Relationship Type="http://schemas.openxmlformats.org/officeDocument/2006/relationships/table" Target="/xl/tables/table13.xml" Id="R7d4ff5e083674ae6" /><Relationship Type="http://schemas.openxmlformats.org/officeDocument/2006/relationships/table" Target="/xl/tables/table14.xml" Id="Rd12d0083af7247c9" /></Relationships>
</file>

<file path=xl/worksheets/_rels/sheet6.xml.rels>&#65279;<?xml version="1.0" encoding="utf-8"?><Relationships xmlns="http://schemas.openxmlformats.org/package/2006/relationships"><Relationship Type="http://schemas.openxmlformats.org/officeDocument/2006/relationships/table" Target="/xl/tables/table15.xml" Id="R4b25dbd332814e4a" /></Relationships>
</file>

<file path=xl/worksheets/sheet1.xml><?xml version="1.0" encoding="utf-8"?>
<x:worksheet xmlns:x="http://schemas.openxmlformats.org/spreadsheetml/2006/main">
  <x:sheetPr>
    <x:tabColor rgb="FF243B53"/>
  </x:sheetPr>
  <x:sheetViews>
    <x:sheetView showGridLines="0" workbookViewId="0">
      <x:pane xSplit="1" ySplit="5" topLeftCell="B6" activePane="bottomRight" state="frozen"/>
    </x:sheetView>
  </x:sheetViews>
  <x:sheetFormatPr defaultRowHeight="15"/>
  <x:cols>
    <x:col min="1" max="1" width="9" hidden="0" customWidth="1"/>
    <x:col min="2" max="2" width="16" hidden="0" customWidth="1"/>
    <x:col min="3" max="3" width="16" hidden="0" customWidth="1"/>
    <x:col min="4" max="4" width="17" hidden="0" customWidth="1"/>
    <x:col min="5" max="5" width="17" hidden="0" customWidth="1"/>
    <x:col min="6" max="6" width="80"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64" hidden="0" customWidth="1"/>
    <x:col min="14" max="14" width="64" hidden="0" customWidth="1"/>
    <x:col min="15" max="15" width="110" hidden="0" customWidth="1"/>
    <x:col min="16" max="16" width="76" hidden="0" customWidth="1"/>
    <x:col min="17" max="17" width="46" hidden="0" customWidth="1"/>
    <x:col min="18" max="18" width="48" hidden="0" customWidth="1"/>
    <x:col min="19" max="19" width="48" hidden="0" customWidth="1"/>
    <x:col min="20" max="20" width="34" hidden="0" customWidth="1"/>
  </x:cols>
  <x:sheetData>
    <x:row r="2" ht="27" customHeight="1">
      <x:c r="A2" s="1" t="str">
        <x:v>Тургайская область: сводка «Обзоров», 1881–1915</x:v>
      </x:c>
    </x:row>
    <x:row r="3">
      <x:c r="A3" s="3" t="str">
        <x:v>Человек, оба пола. Пусто — нет числа. Суммы 1896 неполные. Альтернативы 1908 и исходные итоги — на листе «Детализация».</x:v>
      </x:c>
    </x:row>
    <x:row r="5" ht="58" customHeight="1">
      <x:c r="A5" s="12" t="str">
        <x:v>Год</x:v>
      </x:c>
      <x:c r="B5" s="13" t="str">
        <x:v>Население: оседлое</x:v>
      </x:c>
      <x:c r="C5" s="13" t="str">
        <x:v>Население: кочевое</x:v>
      </x:c>
      <x:c r="D5" s="13" t="str">
        <x:v>Сумма населения</x:v>
      </x:c>
      <x:c r="E5" s="13" t="str">
        <x:v>Иной общий итог</x:v>
      </x:c>
      <x:c r="F5" s="13" t="str">
        <x:v>Момент оценки / база</x:v>
      </x:c>
      <x:c r="G5" s="13" t="str">
        <x:v>Рождения: оседлое</x:v>
      </x:c>
      <x:c r="H5" s="13" t="str">
        <x:v>Рождения: кочевое</x:v>
      </x:c>
      <x:c r="I5" s="13" t="str">
        <x:v>Сумма рождений</x:v>
      </x:c>
      <x:c r="J5" s="13" t="str">
        <x:v>Смерти: оседлое</x:v>
      </x:c>
      <x:c r="K5" s="13" t="str">
        <x:v>Смерти: кочевое</x:v>
      </x:c>
      <x:c r="L5" s="13" t="str">
        <x:v>Сумма смертей</x:v>
      </x:c>
      <x:c r="M5" s="13" t="str">
        <x:v>Приход / в область</x:v>
      </x:c>
      <x:c r="N5" s="13" t="str">
        <x:v>Выбытие / из области</x:v>
      </x:c>
      <x:c r="O5" s="13" t="str">
        <x:v>Охват регистрации</x:v>
      </x:c>
      <x:c r="P5" s="13" t="str">
        <x:v>Особые оговорки</x:v>
      </x:c>
      <x:c r="Q5" s="13" t="str">
        <x:v>Население: страницы</x:v>
      </x:c>
      <x:c r="R5" s="13" t="str">
        <x:v>Рождения / смерти: страницы</x:v>
      </x:c>
      <x:c r="S5" s="13" t="str">
        <x:v>Миграция: страницы</x:v>
      </x:c>
      <x:c r="T5" s="14" t="str">
        <x:v>Исходная часть</x:v>
      </x:c>
    </x:row>
    <x:row r="6" ht="72" customHeight="1">
      <x:c r="A6" s="20" t="n">
        <x:v>1881</x:v>
      </x:c>
      <x:c r="B6" s="26" t="n">
        <x:v>3596</x:v>
      </x:c>
      <x:c r="C6" s="26" t="n">
        <x:f>'Детализация'!D59</x:f>
        <x:v>323110</x:v>
      </x:c>
      <x:c r="D6" s="26" t="n">
        <x:f>IF(COUNT(B6:C6)=2,SUM(B6:C6),"")</x:f>
        <x:v>326706</x:v>
      </x:c>
      <x:c r="E6" s="26"/>
      <x:c r="F6" s="8" t="str">
        <x:v>Оседлое: Не указана. Кочевое: Перечёт 1881; трёхлетие 1881–1883.</x:v>
      </x:c>
      <x:c r="G6" s="26"/>
      <x:c r="H6" s="26"/>
      <x:c r="I6" s="26" t="str">
        <x:f>IF(COUNT(G6:H6)=2,SUM(G6:H6),"")</x:f>
      </x:c>
      <x:c r="J6" s="26"/>
      <x:c r="K6" s="26"/>
      <x:c r="L6" s="26" t="str">
        <x:f>IF(COUNT(J6:K6)=2,SUM(J6:K6),"")</x:f>
      </x:c>
      <x:c r="M6" s="8" t="str">
        <x:v>Кустанай: 1 592 чел.; дополнительно 106 семейств к концу года</x:v>
      </x:c>
      <x:c r="N6" s="8" t="str">
        <x:v>Числа нет</x:v>
      </x:c>
      <x:c r="O6" s="8" t="str">
        <x:v>Полные Р/С не приведены</x:v>
      </x:c>
      <x:c r="P6" s="8" t="str">
        <x:v>323,110 кочевых — расчёт по 5 чел./кибитку</x:v>
      </x:c>
      <x:c r="Q6" s="8" t="str">
        <x:v>Обзор 1881: с. 7; PDF 9</x:v>
      </x:c>
      <x:c r="R6" s="8" t="str">
        <x:v>Не приведены</x:v>
      </x:c>
      <x:c r="S6" s="8" t="str">
        <x:v>7–8 (PDF 9–10)</x:v>
      </x:c>
      <x:c r="T6" s="8" t="str">
        <x:v>Turgaiskaia_188x(1).xlsx</x:v>
      </x:c>
    </x:row>
    <x:row r="7" ht="72" customHeight="1">
      <x:c r="A7" s="21" t="n">
        <x:v>1882</x:v>
      </x:c>
      <x:c r="B7" s="27" t="n">
        <x:v>6403</x:v>
      </x:c>
      <x:c r="C7" s="27" t="n">
        <x:v>323110</x:v>
      </x:c>
      <x:c r="D7" s="27" t="n">
        <x:f>IF(COUNT(B7:C7)=2,SUM(B7:C7),"")</x:f>
        <x:v>329513</x:v>
      </x:c>
      <x:c r="E7" s="27"/>
      <x:c r="F7" s="15" t="str">
        <x:v>Оседлое: Не указана. Кочевое: Перечёт 1881; трёхлетие 1881–1883.</x:v>
      </x:c>
      <x:c r="G7" s="27"/>
      <x:c r="H7" s="27"/>
      <x:c r="I7" s="27" t="str">
        <x:f>IF(COUNT(G7:H7)=2,SUM(G7:H7),"")</x:f>
      </x:c>
      <x:c r="J7" s="27"/>
      <x:c r="K7" s="27"/>
      <x:c r="L7" s="27" t="str">
        <x:f>IF(COUNT(J7:K7)=2,SUM(J7:K7),"")</x:f>
      </x:c>
      <x:c r="M7" s="15" t="str">
        <x:v>Наплыв в Кустанай, без отдельного числа</x:v>
      </x:c>
      <x:c r="N7" s="15" t="str">
        <x:v>Числа нет</x:v>
      </x:c>
      <x:c r="O7" s="15" t="str">
        <x:v>Полные Р/С не приведены</x:v>
      </x:c>
      <x:c r="P7" s="15" t="str">
        <x:v>Кочевая оценка перенесена из 1881</x:v>
      </x:c>
      <x:c r="Q7" s="15" t="str">
        <x:v>Обзор 1882: с. 4–5; PDF 6</x:v>
      </x:c>
      <x:c r="R7" s="15" t="str">
        <x:v>Не приведены</x:v>
      </x:c>
      <x:c r="S7" s="15" t="str">
        <x:v>4–5 (PDF 6–7)</x:v>
      </x:c>
      <x:c r="T7" s="15" t="str">
        <x:v>Turgaiskaia_188x(1).xlsx</x:v>
      </x:c>
    </x:row>
    <x:row r="8" ht="72" customHeight="1">
      <x:c r="A8" s="20" t="n">
        <x:v>1883</x:v>
      </x:c>
      <x:c r="B8" s="26" t="n">
        <x:v>10081</x:v>
      </x:c>
      <x:c r="C8" s="26" t="n">
        <x:v>323110</x:v>
      </x:c>
      <x:c r="D8" s="26" t="n">
        <x:f>IF(COUNT(B8:C8)=2,SUM(B8:C8),"")</x:f>
        <x:v>333191</x:v>
      </x:c>
      <x:c r="E8" s="26"/>
      <x:c r="F8" s="8" t="str">
        <x:v>Оседлое: Не указана. Кочевое: Последний год трёхлетия 1881–1883.</x:v>
      </x:c>
      <x:c r="G8" s="26"/>
      <x:c r="H8" s="26"/>
      <x:c r="I8" s="26" t="str">
        <x:f>IF(COUNT(G8:H8)=2,SUM(G8:H8),"")</x:f>
      </x:c>
      <x:c r="J8" s="26"/>
      <x:c r="K8" s="26"/>
      <x:c r="L8" s="26" t="str">
        <x:f>IF(COUNT(J8:K8)=2,SUM(J8:K8),"")</x:f>
      </x:c>
      <x:c r="M8" s="8" t="str">
        <x:v>Заселение Кустаная, без годового числа</x:v>
      </x:c>
      <x:c r="N8" s="8" t="str">
        <x:v>Числа нет</x:v>
      </x:c>
      <x:c r="O8" s="8" t="str">
        <x:v>Кочевая регистрация не установлена</x:v>
      </x:c>
      <x:c r="P8" s="8" t="str">
        <x:v>Оседлые: «до 10,081»</x:v>
      </x:c>
      <x:c r="Q8" s="8" t="str">
        <x:v>Обзор 1883: с. 3, 6; PDF 8</x:v>
      </x:c>
      <x:c r="R8" s="8" t="str">
        <x:v>Не приведены</x:v>
      </x:c>
      <x:c r="S8" s="8" t="str">
        <x:v>3, 6 (PDF 5, 8)</x:v>
      </x:c>
      <x:c r="T8" s="8" t="str">
        <x:v>Turgaiskaia_188x(1).xlsx</x:v>
      </x:c>
    </x:row>
    <x:row r="9" ht="72" customHeight="1">
      <x:c r="A9" s="21" t="n">
        <x:v>1884</x:v>
      </x:c>
      <x:c r="B9" s="27" t="n">
        <x:v>7525</x:v>
      </x:c>
      <x:c r="C9" s="27" t="n">
        <x:v>322070</x:v>
      </x:c>
      <x:c r="D9" s="27" t="n">
        <x:f>IF(COUNT(B9:C9)=2,SUM(B9:C9),"")</x:f>
        <x:v>329595</x:v>
      </x:c>
      <x:c r="E9" s="27"/>
      <x:c r="F9" s="15" t="str">
        <x:v>Оседлое: Не указана. Кочевое: Новый перечёт на 1884–1886.</x:v>
      </x:c>
      <x:c r="G9" s="27"/>
      <x:c r="H9" s="27"/>
      <x:c r="I9" s="27" t="str">
        <x:f>IF(COUNT(G9:H9)=2,SUM(G9:H9),"")</x:f>
      </x:c>
      <x:c r="J9" s="27"/>
      <x:c r="K9" s="27"/>
      <x:c r="L9" s="27" t="str">
        <x:f>IF(COUNT(J9:K9)=2,SUM(J9:K9),"")</x:f>
      </x:c>
      <x:c r="M9" s="15" t="str">
        <x:v>Числа нет</x:v>
      </x:c>
      <x:c r="N9" s="15" t="str">
        <x:v>Числа нет</x:v>
      </x:c>
      <x:c r="O9" s="15" t="str">
        <x:v>Нет ведомости оседлых Р/С</x:v>
      </x:c>
      <x:c r="P9" s="15" t="str">
        <x:v>Ведомость № 3 отсутствует в скане</x:v>
      </x:c>
      <x:c r="Q9" s="15" t="str">
        <x:v>Обзор 1884: с. 8; PDF 11</x:v>
      </x:c>
      <x:c r="R9" s="15" t="str">
        <x:v>Ведомость № 3 отсутствует</x:v>
      </x:c>
      <x:c r="S9" s="15" t="str">
        <x:v>8–9 (PDF 11–12)</x:v>
      </x:c>
      <x:c r="T9" s="15" t="str">
        <x:v>Turgaiskaia_188x(1).xlsx</x:v>
      </x:c>
    </x:row>
    <x:row r="10" ht="72" customHeight="1">
      <x:c r="A10" s="20" t="n">
        <x:v>1885</x:v>
      </x:c>
      <x:c r="B10" s="26" t="n">
        <x:v>9570</x:v>
      </x:c>
      <x:c r="C10" s="26" t="n">
        <x:v>322070</x:v>
      </x:c>
      <x:c r="D10" s="26" t="n">
        <x:f>IF(COUNT(B10:C10)=2,SUM(B10:C10),"")</x:f>
        <x:v>331640</x:v>
      </x:c>
      <x:c r="E10" s="26"/>
      <x:c r="F10" s="8" t="str">
        <x:v>Оседлое: 01.01.1886. Кочевое: Перенесён перечёт 1884–1886.</x:v>
      </x:c>
      <x:c r="G10" s="26" t="n">
        <x:v>592</x:v>
      </x:c>
      <x:c r="H10" s="26"/>
      <x:c r="I10" s="26" t="str">
        <x:f>IF(COUNT(G10:H10)=2,SUM(G10:H10),"")</x:f>
      </x:c>
      <x:c r="J10" s="26" t="n">
        <x:v>555</x:v>
      </x:c>
      <x:c r="K10" s="26"/>
      <x:c r="L10" s="26" t="str">
        <x:f>IF(COUNT(J10:K10)=2,SUM(J10:K10),"")</x:f>
      </x:c>
      <x:c r="M10" s="8" t="str">
        <x:v>2 008 вновь поселились в пяти оседлых пунктах</x:v>
      </x:c>
      <x:c r="N10" s="8" t="str">
        <x:v>Числа нет</x:v>
      </x:c>
      <x:c r="O10" s="8" t="str">
        <x:v>Р/С пяти оседлых пунктов; кочевые не даны</x:v>
      </x:c>
      <x:c r="P10" s="8" t="str">
        <x:v>Опечатка прироста 2,015 вместо 2,045</x:v>
      </x:c>
      <x:c r="Q10" s="8" t="str">
        <x:v>Обзор 1885: с. 8–9; 21–23; PDF 11</x:v>
      </x:c>
      <x:c r="R10" s="8" t="str">
        <x:v>Ведомость № 3, PDF 31–32</x:v>
      </x:c>
      <x:c r="S10" s="8" t="str">
        <x:v>8–9, 21–23 (PDF 11–12, 24–26)</x:v>
      </x:c>
      <x:c r="T10" s="8" t="str">
        <x:v>Turgaiskaia_188x(1).xlsx</x:v>
      </x:c>
    </x:row>
    <x:row r="11" ht="72" customHeight="1">
      <x:c r="A11" s="21" t="n">
        <x:v>1886</x:v>
      </x:c>
      <x:c r="B11" s="27" t="n">
        <x:v>16756</x:v>
      </x:c>
      <x:c r="C11" s="27" t="n">
        <x:v>322070</x:v>
      </x:c>
      <x:c r="D11" s="27" t="n">
        <x:f>IF(COUNT(B11:C11)=2,SUM(B11:C11),"")</x:f>
        <x:v>338826</x:v>
      </x:c>
      <x:c r="E11" s="27"/>
      <x:c r="F11" s="15" t="str">
        <x:v>Оседлое: Не указана. Кочевое: Перенесён перечёт 1884–1886.</x:v>
      </x:c>
      <x:c r="G11" s="27" t="n">
        <x:v>965</x:v>
      </x:c>
      <x:c r="H11" s="27"/>
      <x:c r="I11" s="27" t="str">
        <x:f>IF(COUNT(G11:H11)=2,SUM(G11:H11),"")</x:f>
      </x:c>
      <x:c r="J11" s="27" t="n">
        <x:v>592</x:v>
      </x:c>
      <x:c r="K11" s="27"/>
      <x:c r="L11" s="27" t="str">
        <x:f>IF(COUNT(J11:K11)=2,SUM(J11:K11),"")</x:f>
      </x:c>
      <x:c r="M11" s="15" t="str">
        <x:v>Приток в Кустанайскую волость и Ак-Тюбе, без числа</x:v>
      </x:c>
      <x:c r="N11" s="15" t="str">
        <x:v>Числа нет</x:v>
      </x:c>
      <x:c r="O11" s="15" t="str">
        <x:v>Р/С пяти оседлых пунктов; кочевые не даны</x:v>
      </x:c>
      <x:c r="P11" s="15" t="str">
        <x:v>Принято 322,070 из таблицы</x:v>
      </x:c>
      <x:c r="Q11" s="15" t="str">
        <x:v>Обзор 1886: с. 6–7; PDF 9</x:v>
      </x:c>
      <x:c r="R11" s="15" t="str">
        <x:v>Ведомость № 3, PDF 25–26</x:v>
      </x:c>
      <x:c r="S11" s="15" t="str">
        <x:v>6–7 (PDF 9–10)</x:v>
      </x:c>
      <x:c r="T11" s="15" t="str">
        <x:v>Turgaiskaia_188x(1).xlsx</x:v>
      </x:c>
    </x:row>
    <x:row r="12" ht="72" customHeight="1">
      <x:c r="A12" s="20" t="n">
        <x:v>1887</x:v>
      </x:c>
      <x:c r="B12" s="26" t="n">
        <x:v>20271</x:v>
      </x:c>
      <x:c r="C12" s="26" t="n">
        <x:v>328915</x:v>
      </x:c>
      <x:c r="D12" s="26" t="n">
        <x:f>IF(COUNT(B12:C12)=2,SUM(B12:C12),"")</x:f>
        <x:v>349186</x:v>
      </x:c>
      <x:c r="E12" s="26"/>
      <x:c r="F12" s="8" t="str">
        <x:v>Оседлое: Не указана. Кочевое: В отчётном году, дата не указана.</x:v>
      </x:c>
      <x:c r="G12" s="26" t="n">
        <x:v>1153</x:v>
      </x:c>
      <x:c r="H12" s="26"/>
      <x:c r="I12" s="26" t="str">
        <x:f>IF(COUNT(G12:H12)=2,SUM(G12:H12),"")</x:f>
      </x:c>
      <x:c r="J12" s="26" t="n">
        <x:v>829</x:v>
      </x:c>
      <x:c r="K12" s="26"/>
      <x:c r="L12" s="26" t="str">
        <x:f>IF(COUNT(J12:K12)=2,SUM(J12:K12),"")</x:f>
      </x:c>
      <x:c r="M12" s="8" t="str">
        <x:v>Приток преимущественно в Кустанай, без числа</x:v>
      </x:c>
      <x:c r="N12" s="8" t="str">
        <x:v>Числа нет</x:v>
      </x:c>
      <x:c r="O12" s="8" t="str">
        <x:v>Р/С пяти оседлых пунктов; кочевые не даны</x:v>
      </x:c>
      <x:c r="P12" s="8" t="str">
        <x:v>Р/С только по оседлым пунктам</x:v>
      </x:c>
      <x:c r="Q12" s="8" t="str">
        <x:v>Обзор 1887: с. 7–8; PDF 10</x:v>
      </x:c>
      <x:c r="R12" s="8" t="str">
        <x:v>Ведомость № 3, PDF 34–35</x:v>
      </x:c>
      <x:c r="S12" s="8" t="str">
        <x:v>7–8; 15 (PDF 10–11; 18)</x:v>
      </x:c>
      <x:c r="T12" s="8" t="str">
        <x:v>Turgaiskaia_188x(1).xlsx</x:v>
      </x:c>
    </x:row>
    <x:row r="13" ht="72" customHeight="1">
      <x:c r="A13" s="21" t="n">
        <x:v>1888</x:v>
      </x:c>
      <x:c r="B13" s="27" t="n">
        <x:v>20592</x:v>
      </x:c>
      <x:c r="C13" s="27" t="n">
        <x:v>329545</x:v>
      </x:c>
      <x:c r="D13" s="27" t="n">
        <x:f>IF(COUNT(B13:C13)=2,SUM(B13:C13),"")</x:f>
        <x:v>350137</x:v>
      </x:c>
      <x:c r="E13" s="27"/>
      <x:c r="F13" s="15" t="str">
        <x:v>Оседлое: Не указана. Кочевое: В отчётном году, дата не указана.</x:v>
      </x:c>
      <x:c r="G13" s="27" t="n">
        <x:v>1523</x:v>
      </x:c>
      <x:c r="H13" s="27"/>
      <x:c r="I13" s="27" t="str">
        <x:f>IF(COUNT(G13:H13)=2,SUM(G13:H13),"")</x:f>
      </x:c>
      <x:c r="J13" s="27" t="n">
        <x:v>849</x:v>
      </x:c>
      <x:c r="K13" s="27"/>
      <x:c r="L13" s="27" t="str">
        <x:f>IF(COUNT(J13:K13)=2,SUM(J13:K13),"")</x:f>
      </x:c>
      <x:c r="M13" s="15" t="str">
        <x:v>Продолжающийся приток в Кустанай, без числа</x:v>
      </x:c>
      <x:c r="N13" s="15" t="str">
        <x:v>Числа нет</x:v>
      </x:c>
      <x:c r="O13" s="15" t="str">
        <x:v>Р/С пяти оседлых пунктов; кочевые не даны</x:v>
      </x:c>
      <x:c r="P13" s="15" t="str">
        <x:v>Кочевой итог отличается от кибитки × 5 на 10</x:v>
      </x:c>
      <x:c r="Q13" s="15" t="str">
        <x:v>Обзор 1888: с. 7–8; PDF 10</x:v>
      </x:c>
      <x:c r="R13" s="15" t="str">
        <x:v>Ведомость № 3, PDF 35–36</x:v>
      </x:c>
      <x:c r="S13" s="15" t="str">
        <x:v>7–8 (PDF 10–11)</x:v>
      </x:c>
      <x:c r="T13" s="15" t="str">
        <x:v>Turgaiskaia_188x(1).xlsx</x:v>
      </x:c>
    </x:row>
    <x:row r="14" ht="72" customHeight="1">
      <x:c r="A14" s="20" t="n">
        <x:v>1889</x:v>
      </x:c>
      <x:c r="B14" s="26" t="n">
        <x:v>22636</x:v>
      </x:c>
      <x:c r="C14" s="26" t="n">
        <x:v>342011</x:v>
      </x:c>
      <x:c r="D14" s="26" t="n">
        <x:f>IF(COUNT(B14:C14)=2,SUM(B14:C14),"")</x:f>
        <x:v>364647</x:v>
      </x:c>
      <x:c r="E14" s="26"/>
      <x:c r="F14" s="8" t="str">
        <x:v>Оседлое: Не указана. Кочевое: В отчётном году, дата не указана.</x:v>
      </x:c>
      <x:c r="G14" s="26" t="n">
        <x:v>6346</x:v>
      </x:c>
      <x:c r="H14" s="26"/>
      <x:c r="I14" s="26" t="str">
        <x:f>IF(COUNT(G14:H14)=2,SUM(G14:H14),"")</x:f>
      </x:c>
      <x:c r="J14" s="26" t="n">
        <x:v>3508</x:v>
      </x:c>
      <x:c r="K14" s="26"/>
      <x:c r="L14" s="26" t="str">
        <x:f>IF(COUNT(J14:K14)=2,SUM(J14:K14),"")</x:f>
      </x:c>
      <x:c r="M14" s="8" t="str">
        <x:v>Приток в Ак-Тюбе и Кустанай, без числа</x:v>
      </x:c>
      <x:c r="N14" s="8" t="str">
        <x:v>Числа нет</x:v>
      </x:c>
      <x:c r="O14" s="8" t="str">
        <x:v>Р/С пяти оседлых пунктов; кочевые не даны</x:v>
      </x:c>
      <x:c r="P14" s="8" t="str">
        <x:v>Кустанай: резкий скачок рождений и смертей</x:v>
      </x:c>
      <x:c r="Q14" s="8" t="str">
        <x:v>Обзор 1889: с. 6–7; 2; PDF 9</x:v>
      </x:c>
      <x:c r="R14" s="8" t="str">
        <x:v>Ведомость № 3, PDF 31–32</x:v>
      </x:c>
      <x:c r="S14" s="8" t="str">
        <x:v>6–7 (PDF 9–10)</x:v>
      </x:c>
      <x:c r="T14" s="8" t="str">
        <x:v>Turgaiskaia_188x(1).xlsx</x:v>
      </x:c>
    </x:row>
    <x:row r="15" ht="72" customHeight="1">
      <x:c r="A15" s="21" t="n">
        <x:v>1890</x:v>
      </x:c>
      <x:c r="B15" s="27" t="n">
        <x:v>32853</x:v>
      </x:c>
      <x:c r="C15" s="27" t="n">
        <x:v>340639</x:v>
      </x:c>
      <x:c r="D15" s="27" t="n">
        <x:f>IF(COUNT(B15:C15)=2,SUM(B15:C15),"")</x:f>
        <x:v>373492</x:v>
      </x:c>
      <x:c r="E15" s="27" t="n">
        <x:v>367839</x:v>
      </x:c>
      <x:c r="F15" s="15" t="str">
        <x:v>01.01.1891 по Обзору 1891</x:v>
      </x:c>
      <x:c r="G15" s="27" t="n">
        <x:v>5292</x:v>
      </x:c>
      <x:c r="H15" s="27"/>
      <x:c r="I15" s="27" t="str">
        <x:f>IF(COUNT(G15:H15)=2,SUM(G15:H15),"")</x:f>
      </x:c>
      <x:c r="J15" s="27" t="n">
        <x:v>3384</x:v>
      </x:c>
      <x:c r="K15" s="27"/>
      <x:c r="L15" s="27" t="str">
        <x:f>IF(COUNT(J15:K15)=2,SUM(J15:K15),"")</x:f>
      </x:c>
      <x:c r="M15" s="15" t="str">
        <x:v>Наплыв в Ак-Тюбе и Кустанай, без числа</x:v>
      </x:c>
      <x:c r="N15" s="15" t="str">
        <x:v>Числа нет</x:v>
      </x:c>
      <x:c r="O15" s="15" t="str">
        <x:v>Только оседлое. Итог рождений противоречит графам по полу.</x:v>
      </x:c>
      <x:c r="P15" s="15" t="str">
        <x:v>Другой общий итог 367 839 — раздел скотоводства.</x:v>
      </x:c>
      <x:c r="Q15" s="15" t="str">
        <x:v>Нас.: с.4 / PDF7; движение: вед.3 / PDF27</x:v>
      </x:c>
      <x:c r="R15" s="15" t="str">
        <x:v>Нас.: с.4 / PDF7; движение: вед.3 / PDF27</x:v>
      </x:c>
      <x:c r="S15" s="15"/>
      <x:c r="T15" s="15" t="str">
        <x:v>Turgaiskaia_189x(1).xlsx</x:v>
      </x:c>
    </x:row>
    <x:row r="16" ht="72" customHeight="1">
      <x:c r="A16" s="20" t="n">
        <x:v>1891</x:v>
      </x:c>
      <x:c r="B16" s="26" t="n">
        <x:v>28030</x:v>
      </x:c>
      <x:c r="C16" s="26" t="n">
        <x:v>349994</x:v>
      </x:c>
      <x:c r="D16" s="26" t="n">
        <x:f>IF(COUNT(B16:C16)=2,SUM(B16:C16),"")</x:f>
        <x:v>378024</x:v>
      </x:c>
      <x:c r="E16" s="26"/>
      <x:c r="F16" s="8" t="str">
        <x:v>01.01.1892</x:v>
      </x:c>
      <x:c r="G16" s="26" t="n">
        <x:v>1779</x:v>
      </x:c>
      <x:c r="H16" s="26"/>
      <x:c r="I16" s="26" t="str">
        <x:f>IF(COUNT(G16:H16)=2,SUM(G16:H16),"")</x:f>
      </x:c>
      <x:c r="J16" s="26" t="n">
        <x:v>1427</x:v>
      </x:c>
      <x:c r="K16" s="26"/>
      <x:c r="L16" s="26" t="str">
        <x:f>IF(COUNT(J16:K16)=2,SUM(J16:K16),"")</x:f>
      </x:c>
      <x:c r="M16" s="8" t="str">
        <x:v>Числа нет</x:v>
      </x:c>
      <x:c r="N16" s="8" t="str">
        <x:v>До 4 400 русских переселенцев; отдельно 15,8% оседлого населения</x:v>
      </x:c>
      <x:c r="O16" s="8" t="str">
        <x:v>Только оседлое. Кочевые рождения и смерти не приведены.</x:v>
      </x:c>
      <x:c r="P16" s="8"/>
      <x:c r="Q16" s="8" t="str">
        <x:v>Нас.: с.8 / PDF14; движение: вед.3 / PDF44</x:v>
      </x:c>
      <x:c r="R16" s="8" t="str">
        <x:v>Нас.: с.8 / PDF14; движение: вед.3 / PDF44</x:v>
      </x:c>
      <x:c r="S16" s="8" t="str">
        <x:v>с.8–9,13 / PDF14–15,19</x:v>
      </x:c>
      <x:c r="T16" s="8" t="str">
        <x:v>Turgaiskaia_189x(1).xlsx</x:v>
      </x:c>
    </x:row>
    <x:row r="17" ht="72" customHeight="1">
      <x:c r="A17" s="21" t="n">
        <x:v>1892</x:v>
      </x:c>
      <x:c r="B17" s="27" t="n">
        <x:v>25943</x:v>
      </x:c>
      <x:c r="C17" s="27" t="n">
        <x:v>353056</x:v>
      </x:c>
      <x:c r="D17" s="27" t="n">
        <x:f>IF(COUNT(B17:C17)=2,SUM(B17:C17),"")</x:f>
        <x:v>378999</x:v>
      </x:c>
      <x:c r="E17" s="27"/>
      <x:c r="F17" s="15" t="str">
        <x:v>01.01.1892 напечатано; вероятно 01.01.1893</x:v>
      </x:c>
      <x:c r="G17" s="27"/>
      <x:c r="H17" s="27"/>
      <x:c r="I17" s="27" t="str">
        <x:f>IF(COUNT(G17:H17)=2,SUM(G17:H17),"")</x:f>
      </x:c>
      <x:c r="J17" s="27"/>
      <x:c r="K17" s="27"/>
      <x:c r="L17" s="27" t="str">
        <x:f>IF(COUNT(J17:K17)=2,SUM(J17:K17),"")</x:f>
      </x:c>
      <x:c r="M17" s="15" t="str">
        <x:v>61 душа водворившихся в Михайловской</x:v>
      </x:c>
      <x:c r="N17" s="15" t="str">
        <x:v>Числа нет</x:v>
      </x:c>
      <x:c r="O17" s="15" t="str">
        <x:v>Приложения отсутствуют в скане. Дата населения противоречива.</x:v>
      </x:c>
      <x:c r="P17" s="15" t="str">
        <x:v>Напечатанная дата не исправлена.</x:v>
      </x:c>
      <x:c r="Q17" s="15" t="str">
        <x:v>Нас.: с.11–12 / PDF14–15; оглавление: PDF3</x:v>
      </x:c>
      <x:c r="R17" s="15" t="str">
        <x:v>Нас.: с.11–12 / PDF14–15; оглавление: PDF3</x:v>
      </x:c>
      <x:c r="S17" s="15"/>
      <x:c r="T17" s="15" t="str">
        <x:v>Turgaiskaia_189x(1).xlsx</x:v>
      </x:c>
    </x:row>
    <x:row r="18" ht="72" customHeight="1">
      <x:c r="A18" s="20" t="n">
        <x:v>1893</x:v>
      </x:c>
      <x:c r="B18" s="26" t="n">
        <x:v>27193</x:v>
      </x:c>
      <x:c r="C18" s="26" t="n">
        <x:v>351290</x:v>
      </x:c>
      <x:c r="D18" s="26" t="n">
        <x:f>IF(COUNT(B18:C18)=2,SUM(B18:C18),"")</x:f>
        <x:v>378483</x:v>
      </x:c>
      <x:c r="E18" s="26"/>
      <x:c r="F18" s="8" t="str">
        <x:v>01.01.1894</x:v>
      </x:c>
      <x:c r="G18" s="26" t="n">
        <x:v>1677</x:v>
      </x:c>
      <x:c r="H18" s="26"/>
      <x:c r="I18" s="26" t="str">
        <x:f>IF(COUNT(G18:H18)=2,SUM(G18:H18),"")</x:f>
      </x:c>
      <x:c r="J18" s="26" t="n">
        <x:v>1366</x:v>
      </x:c>
      <x:c r="K18" s="26"/>
      <x:c r="L18" s="26" t="str">
        <x:f>IF(COUNT(J18:K18)=2,SUM(J18:K18),"")</x:f>
      </x:c>
      <x:c r="M18" s="8" t="str">
        <x:v>Новых чисел нет; повторены 61 душа в Михайловке</x:v>
      </x:c>
      <x:c r="N18" s="8" t="str">
        <x:v>Числа нет</x:v>
      </x:c>
      <x:c r="O18" s="8" t="str">
        <x:v>Только оседлое. Женский итог населения ошибочен.</x:v>
      </x:c>
      <x:c r="P18" s="8"/>
      <x:c r="Q18" s="8" t="str">
        <x:v>Нас.: с.6 / PDF9; движение: вед.3 / PDF35</x:v>
      </x:c>
      <x:c r="R18" s="8" t="str">
        <x:v>Нас.: с.6 / PDF9; движение: вед.3 / PDF35</x:v>
      </x:c>
      <x:c r="S18" s="8" t="str">
        <x:v>с.7 / PDF10</x:v>
      </x:c>
      <x:c r="T18" s="8" t="str">
        <x:v>Turgaiskaia_189x(1).xlsx</x:v>
      </x:c>
    </x:row>
    <x:row r="19" ht="72" customHeight="1">
      <x:c r="A19" s="21" t="n">
        <x:v>1894</x:v>
      </x:c>
      <x:c r="B19" s="27" t="n">
        <x:v>29502</x:v>
      </x:c>
      <x:c r="C19" s="27" t="n">
        <x:v>356798</x:v>
      </x:c>
      <x:c r="D19" s="27" t="n">
        <x:f>IF(COUNT(B19:C19)=2,SUM(B19:C19),"")</x:f>
        <x:v>386300</x:v>
      </x:c>
      <x:c r="E19" s="27"/>
      <x:c r="F19" s="15" t="str">
        <x:v>01.01.1895</x:v>
      </x:c>
      <x:c r="G19" s="27" t="n">
        <x:v>1944</x:v>
      </x:c>
      <x:c r="H19" s="27"/>
      <x:c r="I19" s="27" t="str">
        <x:f>IF(COUNT(G19:H19)=2,SUM(G19:H19),"")</x:f>
      </x:c>
      <x:c r="J19" s="27" t="n">
        <x:v>1111</x:v>
      </x:c>
      <x:c r="K19" s="27"/>
      <x:c r="L19" s="27" t="str">
        <x:f>IF(COUNT(J19:K19)=2,SUM(J19:K19),"")</x:f>
      </x:c>
      <x:c r="M19" s="15" t="str">
        <x:v>1 476 прибывших и впервые учтённых</x:v>
      </x:c>
      <x:c r="N19" s="15" t="str">
        <x:v>Числа нет</x:v>
      </x:c>
      <x:c r="O19" s="15" t="str">
        <x:v>Кочевой прирост 2,058 приведён в тексте; его компоненты отсутствуют.</x:v>
      </x:c>
      <x:c r="P19" s="15"/>
      <x:c r="Q19" s="15" t="str">
        <x:v>Нас.: с.30–31 / PDF31–32; вед.6А / PDF80</x:v>
      </x:c>
      <x:c r="R19" s="15" t="str">
        <x:v>Нас.: с.30–31 / PDF31–32; вед.6А / PDF80</x:v>
      </x:c>
      <x:c r="S19" s="15" t="str">
        <x:v>с.30 / PDF31</x:v>
      </x:c>
      <x:c r="T19" s="15" t="str">
        <x:v>Turgaiskaia_189x(1).xlsx</x:v>
      </x:c>
    </x:row>
    <x:row r="20" ht="72" customHeight="1">
      <x:c r="A20" s="20" t="n">
        <x:v>1895</x:v>
      </x:c>
      <x:c r="B20" s="26" t="n">
        <x:v>30441</x:v>
      </x:c>
      <x:c r="C20" s="26" t="n">
        <x:v>359311</x:v>
      </x:c>
      <x:c r="D20" s="26" t="n">
        <x:f>IF(COUNT(B20:C20)=2,SUM(B20:C20),"")</x:f>
        <x:v>389752</x:v>
      </x:c>
      <x:c r="E20" s="26"/>
      <x:c r="F20" s="8" t="str">
        <x:v>01.01.1896</x:v>
      </x:c>
      <x:c r="G20" s="26" t="n">
        <x:v>2147</x:v>
      </x:c>
      <x:c r="H20" s="26" t="n">
        <x:v>7890</x:v>
      </x:c>
      <x:c r="I20" s="26" t="n">
        <x:f>IF(COUNT(G20:H20)=2,SUM(G20:H20),"")</x:f>
        <x:v>10037</x:v>
      </x:c>
      <x:c r="J20" s="26" t="n">
        <x:v>1208</x:v>
      </x:c>
      <x:c r="K20" s="26" t="n">
        <x:v>5377</x:v>
      </x:c>
      <x:c r="L20" s="26" t="n">
        <x:f>IF(COUNT(J20:K20)=2,SUM(J20:K20),"")</x:f>
        <x:v>6585</x:v>
      </x:c>
      <x:c r="M20" s="8" t="str">
        <x:v>Приписка ранее водворившихся, без числа новых прибытий</x:v>
      </x:c>
      <x:c r="N20" s="8" t="str">
        <x:v>Числа нет</x:v>
      </x:c>
      <x:c r="O20" s="8" t="str">
        <x:v>Обе группы. Источник признаёт метрический учёт кочевников ненадёжным.</x:v>
      </x:c>
      <x:c r="P20" s="8"/>
      <x:c r="Q20" s="8" t="str">
        <x:v>Нас.: с.23 / PDF26; вед.4 / PDF61; охват: с.41 / PDF44</x:v>
      </x:c>
      <x:c r="R20" s="8" t="str">
        <x:v>Нас.: с.23 / PDF26; вед.4 / PDF61; охват: с.41 / PDF44</x:v>
      </x:c>
      <x:c r="S20" s="8" t="str">
        <x:v>с.28 / PDF31</x:v>
      </x:c>
      <x:c r="T20" s="8" t="str">
        <x:v>Turgaiskaia_189x(1).xlsx</x:v>
      </x:c>
    </x:row>
    <x:row r="21" ht="72" customHeight="1">
      <x:c r="A21" s="21" t="n">
        <x:v>1896</x:v>
      </x:c>
      <x:c r="B21" s="27" t="n">
        <x:v>33344</x:v>
      </x:c>
      <x:c r="C21" s="27" t="n">
        <x:v>388344</x:v>
      </x:c>
      <x:c r="D21" s="27" t="n">
        <x:f>IF(COUNT(B21:C21)=2,SUM(B21:C21),"")</x:f>
        <x:v>421688</x:v>
      </x:c>
      <x:c r="E21" s="27"/>
      <x:c r="F21" s="15" t="str">
        <x:v>01.01.1897</x:v>
      </x:c>
      <x:c r="G21" s="27" t="n">
        <x:v>2151</x:v>
      </x:c>
      <x:c r="H21" s="27" t="n">
        <x:v>7713</x:v>
      </x:c>
      <x:c r="I21" s="27" t="n">
        <x:f>IF(COUNT(G21:H21)=2,SUM(G21:H21),"")</x:f>
        <x:v>9864</x:v>
      </x:c>
      <x:c r="J21" s="27" t="n">
        <x:v>1212</x:v>
      </x:c>
      <x:c r="K21" s="27" t="n">
        <x:v>4278</x:v>
      </x:c>
      <x:c r="L21" s="27" t="n">
        <x:f>IF(COUNT(J21:K21)=2,SUM(J21:K21),"")</x:f>
        <x:v>5490</x:v>
      </x:c>
      <x:c r="M21" s="15" t="str">
        <x:v>225 человек, 56 семей, в Актюбинский уезд</x:v>
      </x:c>
      <x:c r="N21" s="15" t="str">
        <x:v>Общий отток неизвестен; выбытие отдельных лиц не исключено</x:v>
      </x:c>
      <x:c r="O21" s="15" t="str">
        <x:v>Кочевое частично: 5/12 волостей Актюбинского; Иргизский отсутствует. Сумма неполная.</x:v>
      </x:c>
      <x:c r="P21" s="15" t="str">
        <x:v>Рождения и смерти: неполная сумма доступных записей.</x:v>
      </x:c>
      <x:c r="Q21" s="15" t="str">
        <x:v>Нас.: с.22 / PDF28; движение: вед.4 / PDF73</x:v>
      </x:c>
      <x:c r="R21" s="15" t="str">
        <x:v>Нас.: с.22 / PDF28; движение: вед.4 / PDF73</x:v>
      </x:c>
      <x:c r="S21" s="15" t="str">
        <x:v>с.22 / PDF28</x:v>
      </x:c>
      <x:c r="T21" s="15" t="str">
        <x:v>Turgaiskaia_189x(1).xlsx</x:v>
      </x:c>
    </x:row>
    <x:row r="22" ht="72" customHeight="1">
      <x:c r="A22" s="20" t="n">
        <x:v>1897</x:v>
      </x:c>
      <x:c r="B22" s="26"/>
      <x:c r="C22" s="26"/>
      <x:c r="D22" s="26" t="str">
        <x:f>IF(COUNT(B22:C22)=2,SUM(B22:C22),"")</x:f>
      </x:c>
      <x:c r="E22" s="26"/>
      <x:c r="F22" s="8" t="str">
        <x:v>Выпуска нет</x:v>
      </x:c>
      <x:c r="G22" s="26"/>
      <x:c r="H22" s="26"/>
      <x:c r="I22" s="26" t="str">
        <x:f>IF(COUNT(G22:H22)=2,SUM(G22:H22),"")</x:f>
      </x:c>
      <x:c r="J22" s="26"/>
      <x:c r="K22" s="26"/>
      <x:c r="L22" s="26" t="str">
        <x:f>IF(COUNT(J22:K22)=2,SUM(J22:K22),"")</x:f>
      </x:c>
      <x:c r="M22" s="8" t="str">
        <x:v>Нет выпуска</x:v>
      </x:c>
      <x:c r="N22" s="8" t="str">
        <x:v>Нет выпуска</x:v>
      </x:c>
      <x:c r="O22" s="8" t="str">
        <x:v>Выпуска нет в подборке.</x:v>
      </x:c>
      <x:c r="P22" s="8" t="str">
        <x:v>Нет выпуска в подборке.</x:v>
      </x:c>
      <x:c r="Q22" s="8"/>
      <x:c r="R22" s="8"/>
      <x:c r="S22" s="8"/>
      <x:c r="T22" s="8" t="str">
        <x:v>Turgaiskaia_189x(1).xlsx</x:v>
      </x:c>
    </x:row>
    <x:row r="23" ht="72" customHeight="1">
      <x:c r="A23" s="21" t="n">
        <x:v>1898</x:v>
      </x:c>
      <x:c r="B23" s="27"/>
      <x:c r="C23" s="27"/>
      <x:c r="D23" s="27" t="str">
        <x:f>IF(COUNT(B23:C23)=2,SUM(B23:C23),"")</x:f>
      </x:c>
      <x:c r="E23" s="27"/>
      <x:c r="F23" s="15" t="str">
        <x:v>Выпуска нет</x:v>
      </x:c>
      <x:c r="G23" s="27"/>
      <x:c r="H23" s="27"/>
      <x:c r="I23" s="27" t="str">
        <x:f>IF(COUNT(G23:H23)=2,SUM(G23:H23),"")</x:f>
      </x:c>
      <x:c r="J23" s="27"/>
      <x:c r="K23" s="27"/>
      <x:c r="L23" s="27" t="str">
        <x:f>IF(COUNT(J23:K23)=2,SUM(J23:K23),"")</x:f>
      </x:c>
      <x:c r="M23" s="15" t="str">
        <x:v>Нет выпуска</x:v>
      </x:c>
      <x:c r="N23" s="15" t="str">
        <x:v>Нет выпуска</x:v>
      </x:c>
      <x:c r="O23" s="15" t="str">
        <x:v>Выпуска нет в подборке.</x:v>
      </x:c>
      <x:c r="P23" s="15" t="str">
        <x:v>Нет выпуска в подборке.</x:v>
      </x:c>
      <x:c r="Q23" s="15"/>
      <x:c r="R23" s="15"/>
      <x:c r="S23" s="15"/>
      <x:c r="T23" s="15" t="str">
        <x:v>Turgaiskaia_189x(1).xlsx</x:v>
      </x:c>
    </x:row>
    <x:row r="24" ht="72" customHeight="1">
      <x:c r="A24" s="20" t="n">
        <x:v>1899</x:v>
      </x:c>
      <x:c r="B24" s="26" t="n">
        <x:v>44193</x:v>
      </x:c>
      <x:c r="C24" s="26" t="n">
        <x:v>400886</x:v>
      </x:c>
      <x:c r="D24" s="26" t="n">
        <x:f>IF(COUNT(B24:C24)=2,SUM(B24:C24),"")</x:f>
        <x:v>445079</x:v>
      </x:c>
      <x:c r="E24" s="26"/>
      <x:c r="F24" s="8" t="str">
        <x:v>01.01.1900</x:v>
      </x:c>
      <x:c r="G24" s="26" t="n">
        <x:v>2919</x:v>
      </x:c>
      <x:c r="H24" s="26" t="n">
        <x:v>12295</x:v>
      </x:c>
      <x:c r="I24" s="26" t="n">
        <x:f>IF(COUNT(G24:H24)=2,SUM(G24:H24),"")</x:f>
        <x:v>15214</x:v>
      </x:c>
      <x:c r="J24" s="26" t="n">
        <x:v>1882</x:v>
      </x:c>
      <x:c r="K24" s="26" t="n">
        <x:v>7086</x:v>
      </x:c>
      <x:c r="L24" s="26" t="n">
        <x:f>IF(COUNT(J24:K24)=2,SUM(J24:K24),"")</x:f>
        <x:v>8968</x:v>
      </x:c>
      <x:c r="M24" s="8" t="str">
        <x:v>Приток в Актюбинский и Кустанайский уезды в последние годы, без числа</x:v>
      </x:c>
      <x:c r="N24" s="8" t="str">
        <x:v>Числа нет</x:v>
      </x:c>
      <x:c r="O24" s="8" t="str">
        <x:v>Обе группы и все 4 уезда в ведомости. Заявления о полном учёте нет.</x:v>
      </x:c>
      <x:c r="P24" s="8"/>
      <x:c r="Q24" s="8" t="str">
        <x:v>Нас. и движение: с.9 / PDF12; вед.4 / PDF55</x:v>
      </x:c>
      <x:c r="R24" s="8" t="str">
        <x:v>Нас. и движение: с.9 / PDF12; вед.4 / PDF55</x:v>
      </x:c>
      <x:c r="S24" s="8" t="str">
        <x:v>с.1,4 / PDF4,7</x:v>
      </x:c>
      <x:c r="T24" s="8" t="str">
        <x:v>Turgaiskaia_189x(1).xlsx</x:v>
      </x:c>
    </x:row>
    <x:row r="25" ht="72" customHeight="1">
      <x:c r="A25" s="21" t="n">
        <x:v>1900</x:v>
      </x:c>
      <x:c r="B25" s="27"/>
      <x:c r="C25" s="27"/>
      <x:c r="D25" s="27" t="str">
        <x:f>IF(COUNT(B25:C25)=2,SUM(B25:C25),"")</x:f>
      </x:c>
      <x:c r="E25" s="27" t="n">
        <x:v>461516</x:v>
      </x:c>
      <x:c r="F25" s="15" t="str">
        <x:v>Общая таблица: 01.01.1901. Общий итог датирован прямо. Прямого разделения оседлое/кочевое нет.</x:v>
      </x:c>
      <x:c r="G25" s="27" t="n">
        <x:v>2707</x:v>
      </x:c>
      <x:c r="H25" s="27" t="n">
        <x:v>13734</x:v>
      </x:c>
      <x:c r="I25" s="27" t="n">
        <x:f>IF(COUNT(G25:H25)=2,SUM(G25:H25),"")</x:f>
        <x:v>16441</x:v>
      </x:c>
      <x:c r="J25" s="27" t="n">
        <x:v>1839</x:v>
      </x:c>
      <x:c r="K25" s="27" t="n">
        <x:v>8170</x:v>
      </x:c>
      <x:c r="L25" s="27" t="n">
        <x:f>IF(COUNT(J25:K25)=2,SUM(J25:K25),"")</x:f>
        <x:v>10009</x:v>
      </x:c>
      <x:c r="M25" s="15" t="str">
        <x:v>Числа нет</x:v>
      </x:c>
      <x:c r="N25" s="15" t="str">
        <x:v>Числа нет</x:v>
      </x:c>
      <x:c r="O25" s="15" t="str">
        <x:v>Оседлое: без отдельной строки русских волостей Актюбинского уезда. Кочевое: 4 уезда; полнота регистрации не доказана.</x:v>
      </x:c>
      <x:c r="P25" s="15" t="str">
        <x:v>Сословное деление не подставлено вместо оседлого/кочевого.</x:v>
      </x:c>
      <x:c r="Q25" s="15" t="str">
        <x:v>с.5 / PDF6; вед.6 / PDF43; вед.14 / PDF59</x:v>
      </x:c>
      <x:c r="R25" s="15" t="str">
        <x:v>с.5 / PDF6; вед.4 / PDF39</x:v>
      </x:c>
      <x:c r="S25" s="15"/>
      <x:c r="T25" s="15" t="str">
        <x:v>Turgaiskaia_190x(1).xlsx</x:v>
      </x:c>
    </x:row>
    <x:row r="26" ht="72" customHeight="1">
      <x:c r="A26" s="20" t="n">
        <x:v>1901</x:v>
      </x:c>
      <x:c r="B26" s="26"/>
      <x:c r="C26" s="26"/>
      <x:c r="D26" s="26" t="str">
        <x:f>IF(COUNT(B26:C26)=2,SUM(B26:C26),"")</x:f>
      </x:c>
      <x:c r="E26" s="26" t="n">
        <x:v>488879</x:v>
      </x:c>
      <x:c r="F26" s="8" t="str">
        <x:v>Общая таблица: 01.01.1902. Общий итог датирован прямо. Прямого разделения оседлое/кочевое нет.</x:v>
      </x:c>
      <x:c r="G26" s="26" t="n">
        <x:v>3117</x:v>
      </x:c>
      <x:c r="H26" s="26" t="n">
        <x:v>13537</x:v>
      </x:c>
      <x:c r="I26" s="26" t="n">
        <x:f>IF(COUNT(G26:H26)=2,SUM(G26:H26),"")</x:f>
        <x:v>16654</x:v>
      </x:c>
      <x:c r="J26" s="26" t="n">
        <x:v>1524</x:v>
      </x:c>
      <x:c r="K26" s="26" t="n">
        <x:v>8781</x:v>
      </x:c>
      <x:c r="L26" s="26" t="n">
        <x:f>IF(COUNT(J26:K26)=2,SUM(J26:K26),"")</x:f>
        <x:v>10305</x:v>
      </x:c>
      <x:c r="M26" s="8" t="str">
        <x:v>Числа нет</x:v>
      </x:c>
      <x:c r="N26" s="8" t="str">
        <x:v>Числа нет</x:v>
      </x:c>
      <x:c r="O26" s="8" t="str">
        <x:v>Оседлое: без отдельной строки русских волостей Актюбинского уезда. Кочевое: 4 уезда; полнота регистрации не доказана.</x:v>
      </x:c>
      <x:c r="P26" s="8" t="str">
        <x:v>Сословное деление не подставлено вместо оседлого/кочевого.</x:v>
      </x:c>
      <x:c r="Q26" s="8" t="str">
        <x:v>с.5 / PDF9; вед.14 / PDF83</x:v>
      </x:c>
      <x:c r="R26" s="8" t="str">
        <x:v>с.5 / PDF9; вед.4 / PDF53</x:v>
      </x:c>
      <x:c r="S26" s="8"/>
      <x:c r="T26" s="8" t="str">
        <x:v>Turgaiskaia_190x(1).xlsx</x:v>
      </x:c>
    </x:row>
    <x:row r="27" ht="72" customHeight="1">
      <x:c r="A27" s="21" t="n">
        <x:v>1902</x:v>
      </x:c>
      <x:c r="B27" s="27" t="n">
        <x:v>77716</x:v>
      </x:c>
      <x:c r="C27" s="27" t="n">
        <x:v>422754</x:v>
      </x:c>
      <x:c r="D27" s="27" t="n">
        <x:f>IF(COUNT(B27:C27)=2,SUM(B27:C27),"")</x:f>
        <x:v>500470</x:v>
      </x:c>
      <x:c r="E27" s="27" t="n">
        <x:v>499123</x:v>
      </x:c>
      <x:c r="F27" s="15" t="str">
        <x:v>Общая таблица: 01.01.1903. Дата общей таблицы. Таблица оседлого/кочевого отдельно не датирована.</x:v>
      </x:c>
      <x:c r="G27" s="27" t="n">
        <x:v>4075</x:v>
      </x:c>
      <x:c r="H27" s="27" t="n">
        <x:v>14321</x:v>
      </x:c>
      <x:c r="I27" s="27" t="n">
        <x:f>IF(COUNT(G27:H27)=2,SUM(G27:H27),"")</x:f>
        <x:v>18396</x:v>
      </x:c>
      <x:c r="J27" s="27" t="n">
        <x:v>3040</x:v>
      </x:c>
      <x:c r="K27" s="27" t="n">
        <x:v>7994</x:v>
      </x:c>
      <x:c r="L27" s="27" t="n">
        <x:f>IF(COUNT(J27:K27)=2,SUM(J27:K27),"")</x:f>
        <x:v>11034</x:v>
      </x:c>
      <x:c r="M27" s="15" t="str">
        <x:v>Внутренний переход Кустанайский → Тургайский уезд, без числа</x:v>
      </x:c>
      <x:c r="N27" s="15" t="str">
        <x:v>Числа внешнего оттока нет</x:v>
      </x:c>
      <x:c r="O27" s="15" t="str">
        <x:v>Оседлое: без отдельной строки русских волостей Актюбинского уезда. Кочевое: 4 уезда; полнота регистрации не доказана.</x:v>
      </x:c>
      <x:c r="P27" s="15" t="str">
        <x:v>Дата общей таблицы. Таблица оседлого/кочевого отдельно не датирована.</x:v>
      </x:c>
      <x:c r="Q27" s="15" t="str">
        <x:v>с.3-4 / PDF7-8</x:v>
      </x:c>
      <x:c r="R27" s="15" t="str">
        <x:v>с.4 / PDF8; вед.4 / PDF57</x:v>
      </x:c>
      <x:c r="S27" s="15" t="str">
        <x:v>с.26 / PDF30</x:v>
      </x:c>
      <x:c r="T27" s="15" t="str">
        <x:v>Turgaiskaia_190x(1).xlsx</x:v>
      </x:c>
    </x:row>
    <x:row r="28" ht="72" customHeight="1">
      <x:c r="A28" s="20" t="n">
        <x:v>1903</x:v>
      </x:c>
      <x:c r="B28" s="26" t="n">
        <x:v>83008</x:v>
      </x:c>
      <x:c r="C28" s="26" t="n">
        <x:v>420623</x:v>
      </x:c>
      <x:c r="D28" s="26" t="n">
        <x:f>IF(COUNT(B28:C28)=2,SUM(B28:C28),"")</x:f>
        <x:v>503631</x:v>
      </x:c>
      <x:c r="E28" s="26" t="n">
        <x:v>514745</x:v>
      </x:c>
      <x:c r="F28" s="8" t="str">
        <x:v>Общая таблица: 01.01.1904. Дата общей таблицы. Таблица оседлого/кочевого отдельно не датирована.</x:v>
      </x:c>
      <x:c r="G28" s="26" t="n">
        <x:v>4792</x:v>
      </x:c>
      <x:c r="H28" s="26" t="n">
        <x:v>14259</x:v>
      </x:c>
      <x:c r="I28" s="26" t="n">
        <x:f>IF(COUNT(G28:H28)=2,SUM(G28:H28),"")</x:f>
        <x:v>19051</x:v>
      </x:c>
      <x:c r="J28" s="26" t="n">
        <x:v>2724</x:v>
      </x:c>
      <x:c r="K28" s="26" t="n">
        <x:v>9083</x:v>
      </x:c>
      <x:c r="L28" s="26" t="n">
        <x:f>IF(COUNT(J28:K28)=2,SUM(J28:K28),"")</x:f>
        <x:v>11807</x:v>
      </x:c>
      <x:c r="M28" s="8" t="str">
        <x:v>Водворено 7 701 мужская душа в Кустанайском уезде</x:v>
      </x:c>
      <x:c r="N28" s="8" t="str">
        <x:v>Числа нет</x:v>
      </x:c>
      <x:c r="O28" s="8" t="str">
        <x:v>Оседлое: без отдельной строки русских волостей Актюбинского уезда. Кочевое: 4 уезда; полнота регистрации не доказана.</x:v>
      </x:c>
      <x:c r="P28" s="8" t="str">
        <x:v>Дата общей таблицы. Таблица оседлого/кочевого отдельно не датирована.</x:v>
      </x:c>
      <x:c r="Q28" s="8" t="str">
        <x:v>с.2-3 / PDF3-4</x:v>
      </x:c>
      <x:c r="R28" s="8" t="str">
        <x:v>с.3 / PDF4; вед.4 / PDF36</x:v>
      </x:c>
      <x:c r="S28" s="8"/>
      <x:c r="T28" s="8" t="str">
        <x:v>Turgaiskaia_190x(1).xlsx</x:v>
      </x:c>
    </x:row>
    <x:row r="29" ht="72" customHeight="1">
      <x:c r="A29" s="21" t="n">
        <x:v>1904</x:v>
      </x:c>
      <x:c r="B29" s="27" t="n">
        <x:v>100095</x:v>
      </x:c>
      <x:c r="C29" s="27" t="n">
        <x:v>435735</x:v>
      </x:c>
      <x:c r="D29" s="27" t="n">
        <x:f>IF(COUNT(B29:C29)=2,SUM(B29:C29),"")</x:f>
        <x:v>535830</x:v>
      </x:c>
      <x:c r="E29" s="27" t="n">
        <x:v>533032</x:v>
      </x:c>
      <x:c r="F29" s="15" t="str">
        <x:v>Общая таблица: 01.01.1904. Напечатано начало отчётного года. Возможна ошибка даты; молча не исправлено.</x:v>
      </x:c>
      <x:c r="G29" s="27" t="n">
        <x:v>5885</x:v>
      </x:c>
      <x:c r="H29" s="27" t="n">
        <x:v>13304</x:v>
      </x:c>
      <x:c r="I29" s="27" t="n">
        <x:f>IF(COUNT(G29:H29)=2,SUM(G29:H29),"")</x:f>
        <x:v>19189</x:v>
      </x:c>
      <x:c r="J29" s="27" t="n">
        <x:v>3524</x:v>
      </x:c>
      <x:c r="K29" s="27" t="n">
        <x:v>8016</x:v>
      </x:c>
      <x:c r="L29" s="27" t="n">
        <x:f>IF(COUNT(J29:K29)=2,SUM(J29:K29),"")</x:f>
        <x:v>11540</x:v>
      </x:c>
      <x:c r="M29" s="15" t="str">
        <x:v>Наплыв в северные уезды, без числа</x:v>
      </x:c>
      <x:c r="N29" s="15" t="str">
        <x:v>Числа нет</x:v>
      </x:c>
      <x:c r="O29" s="15" t="str">
        <x:v>Оседлое: без отдельной строки русских волостей Актюбинского уезда. Кочевое: 4 уезда; полнота регистрации не доказана.</x:v>
      </x:c>
      <x:c r="P29" s="15" t="str">
        <x:v>Напечатано начало отчётного года. Возможна ошибка даты; молча не исправлено.</x:v>
      </x:c>
      <x:c r="Q29" s="15" t="str">
        <x:v>с.2-3 / PDF6-7</x:v>
      </x:c>
      <x:c r="R29" s="15" t="str">
        <x:v>с.3 / PDF7; вед.4 / PDF37</x:v>
      </x:c>
      <x:c r="S29" s="15"/>
      <x:c r="T29" s="15" t="str">
        <x:v>Turgaiskaia_190x(1).xlsx</x:v>
      </x:c>
    </x:row>
    <x:row r="30" ht="72" customHeight="1">
      <x:c r="A30" s="20" t="n">
        <x:v>1905</x:v>
      </x:c>
      <x:c r="B30" s="26" t="n">
        <x:v>123913</x:v>
      </x:c>
      <x:c r="C30" s="26" t="n">
        <x:v>421550</x:v>
      </x:c>
      <x:c r="D30" s="26" t="n">
        <x:f>IF(COUNT(B30:C30)=2,SUM(B30:C30),"")</x:f>
        <x:v>545463</x:v>
      </x:c>
      <x:c r="E30" s="26" t="n">
        <x:v>559965</x:v>
      </x:c>
      <x:c r="F30" s="8" t="str">
        <x:v>Общая таблица: 01.01.1905. Напечатано начало отчётного года. Возможна ошибка даты; молча не исправлено.</x:v>
      </x:c>
      <x:c r="G30" s="26" t="n">
        <x:v>5760</x:v>
      </x:c>
      <x:c r="H30" s="26" t="n">
        <x:v>13182</x:v>
      </x:c>
      <x:c r="I30" s="26" t="n">
        <x:f>IF(COUNT(G30:H30)=2,SUM(G30:H30),"")</x:f>
        <x:v>18942</x:v>
      </x:c>
      <x:c r="J30" s="26" t="n">
        <x:v>3259</x:v>
      </x:c>
      <x:c r="K30" s="26" t="n">
        <x:v>8305</x:v>
      </x:c>
      <x:c r="L30" s="26" t="n">
        <x:f>IF(COUNT(J30:K30)=2,SUM(J30:K30),"")</x:f>
        <x:v>11564</x:v>
      </x:c>
      <x:c r="M30" s="8" t="str">
        <x:v>Продолжается водворение, без общего числа</x:v>
      </x:c>
      <x:c r="N30" s="8" t="str">
        <x:v>Числа нет</x:v>
      </x:c>
      <x:c r="O30" s="8" t="str">
        <x:v>Оседлое: без отдельной строки русских волостей Актюбинского уезда. Кочевое: 4 уезда; полнота регистрации не доказана.</x:v>
      </x:c>
      <x:c r="P30" s="8" t="str">
        <x:v>Напечатано начало отчётного года. Возможна ошибка даты; молча не исправлено.</x:v>
      </x:c>
      <x:c r="Q30" s="8" t="str">
        <x:v>с.2-3 / PDF6-7</x:v>
      </x:c>
      <x:c r="R30" s="8" t="str">
        <x:v>с.3 / PDF7; вед.4 / PDF37</x:v>
      </x:c>
      <x:c r="S30" s="8"/>
      <x:c r="T30" s="8" t="str">
        <x:v>Turgaiskaia_190x(1).xlsx</x:v>
      </x:c>
    </x:row>
    <x:row r="31" ht="72" customHeight="1">
      <x:c r="A31" s="21" t="n">
        <x:v>1906</x:v>
      </x:c>
      <x:c r="B31" s="27" t="n">
        <x:v>146454</x:v>
      </x:c>
      <x:c r="C31" s="27" t="n">
        <x:v>440608</x:v>
      </x:c>
      <x:c r="D31" s="27" t="n">
        <x:f>IF(COUNT(B31:C31)=2,SUM(B31:C31),"")</x:f>
        <x:v>587062</x:v>
      </x:c>
      <x:c r="E31" s="27" t="n">
        <x:v>586051</x:v>
      </x:c>
      <x:c r="F31" s="15" t="str">
        <x:v>Общая таблица: 01.01.1907. Дата общей таблицы. Таблица оседлого/кочевого отдельно не датирована.</x:v>
      </x:c>
      <x:c r="G31" s="27" t="n">
        <x:v>7323</x:v>
      </x:c>
      <x:c r="H31" s="27" t="n">
        <x:v>12870</x:v>
      </x:c>
      <x:c r="I31" s="27" t="n">
        <x:f>IF(COUNT(G31:H31)=2,SUM(G31:H31),"")</x:f>
        <x:v>20193</x:v>
      </x:c>
      <x:c r="J31" s="27" t="n">
        <x:v>4340</x:v>
      </x:c>
      <x:c r="K31" s="27" t="n">
        <x:v>8272</x:v>
      </x:c>
      <x:c r="L31" s="27" t="n">
        <x:f>IF(COUNT(J31:K31)=2,SUM(J31:K31),"")</x:f>
        <x:v>12612</x:v>
      </x:c>
      <x:c r="M31" s="15" t="str">
        <x:v>2 181 — разность граф ретроспективы 1909</x:v>
      </x:c>
      <x:c r="N31" s="15" t="str">
        <x:v>Числа нет</x:v>
      </x:c>
      <x:c r="O31" s="15" t="str">
        <x:v>Движение взято из текста. Годовые приложения отсутствуют: в файле чужие страницы. Полнота регистрации не доказана.</x:v>
      </x:c>
      <x:c r="P31" s="15" t="str">
        <x:v>Дата общей таблицы. Таблица оседлого/кочевого отдельно не датирована.</x:v>
      </x:c>
      <x:c r="Q31" s="15" t="str">
        <x:v>с.2 / PDF3</x:v>
      </x:c>
      <x:c r="R31" s="15" t="str">
        <x:v>с.2 / PDF3</x:v>
      </x:c>
      <x:c r="S31" s="15"/>
      <x:c r="T31" s="15" t="str">
        <x:v>Turgaiskaia_190x(1).xlsx</x:v>
      </x:c>
    </x:row>
    <x:row r="32" ht="72" customHeight="1">
      <x:c r="A32" s="20" t="n">
        <x:v>1907</x:v>
      </x:c>
      <x:c r="B32" s="26" t="n">
        <x:v>155629</x:v>
      </x:c>
      <x:c r="C32" s="26" t="n">
        <x:v>441195</x:v>
      </x:c>
      <x:c r="D32" s="26" t="n">
        <x:f>IF(COUNT(B32:C32)=2,SUM(B32:C32),"")</x:f>
        <x:v>596824</x:v>
      </x:c>
      <x:c r="E32" s="26" t="n">
        <x:v>597824</x:v>
      </x:c>
      <x:c r="F32" s="8" t="str">
        <x:v>Общая таблица: 01.01.1908. Дата общей таблицы. Таблица оседлого/кочевого отдельно не датирована.</x:v>
      </x:c>
      <x:c r="G32" s="26" t="n">
        <x:v>8488</x:v>
      </x:c>
      <x:c r="H32" s="26" t="n">
        <x:v>13398</x:v>
      </x:c>
      <x:c r="I32" s="26" t="n">
        <x:f>IF(COUNT(G32:H32)=2,SUM(G32:H32),"")</x:f>
        <x:v>21886</x:v>
      </x:c>
      <x:c r="J32" s="26" t="n">
        <x:v>5005</x:v>
      </x:c>
      <x:c r="K32" s="26" t="n">
        <x:v>8369</x:v>
      </x:c>
      <x:c r="L32" s="26" t="n">
        <x:f>IF(COUNT(J32:K32)=2,SUM(J32:K32),"")</x:f>
        <x:v>13374</x:v>
      </x:c>
      <x:c r="M32" s="8" t="str">
        <x:v>16 234 за календарный год; иная ретроспективная оценка 8 512</x:v>
      </x:c>
      <x:c r="N32" s="8" t="str">
        <x:v>Общего числа нет; 442 освобождённые доли — другая операция</x:v>
      </x:c>
      <x:c r="O32" s="8" t="str">
        <x:v>Оседлое: без отдельной строки русских волостей Актюбинского уезда. Кочевое: 4 уезда; полнота регистрации не доказана.</x:v>
      </x:c>
      <x:c r="P32" s="8" t="str">
        <x:v>Дата общей таблицы. Таблица оседлого/кочевого отдельно не датирована.</x:v>
      </x:c>
      <x:c r="Q32" s="8" t="str">
        <x:v>с.2 / PDF8</x:v>
      </x:c>
      <x:c r="R32" s="8" t="str">
        <x:v>с.2 / PDF8; вед.4 / PDF40</x:v>
      </x:c>
      <x:c r="S32" s="8"/>
      <x:c r="T32" s="8" t="str">
        <x:v>Turgaiskaia_190x(1).xlsx</x:v>
      </x:c>
    </x:row>
    <x:row r="33" ht="72" customHeight="1">
      <x:c r="A33" s="21" t="n">
        <x:v>1908</x:v>
      </x:c>
      <x:c r="B33" s="27" t="n">
        <x:v>175725</x:v>
      </x:c>
      <x:c r="C33" s="27" t="n">
        <x:v>438446</x:v>
      </x:c>
      <x:c r="D33" s="27" t="n">
        <x:f>IF(COUNT(B33:C33)=2,SUM(B33:C33),"")</x:f>
        <x:v>614171</x:v>
      </x:c>
      <x:c r="E33" s="27" t="n">
        <x:v>614171</x:v>
      </x:c>
      <x:c r="F33" s="15" t="str">
        <x:v>Общая таблица: 01.01.1909. Дата общей таблицы. Таблица оседлого/кочевого отдельно не датирована.</x:v>
      </x:c>
      <x:c r="G33" s="27" t="n">
        <x:v>10607</x:v>
      </x:c>
      <x:c r="H33" s="27" t="n">
        <x:v>14120</x:v>
      </x:c>
      <x:c r="I33" s="27" t="n">
        <x:f>IF(COUNT(G33:H33)=2,SUM(G33:H33),"")</x:f>
        <x:v>24727</x:v>
      </x:c>
      <x:c r="J33" s="27" t="n">
        <x:v>7059</x:v>
      </x:c>
      <x:c r="K33" s="27" t="n">
        <x:v>8687</x:v>
      </x:c>
      <x:c r="L33" s="27" t="n">
        <x:f>IF(COUNT(J33:K33)=2,SUM(J33:K33),"")</x:f>
        <x:v>15746</x:v>
      </x:c>
      <x:c r="M33" s="15" t="str">
        <x:v>4 574 обоего пола</x:v>
      </x:c>
      <x:c r="N33" s="15" t="str">
        <x:v>Общего числа нет; 2 011 оставили участки, направление неизвестно</x:v>
      </x:c>
      <x:c r="O33" s="15" t="str">
        <x:v>Основная версия — текст. Ведомость 4 даёт другие итоги и отдельно включает русские волости Актюбинского уезда.</x:v>
      </x:c>
      <x:c r="P33" s="15" t="str">
        <x:v>Две версии движения; см. «Детализация».</x:v>
      </x:c>
      <x:c r="Q33" s="15" t="str">
        <x:v>с.2 / PDF8</x:v>
      </x:c>
      <x:c r="R33" s="15" t="str">
        <x:v>с.2 / PDF8; вед.4 / PDF46</x:v>
      </x:c>
      <x:c r="S33" s="15"/>
      <x:c r="T33" s="15" t="str">
        <x:v>Turgaiskaia_190x(1).xlsx</x:v>
      </x:c>
    </x:row>
    <x:row r="34" ht="72" customHeight="1">
      <x:c r="A34" s="20" t="n">
        <x:v>1909</x:v>
      </x:c>
      <x:c r="B34" s="26" t="n">
        <x:v>227760</x:v>
      </x:c>
      <x:c r="C34" s="26" t="n">
        <x:v>452750</x:v>
      </x:c>
      <x:c r="D34" s="26" t="n">
        <x:f>IF(COUNT(B34:C34)=2,SUM(B34:C34),"")</x:f>
        <x:v>680510</x:v>
      </x:c>
      <x:c r="E34" s="26" t="n">
        <x:v>680510</x:v>
      </x:c>
      <x:c r="F34" s="8" t="str">
        <x:v>Общая таблица: 01.01.1910. Дата прямо указана в источнике.</x:v>
      </x:c>
      <x:c r="G34" s="26" t="n">
        <x:v>11924</x:v>
      </x:c>
      <x:c r="H34" s="26" t="n">
        <x:v>14121</x:v>
      </x:c>
      <x:c r="I34" s="26" t="n">
        <x:f>IF(COUNT(G34:H34)=2,SUM(G34:H34),"")</x:f>
        <x:v>26045</x:v>
      </x:c>
      <x:c r="J34" s="26" t="n">
        <x:v>9261</x:v>
      </x:c>
      <x:c r="K34" s="26" t="n">
        <x:v>8985</x:v>
      </x:c>
      <x:c r="L34" s="26" t="n">
        <x:f>IF(COUNT(J34:K34)=2,SUM(J34:K34),"")</x:f>
        <x:v>18246</x:v>
      </x:c>
      <x:c r="M34" s="8" t="str">
        <x:v>22 025: 19 701 оседлых + 2 324 кочевых</x:v>
      </x:c>
      <x:c r="N34" s="8" t="str">
        <x:v>1 355 по учётной таблице; отдельное кочевое выбытие не дано</x:v>
      </x:c>
      <x:c r="O34" s="8" t="str">
        <x:v>Метрические книги в казахских волостях не ведутся; сведения старшин и управителей признаны не вполне достоверными.</x:v>
      </x:c>
      <x:c r="P34" s="8" t="str">
        <x:v>Начало 1909: 652 041; оценка 1908 на ту же дату: 614 171.</x:v>
      </x:c>
      <x:c r="Q34" s="8" t="str">
        <x:v>с.15 / PDF18, табл.6-7</x:v>
      </x:c>
      <x:c r="R34" s="8" t="str">
        <x:v>с.13-14 / PDF16-17, табл.3,5</x:v>
      </x:c>
      <x:c r="S34" s="8" t="str">
        <x:v>с.13–14 / PDF16–17, табл.3,5</x:v>
      </x:c>
      <x:c r="T34" s="8" t="str">
        <x:v>Turgaiskaia_190x(1).xlsx</x:v>
      </x:c>
    </x:row>
    <x:row r="35" ht="72" customHeight="1">
      <x:c r="A35" s="21" t="n">
        <x:v>1910</x:v>
      </x:c>
      <x:c r="B35" s="27" t="n">
        <x:f>SUM('Детализация'!F120:G120)</x:f>
        <x:v>250872</x:v>
      </x:c>
      <x:c r="C35" s="27" t="n">
        <x:f>SUM('Детализация'!H120:I120)</x:f>
        <x:v>461743</x:v>
      </x:c>
      <x:c r="D35" s="27" t="n">
        <x:f>IF(COUNT(B35:C35)=2,SUM(B35:C35),"")</x:f>
        <x:v>712615</x:v>
      </x:c>
      <x:c r="E35" s="27"/>
      <x:c r="F35" s="15" t="str">
        <x:v>01.01.1911</x:v>
      </x:c>
      <x:c r="G35" s="27" t="n">
        <x:f>SUM('Детализация'!B132:C132)</x:f>
        <x:v>13662</x:v>
      </x:c>
      <x:c r="H35" s="27" t="n">
        <x:f>SUM('Детализация'!D132:E132)</x:f>
        <x:v>15544</x:v>
      </x:c>
      <x:c r="I35" s="27" t="n">
        <x:f>IF(COUNT(G35:H35)=2,SUM(G35:H35),"")</x:f>
        <x:v>29206</x:v>
      </x:c>
      <x:c r="J35" s="27" t="n">
        <x:f>SUM('Детализация'!F132:G132)</x:f>
        <x:v>9828</x:v>
      </x:c>
      <x:c r="K35" s="27" t="n">
        <x:f>SUM('Детализация'!H132:I132)</x:f>
        <x:v>10729</x:v>
      </x:c>
      <x:c r="L35" s="27" t="n">
        <x:f>IF(COUNT(J35:K35)=2,SUM(J35:K35),"")</x:f>
        <x:v>20557</x:v>
      </x:c>
      <x:c r="M35" s="15" t="str">
        <x:v>32 513: оседлое 26 350, кочевое 6 163</x:v>
      </x:c>
      <x:c r="N35" s="15" t="str">
        <x:v>9 116: оседлое 7 131, кочевое 1 985</x:v>
      </x:c>
      <x:c r="O35" s="15" t="str">
        <x:v>Метрические книги в казахских волостях не ведутся. Сведения о движении населения дают аульные старшины и волостные управители; выводы о приросте кочевого населения авторы считают не вполне достоверными.</x:v>
      </x:c>
      <x:c r="P35" s="15"/>
      <x:c r="Q35" s="15" t="str">
        <x:v>с.16 / PDF24, табл.6</x:v>
      </x:c>
      <x:c r="R35" s="15" t="str">
        <x:v>Рождения: табл.3 / PDF22; смерти: табл.5 / PDF23</x:v>
      </x:c>
      <x:c r="S35" s="15" t="str">
        <x:v>Переселение: табл.3 / PDF22; выбытие: табл.5 / PDF23</x:v>
      </x:c>
      <x:c r="T35" s="15" t="str">
        <x:v>Turgaiskaia_191x(1).xlsx</x:v>
      </x:c>
    </x:row>
    <x:row r="36" ht="72" customHeight="1">
      <x:c r="A36" s="20" t="n">
        <x:v>1911</x:v>
      </x:c>
      <x:c r="B36" s="26" t="n">
        <x:f>SUM('Детализация'!F121:G121)</x:f>
        <x:v>279034</x:v>
      </x:c>
      <x:c r="C36" s="26" t="n">
        <x:f>SUM('Детализация'!H121:I121)</x:f>
        <x:v>470109</x:v>
      </x:c>
      <x:c r="D36" s="26" t="n">
        <x:f>IF(COUNT(B36:C36)=2,SUM(B36:C36),"")</x:f>
        <x:v>749143</x:v>
      </x:c>
      <x:c r="E36" s="26"/>
      <x:c r="F36" s="8" t="str">
        <x:v>01.01.1912</x:v>
      </x:c>
      <x:c r="G36" s="26" t="n">
        <x:f>SUM('Детализация'!B133:C133)</x:f>
        <x:v>15401</x:v>
      </x:c>
      <x:c r="H36" s="26" t="n">
        <x:f>SUM('Детализация'!D133:E133)</x:f>
        <x:v>18925</x:v>
      </x:c>
      <x:c r="I36" s="26" t="n">
        <x:f>IF(COUNT(G36:H36)=2,SUM(G36:H36),"")</x:f>
        <x:v>34326</x:v>
      </x:c>
      <x:c r="J36" s="26" t="n">
        <x:f>SUM('Детализация'!F133:G133)</x:f>
        <x:v>10960</x:v>
      </x:c>
      <x:c r="K36" s="26" t="n">
        <x:f>SUM('Детализация'!H133:I133)</x:f>
        <x:v>11049</x:v>
      </x:c>
      <x:c r="L36" s="26" t="n">
        <x:f>IF(COUNT(J36:K36)=2,SUM(J36:K36),"")</x:f>
        <x:v>22009</x:v>
      </x:c>
      <x:c r="M36" s="8" t="str">
        <x:v>39 980: оседлое 36 618, кочевое 3 362</x:v>
      </x:c>
      <x:c r="N36" s="8" t="str">
        <x:v>15 889: оседлое 12 898, кочевое 2 991</x:v>
      </x:c>
      <x:c r="O36" s="8" t="str">
        <x:v>Повторено отсутствие метрических книг и зависимость от аульных и волостных сведений. В переселенческой таблице отдельно отмечено отсутствие точных сведений от VI подрайона и 3-го участка крестьянского начальника Кустанайского уезда (с.107 / PDF115).</x:v>
      </x:c>
      <x:c r="P36" s="8"/>
      <x:c r="Q36" s="8" t="str">
        <x:v>с.16 / PDF24, табл.6</x:v>
      </x:c>
      <x:c r="R36" s="8" t="str">
        <x:v>Рождения: табл.3 / PDF22; смерти: табл.5 / PDF23</x:v>
      </x:c>
      <x:c r="S36" s="8" t="str">
        <x:v>Переселение: табл.3 / PDF22; выбытие: табл.5 / PDF23</x:v>
      </x:c>
      <x:c r="T36" s="8" t="str">
        <x:v>Turgaiskaia_191x(1).xlsx</x:v>
      </x:c>
    </x:row>
    <x:row r="37" ht="72" customHeight="1">
      <x:c r="A37" s="21" t="n">
        <x:v>1912</x:v>
      </x:c>
      <x:c r="B37" s="27" t="n">
        <x:f>SUM('Детализация'!F122:G122)</x:f>
        <x:v>318168</x:v>
      </x:c>
      <x:c r="C37" s="27" t="n">
        <x:f>SUM('Детализация'!H122:I122)</x:f>
        <x:v>480569</x:v>
      </x:c>
      <x:c r="D37" s="27" t="n">
        <x:f>IF(COUNT(B37:C37)=2,SUM(B37:C37),"")</x:f>
        <x:v>798737</x:v>
      </x:c>
      <x:c r="E37" s="27"/>
      <x:c r="F37" s="15" t="str">
        <x:v>01.01.1913</x:v>
      </x:c>
      <x:c r="G37" s="27" t="n">
        <x:f>SUM('Детализация'!B134:C134)</x:f>
        <x:v>20221</x:v>
      </x:c>
      <x:c r="H37" s="27" t="n">
        <x:f>SUM('Детализация'!D134:E134)</x:f>
        <x:v>21490</x:v>
      </x:c>
      <x:c r="I37" s="27" t="n">
        <x:f>IF(COUNT(G37:H37)=2,SUM(G37:H37),"")</x:f>
        <x:v>41711</x:v>
      </x:c>
      <x:c r="J37" s="27" t="n">
        <x:f>SUM('Детализация'!F134:G134)</x:f>
        <x:v>8292</x:v>
      </x:c>
      <x:c r="K37" s="27" t="n">
        <x:f>SUM('Детализация'!H134:I134)</x:f>
        <x:v>11519</x:v>
      </x:c>
      <x:c r="L37" s="27" t="n">
        <x:f>IF(COUNT(J37:K37)=2,SUM(J37:K37),"")</x:f>
        <x:v>19811</x:v>
      </x:c>
      <x:c r="M37" s="15" t="str">
        <x:v>39 106: оседлое 36 674, кочевое 2 432</x:v>
      </x:c>
      <x:c r="N37" s="15" t="str">
        <x:v>11 412: оседлое 9 469, кочевое 1 943</x:v>
      </x:c>
      <x:c r="O37" s="15" t="str">
        <x:v>Повторено отсутствие метрических книг и недостаточная достоверность кочевой регистрации. Данные о ходоках в специальном разделе охватывают только некоторые подрайоны. В табл.5, по-видимому, переставлены заголовки оседлого и кочевого выбытия.</x:v>
      </x:c>
      <x:c r="P37" s="15" t="str">
        <x:v>Выбытие: принято объяснённое отнесение групп; буквальные заголовки сохранены.</x:v>
      </x:c>
      <x:c r="Q37" s="15" t="str">
        <x:v>с.16 / PDF26, табл.6</x:v>
      </x:c>
      <x:c r="R37" s="15" t="str">
        <x:v>Рождения: табл.3 / PDF24; смерти: табл.5 / PDF25</x:v>
      </x:c>
      <x:c r="S37" s="15" t="str">
        <x:v>Переселение: табл.3 / PDF24; выбытие: табл.5 / PDF25</x:v>
      </x:c>
      <x:c r="T37" s="15" t="str">
        <x:v>Turgaiskaia_191x(1).xlsx</x:v>
      </x:c>
    </x:row>
    <x:row r="38" ht="72" customHeight="1">
      <x:c r="A38" s="20" t="n">
        <x:v>1913</x:v>
      </x:c>
      <x:c r="B38" s="26" t="n">
        <x:f>SUM('Детализация'!F123:G123)</x:f>
        <x:v>334968</x:v>
      </x:c>
      <x:c r="C38" s="26" t="n">
        <x:f>SUM('Детализация'!H123:I123)</x:f>
        <x:v>488917</x:v>
      </x:c>
      <x:c r="D38" s="26" t="n">
        <x:f>IF(COUNT(B38:C38)=2,SUM(B38:C38),"")</x:f>
        <x:v>823885</x:v>
      </x:c>
      <x:c r="E38" s="26"/>
      <x:c r="F38" s="8" t="str">
        <x:v>01.01.1914</x:v>
      </x:c>
      <x:c r="G38" s="26" t="n">
        <x:f>SUM('Детализация'!B135:C135)</x:f>
        <x:v>18305</x:v>
      </x:c>
      <x:c r="H38" s="26" t="n">
        <x:f>SUM('Детализация'!D135:E135)</x:f>
        <x:v>20498</x:v>
      </x:c>
      <x:c r="I38" s="26" t="n">
        <x:f>IF(COUNT(G38:H38)=2,SUM(G38:H38),"")</x:f>
        <x:v>38803</x:v>
      </x:c>
      <x:c r="J38" s="26" t="n">
        <x:f>SUM('Детализация'!F135:G135)</x:f>
        <x:v>11577</x:v>
      </x:c>
      <x:c r="K38" s="26" t="n">
        <x:f>SUM('Детализация'!H135:I135)</x:f>
        <x:v>11830</x:v>
      </x:c>
      <x:c r="L38" s="26" t="n">
        <x:f>IF(COUNT(J38:K38)=2,SUM(J38:K38),"")</x:f>
        <x:v>23407</x:v>
      </x:c>
      <x:c r="M38" s="8" t="str">
        <x:v>23 801: оседлое 23 179, кочевое 622</x:v>
      </x:c>
      <x:c r="N38" s="8" t="str">
        <x:v>15 193: оседлое 14 251, кочевое 942</x:v>
      </x:c>
      <x:c r="O38" s="8" t="str">
        <x:v>Оговорка об отсутствии метрических книг продолжается на с.6 / PDF9. Начальная оседлая численность Тургайского уезда изменена из-за отнесения посёлка Чулаксай; итоги таблицы не полностью согласуются с уездными строками.</x:v>
      </x:c>
      <x:c r="P38" s="8" t="str">
        <x:v>Чулаксай: остаток баланса 1 144.</x:v>
      </x:c>
      <x:c r="Q38" s="8" t="str">
        <x:v>с.7 / PDF10, табл.6</x:v>
      </x:c>
      <x:c r="R38" s="8" t="str">
        <x:v>Рождения: табл.3 / PDF8; смерти: табл.5 / PDF9</x:v>
      </x:c>
      <x:c r="S38" s="8" t="str">
        <x:v>Переселение: табл.3 / PDF8; выбытие: табл.5 / PDF9</x:v>
      </x:c>
      <x:c r="T38" s="8" t="str">
        <x:v>Turgaiskaia_191x(1).xlsx</x:v>
      </x:c>
    </x:row>
    <x:row r="39" ht="72" customHeight="1">
      <x:c r="A39" s="21" t="n">
        <x:v>1914</x:v>
      </x:c>
      <x:c r="B39" s="27" t="n">
        <x:f>SUM('Детализация'!F124:G124)</x:f>
        <x:v>343890</x:v>
      </x:c>
      <x:c r="C39" s="27" t="n">
        <x:f>SUM('Детализация'!H124:I124)</x:f>
        <x:v>498516</x:v>
      </x:c>
      <x:c r="D39" s="27" t="n">
        <x:f>IF(COUNT(B39:C39)=2,SUM(B39:C39),"")</x:f>
        <x:v>842406</x:v>
      </x:c>
      <x:c r="E39" s="27"/>
      <x:c r="F39" s="15" t="str">
        <x:v>01.01.1915</x:v>
      </x:c>
      <x:c r="G39" s="27" t="n">
        <x:f>SUM('Детализация'!B136:C136)</x:f>
        <x:v>17605</x:v>
      </x:c>
      <x:c r="H39" s="27" t="n">
        <x:f>SUM('Детализация'!D136:E136)</x:f>
        <x:v>22340</x:v>
      </x:c>
      <x:c r="I39" s="27" t="n">
        <x:f>IF(COUNT(G39:H39)=2,SUM(G39:H39),"")</x:f>
        <x:v>39945</x:v>
      </x:c>
      <x:c r="J39" s="27" t="n">
        <x:f>SUM('Детализация'!F136:G136)</x:f>
        <x:v>11364</x:v>
      </x:c>
      <x:c r="K39" s="27" t="n">
        <x:f>SUM('Детализация'!H136:I136)</x:f>
        <x:v>13553</x:v>
      </x:c>
      <x:c r="L39" s="27" t="n">
        <x:f>IF(COUNT(J39:K39)=2,SUM(J39:K39),"")</x:f>
        <x:v>24917</x:v>
      </x:c>
      <x:c r="M39" s="15" t="str">
        <x:v>26 841: оседлое 21 101, кочевое 5 740</x:v>
      </x:c>
      <x:c r="N39" s="15" t="str">
        <x:v>23 348: оседлое 18 420, кочевое 4 928</x:v>
      </x:c>
      <x:c r="O39" s="15" t="str">
        <x:v>Оговорка об отсутствии метрических книг продолжается на с.6 / PDF14. В табл.111 по нескольким подрайонам нет сведений о ходоках. Война и закрытие железных дорог для переселенцев повлияли на движение и освобождение долей.</x:v>
      </x:c>
      <x:c r="P39" s="15"/>
      <x:c r="Q39" s="15" t="str">
        <x:v>с.7 / PDF15, табл.6</x:v>
      </x:c>
      <x:c r="R39" s="15" t="str">
        <x:v>Рождения: табл.3 / PDF13; смерти: табл.5 / PDF14</x:v>
      </x:c>
      <x:c r="S39" s="15" t="str">
        <x:v>Переселение: табл.3 / PDF13; выбытие: табл.5 / PDF14</x:v>
      </x:c>
      <x:c r="T39" s="15" t="str">
        <x:v>Turgaiskaia_191x(1).xlsx</x:v>
      </x:c>
    </x:row>
    <x:row r="40" ht="72" customHeight="1">
      <x:c r="A40" s="20" t="n">
        <x:v>1915</x:v>
      </x:c>
      <x:c r="B40" s="26" t="n">
        <x:f>SUM('Детализация'!F125:G125)</x:f>
        <x:v>347278</x:v>
      </x:c>
      <x:c r="C40" s="26" t="n">
        <x:f>SUM('Детализация'!H125:I125)</x:f>
        <x:v>507338</x:v>
      </x:c>
      <x:c r="D40" s="26" t="n">
        <x:f>IF(COUNT(B40:C40)=2,SUM(B40:C40),"")</x:f>
        <x:v>854616</x:v>
      </x:c>
      <x:c r="E40" s="26"/>
      <x:c r="F40" s="8" t="str">
        <x:v>01.01.1916</x:v>
      </x:c>
      <x:c r="G40" s="26" t="n">
        <x:f>SUM('Детализация'!B137:C137)</x:f>
        <x:v>14950</x:v>
      </x:c>
      <x:c r="H40" s="26" t="n">
        <x:f>SUM('Детализация'!D137:E137)</x:f>
        <x:v>23777</x:v>
      </x:c>
      <x:c r="I40" s="26" t="n">
        <x:f>IF(COUNT(G40:H40)=2,SUM(G40:H40),"")</x:f>
        <x:v>38727</x:v>
      </x:c>
      <x:c r="J40" s="26" t="n">
        <x:f>SUM('Детализация'!F137:G137)</x:f>
        <x:v>11131</x:v>
      </x:c>
      <x:c r="K40" s="26" t="n">
        <x:f>SUM('Детализация'!H137:I137)</x:f>
        <x:v>14667</x:v>
      </x:c>
      <x:c r="L40" s="26" t="n">
        <x:f>IF(COUNT(J40:K40)=2,SUM(J40:K40),"")</x:f>
        <x:v>25798</x:v>
      </x:c>
      <x:c r="M40" s="8" t="str">
        <x:v>17 800: оседлое 13 350, кочевое 4 450</x:v>
      </x:c>
      <x:c r="N40" s="8" t="str">
        <x:v>18 519: оседлое 13 781, кочевое 4 738</x:v>
      </x:c>
      <x:c r="O40" s="8" t="str">
        <x:v>Повторено отсутствие метрических книг; продолжение на с.6 / PDF14. Обычное переселение, прибытие беженцев и их зачисление на землю представлены разными регистрами. Связь этих регистров и включение беженцев в годовые итоги населения не объяснены.</x:v>
      </x:c>
      <x:c r="P40" s="8" t="str">
        <x:v>Беженский учёт не суммируется с обычным переселением.</x:v>
      </x:c>
      <x:c r="Q40" s="8" t="str">
        <x:v>с.7 / PDF15, табл.6</x:v>
      </x:c>
      <x:c r="R40" s="8" t="str">
        <x:v>Рождения: табл.3 / PDF13; смерти: табл.5 / PDF14</x:v>
      </x:c>
      <x:c r="S40" s="8" t="str">
        <x:v>Переселение: табл.3 / PDF13; выбытие: табл.5 / PDF14</x:v>
      </x:c>
      <x:c r="T40" s="8" t="str">
        <x:v>Turgaiskaia_191x(1).xlsx</x:v>
      </x:c>
    </x:row>
  </x:sheetData>
  <x:pageMargins left="0.7" right="0.7" top="0.75" bottom="0.75" header="0.3" footer="0.3"/>
  <x:tableParts count="1">
    <x:tablePart xmlns:r="http://schemas.openxmlformats.org/officeDocument/2006/relationships" r:id="R7ff12200536446be"/>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 hidden="0" customWidth="1"/>
    <x:col min="2" max="2" width="17" hidden="0" customWidth="1"/>
    <x:col min="3" max="3" width="17" hidden="0" customWidth="1"/>
    <x:col min="4" max="4" width="18" hidden="0" customWidth="1"/>
    <x:col min="5" max="5" width="17" hidden="0" customWidth="1"/>
    <x:col min="6" max="6" width="17" hidden="0" customWidth="1"/>
    <x:col min="7" max="7" width="18" hidden="0" customWidth="1"/>
    <x:col min="8" max="8" width="18" hidden="0" customWidth="1"/>
    <x:col min="9" max="9" width="100" hidden="0" customWidth="1"/>
    <x:col min="10" max="10" width="40" hidden="0" customWidth="1"/>
    <x:col min="11" max="11" width="95" hidden="0" customWidth="1"/>
    <x:col min="12" max="12" width="34" hidden="0" customWidth="1"/>
  </x:cols>
  <x:sheetData>
    <x:row r="2" ht="27" customHeight="1">
      <x:c r="A2" s="1" t="str">
        <x:v>Тургайская область: годовые сведения о миграции, 1881–1915</x:v>
      </x:c>
    </x:row>
    <x:row r="3">
      <x:c r="A3" s="3" t="str">
        <x:v>Пусто — число неизвестно. 1891 — верхняя оценка, 1894 — смешанный учёт, 1906 — расчёт; это подписано в последней графе.</x:v>
      </x:c>
    </x:row>
    <x:row r="5" ht="52" customHeight="1">
      <x:c r="A5" s="12" t="str">
        <x:v>Год</x:v>
      </x:c>
      <x:c r="B5" s="13" t="str">
        <x:v>Приход: оседлое</x:v>
      </x:c>
      <x:c r="C5" s="13" t="str">
        <x:v>Приход: кочевое</x:v>
      </x:c>
      <x:c r="D5" s="13" t="str">
        <x:v>Учтённый приход</x:v>
      </x:c>
      <x:c r="E5" s="13" t="str">
        <x:v>Выбытие: оседлое</x:v>
      </x:c>
      <x:c r="F5" s="13" t="str">
        <x:v>Выбытие: кочевое</x:v>
      </x:c>
      <x:c r="G5" s="13" t="str">
        <x:v>Учтённое выбытие</x:v>
      </x:c>
      <x:c r="H5" s="13" t="str">
        <x:v>Учётный баланс</x:v>
      </x:c>
      <x:c r="I5" s="13" t="str">
        <x:v>Смысл / ограничения</x:v>
      </x:c>
      <x:c r="J5" s="13" t="str">
        <x:v>Страницы</x:v>
      </x:c>
      <x:c r="K5" s="13" t="str">
        <x:v>Адрес источника</x:v>
      </x:c>
      <x:c r="L5" s="14" t="str">
        <x:v>Исходная часть</x:v>
      </x:c>
    </x:row>
    <x:row r="6" ht="60" customHeight="1">
      <x:c r="A6" s="20" t="n">
        <x:v>1881</x:v>
      </x:c>
      <x:c r="B6" s="26"/>
      <x:c r="C6" s="26"/>
      <x:c r="D6" s="26"/>
      <x:c r="E6" s="26"/>
      <x:c r="F6" s="26"/>
      <x:c r="G6" s="26"/>
      <x:c r="H6" s="26"/>
      <x:c r="I6" s="8" t="str">
        <x:v>Частные сведения; 1 243 заявителя — не фактические прибытия</x:v>
      </x:c>
      <x:c r="J6" s="8" t="str">
        <x:v>7–8 (PDF 9–10)</x:v>
      </x:c>
      <x:c r="K6" s="8" t="str">
        <x:v>https://archive.org/download/obzor_turgaiskoi_oblasti/Обзор Тургайской области за 1881 - RAW.pdf</x:v>
      </x:c>
      <x:c r="L6" s="8" t="str">
        <x:v>Turgaiskaia_188x(1).xlsx</x:v>
      </x:c>
    </x:row>
    <x:row r="7" ht="60" customHeight="1">
      <x:c r="A7" s="21" t="n">
        <x:v>1882</x:v>
      </x:c>
      <x:c r="B7" s="27"/>
      <x:c r="C7" s="27"/>
      <x:c r="D7" s="27"/>
      <x:c r="E7" s="27"/>
      <x:c r="F7" s="27"/>
      <x:c r="G7" s="27"/>
      <x:c r="H7" s="27"/>
      <x:c r="I7" s="15" t="str">
        <x:v>Рост Кустаная 1 592 → 4 441 — изменение численности</x:v>
      </x:c>
      <x:c r="J7" s="15" t="str">
        <x:v>4–5 (PDF 6–7)</x:v>
      </x:c>
      <x:c r="K7" s="15" t="str">
        <x:v>https://archive.org/download/obzor_turgaiskoi_oblasti/Обзор Тургайской области за 1882 - RAW.pdf</x:v>
      </x:c>
      <x:c r="L7" s="15" t="str">
        <x:v>Turgaiskaia_188x(1).xlsx</x:v>
      </x:c>
    </x:row>
    <x:row r="8" ht="60" customHeight="1">
      <x:c r="A8" s="20" t="n">
        <x:v>1883</x:v>
      </x:c>
      <x:c r="B8" s="26"/>
      <x:c r="C8" s="26"/>
      <x:c r="D8" s="26"/>
      <x:c r="E8" s="26"/>
      <x:c r="F8" s="26"/>
      <x:c r="G8" s="26"/>
      <x:c r="H8" s="26"/>
      <x:c r="I8" s="8" t="str">
        <x:v>Кустанай до 8 000 — численность, не поток</x:v>
      </x:c>
      <x:c r="J8" s="8" t="str">
        <x:v>3, 6 (PDF 5, 8)</x:v>
      </x:c>
      <x:c r="K8" s="8" t="str">
        <x:v>https://archive.org/download/obzor_turgaiskoi_oblasti/Обзор Тургайской области за 1883 - RAW.pdf</x:v>
      </x:c>
      <x:c r="L8" s="8" t="str">
        <x:v>Turgaiskaia_188x(1).xlsx</x:v>
      </x:c>
    </x:row>
    <x:row r="9" ht="60" customHeight="1">
      <x:c r="A9" s="21" t="n">
        <x:v>1884</x:v>
      </x:c>
      <x:c r="B9" s="27"/>
      <x:c r="C9" s="27"/>
      <x:c r="D9" s="27"/>
      <x:c r="E9" s="27"/>
      <x:c r="F9" s="27"/>
      <x:c r="G9" s="27"/>
      <x:c r="H9" s="27"/>
      <x:c r="I9" s="15" t="str">
        <x:v>Убыль 208 кибиток за трёхлетие: переселение и объединение хозяйств</x:v>
      </x:c>
      <x:c r="J9" s="15" t="str">
        <x:v>8–9 (PDF 11–12)</x:v>
      </x:c>
      <x:c r="K9" s="15" t="str">
        <x:v>https://archive.org/download/obzor_turgaiskoi_oblasti/Обзор Тургайской области за 1884 - RAW.pdf</x:v>
      </x:c>
      <x:c r="L9" s="15" t="str">
        <x:v>Turgaiskaia_188x(1).xlsx</x:v>
      </x:c>
    </x:row>
    <x:row r="10" ht="60" customHeight="1">
      <x:c r="A10" s="20" t="n">
        <x:v>1885</x:v>
      </x:c>
      <x:c r="B10" s="26" t="n">
        <x:v>2008</x:v>
      </x:c>
      <x:c r="C10" s="26"/>
      <x:c r="D10" s="26" t="n">
        <x:v>2008</x:v>
      </x:c>
      <x:c r="E10" s="26"/>
      <x:c r="F10" s="26"/>
      <x:c r="G10" s="26"/>
      <x:c r="H10" s="26"/>
      <x:c r="I10" s="8" t="str">
        <x:v>Частичный оседлый поток; сезонный кочевой приток не измерен</x:v>
      </x:c>
      <x:c r="J10" s="8" t="str">
        <x:v>8–9, 21–23 (PDF 11–12, 24–26)</x:v>
      </x:c>
      <x:c r="K10" s="8" t="str">
        <x:v>https://archive.org/download/obzor_turgaiskoi_oblasti/Обзор Тургайской области за 1885 - RAW.pdf</x:v>
      </x:c>
      <x:c r="L10" s="8" t="str">
        <x:v>Turgaiskaia_188x(1).xlsx</x:v>
      </x:c>
    </x:row>
    <x:row r="11" ht="60" customHeight="1">
      <x:c r="A11" s="21" t="n">
        <x:v>1886</x:v>
      </x:c>
      <x:c r="B11" s="27"/>
      <x:c r="C11" s="27"/>
      <x:c r="D11" s="27"/>
      <x:c r="E11" s="27"/>
      <x:c r="F11" s="27"/>
      <x:c r="G11" s="27"/>
      <x:c r="H11" s="27"/>
      <x:c r="I11" s="15" t="str">
        <x:v>Изменение оседлой численности +7 186 не равно отдельному потоку</x:v>
      </x:c>
      <x:c r="J11" s="15" t="str">
        <x:v>6–7 (PDF 9–10)</x:v>
      </x:c>
      <x:c r="K11" s="15" t="str">
        <x:v>https://archive.org/download/obzor_turgaiskoi_oblasti/Обзор Тургайской области за 1886 - RAW.pdf</x:v>
      </x:c>
      <x:c r="L11" s="15" t="str">
        <x:v>Turgaiskaia_188x(1).xlsx</x:v>
      </x:c>
    </x:row>
    <x:row r="12" ht="60" customHeight="1">
      <x:c r="A12" s="20" t="n">
        <x:v>1887</x:v>
      </x:c>
      <x:c r="B12" s="26"/>
      <x:c r="C12" s="26"/>
      <x:c r="D12" s="26"/>
      <x:c r="E12" s="26"/>
      <x:c r="F12" s="26"/>
      <x:c r="G12" s="26"/>
      <x:c r="H12" s="26"/>
      <x:c r="I12" s="8" t="str">
        <x:v>Паспорта и билеты — документы, не постоянные выбытия</x:v>
      </x:c>
      <x:c r="J12" s="8" t="str">
        <x:v>7–8; 15 (PDF 10–11; 18)</x:v>
      </x:c>
      <x:c r="K12" s="8" t="str">
        <x:v>https://archive.org/download/obzor_turgaiskoi_oblasti/Обзор Тургайской области за 1887 - RAW.pdf</x:v>
      </x:c>
      <x:c r="L12" s="8" t="str">
        <x:v>Turgaiskaia_188x(1).xlsx</x:v>
      </x:c>
    </x:row>
    <x:row r="13" ht="60" customHeight="1">
      <x:c r="A13" s="21" t="n">
        <x:v>1888</x:v>
      </x:c>
      <x:c r="B13" s="27"/>
      <x:c r="C13" s="27"/>
      <x:c r="D13" s="27"/>
      <x:c r="E13" s="27"/>
      <x:c r="F13" s="27"/>
      <x:c r="G13" s="27"/>
      <x:c r="H13" s="27"/>
      <x:c r="I13" s="15" t="str">
        <x:v>Естественный прирост 674 больше изменения численности 321</x:v>
      </x:c>
      <x:c r="J13" s="15" t="str">
        <x:v>7–8 (PDF 10–11)</x:v>
      </x:c>
      <x:c r="K13" s="15" t="str">
        <x:v>https://archive.org/download/obzor_turgaiskoi_oblasti/Обзор Тургайской области за 1888 - RAW.pdf</x:v>
      </x:c>
      <x:c r="L13" s="15" t="str">
        <x:v>Turgaiskaia_188x(1).xlsx</x:v>
      </x:c>
    </x:row>
    <x:row r="14" ht="60" customHeight="1">
      <x:c r="A14" s="20" t="n">
        <x:v>1889</x:v>
      </x:c>
      <x:c r="B14" s="26"/>
      <x:c r="C14" s="26"/>
      <x:c r="D14" s="26"/>
      <x:c r="E14" s="26"/>
      <x:c r="F14" s="26"/>
      <x:c r="G14" s="26"/>
      <x:c r="H14" s="26"/>
      <x:c r="I14" s="8" t="str">
        <x:v>Годовые потоки отсутствуют</x:v>
      </x:c>
      <x:c r="J14" s="8" t="str">
        <x:v>6–7 (PDF 9–10)</x:v>
      </x:c>
      <x:c r="K14" s="8" t="str">
        <x:v>https://archive.org/download/obzor_turgaiskoi_oblasti/Обзор Тургайской области за 1889 - RAW.pdf</x:v>
      </x:c>
      <x:c r="L14" s="8" t="str">
        <x:v>Turgaiskaia_188x(1).xlsx</x:v>
      </x:c>
    </x:row>
    <x:row r="15" ht="60" customHeight="1">
      <x:c r="A15" s="21" t="n">
        <x:v>1890</x:v>
      </x:c>
      <x:c r="B15" s="27"/>
      <x:c r="C15" s="27"/>
      <x:c r="D15" s="27"/>
      <x:c r="E15" s="27"/>
      <x:c r="F15" s="27"/>
      <x:c r="G15" s="27"/>
      <x:c r="H15" s="27"/>
      <x:c r="I15" s="15" t="str">
        <x:v>Рост населения не является подсчётом мигрантов</x:v>
      </x:c>
      <x:c r="J15" s="15"/>
      <x:c r="K15" s="15" t="str">
        <x:v>https://archive.org/download/obzor_turgaiskoi_oblasti/Обзор Тургайской области за 1890 - RAW.pdf</x:v>
      </x:c>
      <x:c r="L15" s="15" t="str">
        <x:v>Turgaiskaia_189x(1).xlsx</x:v>
      </x:c>
    </x:row>
    <x:row r="16" ht="60" customHeight="1">
      <x:c r="A16" s="20" t="n">
        <x:v>1891</x:v>
      </x:c>
      <x:c r="B16" s="26"/>
      <x:c r="C16" s="26"/>
      <x:c r="D16" s="26"/>
      <x:c r="E16" s="26" t="n">
        <x:v>4400</x:v>
      </x:c>
      <x:c r="F16" s="26"/>
      <x:c r="G16" s="26" t="n">
        <x:v>4400</x:v>
      </x:c>
      <x:c r="H16" s="26"/>
      <x:c r="I16" s="8" t="str">
        <x:v>Две несогласованные оценки; остаток −5 175 не независимая миграция</x:v>
      </x:c>
      <x:c r="J16" s="8" t="str">
        <x:v>с.8–9,13 / PDF14–15,19</x:v>
      </x:c>
      <x:c r="K16" s="8" t="str">
        <x:v>https://archive.org/download/obzor_turgaiskoi_oblasti/Обзор Тургайской области за 1891 - RAW.pdf</x:v>
      </x:c>
      <x:c r="L16" s="8" t="str">
        <x:v>Turgaiskaia_189x(1).xlsx</x:v>
      </x:c>
    </x:row>
    <x:row r="17" ht="60" customHeight="1">
      <x:c r="A17" s="21" t="n">
        <x:v>1892</x:v>
      </x:c>
      <x:c r="B17" s="27"/>
      <x:c r="C17" s="27"/>
      <x:c r="D17" s="27"/>
      <x:c r="E17" s="27"/>
      <x:c r="F17" s="27"/>
      <x:c r="G17" s="27"/>
      <x:c r="H17" s="27"/>
      <x:c r="I17" s="15" t="str">
        <x:v>Частный эпизод; дата приезда не дана</x:v>
      </x:c>
      <x:c r="J17" s="15"/>
      <x:c r="K17" s="15" t="str">
        <x:v>https://archive.org/download/obzor_turgaiskoi_oblasti/Обзор Тургайской области за 1892 - RAW.pdf</x:v>
      </x:c>
      <x:c r="L17" s="15" t="str">
        <x:v>Turgaiskaia_189x(1).xlsx</x:v>
      </x:c>
    </x:row>
    <x:row r="18" ht="60" customHeight="1">
      <x:c r="A18" s="20" t="n">
        <x:v>1893</x:v>
      </x:c>
      <x:c r="B18" s="26"/>
      <x:c r="C18" s="26"/>
      <x:c r="D18" s="26"/>
      <x:c r="E18" s="26"/>
      <x:c r="F18" s="26"/>
      <x:c r="G18" s="26"/>
      <x:c r="H18" s="26"/>
      <x:c r="I18" s="8" t="str">
        <x:v>Повтор сведений 1892 не новый поток</x:v>
      </x:c>
      <x:c r="J18" s="8" t="str">
        <x:v>с.7 / PDF10</x:v>
      </x:c>
      <x:c r="K18" s="8" t="str">
        <x:v>https://archive.org/download/obzor_turgaiskoi_oblasti/Обзор Тургайской области за 1893 - RAW.pdf</x:v>
      </x:c>
      <x:c r="L18" s="8" t="str">
        <x:v>Turgaiskaia_189x(1).xlsx</x:v>
      </x:c>
    </x:row>
    <x:row r="19" ht="60" customHeight="1">
      <x:c r="A19" s="21" t="n">
        <x:v>1894</x:v>
      </x:c>
      <x:c r="B19" s="27"/>
      <x:c r="C19" s="27"/>
      <x:c r="D19" s="27" t="n">
        <x:v>1476</x:v>
      </x:c>
      <x:c r="E19" s="27"/>
      <x:c r="F19" s="27"/>
      <x:c r="G19" s="27"/>
      <x:c r="H19" s="27"/>
      <x:c r="I19" s="15" t="str">
        <x:v>Смешивает новый приезд, приписку и расширение учёта</x:v>
      </x:c>
      <x:c r="J19" s="15" t="str">
        <x:v>с.30 / PDF31</x:v>
      </x:c>
      <x:c r="K19" s="15" t="str">
        <x:v>https://archive.org/download/obzor_turgaiskoi_oblasti/Обзор Тургайской области за 1894 - RAW.pdf</x:v>
      </x:c>
      <x:c r="L19" s="15" t="str">
        <x:v>Turgaiskaia_189x(1).xlsx</x:v>
      </x:c>
    </x:row>
    <x:row r="20" ht="60" customHeight="1">
      <x:c r="A20" s="20" t="n">
        <x:v>1895</x:v>
      </x:c>
      <x:c r="B20" s="26"/>
      <x:c r="C20" s="26"/>
      <x:c r="D20" s="26"/>
      <x:c r="E20" s="26"/>
      <x:c r="F20" s="26"/>
      <x:c r="G20" s="26"/>
      <x:c r="H20" s="26"/>
      <x:c r="I20" s="8" t="str">
        <x:v>Административная приписка</x:v>
      </x:c>
      <x:c r="J20" s="8" t="str">
        <x:v>с.28 / PDF31</x:v>
      </x:c>
      <x:c r="K20" s="8" t="str">
        <x:v>https://archive.org/download/obzor_turgaiskoi_oblasti/Обзор Тургайской области за 1895 - RAW.pdf</x:v>
      </x:c>
      <x:c r="L20" s="8" t="str">
        <x:v>Turgaiskaia_189x(1).xlsx</x:v>
      </x:c>
    </x:row>
    <x:row r="21" ht="60" customHeight="1">
      <x:c r="A21" s="21" t="n">
        <x:v>1896</x:v>
      </x:c>
      <x:c r="B21" s="27"/>
      <x:c r="C21" s="27"/>
      <x:c r="D21" s="27" t="n">
        <x:v>225</x:v>
      </x:c>
      <x:c r="E21" s="27"/>
      <x:c r="F21" s="27"/>
      <x:c r="G21" s="27"/>
      <x:c r="H21" s="27"/>
      <x:c r="I21" s="15" t="str">
        <x:v>Ноль относится только к организованному выселению</x:v>
      </x:c>
      <x:c r="J21" s="15" t="str">
        <x:v>с.22 / PDF28</x:v>
      </x:c>
      <x:c r="K21" s="15" t="str">
        <x:v>https://archive.org/download/obzor_turgaiskoi_oblasti/Обзор Тургайской области за 1896 - RAW.pdf</x:v>
      </x:c>
      <x:c r="L21" s="15" t="str">
        <x:v>Turgaiskaia_189x(1).xlsx</x:v>
      </x:c>
    </x:row>
    <x:row r="22" ht="60" customHeight="1">
      <x:c r="A22" s="20" t="n">
        <x:v>1897</x:v>
      </x:c>
      <x:c r="B22" s="26"/>
      <x:c r="C22" s="26"/>
      <x:c r="D22" s="26"/>
      <x:c r="E22" s="26"/>
      <x:c r="F22" s="26"/>
      <x:c r="G22" s="26"/>
      <x:c r="H22" s="26"/>
      <x:c r="I22" s="8" t="str">
        <x:v>Нет выпуска</x:v>
      </x:c>
      <x:c r="J22" s="8"/>
      <x:c r="K22" s="8" t="str">
        <x:v>https://archive.org/download/obzor_turgaiskoi_oblasti</x:v>
      </x:c>
      <x:c r="L22" s="8" t="str">
        <x:v>Turgaiskaia_189x(1).xlsx</x:v>
      </x:c>
    </x:row>
    <x:row r="23" ht="60" customHeight="1">
      <x:c r="A23" s="21" t="n">
        <x:v>1898</x:v>
      </x:c>
      <x:c r="B23" s="27"/>
      <x:c r="C23" s="27"/>
      <x:c r="D23" s="27"/>
      <x:c r="E23" s="27"/>
      <x:c r="F23" s="27"/>
      <x:c r="G23" s="27"/>
      <x:c r="H23" s="27"/>
      <x:c r="I23" s="15" t="str">
        <x:v>Нет выпуска</x:v>
      </x:c>
      <x:c r="J23" s="15"/>
      <x:c r="K23" s="15" t="str">
        <x:v>https://archive.org/download/obzor_turgaiskoi_oblasti</x:v>
      </x:c>
      <x:c r="L23" s="15" t="str">
        <x:v>Turgaiskaia_189x(1).xlsx</x:v>
      </x:c>
    </x:row>
    <x:row r="24" ht="60" customHeight="1">
      <x:c r="A24" s="20" t="n">
        <x:v>1899</x:v>
      </x:c>
      <x:c r="B24" s="26"/>
      <x:c r="C24" s="26"/>
      <x:c r="D24" s="26"/>
      <x:c r="E24" s="26"/>
      <x:c r="F24" s="26"/>
      <x:c r="G24" s="26"/>
      <x:c r="H24" s="26"/>
      <x:c r="I24" s="8" t="str">
        <x:v>Качественное описание</x:v>
      </x:c>
      <x:c r="J24" s="8" t="str">
        <x:v>с.1,4 / PDF4,7</x:v>
      </x:c>
      <x:c r="K24" s="8" t="str">
        <x:v>https://archive.org/download/obzor_turgaiskoi_oblasti/Обзор Тургайской области за 1899 - RAW.pdf</x:v>
      </x:c>
      <x:c r="L24" s="8" t="str">
        <x:v>Turgaiskaia_189x(1).xlsx</x:v>
      </x:c>
    </x:row>
    <x:row r="25" ht="60" customHeight="1">
      <x:c r="A25" s="21" t="n">
        <x:v>1900</x:v>
      </x:c>
      <x:c r="B25" s="27"/>
      <x:c r="C25" s="27"/>
      <x:c r="D25" s="27"/>
      <x:c r="E25" s="27"/>
      <x:c r="F25" s="27"/>
      <x:c r="G25" s="27"/>
      <x:c r="H25" s="27"/>
      <x:c r="I25" s="15" t="str">
        <x:v>Землеустроительные сведения не дают потока</x:v>
      </x:c>
      <x:c r="J25" s="15"/>
      <x:c r="K25" s="15" t="str">
        <x:v>https://archive.org/download/obzor_turgaiskoi_oblasti/Обзор Тургайской области за 1900 - RAW.pdf</x:v>
      </x:c>
      <x:c r="L25" s="15" t="str">
        <x:v>Turgaiskaia_190x(1).xlsx</x:v>
      </x:c>
    </x:row>
    <x:row r="26" ht="60" customHeight="1">
      <x:c r="A26" s="20" t="n">
        <x:v>1901</x:v>
      </x:c>
      <x:c r="B26" s="26"/>
      <x:c r="C26" s="26"/>
      <x:c r="D26" s="26"/>
      <x:c r="E26" s="26"/>
      <x:c r="F26" s="26"/>
      <x:c r="G26" s="26"/>
      <x:c r="H26" s="26"/>
      <x:c r="I26" s="8" t="str">
        <x:v>Землеустроительные сведения не дают потока</x:v>
      </x:c>
      <x:c r="J26" s="8"/>
      <x:c r="K26" s="8" t="str">
        <x:v>https://archive.org/download/obzor_turgaiskoi_oblasti/Обзор Тургайской области за 1901 - RAW.pdf</x:v>
      </x:c>
      <x:c r="L26" s="8" t="str">
        <x:v>Turgaiskaia_190x(1).xlsx</x:v>
      </x:c>
    </x:row>
    <x:row r="27" ht="60" customHeight="1">
      <x:c r="A27" s="21" t="n">
        <x:v>1902</x:v>
      </x:c>
      <x:c r="B27" s="27"/>
      <x:c r="C27" s="27"/>
      <x:c r="D27" s="27"/>
      <x:c r="E27" s="27"/>
      <x:c r="F27" s="27"/>
      <x:c r="G27" s="27"/>
      <x:c r="H27" s="27"/>
      <x:c r="I27" s="15" t="str">
        <x:v>Внутриобластное движение</x:v>
      </x:c>
      <x:c r="J27" s="15" t="str">
        <x:v>с.26 / PDF30</x:v>
      </x:c>
      <x:c r="K27" s="15" t="str">
        <x:v>https://archive.org/download/obzor_turgaiskoi_oblasti/Обзор Тургайской области за 1902 - RAW.pdf</x:v>
      </x:c>
      <x:c r="L27" s="15" t="str">
        <x:v>Turgaiskaia_190x(1).xlsx</x:v>
      </x:c>
    </x:row>
    <x:row r="28" ht="60" customHeight="1">
      <x:c r="A28" s="20" t="n">
        <x:v>1903</x:v>
      </x:c>
      <x:c r="B28" s="26"/>
      <x:c r="C28" s="26"/>
      <x:c r="D28" s="26"/>
      <x:c r="E28" s="26"/>
      <x:c r="F28" s="26"/>
      <x:c r="G28" s="26"/>
      <x:c r="H28" s="26"/>
      <x:c r="I28" s="8" t="str">
        <x:v>Административное водворение, не общий поток обоего пола</x:v>
      </x:c>
      <x:c r="J28" s="8"/>
      <x:c r="K28" s="8" t="str">
        <x:v>https://archive.org/download/obzor_turgaiskoi_oblasti/Обзор Тургайской области за 1903 - RAW.pdf</x:v>
      </x:c>
      <x:c r="L28" s="8" t="str">
        <x:v>Turgaiskaia_190x(1).xlsx</x:v>
      </x:c>
    </x:row>
    <x:row r="29" ht="60" customHeight="1">
      <x:c r="A29" s="21" t="n">
        <x:v>1904</x:v>
      </x:c>
      <x:c r="B29" s="27"/>
      <x:c r="C29" s="27"/>
      <x:c r="D29" s="27"/>
      <x:c r="E29" s="27"/>
      <x:c r="F29" s="27"/>
      <x:c r="G29" s="27"/>
      <x:c r="H29" s="27"/>
      <x:c r="I29" s="15" t="str">
        <x:v>Качественное описание</x:v>
      </x:c>
      <x:c r="J29" s="15"/>
      <x:c r="K29" s="15" t="str">
        <x:v>https://archive.org/download/obzor_turgaiskoi_oblasti/Обзор Тургайской области за 1904 - RAW.pdf</x:v>
      </x:c>
      <x:c r="L29" s="15" t="str">
        <x:v>Turgaiskaia_190x(1).xlsx</x:v>
      </x:c>
    </x:row>
    <x:row r="30" ht="60" customHeight="1">
      <x:c r="A30" s="20" t="n">
        <x:v>1905</x:v>
      </x:c>
      <x:c r="B30" s="26"/>
      <x:c r="C30" s="26"/>
      <x:c r="D30" s="26"/>
      <x:c r="E30" s="26"/>
      <x:c r="F30" s="26"/>
      <x:c r="G30" s="26"/>
      <x:c r="H30" s="26"/>
      <x:c r="I30" s="8" t="str">
        <x:v>Качественное описание</x:v>
      </x:c>
      <x:c r="J30" s="8"/>
      <x:c r="K30" s="8" t="str">
        <x:v>https://archive.org/download/obzor_turgaiskoi_oblasti/Обзор Тургайской области за 1905 - RAW.pdf</x:v>
      </x:c>
      <x:c r="L30" s="8" t="str">
        <x:v>Turgaiskaia_190x(1).xlsx</x:v>
      </x:c>
    </x:row>
    <x:row r="31" ht="60" customHeight="1">
      <x:c r="A31" s="21" t="n">
        <x:v>1906</x:v>
      </x:c>
      <x:c r="B31" s="27"/>
      <x:c r="C31" s="27"/>
      <x:c r="D31" s="27" t="n">
        <x:v>2181</x:v>
      </x:c>
      <x:c r="E31" s="27"/>
      <x:c r="F31" s="27"/>
      <x:c r="G31" s="27"/>
      <x:c r="H31" s="27"/>
      <x:c r="I31" s="15" t="str">
        <x:v>22 374 всех прибывших − 20 193 рождения; не независимый подсчёт</x:v>
      </x:c>
      <x:c r="J31" s="15"/>
      <x:c r="K31" s="15" t="str">
        <x:v>https://archive.org/download/obzor_turgaiskoi_oblasti/Обзор Тургайской области за 1906 - RAW.pdf</x:v>
      </x:c>
      <x:c r="L31" s="15" t="str">
        <x:v>Turgaiskaia_190x(1).xlsx</x:v>
      </x:c>
    </x:row>
    <x:row r="32" ht="60" customHeight="1">
      <x:c r="A32" s="20" t="n">
        <x:v>1907</x:v>
      </x:c>
      <x:c r="B32" s="26"/>
      <x:c r="C32" s="26"/>
      <x:c r="D32" s="26" t="n">
        <x:v>16234</x:v>
      </x:c>
      <x:c r="E32" s="26"/>
      <x:c r="F32" s="26"/>
      <x:c r="G32" s="26"/>
      <x:c r="H32" s="26"/>
      <x:c r="I32" s="8" t="str">
        <x:v>Две несогласованные версии притока</x:v>
      </x:c>
      <x:c r="J32" s="8"/>
      <x:c r="K32" s="8" t="str">
        <x:v>https://archive.org/download/obzor_turgaiskoi_oblasti/Обзор Тургайской области за 1907 - RAW.pdf</x:v>
      </x:c>
      <x:c r="L32" s="8" t="str">
        <x:v>Turgaiskaia_190x(1).xlsx</x:v>
      </x:c>
    </x:row>
    <x:row r="33" ht="60" customHeight="1">
      <x:c r="A33" s="21" t="n">
        <x:v>1908</x:v>
      </x:c>
      <x:c r="B33" s="27"/>
      <x:c r="C33" s="27"/>
      <x:c r="D33" s="27" t="n">
        <x:v>4574</x:v>
      </x:c>
      <x:c r="E33" s="27"/>
      <x:c r="F33" s="27"/>
      <x:c r="G33" s="27"/>
      <x:c r="H33" s="27"/>
      <x:c r="I33" s="15" t="str">
        <x:v>Водворение 12 991 мужчины — отдельный земельный учёт</x:v>
      </x:c>
      <x:c r="J33" s="15"/>
      <x:c r="K33" s="15" t="str">
        <x:v>https://archive.org/download/obzor_turgaiskoi_oblasti/Обзор Тургайской области за 1908 - RAW.pdf</x:v>
      </x:c>
      <x:c r="L33" s="15" t="str">
        <x:v>Turgaiskaia_190x(1).xlsx</x:v>
      </x:c>
    </x:row>
    <x:row r="34" ht="60" customHeight="1">
      <x:c r="A34" s="20" t="n">
        <x:v>1909</x:v>
      </x:c>
      <x:c r="B34" s="26" t="n">
        <x:v>19701</x:v>
      </x:c>
      <x:c r="C34" s="26" t="n">
        <x:v>2324</x:v>
      </x:c>
      <x:c r="D34" s="26" t="n">
        <x:f>SUM(B34:C34)</x:f>
        <x:v>22025</x:v>
      </x:c>
      <x:c r="E34" s="26" t="n">
        <x:v>1355</x:v>
      </x:c>
      <x:c r="F34" s="26"/>
      <x:c r="G34" s="26" t="n">
        <x:v>1355</x:v>
      </x:c>
      <x:c r="H34" s="26" t="n">
        <x:f>D34-G34</x:f>
        <x:v>20670</x:v>
      </x:c>
      <x:c r="I34" s="8" t="str">
        <x:v>Учётный баланс; полнота внешней миграции не доказана</x:v>
      </x:c>
      <x:c r="J34" s="8" t="str">
        <x:v>с.13–14 / PDF16–17, табл.3,5</x:v>
      </x:c>
      <x:c r="K34" s="8" t="str">
        <x:v>https://archive.org/download/obzor_turgaiskoi_oblasti/Обзор Тургайской области за 1909 - RAW.pdf</x:v>
      </x:c>
      <x:c r="L34" s="8" t="str">
        <x:v>Turgaiskaia_190x(1).xlsx</x:v>
      </x:c>
    </x:row>
    <x:row r="35" ht="60" customHeight="1">
      <x:c r="A35" s="21" t="n">
        <x:v>1910</x:v>
      </x:c>
      <x:c r="B35" s="27" t="n">
        <x:f>SUM('Детализация'!B144:C144)</x:f>
        <x:v>26350</x:v>
      </x:c>
      <x:c r="C35" s="27" t="n">
        <x:f>SUM('Детализация'!D144:E144)</x:f>
        <x:v>6163</x:v>
      </x:c>
      <x:c r="D35" s="27" t="n">
        <x:f>SUM(B35:C35)</x:f>
        <x:v>32513</x:v>
      </x:c>
      <x:c r="E35" s="27" t="n">
        <x:f>SUM('Детализация'!F144:G144)</x:f>
        <x:v>7131</x:v>
      </x:c>
      <x:c r="F35" s="27" t="n">
        <x:f>SUM('Детализация'!H144:I144)</x:f>
        <x:v>1985</x:v>
      </x:c>
      <x:c r="G35" s="27" t="n">
        <x:f>SUM(E35:F35)</x:f>
        <x:v>9116</x:v>
      </x:c>
      <x:c r="H35" s="27" t="n">
        <x:f>D35-G35</x:f>
        <x:v>23397</x:v>
      </x:c>
      <x:c r="I35" s="15" t="str">
        <x:v>Учётное движение; полная внешняя миграция не установлена.</x:v>
      </x:c>
      <x:c r="J35" s="15" t="str">
        <x:v>Переселение: табл.3 / PDF22; выбытие: табл.5 / PDF23</x:v>
      </x:c>
      <x:c r="K35" s="15" t="str">
        <x:v>https://archive.org/download/obzor_turgaiskoi_oblasti/Обзор Тургайской области за 1910 - RAW.pdf</x:v>
      </x:c>
      <x:c r="L35" s="15" t="str">
        <x:v>Turgaiskaia_191x(1).xlsx</x:v>
      </x:c>
    </x:row>
    <x:row r="36" ht="60" customHeight="1">
      <x:c r="A36" s="20" t="n">
        <x:v>1911</x:v>
      </x:c>
      <x:c r="B36" s="26" t="n">
        <x:f>SUM('Детализация'!B145:C145)</x:f>
        <x:v>36618</x:v>
      </x:c>
      <x:c r="C36" s="26" t="n">
        <x:f>SUM('Детализация'!D145:E145)</x:f>
        <x:v>3362</x:v>
      </x:c>
      <x:c r="D36" s="26" t="n">
        <x:f>SUM(B36:C36)</x:f>
        <x:v>39980</x:v>
      </x:c>
      <x:c r="E36" s="26" t="n">
        <x:f>SUM('Детализация'!F145:G145)</x:f>
        <x:v>12898</x:v>
      </x:c>
      <x:c r="F36" s="26" t="n">
        <x:f>SUM('Детализация'!H145:I145)</x:f>
        <x:v>2991</x:v>
      </x:c>
      <x:c r="G36" s="26" t="n">
        <x:f>SUM(E36:F36)</x:f>
        <x:v>15889</x:v>
      </x:c>
      <x:c r="H36" s="26" t="n">
        <x:f>D36-G36</x:f>
        <x:v>24091</x:v>
      </x:c>
      <x:c r="I36" s="8" t="str">
        <x:v>Учётное движение; полная внешняя миграция не установлена.</x:v>
      </x:c>
      <x:c r="J36" s="8" t="str">
        <x:v>Переселение: табл.3 / PDF22; выбытие: табл.5 / PDF23</x:v>
      </x:c>
      <x:c r="K36" s="8" t="str">
        <x:v>https://archive.org/download/obzor_turgaiskoi_oblasti/Обзор Тургайской области за 1911 - RAW.pdf</x:v>
      </x:c>
      <x:c r="L36" s="8" t="str">
        <x:v>Turgaiskaia_191x(1).xlsx</x:v>
      </x:c>
    </x:row>
    <x:row r="37" ht="60" customHeight="1">
      <x:c r="A37" s="21" t="n">
        <x:v>1912</x:v>
      </x:c>
      <x:c r="B37" s="27" t="n">
        <x:f>SUM('Детализация'!B146:C146)</x:f>
        <x:v>36674</x:v>
      </x:c>
      <x:c r="C37" s="27" t="n">
        <x:f>SUM('Детализация'!D146:E146)</x:f>
        <x:v>2432</x:v>
      </x:c>
      <x:c r="D37" s="27" t="n">
        <x:f>SUM(B37:C37)</x:f>
        <x:v>39106</x:v>
      </x:c>
      <x:c r="E37" s="27" t="n">
        <x:f>SUM('Детализация'!H146:I146)</x:f>
        <x:v>9469</x:v>
      </x:c>
      <x:c r="F37" s="27" t="n">
        <x:f>SUM('Детализация'!F146:G146)</x:f>
        <x:v>1943</x:v>
      </x:c>
      <x:c r="G37" s="27" t="n">
        <x:f>SUM(E37:F37)</x:f>
        <x:v>11412</x:v>
      </x:c>
      <x:c r="H37" s="27" t="n">
        <x:f>D37-G37</x:f>
        <x:v>27694</x:v>
      </x:c>
      <x:c r="I37" s="15" t="str">
        <x:v>Учётное движение; принято объяснённое отнесение выбытия, буквальные заголовки сохранены.</x:v>
      </x:c>
      <x:c r="J37" s="15" t="str">
        <x:v>Переселение: табл.3 / PDF24; выбытие: табл.5 / PDF25</x:v>
      </x:c>
      <x:c r="K37" s="15" t="str">
        <x:v>https://archive.org/download/obzor_turgaiskoi_oblasti/Обзор Тургайской области за 1912 - RAW.pdf</x:v>
      </x:c>
      <x:c r="L37" s="15" t="str">
        <x:v>Turgaiskaia_191x(1).xlsx</x:v>
      </x:c>
    </x:row>
    <x:row r="38" ht="60" customHeight="1">
      <x:c r="A38" s="20" t="n">
        <x:v>1913</x:v>
      </x:c>
      <x:c r="B38" s="26" t="n">
        <x:f>SUM('Детализация'!B147:C147)</x:f>
        <x:v>23179</x:v>
      </x:c>
      <x:c r="C38" s="26" t="n">
        <x:f>SUM('Детализация'!D147:E147)</x:f>
        <x:v>622</x:v>
      </x:c>
      <x:c r="D38" s="26" t="n">
        <x:f>SUM(B38:C38)</x:f>
        <x:v>23801</x:v>
      </x:c>
      <x:c r="E38" s="26" t="n">
        <x:f>SUM('Детализация'!F147:G147)</x:f>
        <x:v>14251</x:v>
      </x:c>
      <x:c r="F38" s="26" t="n">
        <x:f>SUM('Детализация'!H147:I147)</x:f>
        <x:v>942</x:v>
      </x:c>
      <x:c r="G38" s="26" t="n">
        <x:f>SUM(E38:F38)</x:f>
        <x:v>15193</x:v>
      </x:c>
      <x:c r="H38" s="26" t="n">
        <x:f>D38-G38</x:f>
        <x:v>8608</x:v>
      </x:c>
      <x:c r="I38" s="8" t="str">
        <x:v>Учётное движение; полная внешняя миграция не установлена.</x:v>
      </x:c>
      <x:c r="J38" s="8" t="str">
        <x:v>Переселение: табл.3 / PDF8; выбытие: табл.5 / PDF9</x:v>
      </x:c>
      <x:c r="K38" s="8" t="str">
        <x:v>https://archive.org/download/obzor_turgaiskoi_oblasti/Обзор Тургайской области за 1913 - RAW.pdf</x:v>
      </x:c>
      <x:c r="L38" s="8" t="str">
        <x:v>Turgaiskaia_191x(1).xlsx</x:v>
      </x:c>
    </x:row>
    <x:row r="39" ht="60" customHeight="1">
      <x:c r="A39" s="21" t="n">
        <x:v>1914</x:v>
      </x:c>
      <x:c r="B39" s="27" t="n">
        <x:f>SUM('Детализация'!B148:C148)</x:f>
        <x:v>21101</x:v>
      </x:c>
      <x:c r="C39" s="27" t="n">
        <x:f>SUM('Детализация'!D148:E148)</x:f>
        <x:v>5740</x:v>
      </x:c>
      <x:c r="D39" s="27" t="n">
        <x:f>SUM(B39:C39)</x:f>
        <x:v>26841</x:v>
      </x:c>
      <x:c r="E39" s="27" t="n">
        <x:f>SUM('Детализация'!F148:G148)</x:f>
        <x:v>18420</x:v>
      </x:c>
      <x:c r="F39" s="27" t="n">
        <x:f>SUM('Детализация'!H148:I148)</x:f>
        <x:v>4928</x:v>
      </x:c>
      <x:c r="G39" s="27" t="n">
        <x:f>SUM(E39:F39)</x:f>
        <x:v>23348</x:v>
      </x:c>
      <x:c r="H39" s="27" t="n">
        <x:f>D39-G39</x:f>
        <x:v>3493</x:v>
      </x:c>
      <x:c r="I39" s="15" t="str">
        <x:v>Учётное движение; полная внешняя миграция не установлена.</x:v>
      </x:c>
      <x:c r="J39" s="15" t="str">
        <x:v>Переселение: табл.3 / PDF13; выбытие: табл.5 / PDF14</x:v>
      </x:c>
      <x:c r="K39" s="15" t="str">
        <x:v>https://archive.org/download/obzor_turgaiskoi_oblasti/Обзор Тургайской области за 1914 - RAW.pdf</x:v>
      </x:c>
      <x:c r="L39" s="15" t="str">
        <x:v>Turgaiskaia_191x(1).xlsx</x:v>
      </x:c>
    </x:row>
    <x:row r="40" ht="60" customHeight="1">
      <x:c r="A40" s="20" t="n">
        <x:v>1915</x:v>
      </x:c>
      <x:c r="B40" s="26" t="n">
        <x:f>SUM('Детализация'!B149:C149)</x:f>
        <x:v>13350</x:v>
      </x:c>
      <x:c r="C40" s="26" t="n">
        <x:f>SUM('Детализация'!D149:E149)</x:f>
        <x:v>4450</x:v>
      </x:c>
      <x:c r="D40" s="26" t="n">
        <x:f>SUM(B40:C40)</x:f>
        <x:v>17800</x:v>
      </x:c>
      <x:c r="E40" s="26" t="n">
        <x:f>SUM('Детализация'!F149:G149)</x:f>
        <x:v>13781</x:v>
      </x:c>
      <x:c r="F40" s="26" t="n">
        <x:f>SUM('Детализация'!H149:I149)</x:f>
        <x:v>4738</x:v>
      </x:c>
      <x:c r="G40" s="26" t="n">
        <x:f>SUM(E40:F40)</x:f>
        <x:v>18519</x:v>
      </x:c>
      <x:c r="H40" s="26" t="n">
        <x:f>D40-G40</x:f>
        <x:v>-719</x:v>
      </x:c>
      <x:c r="I40" s="8" t="str">
        <x:v>Учётное движение; включение беженцев в эти итоги не объяснено.</x:v>
      </x:c>
      <x:c r="J40" s="8" t="str">
        <x:v>Переселение: табл.3 / PDF13; выбытие: табл.5 / PDF14</x:v>
      </x:c>
      <x:c r="K40" s="8" t="str">
        <x:v>https://archive.org/download/obzor_turgaiskoi_oblasti/Обзор Тургайской области за 1915 - RAW.pdf</x:v>
      </x:c>
      <x:c r="L40" s="8" t="str">
        <x:v>Turgaiskaia_191x(1).xlsx</x:v>
      </x:c>
    </x:row>
  </x:sheetData>
  <x:pageMargins left="0.7" right="0.7" top="0.75" bottom="0.75" header="0.3" footer="0.3"/>
  <x:tableParts count="1">
    <x:tablePart xmlns:r="http://schemas.openxmlformats.org/officeDocument/2006/relationships" r:id="R61ff80f1502e4c9f"/>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12" hidden="0" customWidth="1"/>
    <x:col min="3" max="3" width="48" hidden="0" customWidth="1"/>
    <x:col min="4" max="4" width="17" hidden="0" customWidth="1"/>
    <x:col min="5" max="5" width="34" hidden="0" customWidth="1"/>
    <x:col min="6" max="6" width="14" hidden="0" customWidth="1"/>
    <x:col min="7" max="7" width="14" hidden="0" customWidth="1"/>
    <x:col min="8" max="8" width="85" hidden="0" customWidth="1"/>
    <x:col min="9" max="9" width="120" hidden="0" customWidth="1"/>
    <x:col min="10" max="10" width="48" hidden="0" customWidth="1"/>
    <x:col min="11" max="11" width="95" hidden="0" customWidth="1"/>
    <x:col min="12" max="12" width="34" hidden="0" customWidth="1"/>
  </x:cols>
  <x:sheetData>
    <x:row r="2" ht="27" customHeight="1">
      <x:c r="A2" s="1" t="str">
        <x:v>Тургайская область: переселение, земельный учёт, документы и беженцы</x:v>
      </x:c>
    </x:row>
    <x:row r="3">
      <x:c r="A3" s="3" t="str">
        <x:v>Показатели имеют разные единицы и охват. Альтернативы, итоги и их части не складываются автоматически.</x:v>
      </x:c>
    </x:row>
    <x:row r="5" ht="52" customHeight="1">
      <x:c r="A5" s="12" t="str">
        <x:v>Год данных</x:v>
      </x:c>
      <x:c r="B5" s="13" t="str">
        <x:v>Выпуск</x:v>
      </x:c>
      <x:c r="C5" s="13" t="str">
        <x:v>Показатель</x:v>
      </x:c>
      <x:c r="D5" s="13" t="str">
        <x:v>Величина</x:v>
      </x:c>
      <x:c r="E5" s="13" t="str">
        <x:v>Единица</x:v>
      </x:c>
      <x:c r="F5" s="13" t="str">
        <x:v>Семей</x:v>
      </x:c>
      <x:c r="G5" s="13" t="str">
        <x:v>Доля</x:v>
      </x:c>
      <x:c r="H5" s="13" t="str">
        <x:v>Группа / территория / период</x:v>
      </x:c>
      <x:c r="I5" s="13" t="str">
        <x:v>Пояснение</x:v>
      </x:c>
      <x:c r="J5" s="13" t="str">
        <x:v>Страницы</x:v>
      </x:c>
      <x:c r="K5" s="13" t="str">
        <x:v>Адрес источника</x:v>
      </x:c>
      <x:c r="L5" s="14" t="str">
        <x:v>Исходная часть</x:v>
      </x:c>
    </x:row>
    <x:row r="6" ht="64" customHeight="1">
      <x:c r="A6" s="20" t="n">
        <x:v>1881</x:v>
      </x:c>
      <x:c r="B6" s="20" t="n">
        <x:v>1881</x:v>
      </x:c>
      <x:c r="C6" s="8" t="str">
        <x:v>Сведения о притоке и оттоке</x:v>
      </x:c>
      <x:c r="D6" s="26"/>
      <x:c r="E6" s="8" t="str">
        <x:v>человек</x:v>
      </x:c>
      <x:c r="F6" s="26"/>
      <x:c r="G6" s="28"/>
      <x:c r="H6" s="8" t="str">
        <x:v>1881</x:v>
      </x:c>
      <x:c r="I6" s="8" t="str">
        <x:v>Кустанай: 1 592 чел.; дополнительно 106 семейств к концу года. Числа нет. Частные сведения; 1 243 заявителя — не фактические прибытия</x:v>
      </x:c>
      <x:c r="J6" s="8" t="str">
        <x:v>7–8 (PDF 9–10)</x:v>
      </x:c>
      <x:c r="K6" s="8" t="str">
        <x:v>https://archive.org/download/obzor_turgaiskoi_oblasti/Обзор Тургайской области за 1881 - RAW.pdf</x:v>
      </x:c>
      <x:c r="L6" s="8" t="str">
        <x:v>Turgaiskaia_188x(1).xlsx</x:v>
      </x:c>
    </x:row>
    <x:row r="7" ht="64" customHeight="1">
      <x:c r="A7" s="21" t="n">
        <x:v>1881</x:v>
      </x:c>
      <x:c r="B7" s="21" t="n">
        <x:v>1881</x:v>
      </x:c>
      <x:c r="C7" s="15" t="str">
        <x:v>Поселились в Кустанае</x:v>
      </x:c>
      <x:c r="D7" s="27" t="n">
        <x:v>1592</x:v>
      </x:c>
      <x:c r="E7" s="15" t="str">
        <x:v>человек</x:v>
      </x:c>
      <x:c r="F7" s="27"/>
      <x:c r="G7" s="29"/>
      <x:c r="H7" s="15" t="str">
        <x:v>Кустанай; 1881</x:v>
      </x:c>
      <x:c r="I7" s="15" t="str">
        <x:v>Частное поселение; не общий годовой приток в область.</x:v>
      </x:c>
      <x:c r="J7" s="15" t="str">
        <x:v>с.7–8 / PDF9–10</x:v>
      </x:c>
      <x:c r="K7" s="15" t="str">
        <x:v>https://archive.org/download/obzor_turgaiskoi_oblasti/Обзор Тургайской области за 1881 - RAW.pdf</x:v>
      </x:c>
      <x:c r="L7" s="15" t="str">
        <x:v>Turgaiskaia_188x(1).xlsx</x:v>
      </x:c>
    </x:row>
    <x:row r="8" ht="64" customHeight="1">
      <x:c r="A8" s="20" t="n">
        <x:v>1881</x:v>
      </x:c>
      <x:c r="B8" s="20" t="n">
        <x:v>1881</x:v>
      </x:c>
      <x:c r="C8" s="8" t="str">
        <x:v>Прибыли без собственных жилищ</x:v>
      </x:c>
      <x:c r="D8" s="26"/>
      <x:c r="E8" s="8" t="str">
        <x:v>семей</x:v>
      </x:c>
      <x:c r="F8" s="26" t="n">
        <x:v>106</x:v>
      </x:c>
      <x:c r="G8" s="28"/>
      <x:c r="H8" s="8" t="str">
        <x:v>Кустанай; К концу 1881</x:v>
      </x:c>
      <x:c r="I8" s="8" t="str">
        <x:v>Дополнительная группа к концу года, размещалась у родственников.</x:v>
      </x:c>
      <x:c r="J8" s="8" t="str">
        <x:v>с.7–8 / PDF9–10</x:v>
      </x:c>
      <x:c r="K8" s="8" t="str">
        <x:v>https://archive.org/download/obzor_turgaiskoi_oblasti/Обзор Тургайской области за 1881 - RAW.pdf</x:v>
      </x:c>
      <x:c r="L8" s="8" t="str">
        <x:v>Turgaiskaia_188x(1).xlsx</x:v>
      </x:c>
    </x:row>
    <x:row r="9" ht="64" customHeight="1">
      <x:c r="A9" s="21" t="n">
        <x:v>1881</x:v>
      </x:c>
      <x:c r="B9" s="21" t="n">
        <x:v>1881</x:v>
      </x:c>
      <x:c r="C9" s="15" t="str">
        <x:v>Заявили желание поселиться</x:v>
      </x:c>
      <x:c r="D9" s="27"/>
      <x:c r="E9" s="15" t="str">
        <x:v>семей</x:v>
      </x:c>
      <x:c r="F9" s="27" t="n">
        <x:v>1243</x:v>
      </x:c>
      <x:c r="G9" s="29"/>
      <x:c r="H9" s="15" t="str">
        <x:v>Кустанай; 1881</x:v>
      </x:c>
      <x:c r="I9" s="15" t="str">
        <x:v>Свыше 1 243 семейств получили усадебные места. Это заявители, не число фактических прибытий.</x:v>
      </x:c>
      <x:c r="J9" s="15" t="str">
        <x:v>с.7–8 / PDF9–10</x:v>
      </x:c>
      <x:c r="K9" s="15" t="str">
        <x:v>https://archive.org/download/obzor_turgaiskoi_oblasti/Обзор Тургайской области за 1881 - RAW.pdf</x:v>
      </x:c>
      <x:c r="L9" s="15" t="str">
        <x:v>Turgaiskaia_188x(1).xlsx</x:v>
      </x:c>
    </x:row>
    <x:row r="10" ht="64" customHeight="1">
      <x:c r="A10" s="20" t="n">
        <x:v>1882</x:v>
      </x:c>
      <x:c r="B10" s="20" t="n">
        <x:v>1882</x:v>
      </x:c>
      <x:c r="C10" s="8" t="str">
        <x:v>Сведения о притоке и оттоке</x:v>
      </x:c>
      <x:c r="D10" s="26"/>
      <x:c r="E10" s="8" t="str">
        <x:v>человек</x:v>
      </x:c>
      <x:c r="F10" s="26"/>
      <x:c r="G10" s="28"/>
      <x:c r="H10" s="8" t="str">
        <x:v>1882</x:v>
      </x:c>
      <x:c r="I10" s="8" t="str">
        <x:v>Наплыв в Кустанай, без отдельного числа. Числа нет. Рост Кустаная 1 592 → 4 441 — изменение численности</x:v>
      </x:c>
      <x:c r="J10" s="8" t="str">
        <x:v>4–5 (PDF 6–7)</x:v>
      </x:c>
      <x:c r="K10" s="8" t="str">
        <x:v>https://archive.org/download/obzor_turgaiskoi_oblasti/Обзор Тургайской области за 1882 - RAW.pdf</x:v>
      </x:c>
      <x:c r="L10" s="8" t="str">
        <x:v>Turgaiskaia_188x(1).xlsx</x:v>
      </x:c>
    </x:row>
    <x:row r="11" ht="64" customHeight="1">
      <x:c r="A11" s="21" t="n">
        <x:v>1883</x:v>
      </x:c>
      <x:c r="B11" s="21" t="n">
        <x:v>1883</x:v>
      </x:c>
      <x:c r="C11" s="15" t="str">
        <x:v>Сведения о притоке и оттоке</x:v>
      </x:c>
      <x:c r="D11" s="27"/>
      <x:c r="E11" s="15" t="str">
        <x:v>человек</x:v>
      </x:c>
      <x:c r="F11" s="27"/>
      <x:c r="G11" s="29"/>
      <x:c r="H11" s="15" t="str">
        <x:v>1883</x:v>
      </x:c>
      <x:c r="I11" s="15" t="str">
        <x:v>Заселение Кустаная, без годового числа. Числа нет. Кустанай до 8 000 — численность, не поток</x:v>
      </x:c>
      <x:c r="J11" s="15" t="str">
        <x:v>3, 6 (PDF 5, 8)</x:v>
      </x:c>
      <x:c r="K11" s="15" t="str">
        <x:v>https://archive.org/download/obzor_turgaiskoi_oblasti/Обзор Тургайской области за 1883 - RAW.pdf</x:v>
      </x:c>
      <x:c r="L11" s="15" t="str">
        <x:v>Turgaiskaia_188x(1).xlsx</x:v>
      </x:c>
    </x:row>
    <x:row r="12" ht="64" customHeight="1">
      <x:c r="A12" s="20" t="n">
        <x:v>1884</x:v>
      </x:c>
      <x:c r="B12" s="20" t="n">
        <x:v>1884</x:v>
      </x:c>
      <x:c r="C12" s="8" t="str">
        <x:v>Сведения о притоке и оттоке</x:v>
      </x:c>
      <x:c r="D12" s="26"/>
      <x:c r="E12" s="8" t="str">
        <x:v>человек</x:v>
      </x:c>
      <x:c r="F12" s="26"/>
      <x:c r="G12" s="28"/>
      <x:c r="H12" s="8" t="str">
        <x:v>1884</x:v>
      </x:c>
      <x:c r="I12" s="8" t="str">
        <x:v>Числа нет. Числа нет. Убыль 208 кибиток за трёхлетие: переселение и объединение хозяйств</x:v>
      </x:c>
      <x:c r="J12" s="8" t="str">
        <x:v>8–9 (PDF 11–12)</x:v>
      </x:c>
      <x:c r="K12" s="8" t="str">
        <x:v>https://archive.org/download/obzor_turgaiskoi_oblasti/Обзор Тургайской области за 1884 - RAW.pdf</x:v>
      </x:c>
      <x:c r="L12" s="8" t="str">
        <x:v>Turgaiskaia_188x(1).xlsx</x:v>
      </x:c>
    </x:row>
    <x:row r="13" ht="64" customHeight="1">
      <x:c r="A13" s="21" t="n">
        <x:v>1884</x:v>
      </x:c>
      <x:c r="B13" s="21" t="n">
        <x:v>1884</x:v>
      </x:c>
      <x:c r="C13" s="15" t="str">
        <x:v>Убыль кибиток за трёхлетний интервал</x:v>
      </x:c>
      <x:c r="D13" s="27" t="n">
        <x:v>208</x:v>
      </x:c>
      <x:c r="E13" s="15" t="str">
        <x:v>кибиток</x:v>
      </x:c>
      <x:c r="F13" s="27"/>
      <x:c r="G13" s="29"/>
      <x:c r="H13" s="15" t="str">
        <x:v>Между перечётами 1881 и 1884</x:v>
      </x:c>
      <x:c r="I13" s="15" t="str">
        <x:v>Объяснена эмиграцией и объединением хозяйств без разделения причин.</x:v>
      </x:c>
      <x:c r="J13" s="15" t="str">
        <x:v>с.8 / PDF11</x:v>
      </x:c>
      <x:c r="K13" s="15" t="str">
        <x:v>https://archive.org/download/obzor_turgaiskoi_oblasti/Обзор Тургайской области за 1884 - RAW.pdf</x:v>
      </x:c>
      <x:c r="L13" s="15" t="str">
        <x:v>Turgaiskaia_188x(1).xlsx</x:v>
      </x:c>
    </x:row>
    <x:row r="14" ht="64" customHeight="1">
      <x:c r="A14" s="20" t="n">
        <x:v>1884</x:v>
      </x:c>
      <x:c r="B14" s="20" t="n">
        <x:v>1884</x:v>
      </x:c>
      <x:c r="C14" s="8" t="str">
        <x:v>Документы на отлучки</x:v>
      </x:c>
      <x:c r="D14" s="26" t="n">
        <x:v>4388</x:v>
      </x:c>
      <x:c r="E14" s="8" t="str">
        <x:v>документов</x:v>
      </x:c>
      <x:c r="F14" s="26"/>
      <x:c r="G14" s="28"/>
      <x:c r="H14" s="8" t="str">
        <x:v>1884</x:v>
      </x:c>
      <x:c r="I14" s="8" t="str">
        <x:v>Паспорта и билеты. Оседлые и кочевые получатели; не число постоянных выбытий. 3 530 билетов + 858 паспортов.</x:v>
      </x:c>
      <x:c r="J14" s="8" t="str">
        <x:v>с.9 / PDF12</x:v>
      </x:c>
      <x:c r="K14" s="8" t="str">
        <x:v>https://archive.org/download/obzor_turgaiskoi_oblasti/Обзор Тургайской области за 1884 - RAW.pdf</x:v>
      </x:c>
      <x:c r="L14" s="8" t="str">
        <x:v>Turgaiskaia_188x(1).xlsx</x:v>
      </x:c>
    </x:row>
    <x:row r="15" ht="64" customHeight="1">
      <x:c r="A15" s="21" t="n">
        <x:v>1885</x:v>
      </x:c>
      <x:c r="B15" s="21" t="n">
        <x:v>1885</x:v>
      </x:c>
      <x:c r="C15" s="15" t="str">
        <x:v>Сведения о притоке и оттоке</x:v>
      </x:c>
      <x:c r="D15" s="27"/>
      <x:c r="E15" s="15" t="str">
        <x:v>человек</x:v>
      </x:c>
      <x:c r="F15" s="27"/>
      <x:c r="G15" s="29"/>
      <x:c r="H15" s="15" t="str">
        <x:v>1885</x:v>
      </x:c>
      <x:c r="I15" s="15" t="str">
        <x:v>2 008 вновь поселились в пяти оседлых пунктах. Числа нет. Частичный оседлый поток; сезонный кочевой приток не измерен</x:v>
      </x:c>
      <x:c r="J15" s="15" t="str">
        <x:v>8–9, 21–23 (PDF 11–12, 24–26)</x:v>
      </x:c>
      <x:c r="K15" s="15" t="str">
        <x:v>https://archive.org/download/obzor_turgaiskoi_oblasti/Обзор Тургайской области за 1885 - RAW.pdf</x:v>
      </x:c>
      <x:c r="L15" s="15" t="str">
        <x:v>Turgaiskaia_188x(1).xlsx</x:v>
      </x:c>
    </x:row>
    <x:row r="16" ht="64" customHeight="1">
      <x:c r="A16" s="20" t="n">
        <x:v>1885</x:v>
      </x:c>
      <x:c r="B16" s="20" t="n">
        <x:v>1885</x:v>
      </x:c>
      <x:c r="C16" s="8" t="str">
        <x:v>Вновь поселились</x:v>
      </x:c>
      <x:c r="D16" s="26" t="n">
        <x:v>2008</x:v>
      </x:c>
      <x:c r="E16" s="8" t="str">
        <x:v>человек</x:v>
      </x:c>
      <x:c r="F16" s="26"/>
      <x:c r="G16" s="28"/>
      <x:c r="H16" s="8" t="str">
        <x:v>1885</x:v>
      </x:c>
      <x:c r="I16" s="8" t="str">
        <x:v>В пяти оседлых пунктах; внешний кочевой сезонный приток не измерен.</x:v>
      </x:c>
      <x:c r="J16" s="8" t="str">
        <x:v>с.8–9 / PDF11–12</x:v>
      </x:c>
      <x:c r="K16" s="8" t="str">
        <x:v>https://archive.org/download/obzor_turgaiskoi_oblasti/Обзор Тургайской области за 1885 - RAW.pdf</x:v>
      </x:c>
      <x:c r="L16" s="8" t="str">
        <x:v>Turgaiskaia_188x(1).xlsx</x:v>
      </x:c>
    </x:row>
    <x:row r="17" ht="64" customHeight="1">
      <x:c r="A17" s="21" t="n">
        <x:v>1885</x:v>
      </x:c>
      <x:c r="B17" s="21" t="n">
        <x:v>1885</x:v>
      </x:c>
      <x:c r="C17" s="15" t="str">
        <x:v>Документы на отлучки</x:v>
      </x:c>
      <x:c r="D17" s="27" t="n">
        <x:v>3046</x:v>
      </x:c>
      <x:c r="E17" s="15" t="str">
        <x:v>документов</x:v>
      </x:c>
      <x:c r="F17" s="27"/>
      <x:c r="G17" s="29"/>
      <x:c r="H17" s="15" t="str">
        <x:v>1885</x:v>
      </x:c>
      <x:c r="I17" s="15" t="str">
        <x:v>Паспорта и билеты. Оседлые и кочевые получатели; не число постоянных выбытий.</x:v>
      </x:c>
      <x:c r="J17" s="15" t="str">
        <x:v>с.9 / PDF12</x:v>
      </x:c>
      <x:c r="K17" s="15" t="str">
        <x:v>https://archive.org/download/obzor_turgaiskoi_oblasti/Обзор Тургайской области за 1885 - RAW.pdf</x:v>
      </x:c>
      <x:c r="L17" s="15" t="str">
        <x:v>Turgaiskaia_188x(1).xlsx</x:v>
      </x:c>
    </x:row>
    <x:row r="18" ht="64" customHeight="1">
      <x:c r="A18" s="20" t="n">
        <x:v>1886</x:v>
      </x:c>
      <x:c r="B18" s="20" t="n">
        <x:v>1886</x:v>
      </x:c>
      <x:c r="C18" s="8" t="str">
        <x:v>Сведения о притоке и оттоке</x:v>
      </x:c>
      <x:c r="D18" s="26"/>
      <x:c r="E18" s="8" t="str">
        <x:v>человек</x:v>
      </x:c>
      <x:c r="F18" s="26"/>
      <x:c r="G18" s="28"/>
      <x:c r="H18" s="8" t="str">
        <x:v>1886</x:v>
      </x:c>
      <x:c r="I18" s="8" t="str">
        <x:v>Приток в Кустанайскую волость и Ак-Тюбе, без числа. Числа нет. Изменение оседлой численности +7 186 не равно отдельному потоку</x:v>
      </x:c>
      <x:c r="J18" s="8" t="str">
        <x:v>6–7 (PDF 9–10)</x:v>
      </x:c>
      <x:c r="K18" s="8" t="str">
        <x:v>https://archive.org/download/obzor_turgaiskoi_oblasti/Обзор Тургайской области за 1886 - RAW.pdf</x:v>
      </x:c>
      <x:c r="L18" s="8" t="str">
        <x:v>Turgaiskaia_188x(1).xlsx</x:v>
      </x:c>
    </x:row>
    <x:row r="19" ht="64" customHeight="1">
      <x:c r="A19" s="21" t="n">
        <x:v>1886</x:v>
      </x:c>
      <x:c r="B19" s="21" t="n">
        <x:v>1886</x:v>
      </x:c>
      <x:c r="C19" s="15" t="str">
        <x:v>Документы на отлучки</x:v>
      </x:c>
      <x:c r="D19" s="27" t="n">
        <x:v>1376</x:v>
      </x:c>
      <x:c r="E19" s="15" t="str">
        <x:v>документов</x:v>
      </x:c>
      <x:c r="F19" s="27"/>
      <x:c r="G19" s="29"/>
      <x:c r="H19" s="15" t="str">
        <x:v>1886</x:v>
      </x:c>
      <x:c r="I19" s="15" t="str">
        <x:v>Паспорта и билеты. Оседлые и кочевые получатели; не число постоянных выбытий.</x:v>
      </x:c>
      <x:c r="J19" s="15" t="str">
        <x:v>с.7 / PDF10</x:v>
      </x:c>
      <x:c r="K19" s="15" t="str">
        <x:v>https://archive.org/download/obzor_turgaiskoi_oblasti/Обзор Тургайской области за 1886 - RAW.pdf</x:v>
      </x:c>
      <x:c r="L19" s="15" t="str">
        <x:v>Turgaiskaia_188x(1).xlsx</x:v>
      </x:c>
    </x:row>
    <x:row r="20" ht="64" customHeight="1">
      <x:c r="A20" s="20" t="n">
        <x:v>1887</x:v>
      </x:c>
      <x:c r="B20" s="20" t="n">
        <x:v>1887</x:v>
      </x:c>
      <x:c r="C20" s="8" t="str">
        <x:v>Сведения о притоке и оттоке</x:v>
      </x:c>
      <x:c r="D20" s="26"/>
      <x:c r="E20" s="8" t="str">
        <x:v>человек</x:v>
      </x:c>
      <x:c r="F20" s="26"/>
      <x:c r="G20" s="28"/>
      <x:c r="H20" s="8" t="str">
        <x:v>1887</x:v>
      </x:c>
      <x:c r="I20" s="8" t="str">
        <x:v>Приток преимущественно в Кустанай, без числа. Числа нет. Паспорта и билеты — документы, не постоянные выбытия</x:v>
      </x:c>
      <x:c r="J20" s="8" t="str">
        <x:v>7–8; 15 (PDF 10–11; 18)</x:v>
      </x:c>
      <x:c r="K20" s="8" t="str">
        <x:v>https://archive.org/download/obzor_turgaiskoi_oblasti/Обзор Тургайской области за 1887 - RAW.pdf</x:v>
      </x:c>
      <x:c r="L20" s="8" t="str">
        <x:v>Turgaiskaia_188x(1).xlsx</x:v>
      </x:c>
    </x:row>
    <x:row r="21" ht="64" customHeight="1">
      <x:c r="A21" s="21" t="n">
        <x:v>1887</x:v>
      </x:c>
      <x:c r="B21" s="21" t="n">
        <x:v>1887</x:v>
      </x:c>
      <x:c r="C21" s="15" t="str">
        <x:v>Документы на отлучки</x:v>
      </x:c>
      <x:c r="D21" s="27" t="n">
        <x:v>3520</x:v>
      </x:c>
      <x:c r="E21" s="15" t="str">
        <x:v>документов</x:v>
      </x:c>
      <x:c r="F21" s="27"/>
      <x:c r="G21" s="29"/>
      <x:c r="H21" s="15" t="str">
        <x:v>1887</x:v>
      </x:c>
      <x:c r="I21" s="15" t="str">
        <x:v>Паспорта и билеты. Оседлые и кочевые получатели; не число постоянных выбытий.</x:v>
      </x:c>
      <x:c r="J21" s="15" t="str">
        <x:v>с.8 / PDF11</x:v>
      </x:c>
      <x:c r="K21" s="15" t="str">
        <x:v>https://archive.org/download/obzor_turgaiskoi_oblasti/Обзор Тургайской области за 1887 - RAW.pdf</x:v>
      </x:c>
      <x:c r="L21" s="15" t="str">
        <x:v>Turgaiskaia_188x(1).xlsx</x:v>
      </x:c>
    </x:row>
    <x:row r="22" ht="64" customHeight="1">
      <x:c r="A22" s="20" t="n">
        <x:v>1888</x:v>
      </x:c>
      <x:c r="B22" s="20" t="n">
        <x:v>1888</x:v>
      </x:c>
      <x:c r="C22" s="8" t="str">
        <x:v>Сведения о притоке и оттоке</x:v>
      </x:c>
      <x:c r="D22" s="26"/>
      <x:c r="E22" s="8" t="str">
        <x:v>человек</x:v>
      </x:c>
      <x:c r="F22" s="26"/>
      <x:c r="G22" s="28"/>
      <x:c r="H22" s="8" t="str">
        <x:v>1888</x:v>
      </x:c>
      <x:c r="I22" s="8" t="str">
        <x:v>Продолжающийся приток в Кустанай, без числа. Числа нет. Естественный прирост 674 больше изменения численности 321</x:v>
      </x:c>
      <x:c r="J22" s="8" t="str">
        <x:v>7–8 (PDF 10–11)</x:v>
      </x:c>
      <x:c r="K22" s="8" t="str">
        <x:v>https://archive.org/download/obzor_turgaiskoi_oblasti/Обзор Тургайской области за 1888 - RAW.pdf</x:v>
      </x:c>
      <x:c r="L22" s="8" t="str">
        <x:v>Turgaiskaia_188x(1).xlsx</x:v>
      </x:c>
    </x:row>
    <x:row r="23" ht="64" customHeight="1">
      <x:c r="A23" s="21" t="n">
        <x:v>1888</x:v>
      </x:c>
      <x:c r="B23" s="21" t="n">
        <x:v>1888</x:v>
      </x:c>
      <x:c r="C23" s="15" t="str">
        <x:v>Документы на отлучки</x:v>
      </x:c>
      <x:c r="D23" s="27" t="n">
        <x:v>3766</x:v>
      </x:c>
      <x:c r="E23" s="15" t="str">
        <x:v>документов</x:v>
      </x:c>
      <x:c r="F23" s="27"/>
      <x:c r="G23" s="29"/>
      <x:c r="H23" s="15" t="str">
        <x:v>1888</x:v>
      </x:c>
      <x:c r="I23" s="15" t="str">
        <x:v>Паспорта и билеты. Оседлые и кочевые получатели; не число постоянных выбытий.</x:v>
      </x:c>
      <x:c r="J23" s="15" t="str">
        <x:v>с.8 / PDF11</x:v>
      </x:c>
      <x:c r="K23" s="15" t="str">
        <x:v>https://archive.org/download/obzor_turgaiskoi_oblasti/Обзор Тургайской области за 1888 - RAW.pdf</x:v>
      </x:c>
      <x:c r="L23" s="15" t="str">
        <x:v>Turgaiskaia_188x(1).xlsx</x:v>
      </x:c>
    </x:row>
    <x:row r="24" ht="64" customHeight="1">
      <x:c r="A24" s="20" t="n">
        <x:v>1889</x:v>
      </x:c>
      <x:c r="B24" s="20" t="n">
        <x:v>1889</x:v>
      </x:c>
      <x:c r="C24" s="8" t="str">
        <x:v>Сведения о притоке и оттоке</x:v>
      </x:c>
      <x:c r="D24" s="26"/>
      <x:c r="E24" s="8" t="str">
        <x:v>человек</x:v>
      </x:c>
      <x:c r="F24" s="26"/>
      <x:c r="G24" s="28"/>
      <x:c r="H24" s="8" t="str">
        <x:v>1889</x:v>
      </x:c>
      <x:c r="I24" s="8" t="str">
        <x:v>Приток в Ак-Тюбе и Кустанай, без числа. Числа нет. Годовые потоки отсутствуют</x:v>
      </x:c>
      <x:c r="J24" s="8" t="str">
        <x:v>6–7 (PDF 9–10)</x:v>
      </x:c>
      <x:c r="K24" s="8" t="str">
        <x:v>https://archive.org/download/obzor_turgaiskoi_oblasti/Обзор Тургайской области за 1889 - RAW.pdf</x:v>
      </x:c>
      <x:c r="L24" s="8" t="str">
        <x:v>Turgaiskaia_188x(1).xlsx</x:v>
      </x:c>
    </x:row>
    <x:row r="25" ht="64" customHeight="1">
      <x:c r="A25" s="21" t="n">
        <x:v>1889</x:v>
      </x:c>
      <x:c r="B25" s="21" t="n">
        <x:v>1889</x:v>
      </x:c>
      <x:c r="C25" s="15" t="str">
        <x:v>Документы на отлучки</x:v>
      </x:c>
      <x:c r="D25" s="27" t="n">
        <x:v>2579</x:v>
      </x:c>
      <x:c r="E25" s="15" t="str">
        <x:v>документов</x:v>
      </x:c>
      <x:c r="F25" s="27"/>
      <x:c r="G25" s="29"/>
      <x:c r="H25" s="15" t="str">
        <x:v>1889</x:v>
      </x:c>
      <x:c r="I25" s="15" t="str">
        <x:v>Паспорта и билеты. Оседлые и кочевые получатели; не число постоянных выбытий.</x:v>
      </x:c>
      <x:c r="J25" s="15" t="str">
        <x:v>с.7 / PDF10</x:v>
      </x:c>
      <x:c r="K25" s="15" t="str">
        <x:v>https://archive.org/download/obzor_turgaiskoi_oblasti/Обзор Тургайской области за 1889 - RAW.pdf</x:v>
      </x:c>
      <x:c r="L25" s="15" t="str">
        <x:v>Turgaiskaia_188x(1).xlsx</x:v>
      </x:c>
    </x:row>
    <x:row r="26" ht="64" customHeight="1">
      <x:c r="A26" s="20" t="n">
        <x:v>1890</x:v>
      </x:c>
      <x:c r="B26" s="20" t="n">
        <x:v>1890</x:v>
      </x:c>
      <x:c r="C26" s="8" t="str">
        <x:v>Прибытие</x:v>
      </x:c>
      <x:c r="D26" s="26"/>
      <x:c r="E26" s="8" t="str">
        <x:v>человек</x:v>
      </x:c>
      <x:c r="F26" s="26"/>
      <x:c r="G26" s="28"/>
      <x:c r="H26" s="8" t="str">
        <x:v>Качественное описание; 1890</x:v>
      </x:c>
      <x:c r="I26" s="8" t="str">
        <x:v>Непрекращающийся наплыв в Ак-Тюбе и особенно Кустанай. Числа нет.</x:v>
      </x:c>
      <x:c r="J26" s="8" t="str">
        <x:v>с.4 / PDF7</x:v>
      </x:c>
      <x:c r="K26" s="8" t="str">
        <x:v>https://archive.org/download/obzor_turgaiskoi_oblasti/Обзор Тургайской области за 1890 - RAW.pdf#page=7</x:v>
      </x:c>
      <x:c r="L26" s="8" t="str">
        <x:v>Turgaiskaia_189x(1).xlsx</x:v>
      </x:c>
    </x:row>
    <x:row r="27" ht="64" customHeight="1">
      <x:c r="A27" s="21" t="n">
        <x:v>1890</x:v>
      </x:c>
      <x:c r="B27" s="21" t="n">
        <x:v>1890</x:v>
      </x:c>
      <x:c r="C27" s="15" t="str">
        <x:v>Выбытие</x:v>
      </x:c>
      <x:c r="D27" s="27"/>
      <x:c r="E27" s="15" t="str">
        <x:v>человек</x:v>
      </x:c>
      <x:c r="F27" s="27"/>
      <x:c r="G27" s="29"/>
      <x:c r="H27" s="15" t="str">
        <x:v>Нет данных; 1890</x:v>
      </x:c>
      <x:c r="I27" s="15" t="str">
        <x:v>Численных сведений не найдено.</x:v>
      </x:c>
      <x:c r="J27" s="15"/>
      <x:c r="K27" s="15" t="str">
        <x:v>https://archive.org/download/obzor_turgaiskoi_oblasti/Обзор Тургайской области за 1890 - RAW.pdf</x:v>
      </x:c>
      <x:c r="L27" s="15" t="str">
        <x:v>Turgaiskaia_189x(1).xlsx</x:v>
      </x:c>
    </x:row>
    <x:row r="28" ht="64" customHeight="1">
      <x:c r="A28" s="20" t="n">
        <x:v>1891</x:v>
      </x:c>
      <x:c r="B28" s="20" t="n">
        <x:v>1891</x:v>
      </x:c>
      <x:c r="C28" s="8" t="str">
        <x:v>Выбытие</x:v>
      </x:c>
      <x:c r="D28" s="26" t="n">
        <x:v>4400</x:v>
      </x:c>
      <x:c r="E28" s="8" t="str">
        <x:v>человек</x:v>
      </x:c>
      <x:c r="F28" s="26"/>
      <x:c r="G28" s="28"/>
      <x:c r="H28" s="8" t="str">
        <x:v>Приблизительная верхняя оценка; 1891</x:v>
      </x:c>
      <x:c r="I28" s="8" t="str">
        <x:v>«До 4,400» русских переселенцев из оседлых пунктов на новые места.</x:v>
      </x:c>
      <x:c r="J28" s="8" t="str">
        <x:v>с.13 / PDF19</x:v>
      </x:c>
      <x:c r="K28" s="8" t="str">
        <x:v>https://archive.org/download/obzor_turgaiskoi_oblasti/Обзор Тургайской области за 1891 - RAW.pdf#page=19</x:v>
      </x:c>
      <x:c r="L28" s="8" t="str">
        <x:v>Turgaiskaia_189x(1).xlsx</x:v>
      </x:c>
    </x:row>
    <x:row r="29" ht="64" customHeight="1">
      <x:c r="A29" s="21" t="n">
        <x:v>1891</x:v>
      </x:c>
      <x:c r="B29" s="21" t="n">
        <x:v>1891</x:v>
      </x:c>
      <x:c r="C29" s="15" t="str">
        <x:v>Выбытие</x:v>
      </x:c>
      <x:c r="D29" s="27"/>
      <x:c r="E29" s="15" t="str">
        <x:v>человек</x:v>
      </x:c>
      <x:c r="F29" s="27"/>
      <x:c r="G29" s="29" t="n">
        <x:v>0.158</x:v>
      </x:c>
      <x:c r="H29" s="15" t="str">
        <x:v>Балансовая оценка источника; 1891</x:v>
      </x:c>
      <x:c r="I29" s="15" t="str">
        <x:v>15.8% оседлого населения; расчёт источника из сокращения населения и естественного прироста. Акмолинская, Семипалатинская, Семиреченская области и Туркестан.</x:v>
      </x:c>
      <x:c r="J29" s="15" t="str">
        <x:v>с.8–9 / PDF14–15</x:v>
      </x:c>
      <x:c r="K29" s="15" t="str">
        <x:v>https://archive.org/download/obzor_turgaiskoi_oblasti/Обзор Тургайской области за 1891 - RAW.pdf#page=15</x:v>
      </x:c>
      <x:c r="L29" s="15" t="str">
        <x:v>Turgaiskaia_189x(1).xlsx</x:v>
      </x:c>
    </x:row>
    <x:row r="30" ht="64" customHeight="1">
      <x:c r="A30" s="20" t="n">
        <x:v>1891</x:v>
      </x:c>
      <x:c r="B30" s="20" t="n">
        <x:v>1891</x:v>
      </x:c>
      <x:c r="C30" s="8" t="str">
        <x:v>Учётный баланс</x:v>
      </x:c>
      <x:c r="D30" s="26" t="n">
        <x:v>-5175</x:v>
      </x:c>
      <x:c r="E30" s="8" t="str">
        <x:v>человек</x:v>
      </x:c>
      <x:c r="F30" s="26"/>
      <x:c r="G30" s="28"/>
      <x:c r="H30" s="8" t="str">
        <x:v>Расчёт составителя; 1891</x:v>
      </x:c>
      <x:c r="I30" s="8" t="str">
        <x:v>28,030 − 32,853 − (1,779 − 1,427). Это остаток учётного баланса, не независимый подсчёт числа выбывших.</x:v>
      </x:c>
      <x:c r="J30" s="8" t="str">
        <x:v>с.8 / PDF14; вед.3 / PDF44</x:v>
      </x:c>
      <x:c r="K30" s="8" t="str">
        <x:v>https://archive.org/download/obzor_turgaiskoi_oblasti/Обзор Тургайской области за 1891 - RAW.pdf#page=14</x:v>
      </x:c>
      <x:c r="L30" s="8" t="str">
        <x:v>Turgaiskaia_189x(1).xlsx</x:v>
      </x:c>
    </x:row>
    <x:row r="31" ht="64" customHeight="1">
      <x:c r="A31" s="21" t="n">
        <x:v>1891</x:v>
      </x:c>
      <x:c r="B31" s="21" t="n">
        <x:v>1891</x:v>
      </x:c>
      <x:c r="C31" s="15" t="str">
        <x:v>Прибытие</x:v>
      </x:c>
      <x:c r="D31" s="27"/>
      <x:c r="E31" s="15" t="str">
        <x:v>человек</x:v>
      </x:c>
      <x:c r="F31" s="27"/>
      <x:c r="G31" s="29"/>
      <x:c r="H31" s="15" t="str">
        <x:v>Нет данных; 1891</x:v>
      </x:c>
      <x:c r="I31" s="15" t="str">
        <x:v>Отдельного числа прибывших нет.</x:v>
      </x:c>
      <x:c r="J31" s="15"/>
      <x:c r="K31" s="15" t="str">
        <x:v>https://archive.org/download/obzor_turgaiskoi_oblasti/Обзор Тургайской области за 1891 - RAW.pdf</x:v>
      </x:c>
      <x:c r="L31" s="15" t="str">
        <x:v>Turgaiskaia_189x(1).xlsx</x:v>
      </x:c>
    </x:row>
    <x:row r="32" ht="64" customHeight="1">
      <x:c r="A32" s="20" t="n">
        <x:v>1892</x:v>
      </x:c>
      <x:c r="B32" s="20" t="n">
        <x:v>1892</x:v>
      </x:c>
      <x:c r="C32" s="8" t="str">
        <x:v>Водворение</x:v>
      </x:c>
      <x:c r="D32" s="26" t="n">
        <x:v>61</x:v>
      </x:c>
      <x:c r="E32" s="8" t="str">
        <x:v>человек</x:v>
      </x:c>
      <x:c r="F32" s="26"/>
      <x:c r="G32" s="28"/>
      <x:c r="H32" s="8" t="str">
        <x:v>Частный эпизод; 1892</x:v>
      </x:c>
      <x:c r="I32" s="8" t="str">
        <x:v>Михайловская, Илецкий уезд. Оброк с 16.08.1892; дата фактического приезда отдельно не указана. Не общий годовой приток.</x:v>
      </x:c>
      <x:c r="J32" s="8" t="str">
        <x:v>с.12 / PDF15</x:v>
      </x:c>
      <x:c r="K32" s="8" t="str">
        <x:v>https://archive.org/download/obzor_turgaiskoi_oblasti/Обзор Тургайской области за 1892 - RAW.pdf#page=15</x:v>
      </x:c>
      <x:c r="L32" s="8" t="str">
        <x:v>Turgaiskaia_189x(1).xlsx</x:v>
      </x:c>
    </x:row>
    <x:row r="33" ht="64" customHeight="1">
      <x:c r="A33" s="21" t="n">
        <x:v>1892</x:v>
      </x:c>
      <x:c r="B33" s="21" t="n">
        <x:v>1892</x:v>
      </x:c>
      <x:c r="C33" s="15" t="str">
        <x:v>Выбытие</x:v>
      </x:c>
      <x:c r="D33" s="27"/>
      <x:c r="E33" s="15" t="str">
        <x:v>человек</x:v>
      </x:c>
      <x:c r="F33" s="27"/>
      <x:c r="G33" s="29"/>
      <x:c r="H33" s="15" t="str">
        <x:v>Нет численного потока; 1892</x:v>
      </x:c>
      <x:c r="I33" s="15" t="str">
        <x:v>Численных потоков нет. Уменьшение оседлого населения на 7.5% не является подсчётом мигрантов.</x:v>
      </x:c>
      <x:c r="J33" s="15" t="str">
        <x:v>с.12 / PDF15</x:v>
      </x:c>
      <x:c r="K33" s="15" t="str">
        <x:v>https://archive.org/download/obzor_turgaiskoi_oblasti/Обзор Тургайской области за 1892 - RAW.pdf#page=15</x:v>
      </x:c>
      <x:c r="L33" s="15" t="str">
        <x:v>Turgaiskaia_189x(1).xlsx</x:v>
      </x:c>
    </x:row>
    <x:row r="34" ht="64" customHeight="1">
      <x:c r="A34" s="20" t="n">
        <x:v>1893</x:v>
      </x:c>
      <x:c r="B34" s="20" t="n">
        <x:v>1893</x:v>
      </x:c>
      <x:c r="C34" s="8" t="str">
        <x:v>Прибытие и выбытие</x:v>
      </x:c>
      <x:c r="D34" s="26"/>
      <x:c r="E34" s="8" t="str">
        <x:v>человек</x:v>
      </x:c>
      <x:c r="F34" s="26"/>
      <x:c r="G34" s="28"/>
      <x:c r="H34" s="8" t="str">
        <x:v>Нет новых чисел; 1893</x:v>
      </x:c>
      <x:c r="I34" s="8" t="str">
        <x:v>Численных годовых потоков нет. Упоминание 61 души в Михайловке повторяет сведения 1892.</x:v>
      </x:c>
      <x:c r="J34" s="8" t="str">
        <x:v>с.7 / PDF10</x:v>
      </x:c>
      <x:c r="K34" s="8" t="str">
        <x:v>https://archive.org/download/obzor_turgaiskoi_oblasti/Обзор Тургайской области за 1893 - RAW.pdf#page=10</x:v>
      </x:c>
      <x:c r="L34" s="8" t="str">
        <x:v>Turgaiskaia_189x(1).xlsx</x:v>
      </x:c>
    </x:row>
    <x:row r="35" ht="64" customHeight="1">
      <x:c r="A35" s="21" t="n">
        <x:v>1894</x:v>
      </x:c>
      <x:c r="B35" s="21" t="n">
        <x:v>1894</x:v>
      </x:c>
      <x:c r="C35" s="15" t="str">
        <x:v>Прибытие и расширение учёта</x:v>
      </x:c>
      <x:c r="D35" s="27" t="n">
        <x:v>1476</x:v>
      </x:c>
      <x:c r="E35" s="15" t="str">
        <x:v>человек</x:v>
      </x:c>
      <x:c r="F35" s="27"/>
      <x:c r="G35" s="29"/>
      <x:c r="H35" s="15" t="str">
        <x:v>Смешанный показатель; 1894</x:v>
      </x:c>
      <x:c r="I35" s="15" t="str">
        <x:v>Приписанные мещане, приехавшие члены семей и впервые учтённые прежние переселенцы. Нельзя считать все 1,476 новыми мигрантами.</x:v>
      </x:c>
      <x:c r="J35" s="15" t="str">
        <x:v>с.30 / PDF31</x:v>
      </x:c>
      <x:c r="K35" s="15" t="str">
        <x:v>https://archive.org/download/obzor_turgaiskoi_oblasti/Обзор Тургайской области за 1894 - RAW.pdf#page=31</x:v>
      </x:c>
      <x:c r="L35" s="15" t="str">
        <x:v>Turgaiskaia_189x(1).xlsx</x:v>
      </x:c>
    </x:row>
    <x:row r="36" ht="64" customHeight="1">
      <x:c r="A36" s="20" t="n">
        <x:v>1894</x:v>
      </x:c>
      <x:c r="B36" s="20" t="n">
        <x:v>1894</x:v>
      </x:c>
      <x:c r="C36" s="8" t="str">
        <x:v>Выбытие</x:v>
      </x:c>
      <x:c r="D36" s="26"/>
      <x:c r="E36" s="8" t="str">
        <x:v>человек</x:v>
      </x:c>
      <x:c r="F36" s="26"/>
      <x:c r="G36" s="28"/>
      <x:c r="H36" s="8" t="str">
        <x:v>Нет данных; 1894</x:v>
      </x:c>
      <x:c r="I36" s="8" t="str">
        <x:v>Отдельного числа выбывших нет.</x:v>
      </x:c>
      <x:c r="J36" s="8"/>
      <x:c r="K36" s="8" t="str">
        <x:v>https://archive.org/download/obzor_turgaiskoi_oblasti/Обзор Тургайской области за 1894 - RAW.pdf</x:v>
      </x:c>
      <x:c r="L36" s="8" t="str">
        <x:v>Turgaiskaia_189x(1).xlsx</x:v>
      </x:c>
    </x:row>
    <x:row r="37" ht="64" customHeight="1">
      <x:c r="A37" s="21" t="n">
        <x:v>1895</x:v>
      </x:c>
      <x:c r="B37" s="21" t="n">
        <x:v>1895</x:v>
      </x:c>
      <x:c r="C37" s="15" t="str">
        <x:v>Прибытие и выбытие</x:v>
      </x:c>
      <x:c r="D37" s="27"/>
      <x:c r="E37" s="15" t="str">
        <x:v>человек</x:v>
      </x:c>
      <x:c r="F37" s="27"/>
      <x:c r="G37" s="29"/>
      <x:c r="H37" s="15" t="str">
        <x:v>Административная приписка; 1895</x:v>
      </x:c>
      <x:c r="I37" s="15" t="str">
        <x:v>Приведена почти завершённая приписка ранее водворившихся поселенцев; численных потоков нет.</x:v>
      </x:c>
      <x:c r="J37" s="15" t="str">
        <x:v>с.28 / PDF31</x:v>
      </x:c>
      <x:c r="K37" s="15" t="str">
        <x:v>https://archive.org/download/obzor_turgaiskoi_oblasti/Обзор Тургайской области за 1895 - RAW.pdf#page=31</x:v>
      </x:c>
      <x:c r="L37" s="15" t="str">
        <x:v>Turgaiskaia_189x(1).xlsx</x:v>
      </x:c>
    </x:row>
    <x:row r="38" ht="64" customHeight="1">
      <x:c r="A38" s="20" t="n">
        <x:v>1896</x:v>
      </x:c>
      <x:c r="B38" s="20" t="n">
        <x:v>1896</x:v>
      </x:c>
      <x:c r="C38" s="8" t="str">
        <x:v>Прибытие</x:v>
      </x:c>
      <x:c r="D38" s="26" t="n">
        <x:v>225</x:v>
      </x:c>
      <x:c r="E38" s="8" t="str">
        <x:v>человек</x:v>
      </x:c>
      <x:c r="F38" s="26" t="n">
        <x:v>56</x:v>
      </x:c>
      <x:c r="G38" s="28"/>
      <x:c r="H38" s="8" t="str">
        <x:v>Указанный источником поток; 1896</x:v>
      </x:c>
      <x:c r="I38" s="8" t="str">
        <x:v>В Актюбинский уезд; это единственный численный приток, названный в разделе движения.</x:v>
      </x:c>
      <x:c r="J38" s="8" t="str">
        <x:v>с.22 / PDF28</x:v>
      </x:c>
      <x:c r="K38" s="8" t="str">
        <x:v>https://archive.org/download/obzor_turgaiskoi_oblasti/Обзор Тургайской области за 1896 - RAW.pdf#page=28</x:v>
      </x:c>
      <x:c r="L38" s="8" t="str">
        <x:v>Turgaiskaia_189x(1).xlsx</x:v>
      </x:c>
    </x:row>
    <x:row r="39" ht="64" customHeight="1">
      <x:c r="A39" s="21" t="n">
        <x:v>1896</x:v>
      </x:c>
      <x:c r="B39" s="21" t="n">
        <x:v>1896</x:v>
      </x:c>
      <x:c r="C39" s="15" t="str">
        <x:v>Организованное выселение</x:v>
      </x:c>
      <x:c r="D39" s="27" t="n">
        <x:v>0</x:v>
      </x:c>
      <x:c r="E39" s="15" t="str">
        <x:v>человек</x:v>
      </x:c>
      <x:c r="F39" s="27"/>
      <x:c r="G39" s="29"/>
      <x:c r="H39" s="15" t="str">
        <x:v>Ноль при ограниченном охвате; 1896</x:v>
      </x:c>
      <x:c r="I39" s="15" t="str">
        <x:v>Выселения не было, «не считая выбытия отдельных лиц». Общий отток неизвестен.</x:v>
      </x:c>
      <x:c r="J39" s="15" t="str">
        <x:v>с.22 / PDF28</x:v>
      </x:c>
      <x:c r="K39" s="15" t="str">
        <x:v>https://archive.org/download/obzor_turgaiskoi_oblasti/Обзор Тургайской области за 1896 - RAW.pdf#page=28</x:v>
      </x:c>
      <x:c r="L39" s="15" t="str">
        <x:v>Turgaiskaia_189x(1).xlsx</x:v>
      </x:c>
    </x:row>
    <x:row r="40" ht="64" customHeight="1">
      <x:c r="A40" s="20" t="n">
        <x:v>1897</x:v>
      </x:c>
      <x:c r="B40" s="20" t="n">
        <x:v>1897</x:v>
      </x:c>
      <x:c r="C40" s="8" t="str">
        <x:v>Прибытие и выбытие</x:v>
      </x:c>
      <x:c r="D40" s="26"/>
      <x:c r="E40" s="8" t="str">
        <x:v>человек</x:v>
      </x:c>
      <x:c r="F40" s="26"/>
      <x:c r="G40" s="28"/>
      <x:c r="H40" s="8" t="str">
        <x:v>Нет выпуска; 1897</x:v>
      </x:c>
      <x:c r="I40" s="8" t="str">
        <x:v>Выпуска нет в подборке.</x:v>
      </x:c>
      <x:c r="J40" s="8"/>
      <x:c r="K40" s="8" t="str">
        <x:v>https://archive.org/download/obzor_turgaiskoi_oblasti</x:v>
      </x:c>
      <x:c r="L40" s="8" t="str">
        <x:v>Turgaiskaia_189x(1).xlsx</x:v>
      </x:c>
    </x:row>
    <x:row r="41" ht="64" customHeight="1">
      <x:c r="A41" s="21" t="n">
        <x:v>1898</x:v>
      </x:c>
      <x:c r="B41" s="21" t="n">
        <x:v>1898</x:v>
      </x:c>
      <x:c r="C41" s="15" t="str">
        <x:v>Прибытие и выбытие</x:v>
      </x:c>
      <x:c r="D41" s="27"/>
      <x:c r="E41" s="15" t="str">
        <x:v>человек</x:v>
      </x:c>
      <x:c r="F41" s="27"/>
      <x:c r="G41" s="29"/>
      <x:c r="H41" s="15" t="str">
        <x:v>Нет выпуска; 1898</x:v>
      </x:c>
      <x:c r="I41" s="15" t="str">
        <x:v>Выпуска нет в подборке.</x:v>
      </x:c>
      <x:c r="J41" s="15"/>
      <x:c r="K41" s="15" t="str">
        <x:v>https://archive.org/download/obzor_turgaiskoi_oblasti</x:v>
      </x:c>
      <x:c r="L41" s="15" t="str">
        <x:v>Turgaiskaia_189x(1).xlsx</x:v>
      </x:c>
    </x:row>
    <x:row r="42" ht="64" customHeight="1">
      <x:c r="A42" s="20" t="n">
        <x:v>1899</x:v>
      </x:c>
      <x:c r="B42" s="20" t="n">
        <x:v>1899</x:v>
      </x:c>
      <x:c r="C42" s="8" t="str">
        <x:v>Прибытие и выбытие</x:v>
      </x:c>
      <x:c r="D42" s="26"/>
      <x:c r="E42" s="8" t="str">
        <x:v>человек</x:v>
      </x:c>
      <x:c r="F42" s="26"/>
      <x:c r="G42" s="28"/>
      <x:c r="H42" s="8" t="str">
        <x:v>Качественное описание; 1899</x:v>
      </x:c>
      <x:c r="I42" s="8" t="str">
        <x:v>Упомянут приток русских поселенцев в северные уезды в последние годы, без годового числа приездов и выездов.</x:v>
      </x:c>
      <x:c r="J42" s="8" t="str">
        <x:v>с.1,4 / PDF4,7</x:v>
      </x:c>
      <x:c r="K42" s="8" t="str">
        <x:v>https://archive.org/download/obzor_turgaiskoi_oblasti/Обзор Тургайской области за 1899 - RAW.pdf#page=4</x:v>
      </x:c>
      <x:c r="L42" s="8" t="str">
        <x:v>Turgaiskaia_189x(1).xlsx</x:v>
      </x:c>
    </x:row>
    <x:row r="43" ht="64" customHeight="1">
      <x:c r="A43" s="21" t="n">
        <x:v>1900</x:v>
      </x:c>
      <x:c r="B43" s="21" t="n">
        <x:v>1900</x:v>
      </x:c>
      <x:c r="C43" s="15" t="str">
        <x:v>Годовой поток</x:v>
      </x:c>
      <x:c r="D43" s="27"/>
      <x:c r="E43" s="15" t="str">
        <x:v>человек</x:v>
      </x:c>
      <x:c r="F43" s="27"/>
      <x:c r="G43" s="29"/>
      <x:c r="H43" s="15" t="str">
        <x:v>Всё население; В/из области; 1900</x:v>
      </x:c>
      <x:c r="I43" s="15" t="str">
        <x:v>Число прибывших и выбывших в демографическом разделе не приведено.</x:v>
      </x:c>
      <x:c r="J43" s="15" t="str">
        <x:v>с.5 / PDF6</x:v>
      </x:c>
      <x:c r="K43" s="15" t="str">
        <x:v>https://archive.org/download/obzor_turgaiskoi_oblasti/Обзор Тургайской области за 1900 - RAW.pdf#page=6</x:v>
      </x:c>
      <x:c r="L43" s="15" t="str">
        <x:v>Turgaiskaia_190x(1).xlsx</x:v>
      </x:c>
    </x:row>
    <x:row r="44" ht="64" customHeight="1">
      <x:c r="A44" s="20" t="n">
        <x:v>1900</x:v>
      </x:c>
      <x:c r="B44" s="20" t="n">
        <x:v>1902</x:v>
      </x:c>
      <x:c r="C44" s="8" t="str">
        <x:v>Ёмкость образованных участков</x:v>
      </x:c>
      <x:c r="D44" s="26" t="n">
        <x:v>25256</x:v>
      </x:c>
      <x:c r="E44" s="8" t="str">
        <x:v>мужских душ (ёмкость)</x:v>
      </x:c>
      <x:c r="F44" s="26"/>
      <x:c r="G44" s="28"/>
      <x:c r="H44" s="8" t="str">
        <x:v>Кустанайский уезд; 1900</x:v>
      </x:c>
      <x:c r="I44" s="8" t="str">
        <x:v>50 участков. Характеристика земельного фонда, не число прибывших.</x:v>
      </x:c>
      <x:c r="J44" s="8" t="str">
        <x:v>Обзор 1902, с.5 / PDF9</x:v>
      </x:c>
      <x:c r="K44" s="8" t="str">
        <x:v>https://archive.org/download/obzor_turgaiskoi_oblasti/Обзор Тургайской области за 1902 - RAW.pdf#page=9</x:v>
      </x:c>
      <x:c r="L44" s="8" t="str">
        <x:v>Turgaiskaia_190x(1).xlsx</x:v>
      </x:c>
    </x:row>
    <x:row r="45" ht="64" customHeight="1">
      <x:c r="A45" s="21" t="n">
        <x:v>1901</x:v>
      </x:c>
      <x:c r="B45" s="21" t="n">
        <x:v>1901</x:v>
      </x:c>
      <x:c r="C45" s="15" t="str">
        <x:v>Годовой поток</x:v>
      </x:c>
      <x:c r="D45" s="27"/>
      <x:c r="E45" s="15" t="str">
        <x:v>человек</x:v>
      </x:c>
      <x:c r="F45" s="27"/>
      <x:c r="G45" s="29"/>
      <x:c r="H45" s="15" t="str">
        <x:v>Всё население; В/из области; 1901</x:v>
      </x:c>
      <x:c r="I45" s="15" t="str">
        <x:v>Числа новых прибытий и выбытий нет. Приложение о землеустройстве содержит доли и площади.</x:v>
      </x:c>
      <x:c r="J45" s="15" t="str">
        <x:v>с.5 / PDF9; вед.15 / PDF85-94</x:v>
      </x:c>
      <x:c r="K45" s="15" t="str">
        <x:v>https://archive.org/download/obzor_turgaiskoi_oblasti/Обзор Тургайской области за 1901 - RAW.pdf#page=9</x:v>
      </x:c>
      <x:c r="L45" s="15" t="str">
        <x:v>Turgaiskaia_190x(1).xlsx</x:v>
      </x:c>
    </x:row>
    <x:row r="46" ht="64" customHeight="1">
      <x:c r="A46" s="20" t="n">
        <x:v>1901</x:v>
      </x:c>
      <x:c r="B46" s="20" t="n">
        <x:v>1902</x:v>
      </x:c>
      <x:c r="C46" s="8" t="str">
        <x:v>Ёмкость образованных участков</x:v>
      </x:c>
      <x:c r="D46" s="26" t="n">
        <x:v>7482</x:v>
      </x:c>
      <x:c r="E46" s="8" t="str">
        <x:v>мужских душ (ёмкость)</x:v>
      </x:c>
      <x:c r="F46" s="26"/>
      <x:c r="G46" s="28"/>
      <x:c r="H46" s="8" t="str">
        <x:v>Кустанайский уезд; 1901</x:v>
      </x:c>
      <x:c r="I46" s="8" t="str">
        <x:v>15 участков. Характеристика земельного фонда, не число прибывших.</x:v>
      </x:c>
      <x:c r="J46" s="8" t="str">
        <x:v>Обзор 1902, с.5 / PDF9</x:v>
      </x:c>
      <x:c r="K46" s="8" t="str">
        <x:v>https://archive.org/download/obzor_turgaiskoi_oblasti/Обзор Тургайской области за 1902 - RAW.pdf#page=9</x:v>
      </x:c>
      <x:c r="L46" s="8" t="str">
        <x:v>Turgaiskaia_190x(1).xlsx</x:v>
      </x:c>
    </x:row>
    <x:row r="47" ht="64" customHeight="1">
      <x:c r="A47" s="21" t="n">
        <x:v>1902</x:v>
      </x:c>
      <x:c r="B47" s="21" t="n">
        <x:v>1902</x:v>
      </x:c>
      <x:c r="C47" s="15" t="str">
        <x:v>Внутренняя миграция</x:v>
      </x:c>
      <x:c r="D47" s="27"/>
      <x:c r="E47" s="15" t="str">
        <x:v>человек</x:v>
      </x:c>
      <x:c r="F47" s="27"/>
      <x:c r="G47" s="29"/>
      <x:c r="H47" s="15" t="str">
        <x:v>Кочевое; Кустанайский → Тургайский уезд; 1902</x:v>
      </x:c>
      <x:c r="I47" s="15" t="str">
        <x:v>Упомянут переход казахов из Кустанайского в Тургайский уезд из-за образования переселенческих участков. Это движение внутри области.</x:v>
      </x:c>
      <x:c r="J47" s="15" t="str">
        <x:v>с.26 / PDF30</x:v>
      </x:c>
      <x:c r="K47" s="15" t="str">
        <x:v>https://archive.org/download/obzor_turgaiskoi_oblasti/Обзор Тургайской области за 1902 - RAW.pdf#page=30</x:v>
      </x:c>
      <x:c r="L47" s="15" t="str">
        <x:v>Turgaiskaia_190x(1).xlsx</x:v>
      </x:c>
    </x:row>
    <x:row r="48" ht="64" customHeight="1">
      <x:c r="A48" s="20" t="n">
        <x:v>1902</x:v>
      </x:c>
      <x:c r="B48" s="20" t="n">
        <x:v>1902</x:v>
      </x:c>
      <x:c r="C48" s="8" t="str">
        <x:v>Ёмкость образованных участков</x:v>
      </x:c>
      <x:c r="D48" s="26" t="n">
        <x:v>10400</x:v>
      </x:c>
      <x:c r="E48" s="8" t="str">
        <x:v>мужских душ (ёмкость)</x:v>
      </x:c>
      <x:c r="F48" s="26"/>
      <x:c r="G48" s="28"/>
      <x:c r="H48" s="8" t="str">
        <x:v>Кустанайский уезд; 1902</x:v>
      </x:c>
      <x:c r="I48" s="8" t="str">
        <x:v>23 участков. Характеристика земельного фонда, не число прибывших.</x:v>
      </x:c>
      <x:c r="J48" s="8" t="str">
        <x:v>Обзор 1902, с.5 / PDF9</x:v>
      </x:c>
      <x:c r="K48" s="8" t="str">
        <x:v>https://archive.org/download/obzor_turgaiskoi_oblasti/Обзор Тургайской области за 1902 - RAW.pdf#page=9</x:v>
      </x:c>
      <x:c r="L48" s="8" t="str">
        <x:v>Turgaiskaia_190x(1).xlsx</x:v>
      </x:c>
    </x:row>
    <x:row r="49" ht="64" customHeight="1">
      <x:c r="A49" s="21" t="n">
        <x:v>1903</x:v>
      </x:c>
      <x:c r="B49" s="21" t="n">
        <x:v>1903</x:v>
      </x:c>
      <x:c r="C49" s="15" t="str">
        <x:v>Водворение</x:v>
      </x:c>
      <x:c r="D49" s="27" t="n">
        <x:v>7701</x:v>
      </x:c>
      <x:c r="E49" s="15" t="str">
        <x:v>душ мужского пола</x:v>
      </x:c>
      <x:c r="F49" s="27"/>
      <x:c r="G49" s="29"/>
      <x:c r="H49" s="15" t="str">
        <x:v>Переселенцы; На участки Кустанайского уезда; 1903</x:v>
      </x:c>
      <x:c r="I49" s="15" t="str">
        <x:v>Административное водворение. В таблице зачислено 30569 мужских душ при ёмкости 42650. Дата приезда и годовой поток обоего пола не даны.</x:v>
      </x:c>
      <x:c r="J49" s="15" t="str">
        <x:v>с.17-18 / PDF18-19</x:v>
      </x:c>
      <x:c r="K49" s="15" t="str">
        <x:v>https://archive.org/download/obzor_turgaiskoi_oblasti/Обзор Тургайской области за 1903 - RAW.pdf#page=18</x:v>
      </x:c>
      <x:c r="L49" s="15" t="str">
        <x:v>Turgaiskaia_190x(1).xlsx</x:v>
      </x:c>
    </x:row>
    <x:row r="50" ht="64" customHeight="1">
      <x:c r="A50" s="20" t="n">
        <x:v>1904</x:v>
      </x:c>
      <x:c r="B50" s="20" t="n">
        <x:v>1904</x:v>
      </x:c>
      <x:c r="C50" s="8" t="str">
        <x:v>Приток без числа</x:v>
      </x:c>
      <x:c r="D50" s="26"/>
      <x:c r="E50" s="8" t="str">
        <x:v>человек</x:v>
      </x:c>
      <x:c r="F50" s="26"/>
      <x:c r="G50" s="28"/>
      <x:c r="H50" s="8" t="str">
        <x:v>Переселенцы; В область; 1904</x:v>
      </x:c>
      <x:c r="I50" s="8" t="str">
        <x:v>Наплыв в северные уезды объясняет распределение оседлого населения. Числа годового внешнего притока/оттока нет.</x:v>
      </x:c>
      <x:c r="J50" s="8" t="str">
        <x:v>с.2-3 / PDF6-7</x:v>
      </x:c>
      <x:c r="K50" s="8" t="str">
        <x:v>https://archive.org/download/obzor_turgaiskoi_oblasti/Обзор Тургайской области за 1904 - RAW.pdf#page=6</x:v>
      </x:c>
      <x:c r="L50" s="8" t="str">
        <x:v>Turgaiskaia_190x(1).xlsx</x:v>
      </x:c>
    </x:row>
    <x:row r="51" ht="64" customHeight="1">
      <x:c r="A51" s="21" t="n">
        <x:v>1905</x:v>
      </x:c>
      <x:c r="B51" s="21" t="n">
        <x:v>1905</x:v>
      </x:c>
      <x:c r="C51" s="15" t="str">
        <x:v>Приток без числа</x:v>
      </x:c>
      <x:c r="D51" s="27"/>
      <x:c r="E51" s="15" t="str">
        <x:v>человек</x:v>
      </x:c>
      <x:c r="F51" s="27"/>
      <x:c r="G51" s="29"/>
      <x:c r="H51" s="15" t="str">
        <x:v>Переселенцы; В область; 1905</x:v>
      </x:c>
      <x:c r="I51" s="15" t="str">
        <x:v>Продолжается водворение переселенцев из разных губерний. Общего годового потока не дано.</x:v>
      </x:c>
      <x:c r="J51" s="15" t="str">
        <x:v>с.2-3 / PDF6-7</x:v>
      </x:c>
      <x:c r="K51" s="15" t="str">
        <x:v>https://archive.org/download/obzor_turgaiskoi_oblasti/Обзор Тургайской области за 1905 - RAW.pdf#page=6</x:v>
      </x:c>
      <x:c r="L51" s="15" t="str">
        <x:v>Turgaiskaia_190x(1).xlsx</x:v>
      </x:c>
    </x:row>
    <x:row r="52" ht="64" customHeight="1">
      <x:c r="A52" s="20" t="n">
        <x:v>1906</x:v>
      </x:c>
      <x:c r="B52" s="20" t="n">
        <x:v>1909</x:v>
      </x:c>
      <x:c r="C52" s="8" t="str">
        <x:v>Прибыль минус рождения</x:v>
      </x:c>
      <x:c r="D52" s="26" t="n">
        <x:v>2181</x:v>
      </x:c>
      <x:c r="E52" s="8" t="str">
        <x:v>человек, расчёт</x:v>
      </x:c>
      <x:c r="F52" s="26"/>
      <x:c r="G52" s="28"/>
      <x:c r="H52" s="8" t="str">
        <x:v>Всё население; Прибытие по ретроспективе; 1906</x:v>
      </x:c>
      <x:c r="I52" s="8" t="str">
        <x:v>22374 всех прибывших −20193 родившихся. Это разность двух опубликованных граф, не независимый подсчёт полного притока.</x:v>
      </x:c>
      <x:c r="J52" s="8" t="str">
        <x:v>Обзор 1909, с.13 / PDF16, табл.2</x:v>
      </x:c>
      <x:c r="K52" s="8" t="str">
        <x:v>https://archive.org/download/obzor_turgaiskoi_oblasti/Обзор Тургайской области за 1909 - RAW.pdf#page=16</x:v>
      </x:c>
      <x:c r="L52" s="8" t="str">
        <x:v>Turgaiskaia_190x(1).xlsx</x:v>
      </x:c>
    </x:row>
    <x:row r="53" ht="64" customHeight="1">
      <x:c r="A53" s="21" t="n">
        <x:v>1907</x:v>
      </x:c>
      <x:c r="B53" s="21" t="n">
        <x:v>1907</x:v>
      </x:c>
      <x:c r="C53" s="15" t="str">
        <x:v>Приход переселенцев</x:v>
      </x:c>
      <x:c r="D53" s="27" t="n">
        <x:v>16234</x:v>
      </x:c>
      <x:c r="E53" s="15" t="str">
        <x:v>душ обоего пола</x:v>
      </x:c>
      <x:c r="F53" s="27"/>
      <x:c r="G53" s="29"/>
      <x:c r="H53" s="15" t="str">
        <x:v>Переселенцы; В область; 1907</x:v>
      </x:c>
      <x:c r="I53" s="15" t="str">
        <x:v>Прямое число за 01.01–31.12.1907 в разделе движения переселенцев. OCR ошибочно читает 16284.</x:v>
      </x:c>
      <x:c r="J53" s="15" t="str">
        <x:v>с.22 / PDF28</x:v>
      </x:c>
      <x:c r="K53" s="15" t="str">
        <x:v>https://archive.org/download/obzor_turgaiskoi_oblasti/Обзор Тургайской области за 1907 - RAW.pdf#page=28</x:v>
      </x:c>
      <x:c r="L53" s="15" t="str">
        <x:v>Turgaiskaia_190x(1).xlsx</x:v>
      </x:c>
    </x:row>
    <x:row r="54" ht="64" customHeight="1">
      <x:c r="A54" s="20" t="n">
        <x:v>1907</x:v>
      </x:c>
      <x:c r="B54" s="20" t="n">
        <x:v>1907</x:v>
      </x:c>
      <x:c r="C54" s="8" t="str">
        <x:v>Освобождение долей</x:v>
      </x:c>
      <x:c r="D54" s="26" t="n">
        <x:v>442</x:v>
      </x:c>
      <x:c r="E54" s="8" t="str">
        <x:v>земельные доли</x:v>
      </x:c>
      <x:c r="F54" s="26"/>
      <x:c r="G54" s="28"/>
      <x:c r="H54" s="8" t="str">
        <x:v>Водворённые; Оставление участков; 1907</x:v>
      </x:c>
      <x:c r="I54" s="8" t="str">
        <x:v>Доли принадлежали 142 семьям. Оставление участка может означать переход внутри области; это не число выехавших за её границы.</x:v>
      </x:c>
      <x:c r="J54" s="8" t="str">
        <x:v>с.22 / PDF28</x:v>
      </x:c>
      <x:c r="K54" s="8" t="str">
        <x:v>https://archive.org/download/obzor_turgaiskoi_oblasti/Обзор Тургайской области за 1907 - RAW.pdf#page=28</x:v>
      </x:c>
      <x:c r="L54" s="8" t="str">
        <x:v>Turgaiskaia_190x(1).xlsx</x:v>
      </x:c>
    </x:row>
    <x:row r="55" ht="64" customHeight="1">
      <x:c r="A55" s="21" t="n">
        <x:v>1907</x:v>
      </x:c>
      <x:c r="B55" s="21" t="n">
        <x:v>1909</x:v>
      </x:c>
      <x:c r="C55" s="15" t="str">
        <x:v>Прибыль минус рождения</x:v>
      </x:c>
      <x:c r="D55" s="27" t="n">
        <x:v>8512</x:v>
      </x:c>
      <x:c r="E55" s="15" t="str">
        <x:v>человек, расчёт</x:v>
      </x:c>
      <x:c r="F55" s="27"/>
      <x:c r="G55" s="29"/>
      <x:c r="H55" s="15" t="str">
        <x:v>Всё население; Прибытие по ретроспективе; 1907</x:v>
      </x:c>
      <x:c r="I55" s="15" t="str">
        <x:v>30398−21886. Не согласуется с 16234 в специальном разделе Обзора 1907. Версии не суммируются.</x:v>
      </x:c>
      <x:c r="J55" s="15" t="str">
        <x:v>Обзор 1909, с.13 / PDF16, табл.2</x:v>
      </x:c>
      <x:c r="K55" s="15" t="str">
        <x:v>https://archive.org/download/obzor_turgaiskoi_oblasti/Обзор Тургайской области за 1909 - RAW.pdf#page=16</x:v>
      </x:c>
      <x:c r="L55" s="15" t="str">
        <x:v>Turgaiskaia_190x(1).xlsx</x:v>
      </x:c>
    </x:row>
    <x:row r="56" ht="64" customHeight="1">
      <x:c r="A56" s="20" t="n">
        <x:v>1908</x:v>
      </x:c>
      <x:c r="B56" s="20" t="n">
        <x:v>1908</x:v>
      </x:c>
      <x:c r="C56" s="8" t="str">
        <x:v>Переселились в область</x:v>
      </x:c>
      <x:c r="D56" s="26" t="n">
        <x:v>4574</x:v>
      </x:c>
      <x:c r="E56" s="8" t="str">
        <x:v>душ обоего пола</x:v>
      </x:c>
      <x:c r="F56" s="26"/>
      <x:c r="G56" s="28"/>
      <x:c r="H56" s="8" t="str">
        <x:v>Переселенцы; В область; 1908</x:v>
      </x:c>
      <x:c r="I56" s="8" t="str">
        <x:v>2404 мужчины+2170 женщин. Прямое число демографического раздела. Совпадает с 29301−24727 в ретроспективе 1909.</x:v>
      </x:c>
      <x:c r="J56" s="8" t="str">
        <x:v>с.2 / PDF8; Обзор 1909 табл.2</x:v>
      </x:c>
      <x:c r="K56" s="8" t="str">
        <x:v>https://archive.org/download/obzor_turgaiskoi_oblasti/Обзор Тургайской области за 1908 - RAW.pdf#page=8</x:v>
      </x:c>
      <x:c r="L56" s="8" t="str">
        <x:v>Turgaiskaia_190x(1).xlsx</x:v>
      </x:c>
    </x:row>
    <x:row r="57" ht="64" customHeight="1">
      <x:c r="A57" s="21" t="n">
        <x:v>1908</x:v>
      </x:c>
      <x:c r="B57" s="21" t="n">
        <x:v>1908</x:v>
      </x:c>
      <x:c r="C57" s="15" t="str">
        <x:v>Водворение</x:v>
      </x:c>
      <x:c r="D57" s="27" t="n">
        <x:v>12991</x:v>
      </x:c>
      <x:c r="E57" s="15" t="str">
        <x:v>душ мужского пола</x:v>
      </x:c>
      <x:c r="F57" s="27"/>
      <x:c r="G57" s="29"/>
      <x:c r="H57" s="15" t="str">
        <x:v>Переселенцы; На переселенческие участки; 1908</x:v>
      </x:c>
      <x:c r="I57" s="15" t="str">
        <x:v>При 25855 зачисленных долях водворено 12991. Сумма женских строк 11150; всего по строкам 24141 человек. Это другая учётная операция, чем 4574 прибывших.</x:v>
      </x:c>
      <x:c r="J57" s="15" t="str">
        <x:v>с.26 / PDF32</x:v>
      </x:c>
      <x:c r="K57" s="15" t="str">
        <x:v>https://archive.org/download/obzor_turgaiskoi_oblasti/Обзор Тургайской области за 1908 - RAW.pdf#page=32</x:v>
      </x:c>
      <x:c r="L57" s="15" t="str">
        <x:v>Turgaiskaia_190x(1).xlsx</x:v>
      </x:c>
    </x:row>
    <x:row r="58" ht="64" customHeight="1">
      <x:c r="A58" s="20" t="n">
        <x:v>1908</x:v>
      </x:c>
      <x:c r="B58" s="20" t="n">
        <x:v>1908</x:v>
      </x:c>
      <x:c r="C58" s="8" t="str">
        <x:v>Оставление участков</x:v>
      </x:c>
      <x:c r="D58" s="26" t="n">
        <x:v>2011</x:v>
      </x:c>
      <x:c r="E58" s="8" t="str">
        <x:v>человек по сумме полов</x:v>
      </x:c>
      <x:c r="F58" s="26"/>
      <x:c r="G58" s="28"/>
      <x:c r="H58" s="8" t="str">
        <x:v>Водворённые; Направление выбытия неизвестно; 1908</x:v>
      </x:c>
      <x:c r="I58" s="8" t="str">
        <x:v>1084 мужчины+927 женщин,353 семьи. Не весь внешний отток: направление после оставления участков не указано.</x:v>
      </x:c>
      <x:c r="J58" s="8" t="str">
        <x:v>с.27 / PDF33</x:v>
      </x:c>
      <x:c r="K58" s="8" t="str">
        <x:v>https://archive.org/download/obzor_turgaiskoi_oblasti/Обзор Тургайской области за 1908 - RAW.pdf#page=33</x:v>
      </x:c>
      <x:c r="L58" s="8" t="str">
        <x:v>Turgaiskaia_190x(1).xlsx</x:v>
      </x:c>
    </x:row>
    <x:row r="59" ht="64" customHeight="1">
      <x:c r="A59" s="21" t="n">
        <x:v>1909</x:v>
      </x:c>
      <x:c r="B59" s="21" t="n">
        <x:v>1909</x:v>
      </x:c>
      <x:c r="C59" s="15" t="str">
        <x:v>Переселилось</x:v>
      </x:c>
      <x:c r="D59" s="27" t="n">
        <x:v>19701</x:v>
      </x:c>
      <x:c r="E59" s="15" t="str">
        <x:v>душ обоего пола</x:v>
      </x:c>
      <x:c r="F59" s="27"/>
      <x:c r="G59" s="29"/>
      <x:c r="H59" s="15" t="str">
        <x:v>Оседлое; В область; 1909</x:v>
      </x:c>
      <x:c r="I59" s="15" t="str">
        <x:v>Прямая графа табл.3.</x:v>
      </x:c>
      <x:c r="J59" s="15" t="str">
        <x:v>с.13 / PDF16, табл.3</x:v>
      </x:c>
      <x:c r="K59" s="15" t="str">
        <x:v>https://archive.org/download/obzor_turgaiskoi_oblasti/Обзор Тургайской области за 1909 - RAW.pdf#page=16</x:v>
      </x:c>
      <x:c r="L59" s="15" t="str">
        <x:v>Turgaiskaia_190x(1).xlsx</x:v>
      </x:c>
    </x:row>
    <x:row r="60" ht="64" customHeight="1">
      <x:c r="A60" s="20" t="n">
        <x:v>1909</x:v>
      </x:c>
      <x:c r="B60" s="20" t="n">
        <x:v>1909</x:v>
      </x:c>
      <x:c r="C60" s="8" t="str">
        <x:v>Переселилось</x:v>
      </x:c>
      <x:c r="D60" s="26" t="n">
        <x:v>2324</x:v>
      </x:c>
      <x:c r="E60" s="8" t="str">
        <x:v>душ обоего пола</x:v>
      </x:c>
      <x:c r="F60" s="26"/>
      <x:c r="G60" s="28"/>
      <x:c r="H60" s="8" t="str">
        <x:v>Кочевое; В область; 1909</x:v>
      </x:c>
      <x:c r="I60" s="8" t="str">
        <x:v>Прямая графа табл.3. Уездные строки 2245+79=2324.</x:v>
      </x:c>
      <x:c r="J60" s="8" t="str">
        <x:v>с.13 / PDF16, табл.3</x:v>
      </x:c>
      <x:c r="K60" s="8" t="str">
        <x:v>https://archive.org/download/obzor_turgaiskoi_oblasti/Обзор Тургайской области за 1909 - RAW.pdf#page=16</x:v>
      </x:c>
      <x:c r="L60" s="8" t="str">
        <x:v>Turgaiskaia_190x(1).xlsx</x:v>
      </x:c>
    </x:row>
    <x:row r="61" ht="64" customHeight="1">
      <x:c r="A61" s="21" t="n">
        <x:v>1909</x:v>
      </x:c>
      <x:c r="B61" s="21" t="n">
        <x:v>1909</x:v>
      </x:c>
      <x:c r="C61" s="15" t="str">
        <x:v>Сумма притока</x:v>
      </x:c>
      <x:c r="D61" s="27" t="n">
        <x:v>22025</x:v>
      </x:c>
      <x:c r="E61" s="15" t="str">
        <x:v>душ обоего пола</x:v>
      </x:c>
      <x:c r="F61" s="27"/>
      <x:c r="G61" s="29"/>
      <x:c r="H61" s="15" t="str">
        <x:v>Оседлое+кочевое; В область; 1909</x:v>
      </x:c>
      <x:c r="I61" s="15" t="str">
        <x:v>19701+2324. Зарегистрированный приток по демографической таблице.</x:v>
      </x:c>
      <x:c r="J61" s="15" t="str">
        <x:v>с.13 / PDF16, табл.3</x:v>
      </x:c>
      <x:c r="K61" s="15" t="str">
        <x:v>https://archive.org/download/obzor_turgaiskoi_oblasti/Обзор Тургайской области за 1909 - RAW.pdf#page=16</x:v>
      </x:c>
      <x:c r="L61" s="15" t="str">
        <x:v>Turgaiskaia_190x(1).xlsx</x:v>
      </x:c>
    </x:row>
    <x:row r="62" ht="64" customHeight="1">
      <x:c r="A62" s="20" t="n">
        <x:v>1909</x:v>
      </x:c>
      <x:c r="B62" s="20" t="n">
        <x:v>1909</x:v>
      </x:c>
      <x:c r="C62" s="8" t="str">
        <x:v>Выбывшие по разным случаям</x:v>
      </x:c>
      <x:c r="D62" s="26" t="n">
        <x:v>1355</x:v>
      </x:c>
      <x:c r="E62" s="8" t="str">
        <x:v>душ обоего пола</x:v>
      </x:c>
      <x:c r="F62" s="26"/>
      <x:c r="G62" s="28"/>
      <x:c r="H62" s="8" t="str">
        <x:v>Оседлое; Из области по учётной таблице; 1909</x:v>
      </x:c>
      <x:c r="I62" s="8" t="str">
        <x:v>Уездные строки 78+1101+176=1355. Отдельного числового оттока кочевников нет.</x:v>
      </x:c>
      <x:c r="J62" s="8" t="str">
        <x:v>с.14 / PDF17, табл.5</x:v>
      </x:c>
      <x:c r="K62" s="8" t="str">
        <x:v>https://archive.org/download/obzor_turgaiskoi_oblasti/Обзор Тургайской области за 1909 - RAW.pdf#page=17</x:v>
      </x:c>
      <x:c r="L62" s="8" t="str">
        <x:v>Turgaiskaia_190x(1).xlsx</x:v>
      </x:c>
    </x:row>
    <x:row r="63" ht="64" customHeight="1">
      <x:c r="A63" s="21" t="n">
        <x:v>1909</x:v>
      </x:c>
      <x:c r="B63" s="21" t="n">
        <x:v>1909</x:v>
      </x:c>
      <x:c r="C63" s="15" t="str">
        <x:v>Проживают без документов</x:v>
      </x:c>
      <x:c r="D63" s="27" t="n">
        <x:v>27754</x:v>
      </x:c>
      <x:c r="E63" s="15" t="str">
        <x:v>душ мужского пола</x:v>
      </x:c>
      <x:c r="F63" s="27"/>
      <x:c r="G63" s="29"/>
      <x:c r="H63" s="15" t="str">
        <x:v>Самовольные переселенцы; Уже в области к началу августа; 1909</x:v>
      </x:c>
      <x:c r="I63" s="15" t="str">
        <x:v>Наличная группа ранее прибывших, не новые прибытия 1909. Из неё зачислено 10955 мужских душ.</x:v>
      </x:c>
      <x:c r="J63" s="15" t="str">
        <x:v>с.98 / PDF101</x:v>
      </x:c>
      <x:c r="K63" s="15" t="str">
        <x:v>https://archive.org/download/obzor_turgaiskoi_oblasti/Обзор Тургайской области за 1909 - RAW.pdf#page=101</x:v>
      </x:c>
      <x:c r="L63" s="15" t="str">
        <x:v>Turgaiskaia_190x(1).xlsx</x:v>
      </x:c>
    </x:row>
    <x:row r="64" ht="64" customHeight="1">
      <x:c r="A64" s="20" t="n">
        <x:v>1909</x:v>
      </x:c>
      <x:c r="B64" s="20" t="n">
        <x:v>1909</x:v>
      </x:c>
      <x:c r="C64" s="8" t="str">
        <x:v>Водворение</x:v>
      </x:c>
      <x:c r="D64" s="26" t="n">
        <x:v>18870</x:v>
      </x:c>
      <x:c r="E64" s="8" t="str">
        <x:v>душ мужского пола</x:v>
      </x:c>
      <x:c r="F64" s="26"/>
      <x:c r="G64" s="28"/>
      <x:c r="H64" s="8" t="str">
        <x:v>Переселенцы; На переселенческие участки; 1909</x:v>
      </x:c>
      <x:c r="I64" s="8" t="str">
        <x:v>6202 семьи. Включены зачисленные в 1907,1908,1909 и уже жившие в районе. Не приравнивать к новому внешнему притоку 1909.</x:v>
      </x:c>
      <x:c r="J64" s="8" t="str">
        <x:v>с.99 / PDF102, табл.70</x:v>
      </x:c>
      <x:c r="K64" s="8" t="str">
        <x:v>https://archive.org/download/obzor_turgaiskoi_oblasti/Обзор Тургайской области за 1909 - RAW.pdf#page=102</x:v>
      </x:c>
      <x:c r="L64" s="8" t="str">
        <x:v>Turgaiskaia_190x(1).xlsx</x:v>
      </x:c>
    </x:row>
    <x:row r="65" ht="64" customHeight="1">
      <x:c r="A65" s="21" t="n">
        <x:v>1909</x:v>
      </x:c>
      <x:c r="B65" s="21" t="n">
        <x:v>1909</x:v>
      </x:c>
      <x:c r="C65" s="15" t="str">
        <x:v>Освобождение долей</x:v>
      </x:c>
      <x:c r="D65" s="27" t="n">
        <x:v>1821</x:v>
      </x:c>
      <x:c r="E65" s="15" t="str">
        <x:v>земельные доли</x:v>
      </x:c>
      <x:c r="F65" s="27"/>
      <x:c r="G65" s="29"/>
      <x:c r="H65" s="15" t="str">
        <x:v>Водворённые; Оставление участков; 1909</x:v>
      </x:c>
      <x:c r="I65" s="15" t="str">
        <x:v>Доли принадлежали 538 семьям. Общего числа людей и направления их дальнейшего движения нет.</x:v>
      </x:c>
      <x:c r="J65" s="15" t="str">
        <x:v>с.99 / PDF102, табл.71</x:v>
      </x:c>
      <x:c r="K65" s="15" t="str">
        <x:v>https://archive.org/download/obzor_turgaiskoi_oblasti/Обзор Тургайской области за 1909 - RAW.pdf#page=102</x:v>
      </x:c>
      <x:c r="L65" s="15" t="str">
        <x:v>Turgaiskaia_190x(1).xlsx</x:v>
      </x:c>
    </x:row>
    <x:row r="66" ht="64" customHeight="1">
      <x:c r="A66" s="20" t="n">
        <x:v>1910</x:v>
      </x:c>
      <x:c r="B66" s="20" t="n">
        <x:v>1910</x:v>
      </x:c>
      <x:c r="C66" s="8" t="str">
        <x:v>Водворение</x:v>
      </x:c>
      <x:c r="D66" s="26" t="n">
        <x:v>24244</x:v>
      </x:c>
      <x:c r="E66" s="8" t="str">
        <x:v>душ</x:v>
      </x:c>
      <x:c r="F66" s="26" t="n">
        <x:v>7967</x:v>
      </x:c>
      <x:c r="G66" s="28"/>
      <x:c r="H66" s="8" t="str">
        <x:v>В табл.70 не оговорён; Тургайская область; 1910</x:v>
      </x:c>
      <x:c r="I66" s="8" t="str">
        <x:v>Кустанайский уезд: 5493 семьи, 17050 душ; Актюбинский: 2474, 7194. Это водворение, а не независимый подсчёт всех прибывших.</x:v>
      </x:c>
      <x:c r="J66" s="8" t="str">
        <x:v>с.95 / PDF95, табл.70</x:v>
      </x:c>
      <x:c r="K66" s="8" t="str">
        <x:v>https://archive.org/download/obzor_turgaiskoi_oblasti/Обзор Тургайской области за 1910 - RAW.pdf#page=95</x:v>
      </x:c>
      <x:c r="L66" s="8" t="str">
        <x:v>Turgaiskaia_191x(1).xlsx</x:v>
      </x:c>
    </x:row>
    <x:row r="67" ht="64" customHeight="1">
      <x:c r="A67" s="21" t="n">
        <x:v>1910</x:v>
      </x:c>
      <x:c r="B67" s="21" t="n">
        <x:v>1910</x:v>
      </x:c>
      <x:c r="C67" s="15" t="str">
        <x:v>Освобождение долей от водворенных</x:v>
      </x:c>
      <x:c r="D67" s="27" t="n">
        <x:v>3279</x:v>
      </x:c>
      <x:c r="E67" s="15" t="str">
        <x:v>душевых долей</x:v>
      </x:c>
      <x:c r="F67" s="27" t="n">
        <x:v>990</x:v>
      </x:c>
      <x:c r="G67" s="29"/>
      <x:c r="H67" s="15" t="str">
        <x:v>Земельный учёт; Тургайская область; 1910</x:v>
      </x:c>
      <x:c r="I67" s="15" t="str">
        <x:v>Освободившие земельную долю не обязательно покинули область. От зачисленных отдельно освободилось 2745 семей / 9273 доли.</x:v>
      </x:c>
      <x:c r="J67" s="15" t="str">
        <x:v>с.95 / PDF95, табл.71</x:v>
      </x:c>
      <x:c r="K67" s="15" t="str">
        <x:v>https://archive.org/download/obzor_turgaiskoi_oblasti/Обзор Тургайской области за 1910 - RAW.pdf#page=95</x:v>
      </x:c>
      <x:c r="L67" s="15" t="str">
        <x:v>Turgaiskaia_191x(1).xlsx</x:v>
      </x:c>
    </x:row>
    <x:row r="68" ht="64" customHeight="1">
      <x:c r="A68" s="20" t="n">
        <x:v>1911</x:v>
      </x:c>
      <x:c r="B68" s="20" t="n">
        <x:v>1911</x:v>
      </x:c>
      <x:c r="C68" s="8" t="str">
        <x:v>Водворение</x:v>
      </x:c>
      <x:c r="D68" s="26" t="n">
        <x:v>27373</x:v>
      </x:c>
      <x:c r="E68" s="8" t="str">
        <x:v>душ мужского пола</x:v>
      </x:c>
      <x:c r="F68" s="26" t="n">
        <x:v>8326</x:v>
      </x:c>
      <x:c r="G68" s="28"/>
      <x:c r="H68" s="8" t="str">
        <x:v>Мужской; Тургайская область; 1911</x:v>
      </x:c>
      <x:c r="I68" s="8" t="str">
        <x:v>Табл.69: 6373 семьи / 21977 мужчин в Кустанайском уезде и 1953 / 5396 в Актюбинском. Женский общий итог в этом блоке не напечатан. Не прибавлять к таблице общего переселения.</x:v>
      </x:c>
      <x:c r="J68" s="8" t="str">
        <x:v>с.107 / PDF115, табл.69</x:v>
      </x:c>
      <x:c r="K68" s="8" t="str">
        <x:v>https://archive.org/download/obzor_turgaiskoi_oblasti/Обзор Тургайской области за 1911 - RAW.pdf#page=115</x:v>
      </x:c>
      <x:c r="L68" s="8" t="str">
        <x:v>Turgaiskaia_191x(1).xlsx</x:v>
      </x:c>
    </x:row>
    <x:row r="69" ht="64" customHeight="1">
      <x:c r="A69" s="21" t="n">
        <x:v>1911</x:v>
      </x:c>
      <x:c r="B69" s="21" t="n">
        <x:v>1911</x:v>
      </x:c>
      <x:c r="C69" s="15" t="str">
        <x:v>Освобождение от водворения</x:v>
      </x:c>
      <x:c r="D69" s="27" t="n">
        <x:v>4554</x:v>
      </x:c>
      <x:c r="E69" s="15" t="str">
        <x:v>душ мужского пола</x:v>
      </x:c>
      <x:c r="F69" s="27" t="n">
        <x:v>1537</x:v>
      </x:c>
      <x:c r="G69" s="29"/>
      <x:c r="H69" s="15" t="str">
        <x:v>Мужской; Тургайская область; 1911</x:v>
      </x:c>
      <x:c r="I69" s="15" t="str">
        <x:v>Отказ от участка не равен внешнему оттоку. В примечании таблицы указано отсутствие точных сведений от VI подрайона и 3-го участка крестьянского начальника Кустанайского уезда.</x:v>
      </x:c>
      <x:c r="J69" s="15" t="str">
        <x:v>с.107 / PDF115, табл.69</x:v>
      </x:c>
      <x:c r="K69" s="15" t="str">
        <x:v>https://archive.org/download/obzor_turgaiskoi_oblasti/Обзор Тургайской области за 1911 - RAW.pdf#page=115</x:v>
      </x:c>
      <x:c r="L69" s="15" t="str">
        <x:v>Turgaiskaia_191x(1).xlsx</x:v>
      </x:c>
    </x:row>
    <x:row r="70" ht="64" customHeight="1">
      <x:c r="A70" s="20" t="n">
        <x:v>1912</x:v>
      </x:c>
      <x:c r="B70" s="20" t="n">
        <x:v>1912</x:v>
      </x:c>
      <x:c r="C70" s="8" t="str">
        <x:v>Зачисление</x:v>
      </x:c>
      <x:c r="D70" s="26" t="n">
        <x:v>18802</x:v>
      </x:c>
      <x:c r="E70" s="8" t="str">
        <x:v>душ мужского пола</x:v>
      </x:c>
      <x:c r="F70" s="26" t="n">
        <x:v>6114</x:v>
      </x:c>
      <x:c r="G70" s="28"/>
      <x:c r="H70" s="8" t="str">
        <x:v>Мужской; Тургайская область; 1912</x:v>
      </x:c>
      <x:c r="I70" s="8" t="str">
        <x:v>Включает уже проживавших арендаторов, заимщиков и самовольных переселенцев. Не является числом вновь прибывших обоего пола.</x:v>
      </x:c>
      <x:c r="J70" s="8" t="str">
        <x:v>с.135 / PDF145, табл.88</x:v>
      </x:c>
      <x:c r="K70" s="8" t="str">
        <x:v>https://archive.org/download/obzor_turgaiskoi_oblasti/Обзор Тургайской области за 1912 - RAW.pdf#page=145</x:v>
      </x:c>
      <x:c r="L70" s="8" t="str">
        <x:v>Turgaiskaia_191x(1).xlsx</x:v>
      </x:c>
    </x:row>
    <x:row r="71" ht="64" customHeight="1">
      <x:c r="A71" s="21" t="n">
        <x:v>1912</x:v>
      </x:c>
      <x:c r="B71" s="21" t="n">
        <x:v>1912</x:v>
      </x:c>
      <x:c r="C71" s="15" t="str">
        <x:v>Водворение</x:v>
      </x:c>
      <x:c r="D71" s="27" t="n">
        <x:v>10139</x:v>
      </x:c>
      <x:c r="E71" s="15" t="str">
        <x:v>душ мужского пола</x:v>
      </x:c>
      <x:c r="F71" s="27" t="n">
        <x:v>3384</x:v>
      </x:c>
      <x:c r="G71" s="29"/>
      <x:c r="H71" s="15" t="str">
        <x:v>Мужской; Тургайская область; 1912</x:v>
      </x:c>
      <x:c r="I71" s="15" t="str">
        <x:v>Актюбинский уезд: 1782 семьи / 4894 мужчины; Кустанайский: 1602 / 5245. Из общего итога 2098 семей / 6199 мужчин прибыли до отчётного года.</x:v>
      </x:c>
      <x:c r="J71" s="15" t="str">
        <x:v>с.135 / PDF145, табл.89</x:v>
      </x:c>
      <x:c r="K71" s="15" t="str">
        <x:v>https://archive.org/download/obzor_turgaiskoi_oblasti/Обзор Тургайской области за 1912 - RAW.pdf#page=145</x:v>
      </x:c>
      <x:c r="L71" s="15" t="str">
        <x:v>Turgaiskaia_191x(1).xlsx</x:v>
      </x:c>
    </x:row>
    <x:row r="72" ht="64" customHeight="1">
      <x:c r="A72" s="20" t="n">
        <x:v>1912</x:v>
      </x:c>
      <x:c r="B72" s="20" t="n">
        <x:v>1912</x:v>
      </x:c>
      <x:c r="C72" s="8" t="str">
        <x:v>Водворение прибывших в отчётном году</x:v>
      </x:c>
      <x:c r="D72" s="26" t="n">
        <x:v>3940</x:v>
      </x:c>
      <x:c r="E72" s="8" t="str">
        <x:v>душ мужского пола</x:v>
      </x:c>
      <x:c r="F72" s="26" t="n">
        <x:v>1286</x:v>
      </x:c>
      <x:c r="G72" s="28"/>
      <x:c r="H72" s="8" t="str">
        <x:v>Мужской; Тургайская область; 1912</x:v>
      </x:c>
      <x:c r="I72" s="8" t="str">
        <x:v>Сумма двух категорий табл.89: 480+806 семей, 1614+2326 мужчин. Часть общего водворения, повторно не суммировать с ним.</x:v>
      </x:c>
      <x:c r="J72" s="8" t="str">
        <x:v>с.135 / PDF145, табл.89</x:v>
      </x:c>
      <x:c r="K72" s="8" t="str">
        <x:v>https://archive.org/download/obzor_turgaiskoi_oblasti/Обзор Тургайской области за 1912 - RAW.pdf#page=145</x:v>
      </x:c>
      <x:c r="L72" s="8" t="str">
        <x:v>Turgaiskaia_191x(1).xlsx</x:v>
      </x:c>
    </x:row>
    <x:row r="73" ht="64" customHeight="1">
      <x:c r="A73" s="21" t="n">
        <x:v>1912</x:v>
      </x:c>
      <x:c r="B73" s="21" t="n">
        <x:v>1912</x:v>
      </x:c>
      <x:c r="C73" s="15" t="str">
        <x:v>Приток после выселения с казачьих земель</x:v>
      </x:c>
      <x:c r="D73" s="27" t="n">
        <x:v>526</x:v>
      </x:c>
      <x:c r="E73" s="15" t="str">
        <x:v>душ мужского пола</x:v>
      </x:c>
      <x:c r="F73" s="27" t="n">
        <x:v>180</x:v>
      </x:c>
      <x:c r="G73" s="29"/>
      <x:c r="H73" s="15" t="str">
        <x:v>Мужской; 4-й подрайон Кустанайского уезда; Осень 1912</x:v>
      </x:c>
      <x:c r="I73" s="15" t="str">
        <x:v>Зачисленные семьи после распоряжения о выселении разночинцев с земель Оренбургского казачьего войска. Только один подрайон, не общий поток области.</x:v>
      </x:c>
      <x:c r="J73" s="15" t="str">
        <x:v>с.134 / PDF144, табл.Текст</x:v>
      </x:c>
      <x:c r="K73" s="15" t="str">
        <x:v>https://archive.org/download/obzor_turgaiskoi_oblasti/Обзор Тургайской области за 1912 - RAW.pdf#page=144</x:v>
      </x:c>
      <x:c r="L73" s="15" t="str">
        <x:v>Turgaiskaia_191x(1).xlsx</x:v>
      </x:c>
    </x:row>
    <x:row r="74" ht="64" customHeight="1">
      <x:c r="A74" s="20" t="n">
        <x:v>1912</x:v>
      </x:c>
      <x:c r="B74" s="20" t="n">
        <x:v>1915</x:v>
      </x:c>
      <x:c r="C74" s="8" t="str">
        <x:v>Освобождение долей от водворенных</x:v>
      </x:c>
      <x:c r="D74" s="26" t="n">
        <x:v>5209</x:v>
      </x:c>
      <x:c r="E74" s="8" t="str">
        <x:v>душевых долей</x:v>
      </x:c>
      <x:c r="F74" s="26"/>
      <x:c r="G74" s="28"/>
      <x:c r="H74" s="8" t="str">
        <x:v>Земельный учёт; Тургайская область; 1912</x:v>
      </x:c>
      <x:c r="I74" s="8" t="str">
        <x:v>Ретроспектива выпуска 1915. Не трактовать как число всех выехавших из области.</x:v>
      </x:c>
      <x:c r="J74" s="8" t="str">
        <x:v>с.90 / PDF98, табл.78</x:v>
      </x:c>
      <x:c r="K74" s="8" t="str">
        <x:v>https://archive.org/download/obzor_turgaiskoi_oblasti/Обзор Тургайской области за 1915 - RAW.pdf#page=98</x:v>
      </x:c>
      <x:c r="L74" s="8" t="str">
        <x:v>Turgaiskaia_191x(1).xlsx</x:v>
      </x:c>
    </x:row>
    <x:row r="75" ht="64" customHeight="1">
      <x:c r="A75" s="21" t="n">
        <x:v>1913</x:v>
      </x:c>
      <x:c r="B75" s="21" t="n">
        <x:v>1913</x:v>
      </x:c>
      <x:c r="C75" s="15" t="str">
        <x:v>Зачисление</x:v>
      </x:c>
      <x:c r="D75" s="27" t="n">
        <x:v>21996</x:v>
      </x:c>
      <x:c r="E75" s="15" t="str">
        <x:v>душ мужского пола</x:v>
      </x:c>
      <x:c r="F75" s="27" t="n">
        <x:v>7278</x:v>
      </x:c>
      <x:c r="G75" s="29"/>
      <x:c r="H75" s="15" t="str">
        <x:v>Мужской; Тургайская область; 1913</x:v>
      </x:c>
      <x:c r="I75" s="15" t="str">
        <x:v>Включает 792 семьи / 2322 мужчины, уже проживавшие на месте водворения. Не равняется новому внешнему притоку.</x:v>
      </x:c>
      <x:c r="J75" s="15" t="str">
        <x:v>с.163 / PDF163, табл.98</x:v>
      </x:c>
      <x:c r="K75" s="15" t="str">
        <x:v>https://archive.org/download/obzor_turgaiskoi_oblasti/Обзор Тургайской области за 1913 - RAW.pdf#page=163</x:v>
      </x:c>
      <x:c r="L75" s="15" t="str">
        <x:v>Turgaiskaia_191x(1).xlsx</x:v>
      </x:c>
    </x:row>
    <x:row r="76" ht="64" customHeight="1">
      <x:c r="A76" s="20" t="n">
        <x:v>1913</x:v>
      </x:c>
      <x:c r="B76" s="20" t="n">
        <x:v>1913</x:v>
      </x:c>
      <x:c r="C76" s="8" t="str">
        <x:v>Водворение</x:v>
      </x:c>
      <x:c r="D76" s="26" t="n">
        <x:v>11339</x:v>
      </x:c>
      <x:c r="E76" s="8" t="str">
        <x:v>душ мужского пола</x:v>
      </x:c>
      <x:c r="F76" s="26" t="n">
        <x:v>4153</x:v>
      </x:c>
      <x:c r="G76" s="28"/>
      <x:c r="H76" s="8" t="str">
        <x:v>Мужской; Тургайская область; 1913</x:v>
      </x:c>
      <x:c r="I76" s="8" t="str">
        <x:v>Актюбинский уезд: 1476 / 4375; Кустанайский: 2625 / 6813; Тургайский: 52 / 151. Из общего итога 941 семья / 2851 мужчина прибыли до отчётного года.</x:v>
      </x:c>
      <x:c r="J76" s="8" t="str">
        <x:v>с.163 / PDF163, табл.99</x:v>
      </x:c>
      <x:c r="K76" s="8" t="str">
        <x:v>https://archive.org/download/obzor_turgaiskoi_oblasti/Обзор Тургайской области за 1913 - RAW.pdf#page=163</x:v>
      </x:c>
      <x:c r="L76" s="8" t="str">
        <x:v>Turgaiskaia_191x(1).xlsx</x:v>
      </x:c>
    </x:row>
    <x:row r="77" ht="64" customHeight="1">
      <x:c r="A77" s="21" t="n">
        <x:v>1913</x:v>
      </x:c>
      <x:c r="B77" s="21" t="n">
        <x:v>1913</x:v>
      </x:c>
      <x:c r="C77" s="15" t="str">
        <x:v>Водворение прибывших в отчётном году</x:v>
      </x:c>
      <x:c r="D77" s="27" t="n">
        <x:v>8488</x:v>
      </x:c>
      <x:c r="E77" s="15" t="str">
        <x:v>душ мужского пола</x:v>
      </x:c>
      <x:c r="F77" s="27" t="n">
        <x:v>3212</x:v>
      </x:c>
      <x:c r="G77" s="29"/>
      <x:c r="H77" s="15" t="str">
        <x:v>Мужской; Тургайская область; 1913</x:v>
      </x:c>
      <x:c r="I77" s="15" t="str">
        <x:v>Сумма категорий по проходным свидетельствам и паспортам: 2071+1141 семей, 5513+2975 мужчин. Часть общего водворения.</x:v>
      </x:c>
      <x:c r="J77" s="15" t="str">
        <x:v>с.163 / PDF163, табл.99</x:v>
      </x:c>
      <x:c r="K77" s="15" t="str">
        <x:v>https://archive.org/download/obzor_turgaiskoi_oblasti/Обзор Тургайской области за 1913 - RAW.pdf#page=163</x:v>
      </x:c>
      <x:c r="L77" s="15" t="str">
        <x:v>Turgaiskaia_191x(1).xlsx</x:v>
      </x:c>
    </x:row>
    <x:row r="78" ht="64" customHeight="1">
      <x:c r="A78" s="20" t="n">
        <x:v>1913</x:v>
      </x:c>
      <x:c r="B78" s="20" t="n">
        <x:v>1915</x:v>
      </x:c>
      <x:c r="C78" s="8" t="str">
        <x:v>Освобождение долей от водворенных</x:v>
      </x:c>
      <x:c r="D78" s="26" t="n">
        <x:v>4538</x:v>
      </x:c>
      <x:c r="E78" s="8" t="str">
        <x:v>душевых долей</x:v>
      </x:c>
      <x:c r="F78" s="26"/>
      <x:c r="G78" s="28"/>
      <x:c r="H78" s="8" t="str">
        <x:v>Земельный учёт; Тургайская область; 1913</x:v>
      </x:c>
      <x:c r="I78" s="8" t="str">
        <x:v>Ретроспектива выпуска 1915. Не является полным внешним оттоком.</x:v>
      </x:c>
      <x:c r="J78" s="8" t="str">
        <x:v>с.90 / PDF98, табл.78</x:v>
      </x:c>
      <x:c r="K78" s="8" t="str">
        <x:v>https://archive.org/download/obzor_turgaiskoi_oblasti/Обзор Тургайской области за 1915 - RAW.pdf#page=98</x:v>
      </x:c>
      <x:c r="L78" s="8" t="str">
        <x:v>Turgaiskaia_191x(1).xlsx</x:v>
      </x:c>
    </x:row>
    <x:row r="79" ht="64" customHeight="1">
      <x:c r="A79" s="21" t="n">
        <x:v>1914</x:v>
      </x:c>
      <x:c r="B79" s="21" t="n">
        <x:v>1914</x:v>
      </x:c>
      <x:c r="C79" s="15" t="str">
        <x:v>Ходаческое движение</x:v>
      </x:c>
      <x:c r="D79" s="27" t="n">
        <x:v>6698</x:v>
      </x:c>
      <x:c r="E79" s="15" t="str">
        <x:v>ходоков</x:v>
      </x:c>
      <x:c r="F79" s="27"/>
      <x:c r="G79" s="29"/>
      <x:c r="H79" s="15" t="str">
        <x:v>Ходоки, представляющие семьи; Тургайская область, неполные подрайонные сведения; 1914</x:v>
      </x:c>
      <x:c r="I79" s="15" t="str">
        <x:v>Ходоки представляли 28573 души мужского пола. В нескольких подрайонах сведения отсутствуют. Число ходоков и число представляемых мужчин — разные показатели.</x:v>
      </x:c>
      <x:c r="J79" s="15" t="str">
        <x:v>с.152 / PDF160, табл.111</x:v>
      </x:c>
      <x:c r="K79" s="15" t="str">
        <x:v>https://archive.org/download/obzor_turgaiskoi_oblasti/Обзор Тургайской области за 1914 - RAW.pdf#page=160</x:v>
      </x:c>
      <x:c r="L79" s="15" t="str">
        <x:v>Turgaiskaia_191x(1).xlsx</x:v>
      </x:c>
    </x:row>
    <x:row r="80" ht="64" customHeight="1">
      <x:c r="A80" s="20" t="n">
        <x:v>1914</x:v>
      </x:c>
      <x:c r="B80" s="20" t="n">
        <x:v>1914</x:v>
      </x:c>
      <x:c r="C80" s="8" t="str">
        <x:v>Водворение</x:v>
      </x:c>
      <x:c r="D80" s="26" t="n">
        <x:v>10550</x:v>
      </x:c>
      <x:c r="E80" s="8" t="str">
        <x:v>душевых долей</x:v>
      </x:c>
      <x:c r="F80" s="26" t="n">
        <x:v>3245</x:v>
      </x:c>
      <x:c r="G80" s="28"/>
      <x:c r="H80" s="8" t="str">
        <x:v>Земельный учёт; Тургайская область; 1914</x:v>
      </x:c>
      <x:c r="I80" s="8" t="str">
        <x:v>Кроме долей, 30 семейных наделов. Число 10550 не обозначено как поток обоего пола.</x:v>
      </x:c>
      <x:c r="J80" s="8" t="str">
        <x:v>с.153 / PDF161, табл.112 и текст</x:v>
      </x:c>
      <x:c r="K80" s="8" t="str">
        <x:v>https://archive.org/download/obzor_turgaiskoi_oblasti/Обзор Тургайской области за 1914 - RAW.pdf#page=161</x:v>
      </x:c>
      <x:c r="L80" s="8" t="str">
        <x:v>Turgaiskaia_191x(1).xlsx</x:v>
      </x:c>
    </x:row>
    <x:row r="81" ht="64" customHeight="1">
      <x:c r="A81" s="21" t="n">
        <x:v>1914</x:v>
      </x:c>
      <x:c r="B81" s="21" t="n">
        <x:v>1914</x:v>
      </x:c>
      <x:c r="C81" s="15" t="str">
        <x:v>Водворение на семейные наделы</x:v>
      </x:c>
      <x:c r="D81" s="27" t="n">
        <x:v>30</x:v>
      </x:c>
      <x:c r="E81" s="15" t="str">
        <x:v>семейных наделов</x:v>
      </x:c>
      <x:c r="F81" s="27"/>
      <x:c r="G81" s="29"/>
      <x:c r="H81" s="15" t="str">
        <x:v>Земельный учёт; Тургайская область; 1914</x:v>
      </x:c>
      <x:c r="I81" s="15" t="str">
        <x:v>Дополнение к 10550 душевым долям, не 30 человек. При расчётах земельного фонда единицы переводятся отдельно.</x:v>
      </x:c>
      <x:c r="J81" s="15" t="str">
        <x:v>с.153 / PDF161, табл.112 и текст</x:v>
      </x:c>
      <x:c r="K81" s="15" t="str">
        <x:v>https://archive.org/download/obzor_turgaiskoi_oblasti/Обзор Тургайской области за 1914 - RAW.pdf#page=161</x:v>
      </x:c>
      <x:c r="L81" s="15" t="str">
        <x:v>Turgaiskaia_191x(1).xlsx</x:v>
      </x:c>
    </x:row>
    <x:row r="82" ht="64" customHeight="1">
      <x:c r="A82" s="20" t="n">
        <x:v>1914</x:v>
      </x:c>
      <x:c r="B82" s="20" t="n">
        <x:v>1914</x:v>
      </x:c>
      <x:c r="C82" s="8" t="str">
        <x:v>Освобождение долей от водворенных</x:v>
      </x:c>
      <x:c r="D82" s="26" t="n">
        <x:v>2978</x:v>
      </x:c>
      <x:c r="E82" s="8" t="str">
        <x:v>душевых долей</x:v>
      </x:c>
      <x:c r="F82" s="26"/>
      <x:c r="G82" s="28"/>
      <x:c r="H82" s="8" t="str">
        <x:v>Земельный учёт; Тургайская область; 1914</x:v>
      </x:c>
      <x:c r="I82" s="8" t="str">
        <x:v>Табл.113; также повторено в выпуске 1915, табл.78. Не приравнивать к полному внешнему оттоку.</x:v>
      </x:c>
      <x:c r="J82" s="8" t="str">
        <x:v>с.153 / PDF161, табл.113</x:v>
      </x:c>
      <x:c r="K82" s="8" t="str">
        <x:v>https://archive.org/download/obzor_turgaiskoi_oblasti/Обзор Тургайской области за 1914 - RAW.pdf#page=161</x:v>
      </x:c>
      <x:c r="L82" s="8" t="str">
        <x:v>Turgaiskaia_191x(1).xlsx</x:v>
      </x:c>
    </x:row>
    <x:row r="83" ht="64" customHeight="1">
      <x:c r="A83" s="21" t="n">
        <x:v>1915</x:v>
      </x:c>
      <x:c r="B83" s="21" t="n">
        <x:v>1915</x:v>
      </x:c>
      <x:c r="C83" s="15" t="str">
        <x:v>Водворение</x:v>
      </x:c>
      <x:c r="D83" s="27" t="n">
        <x:v>5302</x:v>
      </x:c>
      <x:c r="E83" s="15" t="str">
        <x:v>душевых долей</x:v>
      </x:c>
      <x:c r="F83" s="27" t="n">
        <x:v>1724</x:v>
      </x:c>
      <x:c r="G83" s="29"/>
      <x:c r="H83" s="15" t="str">
        <x:v>Земельный учёт; Тургайская область; 1915</x:v>
      </x:c>
      <x:c r="I83" s="15" t="str">
        <x:v>Кроме долей, 22 семейных надела. Число долей 3626+174+1502=5302. В это водворение могли входить люди, прибывшие ранее.</x:v>
      </x:c>
      <x:c r="J83" s="15" t="str">
        <x:v>с.90 / PDF98, табл.79; также 75</x:v>
      </x:c>
      <x:c r="K83" s="15" t="str">
        <x:v>https://archive.org/download/obzor_turgaiskoi_oblasti/Обзор Тургайской области за 1915 - RAW.pdf#page=98</x:v>
      </x:c>
      <x:c r="L83" s="15" t="str">
        <x:v>Turgaiskaia_191x(1).xlsx</x:v>
      </x:c>
    </x:row>
    <x:row r="84" ht="64" customHeight="1">
      <x:c r="A84" s="20" t="n">
        <x:v>1915</x:v>
      </x:c>
      <x:c r="B84" s="20" t="n">
        <x:v>1915</x:v>
      </x:c>
      <x:c r="C84" s="8" t="str">
        <x:v>Водворение на семейные наделы</x:v>
      </x:c>
      <x:c r="D84" s="26" t="n">
        <x:v>22</x:v>
      </x:c>
      <x:c r="E84" s="8" t="str">
        <x:v>семейных наделов</x:v>
      </x:c>
      <x:c r="F84" s="26"/>
      <x:c r="G84" s="28"/>
      <x:c r="H84" s="8" t="str">
        <x:v>Земельный учёт; Тургайская область; 1915</x:v>
      </x:c>
      <x:c r="I84" s="8" t="str">
        <x:v>Дополнение к 5302 душевым долям. В примечании один семейный надел принимается за три душевые доли.</x:v>
      </x:c>
      <x:c r="J84" s="8" t="str">
        <x:v>с.90 / PDF98, табл.79 и примечание</x:v>
      </x:c>
      <x:c r="K84" s="8" t="str">
        <x:v>https://archive.org/download/obzor_turgaiskoi_oblasti/Обзор Тургайской области за 1915 - RAW.pdf#page=98</x:v>
      </x:c>
      <x:c r="L84" s="8" t="str">
        <x:v>Turgaiskaia_191x(1).xlsx</x:v>
      </x:c>
    </x:row>
    <x:row r="85" ht="64" customHeight="1">
      <x:c r="A85" s="21" t="n">
        <x:v>1915</x:v>
      </x:c>
      <x:c r="B85" s="21" t="n">
        <x:v>1915</x:v>
      </x:c>
      <x:c r="C85" s="15" t="str">
        <x:v>Освобождение от водворения</x:v>
      </x:c>
      <x:c r="D85" s="27" t="n">
        <x:v>864</x:v>
      </x:c>
      <x:c r="E85" s="15" t="str">
        <x:v>душевых долей</x:v>
      </x:c>
      <x:c r="F85" s="27" t="n">
        <x:v>265</x:v>
      </x:c>
      <x:c r="G85" s="29"/>
      <x:c r="H85" s="15" t="str">
        <x:v>Земельный учёт; Тургайская область; 1915</x:v>
      </x:c>
      <x:c r="I85" s="15" t="str">
        <x:v>Дополнительно 2 семейных надела. Табл.78–79 расходятся с примечанием под табл.80, где сказано об уходе 1168 долей. Согласование не установлено.</x:v>
      </x:c>
      <x:c r="J85" s="15" t="str">
        <x:v>с.90 / PDF98, табл.78–79</x:v>
      </x:c>
      <x:c r="K85" s="15" t="str">
        <x:v>https://archive.org/download/obzor_turgaiskoi_oblasti/Обзор Тургайской области за 1915 - RAW.pdf#page=98</x:v>
      </x:c>
      <x:c r="L85" s="15" t="str">
        <x:v>Turgaiskaia_191x(1).xlsx</x:v>
      </x:c>
    </x:row>
    <x:row r="86" ht="64" customHeight="1">
      <x:c r="A86" s="20" t="n">
        <x:v>1915</x:v>
      </x:c>
      <x:c r="B86" s="20" t="n">
        <x:v>1915</x:v>
      </x:c>
      <x:c r="C86" s="8" t="str">
        <x:v>Уход долей по примечанию</x:v>
      </x:c>
      <x:c r="D86" s="26" t="n">
        <x:v>1168</x:v>
      </x:c>
      <x:c r="E86" s="8" t="str">
        <x:v>долей</x:v>
      </x:c>
      <x:c r="F86" s="26"/>
      <x:c r="G86" s="28"/>
      <x:c r="H86" s="8" t="str">
        <x:v>Земельный учёт; Тургайская область; 1915</x:v>
      </x:c>
      <x:c r="I86" s="8" t="str">
        <x:v>Альтернативная величина примечания под табл.80. 864+2×3=870, а не 1168. Не складывать две версии.</x:v>
      </x:c>
      <x:c r="J86" s="8" t="str">
        <x:v>с.90 / PDF98, табл.Примечание к 78–80</x:v>
      </x:c>
      <x:c r="K86" s="8" t="str">
        <x:v>https://archive.org/download/obzor_turgaiskoi_oblasti/Обзор Тургайской области за 1915 - RAW.pdf#page=98</x:v>
      </x:c>
      <x:c r="L86" s="8" t="str">
        <x:v>Turgaiskaia_191x(1).xlsx</x:v>
      </x:c>
    </x:row>
    <x:row r="87" ht="64" customHeight="1">
      <x:c r="A87" s="21" t="n">
        <x:v>1915</x:v>
      </x:c>
      <x:c r="B87" s="21" t="n">
        <x:v>1915</x:v>
      </x:c>
      <x:c r="C87" s="15" t="str">
        <x:v>Прибытие беженцев</x:v>
      </x:c>
      <x:c r="D87" s="27" t="n">
        <x:v>17785</x:v>
      </x:c>
      <x:c r="E87" s="15" t="str">
        <x:v>беженцев</x:v>
      </x:c>
      <x:c r="F87" s="27"/>
      <x:c r="G87" s="29"/>
      <x:c r="H87" s="15" t="str">
        <x:v>Пол не оговорён; Кустанай и Кустанайский уезд; 28 июля — 6 августа 1915</x:v>
      </x:c>
      <x:c r="I87" s="15" t="str">
        <x:v>Число за ограниченный промежуток, не годовой итог и не число оставшихся к концу года. Даты сохранены по источнику.</x:v>
      </x:c>
      <x:c r="J87" s="15" t="str">
        <x:v>с.81 / PDF89, табл.Текст</x:v>
      </x:c>
      <x:c r="K87" s="15" t="str">
        <x:v>https://archive.org/download/obzor_turgaiskoi_oblasti/Обзор Тургайской области за 1915 - RAW.pdf#page=89</x:v>
      </x:c>
      <x:c r="L87" s="15" t="str">
        <x:v>Turgaiskaia_191x(1).xlsx</x:v>
      </x:c>
    </x:row>
    <x:row r="88" ht="64" customHeight="1">
      <x:c r="A88" s="20" t="n">
        <x:v>1915</x:v>
      </x:c>
      <x:c r="B88" s="20" t="n">
        <x:v>1915</x:v>
      </x:c>
      <x:c r="C88" s="8" t="str">
        <x:v>Направленные и задержанные беженцы</x:v>
      </x:c>
      <x:c r="D88" s="26" t="n">
        <x:v>900</x:v>
      </x:c>
      <x:c r="E88" s="8" t="str">
        <x:v>беженцев, около</x:v>
      </x:c>
      <x:c r="F88" s="26"/>
      <x:c r="G88" s="28"/>
      <x:c r="H88" s="8" t="str">
        <x:v>Пол не оговорён; Город Актюбинск; 1915, период не уточнён</x:v>
      </x:c>
      <x:c r="I88" s="8" t="str">
        <x:v>Прошли изоляционные пункты Ташкентской железной дороги и были задержаны в городе. Приблизительная величина.</x:v>
      </x:c>
      <x:c r="J88" s="8" t="str">
        <x:v>с.83 / PDF91, табл.Текст</x:v>
      </x:c>
      <x:c r="K88" s="8" t="str">
        <x:v>https://archive.org/download/obzor_turgaiskoi_oblasti/Обзор Тургайской области за 1915 - RAW.pdf#page=91</x:v>
      </x:c>
      <x:c r="L88" s="8" t="str">
        <x:v>Turgaiskaia_191x(1).xlsx</x:v>
      </x:c>
    </x:row>
    <x:row r="89" ht="64" customHeight="1">
      <x:c r="A89" s="21" t="n">
        <x:v>1915</x:v>
      </x:c>
      <x:c r="B89" s="21" t="n">
        <x:v>1915</x:v>
      </x:c>
      <x:c r="C89" s="15" t="str">
        <x:v>Зачисление беженцев на участки</x:v>
      </x:c>
      <x:c r="D89" s="27" t="n">
        <x:v>7</x:v>
      </x:c>
      <x:c r="E89" s="15" t="str">
        <x:v>душ мужского пола</x:v>
      </x:c>
      <x:c r="F89" s="27" t="n">
        <x:v>2</x:v>
      </x:c>
      <x:c r="G89" s="29"/>
      <x:c r="H89" s="15" t="str">
        <x:v>Мужской; Григорьевский и Каракудукский участки; 1915</x:v>
      </x:c>
      <x:c r="I89" s="15" t="str">
        <x:v>По одной семье из Люблинской и Гродненской губерний. Водворение в этой таблице обозначено прочерками; это узкий земельный учёт, не весь поток беженцев.</x:v>
      </x:c>
      <x:c r="J89" s="15" t="str">
        <x:v>с.90 / PDF98, табл.77</x:v>
      </x:c>
      <x:c r="K89" s="15" t="str">
        <x:v>https://archive.org/download/obzor_turgaiskoi_oblasti/Обзор Тургайской области за 1915 - RAW.pdf#page=98</x:v>
      </x:c>
      <x:c r="L89" s="15" t="str">
        <x:v>Turgaiskaia_191x(1).xlsx</x:v>
      </x:c>
    </x:row>
    <x:row r="90" ht="64" customHeight="1">
      <x:c r="A90" s="20" t="n">
        <x:v>1915</x:v>
      </x:c>
      <x:c r="B90" s="20" t="n">
        <x:v>1915</x:v>
      </x:c>
      <x:c r="C90" s="8" t="str">
        <x:v>Проходное свидетельство для движения в Сибирь</x:v>
      </x:c>
      <x:c r="D90" s="26" t="n">
        <x:v>3</x:v>
      </x:c>
      <x:c r="E90" s="8" t="str">
        <x:v>душ мужского пола</x:v>
      </x:c>
      <x:c r="F90" s="26" t="n">
        <x:v>1</x:v>
      </x:c>
      <x:c r="G90" s="28"/>
      <x:c r="H90" s="8" t="str">
        <x:v>Мужской; Кустанайский уезд; 1915</x:v>
      </x:c>
      <x:c r="I90" s="8" t="str">
        <x:v>Выдано одно проходное свидетельство одной семье на трёх мужчин. Выдача документа не подтверждает фактическую дату выезда. Ходаческие свидетельства обозначены прочерками.</x:v>
      </x:c>
      <x:c r="J90" s="8" t="str">
        <x:v>с.90 / PDF98, табл.80</x:v>
      </x:c>
      <x:c r="K90" s="8" t="str">
        <x:v>https://archive.org/download/obzor_turgaiskoi_oblasti/Обзор Тургайской области за 1915 - RAW.pdf#page=98</x:v>
      </x:c>
      <x:c r="L90" s="8" t="str">
        <x:v>Turgaiskaia_191x(1).xlsx</x:v>
      </x:c>
    </x:row>
  </x:sheetData>
  <x:pageMargins left="0.7" right="0.7" top="0.75" bottom="0.75" header="0.3" footer="0.3"/>
  <x:tableParts count="1">
    <x:tablePart xmlns:r="http://schemas.openxmlformats.org/officeDocument/2006/relationships" r:id="R2cfa38e84f6540af"/>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 hidden="0" customWidth="1"/>
    <x:col min="2" max="2" width="18" hidden="0" customWidth="1"/>
    <x:col min="3" max="3" width="18" hidden="0" customWidth="1"/>
    <x:col min="4" max="4" width="20" hidden="0" customWidth="1"/>
    <x:col min="5" max="5" width="20" hidden="0" customWidth="1"/>
    <x:col min="6" max="6" width="22" hidden="0" customWidth="1"/>
    <x:col min="7" max="7" width="20" hidden="0" customWidth="1"/>
    <x:col min="8" max="8" width="18" hidden="0" customWidth="1"/>
    <x:col min="9" max="9" width="20" hidden="0" customWidth="1"/>
    <x:col min="10" max="10" width="58" hidden="0" customWidth="1"/>
    <x:col min="11" max="11" width="110" hidden="0" customWidth="1"/>
  </x:cols>
  <x:sheetData>
    <x:row r="2" ht="27" customHeight="1">
      <x:c r="A2" s="1" t="str">
        <x:v>Тургайская область: проверка учётного баланса, 1909–1915</x:v>
      </x:c>
    </x:row>
    <x:row r="3">
      <x:c r="A3" s="3" t="str">
        <x:v>Остаток = изменение оценок − изменение по компонентам. Остаток не добавлен к миграции.</x:v>
      </x:c>
    </x:row>
    <x:row r="5" ht="52" customHeight="1">
      <x:c r="A5" s="12" t="str">
        <x:v>Год</x:v>
      </x:c>
      <x:c r="B5" s="13" t="str">
        <x:v>Начало года</x:v>
      </x:c>
      <x:c r="C5" s="13" t="str">
        <x:v>Конец года</x:v>
      </x:c>
      <x:c r="D5" s="13" t="str">
        <x:v>Изменение оценок</x:v>
      </x:c>
      <x:c r="E5" s="13" t="str">
        <x:v>Рождения − смерти</x:v>
      </x:c>
      <x:c r="F5" s="13" t="str">
        <x:v>Учётный баланс миграции</x:v>
      </x:c>
      <x:c r="G5" s="13" t="str">
        <x:v>По компонентам</x:v>
      </x:c>
      <x:c r="H5" s="13" t="str">
        <x:v>Остаток</x:v>
      </x:c>
      <x:c r="I5" s="13" t="str">
        <x:v>Прирост в тексте</x:v>
      </x:c>
      <x:c r="J5" s="13" t="str">
        <x:v>Страницы</x:v>
      </x:c>
      <x:c r="K5" s="14" t="str">
        <x:v>Пояснение</x:v>
      </x:c>
    </x:row>
    <x:row r="6" ht="58" customHeight="1">
      <x:c r="A6" s="20" t="n">
        <x:v>1909</x:v>
      </x:c>
      <x:c r="B6" s="26" t="n">
        <x:v>652041</x:v>
      </x:c>
      <x:c r="C6" s="26" t="n">
        <x:f>'Сводка'!D34</x:f>
        <x:v>680510</x:v>
      </x:c>
      <x:c r="D6" s="26" t="n">
        <x:f>C6-B6</x:f>
        <x:v>28469</x:v>
      </x:c>
      <x:c r="E6" s="26" t="n">
        <x:f>'Сводка'!I34-'Сводка'!L34</x:f>
        <x:v>7799</x:v>
      </x:c>
      <x:c r="F6" s="26" t="n">
        <x:f>'Миграция'!H34</x:f>
        <x:v>20670</x:v>
      </x:c>
      <x:c r="G6" s="26" t="n">
        <x:f>SUM(E6:F6)</x:f>
        <x:v>28469</x:v>
      </x:c>
      <x:c r="H6" s="26" t="n">
        <x:f>D6-G6</x:f>
        <x:v>0</x:v>
      </x:c>
      <x:c r="I6" s="26"/>
      <x:c r="J6" s="8" t="str">
        <x:v>с.13–15 / PDF16–18, табл.3,5,6</x:v>
      </x:c>
      <x:c r="K6" s="8" t="str">
        <x:v>Начальная оценка выше прошлогодней на ту же дату на 37 870.</x:v>
      </x:c>
    </x:row>
    <x:row r="7" ht="58" customHeight="1">
      <x:c r="A7" s="21" t="n">
        <x:v>1910</x:v>
      </x:c>
      <x:c r="B7" s="27" t="n">
        <x:f>'Детализация'!E108</x:f>
        <x:v>680510</x:v>
      </x:c>
      <x:c r="C7" s="27" t="n">
        <x:f>'Сводка'!D35</x:f>
        <x:v>712615</x:v>
      </x:c>
      <x:c r="D7" s="27" t="n">
        <x:f>C7-B7</x:f>
        <x:v>32105</x:v>
      </x:c>
      <x:c r="E7" s="27" t="n">
        <x:f>'Сводка'!I35-'Сводка'!L35</x:f>
        <x:v>8649</x:v>
      </x:c>
      <x:c r="F7" s="27" t="n">
        <x:f>'Миграция'!H35</x:f>
        <x:v>23397</x:v>
      </x:c>
      <x:c r="G7" s="27" t="n">
        <x:f>SUM(E7:F7)</x:f>
        <x:v>32046</x:v>
      </x:c>
      <x:c r="H7" s="27" t="n">
        <x:f>D7-G7</x:f>
        <x:v>59</x:v>
      </x:c>
      <x:c r="I7" s="27" t="n">
        <x:v>32046</x:v>
      </x:c>
      <x:c r="J7" s="15" t="str">
        <x:v>с.16 / PDF24, табл.6; Рождения: табл.3 / PDF22; смерти: табл.5 / PDF23</x:v>
      </x:c>
      <x:c r="K7" s="15" t="str">
        <x:v>Арифметическая проверка; полнота регистрации из совпадения не следует.</x:v>
      </x:c>
    </x:row>
    <x:row r="8" ht="58" customHeight="1">
      <x:c r="A8" s="20" t="n">
        <x:v>1911</x:v>
      </x:c>
      <x:c r="B8" s="26" t="n">
        <x:f>'Детализация'!E109</x:f>
        <x:v>712615</x:v>
      </x:c>
      <x:c r="C8" s="26" t="n">
        <x:f>'Сводка'!D36</x:f>
        <x:v>749143</x:v>
      </x:c>
      <x:c r="D8" s="26" t="n">
        <x:f>C8-B8</x:f>
        <x:v>36528</x:v>
      </x:c>
      <x:c r="E8" s="26" t="n">
        <x:f>'Сводка'!I36-'Сводка'!L36</x:f>
        <x:v>12317</x:v>
      </x:c>
      <x:c r="F8" s="26" t="n">
        <x:f>'Миграция'!H36</x:f>
        <x:v>24091</x:v>
      </x:c>
      <x:c r="G8" s="26" t="n">
        <x:f>SUM(E8:F8)</x:f>
        <x:v>36408</x:v>
      </x:c>
      <x:c r="H8" s="26" t="n">
        <x:f>D8-G8</x:f>
        <x:v>120</x:v>
      </x:c>
      <x:c r="I8" s="26" t="n">
        <x:v>24828</x:v>
      </x:c>
      <x:c r="J8" s="8" t="str">
        <x:v>с.16 / PDF24, табл.6; Рождения: табл.3 / PDF22; смерти: табл.5 / PDF23</x:v>
      </x:c>
      <x:c r="K8" s="8" t="str">
        <x:v>Текст 24 828; разность оценок 36 528; компоненты 36 408.</x:v>
      </x:c>
    </x:row>
    <x:row r="9" ht="58" customHeight="1">
      <x:c r="A9" s="21" t="n">
        <x:v>1912</x:v>
      </x:c>
      <x:c r="B9" s="27" t="n">
        <x:f>'Детализация'!E110</x:f>
        <x:v>749143</x:v>
      </x:c>
      <x:c r="C9" s="27" t="n">
        <x:f>'Сводка'!D37</x:f>
        <x:v>798737</x:v>
      </x:c>
      <x:c r="D9" s="27" t="n">
        <x:f>C9-B9</x:f>
        <x:v>49594</x:v>
      </x:c>
      <x:c r="E9" s="27" t="n">
        <x:f>'Сводка'!I37-'Сводка'!L37</x:f>
        <x:v>21900</x:v>
      </x:c>
      <x:c r="F9" s="27" t="n">
        <x:f>'Миграция'!H37</x:f>
        <x:v>27694</x:v>
      </x:c>
      <x:c r="G9" s="27" t="n">
        <x:f>SUM(E9:F9)</x:f>
        <x:v>49594</x:v>
      </x:c>
      <x:c r="H9" s="27" t="n">
        <x:f>D9-G9</x:f>
        <x:v>0</x:v>
      </x:c>
      <x:c r="I9" s="27" t="n">
        <x:v>49594</x:v>
      </x:c>
      <x:c r="J9" s="15" t="str">
        <x:v>с.16 / PDF26, табл.6; Рождения: табл.3 / PDF24; смерти: табл.5 / PDF25</x:v>
      </x:c>
      <x:c r="K9" s="15" t="str">
        <x:v>Арифметическая проверка; полнота регистрации из совпадения не следует.</x:v>
      </x:c>
    </x:row>
    <x:row r="10" ht="58" customHeight="1">
      <x:c r="A10" s="20" t="n">
        <x:v>1913</x:v>
      </x:c>
      <x:c r="B10" s="26" t="n">
        <x:f>'Детализация'!E111</x:f>
        <x:v>798737</x:v>
      </x:c>
      <x:c r="C10" s="26" t="n">
        <x:f>'Сводка'!D38</x:f>
        <x:v>823885</x:v>
      </x:c>
      <x:c r="D10" s="26" t="n">
        <x:f>C10-B10</x:f>
        <x:v>25148</x:v>
      </x:c>
      <x:c r="E10" s="26" t="n">
        <x:f>'Сводка'!I38-'Сводка'!L38</x:f>
        <x:v>15396</x:v>
      </x:c>
      <x:c r="F10" s="26" t="n">
        <x:f>'Миграция'!H38</x:f>
        <x:v>8608</x:v>
      </x:c>
      <x:c r="G10" s="26" t="n">
        <x:f>SUM(E10:F10)</x:f>
        <x:v>24004</x:v>
      </x:c>
      <x:c r="H10" s="26" t="n">
        <x:f>D10-G10</x:f>
        <x:v>1144</x:v>
      </x:c>
      <x:c r="I10" s="26" t="n">
        <x:v>25148</x:v>
      </x:c>
      <x:c r="J10" s="8" t="str">
        <x:v>с.7 / PDF10, табл.6; Рождения: табл.3 / PDF8; смерти: табл.5 / PDF9</x:v>
      </x:c>
      <x:c r="K10" s="8" t="str">
        <x:v>Остаток 1 144 совпадает с расхождением учёта Чулаксая.</x:v>
      </x:c>
    </x:row>
    <x:row r="11" ht="58" customHeight="1">
      <x:c r="A11" s="21" t="n">
        <x:v>1914</x:v>
      </x:c>
      <x:c r="B11" s="27" t="n">
        <x:f>'Детализация'!E112</x:f>
        <x:v>823885</x:v>
      </x:c>
      <x:c r="C11" s="27" t="n">
        <x:f>'Сводка'!D39</x:f>
        <x:v>842406</x:v>
      </x:c>
      <x:c r="D11" s="27" t="n">
        <x:f>C11-B11</x:f>
        <x:v>18521</x:v>
      </x:c>
      <x:c r="E11" s="27" t="n">
        <x:f>'Сводка'!I39-'Сводка'!L39</x:f>
        <x:v>15028</x:v>
      </x:c>
      <x:c r="F11" s="27" t="n">
        <x:f>'Миграция'!H39</x:f>
        <x:v>3493</x:v>
      </x:c>
      <x:c r="G11" s="27" t="n">
        <x:f>SUM(E11:F11)</x:f>
        <x:v>18521</x:v>
      </x:c>
      <x:c r="H11" s="27" t="n">
        <x:f>D11-G11</x:f>
        <x:v>0</x:v>
      </x:c>
      <x:c r="I11" s="27" t="n">
        <x:v>18521</x:v>
      </x:c>
      <x:c r="J11" s="15" t="str">
        <x:v>с.7 / PDF15, табл.6; Рождения: табл.3 / PDF13; смерти: табл.5 / PDF14</x:v>
      </x:c>
      <x:c r="K11" s="15" t="str">
        <x:v>Арифметическая проверка; полнота регистрации из совпадения не следует.</x:v>
      </x:c>
    </x:row>
    <x:row r="12" ht="58" customHeight="1">
      <x:c r="A12" s="20" t="n">
        <x:v>1915</x:v>
      </x:c>
      <x:c r="B12" s="26" t="n">
        <x:f>'Детализация'!E113</x:f>
        <x:v>842406</x:v>
      </x:c>
      <x:c r="C12" s="26" t="n">
        <x:f>'Сводка'!D40</x:f>
        <x:v>854616</x:v>
      </x:c>
      <x:c r="D12" s="26" t="n">
        <x:f>C12-B12</x:f>
        <x:v>12210</x:v>
      </x:c>
      <x:c r="E12" s="26" t="n">
        <x:f>'Сводка'!I40-'Сводка'!L40</x:f>
        <x:v>12929</x:v>
      </x:c>
      <x:c r="F12" s="26" t="n">
        <x:f>'Миграция'!H40</x:f>
        <x:v>-719</x:v>
      </x:c>
      <x:c r="G12" s="26" t="n">
        <x:f>SUM(E12:F12)</x:f>
        <x:v>12210</x:v>
      </x:c>
      <x:c r="H12" s="26" t="n">
        <x:f>D12-G12</x:f>
        <x:v>0</x:v>
      </x:c>
      <x:c r="I12" s="26" t="n">
        <x:v>12210</x:v>
      </x:c>
      <x:c r="J12" s="8" t="str">
        <x:v>с.7 / PDF15, табл.6; Рождения: табл.3 / PDF13; смерти: табл.5 / PDF14</x:v>
      </x:c>
      <x:c r="K12" s="8" t="str">
        <x:v>Арифметическая проверка; полнота регистрации из совпадения не следует.</x:v>
      </x:c>
    </x:row>
  </x:sheetData>
  <x:conditionalFormatting sqref="H6:H12">
    <x:cfRule type="cellIs" dxfId="0" priority="1" operator="notEqual">
      <x:formula>0</x:formula>
    </x:cfRule>
  </x:conditionalFormatting>
  <x:pageMargins left="0.7" right="0.7" top="0.75" bottom="0.75" header="0.3" footer="0.3"/>
  <x:tableParts count="1">
    <x:tablePart xmlns:r="http://schemas.openxmlformats.org/officeDocument/2006/relationships" r:id="Rf5811a8fc1ed41a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30" hidden="0" customWidth="1"/>
    <x:col min="3" max="3" width="18" hidden="0" customWidth="1"/>
    <x:col min="4" max="4" width="5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90" hidden="0" customWidth="1"/>
    <x:col min="12" max="12" width="42" hidden="0" customWidth="1"/>
    <x:col min="13" max="13" width="42" hidden="0" customWidth="1"/>
  </x:cols>
  <x:sheetData>
    <x:row r="2" ht="27" customHeight="1">
      <x:c r="A2" s="1" t="str">
        <x:v>Тургайская область: исходная детализация</x:v>
      </x:c>
    </x:row>
    <x:row r="3">
      <x:c r="A3" s="3" t="str">
        <x:v>Числа и буквальные заголовки сохранены по предоставленным частям. Ссылки — на листе «Примечания».</x:v>
      </x:c>
    </x:row>
    <x:row r="5" ht="26" customHeight="1">
      <x:c r="A5" s="4" t="str">
        <x:v>Оседлые пункты, 1881–1889</x:v>
      </x:c>
    </x:row>
    <x:row r="7" ht="52" customHeight="1">
      <x:c r="A7" s="12" t="str">
        <x:v>Год</x:v>
      </x:c>
      <x:c r="B7" s="13" t="str">
        <x:v>Пункт</x:v>
      </x:c>
      <x:c r="C7" s="13" t="str">
        <x:v>Население, чел.</x:v>
      </x:c>
      <x:c r="D7" s="13" t="str">
        <x:v>Рождения: М</x:v>
      </x:c>
      <x:c r="E7" s="13" t="str">
        <x:v>Рождения: Ж</x:v>
      </x:c>
      <x:c r="F7" s="13" t="str">
        <x:v>Рождения: оба пола</x:v>
      </x:c>
      <x:c r="G7" s="13" t="str">
        <x:v>Смерти: М</x:v>
      </x:c>
      <x:c r="H7" s="13" t="str">
        <x:v>Смерти: Ж</x:v>
      </x:c>
      <x:c r="I7" s="13" t="str">
        <x:v>Смерти: оба пола</x:v>
      </x:c>
      <x:c r="J7" s="13" t="str">
        <x:v>Р−С</x:v>
      </x:c>
      <x:c r="K7" s="13" t="str">
        <x:v>Оговорка</x:v>
      </x:c>
      <x:c r="L7" s="13" t="str">
        <x:v>Население: источник</x:v>
      </x:c>
      <x:c r="M7" s="14" t="str">
        <x:v>Р/С: источник</x:v>
      </x:c>
    </x:row>
    <x:row r="8" ht="36" customHeight="1">
      <x:c r="A8" s="20" t="n">
        <x:v>1881</x:v>
      </x:c>
      <x:c r="B8" s="8" t="str">
        <x:v>Тургай</x:v>
      </x:c>
      <x:c r="C8" s="26" t="n">
        <x:v>386</x:v>
      </x:c>
      <x:c r="D8" s="26"/>
      <x:c r="E8" s="26"/>
      <x:c r="F8" s="26"/>
      <x:c r="G8" s="26"/>
      <x:c r="H8" s="26"/>
      <x:c r="I8" s="26"/>
      <x:c r="J8" s="26"/>
      <x:c r="K8" s="8"/>
      <x:c r="L8" s="8" t="str">
        <x:v>Обзор 1881: с. 7; PDF 9</x:v>
      </x:c>
      <x:c r="M8" s="8" t="str">
        <x:v>Не приведены</x:v>
      </x:c>
    </x:row>
    <x:row r="9" ht="36" customHeight="1">
      <x:c r="A9" s="21" t="n">
        <x:v>1881</x:v>
      </x:c>
      <x:c r="B9" s="15" t="str">
        <x:v>Иргиз</x:v>
      </x:c>
      <x:c r="C9" s="27" t="n">
        <x:v>921</x:v>
      </x:c>
      <x:c r="D9" s="27"/>
      <x:c r="E9" s="27"/>
      <x:c r="F9" s="27"/>
      <x:c r="G9" s="27"/>
      <x:c r="H9" s="27"/>
      <x:c r="I9" s="27"/>
      <x:c r="J9" s="27"/>
      <x:c r="K9" s="15"/>
      <x:c r="L9" s="15" t="str">
        <x:v>Обзор 1881: с. 7; PDF 9</x:v>
      </x:c>
      <x:c r="M9" s="15" t="str">
        <x:v>Не приведены</x:v>
      </x:c>
    </x:row>
    <x:row r="10" ht="36" customHeight="1">
      <x:c r="A10" s="20" t="n">
        <x:v>1881</x:v>
      </x:c>
      <x:c r="B10" s="8" t="str">
        <x:v>Карабутак</x:v>
      </x:c>
      <x:c r="C10" s="26" t="n">
        <x:v>300</x:v>
      </x:c>
      <x:c r="D10" s="26"/>
      <x:c r="E10" s="26"/>
      <x:c r="F10" s="26"/>
      <x:c r="G10" s="26"/>
      <x:c r="H10" s="26"/>
      <x:c r="I10" s="26"/>
      <x:c r="J10" s="26"/>
      <x:c r="K10" s="8"/>
      <x:c r="L10" s="8" t="str">
        <x:v>Обзор 1881: с. 7; PDF 9</x:v>
      </x:c>
      <x:c r="M10" s="8" t="str">
        <x:v>Не приведены</x:v>
      </x:c>
    </x:row>
    <x:row r="11" ht="36" customHeight="1">
      <x:c r="A11" s="21" t="n">
        <x:v>1881</x:v>
      </x:c>
      <x:c r="B11" s="15" t="str">
        <x:v>Ак-Тюбе</x:v>
      </x:c>
      <x:c r="C11" s="27" t="n">
        <x:v>397</x:v>
      </x:c>
      <x:c r="D11" s="27"/>
      <x:c r="E11" s="27"/>
      <x:c r="F11" s="27"/>
      <x:c r="G11" s="27"/>
      <x:c r="H11" s="27"/>
      <x:c r="I11" s="27"/>
      <x:c r="J11" s="27"/>
      <x:c r="K11" s="15"/>
      <x:c r="L11" s="15" t="str">
        <x:v>Обзор 1881: с. 7; PDF 9</x:v>
      </x:c>
      <x:c r="M11" s="15" t="str">
        <x:v>Не приведены</x:v>
      </x:c>
    </x:row>
    <x:row r="12" ht="36" customHeight="1">
      <x:c r="A12" s="20" t="n">
        <x:v>1881</x:v>
      </x:c>
      <x:c r="B12" s="8" t="str">
        <x:v>Кустанай</x:v>
      </x:c>
      <x:c r="C12" s="26" t="n">
        <x:v>1592</x:v>
      </x:c>
      <x:c r="D12" s="26"/>
      <x:c r="E12" s="26"/>
      <x:c r="F12" s="26"/>
      <x:c r="G12" s="26"/>
      <x:c r="H12" s="26"/>
      <x:c r="I12" s="26"/>
      <x:c r="J12" s="26"/>
      <x:c r="K12" s="8"/>
      <x:c r="L12" s="8" t="str">
        <x:v>Обзор 1881: с. 7; PDF 9</x:v>
      </x:c>
      <x:c r="M12" s="8" t="str">
        <x:v>Не приведены</x:v>
      </x:c>
    </x:row>
    <x:row r="13" ht="36" customHeight="1">
      <x:c r="A13" s="21" t="n">
        <x:v>1882</x:v>
      </x:c>
      <x:c r="B13" s="15" t="str">
        <x:v>Тургай</x:v>
      </x:c>
      <x:c r="C13" s="27" t="n">
        <x:v>501</x:v>
      </x:c>
      <x:c r="D13" s="27"/>
      <x:c r="E13" s="27"/>
      <x:c r="F13" s="27"/>
      <x:c r="G13" s="27"/>
      <x:c r="H13" s="27"/>
      <x:c r="I13" s="27"/>
      <x:c r="J13" s="27"/>
      <x:c r="K13" s="15"/>
      <x:c r="L13" s="15" t="str">
        <x:v>Обзор 1882: с. 4–5; PDF 6</x:v>
      </x:c>
      <x:c r="M13" s="15" t="str">
        <x:v>Не приведены</x:v>
      </x:c>
    </x:row>
    <x:row r="14" ht="36" customHeight="1">
      <x:c r="A14" s="20" t="n">
        <x:v>1882</x:v>
      </x:c>
      <x:c r="B14" s="8" t="str">
        <x:v>Иргиз</x:v>
      </x:c>
      <x:c r="C14" s="26" t="n">
        <x:v>831</x:v>
      </x:c>
      <x:c r="D14" s="26"/>
      <x:c r="E14" s="26"/>
      <x:c r="F14" s="26"/>
      <x:c r="G14" s="26"/>
      <x:c r="H14" s="26"/>
      <x:c r="I14" s="26"/>
      <x:c r="J14" s="26"/>
      <x:c r="K14" s="8"/>
      <x:c r="L14" s="8" t="str">
        <x:v>Обзор 1882: с. 4–5; PDF 6</x:v>
      </x:c>
      <x:c r="M14" s="8" t="str">
        <x:v>Не приведены</x:v>
      </x:c>
    </x:row>
    <x:row r="15" ht="36" customHeight="1">
      <x:c r="A15" s="21" t="n">
        <x:v>1882</x:v>
      </x:c>
      <x:c r="B15" s="15" t="str">
        <x:v>Карабутак</x:v>
      </x:c>
      <x:c r="C15" s="27" t="n">
        <x:v>300</x:v>
      </x:c>
      <x:c r="D15" s="27"/>
      <x:c r="E15" s="27"/>
      <x:c r="F15" s="27"/>
      <x:c r="G15" s="27"/>
      <x:c r="H15" s="27"/>
      <x:c r="I15" s="27"/>
      <x:c r="J15" s="27"/>
      <x:c r="K15" s="15"/>
      <x:c r="L15" s="15" t="str">
        <x:v>Обзор 1882: с. 4–5; PDF 6</x:v>
      </x:c>
      <x:c r="M15" s="15" t="str">
        <x:v>Не приведены</x:v>
      </x:c>
    </x:row>
    <x:row r="16" ht="36" customHeight="1">
      <x:c r="A16" s="20" t="n">
        <x:v>1882</x:v>
      </x:c>
      <x:c r="B16" s="8" t="str">
        <x:v>Ак-Тюбе</x:v>
      </x:c>
      <x:c r="C16" s="26" t="n">
        <x:v>330</x:v>
      </x:c>
      <x:c r="D16" s="26"/>
      <x:c r="E16" s="26"/>
      <x:c r="F16" s="26"/>
      <x:c r="G16" s="26"/>
      <x:c r="H16" s="26"/>
      <x:c r="I16" s="26"/>
      <x:c r="J16" s="26"/>
      <x:c r="K16" s="8"/>
      <x:c r="L16" s="8" t="str">
        <x:v>Обзор 1882: с. 4–5; PDF 6</x:v>
      </x:c>
      <x:c r="M16" s="8" t="str">
        <x:v>Не приведены</x:v>
      </x:c>
    </x:row>
    <x:row r="17" ht="36" customHeight="1">
      <x:c r="A17" s="21" t="n">
        <x:v>1882</x:v>
      </x:c>
      <x:c r="B17" s="15" t="str">
        <x:v>Кустанай</x:v>
      </x:c>
      <x:c r="C17" s="27" t="n">
        <x:v>4441</x:v>
      </x:c>
      <x:c r="D17" s="27"/>
      <x:c r="E17" s="27"/>
      <x:c r="F17" s="27"/>
      <x:c r="G17" s="27"/>
      <x:c r="H17" s="27"/>
      <x:c r="I17" s="27"/>
      <x:c r="J17" s="27"/>
      <x:c r="K17" s="15"/>
      <x:c r="L17" s="15" t="str">
        <x:v>Обзор 1882: с. 4–5; PDF 6</x:v>
      </x:c>
      <x:c r="M17" s="15" t="str">
        <x:v>Не приведены</x:v>
      </x:c>
    </x:row>
    <x:row r="18" ht="36" customHeight="1">
      <x:c r="A18" s="20" t="n">
        <x:v>1883</x:v>
      </x:c>
      <x:c r="B18" s="8" t="str">
        <x:v>Тургай</x:v>
      </x:c>
      <x:c r="C18" s="26" t="n">
        <x:v>396</x:v>
      </x:c>
      <x:c r="D18" s="26"/>
      <x:c r="E18" s="26"/>
      <x:c r="F18" s="26"/>
      <x:c r="G18" s="26"/>
      <x:c r="H18" s="26"/>
      <x:c r="I18" s="26"/>
      <x:c r="J18" s="26"/>
      <x:c r="K18" s="8"/>
      <x:c r="L18" s="8" t="str">
        <x:v>Обзор 1883: с. 3, 6; PDF 8</x:v>
      </x:c>
      <x:c r="M18" s="8" t="str">
        <x:v>Не приведены</x:v>
      </x:c>
    </x:row>
    <x:row r="19" ht="36" customHeight="1">
      <x:c r="A19" s="21" t="n">
        <x:v>1883</x:v>
      </x:c>
      <x:c r="B19" s="15" t="str">
        <x:v>Иргиз</x:v>
      </x:c>
      <x:c r="C19" s="27" t="n">
        <x:v>804</x:v>
      </x:c>
      <x:c r="D19" s="27"/>
      <x:c r="E19" s="27"/>
      <x:c r="F19" s="27"/>
      <x:c r="G19" s="27"/>
      <x:c r="H19" s="27"/>
      <x:c r="I19" s="27"/>
      <x:c r="J19" s="27"/>
      <x:c r="K19" s="15"/>
      <x:c r="L19" s="15" t="str">
        <x:v>Обзор 1883: с. 3, 6; PDF 8</x:v>
      </x:c>
      <x:c r="M19" s="15" t="str">
        <x:v>Не приведены</x:v>
      </x:c>
    </x:row>
    <x:row r="20" ht="36" customHeight="1">
      <x:c r="A20" s="20" t="n">
        <x:v>1883</x:v>
      </x:c>
      <x:c r="B20" s="8" t="str">
        <x:v>Карабутак</x:v>
      </x:c>
      <x:c r="C20" s="26" t="n">
        <x:v>277</x:v>
      </x:c>
      <x:c r="D20" s="26"/>
      <x:c r="E20" s="26"/>
      <x:c r="F20" s="26"/>
      <x:c r="G20" s="26"/>
      <x:c r="H20" s="26"/>
      <x:c r="I20" s="26"/>
      <x:c r="J20" s="26"/>
      <x:c r="K20" s="8"/>
      <x:c r="L20" s="8" t="str">
        <x:v>Обзор 1883: с. 3, 6; PDF 8</x:v>
      </x:c>
      <x:c r="M20" s="8" t="str">
        <x:v>Не приведены</x:v>
      </x:c>
    </x:row>
    <x:row r="21" ht="36" customHeight="1">
      <x:c r="A21" s="21" t="n">
        <x:v>1883</x:v>
      </x:c>
      <x:c r="B21" s="15" t="str">
        <x:v>Ак-Тюбе</x:v>
      </x:c>
      <x:c r="C21" s="27" t="n">
        <x:v>604</x:v>
      </x:c>
      <x:c r="D21" s="27"/>
      <x:c r="E21" s="27"/>
      <x:c r="F21" s="27"/>
      <x:c r="G21" s="27"/>
      <x:c r="H21" s="27"/>
      <x:c r="I21" s="27"/>
      <x:c r="J21" s="27"/>
      <x:c r="K21" s="15"/>
      <x:c r="L21" s="15" t="str">
        <x:v>Обзор 1883: с. 3, 6; PDF 8</x:v>
      </x:c>
      <x:c r="M21" s="15" t="str">
        <x:v>Не приведены</x:v>
      </x:c>
    </x:row>
    <x:row r="22" ht="36" customHeight="1">
      <x:c r="A22" s="20" t="n">
        <x:v>1883</x:v>
      </x:c>
      <x:c r="B22" s="8" t="str">
        <x:v>Кустанай</x:v>
      </x:c>
      <x:c r="C22" s="26" t="n">
        <x:v>8000</x:v>
      </x:c>
      <x:c r="D22" s="26"/>
      <x:c r="E22" s="26"/>
      <x:c r="F22" s="26"/>
      <x:c r="G22" s="26"/>
      <x:c r="H22" s="26"/>
      <x:c r="I22" s="26"/>
      <x:c r="J22" s="26"/>
      <x:c r="K22" s="8" t="str">
        <x:v>До 8,000</x:v>
      </x:c>
      <x:c r="L22" s="8" t="str">
        <x:v>Обзор 1883: с. 3, 6; PDF 8</x:v>
      </x:c>
      <x:c r="M22" s="8" t="str">
        <x:v>Не приведены</x:v>
      </x:c>
    </x:row>
    <x:row r="23" ht="36" customHeight="1">
      <x:c r="A23" s="21" t="n">
        <x:v>1884</x:v>
      </x:c>
      <x:c r="B23" s="15" t="str">
        <x:v>Тургай</x:v>
      </x:c>
      <x:c r="C23" s="27" t="n">
        <x:v>401</x:v>
      </x:c>
      <x:c r="D23" s="27"/>
      <x:c r="E23" s="27"/>
      <x:c r="F23" s="27"/>
      <x:c r="G23" s="27"/>
      <x:c r="H23" s="27"/>
      <x:c r="I23" s="27"/>
      <x:c r="J23" s="27"/>
      <x:c r="K23" s="15"/>
      <x:c r="L23" s="15" t="str">
        <x:v>Обзор 1884: с. 8; PDF 11</x:v>
      </x:c>
      <x:c r="M23" s="15" t="str">
        <x:v>Ведомость № 3 отсутствует</x:v>
      </x:c>
    </x:row>
    <x:row r="24" ht="36" customHeight="1">
      <x:c r="A24" s="20" t="n">
        <x:v>1884</x:v>
      </x:c>
      <x:c r="B24" s="8" t="str">
        <x:v>Иргиз</x:v>
      </x:c>
      <x:c r="C24" s="26" t="n">
        <x:v>513</x:v>
      </x:c>
      <x:c r="D24" s="26"/>
      <x:c r="E24" s="26"/>
      <x:c r="F24" s="26"/>
      <x:c r="G24" s="26"/>
      <x:c r="H24" s="26"/>
      <x:c r="I24" s="26"/>
      <x:c r="J24" s="26"/>
      <x:c r="K24" s="8"/>
      <x:c r="L24" s="8" t="str">
        <x:v>Обзор 1884: с. 8; PDF 11</x:v>
      </x:c>
      <x:c r="M24" s="8" t="str">
        <x:v>Ведомость № 3 отсутствует</x:v>
      </x:c>
    </x:row>
    <x:row r="25" ht="36" customHeight="1">
      <x:c r="A25" s="21" t="n">
        <x:v>1884</x:v>
      </x:c>
      <x:c r="B25" s="15" t="str">
        <x:v>Карабутак</x:v>
      </x:c>
      <x:c r="C25" s="27" t="n">
        <x:v>239</x:v>
      </x:c>
      <x:c r="D25" s="27"/>
      <x:c r="E25" s="27"/>
      <x:c r="F25" s="27"/>
      <x:c r="G25" s="27"/>
      <x:c r="H25" s="27"/>
      <x:c r="I25" s="27"/>
      <x:c r="J25" s="27"/>
      <x:c r="K25" s="15"/>
      <x:c r="L25" s="15" t="str">
        <x:v>Обзор 1884: с. 8; PDF 11</x:v>
      </x:c>
      <x:c r="M25" s="15" t="str">
        <x:v>Ведомость № 3 отсутствует</x:v>
      </x:c>
    </x:row>
    <x:row r="26" ht="36" customHeight="1">
      <x:c r="A26" s="20" t="n">
        <x:v>1884</x:v>
      </x:c>
      <x:c r="B26" s="8" t="str">
        <x:v>Ак-Тюбе</x:v>
      </x:c>
      <x:c r="C26" s="26" t="n">
        <x:v>646</x:v>
      </x:c>
      <x:c r="D26" s="26"/>
      <x:c r="E26" s="26"/>
      <x:c r="F26" s="26"/>
      <x:c r="G26" s="26"/>
      <x:c r="H26" s="26"/>
      <x:c r="I26" s="26"/>
      <x:c r="J26" s="26"/>
      <x:c r="K26" s="8"/>
      <x:c r="L26" s="8" t="str">
        <x:v>Обзор 1884: с. 8; PDF 11</x:v>
      </x:c>
      <x:c r="M26" s="8" t="str">
        <x:v>Ведомость № 3 отсутствует</x:v>
      </x:c>
    </x:row>
    <x:row r="27" ht="36" customHeight="1">
      <x:c r="A27" s="21" t="n">
        <x:v>1884</x:v>
      </x:c>
      <x:c r="B27" s="15" t="str">
        <x:v>Кустанай</x:v>
      </x:c>
      <x:c r="C27" s="27" t="n">
        <x:v>5726</x:v>
      </x:c>
      <x:c r="D27" s="27"/>
      <x:c r="E27" s="27"/>
      <x:c r="F27" s="27"/>
      <x:c r="G27" s="27"/>
      <x:c r="H27" s="27"/>
      <x:c r="I27" s="27"/>
      <x:c r="J27" s="27"/>
      <x:c r="K27" s="15"/>
      <x:c r="L27" s="15" t="str">
        <x:v>Обзор 1884: с. 8; PDF 11</x:v>
      </x:c>
      <x:c r="M27" s="15" t="str">
        <x:v>Ведомость № 3 отсутствует</x:v>
      </x:c>
    </x:row>
    <x:row r="28" ht="36" customHeight="1">
      <x:c r="A28" s="20" t="n">
        <x:v>1885</x:v>
      </x:c>
      <x:c r="B28" s="8" t="str">
        <x:v>Тургай</x:v>
      </x:c>
      <x:c r="C28" s="26" t="n">
        <x:v>391</x:v>
      </x:c>
      <x:c r="D28" s="26" t="n">
        <x:v>3</x:v>
      </x:c>
      <x:c r="E28" s="26" t="n">
        <x:v>10</x:v>
      </x:c>
      <x:c r="F28" s="26" t="n">
        <x:f>SUM(D28:E28)</x:f>
        <x:v>13</x:v>
      </x:c>
      <x:c r="G28" s="26" t="n">
        <x:v>4</x:v>
      </x:c>
      <x:c r="H28" s="26" t="n">
        <x:v>6</x:v>
      </x:c>
      <x:c r="I28" s="26" t="n">
        <x:f>SUM(G28:H28)</x:f>
        <x:v>10</x:v>
      </x:c>
      <x:c r="J28" s="26" t="n">
        <x:f>F28-I28</x:f>
        <x:v>3</x:v>
      </x:c>
      <x:c r="K28" s="8" t="str">
        <x:v>Итог источника; ошибка суммы полов</x:v>
      </x:c>
      <x:c r="L28" s="8" t="str">
        <x:v>Обзор 1885: с. 8–9; 21–23; PDF 11</x:v>
      </x:c>
      <x:c r="M28" s="8" t="str">
        <x:v>Ведомость № 3, PDF 31–32</x:v>
      </x:c>
    </x:row>
    <x:row r="29" ht="36" customHeight="1">
      <x:c r="A29" s="21" t="n">
        <x:v>1885</x:v>
      </x:c>
      <x:c r="B29" s="15" t="str">
        <x:v>Иргиз</x:v>
      </x:c>
      <x:c r="C29" s="27" t="n">
        <x:v>669</x:v>
      </x:c>
      <x:c r="D29" s="27" t="n">
        <x:v>11</x:v>
      </x:c>
      <x:c r="E29" s="27" t="n">
        <x:v>1</x:v>
      </x:c>
      <x:c r="F29" s="27" t="n">
        <x:f>SUM(D29:E29)</x:f>
        <x:v>12</x:v>
      </x:c>
      <x:c r="G29" s="27" t="n">
        <x:v>0</x:v>
      </x:c>
      <x:c r="H29" s="27" t="n">
        <x:v>12</x:v>
      </x:c>
      <x:c r="I29" s="27" t="n">
        <x:f>SUM(G29:H29)</x:f>
        <x:v>12</x:v>
      </x:c>
      <x:c r="J29" s="27" t="n">
        <x:f>F29-I29</x:f>
        <x:v>0</x:v>
      </x:c>
      <x:c r="K29" s="15" t="str">
        <x:v>Итог источника; ошибка суммы полов</x:v>
      </x:c>
      <x:c r="L29" s="15" t="str">
        <x:v>Обзор 1885: с. 8–9; 21–23; PDF 11</x:v>
      </x:c>
      <x:c r="M29" s="15" t="str">
        <x:v>Ведомость № 3, PDF 31–32</x:v>
      </x:c>
    </x:row>
    <x:row r="30" ht="36" customHeight="1">
      <x:c r="A30" s="20" t="n">
        <x:v>1885</x:v>
      </x:c>
      <x:c r="B30" s="8" t="str">
        <x:v>Карабутак</x:v>
      </x:c>
      <x:c r="C30" s="26" t="n">
        <x:v>323</x:v>
      </x:c>
      <x:c r="D30" s="26" t="n">
        <x:v>5</x:v>
      </x:c>
      <x:c r="E30" s="26" t="n">
        <x:v>3</x:v>
      </x:c>
      <x:c r="F30" s="26" t="n">
        <x:f>SUM(D30:E30)</x:f>
        <x:v>8</x:v>
      </x:c>
      <x:c r="G30" s="26" t="n">
        <x:v>1</x:v>
      </x:c>
      <x:c r="H30" s="26" t="n">
        <x:v>1</x:v>
      </x:c>
      <x:c r="I30" s="26" t="n">
        <x:f>SUM(G30:H30)</x:f>
        <x:v>2</x:v>
      </x:c>
      <x:c r="J30" s="26" t="n">
        <x:f>F30-I30</x:f>
        <x:v>6</x:v>
      </x:c>
      <x:c r="K30" s="8"/>
      <x:c r="L30" s="8" t="str">
        <x:v>Обзор 1885: с. 8–9; 21–23; PDF 11</x:v>
      </x:c>
      <x:c r="M30" s="8" t="str">
        <x:v>Ведомость № 3, PDF 31–32</x:v>
      </x:c>
    </x:row>
    <x:row r="31" ht="36" customHeight="1">
      <x:c r="A31" s="21" t="n">
        <x:v>1885</x:v>
      </x:c>
      <x:c r="B31" s="15" t="str">
        <x:v>Ак-Тюбе</x:v>
      </x:c>
      <x:c r="C31" s="27" t="n">
        <x:v>862</x:v>
      </x:c>
      <x:c r="D31" s="27" t="n">
        <x:v>18</x:v>
      </x:c>
      <x:c r="E31" s="27" t="n">
        <x:v>11</x:v>
      </x:c>
      <x:c r="F31" s="27" t="n">
        <x:f>SUM(D31:E31)</x:f>
        <x:v>29</x:v>
      </x:c>
      <x:c r="G31" s="27" t="n">
        <x:v>12</x:v>
      </x:c>
      <x:c r="H31" s="27" t="n">
        <x:v>6</x:v>
      </x:c>
      <x:c r="I31" s="27" t="n">
        <x:f>SUM(G31:H31)</x:f>
        <x:v>18</x:v>
      </x:c>
      <x:c r="J31" s="27" t="n">
        <x:f>F31-I31</x:f>
        <x:v>11</x:v>
      </x:c>
      <x:c r="K31" s="15"/>
      <x:c r="L31" s="15" t="str">
        <x:v>Обзор 1885: с. 8–9; 21–23; PDF 11</x:v>
      </x:c>
      <x:c r="M31" s="15" t="str">
        <x:v>Ведомость № 3, PDF 31–32</x:v>
      </x:c>
    </x:row>
    <x:row r="32" ht="36" customHeight="1">
      <x:c r="A32" s="20" t="n">
        <x:v>1885</x:v>
      </x:c>
      <x:c r="B32" s="8" t="str">
        <x:v>Кустанай</x:v>
      </x:c>
      <x:c r="C32" s="26" t="n">
        <x:v>7325</x:v>
      </x:c>
      <x:c r="D32" s="26" t="n">
        <x:v>262</x:v>
      </x:c>
      <x:c r="E32" s="26" t="n">
        <x:v>268</x:v>
      </x:c>
      <x:c r="F32" s="26" t="n">
        <x:f>SUM(D32:E32)</x:f>
        <x:v>530</x:v>
      </x:c>
      <x:c r="G32" s="26" t="n">
        <x:v>270</x:v>
      </x:c>
      <x:c r="H32" s="26" t="n">
        <x:v>243</x:v>
      </x:c>
      <x:c r="I32" s="26" t="n">
        <x:f>SUM(G32:H32)</x:f>
        <x:v>513</x:v>
      </x:c>
      <x:c r="J32" s="26" t="n">
        <x:f>F32-I32</x:f>
        <x:v>17</x:v>
      </x:c>
      <x:c r="K32" s="8"/>
      <x:c r="L32" s="8" t="str">
        <x:v>Обзор 1885: с. 8–9; 21–23; PDF 11</x:v>
      </x:c>
      <x:c r="M32" s="8" t="str">
        <x:v>Ведомость № 3, PDF 31–32</x:v>
      </x:c>
    </x:row>
    <x:row r="33" ht="36" customHeight="1">
      <x:c r="A33" s="21" t="n">
        <x:v>1886</x:v>
      </x:c>
      <x:c r="B33" s="15" t="str">
        <x:v>Тургай</x:v>
      </x:c>
      <x:c r="C33" s="27" t="n">
        <x:v>416</x:v>
      </x:c>
      <x:c r="D33" s="27" t="n">
        <x:v>9</x:v>
      </x:c>
      <x:c r="E33" s="27" t="n">
        <x:v>11</x:v>
      </x:c>
      <x:c r="F33" s="27" t="n">
        <x:f>SUM(D33:E33)</x:f>
        <x:v>20</x:v>
      </x:c>
      <x:c r="G33" s="27" t="n">
        <x:v>8</x:v>
      </x:c>
      <x:c r="H33" s="27" t="n">
        <x:v>5</x:v>
      </x:c>
      <x:c r="I33" s="27" t="n">
        <x:f>SUM(G33:H33)</x:f>
        <x:v>13</x:v>
      </x:c>
      <x:c r="J33" s="27" t="n">
        <x:f>F33-I33</x:f>
        <x:v>7</x:v>
      </x:c>
      <x:c r="K33" s="15"/>
      <x:c r="L33" s="15" t="str">
        <x:v>Обзор 1886: с. 6–7; PDF 9</x:v>
      </x:c>
      <x:c r="M33" s="15" t="str">
        <x:v>Ведомость № 3, PDF 25–26</x:v>
      </x:c>
    </x:row>
    <x:row r="34" ht="36" customHeight="1">
      <x:c r="A34" s="20" t="n">
        <x:v>1886</x:v>
      </x:c>
      <x:c r="B34" s="8" t="str">
        <x:v>Иргиз</x:v>
      </x:c>
      <x:c r="C34" s="26" t="n">
        <x:v>737</x:v>
      </x:c>
      <x:c r="D34" s="26" t="n">
        <x:v>20</x:v>
      </x:c>
      <x:c r="E34" s="26" t="n">
        <x:v>16</x:v>
      </x:c>
      <x:c r="F34" s="26" t="n">
        <x:f>SUM(D34:E34)</x:f>
        <x:v>36</x:v>
      </x:c>
      <x:c r="G34" s="26" t="n">
        <x:v>14</x:v>
      </x:c>
      <x:c r="H34" s="26" t="n">
        <x:v>16</x:v>
      </x:c>
      <x:c r="I34" s="26" t="n">
        <x:f>SUM(G34:H34)</x:f>
        <x:v>30</x:v>
      </x:c>
      <x:c r="J34" s="26" t="n">
        <x:f>F34-I34</x:f>
        <x:v>6</x:v>
      </x:c>
      <x:c r="K34" s="8"/>
      <x:c r="L34" s="8" t="str">
        <x:v>Обзор 1886: с. 6–7; PDF 9</x:v>
      </x:c>
      <x:c r="M34" s="8" t="str">
        <x:v>Ведомость № 3, PDF 25–26</x:v>
      </x:c>
    </x:row>
    <x:row r="35" ht="36" customHeight="1">
      <x:c r="A35" s="21" t="n">
        <x:v>1886</x:v>
      </x:c>
      <x:c r="B35" s="15" t="str">
        <x:v>Карабутак</x:v>
      </x:c>
      <x:c r="C35" s="27" t="n">
        <x:v>299</x:v>
      </x:c>
      <x:c r="D35" s="27" t="n">
        <x:v>7</x:v>
      </x:c>
      <x:c r="E35" s="27" t="n">
        <x:v>3</x:v>
      </x:c>
      <x:c r="F35" s="27" t="n">
        <x:f>SUM(D35:E35)</x:f>
        <x:v>10</x:v>
      </x:c>
      <x:c r="G35" s="27" t="n">
        <x:v>4</x:v>
      </x:c>
      <x:c r="H35" s="27" t="n">
        <x:v>5</x:v>
      </x:c>
      <x:c r="I35" s="27" t="n">
        <x:f>SUM(G35:H35)</x:f>
        <x:v>9</x:v>
      </x:c>
      <x:c r="J35" s="27" t="n">
        <x:f>F35-I35</x:f>
        <x:v>1</x:v>
      </x:c>
      <x:c r="K35" s="15"/>
      <x:c r="L35" s="15" t="str">
        <x:v>Обзор 1886: с. 6–7; PDF 9</x:v>
      </x:c>
      <x:c r="M35" s="15" t="str">
        <x:v>Ведомость № 3, PDF 25–26</x:v>
      </x:c>
    </x:row>
    <x:row r="36" ht="36" customHeight="1">
      <x:c r="A36" s="20" t="n">
        <x:v>1886</x:v>
      </x:c>
      <x:c r="B36" s="8" t="str">
        <x:v>Ак-Тюбе</x:v>
      </x:c>
      <x:c r="C36" s="26" t="n">
        <x:v>1209</x:v>
      </x:c>
      <x:c r="D36" s="26" t="n">
        <x:v>27</x:v>
      </x:c>
      <x:c r="E36" s="26" t="n">
        <x:v>33</x:v>
      </x:c>
      <x:c r="F36" s="26" t="n">
        <x:f>SUM(D36:E36)</x:f>
        <x:v>60</x:v>
      </x:c>
      <x:c r="G36" s="26" t="n">
        <x:v>12</x:v>
      </x:c>
      <x:c r="H36" s="26" t="n">
        <x:v>14</x:v>
      </x:c>
      <x:c r="I36" s="26" t="n">
        <x:f>SUM(G36:H36)</x:f>
        <x:v>26</x:v>
      </x:c>
      <x:c r="J36" s="26" t="n">
        <x:f>F36-I36</x:f>
        <x:v>34</x:v>
      </x:c>
      <x:c r="K36" s="8"/>
      <x:c r="L36" s="8" t="str">
        <x:v>Обзор 1886: с. 6–7; PDF 9</x:v>
      </x:c>
      <x:c r="M36" s="8" t="str">
        <x:v>Ведомость № 3, PDF 25–26</x:v>
      </x:c>
    </x:row>
    <x:row r="37" ht="36" customHeight="1">
      <x:c r="A37" s="21" t="n">
        <x:v>1886</x:v>
      </x:c>
      <x:c r="B37" s="15" t="str">
        <x:v>Кустанай</x:v>
      </x:c>
      <x:c r="C37" s="27" t="n">
        <x:v>14095</x:v>
      </x:c>
      <x:c r="D37" s="27" t="n">
        <x:v>435</x:v>
      </x:c>
      <x:c r="E37" s="27" t="n">
        <x:v>404</x:v>
      </x:c>
      <x:c r="F37" s="27" t="n">
        <x:f>SUM(D37:E37)</x:f>
        <x:v>839</x:v>
      </x:c>
      <x:c r="G37" s="27" t="n">
        <x:v>270</x:v>
      </x:c>
      <x:c r="H37" s="27" t="n">
        <x:v>244</x:v>
      </x:c>
      <x:c r="I37" s="27" t="n">
        <x:f>SUM(G37:H37)</x:f>
        <x:v>514</x:v>
      </x:c>
      <x:c r="J37" s="27" t="n">
        <x:f>F37-I37</x:f>
        <x:v>325</x:v>
      </x:c>
      <x:c r="K37" s="15"/>
      <x:c r="L37" s="15" t="str">
        <x:v>Обзор 1886: с. 6–7; PDF 9</x:v>
      </x:c>
      <x:c r="M37" s="15" t="str">
        <x:v>Ведомость № 3, PDF 25–26</x:v>
      </x:c>
    </x:row>
    <x:row r="38" ht="36" customHeight="1">
      <x:c r="A38" s="20" t="n">
        <x:v>1887</x:v>
      </x:c>
      <x:c r="B38" s="8" t="str">
        <x:v>Тургай</x:v>
      </x:c>
      <x:c r="C38" s="26" t="n">
        <x:v>411</x:v>
      </x:c>
      <x:c r="D38" s="26" t="n">
        <x:v>15</x:v>
      </x:c>
      <x:c r="E38" s="26" t="n">
        <x:v>9</x:v>
      </x:c>
      <x:c r="F38" s="26" t="n">
        <x:f>SUM(D38:E38)</x:f>
        <x:v>24</x:v>
      </x:c>
      <x:c r="G38" s="26" t="n">
        <x:v>13</x:v>
      </x:c>
      <x:c r="H38" s="26" t="n">
        <x:v>7</x:v>
      </x:c>
      <x:c r="I38" s="26" t="n">
        <x:f>SUM(G38:H38)</x:f>
        <x:v>20</x:v>
      </x:c>
      <x:c r="J38" s="26" t="n">
        <x:f>F38-I38</x:f>
        <x:v>4</x:v>
      </x:c>
      <x:c r="K38" s="8"/>
      <x:c r="L38" s="8" t="str">
        <x:v>Обзор 1887: с. 7–8; PDF 10</x:v>
      </x:c>
      <x:c r="M38" s="8" t="str">
        <x:v>Ведомость № 3, PDF 34–35</x:v>
      </x:c>
    </x:row>
    <x:row r="39" ht="36" customHeight="1">
      <x:c r="A39" s="21" t="n">
        <x:v>1887</x:v>
      </x:c>
      <x:c r="B39" s="15" t="str">
        <x:v>Иргиз</x:v>
      </x:c>
      <x:c r="C39" s="27" t="n">
        <x:v>887</x:v>
      </x:c>
      <x:c r="D39" s="27" t="n">
        <x:v>25</x:v>
      </x:c>
      <x:c r="E39" s="27" t="n">
        <x:v>19</x:v>
      </x:c>
      <x:c r="F39" s="27" t="n">
        <x:f>SUM(D39:E39)</x:f>
        <x:v>44</x:v>
      </x:c>
      <x:c r="G39" s="27" t="n">
        <x:v>8</x:v>
      </x:c>
      <x:c r="H39" s="27" t="n">
        <x:v>6</x:v>
      </x:c>
      <x:c r="I39" s="27" t="n">
        <x:f>SUM(G39:H39)</x:f>
        <x:v>14</x:v>
      </x:c>
      <x:c r="J39" s="27" t="n">
        <x:f>F39-I39</x:f>
        <x:v>30</x:v>
      </x:c>
      <x:c r="K39" s="15"/>
      <x:c r="L39" s="15" t="str">
        <x:v>Обзор 1887: с. 7–8; PDF 10</x:v>
      </x:c>
      <x:c r="M39" s="15" t="str">
        <x:v>Ведомость № 3, PDF 34–35</x:v>
      </x:c>
    </x:row>
    <x:row r="40" ht="36" customHeight="1">
      <x:c r="A40" s="20" t="n">
        <x:v>1887</x:v>
      </x:c>
      <x:c r="B40" s="8" t="str">
        <x:v>Карабутак</x:v>
      </x:c>
      <x:c r="C40" s="26" t="n">
        <x:v>275</x:v>
      </x:c>
      <x:c r="D40" s="26" t="n">
        <x:v>8</x:v>
      </x:c>
      <x:c r="E40" s="26" t="n">
        <x:v>6</x:v>
      </x:c>
      <x:c r="F40" s="26" t="n">
        <x:f>SUM(D40:E40)</x:f>
        <x:v>14</x:v>
      </x:c>
      <x:c r="G40" s="26" t="n">
        <x:v>5</x:v>
      </x:c>
      <x:c r="H40" s="26" t="n">
        <x:v>3</x:v>
      </x:c>
      <x:c r="I40" s="26" t="n">
        <x:f>SUM(G40:H40)</x:f>
        <x:v>8</x:v>
      </x:c>
      <x:c r="J40" s="26" t="n">
        <x:f>F40-I40</x:f>
        <x:v>6</x:v>
      </x:c>
      <x:c r="K40" s="8"/>
      <x:c r="L40" s="8" t="str">
        <x:v>Обзор 1887: с. 7–8; PDF 10</x:v>
      </x:c>
      <x:c r="M40" s="8" t="str">
        <x:v>Ведомость № 3, PDF 34–35</x:v>
      </x:c>
    </x:row>
    <x:row r="41" ht="36" customHeight="1">
      <x:c r="A41" s="21" t="n">
        <x:v>1887</x:v>
      </x:c>
      <x:c r="B41" s="15" t="str">
        <x:v>Ак-Тюбе</x:v>
      </x:c>
      <x:c r="C41" s="27" t="n">
        <x:v>2389</x:v>
      </x:c>
      <x:c r="D41" s="27" t="n">
        <x:v>68</x:v>
      </x:c>
      <x:c r="E41" s="27" t="n">
        <x:v>49</x:v>
      </x:c>
      <x:c r="F41" s="27" t="n">
        <x:f>SUM(D41:E41)</x:f>
        <x:v>117</x:v>
      </x:c>
      <x:c r="G41" s="27" t="n">
        <x:v>31</x:v>
      </x:c>
      <x:c r="H41" s="27" t="n">
        <x:v>24</x:v>
      </x:c>
      <x:c r="I41" s="27" t="n">
        <x:f>SUM(G41:H41)</x:f>
        <x:v>55</x:v>
      </x:c>
      <x:c r="J41" s="27" t="n">
        <x:f>F41-I41</x:f>
        <x:v>62</x:v>
      </x:c>
      <x:c r="K41" s="15"/>
      <x:c r="L41" s="15" t="str">
        <x:v>Обзор 1887: с. 7–8; PDF 10</x:v>
      </x:c>
      <x:c r="M41" s="15" t="str">
        <x:v>Ведомость № 3, PDF 34–35</x:v>
      </x:c>
    </x:row>
    <x:row r="42" ht="36" customHeight="1">
      <x:c r="A42" s="20" t="n">
        <x:v>1887</x:v>
      </x:c>
      <x:c r="B42" s="8" t="str">
        <x:v>Кустанай</x:v>
      </x:c>
      <x:c r="C42" s="26" t="n">
        <x:v>16309</x:v>
      </x:c>
      <x:c r="D42" s="26" t="n">
        <x:v>527</x:v>
      </x:c>
      <x:c r="E42" s="26" t="n">
        <x:v>427</x:v>
      </x:c>
      <x:c r="F42" s="26" t="n">
        <x:f>SUM(D42:E42)</x:f>
        <x:v>954</x:v>
      </x:c>
      <x:c r="G42" s="26" t="n">
        <x:v>383</x:v>
      </x:c>
      <x:c r="H42" s="26" t="n">
        <x:v>349</x:v>
      </x:c>
      <x:c r="I42" s="26" t="n">
        <x:f>SUM(G42:H42)</x:f>
        <x:v>732</x:v>
      </x:c>
      <x:c r="J42" s="26" t="n">
        <x:f>F42-I42</x:f>
        <x:v>222</x:v>
      </x:c>
      <x:c r="K42" s="8"/>
      <x:c r="L42" s="8" t="str">
        <x:v>Обзор 1887: с. 7–8; PDF 10</x:v>
      </x:c>
      <x:c r="M42" s="8" t="str">
        <x:v>Ведомость № 3, PDF 34–35</x:v>
      </x:c>
    </x:row>
    <x:row r="43" ht="36" customHeight="1">
      <x:c r="A43" s="21" t="n">
        <x:v>1888</x:v>
      </x:c>
      <x:c r="B43" s="15" t="str">
        <x:v>Тургай</x:v>
      </x:c>
      <x:c r="C43" s="27" t="n">
        <x:v>472</x:v>
      </x:c>
      <x:c r="D43" s="27" t="n">
        <x:v>8</x:v>
      </x:c>
      <x:c r="E43" s="27" t="n">
        <x:v>12</x:v>
      </x:c>
      <x:c r="F43" s="27" t="n">
        <x:f>SUM(D43:E43)</x:f>
        <x:v>20</x:v>
      </x:c>
      <x:c r="G43" s="27" t="n">
        <x:v>2</x:v>
      </x:c>
      <x:c r="H43" s="27" t="n">
        <x:v>1</x:v>
      </x:c>
      <x:c r="I43" s="27" t="n">
        <x:f>SUM(G43:H43)</x:f>
        <x:v>3</x:v>
      </x:c>
      <x:c r="J43" s="27" t="n">
        <x:f>F43-I43</x:f>
        <x:v>17</x:v>
      </x:c>
      <x:c r="K43" s="15"/>
      <x:c r="L43" s="15" t="str">
        <x:v>Обзор 1888: с. 7–8; PDF 10</x:v>
      </x:c>
      <x:c r="M43" s="15" t="str">
        <x:v>Ведомость № 3, PDF 35–36</x:v>
      </x:c>
    </x:row>
    <x:row r="44" ht="36" customHeight="1">
      <x:c r="A44" s="20" t="n">
        <x:v>1888</x:v>
      </x:c>
      <x:c r="B44" s="8" t="str">
        <x:v>Иргиз</x:v>
      </x:c>
      <x:c r="C44" s="26" t="n">
        <x:v>673</x:v>
      </x:c>
      <x:c r="D44" s="26" t="n">
        <x:v>16</x:v>
      </x:c>
      <x:c r="E44" s="26" t="n">
        <x:v>23</x:v>
      </x:c>
      <x:c r="F44" s="26" t="n">
        <x:f>SUM(D44:E44)</x:f>
        <x:v>39</x:v>
      </x:c>
      <x:c r="G44" s="26" t="n">
        <x:v>11</x:v>
      </x:c>
      <x:c r="H44" s="26" t="n">
        <x:v>8</x:v>
      </x:c>
      <x:c r="I44" s="26" t="n">
        <x:f>SUM(G44:H44)</x:f>
        <x:v>19</x:v>
      </x:c>
      <x:c r="J44" s="26" t="n">
        <x:f>F44-I44</x:f>
        <x:v>20</x:v>
      </x:c>
      <x:c r="K44" s="8"/>
      <x:c r="L44" s="8" t="str">
        <x:v>Обзор 1888: с. 7–8; PDF 10</x:v>
      </x:c>
      <x:c r="M44" s="8" t="str">
        <x:v>Ведомость № 3, PDF 35–36</x:v>
      </x:c>
    </x:row>
    <x:row r="45" ht="36" customHeight="1">
      <x:c r="A45" s="21" t="n">
        <x:v>1888</x:v>
      </x:c>
      <x:c r="B45" s="15" t="str">
        <x:v>Карабутак</x:v>
      </x:c>
      <x:c r="C45" s="27" t="n">
        <x:v>268</x:v>
      </x:c>
      <x:c r="D45" s="27" t="n">
        <x:v>8</x:v>
      </x:c>
      <x:c r="E45" s="27" t="n">
        <x:v>6</x:v>
      </x:c>
      <x:c r="F45" s="27" t="n">
        <x:f>SUM(D45:E45)</x:f>
        <x:v>14</x:v>
      </x:c>
      <x:c r="G45" s="27" t="n">
        <x:v>5</x:v>
      </x:c>
      <x:c r="H45" s="27" t="n">
        <x:v>3</x:v>
      </x:c>
      <x:c r="I45" s="27" t="n">
        <x:f>SUM(G45:H45)</x:f>
        <x:v>8</x:v>
      </x:c>
      <x:c r="J45" s="27" t="n">
        <x:f>F45-I45</x:f>
        <x:v>6</x:v>
      </x:c>
      <x:c r="K45" s="15"/>
      <x:c r="L45" s="15" t="str">
        <x:v>Обзор 1888: с. 7–8; PDF 10</x:v>
      </x:c>
      <x:c r="M45" s="15" t="str">
        <x:v>Ведомость № 3, PDF 35–36</x:v>
      </x:c>
    </x:row>
    <x:row r="46" ht="36" customHeight="1">
      <x:c r="A46" s="20" t="n">
        <x:v>1888</x:v>
      </x:c>
      <x:c r="B46" s="8" t="str">
        <x:v>Ак-Тюбе</x:v>
      </x:c>
      <x:c r="C46" s="26" t="n">
        <x:v>2404</x:v>
      </x:c>
      <x:c r="D46" s="26" t="n">
        <x:v>103</x:v>
      </x:c>
      <x:c r="E46" s="26" t="n">
        <x:v>73</x:v>
      </x:c>
      <x:c r="F46" s="26" t="n">
        <x:f>SUM(D46:E46)</x:f>
        <x:v>176</x:v>
      </x:c>
      <x:c r="G46" s="26" t="n">
        <x:v>48</x:v>
      </x:c>
      <x:c r="H46" s="26" t="n">
        <x:v>40</x:v>
      </x:c>
      <x:c r="I46" s="26" t="n">
        <x:f>SUM(G46:H46)</x:f>
        <x:v>88</x:v>
      </x:c>
      <x:c r="J46" s="26" t="n">
        <x:f>F46-I46</x:f>
        <x:v>88</x:v>
      </x:c>
      <x:c r="K46" s="8"/>
      <x:c r="L46" s="8" t="str">
        <x:v>Обзор 1888: с. 7–8; PDF 10</x:v>
      </x:c>
      <x:c r="M46" s="8" t="str">
        <x:v>Ведомость № 3, PDF 35–36</x:v>
      </x:c>
    </x:row>
    <x:row r="47" ht="36" customHeight="1">
      <x:c r="A47" s="21" t="n">
        <x:v>1888</x:v>
      </x:c>
      <x:c r="B47" s="15" t="str">
        <x:v>Кустанай</x:v>
      </x:c>
      <x:c r="C47" s="27" t="n">
        <x:v>16775</x:v>
      </x:c>
      <x:c r="D47" s="27" t="n">
        <x:v>661</x:v>
      </x:c>
      <x:c r="E47" s="27" t="n">
        <x:v>613</x:v>
      </x:c>
      <x:c r="F47" s="27" t="n">
        <x:f>SUM(D47:E47)</x:f>
        <x:v>1274</x:v>
      </x:c>
      <x:c r="G47" s="27" t="n">
        <x:v>412</x:v>
      </x:c>
      <x:c r="H47" s="27" t="n">
        <x:v>319</x:v>
      </x:c>
      <x:c r="I47" s="27" t="n">
        <x:f>SUM(G47:H47)</x:f>
        <x:v>731</x:v>
      </x:c>
      <x:c r="J47" s="27" t="n">
        <x:f>F47-I47</x:f>
        <x:v>543</x:v>
      </x:c>
      <x:c r="K47" s="15"/>
      <x:c r="L47" s="15" t="str">
        <x:v>Обзор 1888: с. 7–8; PDF 10</x:v>
      </x:c>
      <x:c r="M47" s="15" t="str">
        <x:v>Ведомость № 3, PDF 35–36</x:v>
      </x:c>
    </x:row>
    <x:row r="48" ht="36" customHeight="1">
      <x:c r="A48" s="20" t="n">
        <x:v>1889</x:v>
      </x:c>
      <x:c r="B48" s="8" t="str">
        <x:v>Тургай</x:v>
      </x:c>
      <x:c r="C48" s="26" t="n">
        <x:v>576</x:v>
      </x:c>
      <x:c r="D48" s="26" t="n">
        <x:v>7</x:v>
      </x:c>
      <x:c r="E48" s="26" t="n">
        <x:v>11</x:v>
      </x:c>
      <x:c r="F48" s="26" t="n">
        <x:f>SUM(D48:E48)</x:f>
        <x:v>18</x:v>
      </x:c>
      <x:c r="G48" s="26" t="n">
        <x:v>4</x:v>
      </x:c>
      <x:c r="H48" s="26" t="n">
        <x:v>7</x:v>
      </x:c>
      <x:c r="I48" s="26" t="n">
        <x:f>SUM(G48:H48)</x:f>
        <x:v>11</x:v>
      </x:c>
      <x:c r="J48" s="26" t="n">
        <x:f>F48-I48</x:f>
        <x:v>7</x:v>
      </x:c>
      <x:c r="K48" s="8"/>
      <x:c r="L48" s="8" t="str">
        <x:v>Обзор 1889: с. 6–7; 2; PDF 9</x:v>
      </x:c>
      <x:c r="M48" s="8" t="str">
        <x:v>Ведомость № 3, PDF 31–32</x:v>
      </x:c>
    </x:row>
    <x:row r="49" ht="36" customHeight="1">
      <x:c r="A49" s="21" t="n">
        <x:v>1889</x:v>
      </x:c>
      <x:c r="B49" s="15" t="str">
        <x:v>Иргиз</x:v>
      </x:c>
      <x:c r="C49" s="27" t="n">
        <x:v>1005</x:v>
      </x:c>
      <x:c r="D49" s="27" t="n">
        <x:v>30</x:v>
      </x:c>
      <x:c r="E49" s="27" t="n">
        <x:v>26</x:v>
      </x:c>
      <x:c r="F49" s="27" t="n">
        <x:f>SUM(D49:E49)</x:f>
        <x:v>56</x:v>
      </x:c>
      <x:c r="G49" s="27" t="n">
        <x:v>7</x:v>
      </x:c>
      <x:c r="H49" s="27" t="n">
        <x:v>14</x:v>
      </x:c>
      <x:c r="I49" s="27" t="n">
        <x:f>SUM(G49:H49)</x:f>
        <x:v>21</x:v>
      </x:c>
      <x:c r="J49" s="27" t="n">
        <x:f>F49-I49</x:f>
        <x:v>35</x:v>
      </x:c>
      <x:c r="K49" s="15"/>
      <x:c r="L49" s="15" t="str">
        <x:v>Обзор 1889: с. 6–7; 2; PDF 9</x:v>
      </x:c>
      <x:c r="M49" s="15" t="str">
        <x:v>Ведомость № 3, PDF 31–32</x:v>
      </x:c>
    </x:row>
    <x:row r="50" ht="36" customHeight="1">
      <x:c r="A50" s="20" t="n">
        <x:v>1889</x:v>
      </x:c>
      <x:c r="B50" s="8" t="str">
        <x:v>Карабутак</x:v>
      </x:c>
      <x:c r="C50" s="26" t="n">
        <x:v>198</x:v>
      </x:c>
      <x:c r="D50" s="26" t="n">
        <x:v>13</x:v>
      </x:c>
      <x:c r="E50" s="26" t="n">
        <x:v>6</x:v>
      </x:c>
      <x:c r="F50" s="26" t="n">
        <x:f>SUM(D50:E50)</x:f>
        <x:v>19</x:v>
      </x:c>
      <x:c r="G50" s="26" t="n">
        <x:v>7</x:v>
      </x:c>
      <x:c r="H50" s="26" t="n">
        <x:v>5</x:v>
      </x:c>
      <x:c r="I50" s="26" t="n">
        <x:f>SUM(G50:H50)</x:f>
        <x:v>12</x:v>
      </x:c>
      <x:c r="J50" s="26" t="n">
        <x:f>F50-I50</x:f>
        <x:v>7</x:v>
      </x:c>
      <x:c r="K50" s="8"/>
      <x:c r="L50" s="8" t="str">
        <x:v>Обзор 1889: с. 6–7; 2; PDF 9</x:v>
      </x:c>
      <x:c r="M50" s="8" t="str">
        <x:v>Ведомость № 3, PDF 31–32</x:v>
      </x:c>
    </x:row>
    <x:row r="51" ht="36" customHeight="1">
      <x:c r="A51" s="21" t="n">
        <x:v>1889</x:v>
      </x:c>
      <x:c r="B51" s="15" t="str">
        <x:v>Ак-Тюбе</x:v>
      </x:c>
      <x:c r="C51" s="27" t="n">
        <x:v>2600</x:v>
      </x:c>
      <x:c r="D51" s="27" t="n">
        <x:v>81</x:v>
      </x:c>
      <x:c r="E51" s="27" t="n">
        <x:v>91</x:v>
      </x:c>
      <x:c r="F51" s="27" t="n">
        <x:f>SUM(D51:E51)</x:f>
        <x:v>172</x:v>
      </x:c>
      <x:c r="G51" s="27" t="n">
        <x:v>37</x:v>
      </x:c>
      <x:c r="H51" s="27" t="n">
        <x:v>27</x:v>
      </x:c>
      <x:c r="I51" s="27" t="n">
        <x:f>SUM(G51:H51)</x:f>
        <x:v>64</x:v>
      </x:c>
      <x:c r="J51" s="27" t="n">
        <x:f>F51-I51</x:f>
        <x:v>108</x:v>
      </x:c>
      <x:c r="K51" s="15"/>
      <x:c r="L51" s="15" t="str">
        <x:v>Обзор 1889: с. 6–7; 2; PDF 9</x:v>
      </x:c>
      <x:c r="M51" s="15" t="str">
        <x:v>Ведомость № 3, PDF 31–32</x:v>
      </x:c>
    </x:row>
    <x:row r="52" ht="36" customHeight="1">
      <x:c r="A52" s="20" t="n">
        <x:v>1889</x:v>
      </x:c>
      <x:c r="B52" s="8" t="str">
        <x:v>Кустанай</x:v>
      </x:c>
      <x:c r="C52" s="26" t="n">
        <x:v>18257</x:v>
      </x:c>
      <x:c r="D52" s="26" t="n">
        <x:v>3173</x:v>
      </x:c>
      <x:c r="E52" s="26" t="n">
        <x:v>2908</x:v>
      </x:c>
      <x:c r="F52" s="26" t="n">
        <x:f>SUM(D52:E52)</x:f>
        <x:v>6081</x:v>
      </x:c>
      <x:c r="G52" s="26" t="n">
        <x:v>1772</x:v>
      </x:c>
      <x:c r="H52" s="26" t="n">
        <x:v>1628</x:v>
      </x:c>
      <x:c r="I52" s="26" t="n">
        <x:f>SUM(G52:H52)</x:f>
        <x:v>3400</x:v>
      </x:c>
      <x:c r="J52" s="26" t="n">
        <x:f>F52-I52</x:f>
        <x:v>2681</x:v>
      </x:c>
      <x:c r="K52" s="8" t="str">
        <x:v>Скачок Р/С; сохранены цифры источника</x:v>
      </x:c>
      <x:c r="L52" s="8" t="str">
        <x:v>Обзор 1889: с. 6–7; 2; PDF 9</x:v>
      </x:c>
      <x:c r="M52" s="8" t="str">
        <x:v>Ведомость № 3, PDF 31–32</x:v>
      </x:c>
    </x:row>
    <x:row r="56" ht="26" customHeight="1">
      <x:c r="A56" s="4" t="str">
        <x:v>Кибитки и оценка кочевого населения</x:v>
      </x:c>
    </x:row>
    <x:row r="58" ht="52" customHeight="1">
      <x:c r="A58" s="12" t="str">
        <x:v>Год</x:v>
      </x:c>
      <x:c r="B58" s="13" t="str">
        <x:v>Кибитки</x:v>
      </x:c>
      <x:c r="C58" s="13" t="str">
        <x:v>Человек на кибитку</x:v>
      </x:c>
      <x:c r="D58" s="13" t="str">
        <x:v>Произведение</x:v>
      </x:c>
      <x:c r="E58" s="13" t="str">
        <x:v>Кочевые: принято в сводке</x:v>
      </x:c>
      <x:c r="F58" s="13" t="str">
        <x:v>Разница с произведением</x:v>
      </x:c>
      <x:c r="G58" s="14" t="str">
        <x:v>Основание</x:v>
      </x:c>
    </x:row>
    <x:row r="59" ht="78" customHeight="1">
      <x:c r="A59" s="20" t="n">
        <x:v>1881</x:v>
      </x:c>
      <x:c r="B59" s="26" t="n">
        <x:v>64622</x:v>
      </x:c>
      <x:c r="C59" s="26" t="n">
        <x:v>5</x:v>
      </x:c>
      <x:c r="D59" s="26" t="n">
        <x:f>B59*C59</x:f>
        <x:v>323110</x:v>
      </x:c>
      <x:c r="E59" s="26" t="n">
        <x:v>323110</x:v>
      </x:c>
      <x:c r="F59" s="26" t="n">
        <x:f>E59-D59</x:f>
        <x:v>0</x:v>
      </x:c>
      <x:c r="G59" s="8" t="str">
        <x:v>323 110 — расчёт по норме из выпусков 1882–1883.</x:v>
      </x:c>
    </x:row>
    <x:row r="60" ht="78" customHeight="1">
      <x:c r="A60" s="21" t="n">
        <x:v>1882</x:v>
      </x:c>
      <x:c r="B60" s="27" t="n">
        <x:v>64622</x:v>
      </x:c>
      <x:c r="C60" s="27" t="n">
        <x:v>5</x:v>
      </x:c>
      <x:c r="D60" s="27" t="n">
        <x:f>B60*C60</x:f>
        <x:v>323110</x:v>
      </x:c>
      <x:c r="E60" s="27" t="n">
        <x:v>323110</x:v>
      </x:c>
      <x:c r="F60" s="27" t="n">
        <x:f>E60-D60</x:f>
        <x:v>0</x:v>
      </x:c>
      <x:c r="G60" s="15" t="str">
        <x:v>Напечатанный итог сохранён; произведение показано для контроля.</x:v>
      </x:c>
    </x:row>
    <x:row r="61" ht="78" customHeight="1">
      <x:c r="A61" s="20" t="n">
        <x:v>1883</x:v>
      </x:c>
      <x:c r="B61" s="26" t="n">
        <x:v>64622</x:v>
      </x:c>
      <x:c r="C61" s="26" t="n">
        <x:v>5</x:v>
      </x:c>
      <x:c r="D61" s="26" t="n">
        <x:f>B61*C61</x:f>
        <x:v>323110</x:v>
      </x:c>
      <x:c r="E61" s="26" t="n">
        <x:v>323110</x:v>
      </x:c>
      <x:c r="F61" s="26" t="n">
        <x:f>E61-D61</x:f>
        <x:v>0</x:v>
      </x:c>
      <x:c r="G61" s="8" t="str">
        <x:v>Напечатанный итог сохранён; произведение показано для контроля.</x:v>
      </x:c>
    </x:row>
    <x:row r="62" ht="78" customHeight="1">
      <x:c r="A62" s="21" t="n">
        <x:v>1884</x:v>
      </x:c>
      <x:c r="B62" s="27" t="n">
        <x:v>64414</x:v>
      </x:c>
      <x:c r="C62" s="27" t="n">
        <x:v>5</x:v>
      </x:c>
      <x:c r="D62" s="27" t="n">
        <x:f>B62*C62</x:f>
        <x:v>322070</x:v>
      </x:c>
      <x:c r="E62" s="27" t="n">
        <x:v>322070</x:v>
      </x:c>
      <x:c r="F62" s="27" t="n">
        <x:f>E62-D62</x:f>
        <x:v>0</x:v>
      </x:c>
      <x:c r="G62" s="15" t="str">
        <x:v>Напечатанный итог сохранён; произведение показано для контроля.</x:v>
      </x:c>
    </x:row>
    <x:row r="63" ht="78" customHeight="1">
      <x:c r="A63" s="20" t="n">
        <x:v>1885</x:v>
      </x:c>
      <x:c r="B63" s="26" t="n">
        <x:v>64414</x:v>
      </x:c>
      <x:c r="C63" s="26" t="n">
        <x:v>5</x:v>
      </x:c>
      <x:c r="D63" s="26" t="n">
        <x:f>B63*C63</x:f>
        <x:v>322070</x:v>
      </x:c>
      <x:c r="E63" s="26" t="n">
        <x:v>322070</x:v>
      </x:c>
      <x:c r="F63" s="26" t="n">
        <x:f>E63-D63</x:f>
        <x:v>0</x:v>
      </x:c>
      <x:c r="G63" s="8" t="str">
        <x:v>Напечатанный итог сохранён; произведение показано для контроля.</x:v>
      </x:c>
    </x:row>
    <x:row r="64" ht="78" customHeight="1">
      <x:c r="A64" s="21" t="n">
        <x:v>1886</x:v>
      </x:c>
      <x:c r="B64" s="27" t="n">
        <x:v>64414</x:v>
      </x:c>
      <x:c r="C64" s="27" t="n">
        <x:v>5</x:v>
      </x:c>
      <x:c r="D64" s="27" t="n">
        <x:f>B64*C64</x:f>
        <x:v>322070</x:v>
      </x:c>
      <x:c r="E64" s="27" t="n">
        <x:v>322070</x:v>
      </x:c>
      <x:c r="F64" s="27" t="n">
        <x:f>E64-D64</x:f>
        <x:v>0</x:v>
      </x:c>
      <x:c r="G64" s="15" t="str">
        <x:v>Напечатанный итог сохранён; произведение показано для контроля.</x:v>
      </x:c>
    </x:row>
    <x:row r="65" ht="78" customHeight="1">
      <x:c r="A65" s="20" t="n">
        <x:v>1887</x:v>
      </x:c>
      <x:c r="B65" s="26" t="n">
        <x:v>65783</x:v>
      </x:c>
      <x:c r="C65" s="26" t="n">
        <x:v>5</x:v>
      </x:c>
      <x:c r="D65" s="26" t="n">
        <x:f>B65*C65</x:f>
        <x:v>328915</x:v>
      </x:c>
      <x:c r="E65" s="26" t="n">
        <x:v>328915</x:v>
      </x:c>
      <x:c r="F65" s="26" t="n">
        <x:f>E65-D65</x:f>
        <x:v>0</x:v>
      </x:c>
      <x:c r="G65" s="8" t="str">
        <x:v>Напечатанный итог сохранён; произведение показано для контроля.</x:v>
      </x:c>
    </x:row>
    <x:row r="66" ht="78" customHeight="1">
      <x:c r="A66" s="21" t="n">
        <x:v>1888</x:v>
      </x:c>
      <x:c r="B66" s="27" t="n">
        <x:v>65907</x:v>
      </x:c>
      <x:c r="C66" s="27" t="n">
        <x:v>5</x:v>
      </x:c>
      <x:c r="D66" s="27" t="n">
        <x:f>B66*C66</x:f>
        <x:v>329535</x:v>
      </x:c>
      <x:c r="E66" s="27" t="n">
        <x:v>329545</x:v>
      </x:c>
      <x:c r="F66" s="27" t="n">
        <x:f>E66-D66</x:f>
        <x:v>10</x:v>
      </x:c>
      <x:c r="G66" s="15" t="str">
        <x:v>Напечатанный итог сохранён; произведение показано для контроля.</x:v>
      </x:c>
    </x:row>
    <x:row r="67" ht="78" customHeight="1">
      <x:c r="A67" s="20" t="n">
        <x:v>1889</x:v>
      </x:c>
      <x:c r="B67" s="26" t="n">
        <x:v>68402</x:v>
      </x:c>
      <x:c r="C67" s="26" t="n">
        <x:v>5</x:v>
      </x:c>
      <x:c r="D67" s="26" t="n">
        <x:f>B67*C67</x:f>
        <x:v>342010</x:v>
      </x:c>
      <x:c r="E67" s="26" t="n">
        <x:v>342011</x:v>
      </x:c>
      <x:c r="F67" s="26" t="n">
        <x:f>E67-D67</x:f>
        <x:v>1</x:v>
      </x:c>
      <x:c r="G67" s="8" t="str">
        <x:v>Напечатанный итог сохранён; произведение показано для контроля.</x:v>
      </x:c>
    </x:row>
    <x:row r="71" ht="26" customHeight="1">
      <x:c r="A71" s="4" t="str">
        <x:v>Кочевое движение 1896: доступные записи</x:v>
      </x:c>
    </x:row>
    <x:row r="73" ht="52" customHeight="1">
      <x:c r="A73" s="12" t="str">
        <x:v>Год</x:v>
      </x:c>
      <x:c r="B73" s="13" t="str">
        <x:v>Уезд</x:v>
      </x:c>
      <x:c r="C73" s="13" t="str">
        <x:v>Рождения</x:v>
      </x:c>
      <x:c r="D73" s="13" t="str">
        <x:v>Смерти</x:v>
      </x:c>
      <x:c r="E73" s="13" t="str">
        <x:v>Охват</x:v>
      </x:c>
      <x:c r="F73" s="14" t="str">
        <x:v>RAW PDF</x:v>
      </x:c>
    </x:row>
    <x:row r="74" ht="46" customHeight="1">
      <x:c r="A74" s="20" t="n">
        <x:v>1896</x:v>
      </x:c>
      <x:c r="B74" s="8" t="str">
        <x:v>Актюбинский</x:v>
      </x:c>
      <x:c r="C74" s="26" t="n">
        <x:v>1228</x:v>
      </x:c>
      <x:c r="D74" s="26" t="n">
        <x:v>935</x:v>
      </x:c>
      <x:c r="E74" s="8" t="str">
        <x:v>5 из 12 волостей</x:v>
      </x:c>
      <x:c r="F74" s="26" t="n">
        <x:v>73</x:v>
      </x:c>
    </x:row>
    <x:row r="75" ht="36" customHeight="1">
      <x:c r="A75" s="21" t="n">
        <x:v>1896</x:v>
      </x:c>
      <x:c r="B75" s="15" t="str">
        <x:v>Кустанайский</x:v>
      </x:c>
      <x:c r="C75" s="27" t="n">
        <x:v>4155</x:v>
      </x:c>
      <x:c r="D75" s="27" t="n">
        <x:v>2418</x:v>
      </x:c>
      <x:c r="E75" s="15" t="str">
        <x:v>Представлен</x:v>
      </x:c>
      <x:c r="F75" s="27" t="n">
        <x:v>73</x:v>
      </x:c>
    </x:row>
    <x:row r="76" ht="36" customHeight="1">
      <x:c r="A76" s="20" t="n">
        <x:v>1896</x:v>
      </x:c>
      <x:c r="B76" s="8" t="str">
        <x:v>Тургайский</x:v>
      </x:c>
      <x:c r="C76" s="26" t="n">
        <x:v>2330</x:v>
      </x:c>
      <x:c r="D76" s="26" t="n">
        <x:v>925</x:v>
      </x:c>
      <x:c r="E76" s="8" t="str">
        <x:v>Представлен</x:v>
      </x:c>
      <x:c r="F76" s="26" t="n">
        <x:v>73</x:v>
      </x:c>
    </x:row>
    <x:row r="77" ht="36" customHeight="1">
      <x:c r="A77" s="21" t="n">
        <x:v>1896</x:v>
      </x:c>
      <x:c r="B77" s="15" t="str">
        <x:v>Иргизский</x:v>
      </x:c>
      <x:c r="C77" s="27"/>
      <x:c r="D77" s="27"/>
      <x:c r="E77" s="15" t="str">
        <x:v>Сведений нет</x:v>
      </x:c>
      <x:c r="F77" s="27" t="n">
        <x:v>73</x:v>
      </x:c>
    </x:row>
    <x:row r="81" ht="26" customHeight="1">
      <x:c r="A81" s="4" t="str">
        <x:v>Кочевой прирост, отдельно названный в тексте</x:v>
      </x:c>
    </x:row>
    <x:row r="83" ht="52" customHeight="1">
      <x:c r="A83" s="12" t="str">
        <x:v>Год</x:v>
      </x:c>
      <x:c r="B83" s="13" t="str">
        <x:v>Тип числа</x:v>
      </x:c>
      <x:c r="C83" s="13" t="str">
        <x:v>Людей</x:v>
      </x:c>
      <x:c r="D83" s="14" t="str">
        <x:v>Источник и оговорка</x:v>
      </x:c>
    </x:row>
    <x:row r="84" ht="46" customHeight="1">
      <x:c r="A84" s="20" t="n">
        <x:v>1894</x:v>
      </x:c>
      <x:c r="B84" s="8" t="str">
        <x:v>Названо в тексте</x:v>
      </x:c>
      <x:c r="C84" s="26" t="n">
        <x:v>2058</x:v>
      </x:c>
      <x:c r="D84" s="8" t="str">
        <x:v>С.30 / PDF31. Источник признаёт число не вполне достоверным; компонентов рождений и смертей нет.</x:v>
      </x:c>
    </x:row>
    <x:row r="85" ht="46" customHeight="1">
      <x:c r="A85" s="21" t="n">
        <x:v>1896</x:v>
      </x:c>
      <x:c r="B85" s="15" t="str">
        <x:v>Оценка по двум уездам</x:v>
      </x:c>
      <x:c r="C85" s="27" t="n">
        <x:v>6000</x:v>
      </x:c>
      <x:c r="D85" s="15" t="str">
        <x:v>С.22 / PDF28. Приблизительная оценка; сумма имеющихся записей ведомости даёт 3,435.</x:v>
      </x:c>
    </x:row>
    <x:row r="89" ht="26" customHeight="1">
      <x:c r="A89" s="4" t="str">
        <x:v>Сословное деление 1900–1901</x:v>
      </x:c>
    </x:row>
    <x:row r="91" ht="52" customHeight="1">
      <x:c r="A91" s="12" t="str">
        <x:v>Выпуск</x:v>
      </x:c>
      <x:c r="B91" s="13" t="str">
        <x:v>Киргизское сословие</x:v>
      </x:c>
      <x:c r="C91" s="13" t="str">
        <x:v>Другие сословия</x:v>
      </x:c>
      <x:c r="D91" s="13" t="str">
        <x:v>Общий итог</x:v>
      </x:c>
      <x:c r="E91" s="14" t="str">
        <x:v>Ограничение</x:v>
      </x:c>
    </x:row>
    <x:row r="92" ht="110" customHeight="1">
      <x:c r="A92" s="20" t="n">
        <x:v>1900</x:v>
      </x:c>
      <x:c r="B92" s="26" t="n">
        <x:v>417127</x:v>
      </x:c>
      <x:c r="C92" s="26" t="n">
        <x:f>D92-B92</x:f>
        <x:v>44389</x:v>
      </x:c>
      <x:c r="D92" s="26" t="n">
        <x:v>461516</x:v>
      </x:c>
      <x:c r="E92" s="8" t="str">
        <x:v>Включает городских казахов. Разделение по образу жизни из этих чисел не установлено.</x:v>
      </x:c>
    </x:row>
    <x:row r="93" ht="110" customHeight="1">
      <x:c r="A93" s="21" t="n">
        <x:v>1901</x:v>
      </x:c>
      <x:c r="B93" s="27" t="n">
        <x:v>422368</x:v>
      </x:c>
      <x:c r="C93" s="27" t="n">
        <x:f>D93-B93</x:f>
        <x:v>66511</x:v>
      </x:c>
      <x:c r="D93" s="27" t="n">
        <x:v>488879</x:v>
      </x:c>
      <x:c r="E93" s="15" t="str">
        <x:v>Включает городских казахов. Разделение по образу жизни из этих чисел не установлено.</x:v>
      </x:c>
    </x:row>
    <x:row r="97" ht="26" customHeight="1">
      <x:c r="A97" s="4" t="str">
        <x:v>1908: две версии рождений и смертей</x:v>
      </x:c>
    </x:row>
    <x:row r="99" ht="52" customHeight="1">
      <x:c r="A99" s="12" t="str">
        <x:v>Год</x:v>
      </x:c>
      <x:c r="B99" s="13" t="str">
        <x:v>Версия</x:v>
      </x:c>
      <x:c r="C99" s="13" t="str">
        <x:v>Рождения
оседлые</x:v>
      </x:c>
      <x:c r="D99" s="13" t="str">
        <x:v>Рождения
кочевые</x:v>
      </x:c>
      <x:c r="E99" s="13" t="str">
        <x:v>Сумма
рождений</x:v>
      </x:c>
      <x:c r="F99" s="13" t="str">
        <x:v>Смерти
оседлые</x:v>
      </x:c>
      <x:c r="G99" s="13" t="str">
        <x:v>Смерти
кочевые</x:v>
      </x:c>
      <x:c r="H99" s="13" t="str">
        <x:v>Сумма
смертей</x:v>
      </x:c>
      <x:c r="I99" s="13" t="str">
        <x:v>Прирост
по разности</x:v>
      </x:c>
      <x:c r="J99" s="13" t="str">
        <x:v>Прирост
в печати</x:v>
      </x:c>
      <x:c r="K99" s="13" t="str">
        <x:v>Разница
прироста</x:v>
      </x:c>
      <x:c r="L99" s="13" t="str">
        <x:v>Общий итог
смертей в печати</x:v>
      </x:c>
      <x:c r="M99" s="14" t="str">
        <x:v>Источник</x:v>
      </x:c>
    </x:row>
    <x:row r="100" ht="36" customHeight="1">
      <x:c r="A100" s="20" t="n">
        <x:v>1908</x:v>
      </x:c>
      <x:c r="B100" s="8" t="str">
        <x:v>Текст; версия A</x:v>
      </x:c>
      <x:c r="C100" s="26" t="n">
        <x:v>10607</x:v>
      </x:c>
      <x:c r="D100" s="26" t="n">
        <x:v>14120</x:v>
      </x:c>
      <x:c r="E100" s="26" t="n">
        <x:f>SUM(C100:D100)</x:f>
        <x:v>24727</x:v>
      </x:c>
      <x:c r="F100" s="26" t="n">
        <x:v>7059</x:v>
      </x:c>
      <x:c r="G100" s="26" t="n">
        <x:v>8687</x:v>
      </x:c>
      <x:c r="H100" s="26" t="n">
        <x:f>SUM(F100:G100)</x:f>
        <x:v>15746</x:v>
      </x:c>
      <x:c r="I100" s="26" t="n">
        <x:f>E100-H100</x:f>
        <x:v>8981</x:v>
      </x:c>
      <x:c r="J100" s="26" t="n">
        <x:v>9982</x:v>
      </x:c>
      <x:c r="K100" s="26" t="n">
        <x:f>J100-I100</x:f>
        <x:v>1001</x:v>
      </x:c>
      <x:c r="L100" s="26"/>
      <x:c r="M100" s="8" t="str">
        <x:v>с.2 / PDF8; вед.4 / PDF46</x:v>
      </x:c>
    </x:row>
    <x:row r="101" ht="36" customHeight="1">
      <x:c r="A101" s="21" t="n">
        <x:v>1908</x:v>
      </x:c>
      <x:c r="B101" s="15" t="str">
        <x:v>Вед.4; версия B</x:v>
      </x:c>
      <x:c r="C101" s="27" t="n">
        <x:v>11334</x:v>
      </x:c>
      <x:c r="D101" s="27" t="n">
        <x:v>14859</x:v>
      </x:c>
      <x:c r="E101" s="27" t="n">
        <x:f>SUM(C101:D101)</x:f>
        <x:v>26193</x:v>
      </x:c>
      <x:c r="F101" s="27" t="n">
        <x:v>7420</x:v>
      </x:c>
      <x:c r="G101" s="27" t="n">
        <x:v>9342</x:v>
      </x:c>
      <x:c r="H101" s="27" t="n">
        <x:f>SUM(F101:G101)</x:f>
        <x:v>16762</x:v>
      </x:c>
      <x:c r="I101" s="27" t="n">
        <x:f>E101-H101</x:f>
        <x:v>9431</x:v>
      </x:c>
      <x:c r="J101" s="27" t="n">
        <x:v>9431</x:v>
      </x:c>
      <x:c r="K101" s="27" t="n">
        <x:f>J101-I101</x:f>
        <x:v>0</x:v>
      </x:c>
      <x:c r="L101" s="27"/>
      <x:c r="M101" s="15" t="str">
        <x:v>вед.4 / PDF45-46</x:v>
      </x:c>
    </x:row>
    <x:row r="105" ht="26" customHeight="1">
      <x:c r="A105" s="4" t="str">
        <x:v>Население на начало года, табл.3</x:v>
      </x:c>
    </x:row>
    <x:row r="107" ht="52" customHeight="1">
      <x:c r="A107" s="12" t="str">
        <x:v>Год выпуска</x:v>
      </x:c>
      <x:c r="B107" s="13" t="str">
        <x:v>Дата оценки</x:v>
      </x:c>
      <x:c r="C107" s="13" t="str">
        <x:v>Оседлое, чел.</x:v>
      </x:c>
      <x:c r="D107" s="13" t="str">
        <x:v>Кочевое, чел.</x:v>
      </x:c>
      <x:c r="E107" s="14" t="str">
        <x:v>Всего, чел.</x:v>
      </x:c>
    </x:row>
    <x:row r="108" ht="36" customHeight="1">
      <x:c r="A108" s="20" t="n">
        <x:v>1910</x:v>
      </x:c>
      <x:c r="B108" s="8" t="str">
        <x:v>01.01.1910</x:v>
      </x:c>
      <x:c r="C108" s="26" t="n">
        <x:v>227760</x:v>
      </x:c>
      <x:c r="D108" s="26" t="n">
        <x:v>452750</x:v>
      </x:c>
      <x:c r="E108" s="26" t="n">
        <x:f>SUM(C108:D108)</x:f>
        <x:v>680510</x:v>
      </x:c>
    </x:row>
    <x:row r="109" ht="36" customHeight="1">
      <x:c r="A109" s="21" t="n">
        <x:v>1911</x:v>
      </x:c>
      <x:c r="B109" s="15" t="str">
        <x:v>01.01.1911</x:v>
      </x:c>
      <x:c r="C109" s="27" t="n">
        <x:v>250872</x:v>
      </x:c>
      <x:c r="D109" s="27" t="n">
        <x:v>461743</x:v>
      </x:c>
      <x:c r="E109" s="27" t="n">
        <x:f>SUM(C109:D109)</x:f>
        <x:v>712615</x:v>
      </x:c>
    </x:row>
    <x:row r="110" ht="36" customHeight="1">
      <x:c r="A110" s="20" t="n">
        <x:v>1912</x:v>
      </x:c>
      <x:c r="B110" s="8" t="str">
        <x:v>01.01.1912</x:v>
      </x:c>
      <x:c r="C110" s="26" t="n">
        <x:v>279034</x:v>
      </x:c>
      <x:c r="D110" s="26" t="n">
        <x:v>470109</x:v>
      </x:c>
      <x:c r="E110" s="26" t="n">
        <x:f>SUM(C110:D110)</x:f>
        <x:v>749143</x:v>
      </x:c>
    </x:row>
    <x:row r="111" ht="36" customHeight="1">
      <x:c r="A111" s="21" t="n">
        <x:v>1913</x:v>
      </x:c>
      <x:c r="B111" s="15" t="str">
        <x:v>01.01.1913</x:v>
      </x:c>
      <x:c r="C111" s="27" t="n">
        <x:v>318168</x:v>
      </x:c>
      <x:c r="D111" s="27" t="n">
        <x:v>480569</x:v>
      </x:c>
      <x:c r="E111" s="27" t="n">
        <x:f>SUM(C111:D111)</x:f>
        <x:v>798737</x:v>
      </x:c>
    </x:row>
    <x:row r="112" ht="36" customHeight="1">
      <x:c r="A112" s="20" t="n">
        <x:v>1914</x:v>
      </x:c>
      <x:c r="B112" s="8" t="str">
        <x:v>01.01.1914</x:v>
      </x:c>
      <x:c r="C112" s="26" t="n">
        <x:v>334968</x:v>
      </x:c>
      <x:c r="D112" s="26" t="n">
        <x:v>488917</x:v>
      </x:c>
      <x:c r="E112" s="26" t="n">
        <x:f>SUM(C112:D112)</x:f>
        <x:v>823885</x:v>
      </x:c>
    </x:row>
    <x:row r="113" ht="36" customHeight="1">
      <x:c r="A113" s="21" t="n">
        <x:v>1915</x:v>
      </x:c>
      <x:c r="B113" s="15" t="str">
        <x:v>01.01.1915</x:v>
      </x:c>
      <x:c r="C113" s="27" t="n">
        <x:v>343890</x:v>
      </x:c>
      <x:c r="D113" s="27" t="n">
        <x:v>498516</x:v>
      </x:c>
      <x:c r="E113" s="27" t="n">
        <x:f>SUM(C113:D113)</x:f>
        <x:v>842406</x:v>
      </x:c>
    </x:row>
    <x:row r="117" ht="26" customHeight="1">
      <x:c r="A117" s="4" t="str">
        <x:v>Население 1910–1915: областные итоги по полу</x:v>
      </x:c>
    </x:row>
    <x:row r="119" ht="52" customHeight="1">
      <x:c r="A119" s="12" t="str">
        <x:v>Год</x:v>
      </x:c>
      <x:c r="B119" s="13" t="str">
        <x:v>Начало:
оседлые М</x:v>
      </x:c>
      <x:c r="C119" s="13" t="str">
        <x:v>Начало:
оседлые Ж</x:v>
      </x:c>
      <x:c r="D119" s="13" t="str">
        <x:v>Начало:
кочевые М</x:v>
      </x:c>
      <x:c r="E119" s="13" t="str">
        <x:v>Начало:
кочевые Ж</x:v>
      </x:c>
      <x:c r="F119" s="13" t="str">
        <x:v>Конец:
оседлые М</x:v>
      </x:c>
      <x:c r="G119" s="13" t="str">
        <x:v>Конец:
оседлые Ж</x:v>
      </x:c>
      <x:c r="H119" s="13" t="str">
        <x:v>Конец:
кочевые М</x:v>
      </x:c>
      <x:c r="I119" s="14" t="str">
        <x:v>Конец:
кочевые Ж</x:v>
      </x:c>
    </x:row>
    <x:row r="120" ht="36" customHeight="1">
      <x:c r="A120" s="20" t="n">
        <x:v>1910</x:v>
      </x:c>
      <x:c r="B120" s="26" t="n">
        <x:v>119768</x:v>
      </x:c>
      <x:c r="C120" s="26" t="n">
        <x:v>107992</x:v>
      </x:c>
      <x:c r="D120" s="26" t="n">
        <x:v>239410</x:v>
      </x:c>
      <x:c r="E120" s="26" t="n">
        <x:v>213340</x:v>
      </x:c>
      <x:c r="F120" s="26" t="n">
        <x:v>132168</x:v>
      </x:c>
      <x:c r="G120" s="26" t="n">
        <x:v>118704</x:v>
      </x:c>
      <x:c r="H120" s="26" t="n">
        <x:v>244505</x:v>
      </x:c>
      <x:c r="I120" s="26" t="n">
        <x:v>217238</x:v>
      </x:c>
    </x:row>
    <x:row r="121" ht="36" customHeight="1">
      <x:c r="A121" s="21" t="n">
        <x:v>1911</x:v>
      </x:c>
      <x:c r="B121" s="27" t="n">
        <x:v>132168</x:v>
      </x:c>
      <x:c r="C121" s="27" t="n">
        <x:v>118704</x:v>
      </x:c>
      <x:c r="D121" s="27" t="n">
        <x:v>244505</x:v>
      </x:c>
      <x:c r="E121" s="27" t="n">
        <x:v>217238</x:v>
      </x:c>
      <x:c r="F121" s="27" t="n">
        <x:v>146591</x:v>
      </x:c>
      <x:c r="G121" s="27" t="n">
        <x:v>132443</x:v>
      </x:c>
      <x:c r="H121" s="27" t="n">
        <x:v>248975</x:v>
      </x:c>
      <x:c r="I121" s="27" t="n">
        <x:v>221134</x:v>
      </x:c>
    </x:row>
    <x:row r="122" ht="36" customHeight="1">
      <x:c r="A122" s="20" t="n">
        <x:v>1912</x:v>
      </x:c>
      <x:c r="B122" s="26" t="n">
        <x:v>146591</x:v>
      </x:c>
      <x:c r="C122" s="26" t="n">
        <x:v>132443</x:v>
      </x:c>
      <x:c r="D122" s="26" t="n">
        <x:v>248975</x:v>
      </x:c>
      <x:c r="E122" s="26" t="n">
        <x:v>221134</x:v>
      </x:c>
      <x:c r="F122" s="26" t="n">
        <x:v>164096</x:v>
      </x:c>
      <x:c r="G122" s="26" t="n">
        <x:v>154072</x:v>
      </x:c>
      <x:c r="H122" s="26" t="n">
        <x:v>255311</x:v>
      </x:c>
      <x:c r="I122" s="26" t="n">
        <x:v>225258</x:v>
      </x:c>
    </x:row>
    <x:row r="123" ht="36" customHeight="1">
      <x:c r="A123" s="21" t="n">
        <x:v>1913</x:v>
      </x:c>
      <x:c r="B123" s="27" t="n">
        <x:v>164096</x:v>
      </x:c>
      <x:c r="C123" s="27" t="n">
        <x:v>154072</x:v>
      </x:c>
      <x:c r="D123" s="27" t="n">
        <x:v>255311</x:v>
      </x:c>
      <x:c r="E123" s="27" t="n">
        <x:v>225258</x:v>
      </x:c>
      <x:c r="F123" s="27" t="n">
        <x:v>172982</x:v>
      </x:c>
      <x:c r="G123" s="27" t="n">
        <x:v>161986</x:v>
      </x:c>
      <x:c r="H123" s="27" t="n">
        <x:v>259833</x:v>
      </x:c>
      <x:c r="I123" s="27" t="n">
        <x:v>229084</x:v>
      </x:c>
    </x:row>
    <x:row r="124" ht="36" customHeight="1">
      <x:c r="A124" s="20" t="n">
        <x:v>1914</x:v>
      </x:c>
      <x:c r="B124" s="26" t="n">
        <x:v>172982</x:v>
      </x:c>
      <x:c r="C124" s="26" t="n">
        <x:v>161986</x:v>
      </x:c>
      <x:c r="D124" s="26" t="n">
        <x:v>259833</x:v>
      </x:c>
      <x:c r="E124" s="26" t="n">
        <x:v>229084</x:v>
      </x:c>
      <x:c r="F124" s="26" t="n">
        <x:v>175294</x:v>
      </x:c>
      <x:c r="G124" s="26" t="n">
        <x:v>168596</x:v>
      </x:c>
      <x:c r="H124" s="26" t="n">
        <x:v>264892</x:v>
      </x:c>
      <x:c r="I124" s="26" t="n">
        <x:v>233624</x:v>
      </x:c>
    </x:row>
    <x:row r="125" ht="36" customHeight="1">
      <x:c r="A125" s="21" t="n">
        <x:v>1915</x:v>
      </x:c>
      <x:c r="B125" s="27" t="n">
        <x:v>175294</x:v>
      </x:c>
      <x:c r="C125" s="27" t="n">
        <x:v>168596</x:v>
      </x:c>
      <x:c r="D125" s="27" t="n">
        <x:v>264892</x:v>
      </x:c>
      <x:c r="E125" s="27" t="n">
        <x:v>233624</x:v>
      </x:c>
      <x:c r="F125" s="27" t="n">
        <x:v>173787</x:v>
      </x:c>
      <x:c r="G125" s="27" t="n">
        <x:v>173491</x:v>
      </x:c>
      <x:c r="H125" s="27" t="n">
        <x:v>270374</x:v>
      </x:c>
      <x:c r="I125" s="27" t="n">
        <x:v>236964</x:v>
      </x:c>
    </x:row>
    <x:row r="129" ht="26" customHeight="1">
      <x:c r="A129" s="4" t="str">
        <x:v>Рождения и смерти 1910–1915: областные итоги по полу</x:v>
      </x:c>
    </x:row>
    <x:row r="131" ht="52" customHeight="1">
      <x:c r="A131" s="12" t="str">
        <x:v>Год</x:v>
      </x:c>
      <x:c r="B131" s="13" t="str">
        <x:v>Рождения:
оседлые М</x:v>
      </x:c>
      <x:c r="C131" s="13" t="str">
        <x:v>Рождения:
оседлые Ж</x:v>
      </x:c>
      <x:c r="D131" s="13" t="str">
        <x:v>Рождения:
кочевые М</x:v>
      </x:c>
      <x:c r="E131" s="13" t="str">
        <x:v>Рождения:
кочевые Ж</x:v>
      </x:c>
      <x:c r="F131" s="13" t="str">
        <x:v>Смерти:
оседлые М</x:v>
      </x:c>
      <x:c r="G131" s="13" t="str">
        <x:v>Смерти:
оседлые Ж</x:v>
      </x:c>
      <x:c r="H131" s="13" t="str">
        <x:v>Смерти:
кочевые М</x:v>
      </x:c>
      <x:c r="I131" s="14" t="str">
        <x:v>Смерти:
кочевые Ж</x:v>
      </x:c>
    </x:row>
    <x:row r="132" ht="36" customHeight="1">
      <x:c r="A132" s="20" t="n">
        <x:v>1910</x:v>
      </x:c>
      <x:c r="B132" s="26" t="n">
        <x:v>7075</x:v>
      </x:c>
      <x:c r="C132" s="26" t="n">
        <x:v>6587</x:v>
      </x:c>
      <x:c r="D132" s="26" t="n">
        <x:v>7929</x:v>
      </x:c>
      <x:c r="E132" s="26" t="n">
        <x:v>7615</x:v>
      </x:c>
      <x:c r="F132" s="26" t="n">
        <x:v>5226</x:v>
      </x:c>
      <x:c r="G132" s="26" t="n">
        <x:v>4602</x:v>
      </x:c>
      <x:c r="H132" s="26" t="n">
        <x:v>5586</x:v>
      </x:c>
      <x:c r="I132" s="26" t="n">
        <x:v>5143</x:v>
      </x:c>
    </x:row>
    <x:row r="133" ht="36" customHeight="1">
      <x:c r="A133" s="21" t="n">
        <x:v>1911</x:v>
      </x:c>
      <x:c r="B133" s="27" t="n">
        <x:v>8190</x:v>
      </x:c>
      <x:c r="C133" s="27" t="n">
        <x:v>7211</x:v>
      </x:c>
      <x:c r="D133" s="27" t="n">
        <x:v>10185</x:v>
      </x:c>
      <x:c r="E133" s="27" t="n">
        <x:v>8740</x:v>
      </x:c>
      <x:c r="F133" s="27" t="n">
        <x:v>5677</x:v>
      </x:c>
      <x:c r="G133" s="27" t="n">
        <x:v>5283</x:v>
      </x:c>
      <x:c r="H133" s="27" t="n">
        <x:v>5799</x:v>
      </x:c>
      <x:c r="I133" s="27" t="n">
        <x:v>5250</x:v>
      </x:c>
    </x:row>
    <x:row r="134" ht="36" customHeight="1">
      <x:c r="A134" s="20" t="n">
        <x:v>1912</x:v>
      </x:c>
      <x:c r="B134" s="26" t="n">
        <x:v>8629</x:v>
      </x:c>
      <x:c r="C134" s="26" t="n">
        <x:v>11592</x:v>
      </x:c>
      <x:c r="D134" s="26" t="n">
        <x:v>12209</x:v>
      </x:c>
      <x:c r="E134" s="26" t="n">
        <x:v>9281</x:v>
      </x:c>
      <x:c r="F134" s="26" t="n">
        <x:v>4687</x:v>
      </x:c>
      <x:c r="G134" s="26" t="n">
        <x:v>3605</x:v>
      </x:c>
      <x:c r="H134" s="26" t="n">
        <x:v>5956</x:v>
      </x:c>
      <x:c r="I134" s="26" t="n">
        <x:v>5563</x:v>
      </x:c>
    </x:row>
    <x:row r="135" ht="36" customHeight="1">
      <x:c r="A135" s="21" t="n">
        <x:v>1913</x:v>
      </x:c>
      <x:c r="B135" s="27" t="n">
        <x:v>9462</x:v>
      </x:c>
      <x:c r="C135" s="27" t="n">
        <x:v>8843</x:v>
      </x:c>
      <x:c r="D135" s="27" t="n">
        <x:v>10881</x:v>
      </x:c>
      <x:c r="E135" s="27" t="n">
        <x:v>9617</x:v>
      </x:c>
      <x:c r="F135" s="27" t="n">
        <x:v>6126</x:v>
      </x:c>
      <x:c r="G135" s="27" t="n">
        <x:v>5451</x:v>
      </x:c>
      <x:c r="H135" s="27" t="n">
        <x:v>6193</x:v>
      </x:c>
      <x:c r="I135" s="27" t="n">
        <x:v>5637</x:v>
      </x:c>
    </x:row>
    <x:row r="136" ht="36" customHeight="1">
      <x:c r="A136" s="20" t="n">
        <x:v>1914</x:v>
      </x:c>
      <x:c r="B136" s="26" t="n">
        <x:v>8904</x:v>
      </x:c>
      <x:c r="C136" s="26" t="n">
        <x:v>8701</x:v>
      </x:c>
      <x:c r="D136" s="26" t="n">
        <x:v>11836</x:v>
      </x:c>
      <x:c r="E136" s="26" t="n">
        <x:v>10504</x:v>
      </x:c>
      <x:c r="F136" s="26" t="n">
        <x:v>6005</x:v>
      </x:c>
      <x:c r="G136" s="26" t="n">
        <x:v>5359</x:v>
      </x:c>
      <x:c r="H136" s="26" t="n">
        <x:v>7595</x:v>
      </x:c>
      <x:c r="I136" s="26" t="n">
        <x:v>5958</x:v>
      </x:c>
    </x:row>
    <x:row r="137" ht="36" customHeight="1">
      <x:c r="A137" s="21" t="n">
        <x:v>1915</x:v>
      </x:c>
      <x:c r="B137" s="27" t="n">
        <x:v>7682</x:v>
      </x:c>
      <x:c r="C137" s="27" t="n">
        <x:v>7268</x:v>
      </x:c>
      <x:c r="D137" s="27" t="n">
        <x:v>13399</x:v>
      </x:c>
      <x:c r="E137" s="27" t="n">
        <x:v>10378</x:v>
      </x:c>
      <x:c r="F137" s="27" t="n">
        <x:v>6007</x:v>
      </x:c>
      <x:c r="G137" s="27" t="n">
        <x:v>5124</x:v>
      </x:c>
      <x:c r="H137" s="27" t="n">
        <x:v>7880</x:v>
      </x:c>
      <x:c r="I137" s="27" t="n">
        <x:v>6787</x:v>
      </x:c>
    </x:row>
    <x:row r="141" ht="26" customHeight="1">
      <x:c r="A141" s="4" t="str">
        <x:v>Миграция 1910–1915: буквальные заголовки по полу</x:v>
      </x:c>
    </x:row>
    <x:row r="143" ht="52" customHeight="1">
      <x:c r="A143" s="12" t="str">
        <x:v>Год</x:v>
      </x:c>
      <x:c r="B143" s="13" t="str">
        <x:v>Переселилось:
оседлые М</x:v>
      </x:c>
      <x:c r="C143" s="13" t="str">
        <x:v>Переселилось:
оседлые Ж</x:v>
      </x:c>
      <x:c r="D143" s="13" t="str">
        <x:v>Переселилось:
кочевые М</x:v>
      </x:c>
      <x:c r="E143" s="13" t="str">
        <x:v>Переселилось:
кочевые Ж</x:v>
      </x:c>
      <x:c r="F143" s="13" t="str">
        <x:v>Выбыло:
оседлые М</x:v>
      </x:c>
      <x:c r="G143" s="13" t="str">
        <x:v>Выбыло:
оседлые Ж</x:v>
      </x:c>
      <x:c r="H143" s="13" t="str">
        <x:v>Выбыло:
кочевые М</x:v>
      </x:c>
      <x:c r="I143" s="14" t="str">
        <x:v>Выбыло:
кочевые Ж</x:v>
      </x:c>
    </x:row>
    <x:row r="144" ht="36" customHeight="1">
      <x:c r="A144" s="20" t="n">
        <x:v>1910</x:v>
      </x:c>
      <x:c r="B144" s="26" t="n">
        <x:v>14218</x:v>
      </x:c>
      <x:c r="C144" s="26" t="n">
        <x:v>12132</x:v>
      </x:c>
      <x:c r="D144" s="26" t="n">
        <x:v>3602</x:v>
      </x:c>
      <x:c r="E144" s="26" t="n">
        <x:v>2561</x:v>
      </x:c>
      <x:c r="F144" s="26" t="n">
        <x:v>3798</x:v>
      </x:c>
      <x:c r="G144" s="26" t="n">
        <x:v>3333</x:v>
      </x:c>
      <x:c r="H144" s="26" t="n">
        <x:v>850</x:v>
      </x:c>
      <x:c r="I144" s="26" t="n">
        <x:v>1135</x:v>
      </x:c>
    </x:row>
    <x:row r="145" ht="36" customHeight="1">
      <x:c r="A145" s="21" t="n">
        <x:v>1911</x:v>
      </x:c>
      <x:c r="B145" s="27" t="n">
        <x:v>18918</x:v>
      </x:c>
      <x:c r="C145" s="27" t="n">
        <x:v>17700</x:v>
      </x:c>
      <x:c r="D145" s="27" t="n">
        <x:v>1631</x:v>
      </x:c>
      <x:c r="E145" s="27" t="n">
        <x:v>1731</x:v>
      </x:c>
      <x:c r="F145" s="27" t="n">
        <x:v>7009</x:v>
      </x:c>
      <x:c r="G145" s="27" t="n">
        <x:v>5889</x:v>
      </x:c>
      <x:c r="H145" s="27" t="n">
        <x:v>1547</x:v>
      </x:c>
      <x:c r="I145" s="27" t="n">
        <x:v>1444</x:v>
      </x:c>
    </x:row>
    <x:row r="146" ht="36" customHeight="1">
      <x:c r="A146" s="20" t="n">
        <x:v>1912</x:v>
      </x:c>
      <x:c r="B146" s="26" t="n">
        <x:v>19014</x:v>
      </x:c>
      <x:c r="C146" s="26" t="n">
        <x:v>17660</x:v>
      </x:c>
      <x:c r="D146" s="26" t="n">
        <x:v>1256</x:v>
      </x:c>
      <x:c r="E146" s="26" t="n">
        <x:v>1176</x:v>
      </x:c>
      <x:c r="F146" s="26" t="n">
        <x:v>1173</x:v>
      </x:c>
      <x:c r="G146" s="26" t="n">
        <x:v>770</x:v>
      </x:c>
      <x:c r="H146" s="26" t="n">
        <x:v>5451</x:v>
      </x:c>
      <x:c r="I146" s="26" t="n">
        <x:v>4018</x:v>
      </x:c>
    </x:row>
    <x:row r="147" ht="36" customHeight="1">
      <x:c r="A147" s="21" t="n">
        <x:v>1913</x:v>
      </x:c>
      <x:c r="B147" s="27" t="n">
        <x:v>12431</x:v>
      </x:c>
      <x:c r="C147" s="27" t="n">
        <x:v>10748</x:v>
      </x:c>
      <x:c r="D147" s="27" t="n">
        <x:v>157</x:v>
      </x:c>
      <x:c r="E147" s="27" t="n">
        <x:v>465</x:v>
      </x:c>
      <x:c r="F147" s="27" t="n">
        <x:v>7462</x:v>
      </x:c>
      <x:c r="G147" s="27" t="n">
        <x:v>6789</x:v>
      </x:c>
      <x:c r="H147" s="27" t="n">
        <x:v>323</x:v>
      </x:c>
      <x:c r="I147" s="27" t="n">
        <x:v>619</x:v>
      </x:c>
    </x:row>
    <x:row r="148" ht="36" customHeight="1">
      <x:c r="A148" s="20" t="n">
        <x:v>1914</x:v>
      </x:c>
      <x:c r="B148" s="26" t="n">
        <x:v>11442</x:v>
      </x:c>
      <x:c r="C148" s="26" t="n">
        <x:v>9659</x:v>
      </x:c>
      <x:c r="D148" s="26" t="n">
        <x:v>3451</x:v>
      </x:c>
      <x:c r="E148" s="26" t="n">
        <x:v>2289</x:v>
      </x:c>
      <x:c r="F148" s="26" t="n">
        <x:v>12029</x:v>
      </x:c>
      <x:c r="G148" s="26" t="n">
        <x:v>6391</x:v>
      </x:c>
      <x:c r="H148" s="26" t="n">
        <x:v>2633</x:v>
      </x:c>
      <x:c r="I148" s="26" t="n">
        <x:v>2295</x:v>
      </x:c>
    </x:row>
    <x:row r="149" ht="36" customHeight="1">
      <x:c r="A149" s="21" t="n">
        <x:v>1915</x:v>
      </x:c>
      <x:c r="B149" s="27" t="n">
        <x:v>6596</x:v>
      </x:c>
      <x:c r="C149" s="27" t="n">
        <x:v>6754</x:v>
      </x:c>
      <x:c r="D149" s="27" t="n">
        <x:v>2369</x:v>
      </x:c>
      <x:c r="E149" s="27" t="n">
        <x:v>2081</x:v>
      </x:c>
      <x:c r="F149" s="27" t="n">
        <x:v>9778</x:v>
      </x:c>
      <x:c r="G149" s="27" t="n">
        <x:v>4003</x:v>
      </x:c>
      <x:c r="H149" s="27" t="n">
        <x:v>2406</x:v>
      </x:c>
      <x:c r="I149" s="27" t="n">
        <x:v>2332</x:v>
      </x:c>
    </x:row>
  </x:sheetData>
  <x:pageMargins left="0.7" right="0.7" top="0.75" bottom="0.75" header="0.3" footer="0.3"/>
  <x:tableParts count="10">
    <x:tablePart xmlns:r="http://schemas.openxmlformats.org/officeDocument/2006/relationships" r:id="R5b86e32e2ce94532"/>
    <x:tablePart xmlns:r="http://schemas.openxmlformats.org/officeDocument/2006/relationships" r:id="Rbaf5e9d0d4954853"/>
    <x:tablePart xmlns:r="http://schemas.openxmlformats.org/officeDocument/2006/relationships" r:id="R88403400132149fc"/>
    <x:tablePart xmlns:r="http://schemas.openxmlformats.org/officeDocument/2006/relationships" r:id="R5ecd71f9696244af"/>
    <x:tablePart xmlns:r="http://schemas.openxmlformats.org/officeDocument/2006/relationships" r:id="R7e98b155331841e6"/>
    <x:tablePart xmlns:r="http://schemas.openxmlformats.org/officeDocument/2006/relationships" r:id="R01f6d77887574490"/>
    <x:tablePart xmlns:r="http://schemas.openxmlformats.org/officeDocument/2006/relationships" r:id="Rd8b404ded6654dc0"/>
    <x:tablePart xmlns:r="http://schemas.openxmlformats.org/officeDocument/2006/relationships" r:id="Rfcb777fefc8f4276"/>
    <x:tablePart xmlns:r="http://schemas.openxmlformats.org/officeDocument/2006/relationships" r:id="R7d4ff5e083674ae6"/>
    <x:tablePart xmlns:r="http://schemas.openxmlformats.org/officeDocument/2006/relationships" r:id="Rd12d0083af7247c9"/>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6" hidden="0" customWidth="1"/>
    <x:col min="2" max="2" width="48" hidden="0" customWidth="1"/>
    <x:col min="3" max="3" width="145" hidden="0" customWidth="1"/>
    <x:col min="4" max="4" width="66" hidden="0" customWidth="1"/>
    <x:col min="5" max="5" width="95" hidden="0" customWidth="1"/>
    <x:col min="6" max="6" width="35" hidden="0" customWidth="1"/>
  </x:cols>
  <x:sheetData>
    <x:row r="2" ht="27" customHeight="1">
      <x:c r="A2" s="1" t="str">
        <x:v>Тургайская область: полнота учёта, расхождения и источники</x:v>
      </x:c>
    </x:row>
    <x:row r="3">
      <x:c r="A3" s="3" t="str">
        <x:v>Содержательные примечания перенесены из четырёх частей. «С.» — печатная страница; PDF — страница файла с единицы.</x:v>
      </x:c>
    </x:row>
    <x:row r="5" ht="52" customHeight="1">
      <x:c r="A5" s="12" t="str">
        <x:v>Год / период</x:v>
      </x:c>
      <x:c r="B5" s="13" t="str">
        <x:v>Тема</x:v>
      </x:c>
      <x:c r="C5" s="13" t="str">
        <x:v>Пояснение</x:v>
      </x:c>
      <x:c r="D5" s="13" t="str">
        <x:v>Страницы</x:v>
      </x:c>
      <x:c r="E5" s="13" t="str">
        <x:v>Адрес источника</x:v>
      </x:c>
      <x:c r="F5" s="14" t="str">
        <x:v>Исходная часть</x:v>
      </x:c>
    </x:row>
    <x:row r="6" ht="60" customHeight="1">
      <x:c r="A6" s="8" t="str">
        <x:v>—</x:v>
      </x:c>
      <x:c r="B6" s="8" t="str">
        <x:v>Область охвата</x:v>
      </x:c>
      <x:c r="C6" s="8" t="str">
        <x:v>В терминологии источников оседлое население — пять пунктов: Тургай, Иргиз, Карабутак, Ак-Тюбе, Кустанай. Военные команды прямо включены в ранние оценки. Это не независимая перепись всех жителей, ведущих оседлый образ жизни.</x:v>
      </x:c>
      <x:c r="D6" s="8" t="str">
        <x:v>Обзоры 1881–1889</x:v>
      </x:c>
      <x:c r="E6" s="8" t="str">
        <x:v>https://archive.org/details/obzor_turgaiskoi_oblasti</x:v>
      </x:c>
      <x:c r="F6" s="8" t="str">
        <x:v>Turgaiskaia_188x(1).xlsx</x:v>
      </x:c>
    </x:row>
    <x:row r="7" ht="64" customHeight="1">
      <x:c r="A7" s="15" t="str">
        <x:v>—</x:v>
      </x:c>
      <x:c r="B7" s="15" t="str">
        <x:v>Числа и пропуски</x:v>
      </x:c>
      <x:c r="C7" s="15" t="str">
        <x:v>Все количества людей даны для обоих полов. Пустая числовая ячейка — сведения отсутствуют, не ноль. Общие рождения/смерти остаются пустыми при отсутствии кочевой части. В Иргизе 1885 мужские смерти 0: в ведомости знак отсутствия событий, женские смерти и общий итог равны 12.</x:v>
      </x:c>
      <x:c r="D7" s="15" t="str">
        <x:v>Ведомость № 3 за 1885, PDF 32</x:v>
      </x:c>
      <x:c r="E7" s="15" t="str">
        <x:v>https://archive.org/download/obzor_turgaiskoi_oblasti/Обзор Тургайской области за 1885 - RAW.pdf#page=32</x:v>
      </x:c>
      <x:c r="F7" s="15" t="str">
        <x:v>Turgaiskaia_188x(1).xlsx</x:v>
      </x:c>
    </x:row>
    <x:row r="8" ht="64" customHeight="1">
      <x:c r="A8" s="8" t="str">
        <x:v>—</x:v>
      </x:c>
      <x:c r="B8" s="8" t="str">
        <x:v>Суммы населения</x:v>
      </x:c>
      <x:c r="C8" s="8" t="str">
        <x:v>Сумма оседлого и кочевого рассчитана формулой. Для 1881 кочевые 323,110 рассчитаны из 64,622 кибиток по 5 душ на хозяйство: этот коэффициент прямо указан в выпусках 1882–1883 для той же базы 1881–1883. Остальные кочевые итоги сохранены из источников, включая арифметические расхождения 1888–1889.</x:v>
      </x:c>
      <x:c r="D8" s="8" t="str">
        <x:v>1881 с. 7; 1882 с. 4; 1883 с. 6</x:v>
      </x:c>
      <x:c r="E8" s="8" t="str">
        <x:v>https://archive.org/download/obzor_turgaiskoi_oblasti/Обзор Тургайской области за 1882 - RAW.pdf#page=6</x:v>
      </x:c>
      <x:c r="F8" s="8" t="str">
        <x:v>Turgaiskaia_188x(1).xlsx</x:v>
      </x:c>
    </x:row>
    <x:row r="9" ht="60" customHeight="1">
      <x:c r="A9" s="15" t="str">
        <x:v>—</x:v>
      </x:c>
      <x:c r="B9" s="15" t="str">
        <x:v>Даты</x:v>
      </x:c>
      <x:c r="C9" s="15" t="str">
        <x:v>Точная дата оседлой численности прямо дана только за 1885: 1 января 1886. Формулировки «в отчётном году» не преобразованы в 31 декабря. Кочевая численность 1881–1883 и 1884–1886 повторяет трёхлетние перечёты хозяйств.</x:v>
      </x:c>
      <x:c r="D9" s="15" t="str">
        <x:v>1885 с. 8, PDF 11</x:v>
      </x:c>
      <x:c r="E9" s="15" t="str">
        <x:v>https://archive.org/download/obzor_turgaiskoi_oblasti/Обзор Тургайской области за 1885 - RAW.pdf#page=11</x:v>
      </x:c>
      <x:c r="F9" s="15" t="str">
        <x:v>Turgaiskaia_188x(1).xlsx</x:v>
      </x:c>
    </x:row>
    <x:row r="10" ht="60" customHeight="1">
      <x:c r="A10" s="8" t="str">
        <x:v>—</x:v>
      </x:c>
      <x:c r="B10" s="8" t="str">
        <x:v>Миграция</x:v>
      </x:c>
      <x:c r="C10" s="8" t="str">
        <x:v>Годовые общие потоки внешних прибытий и выбытий не приведены. В 1885 названы 2,008 вновь поселившихся в оседлых пунктах. Изменение населения, число кибиток и семейные прибытия не сведены в искусственный общий миграционный баланс.</x:v>
      </x:c>
      <x:c r="D10" s="8" t="str">
        <x:v>1885 с. 9, PDF 12</x:v>
      </x:c>
      <x:c r="E10" s="8" t="str">
        <x:v>https://archive.org/download/obzor_turgaiskoi_oblasti/Обзор Тургайской области за 1885 - RAW.pdf#page=12</x:v>
      </x:c>
      <x:c r="F10" s="8" t="str">
        <x:v>Turgaiskaia_188x(1).xlsx</x:v>
      </x:c>
    </x:row>
    <x:row r="11" ht="60" customHeight="1">
      <x:c r="A11" s="15" t="str">
        <x:v>—</x:v>
      </x:c>
      <x:c r="B11" s="15" t="str">
        <x:v>Документы на отлучки</x:v>
      </x:c>
      <x:c r="C11" s="15" t="str">
        <x:v>Число паспортов и билетов: 1884 — 4,388 (3,530 билетов + 858 паспортов); 1885 — 3,046; 1886 — 1,376; 1887 — 3,520; 1888 — 3,766; 1889 — 2,579. Это документы для отлучек, не число постоянных выбытий и не число уникальных мигрантов.</x:v>
      </x:c>
      <x:c r="D11" s="15" t="str">
        <x:v>1884–1885 PDF 12; 1886,1889 PDF 10; 1887–1888 PDF 11</x:v>
      </x:c>
      <x:c r="E11" s="15" t="str">
        <x:v>https://archive.org/download/obzor_turgaiskoi_oblasti/Обзор Тургайской области за 1884 - RAW.pdf#page=12</x:v>
      </x:c>
      <x:c r="F11" s="15" t="str">
        <x:v>Turgaiskaia_188x(1).xlsx</x:v>
      </x:c>
    </x:row>
    <x:row r="12" ht="64" customHeight="1">
      <x:c r="A12" s="8" t="n">
        <x:v>1881</x:v>
      </x:c>
      <x:c r="B12" s="8" t="str">
        <x:v>Полнота учёта</x:v>
      </x:c>
      <x:c r="C12" s="8" t="str">
        <x:v>Оседлое население пяти пунктов, включая военные команды. По кочевым приведено число кибиток, а не самостоятельный подсчёт людей. Для 1881 число 323,110 вычислено как 64,622 × 5 по норме, прямо указанной в обзорах 1882–1883 для того же трёхлетия. Полных абсолютных чисел рождений и смертей не найдено.</x:v>
      </x:c>
      <x:c r="D12" s="8" t="str">
        <x:v>Обзор 1881: с. 7; PDF 9; Не приведены</x:v>
      </x:c>
      <x:c r="E12" s="8" t="str">
        <x:v>https://archive.org/download/obzor_turgaiskoi_oblasti/Обзор Тургайской области за 1881 - RAW.pdf#page=9</x:v>
      </x:c>
      <x:c r="F12" s="8" t="str">
        <x:v>Turgaiskaia_188x(1).xlsx</x:v>
      </x:c>
    </x:row>
    <x:row r="13" ht="112" customHeight="1">
      <x:c r="A13" s="15" t="n">
        <x:v>1881</x:v>
      </x:c>
      <x:c r="B13" s="15" t="str">
        <x:v>Миграция</x:v>
      </x:c>
      <x:c r="C13" s="15" t="str">
        <x:v>Заселение Кустаная началось с половины июля 1881 года. В отчётном году поселилось 1,592 человека и построено 232 жилища. К концу года дополнительно прибыли 106 семейств, ещё не построивших жильё и разместившихся у родственников. Свыше 1,243 семейств заявили желание поселиться и получили усадебные места: это число заявителей, не число фактических прибытий. Прибавка оседлого населения области против предыдущего года — 1,326 человек, но это не отдельно измеренный миграционный баланс. Описано внутреннее перемещение кочевых хозяйств из Тургайского и Иргизского уездов в Николаевский и Илецкий после бедствия 1879–1880 годов. Суммарное изменение — +1,061 кибитка, северные уезды +1,488, южные −427. Числа прибывших извне и выбывших за пределы области не приведены.</x:v>
      </x:c>
      <x:c r="D13" s="15" t="str">
        <x:v>7–8 (PDF 9–10)</x:v>
      </x:c>
      <x:c r="E13" s="15" t="str">
        <x:v>https://archive.org/download/obzor_turgaiskoi_oblasti/Обзор Тургайской области за 1881 - RAW.pdf#page=9</x:v>
      </x:c>
      <x:c r="F13" s="15" t="str">
        <x:v>Turgaiskaia_188x(1).xlsx</x:v>
      </x:c>
    </x:row>
    <x:row r="14" ht="64" customHeight="1">
      <x:c r="A14" s="8" t="n">
        <x:v>1881</x:v>
      </x:c>
      <x:c r="B14" s="8" t="str">
        <x:v>Несогласованности</x:v>
      </x:c>
      <x:c r="C14" s="8" t="str">
        <x:v>По Тургайскому уезду указано только превышение смертей над рождениями на 304 человека. Это разность для одного уезда, не число смертей и не баланс всей области. Оседлые 3,596 не следует автоматически считать населением на 31 декабря: отдельная добавочная группа из 106 семейств описана без перевода в число людей.</x:v>
      </x:c>
      <x:c r="D14" s="8" t="str">
        <x:v>С. 7; Не приведены</x:v>
      </x:c>
      <x:c r="E14" s="8" t="str">
        <x:v>https://archive.org/download/obzor_turgaiskoi_oblasti/Обзор Тургайской области за 1881 - RAW.pdf#page=9</x:v>
      </x:c>
      <x:c r="F14" s="8" t="str">
        <x:v>Turgaiskaia_188x(1).xlsx</x:v>
      </x:c>
    </x:row>
    <x:row r="15" ht="60" customHeight="1">
      <x:c r="A15" s="15" t="n">
        <x:v>1882</x:v>
      </x:c>
      <x:c r="B15" s="15" t="str">
        <x:v>Полнота учёта</x:v>
      </x:c>
      <x:c r="C15" s="15" t="str">
        <x:v>Кочевое население — прежние 64,622 податные кибитки × 5 человек, перенесённые из переписи хозяйств 1881 года. Оседлое русское население приведено вместе с местными военными командами. Полные числа рождений и смертей не найдены.</x:v>
      </x:c>
      <x:c r="D15" s="15" t="str">
        <x:v>Обзор 1882: с. 4–5; PDF 6; Не приведены</x:v>
      </x:c>
      <x:c r="E15" s="15" t="str">
        <x:v>https://archive.org/download/obzor_turgaiskoi_oblasti/Обзор Тургайской области за 1882 - RAW.pdf#page=6</x:v>
      </x:c>
      <x:c r="F15" s="15" t="str">
        <x:v>Turgaiskaia_188x(1).xlsx</x:v>
      </x:c>
    </x:row>
    <x:row r="16" ht="80" customHeight="1">
      <x:c r="A16" s="8" t="n">
        <x:v>1882</x:v>
      </x:c>
      <x:c r="B16" s="8" t="str">
        <x:v>Миграция</x:v>
      </x:c>
      <x:c r="C16" s="8" t="str">
        <x:v>Прирост оседлого населения против 1881 года — 2,807 человек, несмотря на уменьшение состава военных команд. Автор связывает его с переселением крестьян внутренних губерний в Кустанай. Численность Кустаная за год возросла с 1,592 до 4,441, то есть на 2,849 человек; это изменение запаса населения, не отдельно учтённый поток прибывших. Ожидается дальнейшее прибытие крестьян, временно живущих по судебным приговорам в соседних уездах Оренбургской губернии. Общие прибытия и выбытия не приведены.</x:v>
      </x:c>
      <x:c r="D16" s="8" t="str">
        <x:v>4–5 (PDF 6–7)</x:v>
      </x:c>
      <x:c r="E16" s="8" t="str">
        <x:v>https://archive.org/download/obzor_turgaiskoi_oblasti/Обзор Тургайской области за 1882 - RAW.pdf#page=6</x:v>
      </x:c>
      <x:c r="F16" s="8" t="str">
        <x:v>Turgaiskaia_188x(1).xlsx</x:v>
      </x:c>
    </x:row>
    <x:row r="17" ht="60" customHeight="1">
      <x:c r="A17" s="15" t="n">
        <x:v>1882</x:v>
      </x:c>
      <x:c r="B17" s="15" t="str">
        <x:v>Несогласованности</x:v>
      </x:c>
      <x:c r="C17" s="15" t="str">
        <x:v>Точная дата численности обозначена только словами «в 1882 году», без начала, середины или конца года.</x:v>
      </x:c>
      <x:c r="D17" s="15" t="str">
        <x:v>С. 4–5; Не приведены</x:v>
      </x:c>
      <x:c r="E17" s="15" t="str">
        <x:v>https://archive.org/download/obzor_turgaiskoi_oblasti/Обзор Тургайской области за 1882 - RAW.pdf#page=6</x:v>
      </x:c>
      <x:c r="F17" s="15" t="str">
        <x:v>Turgaiskaia_188x(1).xlsx</x:v>
      </x:c>
    </x:row>
    <x:row r="18" ht="64" customHeight="1">
      <x:c r="A18" s="8" t="n">
        <x:v>1883</x:v>
      </x:c>
      <x:c r="B18" s="8" t="str">
        <x:v>Полнота учёта</x:v>
      </x:c>
      <x:c r="C18" s="8" t="str">
        <x:v>На с. 6 прямо сказано: исчисление населения и регистрация случаев рождения и смерти у киргизов не установлены. Численность кочевых приблизительно определяется по податным хозяйствам, перечитываемым раз в три года. Для 1883 оставлена оценка 1882 года — 323,110. Оседлое население определяется более достоверно по полицейским сведениям, но Кустанай и общий итог даны с оговоркой «до».</x:v>
      </x:c>
      <x:c r="D18" s="8" t="str">
        <x:v>Обзор 1883: с. 3, 6; PDF 8; Не приведены</x:v>
      </x:c>
      <x:c r="E18" s="8" t="str">
        <x:v>https://archive.org/download/obzor_turgaiskoi_oblasti/Обзор Тургайской области за 1883 - RAW.pdf#page=8</x:v>
      </x:c>
      <x:c r="F18" s="8" t="str">
        <x:v>Turgaiskaia_188x(1).xlsx</x:v>
      </x:c>
    </x:row>
    <x:row r="19" ht="64" customHeight="1">
      <x:c r="A19" s="15" t="n">
        <x:v>1883</x:v>
      </x:c>
      <x:c r="B19" s="15" t="str">
        <x:v>Миграция</x:v>
      </x:c>
      <x:c r="C19" s="15" t="str">
        <x:v>Рост оседлого населения на 3,678 человек автор объясняет завершением заселения Кустаная. В Кустанае — до 8,000 жителей из крестьян-переселенцев внутренних губерний; на с. 3 указаны 1,322 обывательских дома. Это численность поселения, не годовой поток миграции. Отдельных чисел прибывших и выбывших нет.</x:v>
      </x:c>
      <x:c r="D19" s="15" t="str">
        <x:v>3, 6 (PDF 5, 8)</x:v>
      </x:c>
      <x:c r="E19" s="15" t="str">
        <x:v>https://archive.org/download/obzor_turgaiskoi_oblasti/Обзор Тургайской области за 1883 - RAW.pdf#page=8</x:v>
      </x:c>
      <x:c r="F19" s="15" t="str">
        <x:v>Turgaiskaia_188x(1).xlsx</x:v>
      </x:c>
    </x:row>
    <x:row r="20" ht="60" customHeight="1">
      <x:c r="A20" s="8" t="n">
        <x:v>1883</x:v>
      </x:c>
      <x:c r="B20" s="8" t="str">
        <x:v>Несогласованности</x:v>
      </x:c>
      <x:c r="C20" s="8" t="str">
        <x:v>В источнике «до 10,081» оседлых, в том числе «до 8,000» в Кустанае. Эти приблизительные оценки сохранены без превращения в точный подсчёт.</x:v>
      </x:c>
      <x:c r="D20" s="8" t="str">
        <x:v>С. 3, 6; Не приведены</x:v>
      </x:c>
      <x:c r="E20" s="8" t="str">
        <x:v>https://archive.org/download/obzor_turgaiskoi_oblasti/Обзор Тургайской области за 1883 - RAW.pdf#page=8</x:v>
      </x:c>
      <x:c r="F20" s="8" t="str">
        <x:v>Turgaiskaia_188x(1).xlsx</x:v>
      </x:c>
    </x:row>
    <x:row r="21" ht="80" customHeight="1">
      <x:c r="A21" s="15" t="n">
        <x:v>1884</x:v>
      </x:c>
      <x:c r="B21" s="15" t="str">
        <x:v>Полнота учёта</x:v>
      </x:c>
      <x:c r="C21" s="15" t="str">
        <x:v>Кочевой образ жизни затрудняет подушный счёт. В 1884 произведён перечёт кибиток выборными на 1884–1886: 64,414, включая облагаемые и освобождённые от подати, по 5 душ на хозяйство. Оседлые по полицейским сведениям, включая военные гарнизоны. Ведомость № 3 о движении оседлого населения названа в оглавлении и тексте, но отсутствует и в OCR, и в RAW: после ведомости № 2 (PDF 25–26) сразу идёт № 4 (PDF 27–28). Поэтому рождения и смерти оседлых не восстановлены.</x:v>
      </x:c>
      <x:c r="D21" s="15" t="str">
        <x:v>Обзор 1884: с. 8; PDF 11; Ведомость № 3 отсутствует</x:v>
      </x:c>
      <x:c r="E21" s="15" t="str">
        <x:v>https://archive.org/download/obzor_turgaiskoi_oblasti/Обзор Тургайской области за 1884 - RAW.pdf#page=11</x:v>
      </x:c>
      <x:c r="F21" s="15" t="str">
        <x:v>Turgaiskaia_188x(1).xlsx</x:v>
      </x:c>
    </x:row>
    <x:row r="22" ht="80" customHeight="1">
      <x:c r="A22" s="8" t="n">
        <x:v>1884</x:v>
      </x:c>
      <x:c r="B22" s="8" t="str">
        <x:v>Миграция</x:v>
      </x:c>
      <x:c r="C22" s="8" t="str">
        <x:v>Убыль против прежнего трёхлетия — 208 кибиток. Объясняется последствиями зимы 1879/1880: часть хозяйств переселилась в другие области, часть объединилась с родственниками. Число внешних выбытий отдельно не дано; 208 нельзя приравнивать к числу эмигрировавших хозяйств. Косвенные сведения об отлучках: выдано 3,530 билетов и 858 паспортов, всего 4,388 документов. Документы не равны числу выбывших людей и не характеризуют постоянную миграцию.</x:v>
      </x:c>
      <x:c r="D22" s="8" t="str">
        <x:v>8–9 (PDF 11–12)</x:v>
      </x:c>
      <x:c r="E22" s="8" t="str">
        <x:v>https://archive.org/download/obzor_turgaiskoi_oblasti/Обзор Тургайской области за 1884 - RAW.pdf#page=11</x:v>
      </x:c>
      <x:c r="F22" s="8" t="str">
        <x:v>Turgaiskaia_188x(1).xlsx</x:v>
      </x:c>
    </x:row>
    <x:row r="23" ht="60" customHeight="1">
      <x:c r="A23" s="15" t="n">
        <x:v>1884</x:v>
      </x:c>
      <x:c r="B23" s="15" t="str">
        <x:v>Несогласованности</x:v>
      </x:c>
      <x:c r="C23" s="15" t="str">
        <x:v>Оседлое население меньше приблизительной оценки 1883 на 2,556 человек; Кустанай 5,726 против прежних «до 8,000». Без единых дат и одинакового качества подсчёта это не доказанный реальный отток.</x:v>
      </x:c>
      <x:c r="D23" s="15" t="str">
        <x:v>С. 8; Ведомость № 3 отсутствует</x:v>
      </x:c>
      <x:c r="E23" s="15" t="str">
        <x:v>https://archive.org/download/obzor_turgaiskoi_oblasti/Обзор Тургайской области за 1884 - RAW.pdf#page=11</x:v>
      </x:c>
      <x:c r="F23" s="15" t="str">
        <x:v>Turgaiskaia_188x(1).xlsx</x:v>
      </x:c>
    </x:row>
    <x:row r="24" ht="80" customHeight="1">
      <x:c r="A24" s="8" t="n">
        <x:v>1885</x:v>
      </x:c>
      <x:c r="B24" s="8" t="str">
        <x:v>Полнота учёта</x:v>
      </x:c>
      <x:c r="C24" s="8" t="str">
        <x:v>Кочевая численность повторяет 1884 год; ежегодного нового подсчёта нет. В летнее время прибывают кочевники Сыр-Дарьинской и Уральской областей, особенно первой; их численность определить нельзя, и они рассматриваются отдельно от постоянного населения. Ведомость рождений и смертей охватывает только пять оседлых пунктов. О полноте регистрации внутри этих пунктов прямой гарантии нет. В октябре 1885 организовано управление Кустаная; автор пишет, что приведены в известность как приписанные, так и неприписанные жители.</x:v>
      </x:c>
      <x:c r="D24" s="8" t="str">
        <x:v>Обзор 1885: с. 8–9; 21–23; PDF 11; Ведомость № 3, PDF 31–32</x:v>
      </x:c>
      <x:c r="E24" s="8" t="str">
        <x:v>https://archive.org/download/obzor_turgaiskoi_oblasti/Обзор Тургайской области за 1885 - RAW.pdf#page=11</x:v>
      </x:c>
      <x:c r="F24" s="8" t="str">
        <x:v>Turgaiskaia_188x(1).xlsx</x:v>
      </x:c>
    </x:row>
    <x:row r="25" ht="80" customHeight="1">
      <x:c r="A25" s="15" t="n">
        <x:v>1885</x:v>
      </x:c>
      <x:c r="B25" s="15" t="str">
        <x:v>Миграция</x:v>
      </x:c>
      <x:c r="C25" s="15" t="str">
        <x:v>В тексте прямо указано: 2,008 человек вновь поселились в оседлых пунктах в 1885 году; естественное приращение 37. Число выбывших не приведено. Неизмеренный летний приток кочевников из Сыр-Дарьинской и Уральской областей описан отдельно. В разделе о Кустанае — округлённая численность до 8,000 и до 1,500 дворов; это не поток за 1885. Выдано 3,046 паспортов и билетов на отлучки; это документы, не число постоянных выбытий.</x:v>
      </x:c>
      <x:c r="D25" s="15" t="str">
        <x:v>8–9, 21–23 (PDF 11–12, 24–26)</x:v>
      </x:c>
      <x:c r="E25" s="15" t="str">
        <x:v>https://archive.org/download/obzor_turgaiskoi_oblasti/Обзор Тургайской области за 1885 - RAW.pdf#page=11</x:v>
      </x:c>
      <x:c r="F25" s="15" t="str">
        <x:v>Turgaiskaia_188x(1).xlsx</x:v>
      </x:c>
    </x:row>
    <x:row r="26" ht="64" customHeight="1">
      <x:c r="A26" s="8" t="n">
        <x:v>1885</x:v>
      </x:c>
      <x:c r="B26" s="8" t="str">
        <x:v>Несогласованности</x:v>
      </x:c>
      <x:c r="C26" s="8" t="str">
        <x:v>На с. 9 прирост напечатан как 2,015, хотя 9,570 − 7,525 = 2,045 и 37 + 2,008 = 2,045. В таблице численности Тургай: 285 мужчин + 96 женщин, напечатанный итог 391 вместо 381; Иргиз: 492 + 187, итог 669 вместо 679. Ошибки по 10 взаимно компенсируются в общем итоге. Приняты опубликованные итоги по пунктам и общий итог 9,570.</x:v>
      </x:c>
      <x:c r="D26" s="8" t="str">
        <x:v>С. 8–9; 21–23; Ведомость № 3, PDF 31–32</x:v>
      </x:c>
      <x:c r="E26" s="8" t="str">
        <x:v>https://archive.org/download/obzor_turgaiskoi_oblasti/Обзор Тургайской области за 1885 - RAW.pdf#page=11</x:v>
      </x:c>
      <x:c r="F26" s="8" t="str">
        <x:v>Turgaiskaia_188x(1).xlsx</x:v>
      </x:c>
    </x:row>
    <x:row r="27" ht="60" customHeight="1">
      <x:c r="A27" s="15" t="n">
        <x:v>1886</x:v>
      </x:c>
      <x:c r="B27" s="15" t="str">
        <x:v>Полнота учёта</x:v>
      </x:c>
      <x:c r="C27" s="15" t="str">
        <x:v>Автор прямо объясняет одинаковую кочевую численность в 1884, 1885 и 1886 годах трёхлетним перечётом хозяйств. Ведомость № 3 охватывает пять оседлых пунктов, кочевые рождения и смерти отсутствуют. Точная полнота регистрации в оседлых пунктах не оговорена.</x:v>
      </x:c>
      <x:c r="D27" s="15" t="str">
        <x:v>Обзор 1886: с. 6–7; PDF 9; Ведомость № 3, PDF 25–26</x:v>
      </x:c>
      <x:c r="E27" s="15" t="str">
        <x:v>https://archive.org/download/obzor_turgaiskoi_oblasti/Обзор Тургайской области за 1886 - RAW.pdf#page=9</x:v>
      </x:c>
      <x:c r="F27" s="15" t="str">
        <x:v>Turgaiskaia_188x(1).xlsx</x:v>
      </x:c>
    </x:row>
    <x:row r="28" ht="64" customHeight="1">
      <x:c r="A28" s="8" t="n">
        <x:v>1886</x:v>
      </x:c>
      <x:c r="B28" s="8" t="str">
        <x:v>Миграция</x:v>
      </x:c>
      <x:c r="C28" s="8" t="str">
        <x:v>Оседлое население выросло на 7,186 человек. Увеличение объясняется главным образом вновь поселившимися крестьянами в Кустанайской волости и Ак-Тюбе. Отдельных годовых чисел прибывших и выбывших нет. Выдано 1,376 паспортов и билетов; это косвенная информация об отлучках, не миграционный поток.</x:v>
      </x:c>
      <x:c r="D28" s="8" t="str">
        <x:v>6–7 (PDF 9–10)</x:v>
      </x:c>
      <x:c r="E28" s="8" t="str">
        <x:v>https://archive.org/download/obzor_turgaiskoi_oblasti/Обзор Тургайской области за 1886 - RAW.pdf#page=9</x:v>
      </x:c>
      <x:c r="F28" s="8" t="str">
        <x:v>Turgaiskaia_188x(1).xlsx</x:v>
      </x:c>
    </x:row>
    <x:row r="29" ht="60" customHeight="1">
      <x:c r="A29" s="15" t="n">
        <x:v>1886</x:v>
      </x:c>
      <x:c r="B29" s="15" t="str">
        <x:v>Несогласованности</x:v>
      </x:c>
      <x:c r="C29" s="15" t="str">
        <x:v>В вводной фразе на с. 6 напечатано 322,000 кочевых, а в таблице и по 64,414 × 5 — 322,070. Принят табличный итог 322,070. Формулировка «в отчётном году» не определяет момент оценки оседлого населения.</x:v>
      </x:c>
      <x:c r="D29" s="15" t="str">
        <x:v>С. 6–7; Ведомость № 3, PDF 25–26</x:v>
      </x:c>
      <x:c r="E29" s="15" t="str">
        <x:v>https://archive.org/download/obzor_turgaiskoi_oblasti/Обзор Тургайской области за 1886 - RAW.pdf#page=9</x:v>
      </x:c>
      <x:c r="F29" s="15" t="str">
        <x:v>Turgaiskaia_188x(1).xlsx</x:v>
      </x:c>
    </x:row>
    <x:row r="30" ht="60" customHeight="1">
      <x:c r="A30" s="8" t="n">
        <x:v>1887</x:v>
      </x:c>
      <x:c r="B30" s="8" t="str">
        <x:v>Полнота учёта</x:v>
      </x:c>
      <x:c r="C30" s="8" t="str">
        <x:v>Кочевая численность рассчитана по 65,783 кибиткам и приблизительно 5 людям на хозяйство, а не по регистрации людей. Рождения и смерти — только пять оседлых пунктов; сведений о кочевых в ведомости нет. Прямой оценки полноты учёта оседлых событий не дано.</x:v>
      </x:c>
      <x:c r="D30" s="8" t="str">
        <x:v>Обзор 1887: с. 7–8; PDF 10; Ведомость № 3, PDF 34–35</x:v>
      </x:c>
      <x:c r="E30" s="8" t="str">
        <x:v>https://archive.org/download/obzor_turgaiskoi_oblasti/Обзор Тургайской области за 1887 - RAW.pdf#page=10</x:v>
      </x:c>
      <x:c r="F30" s="8" t="str">
        <x:v>Turgaiskaia_188x(1).xlsx</x:v>
      </x:c>
    </x:row>
    <x:row r="31" ht="64" customHeight="1">
      <x:c r="A31" s="15" t="n">
        <x:v>1887</x:v>
      </x:c>
      <x:c r="B31" s="15" t="str">
        <x:v>Миграция</x:v>
      </x:c>
      <x:c r="C31" s="15" t="str">
        <x:v>Рост оседлого населения на 3,515 человек объясняется естественным приростом и прибытием переселенцев, преимущественно в Кустанай. Отдельные потоки прибытий и выбытий не измерены. На с. 15 описано прибытие из внутренних губерний части переселенцев без средств, привлечённых рассказами о бесплатной земле. Выдано 3,520 паспортов и билетов на отлучки.</x:v>
      </x:c>
      <x:c r="D31" s="15" t="str">
        <x:v>7–8; 15 (PDF 10–11; 18)</x:v>
      </x:c>
      <x:c r="E31" s="15" t="str">
        <x:v>https://archive.org/download/obzor_turgaiskoi_oblasti/Обзор Тургайской области за 1887 - RAW.pdf#page=10</x:v>
      </x:c>
      <x:c r="F31" s="15" t="str">
        <x:v>Turgaiskaia_188x(1).xlsx</x:v>
      </x:c>
    </x:row>
    <x:row r="32" ht="60" customHeight="1">
      <x:c r="A32" s="8" t="n">
        <x:v>1887</x:v>
      </x:c>
      <x:c r="B32" s="8" t="str">
        <x:v>Несогласованности</x:v>
      </x:c>
      <x:c r="C32" s="8" t="str">
        <x:v>Рождения 1,153, смерти 829 относятся к оседлым пунктам, а не ко всему населению 349,186. Не следует применять их к общему населению области.</x:v>
      </x:c>
      <x:c r="D32" s="8" t="str">
        <x:v>С. 7–8; Ведомость № 3, PDF 34–35</x:v>
      </x:c>
      <x:c r="E32" s="8" t="str">
        <x:v>https://archive.org/download/obzor_turgaiskoi_oblasti/Обзор Тургайской области за 1887 - RAW.pdf#page=10</x:v>
      </x:c>
      <x:c r="F32" s="8" t="str">
        <x:v>Turgaiskaia_188x(1).xlsx</x:v>
      </x:c>
    </x:row>
    <x:row r="33" ht="60" customHeight="1">
      <x:c r="A33" s="15" t="n">
        <x:v>1888</x:v>
      </x:c>
      <x:c r="B33" s="15" t="str">
        <x:v>Полнота учёта</x:v>
      </x:c>
      <x:c r="C33" s="15" t="str">
        <x:v>Кочевая оценка по хозяйствам и приблизительно 5 людям на кибитку. Рождения и смерти опубликованы только для пяти оседлых пунктов. Гарантии полного учёта даже внутри этой группы нет.</x:v>
      </x:c>
      <x:c r="D33" s="15" t="str">
        <x:v>Обзор 1888: с. 7–8; PDF 10; Ведомость № 3, PDF 35–36</x:v>
      </x:c>
      <x:c r="E33" s="15" t="str">
        <x:v>https://archive.org/download/obzor_turgaiskoi_oblasti/Обзор Тургайской области за 1888 - RAW.pdf#page=10</x:v>
      </x:c>
      <x:c r="F33" s="15" t="str">
        <x:v>Turgaiskaia_188x(1).xlsx</x:v>
      </x:c>
    </x:row>
    <x:row r="34" ht="60" customHeight="1">
      <x:c r="A34" s="8" t="n">
        <x:v>1888</x:v>
      </x:c>
      <x:c r="B34" s="8" t="str">
        <x:v>Миграция</x:v>
      </x:c>
      <x:c r="C34" s="8" t="str">
        <x:v>Рост оседлого населения на 321 человека объясняется естественным приростом и непрекращающимся наплывом переселенцев, преимущественно в Кустанай. Отдельные прибытия и выбытия отсутствуют. Выдано 3,766 паспортов и билетов на отлучки.</x:v>
      </x:c>
      <x:c r="D34" s="8" t="str">
        <x:v>7–8 (PDF 10–11)</x:v>
      </x:c>
      <x:c r="E34" s="8" t="str">
        <x:v>https://archive.org/download/obzor_turgaiskoi_oblasti/Обзор Тургайской области за 1888 - RAW.pdf#page=10</x:v>
      </x:c>
      <x:c r="F34" s="8" t="str">
        <x:v>Turgaiskaia_188x(1).xlsx</x:v>
      </x:c>
    </x:row>
    <x:row r="35" ht="64" customHeight="1">
      <x:c r="A35" s="15" t="n">
        <x:v>1888</x:v>
      </x:c>
      <x:c r="B35" s="15" t="str">
        <x:v>Несогласованности</x:v>
      </x:c>
      <x:c r="C35" s="15" t="str">
        <x:v>Напечатанные 329,545 кочевых на 10 больше результата 65,907 × 5 = 329,535. В Тургайском уезде 13,674 кибитки, но 68,380 душ вместо арифметических 68,370. Напечатанные итоги сохранены. Естественный прирост оседлых по ведомости — 674, больше изменения численности 321: описание притока не даёт согласованного баланса.</x:v>
      </x:c>
      <x:c r="D35" s="15" t="str">
        <x:v>С. 7–8; Ведомость № 3, PDF 35–36</x:v>
      </x:c>
      <x:c r="E35" s="15" t="str">
        <x:v>https://archive.org/download/obzor_turgaiskoi_oblasti/Обзор Тургайской области за 1888 - RAW.pdf#page=10</x:v>
      </x:c>
      <x:c r="F35" s="15" t="str">
        <x:v>Turgaiskaia_188x(1).xlsx</x:v>
      </x:c>
    </x:row>
    <x:row r="36" ht="64" customHeight="1">
      <x:c r="A36" s="8" t="n">
        <x:v>1889</x:v>
      </x:c>
      <x:c r="B36" s="8" t="str">
        <x:v>Полнота учёта</x:v>
      </x:c>
      <x:c r="C36" s="8" t="str">
        <x:v>Кочевая оценка — по числу кибиток. Таблица рождений и смертей озаглавлена «Движение оседлого населения ... за 1889 год» и перечисляет те же пять пунктов. Кочевые события отдельно не приведены. Числа оседлых событий резко расходятся с масштабом опубликованной численности; охват или правильность исходных сведений требуют дополнительной проверки.</x:v>
      </x:c>
      <x:c r="D36" s="8" t="str">
        <x:v>Обзор 1889: с. 6–7; 2; PDF 9; Ведомость № 3, PDF 31–32</x:v>
      </x:c>
      <x:c r="E36" s="8" t="str">
        <x:v>https://archive.org/download/obzor_turgaiskoi_oblasti/Обзор Тургайской области за 1889 - RAW.pdf#page=9</x:v>
      </x:c>
      <x:c r="F36" s="8" t="str">
        <x:v>Turgaiskaia_188x(1).xlsx</x:v>
      </x:c>
    </x:row>
    <x:row r="37" ht="60" customHeight="1">
      <x:c r="A37" s="15" t="n">
        <x:v>1889</x:v>
      </x:c>
      <x:c r="B37" s="15" t="str">
        <x:v>Миграция</x:v>
      </x:c>
      <x:c r="C37" s="15" t="str">
        <x:v>Рост оседлого населения на 2,044 человека объясняется естественным приростом и притоком переселенцев в Ак-Тюбе, особенно в Кустанай. Годовых чисел прибывших и выбывших нет. Выдано 2,579 паспортов и билетов на отлучки.</x:v>
      </x:c>
      <x:c r="D37" s="15" t="str">
        <x:v>6–7 (PDF 9–10)</x:v>
      </x:c>
      <x:c r="E37" s="15" t="str">
        <x:v>https://archive.org/download/obzor_turgaiskoi_oblasti/Обзор Тургайской области за 1889 - RAW.pdf#page=9</x:v>
      </x:c>
      <x:c r="F37" s="15" t="str">
        <x:v>Turgaiskaia_188x(1).xlsx</x:v>
      </x:c>
    </x:row>
    <x:row r="38" ht="112" customHeight="1">
      <x:c r="A38" s="8" t="n">
        <x:v>1889</x:v>
      </x:c>
      <x:c r="B38" s="8" t="str">
        <x:v>Несогласованности</x:v>
      </x:c>
      <x:c r="C38" s="8" t="str">
        <x:v>В демографическом разделе 342,011 кочевых, в разделе скотоводства на с. 2 — 342,015. Принят демографический итог 342,011. Он на 1 больше 68,402 × 5 = 342,010: Иргизский уезд 15,856 кибиток, но 79,281 душ вместо 79,280. В ведомости действительно 6,346 рождений и 3,508 смертей; Кустанай 6,081 и 3,400 при населении 18,257. Причина скачка не объяснена, числа не исправлены. Естественный прирост 2,838 превышает изменение оседлой численности 2,044. Медицинская статистика (с. 17, 19) отдельно показывает 202 смерти среди обращавшихся за помощью вне лечебных заведений, из них 195 от оспы; эти неполные медицинские числа не заменяют ведомость общего движения.</x:v>
      </x:c>
      <x:c r="D38" s="8" t="str">
        <x:v>С. 2, 6–7, 17, 19; PDF 5,9–10,20,22,31–32</x:v>
      </x:c>
      <x:c r="E38" s="8" t="str">
        <x:v>https://archive.org/download/obzor_turgaiskoi_oblasti/Обзор Тургайской области за 1889 - RAW.pdf#page=32</x:v>
      </x:c>
      <x:c r="F38" s="8" t="str">
        <x:v>Turgaiskaia_188x(1).xlsx</x:v>
      </x:c>
    </x:row>
    <x:row r="39" ht="64" customHeight="1">
      <x:c r="A39" s="15" t="str">
        <x:v>Все годы</x:v>
      </x:c>
      <x:c r="B39" s="15" t="str">
        <x:v>Метод</x:v>
      </x:c>
      <x:c r="C39" s="15" t="str">
        <x:v>Год в сводке — отчётный год выпуска. Рождения и смерти относятся к этому году; дата оценки населения записана отдельно. Все основные числа и существенные оговорки сверены визуально по RAW. Разделение оседлое/кочевое сохранено по источнику, оно не заменено этническим или сословным делением.</x:v>
      </x:c>
      <x:c r="D39" s="15"/>
      <x:c r="E39" s="15"/>
      <x:c r="F39" s="15" t="str">
        <x:v>Turgaiskaia_189x(1).xlsx</x:v>
      </x:c>
    </x:row>
    <x:row r="40" ht="60" customHeight="1">
      <x:c r="A40" s="8" t="str">
        <x:v>Все годы</x:v>
      </x:c>
      <x:c r="B40" s="8" t="str">
        <x:v>Пропуски</x:v>
      </x:c>
      <x:c r="C40" s="8" t="str">
        <x:v>Пустые числовые ячейки означают отсутствие доступных данных, а не ноль. Областной итог рождений/смертей оставлен пустым, если кочевая часть отсутствует. В 1896 показана явно помеченная сумма доступных записей, которая не охватывает всю область.</x:v>
      </x:c>
      <x:c r="D40" s="8"/>
      <x:c r="E40" s="8"/>
      <x:c r="F40" s="8" t="str">
        <x:v>Turgaiskaia_189x(1).xlsx</x:v>
      </x:c>
    </x:row>
    <x:row r="41" ht="60" customHeight="1">
      <x:c r="A41" s="15" t="n">
        <x:v>1890</x:v>
      </x:c>
      <x:c r="B41" s="15" t="str">
        <x:v>Момент оценки</x:v>
      </x:c>
      <x:c r="C41" s="15" t="str">
        <x:v>В самом выпуске 1890 написано «в отчётном году», без точной даты. Обзор 1891 повторяет эти же численности как население на 01.01.1891. Эта вторичная датировка явно обозначена в сводке.</x:v>
      </x:c>
      <x:c r="D41" s="15" t="str">
        <x:v>1890: с.4, PDF7; 1891: с.8, PDF14</x:v>
      </x:c>
      <x:c r="E41" s="15" t="str">
        <x:v>https://archive.org/download/obzor_turgaiskoi_oblasti/Обзор Тургайской области за 1891 - RAW.pdf#page=14</x:v>
      </x:c>
      <x:c r="F41" s="15" t="str">
        <x:v>Turgaiskaia_189x(1).xlsx</x:v>
      </x:c>
    </x:row>
    <x:row r="42" ht="60" customHeight="1">
      <x:c r="A42" s="8" t="n">
        <x:v>1890</x:v>
      </x:c>
      <x:c r="B42" s="8" t="str">
        <x:v>Два итога населения</x:v>
      </x:c>
      <x:c r="C42" s="8" t="str">
        <x:v>В разделе о населении оседлое 32,853 + кочевое 340,639 = 373,492. В разделе скотоводства весь край оценён в 367,839. Разница 5,653. В основной таблице принята сумма демографического раздела, подтверждённая Обзором 1891, а второй итог сохранён здесь.</x:v>
      </x:c>
      <x:c r="D42" s="8" t="str">
        <x:v>с.2 и 4 / PDF5,7</x:v>
      </x:c>
      <x:c r="E42" s="8" t="str">
        <x:v>https://archive.org/download/obzor_turgaiskoi_oblasti/Обзор Тургайской области за 1890 - RAW.pdf#page=5</x:v>
      </x:c>
      <x:c r="F42" s="8" t="str">
        <x:v>Turgaiskaia_189x(1).xlsx</x:v>
      </x:c>
    </x:row>
    <x:row r="43" ht="64" customHeight="1">
      <x:c r="A43" s="15" t="n">
        <x:v>1890</x:v>
      </x:c>
      <x:c r="B43" s="15" t="str">
        <x:v>Рождения: противоречие печати</x:v>
      </x:c>
      <x:c r="C43" s="15" t="str">
        <x:v>Ведомость 3: опубликованный итог 5,292; мужская графа 3,108 и женская 3,184 дают 6,292. В Кустанае напечатано 2,993 + 3,072, но итог 5,065, а не 6,065. Прибыль 1,908 соответствует 5,292 − 3,384. Нельзя однозначно установить, ошибочен общий итог или мужские графы. Сводка сохраняет 5,292.</x:v>
      </x:c>
      <x:c r="D43" s="15" t="str">
        <x:v>вед.3 / PDF27</x:v>
      </x:c>
      <x:c r="E43" s="15" t="str">
        <x:v>https://archive.org/download/obzor_turgaiskoi_oblasti/Обзор Тургайской области за 1890 - RAW.pdf#page=27</x:v>
      </x:c>
      <x:c r="F43" s="15" t="str">
        <x:v>Turgaiskaia_189x(1).xlsx</x:v>
      </x:c>
    </x:row>
    <x:row r="44" ht="60" customHeight="1">
      <x:c r="A44" s="8" t="n">
        <x:v>1890</x:v>
      </x:c>
      <x:c r="B44" s="8" t="str">
        <x:v>Охват</x:v>
      </x:c>
      <x:c r="C44" s="8" t="str">
        <x:v>Ведомость о движении охватывает только оседлое население: Тургай, Иргиз, Карабутак, Ак-Тюбе, Кустанай. Это характеристика состава таблицы. Отдельного утверждения администрации о степени полноты кочевого учёта здесь нет.</x:v>
      </x:c>
      <x:c r="D44" s="8" t="str">
        <x:v>вед.3 / PDF26–27</x:v>
      </x:c>
      <x:c r="E44" s="8" t="str">
        <x:v>https://archive.org/download/obzor_turgaiskoi_oblasti/Обзор Тургайской области за 1890 - RAW.pdf#page=27</x:v>
      </x:c>
      <x:c r="F44" s="8" t="str">
        <x:v>Turgaiskaia_189x(1).xlsx</x:v>
      </x:c>
    </x:row>
    <x:row r="45" ht="60" customHeight="1">
      <x:c r="A45" s="15" t="n">
        <x:v>1891</x:v>
      </x:c>
      <x:c r="B45" s="15" t="str">
        <x:v>Начало и конец года</x:v>
      </x:c>
      <x:c r="C45" s="15" t="str">
        <x:v>На 01.01.1891: оседлое 32,853, кочевое 340,639, всего 373,492. На 01.01.1892: оседлое 28,030, кочевое 349,994, всего 378,024. В основной строке стоит конец отчётного года.</x:v>
      </x:c>
      <x:c r="D45" s="15" t="str">
        <x:v>с.8 / PDF14</x:v>
      </x:c>
      <x:c r="E45" s="15" t="str">
        <x:v>https://archive.org/download/obzor_turgaiskoi_oblasti/Обзор Тургайской области за 1891 - RAW.pdf#page=14</x:v>
      </x:c>
      <x:c r="F45" s="15" t="str">
        <x:v>Turgaiskaia_189x(1).xlsx</x:v>
      </x:c>
    </x:row>
    <x:row r="46" ht="60" customHeight="1">
      <x:c r="A46" s="8" t="n">
        <x:v>1891</x:v>
      </x:c>
      <x:c r="B46" s="8" t="str">
        <x:v>Способ учёта населения</x:v>
      </x:c>
      <x:c r="C46" s="8" t="str">
        <x:v>Кустанай и пригородные поселки исчислены по однодневной переписи ноября 1891. Прочие места — по сведениям уездных управлений. Снижение оседлого населения нельзя без проверки считать исключительно независимым подсчётом миграции.</x:v>
      </x:c>
      <x:c r="D46" s="8" t="str">
        <x:v>вед.4 / PDF47</x:v>
      </x:c>
      <x:c r="E46" s="8" t="str">
        <x:v>https://archive.org/download/obzor_turgaiskoi_oblasti/Обзор Тургайской области за 1891 - RAW.pdf#page=47</x:v>
      </x:c>
      <x:c r="F46" s="8" t="str">
        <x:v>Turgaiskaia_189x(1).xlsx</x:v>
      </x:c>
    </x:row>
    <x:row r="47" ht="60" customHeight="1">
      <x:c r="A47" s="15" t="n">
        <x:v>1891</x:v>
      </x:c>
      <x:c r="B47" s="15" t="str">
        <x:v>Два показателя оттока</x:v>
      </x:c>
      <x:c r="C47" s="15" t="str">
        <x:v>На с.9 выселение оценено в 15.8% оседлого населения, исходя из сокращения численности и естественного прироста. На с.13 говорится о выселении «до 4,400» русских переселенцев из оседлых пунктов. Это разные, несогласованные оценки; они не суммируются.</x:v>
      </x:c>
      <x:c r="D47" s="15" t="str">
        <x:v>с.8–9,13 / PDF14–15,19</x:v>
      </x:c>
      <x:c r="E47" s="15" t="str">
        <x:v>https://archive.org/download/obzor_turgaiskoi_oblasti/Обзор Тургайской области за 1891 - RAW.pdf#page=15</x:v>
      </x:c>
      <x:c r="F47" s="15" t="str">
        <x:v>Turgaiskaia_189x(1).xlsx</x:v>
      </x:c>
    </x:row>
    <x:row r="48" ht="64" customHeight="1">
      <x:c r="A48" s="8" t="n">
        <x:v>1892</x:v>
      </x:c>
      <x:c r="B48" s="8" t="str">
        <x:v>Противоречие даты</x:v>
      </x:c>
      <x:c r="C48" s="8" t="str">
        <x:v>В печати буквально «К 1 января 1892 года», при численности 378,999. Но изменения +0.26% всего, +0.87% кочевого, −7.5% оседлого соответствуют сравнению с концом 1891 (378,024; 349,994; 28,030). Поэтому вероятна опечатка даты вместо 01.01.1893. Это вывод составителя, дата не исправлена молча.</x:v>
      </x:c>
      <x:c r="D48" s="8" t="str">
        <x:v>с.11–12 / PDF14–15</x:v>
      </x:c>
      <x:c r="E48" s="8" t="str">
        <x:v>https://archive.org/download/obzor_turgaiskoi_oblasti/Обзор Тургайской области за 1892 - RAW.pdf#page=14</x:v>
      </x:c>
      <x:c r="F48" s="8" t="str">
        <x:v>Turgaiskaia_189x(1).xlsx</x:v>
      </x:c>
    </x:row>
    <x:row r="49" ht="64" customHeight="1">
      <x:c r="A49" s="15" t="n">
        <x:v>1892</x:v>
      </x:c>
      <x:c r="B49" s="15" t="str">
        <x:v>Отсутствующие приложения</x:v>
      </x:c>
      <x:c r="C49" s="15" t="str">
        <x:v>И OCR, и RAW содержат 34 PDF-страницы и заканчиваются основной печатной с.31. Оглавление перечисляет ведомость 3 о движении оседлого населения, но её изображения в файлах нет. Поэтому рождения и смерти не извлечены; медицинские смерти не подставлены вместо них.</x:v>
      </x:c>
      <x:c r="D49" s="15" t="str">
        <x:v>оглавление PDF3; конец с.31 / PDF34</x:v>
      </x:c>
      <x:c r="E49" s="15" t="str">
        <x:v>https://archive.org/download/obzor_turgaiskoi_oblasti/Обзор Тургайской области за 1892 - RAW.pdf#page=34</x:v>
      </x:c>
      <x:c r="F49" s="15" t="str">
        <x:v>Turgaiskaia_189x(1).xlsx</x:v>
      </x:c>
    </x:row>
    <x:row r="50" ht="60" customHeight="1">
      <x:c r="A50" s="8" t="n">
        <x:v>1893</x:v>
      </x:c>
      <x:c r="B50" s="8" t="str">
        <x:v>Ошибка итога по полу</x:v>
      </x:c>
      <x:c r="C50" s="8" t="str">
        <x:v>Оседлое 27,193 подтверждается суммой территориальных итогов. Мужчины 14,182. В женском итоге напечатано 12,971; сумма женских строк 13,011. Мужской и женский печатные итоги дают 27,153, на 40 меньше общего. Основной общий итог не изменён.</x:v>
      </x:c>
      <x:c r="D50" s="8" t="str">
        <x:v>с.6 / PDF9</x:v>
      </x:c>
      <x:c r="E50" s="8" t="str">
        <x:v>https://archive.org/download/obzor_turgaiskoi_oblasti/Обзор Тургайской области за 1893 - RAW.pdf#page=9</x:v>
      </x:c>
      <x:c r="F50" s="8" t="str">
        <x:v>Turgaiskaia_189x(1).xlsx</x:v>
      </x:c>
    </x:row>
    <x:row r="51" ht="60" customHeight="1">
      <x:c r="A51" s="15" t="n">
        <x:v>1893</x:v>
      </x:c>
      <x:c r="B51" s="15" t="str">
        <x:v>Повтор о Михайловке</x:v>
      </x:c>
      <x:c r="C51" s="15" t="str">
        <x:v>Обзор снова упоминает 61 душу в Михайловке, с оброком с 16.08.1892. Это повтор прежнего эпизода, а не новый приток 61 человека в 1893.</x:v>
      </x:c>
      <x:c r="D51" s="15" t="str">
        <x:v>с.7 / PDF10</x:v>
      </x:c>
      <x:c r="E51" s="15" t="str">
        <x:v>https://archive.org/download/obzor_turgaiskoi_oblasti/Обзор Тургайской области за 1893 - RAW.pdf#page=10</x:v>
      </x:c>
      <x:c r="F51" s="15" t="str">
        <x:v>Turgaiskaia_189x(1).xlsx</x:v>
      </x:c>
    </x:row>
    <x:row r="52" ht="60" customHeight="1">
      <x:c r="A52" s="8" t="n">
        <x:v>1894</x:v>
      </x:c>
      <x:c r="B52" s="8" t="str">
        <x:v>Неполнота метрических записей</x:v>
      </x:c>
      <x:c r="C52" s="8" t="str">
        <x:v>Естественный прирост кочевников 2,058 назван не вполне достоверным. Записи ведут волостные управители и муллы, которых меньше одного на волость. Большие волости, разбросанные зимовки и дальние перекочёвки лишают мулл возможности точных метрических записей.</x:v>
      </x:c>
      <x:c r="D52" s="8" t="str">
        <x:v>с.30 / PDF31</x:v>
      </x:c>
      <x:c r="E52" s="8" t="str">
        <x:v>https://archive.org/download/obzor_turgaiskoi_oblasti/Обзор Тургайской области за 1894 - RAW.pdf#page=31</x:v>
      </x:c>
      <x:c r="F52" s="8" t="str">
        <x:v>Turgaiskaia_189x(1).xlsx</x:v>
      </x:c>
    </x:row>
    <x:row r="53" ht="60" customHeight="1">
      <x:c r="A53" s="15" t="n">
        <x:v>1894</x:v>
      </x:c>
      <x:c r="B53" s="15" t="str">
        <x:v>Компоненты кочевого движения</x:v>
      </x:c>
      <x:c r="C53" s="15" t="str">
        <x:v>В тексте есть кочевой естественный прирост 2,058, но ведомость 6А содержит только оседлые рождения и смерти. Из одного прироста нельзя восстановить отдельные числа рождений и смертей.</x:v>
      </x:c>
      <x:c r="D53" s="15" t="str">
        <x:v>с.30 / PDF31; вед.6А / PDF80</x:v>
      </x:c>
      <x:c r="E53" s="15" t="str">
        <x:v>https://archive.org/download/obzor_turgaiskoi_oblasti/Обзор Тургайской области за 1894 - RAW.pdf#page=80</x:v>
      </x:c>
      <x:c r="F53" s="15" t="str">
        <x:v>Turgaiskaia_189x(1).xlsx</x:v>
      </x:c>
    </x:row>
    <x:row r="54" ht="64" customHeight="1">
      <x:c r="A54" s="8" t="n">
        <x:v>1894</x:v>
      </x:c>
      <x:c r="B54" s="8" t="str">
        <x:v>Смешанный показатель прибывших</x:v>
      </x:c>
      <x:c r="C54" s="8" t="str">
        <x:v>1,476 включает приписанных мещан Оренбургской губернии, действительно приехавших членов семей и ранее проживавших без ведома властей в киргизских аулах переселенцев, впервые приведённых в известность. Следовательно, показатель смешивает прибытие и расширение учёта.</x:v>
      </x:c>
      <x:c r="D54" s="8" t="str">
        <x:v>с.30 / PDF31</x:v>
      </x:c>
      <x:c r="E54" s="8" t="str">
        <x:v>https://archive.org/download/obzor_turgaiskoi_oblasti/Обзор Тургайской области за 1894 - RAW.pdf#page=31</x:v>
      </x:c>
      <x:c r="F54" s="8" t="str">
        <x:v>Turgaiskaia_189x(1).xlsx</x:v>
      </x:c>
    </x:row>
    <x:row r="55" ht="64" customHeight="1">
      <x:c r="A55" s="15" t="n">
        <x:v>1895</x:v>
      </x:c>
      <x:c r="B55" s="15" t="str">
        <x:v>Полнота регистрации</x:v>
      </x:c>
      <x:c r="C55" s="15" t="str">
        <x:v>Источник признаёт, что медицинская статистика не исчерпывает заболеваемость и смертность кочевников: многие лечатся у народных целителей. Отдельно сказано, что неудовлетворительная метрическая отчётность в степи не даёт достоверных данных о смертности. Ведомость 4 имеет все четыре уезда, но это не доказательство полноты.</x:v>
      </x:c>
      <x:c r="D55" s="15" t="str">
        <x:v>с.41 / PDF44; вед.4 / PDF61</x:v>
      </x:c>
      <x:c r="E55" s="15" t="str">
        <x:v>https://archive.org/download/obzor_turgaiskoi_oblasti/Обзор Тургайской области за 1895 - RAW.pdf#page=44</x:v>
      </x:c>
      <x:c r="F55" s="15" t="str">
        <x:v>Turgaiskaia_189x(1).xlsx</x:v>
      </x:c>
    </x:row>
    <x:row r="56" ht="60" customHeight="1">
      <x:c r="A56" s="8" t="n">
        <x:v>1895</x:v>
      </x:c>
      <x:c r="B56" s="8" t="str">
        <x:v>Приписка переселенцев</x:v>
      </x:c>
      <x:c r="C56" s="8" t="str">
        <x:v>К концу года почти закончены работы по причислению уже водворившихся переселенцев к Кустанаю, Актюбинску и трём крестьянским волостям. Число новых прибытий и число выбытий не приведены.</x:v>
      </x:c>
      <x:c r="D56" s="8" t="str">
        <x:v>с.28 / PDF31</x:v>
      </x:c>
      <x:c r="E56" s="8" t="str">
        <x:v>https://archive.org/download/obzor_turgaiskoi_oblasti/Обзор Тургайской области за 1895 - RAW.pdf#page=31</x:v>
      </x:c>
      <x:c r="F56" s="8" t="str">
        <x:v>Turgaiskaia_189x(1).xlsx</x:v>
      </x:c>
    </x:row>
    <x:row r="57" ht="60" customHeight="1">
      <x:c r="A57" s="15" t="n">
        <x:v>1896</x:v>
      </x:c>
      <x:c r="B57" s="15" t="str">
        <x:v>Неполный территориальный охват</x:v>
      </x:c>
      <x:c r="C57" s="15" t="str">
        <x:v>Актюбинский уезд: сведения только по 5 из 12 киргизских волостей. По Иргизскому уезду — «сведений не доставлено». Кустанайский и Тургайский представлены. Сумма этих трёх записей: 7,713 рождений, 4,278 смертей; это неполный кочевой итог.</x:v>
      </x:c>
      <x:c r="D57" s="15" t="str">
        <x:v>вед.4 / PDF73</x:v>
      </x:c>
      <x:c r="E57" s="15" t="str">
        <x:v>https://archive.org/download/obzor_turgaiskoi_oblasti/Обзор Тургайской области за 1896 - RAW.pdf#page=73</x:v>
      </x:c>
      <x:c r="F57" s="15" t="str">
        <x:v>Turgaiskaia_189x(1).xlsx</x:v>
      </x:c>
    </x:row>
    <x:row r="58" ht="60" customHeight="1">
      <x:c r="A58" s="8" t="n">
        <x:v>1896</x:v>
      </x:c>
      <x:c r="B58" s="8" t="str">
        <x:v>Две величины прироста</x:v>
      </x:c>
      <x:c r="C58" s="8" t="str">
        <x:v>В тексте кочевой естественный прирост оценён примерно в 6,000 по материалам Кустанайского и Тургайского уездов, с признанием недостаточности сведений по всей области. Сумма доступных записей ведомости даёт 3,435. Оценка 6,000 и сумма 3,435 имеют разный смысл.</x:v>
      </x:c>
      <x:c r="D58" s="8" t="str">
        <x:v>с.22 / PDF28; вед.4 / PDF73</x:v>
      </x:c>
      <x:c r="E58" s="8" t="str">
        <x:v>https://archive.org/download/obzor_turgaiskoi_oblasti/Обзор Тургайской области за 1896 - RAW.pdf#page=28</x:v>
      </x:c>
      <x:c r="F58" s="8" t="str">
        <x:v>Turgaiskaia_189x(1).xlsx</x:v>
      </x:c>
    </x:row>
    <x:row r="59" ht="60" customHeight="1">
      <x:c r="A59" s="15" t="n">
        <x:v>1896</x:v>
      </x:c>
      <x:c r="B59" s="15" t="str">
        <x:v>Смерти: противоречие печати</x:v>
      </x:c>
      <x:c r="C59" s="15" t="str">
        <x:v>Оседлый итог смертей 1,212 и прирост 939 согласуются с 2,151 рождениями. Но мужская графа 641 + женская 577 = 1,218. В строке Актюбинска 49 + 48 = 97, при напечатанном итоге 91. Сводка сохраняет 1,212 и отмечает разницу 6, без молчаливой правки.</x:v>
      </x:c>
      <x:c r="D59" s="15" t="str">
        <x:v>вед.4 / PDF73</x:v>
      </x:c>
      <x:c r="E59" s="15" t="str">
        <x:v>https://archive.org/download/obzor_turgaiskoi_oblasti/Обзор Тургайской области за 1896 - RAW.pdf#page=73</x:v>
      </x:c>
      <x:c r="F59" s="15" t="str">
        <x:v>Turgaiskaia_189x(1).xlsx</x:v>
      </x:c>
    </x:row>
    <x:row r="60" ht="60" customHeight="1">
      <x:c r="A60" s="8" t="n">
        <x:v>1896</x:v>
      </x:c>
      <x:c r="B60" s="8" t="str">
        <x:v>Ограничение нулевого оттока</x:v>
      </x:c>
      <x:c r="C60" s="8" t="str">
        <x:v>Выселения не было «не считая выбытия отдельных лиц». Это ноль для описанного организованного выселения, а не нулевой общий отток. В Актюбинский уезд прибыло 56 семей, 225 человек.</x:v>
      </x:c>
      <x:c r="D60" s="8" t="str">
        <x:v>с.22 / PDF28</x:v>
      </x:c>
      <x:c r="E60" s="8" t="str">
        <x:v>https://archive.org/download/obzor_turgaiskoi_oblasti/Обзор Тургайской области за 1896 - RAW.pdf#page=28</x:v>
      </x:c>
      <x:c r="F60" s="8" t="str">
        <x:v>Turgaiskaia_189x(1).xlsx</x:v>
      </x:c>
    </x:row>
    <x:row r="61" ht="60" customHeight="1">
      <x:c r="A61" s="15" t="n">
        <x:v>1897</x:v>
      </x:c>
      <x:c r="B61" s="15" t="str">
        <x:v>Нет выпуска</x:v>
      </x:c>
      <x:c r="C61" s="15" t="str">
        <x:v>В подборке нет выпуска 1897. Оценка 421,688 на 01.01.1897 принадлежит выпуску 1896 и не является концегодовой оценкой 1897. Данные переписи 1897 вместо Обзора не подставлялись.</x:v>
      </x:c>
      <x:c r="D61" s="15" t="str">
        <x:v>перечень файлов подборки</x:v>
      </x:c>
      <x:c r="E61" s="15" t="str">
        <x:v>https://archive.org/download/obzor_turgaiskoi_oblasti</x:v>
      </x:c>
      <x:c r="F61" s="15" t="str">
        <x:v>Turgaiskaia_189x(1).xlsx</x:v>
      </x:c>
    </x:row>
    <x:row r="62" ht="60" customHeight="1">
      <x:c r="A62" s="8" t="n">
        <x:v>1898</x:v>
      </x:c>
      <x:c r="B62" s="8" t="str">
        <x:v>Нет выпуска</x:v>
      </x:c>
      <x:c r="C62" s="8" t="str">
        <x:v>В подборке нет выпуска 1898. Проверенные соседние Обзоры не дали ретроспективной годовой таблицы населения, рождений, смертей или миграционных потоков за 1898.</x:v>
      </x:c>
      <x:c r="D62" s="8" t="str">
        <x:v>перечень файлов подборки</x:v>
      </x:c>
      <x:c r="E62" s="8" t="str">
        <x:v>https://archive.org/download/obzor_turgaiskoi_oblasti</x:v>
      </x:c>
      <x:c r="F62" s="8" t="str">
        <x:v>Turgaiskaia_189x(1).xlsx</x:v>
      </x:c>
    </x:row>
    <x:row r="63" ht="60" customHeight="1">
      <x:c r="A63" s="15" t="n">
        <x:v>1899</x:v>
      </x:c>
      <x:c r="B63" s="15" t="str">
        <x:v>Охват и полнота</x:v>
      </x:c>
      <x:c r="C63" s="15" t="str">
        <x:v>Ведомость движения содержит оседлые места и киргизские волости всех четырёх уездов. В разделе о населении нет прямой оговорки о полноте метрической регистрации. Отсутствие оговорки не означает доказанной полноты учёта.</x:v>
      </x:c>
      <x:c r="D63" s="15" t="str">
        <x:v>с.9 / PDF12; вед.4 / PDF55</x:v>
      </x:c>
      <x:c r="E63" s="15" t="str">
        <x:v>https://archive.org/download/obzor_turgaiskoi_oblasti/Обзор Тургайской области за 1899 - RAW.pdf#page=12</x:v>
      </x:c>
      <x:c r="F63" s="15" t="str">
        <x:v>Turgaiskaia_189x(1).xlsx</x:v>
      </x:c>
    </x:row>
    <x:row r="64" ht="60" customHeight="1">
      <x:c r="A64" s="8" t="n">
        <x:v>1899</x:v>
      </x:c>
      <x:c r="B64" s="8" t="str">
        <x:v>Ошибка процентного итога</x:v>
      </x:c>
      <x:c r="C64" s="8" t="str">
        <x:v>Естественный прирост 1,037 + 5,209 = 6,246. В тексте общий прирост обозначен 2.75%; из опубликованного населения 445,079 получается около 1.40%. Процент 2.75 не использован для пересчёта абсолютных чисел.</x:v>
      </x:c>
      <x:c r="D64" s="8" t="str">
        <x:v>с.9 / PDF12</x:v>
      </x:c>
      <x:c r="E64" s="8" t="str">
        <x:v>https://archive.org/download/obzor_turgaiskoi_oblasti/Обзор Тургайской области за 1899 - RAW.pdf#page=12</x:v>
      </x:c>
      <x:c r="F64" s="8" t="str">
        <x:v>Turgaiskaia_189x(1).xlsx</x:v>
      </x:c>
    </x:row>
    <x:row r="65" ht="60" customHeight="1">
      <x:c r="A65" s="15" t="n">
        <x:v>1899</x:v>
      </x:c>
      <x:c r="B65" s="15" t="str">
        <x:v>Миграция без численного потока</x:v>
      </x:c>
      <x:c r="C65" s="15" t="str">
        <x:v>Сказано, что Актюбинский и Кустанайский уезды привлекли много русских переселенцев, а наплыв усиливает недостаток леса. Это описание последних лет; годового числа прибывших или выбывших за 1899 нет.</x:v>
      </x:c>
      <x:c r="D65" s="15" t="str">
        <x:v>с.1,4 / PDF4,7</x:v>
      </x:c>
      <x:c r="E65" s="15" t="str">
        <x:v>https://archive.org/download/obzor_turgaiskoi_oblasti/Обзор Тургайской области за 1899 - RAW.pdf#page=4</x:v>
      </x:c>
      <x:c r="F65" s="15" t="str">
        <x:v>Turgaiskaia_189x(1).xlsx</x:v>
      </x:c>
    </x:row>
    <x:row r="66" ht="64" customHeight="1">
      <x:c r="A66" s="8" t="str">
        <x:v>Все годы</x:v>
      </x:c>
      <x:c r="B66" s="8" t="str">
        <x:v>Единицы и пропуски</x:v>
      </x:c>
      <x:c r="C66" s="8" t="str">
        <x:v>Рождения и смерти — опубликованные сведения за отчётный год, без поправки на недоучёт. н/д и пустая числовая ячейка означают отсутствие числа, а не ноль. Историческое название «киргизы» относится преимущественно к казахам. Оседлое/кочевое не тождественно русские/казахи.</x:v>
      </x:c>
      <x:c r="D66" s="8" t="str">
        <x:v>Демографические разделы и ведомости</x:v>
      </x:c>
      <x:c r="E66" s="8" t="str">
        <x:v>https://archive.org/download/obzor_turgaiskoi_oblasti/Обзор Тургайской области за 1909 - RAW.pdf#page=15</x:v>
      </x:c>
      <x:c r="F66" s="8" t="str">
        <x:v>Turgaiskaia_190x(1).xlsx</x:v>
      </x:c>
    </x:row>
    <x:row r="67" ht="64" customHeight="1">
      <x:c r="A67" s="15" t="str">
        <x:v>1900–1901</x:v>
      </x:c>
      <x:c r="B67" s="15" t="str">
        <x:v>Численность без прямого разделения</x:v>
      </x:c>
      <x:c r="C67" s="15" t="str">
        <x:v>Прямых итогов численности оседлого и кочевого населения нет. Сословные ведомости дают киргизов 417127 в 1900 и 422368 в 1901. Разности общего населения и этих величин 44389 и 66511 относятся к прочим сословиям. Это другое деление: в киргизском сословии есть городские жители. Поэтому эти числа не подставлены в основные оседлую/кочевую колонки.</x:v>
      </x:c>
      <x:c r="D67" s="15" t="str">
        <x:v>1900 вед.14 / PDF59;1901 вед.14 / PDF83</x:v>
      </x:c>
      <x:c r="E67" s="15" t="str">
        <x:v>https://archive.org/download/obzor_turgaiskoi_oblasti/Обзор Тургайской области за 1900 - RAW.pdf#page=59</x:v>
      </x:c>
      <x:c r="F67" s="15" t="str">
        <x:v>Turgaiskaia_190x(1).xlsx</x:v>
      </x:c>
    </x:row>
    <x:row r="68" ht="60" customHeight="1">
      <x:c r="A68" s="8" t="n">
        <x:v>1900</x:v>
      </x:c>
      <x:c r="B68" s="8" t="str">
        <x:v>Дата приложения</x:v>
      </x:c>
      <x:c r="C68" s="8" t="str">
        <x:v>На титуле вед.4 напечатано «за 1902 год». Числа на следующем развороте совпадают с демографическим текстом выпуска 1900. В сводке отнесены к 1900 с оговоркой о неверном титуле. Число смертей кочевого населения 8170 подтверждается 4349+3821.</x:v>
      </x:c>
      <x:c r="D68" s="8" t="str">
        <x:v>с.5 / PDF6; вед.4 / PDF38-39</x:v>
      </x:c>
      <x:c r="E68" s="8" t="str">
        <x:v>https://archive.org/download/obzor_turgaiskoi_oblasti/Обзор Тургайской области за 1900 - RAW.pdf#page=38</x:v>
      </x:c>
      <x:c r="F68" s="8" t="str">
        <x:v>Turgaiskaia_190x(1).xlsx</x:v>
      </x:c>
    </x:row>
    <x:row r="69" ht="60" customHeight="1">
      <x:c r="A69" s="15" t="n">
        <x:v>1901</x:v>
      </x:c>
      <x:c r="B69" s="15" t="str">
        <x:v>Опечатка рождений</x:v>
      </x:c>
      <x:c r="C69" s="15" t="str">
        <x:v>В тексте оседлый итог рождений 3111. Сумма 1635+1482, итог вед.4 и естественный прирост 1593 при 1524 смертях подтверждают 3117. В основной строке выбран явно опубликованный итог приложения 3117.</x:v>
      </x:c>
      <x:c r="D69" s="15" t="str">
        <x:v>с.5 / PDF9; вед.4 / PDF53</x:v>
      </x:c>
      <x:c r="E69" s="15" t="str">
        <x:v>https://archive.org/download/obzor_turgaiskoi_oblasti/Обзор Тургайской области за 1901 - RAW.pdf#page=53</x:v>
      </x:c>
      <x:c r="F69" s="15" t="str">
        <x:v>Turgaiskaia_190x(1).xlsx</x:v>
      </x:c>
    </x:row>
    <x:row r="70" ht="64" customHeight="1">
      <x:c r="A70" s="8" t="str">
        <x:v>1900–1905,1907</x:v>
      </x:c>
      <x:c r="B70" s="8" t="str">
        <x:v>Оседлый территориальный охват</x:v>
      </x:c>
      <x:c r="C70" s="8" t="str">
        <x:v>Вед.4 перечисляет Актюбинск, Кустанай, русские волости Кустанайского уезда, Иргиз, Карабутак и Тургай. Русские сельские волости Актюбинского уезда отдельной строкой не показаны. Поэтому оседлый итог таблицы нельзя без проверки считать полным охватом всех сельских поселений области.</x:v>
      </x:c>
      <x:c r="D70" s="8" t="str">
        <x:v>Вед.4 соответствующих выпусков; например 1907 PDF40</x:v>
      </x:c>
      <x:c r="E70" s="8" t="str">
        <x:v>https://archive.org/download/obzor_turgaiskoi_oblasti/Обзор Тургайской области за 1907 - RAW.pdf#page=40</x:v>
      </x:c>
      <x:c r="F70" s="8" t="str">
        <x:v>Turgaiskaia_190x(1).xlsx</x:v>
      </x:c>
    </x:row>
    <x:row r="71" ht="60" customHeight="1">
      <x:c r="A71" s="15" t="str">
        <x:v>1900–1908</x:v>
      </x:c>
      <x:c r="B71" s="15" t="str">
        <x:v>Кочевой охват</x:v>
      </x:c>
      <x:c r="C71" s="15" t="str">
        <x:v>В проверенных ведомостях представлены киргизские волости всех четырёх уездов. Это территориальный состав таблицы, а не доказательство полноты регистрации каждого рождения и смерти. Для 1906 годовой ведомости в имеющемся файле нет.</x:v>
      </x:c>
      <x:c r="D71" s="15" t="str">
        <x:v>Вед.4; для прямой оговорки см.1909 с.14</x:v>
      </x:c>
      <x:c r="E71" s="15" t="str">
        <x:v>https://archive.org/download/obzor_turgaiskoi_oblasti/Обзор Тургайской области за 1909 - RAW.pdf#page=17</x:v>
      </x:c>
      <x:c r="F71" s="15" t="str">
        <x:v>Turgaiskaia_190x(1).xlsx</x:v>
      </x:c>
    </x:row>
    <x:row r="72" ht="60" customHeight="1">
      <x:c r="A72" s="8" t="n">
        <x:v>1902</x:v>
      </x:c>
      <x:c r="B72" s="8" t="str">
        <x:v>Два итога населения</x:v>
      </x:c>
      <x:c r="C72" s="8" t="str">
        <x:v>Оседлое 77716+кочевое 422754=500470. Общая соседняя таблица даёт 261669 мужчин+237454 женщин=499123. Разница−1347. Сохранены обе версии. Собственная дата таблицы оседлого/кочевого не указана; дата общей таблицы 01.01.1903.</x:v>
      </x:c>
      <x:c r="D72" s="8" t="str">
        <x:v>с.3-4 / PDF7-8</x:v>
      </x:c>
      <x:c r="E72" s="8" t="str">
        <x:v>https://archive.org/download/obzor_turgaiskoi_oblasti/Обзор Тургайской области за 1902 - RAW.pdf#page=7</x:v>
      </x:c>
      <x:c r="F72" s="8" t="str">
        <x:v>Turgaiskaia_190x(1).xlsx</x:v>
      </x:c>
    </x:row>
    <x:row r="73" ht="60" customHeight="1">
      <x:c r="A73" s="15" t="n">
        <x:v>1902</x:v>
      </x:c>
      <x:c r="B73" s="15" t="str">
        <x:v>Миграция внутри области</x:v>
      </x:c>
      <x:c r="C73" s="15" t="str">
        <x:v>Переход казахов из Кустанайского в Тургайский уезд объясняется образованием переселенческих участков и стеснением кочёвок. Число людей не дано. Не учитывать это как внешнее выбытие из области.</x:v>
      </x:c>
      <x:c r="D73" s="15" t="str">
        <x:v>с.26 / PDF30</x:v>
      </x:c>
      <x:c r="E73" s="15" t="str">
        <x:v>https://archive.org/download/obzor_turgaiskoi_oblasti/Обзор Тургайской области за 1902 - RAW.pdf#page=30</x:v>
      </x:c>
      <x:c r="F73" s="15" t="str">
        <x:v>Turgaiskaia_190x(1).xlsx</x:v>
      </x:c>
    </x:row>
    <x:row r="74" ht="60" customHeight="1">
      <x:c r="A74" s="8" t="str">
        <x:v>1900–1902</x:v>
      </x:c>
      <x:c r="B74" s="8" t="str">
        <x:v>Ёмкость участков</x:v>
      </x:c>
      <x:c r="C74" s="8" t="str">
        <x:v>Ретроспективный раздел сообщает об участках в Кустанайском уезде:1900—50 участков на 25256 мужских душ;1901—15 на 7482;1902—23 на 10400. Это характеристики образованных участков. Они не образуют независимого годового потока мигрантов.</x:v>
      </x:c>
      <x:c r="D74" s="8" t="str">
        <x:v>Обзор 1902, с.5 / PDF9; повтор 1903, с.4 / PDF5</x:v>
      </x:c>
      <x:c r="E74" s="8" t="str">
        <x:v>https://archive.org/download/obzor_turgaiskoi_oblasti/Обзор Тургайской области за 1902 - RAW.pdf#page=9</x:v>
      </x:c>
      <x:c r="F74" s="8" t="str">
        <x:v>Turgaiskaia_190x(1).xlsx</x:v>
      </x:c>
    </x:row>
    <x:row r="75" ht="60" customHeight="1">
      <x:c r="A75" s="15" t="n">
        <x:v>1903</x:v>
      </x:c>
      <x:c r="B75" s="15" t="str">
        <x:v>Два итога населения</x:v>
      </x:c>
      <x:c r="C75" s="15" t="str">
        <x:v>Оседлое 83008+кочевое 420623=503631. В общей таблице 270573+244172=514745, на 11114 больше. Обе величины сохранены. Дата общей таблицы 01.01.1904.</x:v>
      </x:c>
      <x:c r="D75" s="15" t="str">
        <x:v>с.2-3 / PDF3-4</x:v>
      </x:c>
      <x:c r="E75" s="15" t="str">
        <x:v>https://archive.org/download/obzor_turgaiskoi_oblasti/Обзор Тургайской области за 1903 - RAW.pdf#page=4</x:v>
      </x:c>
      <x:c r="F75" s="15" t="str">
        <x:v>Turgaiskaia_190x(1).xlsx</x:v>
      </x:c>
    </x:row>
    <x:row r="76" ht="64" customHeight="1">
      <x:c r="A76" s="8" t="n">
        <x:v>1903</x:v>
      </x:c>
      <x:c r="B76" s="8" t="str">
        <x:v>Водворение и новый приезд</x:v>
      </x:c>
      <x:c r="C76" s="8" t="str">
        <x:v>В таблице Кустанайского уезда ёмкость 42650 мужских душ, зачислено 30569, водворено 7701. Показатели относятся к административному устройству. Источник не позволяет превратить 7701 в полный годовой внешний приток обоего пола. Сказано, что введение общественного управления и списков уменьшило новый самовольный наплыв.</x:v>
      </x:c>
      <x:c r="D76" s="8" t="str">
        <x:v>с.17-18 / PDF18-19</x:v>
      </x:c>
      <x:c r="E76" s="8" t="str">
        <x:v>https://archive.org/download/obzor_turgaiskoi_oblasti/Обзор Тургайской области за 1903 - RAW.pdf#page=18</x:v>
      </x:c>
      <x:c r="F76" s="8" t="str">
        <x:v>Turgaiskaia_190x(1).xlsx</x:v>
      </x:c>
    </x:row>
    <x:row r="77" ht="64" customHeight="1">
      <x:c r="A77" s="15" t="n">
        <x:v>1904</x:v>
      </x:c>
      <x:c r="B77" s="15" t="str">
        <x:v>Дата и итоги населения</x:v>
      </x:c>
      <x:c r="C77" s="15" t="str">
        <x:v>Напечатано 01.01.1904, хотя выпуск за 1904 и события ниже относятся к 1904. Возможно, дата осталась от прежнего текста. Дата не заменена автоматически на 1905. Оседлое 100095+кочевое 435735=535830; общая таблица 279471+253561=533032. Сумма уездных оседлых строк 100100, на 5 больше напечатанного итога.</x:v>
      </x:c>
      <x:c r="D77" s="15" t="str">
        <x:v>с.2-3 / PDF6-7</x:v>
      </x:c>
      <x:c r="E77" s="15" t="str">
        <x:v>https://archive.org/download/obzor_turgaiskoi_oblasti/Обзор Тургайской области за 1904 - RAW.pdf#page=7</x:v>
      </x:c>
      <x:c r="F77" s="15" t="str">
        <x:v>Turgaiskaia_190x(1).xlsx</x:v>
      </x:c>
    </x:row>
    <x:row r="78" ht="60" customHeight="1">
      <x:c r="A78" s="8" t="n">
        <x:v>1904</x:v>
      </x:c>
      <x:c r="B78" s="8" t="str">
        <x:v>Опечатка рождений</x:v>
      </x:c>
      <x:c r="C78" s="8" t="str">
        <x:v>В тексте оседлый итог 5855, при 3165+2720=5885. Вед.4 прямо печатает 5885, и прирост 2361 соответствует 5885−3524. В основной строке принято 5885 из приложения.</x:v>
      </x:c>
      <x:c r="D78" s="8" t="str">
        <x:v>с.3 / PDF7; вед.4 / PDF37</x:v>
      </x:c>
      <x:c r="E78" s="8" t="str">
        <x:v>https://archive.org/download/obzor_turgaiskoi_oblasti/Обзор Тургайской области за 1904 - RAW.pdf#page=37</x:v>
      </x:c>
      <x:c r="F78" s="8" t="str">
        <x:v>Turgaiskaia_190x(1).xlsx</x:v>
      </x:c>
    </x:row>
    <x:row r="79" ht="60" customHeight="1">
      <x:c r="A79" s="15" t="n">
        <x:v>1905</x:v>
      </x:c>
      <x:c r="B79" s="15" t="str">
        <x:v>Дата и итоги населения</x:v>
      </x:c>
      <x:c r="C79" s="15" t="str">
        <x:v>Напечатано 01.01.1905. Это начало отчётного года по буквальному прочтению, но возможна повторенная ошибка даты. Самостоятельная дата таблицы оседлого/кочевого не дана.123913+421550=545463; общая таблица 295406+264559=559965, разница 14502.</x:v>
      </x:c>
      <x:c r="D79" s="15" t="str">
        <x:v>с.2-3 / PDF6-7</x:v>
      </x:c>
      <x:c r="E79" s="15" t="str">
        <x:v>https://archive.org/download/obzor_turgaiskoi_oblasti/Обзор Тургайской области за 1905 - RAW.pdf#page=7</x:v>
      </x:c>
      <x:c r="F79" s="15" t="str">
        <x:v>Turgaiskaia_190x(1).xlsx</x:v>
      </x:c>
    </x:row>
    <x:row r="80" ht="60" customHeight="1">
      <x:c r="A80" s="8" t="n">
        <x:v>1906</x:v>
      </x:c>
      <x:c r="B80" s="8" t="str">
        <x:v>Итоги населения</x:v>
      </x:c>
      <x:c r="C80" s="8" t="str">
        <x:v>Напечатанные итоги 146454+440608=587062. Сумма оседлых уездных строк 146464, кочевых 440609. Общая таблица по полу 309078+276973=586051. Эти расхождения оставлены явно.</x:v>
      </x:c>
      <x:c r="D80" s="8" t="str">
        <x:v>с.2 / PDF3</x:v>
      </x:c>
      <x:c r="E80" s="8" t="str">
        <x:v>https://archive.org/download/obzor_turgaiskoi_oblasti/Обзор Тургайской области за 1906 - RAW.pdf#page=3</x:v>
      </x:c>
      <x:c r="F80" s="8" t="str">
        <x:v>Turgaiskaia_190x(1).xlsx</x:v>
      </x:c>
    </x:row>
    <x:row r="81" ht="64" customHeight="1">
      <x:c r="A81" s="15" t="n">
        <x:v>1906</x:v>
      </x:c>
      <x:c r="B81" s="15" t="str">
        <x:v>Чужие страницы в файле</x:v>
      </x:c>
      <x:c r="C81" s="15" t="str">
        <x:v>RAW1906 содержит 39PDF-страниц. После основной части Тургайского обзора идут страницы об Иркутской губернии; наPDF27 напечатано «за 1892 год». СPDF29 приложения названы Тургайскими за 1881. Поэтому эти страницы не использованы как сведения 1906, и годовые приложения 1906 не восстановлены из них.</x:v>
      </x:c>
      <x:c r="D81" s="15" t="str">
        <x:v>PDF15-28: Иркутск; PDF27:1892; PDF29-39:Тургай 1881</x:v>
      </x:c>
      <x:c r="E81" s="15" t="str">
        <x:v>https://archive.org/download/obzor_turgaiskoi_oblasti/Обзор Тургайской области за 1906 - RAW.pdf#page=29</x:v>
      </x:c>
      <x:c r="F81" s="15" t="str">
        <x:v>Turgaiskaia_190x(1).xlsx</x:v>
      </x:c>
    </x:row>
    <x:row r="82" ht="64" customHeight="1">
      <x:c r="A82" s="8" t="str">
        <x:v>1906–1908</x:v>
      </x:c>
      <x:c r="B82" s="8" t="str">
        <x:v>Противоречие ретроспективных дат</x:v>
      </x:c>
      <x:c r="C82" s="8" t="str">
        <x:v>Обзор 1909, табл.1, ставит под заголовком «к 1 января»146454/440608 в 1906,155629/441195 в 1907,175725/438446 в 1908. В исходных выпусках общие таблицы датированы 01.01.1907,01.01.1908,01.01.1909 соответственно. Ретроспективная подпись не использована для молчаливого сдвига ряда.</x:v>
      </x:c>
      <x:c r="D82" s="8" t="str">
        <x:v>Обзор 1909, с.13 / PDF16, табл.1</x:v>
      </x:c>
      <x:c r="E82" s="8" t="str">
        <x:v>https://archive.org/download/obzor_turgaiskoi_oblasti/Обзор Тургайской области за 1909 - RAW.pdf#page=16</x:v>
      </x:c>
      <x:c r="F82" s="8" t="str">
        <x:v>Turgaiskaia_190x(1).xlsx</x:v>
      </x:c>
    </x:row>
    <x:row r="83" ht="60" customHeight="1">
      <x:c r="A83" s="15" t="n">
        <x:v>1907</x:v>
      </x:c>
      <x:c r="B83" s="15" t="str">
        <x:v>Два итога населения</x:v>
      </x:c>
      <x:c r="C83" s="15" t="str">
        <x:v>Оседлое 155629+кочевое 441195=596824. Общая таблица 316821+281003=597824, разница 1000. Уездные суммы оседлого и кочевого согласуются с соответствующими итогами.</x:v>
      </x:c>
      <x:c r="D83" s="15" t="str">
        <x:v>с.2 / PDF8</x:v>
      </x:c>
      <x:c r="E83" s="15" t="str">
        <x:v>https://archive.org/download/obzor_turgaiskoi_oblasti/Обзор Тургайской области за 1907 - RAW.pdf#page=8</x:v>
      </x:c>
      <x:c r="F83" s="15" t="str">
        <x:v>Turgaiskaia_190x(1).xlsx</x:v>
      </x:c>
    </x:row>
    <x:row r="84" ht="64" customHeight="1">
      <x:c r="A84" s="8" t="n">
        <x:v>1907</x:v>
      </x:c>
      <x:c r="B84" s="8" t="str">
        <x:v>Две версии миграции</x:v>
      </x:c>
      <x:c r="C84" s="8" t="str">
        <x:v>В специальном разделе 16234 переселенца обоего пола за календарный год. Ретроспектива 1909 даёт 30398 всех прибывших и 21886 родившихся, разность 8512. Это не согласованные показатели, их нельзя суммировать. Освобождённые 442 доли 142 семей не равны полному внешнему оттоку.</x:v>
      </x:c>
      <x:c r="D84" s="8" t="str">
        <x:v>1907 с.22 / PDF28;1909 с.13 / PDF16</x:v>
      </x:c>
      <x:c r="E84" s="8" t="str">
        <x:v>https://archive.org/download/obzor_turgaiskoi_oblasti/Обзор Тургайской области за 1907 - RAW.pdf#page=28</x:v>
      </x:c>
      <x:c r="F84" s="8" t="str">
        <x:v>Turgaiskaia_190x(1).xlsx</x:v>
      </x:c>
    </x:row>
    <x:row r="85" ht="64" customHeight="1">
      <x:c r="A85" s="15" t="n">
        <x:v>1908</x:v>
      </x:c>
      <x:c r="B85" s="15" t="str">
        <x:v>Две версии рождений и смертей</x:v>
      </x:c>
      <x:c r="C85" s="15" t="str">
        <x:v>Текст: рождения 10607 оседлых+14120 кочевых=24727; смерти 7059+8687=15746. Вед.4: рождения 11334+14859=26193; смерти 7420+9342=16762. Основная строка сохраняет версию текста, повторённую в ретроспективе 1909. Версия приложения также приведена полностью. Однозначного согласования нет.</x:v>
      </x:c>
      <x:c r="D85" s="15" t="str">
        <x:v>с.2 / PDF8; вед.4 / PDF45-46;1909 табл.2,4</x:v>
      </x:c>
      <x:c r="E85" s="15" t="str">
        <x:v>https://archive.org/download/obzor_turgaiskoi_oblasti/Обзор Тургайской области за 1908 - RAW.pdf#page=46</x:v>
      </x:c>
      <x:c r="F85" s="15" t="str">
        <x:v>Turgaiskaia_190x(1).xlsx</x:v>
      </x:c>
    </x:row>
    <x:row r="86" ht="64" customHeight="1">
      <x:c r="A86" s="8" t="n">
        <x:v>1908</x:v>
      </x:c>
      <x:c r="B86" s="8" t="str">
        <x:v>Арифметика текста и охват приложения</x:v>
      </x:c>
      <x:c r="C86" s="8" t="str">
        <x:v>В тексте 3728+3330=7058 против напечатанных 7059 смертей оседлых. Напечатанный кочевой прирост 6433 вместо 14120−8687=5433, общий 9982 вместо 24727−15746=8981. Вед.4 отдельно включает русские волости Актюбинского уезда:261 рождение и 255 смертей; простым добавлением этой строки всех расхождений с текстом не объяснить.</x:v>
      </x:c>
      <x:c r="D86" s="8" t="str">
        <x:v>с.2 / PDF8; вед.4 / PDF46</x:v>
      </x:c>
      <x:c r="E86" s="8" t="str">
        <x:v>https://archive.org/download/obzor_turgaiskoi_oblasti/Обзор Тургайской области за 1908 - RAW.pdf#page=46</x:v>
      </x:c>
      <x:c r="F86" s="8" t="str">
        <x:v>Turgaiskaia_190x(1).xlsx</x:v>
      </x:c>
    </x:row>
    <x:row r="87" ht="60" customHeight="1">
      <x:c r="A87" s="15" t="n">
        <x:v>1908</x:v>
      </x:c>
      <x:c r="B87" s="15" t="str">
        <x:v>Арифметика населения</x:v>
      </x:c>
      <x:c r="C87" s="15" t="str">
        <x:v>175725+438446=614171; общая таблица 325085+289086=614171. Сумма кочевых уездных строк 438447, на 1 больше напечатанного итога 438446.</x:v>
      </x:c>
      <x:c r="D87" s="15" t="str">
        <x:v>с.2 / PDF8</x:v>
      </x:c>
      <x:c r="E87" s="15" t="str">
        <x:v>https://archive.org/download/obzor_turgaiskoi_oblasti/Обзор Тургайской области за 1908 - RAW.pdf#page=8</x:v>
      </x:c>
      <x:c r="F87" s="15" t="str">
        <x:v>Turgaiskaia_190x(1).xlsx</x:v>
      </x:c>
    </x:row>
    <x:row r="88" ht="64" customHeight="1">
      <x:c r="A88" s="8" t="n">
        <x:v>1909</x:v>
      </x:c>
      <x:c r="B88" s="8" t="str">
        <x:v>Начало и конец года</x:v>
      </x:c>
      <x:c r="C88" s="8" t="str">
        <x:v>Табл.3 даёт на 01.01.1909 оседлое 206751, кочевое 445290, всего 652041. Табл.6 на 01.01.1910:227760+452750=680510. Рост 28469. Начальная оценка 652041 на 37870 выше 614171 в исходном Обзоре 1908 с той же датой. Это разрыв учётных оценок, не автоматически дополнительный миграционный поток.</x:v>
      </x:c>
      <x:c r="D88" s="8" t="str">
        <x:v>с.13,15 / PDF16,18, табл.3,6</x:v>
      </x:c>
      <x:c r="E88" s="8" t="str">
        <x:v>https://archive.org/download/obzor_turgaiskoi_oblasti/Обзор Тургайской области за 1909 - RAW.pdf#page=16</x:v>
      </x:c>
      <x:c r="F88" s="8" t="str">
        <x:v>Turgaiskaia_190x(1).xlsx</x:v>
      </x:c>
    </x:row>
    <x:row r="89" ht="60" customHeight="1">
      <x:c r="A89" s="15" t="n">
        <x:v>1909</x:v>
      </x:c>
      <x:c r="B89" s="15" t="str">
        <x:v>Опечатка общего итога смертей</x:v>
      </x:c>
      <x:c r="C89" s="15" t="str">
        <x:v>Табл.5: кочевые 8985, оседлые 9261, сумма 18246. В общем итоге напечатано 18216. Общая убыль 19601 согласуется с 18246+1355 выбывших, а не с 18216. Компоненты 8985 и 9261 сохранены; в основной сумме формулой 18246.</x:v>
      </x:c>
      <x:c r="D89" s="15" t="str">
        <x:v>с.14 / PDF17, табл.5</x:v>
      </x:c>
      <x:c r="E89" s="15" t="str">
        <x:v>https://archive.org/download/obzor_turgaiskoi_oblasti/Обзор Тургайской области за 1909 - RAW.pdf#page=17</x:v>
      </x:c>
      <x:c r="F89" s="15" t="str">
        <x:v>Turgaiskaia_190x(1).xlsx</x:v>
      </x:c>
    </x:row>
    <x:row r="90" ht="60" customHeight="1">
      <x:c r="A90" s="8" t="n">
        <x:v>1909</x:v>
      </x:c>
      <x:c r="B90" s="8" t="str">
        <x:v>Баланс внутри выпуска</x:v>
      </x:c>
      <x:c r="C90" s="8" t="str">
        <x:v>Рождения 26045, зарегистрированный приток 22025, смерти 18246, учётное выбытие 1355.26045+22025−18246−1355=28469, точно совпадает с 680510−652041. Согласованность арифметики не подтверждает полноту регистрации.</x:v>
      </x:c>
      <x:c r="D90" s="8" t="str">
        <x:v>с.13-15 / PDF16-18</x:v>
      </x:c>
      <x:c r="E90" s="8" t="str">
        <x:v>https://archive.org/download/obzor_turgaiskoi_oblasti/Обзор Тургайской области за 1909 - RAW.pdf#page=18</x:v>
      </x:c>
      <x:c r="F90" s="8" t="str">
        <x:v>Turgaiskaia_190x(1).xlsx</x:v>
      </x:c>
    </x:row>
    <x:row r="91" ht="64" customHeight="1">
      <x:c r="A91" s="15" t="n">
        <x:v>1909</x:v>
      </x:c>
      <x:c r="B91" s="15" t="str">
        <x:v>Отсутствие метрических книг</x:v>
      </x:c>
      <x:c r="C91" s="15" t="str">
        <x:v>Прямо сказано, что в киргизских волостях метрических книг о рождениях, браках и смертях не ведётся. Все цифровые данные поступают от аульных старшин и волостных управителей, поэтому выводы о приросте нельзя признать вполне верными. Утверждение администрации о возможном искажении сведений до 1/3 и повышении «прироста» до 4–4½% не использовано как готовый коэффициент поправки.</x:v>
      </x:c>
      <x:c r="D91" s="15" t="str">
        <x:v>с.14 / PDF17</x:v>
      </x:c>
      <x:c r="E91" s="15" t="str">
        <x:v>https://archive.org/download/obzor_turgaiskoi_oblasti/Обзор Тургайской области за 1909 - RAW.pdf#page=17</x:v>
      </x:c>
      <x:c r="F91" s="15" t="str">
        <x:v>Turgaiskaia_190x(1).xlsx</x:v>
      </x:c>
    </x:row>
    <x:row r="92" ht="64" customHeight="1">
      <x:c r="A92" s="8" t="n">
        <x:v>1909</x:v>
      </x:c>
      <x:c r="B92" s="8" t="str">
        <x:v>Объяснение высокой оседлой смертности</x:v>
      </x:c>
      <x:c r="C92" s="8" t="str">
        <x:v>Авторы связывают её с плохим урожаем, бедностью новосёлов, холодными и сырыми домами из дерна/глины, содержанием телят и других животных в жилье, плохим питанием и отсутствием присмотра за детьми во время полевых работ. Это объяснение источника, отдельной оценкой недоучёта оседлого населения оно не является.</x:v>
      </x:c>
      <x:c r="D92" s="8" t="str">
        <x:v>с.14-15 / PDF17-18</x:v>
      </x:c>
      <x:c r="E92" s="8" t="str">
        <x:v>https://archive.org/download/obzor_turgaiskoi_oblasti/Обзор Тургайской области за 1909 - RAW.pdf#page=17</x:v>
      </x:c>
      <x:c r="F92" s="8" t="str">
        <x:v>Turgaiskaia_190x(1).xlsx</x:v>
      </x:c>
    </x:row>
    <x:row r="93" ht="64" customHeight="1">
      <x:c r="A93" s="15" t="str">
        <x:v>Все годы</x:v>
      </x:c>
      <x:c r="B93" s="15" t="str">
        <x:v>Миграция и административный учёт</x:v>
      </x:c>
      <x:c r="C93" s="15" t="str">
        <x:v>Прибытие в область, зачисление доли, водворение и освобождение участка имеют разные единицы и моменты. Уже проживающих переселенцев могут зачислить позднее. Оставление участка может означать движение внутри области. Общего внешнего оттока в большинстве выпусков нет; пропуск не превращён в ноль.</x:v>
      </x:c>
      <x:c r="D93" s="15" t="str">
        <x:v>Переселенческие разделы 1903,1907–1909</x:v>
      </x:c>
      <x:c r="E93" s="15" t="str">
        <x:v>https://archive.org/download/obzor_turgaiskoi_oblasti/Обзор Тургайской области за 1909 - RAW.pdf#page=101</x:v>
      </x:c>
      <x:c r="F93" s="15" t="str">
        <x:v>Turgaiskaia_190x(1).xlsx</x:v>
      </x:c>
    </x:row>
    <x:row r="94" ht="60" customHeight="1">
      <x:c r="A94" s="8" t="str">
        <x:v>Все</x:v>
      </x:c>
      <x:c r="B94" s="8" t="str">
        <x:v>Определения</x:v>
      </x:c>
      <x:c r="C94" s="8" t="str">
        <x:v>Год — отчётный год выпуска. Дата населения сохранена отдельно. Рождения и смерти оставлены регистрационными величинами. Историческое название «киргизы» относится преимущественно к казахам.</x:v>
      </x:c>
      <x:c r="D94" s="8" t="str">
        <x:v>Методика сводки</x:v>
      </x:c>
      <x:c r="E94" s="8"/>
      <x:c r="F94" s="8" t="str">
        <x:v>Turgaiskaia_191x(1).xlsx</x:v>
      </x:c>
    </x:row>
    <x:row r="95" ht="60" customHeight="1">
      <x:c r="A95" s="15" t="str">
        <x:v>Все</x:v>
      </x:c>
      <x:c r="B95" s="15" t="str">
        <x:v>Пропуски и единицы</x:v>
      </x:c>
      <x:c r="C95" s="15" t="str">
        <x:v>Пустые числовые поля означают отсутствие числа или уточнения, а не ноль. Мужские души, душевые доли и семейные наделы не преобразованы в людей обоего пола.</x:v>
      </x:c>
      <x:c r="D95" s="15" t="str">
        <x:v>Методика сводки</x:v>
      </x:c>
      <x:c r="E95" s="15"/>
      <x:c r="F95" s="15" t="str">
        <x:v>Turgaiskaia_191x(1).xlsx</x:v>
      </x:c>
    </x:row>
    <x:row r="96" ht="60" customHeight="1">
      <x:c r="A96" s="8" t="n">
        <x:v>1910</x:v>
      </x:c>
      <x:c r="B96" s="8" t="str">
        <x:v>Полнота регистрации</x:v>
      </x:c>
      <x:c r="C96" s="8" t="str">
        <x:v>Метрические книги в казахских волостях не ведутся. Сведения о движении населения дают аульные старшины и волостные управители; выводы о приросте кочевого населения авторы считают не вполне достоверными.</x:v>
      </x:c>
      <x:c r="D96" s="8" t="str">
        <x:v>Обзор 1910, с.14, PDF 22</x:v>
      </x:c>
      <x:c r="E96" s="8" t="str">
        <x:v>https://archive.org/download/obzor_turgaiskoi_oblasti/Обзор Тургайской области за 1910 - RAW.pdf#page=22</x:v>
      </x:c>
      <x:c r="F96" s="8" t="str">
        <x:v>Turgaiskaia_191x(1).xlsx</x:v>
      </x:c>
    </x:row>
    <x:row r="97" ht="60" customHeight="1">
      <x:c r="A97" s="15" t="n">
        <x:v>1911</x:v>
      </x:c>
      <x:c r="B97" s="15" t="str">
        <x:v>Полнота регистрации</x:v>
      </x:c>
      <x:c r="C97" s="15" t="str">
        <x:v>Повторено отсутствие метрических книг и зависимость от аульных и волостных сведений. В переселенческой таблице отдельно отмечено отсутствие точных сведений от VI подрайона и 3-го участка крестьянского начальника Кустанайского уезда (с.107 / PDF115).</x:v>
      </x:c>
      <x:c r="D97" s="15" t="str">
        <x:v>Обзор 1911, с.14, PDF 22</x:v>
      </x:c>
      <x:c r="E97" s="15" t="str">
        <x:v>https://archive.org/download/obzor_turgaiskoi_oblasti/Обзор Тургайской области за 1911 - RAW.pdf#page=22</x:v>
      </x:c>
      <x:c r="F97" s="15" t="str">
        <x:v>Turgaiskaia_191x(1).xlsx</x:v>
      </x:c>
    </x:row>
    <x:row r="98" ht="60" customHeight="1">
      <x:c r="A98" s="8" t="n">
        <x:v>1912</x:v>
      </x:c>
      <x:c r="B98" s="8" t="str">
        <x:v>Полнота регистрации</x:v>
      </x:c>
      <x:c r="C98" s="8" t="str">
        <x:v>Повторено отсутствие метрических книг и недостаточная достоверность кочевой регистрации. Данные о ходоках в специальном разделе охватывают только некоторые подрайоны. В табл.5, по-видимому, переставлены заголовки оседлого и кочевого выбытия.</x:v>
      </x:c>
      <x:c r="D98" s="8" t="str">
        <x:v>Обзор 1912, с.14, PDF 24</x:v>
      </x:c>
      <x:c r="E98" s="8" t="str">
        <x:v>https://archive.org/download/obzor_turgaiskoi_oblasti/Обзор Тургайской области за 1912 - RAW.pdf#page=24</x:v>
      </x:c>
      <x:c r="F98" s="8" t="str">
        <x:v>Turgaiskaia_191x(1).xlsx</x:v>
      </x:c>
    </x:row>
    <x:row r="99" ht="60" customHeight="1">
      <x:c r="A99" s="15" t="n">
        <x:v>1913</x:v>
      </x:c>
      <x:c r="B99" s="15" t="str">
        <x:v>Полнота регистрации</x:v>
      </x:c>
      <x:c r="C99" s="15" t="str">
        <x:v>Оговорка об отсутствии метрических книг продолжается на с.6 / PDF9. Начальная оседлая численность Тургайского уезда изменена из-за отнесения посёлка Чулаксай; итоги таблицы не полностью согласуются с уездными строками.</x:v>
      </x:c>
      <x:c r="D99" s="15" t="str">
        <x:v>Обзор 1913, с.5, PDF 8</x:v>
      </x:c>
      <x:c r="E99" s="15" t="str">
        <x:v>https://archive.org/download/obzor_turgaiskoi_oblasti/Обзор Тургайской области за 1913 - RAW.pdf#page=8</x:v>
      </x:c>
      <x:c r="F99" s="15" t="str">
        <x:v>Turgaiskaia_191x(1).xlsx</x:v>
      </x:c>
    </x:row>
    <x:row r="100" ht="60" customHeight="1">
      <x:c r="A100" s="8" t="n">
        <x:v>1914</x:v>
      </x:c>
      <x:c r="B100" s="8" t="str">
        <x:v>Полнота регистрации</x:v>
      </x:c>
      <x:c r="C100" s="8" t="str">
        <x:v>Оговорка об отсутствии метрических книг продолжается на с.6 / PDF14. В табл.111 по нескольким подрайонам нет сведений о ходоках. Война и закрытие железных дорог для переселенцев повлияли на движение и освобождение долей.</x:v>
      </x:c>
      <x:c r="D100" s="8" t="str">
        <x:v>Обзор 1914, с.5, PDF 13</x:v>
      </x:c>
      <x:c r="E100" s="8" t="str">
        <x:v>https://archive.org/download/obzor_turgaiskoi_oblasti/Обзор Тургайской области за 1914 - RAW.pdf#page=13</x:v>
      </x:c>
      <x:c r="F100" s="8" t="str">
        <x:v>Turgaiskaia_191x(1).xlsx</x:v>
      </x:c>
    </x:row>
    <x:row r="101" ht="60" customHeight="1">
      <x:c r="A101" s="15" t="n">
        <x:v>1915</x:v>
      </x:c>
      <x:c r="B101" s="15" t="str">
        <x:v>Полнота регистрации</x:v>
      </x:c>
      <x:c r="C101" s="15" t="str">
        <x:v>Повторено отсутствие метрических книг; продолжение на с.6 / PDF14. Обычное переселение, прибытие беженцев и их зачисление на землю представлены разными регистрами. Связь этих регистров и включение беженцев в годовые итоги населения не объяснены.</x:v>
      </x:c>
      <x:c r="D101" s="15" t="str">
        <x:v>Обзор 1915, с.5, PDF 13</x:v>
      </x:c>
      <x:c r="E101" s="15" t="str">
        <x:v>https://archive.org/download/obzor_turgaiskoi_oblasti/Обзор Тургайской области за 1915 - RAW.pdf#page=13</x:v>
      </x:c>
      <x:c r="F101" s="15" t="str">
        <x:v>Turgaiskaia_191x(1).xlsx</x:v>
      </x:c>
    </x:row>
    <x:row r="102" ht="60" customHeight="1">
      <x:c r="A102" s="8" t="n">
        <x:v>1910</x:v>
      </x:c>
      <x:c r="B102" s="8" t="str">
        <x:v>Арифметика баланса</x:v>
      </x:c>
      <x:c r="C102" s="8" t="str">
        <x:v>Начало года 680510, конец 712615: разность 32105. По опубликованным половым итогам рождения+переселение−смерти−выбытие=32046; текст повторяет 32046. Остаток 59 оставлен без исправления.</x:v>
      </x:c>
      <x:c r="D102" s="8" t="str">
        <x:v>Обзор 1910, с.16, PDF 24, табл.3, 5, 6; PDF22–24</x:v>
      </x:c>
      <x:c r="E102" s="8" t="str">
        <x:v>https://archive.org/download/obzor_turgaiskoi_oblasti/Обзор Тургайской области за 1910 - RAW.pdf#page=24</x:v>
      </x:c>
      <x:c r="F102" s="8" t="str">
        <x:v>Turgaiskaia_191x(1).xlsx</x:v>
      </x:c>
    </x:row>
    <x:row r="103" ht="64" customHeight="1">
      <x:c r="A103" s="15" t="n">
        <x:v>1910</x:v>
      </x:c>
      <x:c r="B103" s="15" t="str">
        <x:v>Ошибки уездной строки</x:v>
      </x:c>
      <x:c r="C103" s="15" t="str">
        <x:v>В табл.5 для Кустанайского уезда напечатано 2557 оседлых умерших мужчин, хотя 4870 всех умерших мужчин минус 1913 кочевых даёт 2957. В ретроспективе 1911, табл.4, стоит 2957. Основная сводка использует напечатанный областной мужской итог 5226, а не ошибочную уездную ячейку.</x:v>
      </x:c>
      <x:c r="D103" s="15" t="str">
        <x:v>Обзор 1910, с.15, PDF 23, табл.5; также 1911 PDF22</x:v>
      </x:c>
      <x:c r="E103" s="15" t="str">
        <x:v>https://archive.org/download/obzor_turgaiskoi_oblasti/Обзор Тургайской области за 1910 - RAW.pdf#page=23</x:v>
      </x:c>
      <x:c r="F103" s="15" t="str">
        <x:v>Turgaiskaia_191x(1).xlsx</x:v>
      </x:c>
    </x:row>
    <x:row r="104" ht="60" customHeight="1">
      <x:c r="A104" s="8" t="n">
        <x:v>1911</x:v>
      </x:c>
      <x:c r="B104" s="8" t="str">
        <x:v>Ошибочный прирост в тексте</x:v>
      </x:c>
      <x:c r="C104" s="8" t="str">
        <x:v>На с.16 напечатано увеличение на 24828. Разность 749143−712615=36528. По компонентам движения получается 36408. Эти три величины сохранены раздельно.</x:v>
      </x:c>
      <x:c r="D104" s="8" t="str">
        <x:v>Обзор 1911, с.16, PDF 24, табл.6; компоненты PDF22–23</x:v>
      </x:c>
      <x:c r="E104" s="8" t="str">
        <x:v>https://archive.org/download/obzor_turgaiskoi_oblasti/Обзор Тургайской области за 1911 - RAW.pdf#page=24</x:v>
      </x:c>
      <x:c r="F104" s="8" t="str">
        <x:v>Turgaiskaia_191x(1).xlsx</x:v>
      </x:c>
    </x:row>
    <x:row r="105" ht="60" customHeight="1">
      <x:c r="A105" s="15" t="n">
        <x:v>1911</x:v>
      </x:c>
      <x:c r="B105" s="15" t="str">
        <x:v>Ошибка общего итога убыли</x:v>
      </x:c>
      <x:c r="C105" s="15" t="str">
        <x:v>Табл.5: мужской общий итог всех убывших 20092, но 11476 умерших+1547 кочевых выбывших+7009 оседлых выбывших=20032. Напечатанный общий итог превышает сумму на 60. Для баланса взяты отдельные компоненты.</x:v>
      </x:c>
      <x:c r="D105" s="15" t="str">
        <x:v>Обзор 1911, с.15, PDF 23, табл.5</x:v>
      </x:c>
      <x:c r="E105" s="15" t="str">
        <x:v>https://archive.org/download/obzor_turgaiskoi_oblasti/Обзор Тургайской области за 1911 - RAW.pdf#page=23</x:v>
      </x:c>
      <x:c r="F105" s="15" t="str">
        <x:v>Turgaiskaia_191x(1).xlsx</x:v>
      </x:c>
    </x:row>
    <x:row r="106" ht="64" customHeight="1">
      <x:c r="A106" s="8" t="n">
        <x:v>1912</x:v>
      </x:c>
      <x:c r="B106" s="8" t="str">
        <x:v>Переставленные заголовки выбытия</x:v>
      </x:c>
      <x:c r="C106" s="8" t="str">
        <x:v>Буквально под «Кочев.» стоят 5451 мужчина и 4018 женщин, под «Оседл.» — 1173 и 770. В первую группу включён город Актюбинск (43 мужчины, 13 женщин). Интерпретация с перестановкой заголовков: оседлые 9469, кочевые 1943. Тогда баланс кочевого населения точно даёт 480569−470109=10460. Общий баланс области не зависит от перестановки. Буквальная версия сохранена в XLSX.</x:v>
      </x:c>
      <x:c r="D106" s="8" t="str">
        <x:v>Обзор 1912, с.15, PDF 25, табл.5</x:v>
      </x:c>
      <x:c r="E106" s="8" t="str">
        <x:v>https://archive.org/download/obzor_turgaiskoi_oblasti/Обзор Тургайской области за 1912 - RAW.pdf#page=25</x:v>
      </x:c>
      <x:c r="F106" s="8" t="str">
        <x:v>Turgaiskaia_191x(1).xlsx</x:v>
      </x:c>
    </x:row>
    <x:row r="107" ht="80" customHeight="1">
      <x:c r="A107" s="15" t="n">
        <x:v>1913</x:v>
      </x:c>
      <x:c r="B107" s="15" t="str">
        <x:v>Изменение отнесения Чулаксая</x:v>
      </x:c>
      <x:c r="C107" s="15" t="str">
        <x:v>Начальная оседлая строка Тургайского уезда: 635 мужчин+600 женщин, тогда как табл.6 выпуска 1912 даёт 54+37. Разница 1144. Примечание объясняет изменение отнесением посёлка Чулаксай, ранее учтённого по Кустанайскому уезду. Сумма оседлых начальных строк 319312, напечатанный итог 318168. Остаток баланса области также 1144. Совпадение указывает на учётную проблему; это вывод сопоставления, а не установленный внешний миграционный поток.</x:v>
      </x:c>
      <x:c r="D107" s="15" t="str">
        <x:v>Обзор 1913, с.5, PDF 8, табл.3 и примечание; 1912 PDF26</x:v>
      </x:c>
      <x:c r="E107" s="15" t="str">
        <x:v>https://archive.org/download/obzor_turgaiskoi_oblasti/Обзор Тургайской области за 1913 - RAW.pdf#page=8</x:v>
      </x:c>
      <x:c r="F107" s="15" t="str">
        <x:v>Turgaiskaia_191x(1).xlsx</x:v>
      </x:c>
    </x:row>
    <x:row r="108" ht="60" customHeight="1">
      <x:c r="A108" s="8" t="n">
        <x:v>1913</x:v>
      </x:c>
      <x:c r="B108" s="8" t="str">
        <x:v>Ошибка общего итога убыли</x:v>
      </x:c>
      <x:c r="C108" s="8" t="str">
        <x:v>Табл.5: итог всех убывших мужчин 20104, но 12319 умерших+7462 оседлых выбывших+323 кочевых выбывших=20104. Женский итог 18491 против 11088+6789+619=18496: разница 5. В основной сводке отдельно сохранены смерти и выбытие.</x:v>
      </x:c>
      <x:c r="D108" s="8" t="str">
        <x:v>Обзор 1913, с.6, PDF 9, табл.5</x:v>
      </x:c>
      <x:c r="E108" s="8" t="str">
        <x:v>https://archive.org/download/obzor_turgaiskoi_oblasti/Обзор Тургайской области за 1913 - RAW.pdf#page=9</x:v>
      </x:c>
      <x:c r="F108" s="8" t="str">
        <x:v>Turgaiskaia_191x(1).xlsx</x:v>
      </x:c>
    </x:row>
    <x:row r="109" ht="60" customHeight="1">
      <x:c r="A109" s="15" t="n">
        <x:v>1914</x:v>
      </x:c>
      <x:c r="B109" s="15" t="str">
        <x:v>Баланс совпадает</x:v>
      </x:c>
      <x:c r="C109" s="15" t="str">
        <x:v>Рождения 39945, переселение 26841, смерти 24917, выбытие 23348: 18521. Это равно 842406−823885. Арифметическое совпадение не подтверждает полноту регистрации.</x:v>
      </x:c>
      <x:c r="D109" s="15" t="str">
        <x:v>Обзор 1914, с.7, PDF 15, табл.3, 5, 6; PDF13–15</x:v>
      </x:c>
      <x:c r="E109" s="15" t="str">
        <x:v>https://archive.org/download/obzor_turgaiskoi_oblasti/Обзор Тургайской области за 1914 - RAW.pdf#page=15</x:v>
      </x:c>
      <x:c r="F109" s="15" t="str">
        <x:v>Turgaiskaia_191x(1).xlsx</x:v>
      </x:c>
    </x:row>
    <x:row r="110" ht="60" customHeight="1">
      <x:c r="A110" s="8" t="n">
        <x:v>1915</x:v>
      </x:c>
      <x:c r="B110" s="8" t="str">
        <x:v>Баланс совпадает</x:v>
      </x:c>
      <x:c r="C110" s="8" t="str">
        <x:v>38727+17800−25798−18519=12210=854616−842406. Этот учётный баланс не раскрывает, какая часть временно прибывших беженцев включена в население и в обычное переселение.</x:v>
      </x:c>
      <x:c r="D110" s="8" t="str">
        <x:v>Обзор 1915, с.7, PDF 15, табл.3, 5, 6; PDF13–15</x:v>
      </x:c>
      <x:c r="E110" s="8" t="str">
        <x:v>https://archive.org/download/obzor_turgaiskoi_oblasti/Обзор Тургайской области за 1915 - RAW.pdf#page=15</x:v>
      </x:c>
      <x:c r="F110" s="8" t="str">
        <x:v>Turgaiskaia_191x(1).xlsx</x:v>
      </x:c>
    </x:row>
    <x:row r="111" ht="80" customHeight="1">
      <x:c r="A111" s="15" t="n">
        <x:v>1915</x:v>
      </x:c>
      <x:c r="B111" s="15" t="str">
        <x:v>Эпидемии и беженцы</x:v>
      </x:c>
      <x:c r="C111" s="15" t="str">
        <x:v>Высокую оседлую смертность в Тургайском уезде авторы связывают с эпидемией скарлатины среди детей (с.6 / PDF14). Отдельный медицинский отчёт связывает появление холеры в конце июля с прибытием беженцев: 1367 из 1384 отмеченных в области случаев приходились на Кустанай и его уезд (с.81 / PDF89). Это случаи заболевания, не число смертей. В Актюбинске 17 подозрительных случаев имели отрицательное бактериологическое исследование (с.83 / PDF91). Эти медицинские числа не прибавлены к годовым смертям.</x:v>
      </x:c>
      <x:c r="D111" s="15" t="str">
        <x:v>Обзор 1915, с.81, PDF 89, табл.Медицинский отчёт; PDF14, 88–91</x:v>
      </x:c>
      <x:c r="E111" s="15" t="str">
        <x:v>https://archive.org/download/obzor_turgaiskoi_oblasti/Обзор Тургайской области за 1915 - RAW.pdf#page=89</x:v>
      </x:c>
      <x:c r="F111" s="15" t="str">
        <x:v>Turgaiskaia_191x(1).xlsx</x:v>
      </x:c>
    </x:row>
    <x:row r="112" ht="64" customHeight="1">
      <x:c r="A112" s="8" t="n">
        <x:v>1915</x:v>
      </x:c>
      <x:c r="B112" s="8" t="str">
        <x:v>Внутренняя оговорка о холере</x:v>
      </x:c>
      <x:c r="C112" s="8" t="str">
        <x:v>На с.82 / PDF90 отмечены случаи азиатской холеры в трёх аулах с исключительно казахским населением, но вывод на с.83 / PDF91 утверждает, что кочевое население не пострадало. Противоречие формулировок источника сохранено; отсутствие кочевой холеры не принято как проверенный факт.</x:v>
      </x:c>
      <x:c r="D112" s="8" t="str">
        <x:v>Обзор 1915, с.82, PDF 90, табл.Медицинский отчёт</x:v>
      </x:c>
      <x:c r="E112" s="8" t="str">
        <x:v>https://archive.org/download/obzor_turgaiskoi_oblasti/Обзор Тургайской области за 1915 - RAW.pdf#page=90</x:v>
      </x:c>
      <x:c r="F112" s="8" t="str">
        <x:v>Turgaiskaia_191x(1).xlsx</x:v>
      </x:c>
    </x:row>
    <x:row r="113" ht="60" customHeight="1">
      <x:c r="A113" s="15" t="n">
        <x:v>1915</x:v>
      </x:c>
      <x:c r="B113" s="15" t="str">
        <x:v>Две версии ухода земельных долей</x:v>
      </x:c>
      <x:c r="C113" s="15" t="str">
        <x:v>Табл.78–79: 864 душевые доли и 2 семейных надела. Примечание под табл.80: «ушло 1168 дол.»; оно же приравнивает семейный надел к трём долям. Даже после перевода получается 870, а не 1168. Обе версии сохранены без сложения.</x:v>
      </x:c>
      <x:c r="D113" s="15" t="str">
        <x:v>Обзор 1915, с.90, PDF 98, табл.78–80 и примечание</x:v>
      </x:c>
      <x:c r="E113" s="15" t="str">
        <x:v>https://archive.org/download/obzor_turgaiskoi_oblasti/Обзор Тургайской области за 1915 - RAW.pdf#page=98</x:v>
      </x:c>
      <x:c r="F113" s="15" t="str">
        <x:v>Turgaiskaia_191x(1).xlsx</x:v>
      </x:c>
    </x:row>
    <x:row r="114" ht="64" customHeight="1">
      <x:c r="A114" s="8" t="str">
        <x:v>Все</x:v>
      </x:c>
      <x:c r="B114" s="8" t="str">
        <x:v>Как читать миграцию</x:v>
      </x:c>
      <x:c r="C114" s="8" t="str">
        <x:v>«Переселилось» и «выбыло по разным случаям» — годовые категории демографических таблиц по уездам. В просмотренном разделе не описана процедура отделения межобластных потоков от переучёта и внутренних перемещений. Поэтому разность приведена как учётный миграционный баланс; она не объявлена независимой оценкой всей внешней миграции.</x:v>
      </x:c>
      <x:c r="D114" s="8" t="str">
        <x:v>Методика сводки</x:v>
      </x:c>
      <x:c r="E114" s="8"/>
      <x:c r="F114" s="8" t="str">
        <x:v>Turgaiskaia_191x(1).xlsx</x:v>
      </x:c>
    </x:row>
    <x:row r="115" ht="64" customHeight="1">
      <x:c r="A115" s="15" t="str">
        <x:v>Все</x:v>
      </x:c>
      <x:c r="B115" s="15" t="str">
        <x:v>Недоучёт не исправлен</x:v>
      </x:c>
      <x:c r="C115" s="15" t="str">
        <x:v>Числа рождений и смертей оставлены опубликованными регистрационными величинами. Предлагаемые авторами уровни «прироста» 4–4½%, 4½–5% и 5–5½%, а также утверждение об искажении сведений до одной трети не использованы как коэффициенты поправки. Надёжность регистрации оседлого населения из отсутствия отдельной оговорки не следует.</x:v>
      </x:c>
      <x:c r="D115" s="15" t="str">
        <x:v>Методика сводки</x:v>
      </x:c>
      <x:c r="E115" s="15"/>
      <x:c r="F115" s="15" t="str">
        <x:v>Turgaiskaia_191x(1).xlsx</x:v>
      </x:c>
    </x:row>
  </x:sheetData>
  <x:pageMargins left="0.7" right="0.7" top="0.75" bottom="0.75" header="0.3" footer="0.3"/>
  <x:tableParts count="1">
    <x:tablePart xmlns:r="http://schemas.openxmlformats.org/officeDocument/2006/relationships" r:id="R4b25dbd332814e4a"/>
  </x:tableParts>
</x:worksheet>
</file>