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5f5986cda041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ценки" sheetId="1" r:id="Rb5853d35fa7b41e8"/>
    <x:sheet xmlns:r="http://schemas.openxmlformats.org/officeDocument/2006/relationships" name="Расчёт" sheetId="2" r:id="R4ab81d127136475d"/>
    <x:sheet xmlns:r="http://schemas.openxmlformats.org/officeDocument/2006/relationships" name="Источники" sheetId="3" r:id="Rada20282008a42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"/>
    <x:numFmt numFmtId="201" formatCode="0.000000"/>
    <x:numFmt numFmtId="202" formatCode="0.0"/>
    <x:numFmt numFmtId="203" formatCode="0.000000000"/>
    <x:numFmt numFmtId="204" formatCode="0.000%"/>
    <x:numFmt numFmtId="205" formatCode="0"/>
    <x:numFmt numFmtId="206" formatCode="#,##0.000000"/>
    <x:numFmt numFmtId="207" formatCode="0.0%"/>
    <x:numFmt numFmtId="208" formatCode="#,##0.000"/>
    <x:numFmt numFmtId="209" formatCode="0.000"/>
  </x:numFmts>
  <x:fonts count="4">
    <x:font>
      <x:sz val="11"/>
      <x:name val="Carlito"/>
    </x:font>
    <x:font>
      <x:sz val="10"/>
      <x:color rgb="FF263746"/>
      <x:name val="Arial"/>
    </x:font>
    <x:font>
      <x:b/>
      <x:sz val="14"/>
      <x:color rgb="FF294D69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94D69"/>
      </x:patternFill>
    </x:fill>
    <x:fill>
      <x:patternFill patternType="solid">
        <x:fgColor rgb="FFF5F8FA"/>
      </x:patternFill>
    </x:fill>
    <x:fill>
      <x:patternFill patternType="solid">
        <x:fgColor rgb="FFFFF4C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4" fontId="1" fillId="4" borderId="0" xfId="0" applyNumberFormat="1" applyFont="1" applyFill="1" applyBorder="1" applyAlignment="1">
      <x:alignment vertical="center"/>
    </x:xf>
    <x:xf numFmtId="205" fontId="1" fillId="4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  <x:xf numFmtId="207" fontId="1" fillId="3" borderId="0" xfId="0" applyNumberFormat="1" applyFont="1" applyFill="1" applyBorder="1" applyAlignment="1">
      <x:alignment vertical="center"/>
    </x:xf>
    <x:xf numFmtId="208" fontId="1" fillId="0" borderId="0" xfId="0" applyNumberFormat="1" applyFont="1" applyFill="1" applyBorder="1" applyAlignment="1">
      <x:alignment vertical="center"/>
    </x:xf>
    <x:xf numFmtId="209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f042a09f664352" /><Relationship Type="http://schemas.openxmlformats.org/officeDocument/2006/relationships/theme" Target="/xl/theme/theme1.xml" Id="Rc3baea2619354001" /><Relationship Type="http://schemas.openxmlformats.org/officeDocument/2006/relationships/sharedStrings" Target="/xl/sharedStrings.xml" Id="R1a81001a633a4607" /><Relationship Type="http://schemas.openxmlformats.org/officeDocument/2006/relationships/worksheet" Target="/xl/worksheets/sheet1.xml" Id="Rb5853d35fa7b41e8" /><Relationship Type="http://schemas.openxmlformats.org/officeDocument/2006/relationships/worksheet" Target="/xl/worksheets/sheet2.xml" Id="R4ab81d127136475d" /><Relationship Type="http://schemas.openxmlformats.org/officeDocument/2006/relationships/worksheet" Target="/xl/worksheets/sheet3.xml" Id="Rada20282008a427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a53eea7d3d64a2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Центральная оценка, человек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Оценка, чел.</c:v>
          </c:tx>
          <c:marker>
            <c:symbol val="none"/>
          </c:marker>
          <c:cat>
            <c:strRef>
              <c:f>'Оценки'!$A$5:$A$39</c:f>
              <c:strCache>
                <c:ptCount val="0"/>
              </c:strCache>
            </c:strRef>
          </c:cat>
          <c:val>
            <c:numRef>
              <c:f>'Оценки'!$B$5:$B$39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5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24</xdr:row>
      <xdr:rowOff>0</xdr:rowOff>
    </xdr:from>
    <xdr:to>
      <xdr:col>15</xdr:col>
      <xdr:colOff>0</xdr:colOff>
      <xdr:row>40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a53eea7d3d64a2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1c994f6d9d446bc" /></Relationships>
</file>

<file path=xl/worksheets/sheet1.xml><?xml version="1.0" encoding="utf-8"?>
<x:worksheet xmlns:x="http://schemas.openxmlformats.org/spreadsheetml/2006/main">
  <x:sheetPr>
    <x:tabColor rgb="FF294D69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3" hidden="0" customWidth="1"/>
    <x:col min="7" max="7" width="59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3" customHeight="1">
      <x:c r="A2" s="3" t="str">
        <x:v>Население Тургайской области, начало 1881–1915 годов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23" customHeight="1">
      <x:c r="A3" s="2" t="str">
        <x:v>Условная реконструкция по наличному переписному якорю; округление до тысячи человек.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36" customHeight="1">
      <x:c r="A4" s="7" t="str">
        <x:v>На 1 января</x:v>
      </x:c>
      <x:c r="B4" s="7" t="str">
        <x:v>Оценка, чел.</x:v>
      </x:c>
      <x:c r="C4" s="7" t="str">
        <x:v>Нижняя, чел.</x:v>
      </x:c>
      <x:c r="D4" s="7" t="str">
        <x:v>Верхняя, чел.</x:v>
      </x:c>
      <x:c r="E4" s="7" t="str">
        <x:v>Изменение за год</x:v>
      </x:c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3" customHeight="1">
      <x:c r="A5" s="2" t="n">
        <x:f>'Расчёт'!A5</x:f>
        <x:v>1881</x:v>
      </x:c>
      <x:c r="B5" s="9" t="n">
        <x:f>ROUND('Расчёт'!E5,-3)</x:f>
        <x:v>361000</x:v>
      </x:c>
      <x:c r="C5" s="9" t="n">
        <x:f>ROUND('Расчёт'!I5,-3)</x:f>
        <x:v>323000</x:v>
      </x:c>
      <x:c r="D5" s="9" t="n">
        <x:f>ROUND('Расчёт'!J5,-3)</x:f>
        <x:v>403000</x:v>
      </x:c>
      <x:c r="E5" s="25"/>
      <x:c r="F5" s="2"/>
      <x:c r="G5" s="2" t="str">
        <x:v>Коридор показывает чувствительность к допущениям.</x:v>
      </x:c>
      <x:c r="H5" s="2"/>
      <x:c r="I5" s="2"/>
      <x:c r="J5" s="2"/>
      <x:c r="K5" s="2"/>
      <x:c r="L5" s="2"/>
      <x:c r="M5" s="2"/>
      <x:c r="N5" s="2"/>
      <x:c r="O5" s="2"/>
    </x:row>
    <x:row r="6" ht="23" customHeight="1">
      <x:c r="A6" s="11" t="n">
        <x:f>'Расчёт'!A6</x:f>
        <x:v>1882</x:v>
      </x:c>
      <x:c r="B6" s="10" t="n">
        <x:f>ROUND('Расчёт'!E6,-3)</x:f>
        <x:v>366000</x:v>
      </x:c>
      <x:c r="C6" s="10" t="n">
        <x:f>ROUND('Расчёт'!I6,-3)</x:f>
        <x:v>329000</x:v>
      </x:c>
      <x:c r="D6" s="10" t="n">
        <x:f>ROUND('Расчёт'!J6,-3)</x:f>
        <x:v>406000</x:v>
      </x:c>
      <x:c r="E6" s="26" t="n">
        <x:f>'Расчёт'!E6/'Расчёт'!E5-1</x:f>
        <x:v>0.013165236146150505</x:v>
      </x:c>
      <x:c r="F6" s="2"/>
      <x:c r="G6" s="2" t="str">
        <x:v>Он не является 95%-ным доверительным интервалом.</x:v>
      </x:c>
      <x:c r="H6" s="2"/>
      <x:c r="I6" s="2"/>
      <x:c r="J6" s="2"/>
      <x:c r="K6" s="2"/>
      <x:c r="L6" s="2"/>
      <x:c r="M6" s="2"/>
      <x:c r="N6" s="2"/>
      <x:c r="O6" s="2"/>
    </x:row>
    <x:row r="7" ht="23" customHeight="1">
      <x:c r="A7" s="2" t="n">
        <x:f>'Расчёт'!A7</x:f>
        <x:v>1883</x:v>
      </x:c>
      <x:c r="B7" s="9" t="n">
        <x:f>ROUND('Расчёт'!E7,-3)</x:f>
        <x:v>372000</x:v>
      </x:c>
      <x:c r="C7" s="9" t="n">
        <x:f>ROUND('Расчёт'!I7,-3)</x:f>
        <x:v>337000</x:v>
      </x:c>
      <x:c r="D7" s="9" t="n">
        <x:f>ROUND('Расчёт'!J7,-3)</x:f>
        <x:v>411000</x:v>
      </x:c>
      <x:c r="E7" s="25" t="n">
        <x:f>'Расчёт'!E7/'Расчёт'!E6-1</x:f>
        <x:v>0.018187726706383245</x:v>
      </x:c>
      <x:c r="F7" s="2"/>
      <x:c r="G7" s="2"/>
      <x:c r="H7" s="2"/>
      <x:c r="I7" s="2"/>
      <x:c r="J7" s="2"/>
      <x:c r="K7" s="2"/>
      <x:c r="L7" s="2"/>
      <x:c r="M7" s="2"/>
      <x:c r="N7" s="2"/>
      <x:c r="O7" s="2"/>
    </x:row>
    <x:row r="8" ht="23" customHeight="1">
      <x:c r="A8" s="11" t="n">
        <x:f>'Расчёт'!A8</x:f>
        <x:v>1884</x:v>
      </x:c>
      <x:c r="B8" s="10" t="n">
        <x:f>ROUND('Расчёт'!E8,-3)</x:f>
        <x:v>376000</x:v>
      </x:c>
      <x:c r="C8" s="10" t="n">
        <x:f>ROUND('Расчёт'!I8,-3)</x:f>
        <x:v>343000</x:v>
      </x:c>
      <x:c r="D8" s="10" t="n">
        <x:f>ROUND('Расчёт'!J8,-3)</x:f>
        <x:v>413000</x:v>
      </x:c>
      <x:c r="E8" s="26" t="n">
        <x:f>'Расчёт'!E8/'Расчёт'!E7-1</x:f>
        <x:v>0.01030636624259218</x:v>
      </x:c>
      <x:c r="F8" s="2"/>
      <x:c r="G8" s="2" t="str">
        <x:v>Ряд не идентифицируется однозначно одним якорем.</x:v>
      </x:c>
      <x:c r="H8" s="2"/>
      <x:c r="I8" s="2"/>
      <x:c r="J8" s="2"/>
      <x:c r="K8" s="2"/>
      <x:c r="L8" s="2"/>
      <x:c r="M8" s="2"/>
      <x:c r="N8" s="2"/>
      <x:c r="O8" s="2"/>
    </x:row>
    <x:row r="9" ht="23" customHeight="1">
      <x:c r="A9" s="2" t="n">
        <x:f>'Расчёт'!A9</x:f>
        <x:v>1885</x:v>
      </x:c>
      <x:c r="B9" s="9" t="n">
        <x:f>ROUND('Расчёт'!E9,-3)</x:f>
        <x:v>380000</x:v>
      </x:c>
      <x:c r="C9" s="9" t="n">
        <x:f>ROUND('Расчёт'!I9,-3)</x:f>
        <x:v>348000</x:v>
      </x:c>
      <x:c r="D9" s="9" t="n">
        <x:f>ROUND('Расчёт'!J9,-3)</x:f>
        <x:v>415000</x:v>
      </x:c>
      <x:c r="E9" s="25" t="n">
        <x:f>'Расчёт'!E9/'Расчёт'!E8-1</x:f>
        <x:v>0.010272639429209862</x:v>
      </x:c>
      <x:c r="F9" s="2"/>
      <x:c r="G9" s="2"/>
      <x:c r="H9" s="2"/>
      <x:c r="I9" s="2"/>
      <x:c r="J9" s="2"/>
      <x:c r="K9" s="2"/>
      <x:c r="L9" s="2"/>
      <x:c r="M9" s="2"/>
      <x:c r="N9" s="2"/>
      <x:c r="O9" s="2"/>
    </x:row>
    <x:row r="10" ht="23" customHeight="1">
      <x:c r="A10" s="11" t="n">
        <x:f>'Расчёт'!A10</x:f>
        <x:v>1886</x:v>
      </x:c>
      <x:c r="B10" s="10" t="n">
        <x:f>ROUND('Расчёт'!E10,-3)</x:f>
        <x:v>386000</x:v>
      </x:c>
      <x:c r="C10" s="10" t="n">
        <x:f>ROUND('Расчёт'!I10,-3)</x:f>
        <x:v>355000</x:v>
      </x:c>
      <x:c r="D10" s="10" t="n">
        <x:f>ROUND('Расчёт'!J10,-3)</x:f>
        <x:v>419000</x:v>
      </x:c>
      <x:c r="E10" s="26" t="n">
        <x:f>'Расчёт'!E10/'Расчёт'!E9-1</x:f>
        <x:v>0.015177392280176782</x:v>
      </x:c>
      <x:c r="F10" s="2"/>
      <x:c r="G10" s="2" t="str">
        <x:v>1897: модель на 1 января ≈ 452 818 человек.</x:v>
      </x:c>
      <x:c r="H10" s="2"/>
      <x:c r="I10" s="2"/>
      <x:c r="J10" s="2"/>
      <x:c r="K10" s="2"/>
      <x:c r="L10" s="2"/>
      <x:c r="M10" s="2"/>
      <x:c r="N10" s="2"/>
      <x:c r="O10" s="2"/>
    </x:row>
    <x:row r="11" ht="23" customHeight="1">
      <x:c r="A11" s="2" t="n">
        <x:f>'Расчёт'!A11</x:f>
        <x:v>1887</x:v>
      </x:c>
      <x:c r="B11" s="9" t="n">
        <x:f>ROUND('Расчёт'!E11,-3)</x:f>
        <x:v>398000</x:v>
      </x:c>
      <x:c r="C11" s="9" t="n">
        <x:f>ROUND('Расчёт'!I11,-3)</x:f>
        <x:v>369000</x:v>
      </x:c>
      <x:c r="D11" s="9" t="n">
        <x:f>ROUND('Расчёт'!J11,-3)</x:f>
        <x:v>430000</x:v>
      </x:c>
      <x:c r="E11" s="25" t="n">
        <x:f>'Расчёт'!E11/'Расчёт'!E10-1</x:f>
        <x:v>0.031871912976654704</x:v>
      </x:c>
      <x:c r="F11" s="2"/>
      <x:c r="G11" s="2" t="str">
        <x:v>Перепись на 28 января: 453 416 человек.</x:v>
      </x:c>
      <x:c r="H11" s="2"/>
      <x:c r="I11" s="2"/>
      <x:c r="J11" s="2"/>
      <x:c r="K11" s="2"/>
      <x:c r="L11" s="2"/>
      <x:c r="M11" s="2"/>
      <x:c r="N11" s="2"/>
      <x:c r="O11" s="2"/>
    </x:row>
    <x:row r="12" ht="23" customHeight="1">
      <x:c r="A12" s="11" t="n">
        <x:f>'Расчёт'!A12</x:f>
        <x:v>1888</x:v>
      </x:c>
      <x:c r="B12" s="10" t="n">
        <x:f>ROUND('Расчёт'!E12,-3)</x:f>
        <x:v>406000</x:v>
      </x:c>
      <x:c r="C12" s="10" t="n">
        <x:f>ROUND('Расчёт'!I12,-3)</x:f>
        <x:v>378000</x:v>
      </x:c>
      <x:c r="D12" s="10" t="n">
        <x:f>ROUND('Расчёт'!J12,-3)</x:f>
        <x:v>436000</x:v>
      </x:c>
      <x:c r="E12" s="26" t="n">
        <x:f>'Расчёт'!E12/'Расчёт'!E11-1</x:f>
        <x:v>0.01929595351058877</x:v>
      </x:c>
      <x:c r="F12" s="2"/>
      <x:c r="G12" s="2"/>
      <x:c r="H12" s="2"/>
      <x:c r="I12" s="2"/>
      <x:c r="J12" s="2"/>
      <x:c r="K12" s="2"/>
      <x:c r="L12" s="2"/>
      <x:c r="M12" s="2"/>
      <x:c r="N12" s="2"/>
      <x:c r="O12" s="2"/>
    </x:row>
    <x:row r="13" ht="23" customHeight="1">
      <x:c r="A13" s="2" t="n">
        <x:f>'Расчёт'!A13</x:f>
        <x:v>1889</x:v>
      </x:c>
      <x:c r="B13" s="9" t="n">
        <x:f>ROUND('Расчёт'!E13,-3)</x:f>
        <x:v>410000</x:v>
      </x:c>
      <x:c r="C13" s="9" t="n">
        <x:f>ROUND('Расчёт'!I13,-3)</x:f>
        <x:v>383000</x:v>
      </x:c>
      <x:c r="D13" s="9" t="n">
        <x:f>ROUND('Расчёт'!J13,-3)</x:f>
        <x:v>437000</x:v>
      </x:c>
      <x:c r="E13" s="25" t="n">
        <x:f>'Расчёт'!E13/'Расчёт'!E12-1</x:f>
        <x:v>0.009045653417026456</x:v>
      </x:c>
      <x:c r="F13" s="2"/>
      <x:c r="G13" s="2" t="str">
        <x:v>Главные допущения: сглаживание большой компоненты,</x:v>
      </x:c>
      <x:c r="H13" s="2"/>
      <x:c r="I13" s="2"/>
      <x:c r="J13" s="2"/>
      <x:c r="K13" s="2"/>
      <x:c r="L13" s="2"/>
      <x:c r="M13" s="2"/>
      <x:c r="N13" s="2"/>
      <x:c r="O13" s="2"/>
    </x:row>
    <x:row r="14" ht="23" customHeight="1">
      <x:c r="A14" s="11" t="n">
        <x:f>'Расчёт'!A14</x:f>
        <x:v>1890</x:v>
      </x:c>
      <x:c r="B14" s="10" t="n">
        <x:f>ROUND('Расчёт'!E14,-3)</x:f>
        <x:v>415000</x:v>
      </x:c>
      <x:c r="C14" s="10" t="n">
        <x:f>ROUND('Расчёт'!I14,-3)</x:f>
        <x:v>391000</x:v>
      </x:c>
      <x:c r="D14" s="10" t="n">
        <x:f>ROUND('Расчёт'!J14,-3)</x:f>
        <x:v>441000</x:v>
      </x:c>
      <x:c r="E14" s="26" t="n">
        <x:f>'Расчёт'!E14/'Расчёт'!E13-1</x:f>
        <x:v>0.014354316035349868</x:v>
      </x:c>
      <x:c r="F14" s="2"/>
      <x:c r="G14" s="2" t="str">
        <x:v>мост 1907–1910, перенос небольшой добавки S.</x:v>
      </x:c>
      <x:c r="H14" s="2"/>
      <x:c r="I14" s="2"/>
      <x:c r="J14" s="2"/>
      <x:c r="K14" s="2"/>
      <x:c r="L14" s="2"/>
      <x:c r="M14" s="2"/>
      <x:c r="N14" s="2"/>
      <x:c r="O14" s="2"/>
    </x:row>
    <x:row r="15" ht="23" customHeight="1">
      <x:c r="A15" s="2" t="n">
        <x:f>'Расчёт'!A15</x:f>
        <x:v>1891</x:v>
      </x:c>
      <x:c r="B15" s="9" t="n">
        <x:f>ROUND('Расчёт'!E15,-3)</x:f>
        <x:v>432000</x:v>
      </x:c>
      <x:c r="C15" s="9" t="n">
        <x:f>ROUND('Расчёт'!I15,-3)</x:f>
        <x:v>408000</x:v>
      </x:c>
      <x:c r="D15" s="9" t="n">
        <x:f>ROUND('Расчёт'!J15,-3)</x:f>
        <x:v>456000</x:v>
      </x:c>
      <x:c r="E15" s="25" t="n">
        <x:f>'Расчёт'!E15/'Расчёт'!E14-1</x:f>
        <x:v>0.03910341239440851</x:v>
      </x:c>
      <x:c r="F15" s="2"/>
      <x:c r="G15" s="2"/>
      <x:c r="H15" s="2"/>
      <x:c r="I15" s="2"/>
      <x:c r="J15" s="2"/>
      <x:c r="K15" s="2"/>
      <x:c r="L15" s="2"/>
      <x:c r="M15" s="2"/>
      <x:c r="N15" s="2"/>
      <x:c r="O15" s="2"/>
    </x:row>
    <x:row r="16" ht="23" customHeight="1">
      <x:c r="A16" s="11" t="n">
        <x:f>'Расчёт'!A16</x:f>
        <x:v>1892</x:v>
      </x:c>
      <x:c r="B16" s="10" t="n">
        <x:f>ROUND('Расчёт'!E16,-3)</x:f>
        <x:v>429000</x:v>
      </x:c>
      <x:c r="C16" s="10" t="n">
        <x:f>ROUND('Расчёт'!I16,-3)</x:f>
        <x:v>408000</x:v>
      </x:c>
      <x:c r="D16" s="10" t="n">
        <x:f>ROUND('Расчёт'!J16,-3)</x:f>
        <x:v>451000</x:v>
      </x:c>
      <x:c r="E16" s="26" t="n">
        <x:f>'Расчёт'!E16/'Расчёт'!E15-1</x:f>
        <x:v>-0.006370741953567904</x:v>
      </x:c>
      <x:c r="F16" s="2"/>
      <x:c r="G16" s="2" t="str">
        <x:v>Начало 1915: данные выпуска 1914.</x:v>
      </x:c>
      <x:c r="H16" s="2"/>
      <x:c r="I16" s="2"/>
      <x:c r="J16" s="2"/>
      <x:c r="K16" s="2"/>
      <x:c r="L16" s="2"/>
      <x:c r="M16" s="2"/>
      <x:c r="N16" s="2"/>
      <x:c r="O16" s="2"/>
    </x:row>
    <x:row r="17" ht="23" customHeight="1">
      <x:c r="A17" s="2" t="n">
        <x:f>'Расчёт'!A17</x:f>
        <x:v>1893</x:v>
      </x:c>
      <x:c r="B17" s="9" t="n">
        <x:f>ROUND('Расчёт'!E17,-3)</x:f>
        <x:v>430000</x:v>
      </x:c>
      <x:c r="C17" s="9" t="n">
        <x:f>ROUND('Расчёт'!I17,-3)</x:f>
        <x:v>411000</x:v>
      </x:c>
      <x:c r="D17" s="9" t="n">
        <x:f>ROUND('Расчёт'!J17,-3)</x:f>
        <x:v>449000</x:v>
      </x:c>
      <x:c r="E17" s="25" t="n">
        <x:f>'Расчёт'!E17/'Расчёт'!E16-1</x:f>
        <x:v>0.001723643532786534</x:v>
      </x:c>
      <x:c r="F17" s="2"/>
      <x:c r="G17" s="2" t="str">
        <x:v>Беженцы, прибывшие позднее в 1915, сюда не добавлены.</x:v>
      </x:c>
      <x:c r="H17" s="2"/>
      <x:c r="I17" s="2"/>
      <x:c r="J17" s="2"/>
      <x:c r="K17" s="2"/>
      <x:c r="L17" s="2"/>
      <x:c r="M17" s="2"/>
      <x:c r="N17" s="2"/>
      <x:c r="O17" s="2"/>
    </x:row>
    <x:row r="18" ht="23" customHeight="1">
      <x:c r="A18" s="11" t="n">
        <x:f>'Расчёт'!A18</x:f>
        <x:v>1894</x:v>
      </x:c>
      <x:c r="B18" s="10" t="n">
        <x:f>ROUND('Расчёт'!E18,-3)</x:f>
        <x:v>435000</x:v>
      </x:c>
      <x:c r="C18" s="10" t="n">
        <x:f>ROUND('Расчёт'!I18,-3)</x:f>
        <x:v>418000</x:v>
      </x:c>
      <x:c r="D18" s="10" t="n">
        <x:f>ROUND('Расчёт'!J18,-3)</x:f>
        <x:v>452000</x:v>
      </x:c>
      <x:c r="E18" s="26" t="n">
        <x:f>'Расчёт'!E18/'Расчёт'!E17-1</x:f>
        <x:v>0.011611718000280824</x:v>
      </x:c>
      <x:c r="F18" s="2"/>
      <x:c r="G18" s="2"/>
      <x:c r="H18" s="2"/>
      <x:c r="I18" s="2"/>
      <x:c r="J18" s="2"/>
      <x:c r="K18" s="2"/>
      <x:c r="L18" s="2"/>
      <x:c r="M18" s="2"/>
      <x:c r="N18" s="2"/>
      <x:c r="O18" s="2"/>
    </x:row>
    <x:row r="19" ht="23" customHeight="1">
      <x:c r="A19" s="2" t="n">
        <x:f>'Расчёт'!A19</x:f>
        <x:v>1895</x:v>
      </x:c>
      <x:c r="B19" s="9" t="n">
        <x:f>ROUND('Расчёт'!E19,-3)</x:f>
        <x:v>441000</x:v>
      </x:c>
      <x:c r="C19" s="9" t="n">
        <x:f>ROUND('Расчёт'!I19,-3)</x:f>
        <x:v>427000</x:v>
      </x:c>
      <x:c r="D19" s="9" t="n">
        <x:f>ROUND('Расчёт'!J19,-3)</x:f>
        <x:v>455000</x:v>
      </x:c>
      <x:c r="E19" s="25" t="n">
        <x:f>'Расчёт'!E19/'Расчёт'!E18-1</x:f>
        <x:v>0.014627483321916879</x:v>
      </x:c>
      <x:c r="F19" s="2"/>
      <x:c r="G19" s="2"/>
      <x:c r="H19" s="2"/>
      <x:c r="I19" s="2"/>
      <x:c r="J19" s="2"/>
      <x:c r="K19" s="2"/>
      <x:c r="L19" s="2"/>
      <x:c r="M19" s="2"/>
      <x:c r="N19" s="2"/>
      <x:c r="O19" s="2"/>
    </x:row>
    <x:row r="20" ht="23" customHeight="1">
      <x:c r="A20" s="11" t="n">
        <x:f>'Расчёт'!A20</x:f>
        <x:v>1896</x:v>
      </x:c>
      <x:c r="B20" s="10" t="n">
        <x:f>ROUND('Расчёт'!E20,-3)</x:f>
        <x:v>446000</x:v>
      </x:c>
      <x:c r="C20" s="10" t="n">
        <x:f>ROUND('Расчёт'!I20,-3)</x:f>
        <x:v>436000</x:v>
      </x:c>
      <x:c r="D20" s="10" t="n">
        <x:f>ROUND('Расчёт'!J20,-3)</x:f>
        <x:v>456000</x:v>
      </x:c>
      <x:c r="E20" s="26" t="n">
        <x:f>'Расчёт'!E20/'Расчёт'!E19-1</x:f>
        <x:v>0.010554284942074776</x:v>
      </x:c>
      <x:c r="F20" s="2"/>
      <x:c r="G20" s="2" t="str">
        <x:v>Формулы и параметры — на листе «Расчёт».</x:v>
      </x:c>
      <x:c r="H20" s="2"/>
      <x:c r="I20" s="2"/>
      <x:c r="J20" s="2"/>
      <x:c r="K20" s="2"/>
      <x:c r="L20" s="2"/>
      <x:c r="M20" s="2"/>
      <x:c r="N20" s="2"/>
      <x:c r="O20" s="2"/>
    </x:row>
    <x:row r="21" ht="23" customHeight="1">
      <x:c r="A21" s="2" t="n">
        <x:f>'Расчёт'!A21</x:f>
        <x:v>1897</x:v>
      </x:c>
      <x:c r="B21" s="9" t="n">
        <x:f>ROUND('Расчёт'!E21,-3)</x:f>
        <x:v>453000</x:v>
      </x:c>
      <x:c r="C21" s="9" t="n">
        <x:f>ROUND('Расчёт'!I21,-3)</x:f>
        <x:v>446000</x:v>
      </x:c>
      <x:c r="D21" s="9" t="n">
        <x:f>ROUND('Расчёт'!J21,-3)</x:f>
        <x:v>459000</x:v>
      </x:c>
      <x:c r="E21" s="25" t="n">
        <x:f>'Расчёт'!E21/'Расчёт'!E20-1</x:f>
        <x:v>0.016084918804661896</x:v>
      </x:c>
      <x:c r="F21" s="2"/>
      <x:c r="G21" s="2" t="str">
        <x:v>Происхождение чисел — на листе «Источники».</x:v>
      </x:c>
      <x:c r="H21" s="2"/>
      <x:c r="I21" s="2"/>
      <x:c r="J21" s="2"/>
      <x:c r="K21" s="2"/>
      <x:c r="L21" s="2"/>
      <x:c r="M21" s="2"/>
      <x:c r="N21" s="2"/>
      <x:c r="O21" s="2"/>
    </x:row>
    <x:row r="22" ht="23" customHeight="1">
      <x:c r="A22" s="11" t="n">
        <x:f>'Расчёт'!A22</x:f>
        <x:v>1898</x:v>
      </x:c>
      <x:c r="B22" s="10" t="n">
        <x:f>ROUND('Расчёт'!E22,-3)</x:f>
        <x:v>462000</x:v>
      </x:c>
      <x:c r="C22" s="10" t="n">
        <x:f>ROUND('Расчёт'!I22,-3)</x:f>
        <x:v>453000</x:v>
      </x:c>
      <x:c r="D22" s="10" t="n">
        <x:f>ROUND('Расчёт'!J22,-3)</x:f>
        <x:v>471000</x:v>
      </x:c>
      <x:c r="E22" s="26" t="n">
        <x:f>'Расчёт'!E22/'Расчёт'!E21-1</x:f>
        <x:v>0.02080650454759314</x:v>
      </x:c>
      <x:c r="F22" s="2"/>
      <x:c r="G22" s="2"/>
      <x:c r="H22" s="2"/>
      <x:c r="I22" s="2"/>
      <x:c r="J22" s="2"/>
      <x:c r="K22" s="2"/>
      <x:c r="L22" s="2"/>
      <x:c r="M22" s="2"/>
      <x:c r="N22" s="2"/>
      <x:c r="O22" s="2"/>
    </x:row>
    <x:row r="23" ht="23" customHeight="1">
      <x:c r="A23" s="2" t="n">
        <x:f>'Расчёт'!A23</x:f>
        <x:v>1899</x:v>
      </x:c>
      <x:c r="B23" s="9" t="n">
        <x:f>ROUND('Расчёт'!E23,-3)</x:f>
        <x:v>472000</x:v>
      </x:c>
      <x:c r="C23" s="9" t="n">
        <x:f>ROUND('Расчёт'!I23,-3)</x:f>
        <x:v>460000</x:v>
      </x:c>
      <x:c r="D23" s="9" t="n">
        <x:f>ROUND('Расчёт'!J23,-3)</x:f>
        <x:v>484000</x:v>
      </x:c>
      <x:c r="E23" s="25" t="n">
        <x:f>'Расчёт'!E23/'Расчёт'!E22-1</x:f>
        <x:v>0.02078729487696207</x:v>
      </x:c>
      <x:c r="F23" s="2"/>
      <x:c r="G23" s="2" t="str">
        <x:v>Метод и ограничения подробно описаны в HTML-отчёте.</x:v>
      </x:c>
      <x:c r="H23" s="2"/>
      <x:c r="I23" s="2"/>
      <x:c r="J23" s="2"/>
      <x:c r="K23" s="2"/>
      <x:c r="L23" s="2"/>
      <x:c r="M23" s="2"/>
      <x:c r="N23" s="2"/>
      <x:c r="O23" s="2"/>
    </x:row>
    <x:row r="24" ht="23" customHeight="1">
      <x:c r="A24" s="11" t="n">
        <x:f>'Расчёт'!A24</x:f>
        <x:v>1900</x:v>
      </x:c>
      <x:c r="B24" s="10" t="n">
        <x:f>ROUND('Расчёт'!E24,-3)</x:f>
        <x:v>482000</x:v>
      </x:c>
      <x:c r="C24" s="10" t="n">
        <x:f>ROUND('Расчёт'!I24,-3)</x:f>
        <x:v>466000</x:v>
      </x:c>
      <x:c r="D24" s="10" t="n">
        <x:f>ROUND('Расчёт'!J24,-3)</x:f>
        <x:v>497000</x:v>
      </x:c>
      <x:c r="E24" s="26" t="n">
        <x:f>'Расчёт'!E24/'Расчёт'!E23-1</x:f>
        <x:v>0.02054361410517669</x:v>
      </x:c>
      <x:c r="F24" s="2"/>
      <x:c r="G24" s="2"/>
      <x:c r="H24" s="2"/>
      <x:c r="I24" s="2"/>
      <x:c r="J24" s="2"/>
      <x:c r="K24" s="2"/>
      <x:c r="L24" s="2"/>
      <x:c r="M24" s="2"/>
      <x:c r="N24" s="2"/>
      <x:c r="O24" s="2"/>
    </x:row>
    <x:row r="25" ht="23" customHeight="1">
      <x:c r="A25" s="2" t="n">
        <x:f>'Расчёт'!A25</x:f>
        <x:v>1901</x:v>
      </x:c>
      <x:c r="B25" s="9" t="n">
        <x:f>ROUND('Расчёт'!E25,-3)</x:f>
        <x:v>499000</x:v>
      </x:c>
      <x:c r="C25" s="9" t="n">
        <x:f>ROUND('Расчёт'!I25,-3)</x:f>
        <x:v>481000</x:v>
      </x:c>
      <x:c r="D25" s="9" t="n">
        <x:f>ROUND('Расчёт'!J25,-3)</x:f>
        <x:v>517000</x:v>
      </x:c>
      <x:c r="E25" s="25" t="n">
        <x:f>'Расчёт'!E25/'Расчёт'!E24-1</x:f>
        <x:v>0.03600401470446335</x:v>
      </x:c>
      <x:c r="F25" s="2"/>
      <x:c r="G25" s="2"/>
      <x:c r="H25" s="2"/>
      <x:c r="I25" s="2"/>
      <x:c r="J25" s="2"/>
      <x:c r="K25" s="2"/>
      <x:c r="L25" s="2"/>
      <x:c r="M25" s="2"/>
      <x:c r="N25" s="2"/>
      <x:c r="O25" s="2"/>
    </x:row>
    <x:row r="26" ht="23" customHeight="1">
      <x:c r="A26" s="11" t="n">
        <x:f>'Расчёт'!A26</x:f>
        <x:v>1902</x:v>
      </x:c>
      <x:c r="B26" s="10" t="n">
        <x:f>ROUND('Расчёт'!E26,-3)</x:f>
        <x:v>516000</x:v>
      </x:c>
      <x:c r="C26" s="10" t="n">
        <x:f>ROUND('Расчёт'!I26,-3)</x:f>
        <x:v>496000</x:v>
      </x:c>
      <x:c r="D26" s="10" t="n">
        <x:f>ROUND('Расчёт'!J26,-3)</x:f>
        <x:v>537000</x:v>
      </x:c>
      <x:c r="E26" s="26" t="n">
        <x:f>'Расчёт'!E26/'Расчёт'!E25-1</x:f>
        <x:v>0.03492754014059174</x:v>
      </x:c>
      <x:c r="F26" s="2"/>
      <x:c r="G26" s="2"/>
      <x:c r="H26" s="2"/>
      <x:c r="I26" s="2"/>
      <x:c r="J26" s="2"/>
      <x:c r="K26" s="2"/>
      <x:c r="L26" s="2"/>
      <x:c r="M26" s="2"/>
      <x:c r="N26" s="2"/>
      <x:c r="O26" s="2"/>
    </x:row>
    <x:row r="27" ht="23" customHeight="1">
      <x:c r="A27" s="2" t="n">
        <x:f>'Расчёт'!A27</x:f>
        <x:v>1903</x:v>
      </x:c>
      <x:c r="B27" s="9" t="n">
        <x:f>ROUND('Расчёт'!E27,-3)</x:f>
        <x:v>534000</x:v>
      </x:c>
      <x:c r="C27" s="9" t="n">
        <x:f>ROUND('Расчёт'!I27,-3)</x:f>
        <x:v>511000</x:v>
      </x:c>
      <x:c r="D27" s="9" t="n">
        <x:f>ROUND('Расчёт'!J27,-3)</x:f>
        <x:v>557000</x:v>
      </x:c>
      <x:c r="E27" s="25" t="n">
        <x:f>'Расчёт'!E27/'Расчёт'!E26-1</x:f>
        <x:v>0.03392004689261663</x:v>
      </x:c>
      <x:c r="F27" s="2"/>
      <x:c r="G27" s="2"/>
      <x:c r="H27" s="2"/>
      <x:c r="I27" s="2"/>
      <x:c r="J27" s="2"/>
      <x:c r="K27" s="2"/>
      <x:c r="L27" s="2"/>
      <x:c r="M27" s="2"/>
      <x:c r="N27" s="2"/>
      <x:c r="O27" s="2"/>
    </x:row>
    <x:row r="28" ht="23" customHeight="1">
      <x:c r="A28" s="11" t="n">
        <x:f>'Расчёт'!A28</x:f>
        <x:v>1904</x:v>
      </x:c>
      <x:c r="B28" s="10" t="n">
        <x:f>ROUND('Расчёт'!E28,-3)</x:f>
        <x:v>546000</x:v>
      </x:c>
      <x:c r="C28" s="10" t="n">
        <x:f>ROUND('Расчёт'!I28,-3)</x:f>
        <x:v>520000</x:v>
      </x:c>
      <x:c r="D28" s="10" t="n">
        <x:f>ROUND('Расчёт'!J28,-3)</x:f>
        <x:v>571000</x:v>
      </x:c>
      <x:c r="E28" s="26" t="n">
        <x:f>'Расчёт'!E28/'Расчёт'!E27-1</x:f>
        <x:v>0.02195584087466451</x:v>
      </x:c>
      <x:c r="F28" s="2"/>
      <x:c r="G28" s="2"/>
      <x:c r="H28" s="2"/>
      <x:c r="I28" s="2"/>
      <x:c r="J28" s="2"/>
      <x:c r="K28" s="2"/>
      <x:c r="L28" s="2"/>
      <x:c r="M28" s="2"/>
      <x:c r="N28" s="2"/>
      <x:c r="O28" s="2"/>
    </x:row>
    <x:row r="29" ht="23" customHeight="1">
      <x:c r="A29" s="2" t="n">
        <x:f>'Расчёт'!A29</x:f>
        <x:v>1905</x:v>
      </x:c>
      <x:c r="B29" s="9" t="n">
        <x:f>ROUND('Расчёт'!E29,-3)</x:f>
        <x:v>569000</x:v>
      </x:c>
      <x:c r="C29" s="9" t="n">
        <x:f>ROUND('Расчёт'!I29,-3)</x:f>
        <x:v>541000</x:v>
      </x:c>
      <x:c r="D29" s="9" t="n">
        <x:f>ROUND('Расчёт'!J29,-3)</x:f>
        <x:v>598000</x:v>
      </x:c>
      <x:c r="E29" s="25" t="n">
        <x:f>'Расчёт'!E29/'Расчёт'!E28-1</x:f>
        <x:v>0.043271771177479934</x:v>
      </x:c>
      <x:c r="F29" s="2"/>
      <x:c r="G29" s="2"/>
      <x:c r="H29" s="2"/>
      <x:c r="I29" s="2"/>
      <x:c r="J29" s="2"/>
      <x:c r="K29" s="2"/>
      <x:c r="L29" s="2"/>
      <x:c r="M29" s="2"/>
      <x:c r="N29" s="2"/>
      <x:c r="O29" s="2"/>
    </x:row>
    <x:row r="30" ht="23" customHeight="1">
      <x:c r="A30" s="11" t="n">
        <x:f>'Расчёт'!A30</x:f>
        <x:v>1906</x:v>
      </x:c>
      <x:c r="B30" s="10" t="n">
        <x:f>ROUND('Расчёт'!E30,-3)</x:f>
        <x:v>600000</x:v>
      </x:c>
      <x:c r="C30" s="10" t="n">
        <x:f>ROUND('Расчёт'!I30,-3)</x:f>
        <x:v>567000</x:v>
      </x:c>
      <x:c r="D30" s="10" t="n">
        <x:f>ROUND('Расчёт'!J30,-3)</x:f>
        <x:v>633000</x:v>
      </x:c>
      <x:c r="E30" s="26" t="n">
        <x:f>'Расчёт'!E30/'Расчёт'!E29-1</x:f>
        <x:v>0.05346562725908921</x:v>
      </x:c>
      <x:c r="F30" s="2"/>
      <x:c r="G30" s="2"/>
      <x:c r="H30" s="2"/>
      <x:c r="I30" s="2"/>
      <x:c r="J30" s="2"/>
      <x:c r="K30" s="2"/>
      <x:c r="L30" s="2"/>
      <x:c r="M30" s="2"/>
      <x:c r="N30" s="2"/>
      <x:c r="O30" s="2"/>
    </x:row>
    <x:row r="31" ht="23" customHeight="1">
      <x:c r="A31" s="2" t="n">
        <x:f>'Расчёт'!A31</x:f>
        <x:v>1907</x:v>
      </x:c>
      <x:c r="B31" s="9" t="n">
        <x:f>ROUND('Расчёт'!E31,-3)</x:f>
        <x:v>629000</x:v>
      </x:c>
      <x:c r="C31" s="9" t="n">
        <x:f>ROUND('Расчёт'!I31,-3)</x:f>
        <x:v>592000</x:v>
      </x:c>
      <x:c r="D31" s="9" t="n">
        <x:f>ROUND('Расчёт'!J31,-3)</x:f>
        <x:v>666000</x:v>
      </x:c>
      <x:c r="E31" s="25" t="n">
        <x:f>'Расчёт'!E31/'Расчёт'!E30-1</x:f>
        <x:v>0.04877833970671941</x:v>
      </x:c>
      <x:c r="F31" s="2"/>
      <x:c r="G31" s="2"/>
      <x:c r="H31" s="2"/>
      <x:c r="I31" s="2"/>
      <x:c r="J31" s="2"/>
      <x:c r="K31" s="2"/>
      <x:c r="L31" s="2"/>
      <x:c r="M31" s="2"/>
      <x:c r="N31" s="2"/>
      <x:c r="O31" s="2"/>
    </x:row>
    <x:row r="32" ht="23" customHeight="1">
      <x:c r="A32" s="11" t="n">
        <x:f>'Расчёт'!A32</x:f>
        <x:v>1908</x:v>
      </x:c>
      <x:c r="B32" s="10" t="n">
        <x:f>ROUND('Расчёт'!E32,-3)</x:f>
        <x:v>663000</x:v>
      </x:c>
      <x:c r="C32" s="10" t="n">
        <x:f>ROUND('Расчёт'!I32,-3)</x:f>
        <x:v>622000</x:v>
      </x:c>
      <x:c r="D32" s="10" t="n">
        <x:f>ROUND('Расчёт'!J32,-3)</x:f>
        <x:v>705000</x:v>
      </x:c>
      <x:c r="E32" s="26" t="n">
        <x:f>'Расчёт'!E32/'Расчёт'!E31-1</x:f>
        <x:v>0.053913868251509456</x:v>
      </x:c>
      <x:c r="F32" s="2"/>
      <x:c r="G32" s="2"/>
      <x:c r="H32" s="2"/>
      <x:c r="I32" s="2"/>
      <x:c r="J32" s="2"/>
      <x:c r="K32" s="2"/>
      <x:c r="L32" s="2"/>
      <x:c r="M32" s="2"/>
      <x:c r="N32" s="2"/>
      <x:c r="O32" s="2"/>
    </x:row>
    <x:row r="33" ht="23" customHeight="1">
      <x:c r="A33" s="2" t="n">
        <x:f>'Расчёт'!A33</x:f>
        <x:v>1909</x:v>
      </x:c>
      <x:c r="B33" s="9" t="n">
        <x:f>ROUND('Расчёт'!E33,-3)</x:f>
        <x:v>697000</x:v>
      </x:c>
      <x:c r="C33" s="9" t="n">
        <x:f>ROUND('Расчёт'!I33,-3)</x:f>
        <x:v>651000</x:v>
      </x:c>
      <x:c r="D33" s="9" t="n">
        <x:f>ROUND('Расчёт'!J33,-3)</x:f>
        <x:v>743000</x:v>
      </x:c>
      <x:c r="E33" s="25" t="n">
        <x:f>'Расчёт'!E33/'Расчёт'!E32-1</x:f>
        <x:v>0.05130109135234706</x:v>
      </x:c>
      <x:c r="F33" s="2"/>
      <x:c r="G33" s="2"/>
      <x:c r="H33" s="2"/>
      <x:c r="I33" s="2"/>
      <x:c r="J33" s="2"/>
      <x:c r="K33" s="2"/>
      <x:c r="L33" s="2"/>
      <x:c r="M33" s="2"/>
      <x:c r="N33" s="2"/>
      <x:c r="O33" s="2"/>
    </x:row>
    <x:row r="34" ht="23" customHeight="1">
      <x:c r="A34" s="11" t="n">
        <x:f>'Расчёт'!A34</x:f>
        <x:v>1910</x:v>
      </x:c>
      <x:c r="B34" s="10" t="n">
        <x:f>ROUND('Расчёт'!E34,-3)</x:f>
        <x:v>731000</x:v>
      </x:c>
      <x:c r="C34" s="10" t="n">
        <x:f>ROUND('Расчёт'!I34,-3)</x:f>
        <x:v>681000</x:v>
      </x:c>
      <x:c r="D34" s="10" t="n">
        <x:f>ROUND('Расчёт'!J34,-3)</x:f>
        <x:v>782000</x:v>
      </x:c>
      <x:c r="E34" s="26" t="n">
        <x:f>'Расчёт'!E34/'Расчёт'!E33-1</x:f>
        <x:v>0.04893782786043932</x:v>
      </x:c>
      <x:c r="F34" s="2"/>
      <x:c r="G34" s="2"/>
      <x:c r="H34" s="2"/>
      <x:c r="I34" s="2"/>
      <x:c r="J34" s="2"/>
      <x:c r="K34" s="2"/>
      <x:c r="L34" s="2"/>
      <x:c r="M34" s="2"/>
      <x:c r="N34" s="2"/>
      <x:c r="O34" s="2"/>
    </x:row>
    <x:row r="35" ht="23" customHeight="1">
      <x:c r="A35" s="2" t="n">
        <x:f>'Расчёт'!A35</x:f>
        <x:v>1911</x:v>
      </x:c>
      <x:c r="B35" s="9" t="n">
        <x:f>ROUND('Расчёт'!E35,-3)</x:f>
        <x:v>761000</x:v>
      </x:c>
      <x:c r="C35" s="9" t="n">
        <x:f>ROUND('Расчёт'!I35,-3)</x:f>
        <x:v>707000</x:v>
      </x:c>
      <x:c r="D35" s="9" t="n">
        <x:f>ROUND('Расчёт'!J35,-3)</x:f>
        <x:v>816000</x:v>
      </x:c>
      <x:c r="E35" s="25" t="n">
        <x:f>'Расчёт'!E35/'Расчёт'!E34-1</x:f>
        <x:v>0.04133047337929607</x:v>
      </x:c>
      <x:c r="F35" s="2"/>
      <x:c r="G35" s="2"/>
      <x:c r="H35" s="2"/>
      <x:c r="I35" s="2"/>
      <x:c r="J35" s="2"/>
      <x:c r="K35" s="2"/>
      <x:c r="L35" s="2"/>
      <x:c r="M35" s="2"/>
      <x:c r="N35" s="2"/>
      <x:c r="O35" s="2"/>
    </x:row>
    <x:row r="36" ht="23" customHeight="1">
      <x:c r="A36" s="11" t="n">
        <x:f>'Расчёт'!A36</x:f>
        <x:v>1912</x:v>
      </x:c>
      <x:c r="B36" s="10" t="n">
        <x:f>ROUND('Расчёт'!E36,-3)</x:f>
        <x:v>796000</x:v>
      </x:c>
      <x:c r="C36" s="10" t="n">
        <x:f>ROUND('Расчёт'!I36,-3)</x:f>
        <x:v>738000</x:v>
      </x:c>
      <x:c r="D36" s="10" t="n">
        <x:f>ROUND('Расчёт'!J36,-3)</x:f>
        <x:v>857000</x:v>
      </x:c>
      <x:c r="E36" s="26" t="n">
        <x:f>'Расчёт'!E36/'Расчёт'!E35-1</x:f>
        <x:v>0.04645784342644044</x:v>
      </x:c>
      <x:c r="F36" s="2"/>
      <x:c r="G36" s="2"/>
      <x:c r="H36" s="2"/>
      <x:c r="I36" s="2"/>
      <x:c r="J36" s="2"/>
      <x:c r="K36" s="2"/>
      <x:c r="L36" s="2"/>
      <x:c r="M36" s="2"/>
      <x:c r="N36" s="2"/>
      <x:c r="O36" s="2"/>
    </x:row>
    <x:row r="37" ht="23" customHeight="1">
      <x:c r="A37" s="2" t="n">
        <x:f>'Расчёт'!A37</x:f>
        <x:v>1913</x:v>
      </x:c>
      <x:c r="B37" s="9" t="n">
        <x:f>ROUND('Расчёт'!E37,-3)</x:f>
        <x:v>843000</x:v>
      </x:c>
      <x:c r="C37" s="9" t="n">
        <x:f>ROUND('Расчёт'!I37,-3)</x:f>
        <x:v>779000</x:v>
      </x:c>
      <x:c r="D37" s="9" t="n">
        <x:f>ROUND('Расчёт'!J37,-3)</x:f>
        <x:v>909000</x:v>
      </x:c>
      <x:c r="E37" s="25" t="n">
        <x:f>'Расчёт'!E37/'Расчёт'!E36-1</x:f>
        <x:v>0.058300636437175646</x:v>
      </x:c>
      <x:c r="F37" s="2"/>
      <x:c r="G37" s="2"/>
      <x:c r="H37" s="2"/>
      <x:c r="I37" s="2"/>
      <x:c r="J37" s="2"/>
      <x:c r="K37" s="2"/>
      <x:c r="L37" s="2"/>
      <x:c r="M37" s="2"/>
      <x:c r="N37" s="2"/>
      <x:c r="O37" s="2"/>
    </x:row>
    <x:row r="38" ht="23" customHeight="1">
      <x:c r="A38" s="11" t="n">
        <x:f>'Расчёт'!A38</x:f>
        <x:v>1914</x:v>
      </x:c>
      <x:c r="B38" s="10" t="n">
        <x:f>ROUND('Расчёт'!E38,-3)</x:f>
        <x:v>867000</x:v>
      </x:c>
      <x:c r="C38" s="10" t="n">
        <x:f>ROUND('Расчёт'!I38,-3)</x:f>
        <x:v>799000</x:v>
      </x:c>
      <x:c r="D38" s="10" t="n">
        <x:f>ROUND('Расчёт'!J38,-3)</x:f>
        <x:v>937000</x:v>
      </x:c>
      <x:c r="E38" s="26" t="n">
        <x:f>'Расчёт'!E38/'Расчёт'!E37-1</x:f>
        <x:v>0.028711878044863193</x:v>
      </x:c>
      <x:c r="F38" s="2"/>
      <x:c r="G38" s="2"/>
      <x:c r="H38" s="2"/>
      <x:c r="I38" s="2"/>
      <x:c r="J38" s="2"/>
      <x:c r="K38" s="2"/>
      <x:c r="L38" s="2"/>
      <x:c r="M38" s="2"/>
      <x:c r="N38" s="2"/>
      <x:c r="O38" s="2"/>
    </x:row>
    <x:row r="39" ht="23" customHeight="1">
      <x:c r="A39" s="2" t="n">
        <x:f>'Расчёт'!A39</x:f>
        <x:v>1915</x:v>
      </x:c>
      <x:c r="B39" s="9" t="n">
        <x:f>ROUND('Расчёт'!E39,-3)</x:f>
        <x:v>883000</x:v>
      </x:c>
      <x:c r="C39" s="9" t="n">
        <x:f>ROUND('Расчёт'!I39,-3)</x:f>
        <x:v>813000</x:v>
      </x:c>
      <x:c r="D39" s="9" t="n">
        <x:f>ROUND('Расчёт'!J39,-3)</x:f>
        <x:v>957000</x:v>
      </x:c>
      <x:c r="E39" s="25" t="n">
        <x:f>'Расчёт'!E39/'Расчёт'!E38-1</x:f>
        <x:v>0.01894488769746272</x:v>
      </x:c>
      <x:c r="F39" s="2"/>
      <x:c r="G39" s="2"/>
      <x:c r="H39" s="2"/>
      <x:c r="I39" s="2"/>
      <x:c r="J39" s="2"/>
      <x:c r="K39" s="2"/>
      <x:c r="L39" s="2"/>
      <x:c r="M39" s="2"/>
      <x:c r="N39" s="2"/>
      <x:c r="O39" s="2"/>
    </x:row>
    <x:row r="40" ht="23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</x:row>
    <x:row r="41" ht="23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</x:row>
    <x:row r="42" ht="23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</x:row>
  </x:sheetData>
  <x:pageMargins left="0.7" right="0.7" top="0.75" bottom="0.75" header="0.3" footer="0.3"/>
  <x:drawing xmlns:r="http://schemas.openxmlformats.org/officeDocument/2006/relationships" r:id="R61c994f6d9d446bc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3" hidden="0" customWidth="1"/>
    <x:col min="9" max="9" width="18" hidden="0" customWidth="1"/>
    <x:col min="10" max="10" width="18" hidden="0" customWidth="1"/>
    <x:col min="11" max="11" width="3" hidden="0" customWidth="1"/>
    <x:col min="12" max="12" width="3" hidden="0" customWidth="1"/>
    <x:col min="13" max="13" width="3" hidden="0" customWidth="1"/>
    <x:col min="14" max="14" width="3" hidden="0" customWidth="1"/>
    <x:col min="15" max="15" width="3" hidden="0" customWidth="1"/>
    <x:col min="16" max="16" width="3" hidden="0" customWidth="1"/>
    <x:col min="17" max="17" width="49" hidden="0" customWidth="1"/>
    <x:col min="18" max="18" width="20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3" customHeight="1">
      <x:c r="A2" s="3" t="str">
        <x:v>Расчёт: калибровка переписью и годовые значения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3" customHeight="1">
      <x:c r="A3" s="2" t="str">
        <x:v>K и S — условные компоненты; они не являются точными рядами кочевых / оседлых или этнических групп.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36" customHeight="1">
      <x:c r="A4" s="7" t="str">
        <x:v>Год</x:v>
      </x:c>
      <x:c r="B4" s="7" t="str">
        <x:v>Индекс A</x:v>
      </x:c>
      <x:c r="C4" s="7" t="str">
        <x:v>Компонента K</x:v>
      </x:c>
      <x:c r="D4" s="7" t="str">
        <x:v>Компонента S</x:v>
      </x:c>
      <x:c r="E4" s="7" t="str">
        <x:v>Всего</x:v>
      </x:c>
      <x:c r="F4" s="7" t="str">
        <x:v>K: нижний</x:v>
      </x:c>
      <x:c r="G4" s="7" t="str">
        <x:v>K: верхний</x:v>
      </x:c>
      <x:c r="H4" s="7" t="str">
        <x:v>Допуск S</x:v>
      </x:c>
      <x:c r="I4" s="7" t="str">
        <x:v>Нижний итог</x:v>
      </x:c>
      <x:c r="J4" s="7" t="str">
        <x:v>Верхний итог</x:v>
      </x:c>
      <x:c r="K4" s="2"/>
      <x:c r="L4" s="2"/>
      <x:c r="M4" s="2"/>
      <x:c r="N4" s="2"/>
      <x:c r="O4" s="2"/>
      <x:c r="P4" s="2"/>
      <x:c r="Q4" s="7" t="str">
        <x:v>Параметр</x:v>
      </x:c>
      <x:c r="R4" s="7" t="str">
        <x:v>Значение</x:v>
      </x:c>
    </x:row>
    <x:row r="5" ht="23" customHeight="1">
      <x:c r="A5" s="2" t="n">
        <x:v>1881</x:v>
      </x:c>
      <x:c r="B5" s="9" t="n">
        <x:f>'Источники'!B5-'Источники'!B55</x:f>
        <x:v>2270</x:v>
      </x:c>
      <x:c r="C5" s="9" t="n">
        <x:f>$R$6*EXP(IF(A5&lt;$R$8,$R$9,$R$10)*(A5-$R$8))</x:f>
        <x:v>358134.51771870005</x:v>
      </x:c>
      <x:c r="D5" s="9" t="n">
        <x:f>IF(A5&lt;$R$8,B5*$R$20,B5+$R$21*(1+$R$13)^(A5-$R$8))</x:f>
        <x:v>2871.106986264716</x:v>
      </x:c>
      <x:c r="E5" s="9" t="n">
        <x:f>C5+D5</x:f>
        <x:v>361005.62470496475</x:v>
      </x:c>
      <x:c r="F5" s="9" t="n">
        <x:f>(1-$R$14)*C5*EXP(-IF(A5&lt;$R$8,$R$15,$R$16)*ABS(A5-$R$8))</x:f>
        <x:v>320329.83208161657</x:v>
      </x:c>
      <x:c r="G5" s="9" t="n">
        <x:f>(1+$R$14)*C5*EXP(IF(A5&lt;$R$8,$R$15,$R$16)*ABS(A5-$R$8))</x:f>
        <x:v>400310.74649974535</x:v>
      </x:c>
      <x:c r="H5" s="25" t="n">
        <x:f>$R$17*MIN(ABS(A5-$R$8)/$R$18,1)</x:f>
        <x:v>0.1</x:v>
      </x:c>
      <x:c r="I5" s="9" t="n">
        <x:f>F5+D5*(1-H5)</x:f>
        <x:v>322913.8283692548</x:v>
      </x:c>
      <x:c r="J5" s="9" t="n">
        <x:f>G5+D5*(1+H5)</x:f>
        <x:v>403468.96418463654</x:v>
      </x:c>
      <x:c r="K5" s="2"/>
      <x:c r="L5" s="2"/>
      <x:c r="M5" s="2"/>
      <x:c r="N5" s="2"/>
      <x:c r="O5" s="2"/>
      <x:c r="P5" s="2"/>
      <x:c r="Q5" s="2" t="str">
        <x:v>Наличное население переписи</x:v>
      </x:c>
      <x:c r="R5" s="8" t="n">
        <x:f>'Источники'!B45</x:f>
        <x:v>453416</x:v>
      </x:c>
    </x:row>
    <x:row r="6" ht="23" customHeight="1">
      <x:c r="A6" s="11" t="n">
        <x:v>1882</x:v>
      </x:c>
      <x:c r="B6" s="10" t="n">
        <x:f>'Источники'!B5</x:f>
        <x:v>3596</x:v>
      </x:c>
      <x:c r="C6" s="10" t="n">
        <x:f>$R$6*EXP(IF(A6&lt;$R$8,$R$9,$R$10)*(A6-$R$8))</x:f>
        <x:v>361210.1108005022</x:v>
      </x:c>
      <x:c r="D6" s="10" t="n">
        <x:f>IF(A6&lt;$R$8,B6*$R$20,B6+$R$21*(1+$R$13)^(A6-$R$8))</x:f>
        <x:v>4548.238203792034</x:v>
      </x:c>
      <x:c r="E6" s="10" t="n">
        <x:f>C6+D6</x:f>
        <x:v>365758.3490042942</x:v>
      </x:c>
      <x:c r="F6" s="10" t="n">
        <x:f>(1-$R$14)*C6*EXP(-IF(A6&lt;$R$8,$R$15,$R$16)*ABS(A6-$R$8))</x:f>
        <x:v>325025.0772018283</x:v>
      </x:c>
      <x:c r="G6" s="10" t="n">
        <x:f>(1+$R$14)*C6*EXP(IF(A6&lt;$R$8,$R$15,$R$16)*ABS(A6-$R$8))</x:f>
        <x:v>401333.3029564304</x:v>
      </x:c>
      <x:c r="H6" s="26" t="n">
        <x:f>$R$17*MIN(ABS(A6-$R$8)/$R$18,1)</x:f>
        <x:v>0.1</x:v>
      </x:c>
      <x:c r="I6" s="10" t="n">
        <x:f>F6+D6*(1-H6)</x:f>
        <x:v>329118.4915852411</x:v>
      </x:c>
      <x:c r="J6" s="10" t="n">
        <x:f>G6+D6*(1+H6)</x:f>
        <x:v>406336.36498060165</x:v>
      </x:c>
      <x:c r="K6" s="2"/>
      <x:c r="L6" s="2"/>
      <x:c r="M6" s="2"/>
      <x:c r="N6" s="2"/>
      <x:c r="O6" s="2"/>
      <x:c r="P6" s="2"/>
      <x:c r="Q6" s="2" t="str">
        <x:v>Большая компонента переписи</x:v>
      </x:c>
      <x:c r="R6" s="8" t="n">
        <x:f>'Источники'!B47</x:f>
        <x:v>410904</x:v>
      </x:c>
    </x:row>
    <x:row r="7" ht="23" customHeight="1">
      <x:c r="A7" s="2" t="n">
        <x:v>1883</x:v>
      </x:c>
      <x:c r="B7" s="9" t="n">
        <x:f>'Источники'!B6</x:f>
        <x:v>6403</x:v>
      </x:c>
      <x:c r="C7" s="9" t="n">
        <x:f>$R$6*EXP(IF(A7&lt;$R$8,$R$9,$R$10)*(A7-$R$8))</x:f>
        <x:v>364312.11650755216</x:v>
      </x:c>
      <x:c r="D7" s="9" t="n">
        <x:f>IF(A7&lt;$R$8,B7*$R$20,B7+$R$21*(1+$R$13)^(A7-$R$8))</x:f>
        <x:v>8098.545389010122</x:v>
      </x:c>
      <x:c r="E7" s="9" t="n">
        <x:f>C7+D7</x:f>
        <x:v>372410.66189656226</x:v>
      </x:c>
      <x:c r="F7" s="9" t="n">
        <x:f>(1-$R$14)*C7*EXP(-IF(A7&lt;$R$8,$R$15,$R$16)*ABS(A7-$R$8))</x:f>
        <x:v>329789.1430328543</x:v>
      </x:c>
      <x:c r="G7" s="9" t="n">
        <x:f>(1+$R$14)*C7*EXP(IF(A7&lt;$R$8,$R$15,$R$16)*ABS(A7-$R$8))</x:f>
        <x:v>402358.471438189</x:v>
      </x:c>
      <x:c r="H7" s="25" t="n">
        <x:f>$R$17*MIN(ABS(A7-$R$8)/$R$18,1)</x:f>
        <x:v>0.1</x:v>
      </x:c>
      <x:c r="I7" s="9" t="n">
        <x:f>F7+D7*(1-H7)</x:f>
        <x:v>337077.8338829634</x:v>
      </x:c>
      <x:c r="J7" s="9" t="n">
        <x:f>G7+D7*(1+H7)</x:f>
        <x:v>411266.8713661001</x:v>
      </x:c>
      <x:c r="K7" s="2"/>
      <x:c r="L7" s="2"/>
      <x:c r="M7" s="2"/>
      <x:c r="N7" s="2"/>
      <x:c r="O7" s="2"/>
      <x:c r="P7" s="2"/>
      <x:c r="Q7" s="2" t="str">
        <x:v>Прочая компонента переписи</x:v>
      </x:c>
      <x:c r="R7" s="8" t="n">
        <x:f>R5-R6</x:f>
        <x:v>42512</x:v>
      </x:c>
    </x:row>
    <x:row r="8" ht="23" customHeight="1">
      <x:c r="A8" s="11" t="n">
        <x:v>1884</x:v>
      </x:c>
      <x:c r="B8" s="10" t="n">
        <x:f>(B7+B9)/2</x:f>
        <x:v>6964</x:v>
      </x:c>
      <x:c r="C8" s="10" t="n">
        <x:f>$R$6*EXP(IF(A8&lt;$R$8,$R$9,$R$10)*(A8-$R$8))</x:f>
        <x:v>367440.7616665966</x:v>
      </x:c>
      <x:c r="D8" s="10" t="n">
        <x:f>IF(A8&lt;$R$8,B8*$R$20,B8+$R$21*(1+$R$13)^(A8-$R$8))</x:f>
        <x:v>8808.100904117833</x:v>
      </x:c>
      <x:c r="E8" s="10" t="n">
        <x:f>C8+D8</x:f>
        <x:v>376248.86257071444</x:v>
      </x:c>
      <x:c r="F8" s="10" t="n">
        <x:f>(1-$R$14)*C8*EXP(-IF(A8&lt;$R$8,$R$15,$R$16)*ABS(A8-$R$8))</x:f>
        <x:v>334623.0383165421</x:v>
      </x:c>
      <x:c r="G8" s="10" t="n">
        <x:f>(1+$R$14)*C8*EXP(IF(A8&lt;$R$8,$R$15,$R$16)*ABS(A8-$R$8))</x:f>
        <x:v>403386.2586171957</x:v>
      </x:c>
      <x:c r="H8" s="26" t="n">
        <x:f>$R$17*MIN(ABS(A8-$R$8)/$R$18,1)</x:f>
        <x:v>0.1</x:v>
      </x:c>
      <x:c r="I8" s="10" t="n">
        <x:f>F8+D8*(1-H8)</x:f>
        <x:v>342550.32913024817</x:v>
      </x:c>
      <x:c r="J8" s="10" t="n">
        <x:f>G8+D8*(1+H8)</x:f>
        <x:v>413075.1696117253</x:v>
      </x:c>
      <x:c r="K8" s="2"/>
      <x:c r="L8" s="2"/>
      <x:c r="M8" s="2"/>
      <x:c r="N8" s="2"/>
      <x:c r="O8" s="2"/>
      <x:c r="P8" s="2"/>
      <x:c r="Q8" s="2" t="str">
        <x:v>Дата переписи, десятичный год</x:v>
      </x:c>
      <x:c r="R8" s="18" t="n">
        <x:f>'Источники'!B59</x:f>
        <x:v>1897.0739726027398</x:v>
      </x:c>
    </x:row>
    <x:row r="9" ht="23" customHeight="1">
      <x:c r="A9" s="2" t="n">
        <x:v>1885</x:v>
      </x:c>
      <x:c r="B9" s="9" t="n">
        <x:f>'Источники'!B8</x:f>
        <x:v>7525</x:v>
      </x:c>
      <x:c r="C9" s="9" t="n">
        <x:f>$R$6*EXP(IF(A9&lt;$R$8,$R$9,$R$10)*(A9-$R$8))</x:f>
        <x:v>370596.2750523282</x:v>
      </x:c>
      <x:c r="D9" s="9" t="n">
        <x:f>IF(A9&lt;$R$8,B9*$R$20,B9+$R$21*(1+$R$13)^(A9-$R$8))</x:f>
        <x:v>9517.656419225545</x:v>
      </x:c>
      <x:c r="E9" s="9" t="n">
        <x:f>C9+D9</x:f>
        <x:v>380113.93147155375</x:v>
      </x:c>
      <x:c r="F9" s="9" t="n">
        <x:f>(1-$R$14)*C9*EXP(-IF(A9&lt;$R$8,$R$15,$R$16)*ABS(A9-$R$8))</x:f>
        <x:v>339527.7865804062</x:v>
      </x:c>
      <x:c r="G9" s="9" t="n">
        <x:f>(1+$R$14)*C9*EXP(IF(A9&lt;$R$8,$R$15,$R$16)*ABS(A9-$R$8))</x:f>
        <x:v>404416.6711826682</x:v>
      </x:c>
      <x:c r="H9" s="25" t="n">
        <x:f>$R$17*MIN(ABS(A9-$R$8)/$R$18,1)</x:f>
        <x:v>0.1</x:v>
      </x:c>
      <x:c r="I9" s="9" t="n">
        <x:f>F9+D9*(1-H9)</x:f>
        <x:v>348093.67735770915</x:v>
      </x:c>
      <x:c r="J9" s="9" t="n">
        <x:f>G9+D9*(1+H9)</x:f>
        <x:v>414886.0932438163</x:v>
      </x:c>
      <x:c r="K9" s="2"/>
      <x:c r="L9" s="2"/>
      <x:c r="M9" s="2"/>
      <x:c r="N9" s="2"/>
      <x:c r="O9" s="2"/>
      <x:c r="P9" s="2"/>
      <x:c r="Q9" s="2" t="str">
        <x:v>Ранний логарифмический наклон</x:v>
      </x:c>
      <x:c r="R9" s="18" t="n">
        <x:f>SLOPE('Источники'!K5:K15,'Источники'!I5:I15)</x:f>
        <x:v>0.008551149757741435</x:v>
      </x:c>
    </x:row>
    <x:row r="10" ht="23" customHeight="1">
      <x:c r="A10" s="11" t="n">
        <x:v>1886</x:v>
      </x:c>
      <x:c r="B10" s="10" t="n">
        <x:f>'Источники'!B9</x:f>
        <x:v>9570</x:v>
      </x:c>
      <x:c r="C10" s="10" t="n">
        <x:f>$R$6*EXP(IF(A10&lt;$R$8,$R$9,$R$10)*(A10-$R$8))</x:f>
        <x:v>373778.8874041145</x:v>
      </x:c>
      <x:c r="D10" s="10" t="n">
        <x:f>IF(A10&lt;$R$8,B10*$R$20,B10+$R$21*(1+$R$13)^(A10-$R$8))</x:f>
        <x:v>12104.182316543318</x:v>
      </x:c>
      <x:c r="E10" s="10" t="n">
        <x:f>C10+D10</x:f>
        <x:v>385883.0697206578</x:v>
      </x:c>
      <x:c r="F10" s="10" t="n">
        <x:f>(1-$R$14)*C10*EXP(-IF(A10&lt;$R$8,$R$15,$R$16)*ABS(A10-$R$8))</x:f>
        <x:v>344504.4263543494</x:v>
      </x:c>
      <x:c r="G10" s="10" t="n">
        <x:f>(1+$R$14)*C10*EXP(IF(A10&lt;$R$8,$R$15,$R$16)*ABS(A10-$R$8))</x:f>
        <x:v>405449.7158409113</x:v>
      </x:c>
      <x:c r="H10" s="26" t="n">
        <x:f>$R$17*MIN(ABS(A10-$R$8)/$R$18,1)</x:f>
        <x:v>0.1</x:v>
      </x:c>
      <x:c r="I10" s="10" t="n">
        <x:f>F10+D10*(1-H10)</x:f>
        <x:v>355398.1904392384</x:v>
      </x:c>
      <x:c r="J10" s="10" t="n">
        <x:f>G10+D10*(1+H10)</x:f>
        <x:v>418764.31638910895</x:v>
      </x:c>
      <x:c r="K10" s="2"/>
      <x:c r="L10" s="2"/>
      <x:c r="M10" s="2"/>
      <x:c r="N10" s="2"/>
      <x:c r="O10" s="2"/>
      <x:c r="P10" s="2"/>
      <x:c r="Q10" s="2" t="str">
        <x:v>Поздний логарифмический наклон</x:v>
      </x:c>
      <x:c r="R10" s="18" t="n">
        <x:f>SLOPE('Источники'!O5:O18,'Источники'!M5:M18)</x:f>
        <x:v>0.013865171127086632</x:v>
      </x:c>
    </x:row>
    <x:row r="11" ht="23" customHeight="1">
      <x:c r="A11" s="2" t="n">
        <x:v>1887</x:v>
      </x:c>
      <x:c r="B11" s="9" t="n">
        <x:f>'Источники'!B10</x:f>
        <x:v>16756</x:v>
      </x:c>
      <x:c r="C11" s="9" t="n">
        <x:f>$R$6*EXP(IF(A11&lt;$R$8,$R$9,$R$10)*(A11-$R$8))</x:f>
        <x:v>376988.8314428702</x:v>
      </x:c>
      <x:c r="D11" s="9" t="n">
        <x:f>IF(A11&lt;$R$8,B11*$R$20,B11+$R$21*(1+$R$13)^(A11-$R$8))</x:f>
        <x:v>21193.0698950888</x:v>
      </x:c>
      <x:c r="E11" s="9" t="n">
        <x:f>C11+D11</x:f>
        <x:v>398181.901337959</x:v>
      </x:c>
      <x:c r="F11" s="9" t="n">
        <x:f>(1-$R$14)*C11*EXP(-IF(A11&lt;$R$8,$R$15,$R$16)*ABS(A11-$R$8))</x:f>
        <x:v>349554.0113905614</x:v>
      </x:c>
      <x:c r="G11" s="9" t="n">
        <x:f>(1+$R$14)*C11*EXP(IF(A11&lt;$R$8,$R$15,$R$16)*ABS(A11-$R$8))</x:f>
        <x:v>406485.3993153605</x:v>
      </x:c>
      <x:c r="H11" s="25" t="n">
        <x:f>$R$17*MIN(ABS(A11-$R$8)/$R$18,1)</x:f>
        <x:v>0.1</x:v>
      </x:c>
      <x:c r="I11" s="9" t="n">
        <x:f>F11+D11*(1-H11)</x:f>
        <x:v>368627.77429614135</x:v>
      </x:c>
      <x:c r="J11" s="9" t="n">
        <x:f>G11+D11*(1+H11)</x:f>
        <x:v>429797.7761999582</x:v>
      </x:c>
      <x:c r="K11" s="2"/>
      <x:c r="L11" s="2"/>
      <x:c r="M11" s="2"/>
      <x:c r="N11" s="2"/>
      <x:c r="O11" s="2"/>
      <x:c r="P11" s="2"/>
      <x:c r="Q11" s="2" t="str">
        <x:v>Ранний годовой темп</x:v>
      </x:c>
      <x:c r="R11" s="19" t="n">
        <x:f>EXP(R9)-1</x:f>
        <x:v>0.008587815275091337</x:v>
      </x:c>
    </x:row>
    <x:row r="12" ht="23" customHeight="1">
      <x:c r="A12" s="11" t="n">
        <x:v>1888</x:v>
      </x:c>
      <x:c r="B12" s="10" t="n">
        <x:f>'Источники'!B11</x:f>
        <x:v>20271</x:v>
      </x:c>
      <x:c r="C12" s="10" t="n">
        <x:f>$R$6*EXP(IF(A12&lt;$R$8,$R$9,$R$10)*(A12-$R$8))</x:f>
        <x:v>380226.3418880741</x:v>
      </x:c>
      <x:c r="D12" s="10" t="n">
        <x:f>IF(A12&lt;$R$8,B12*$R$20,B12+$R$21*(1+$R$13)^(A12-$R$8))</x:f>
        <x:v>25638.858906859936</x:v>
      </x:c>
      <x:c r="E12" s="10" t="n">
        <x:f>C12+D12</x:f>
        <x:v>405865.20079493406</x:v>
      </x:c>
      <x:c r="F12" s="10" t="n">
        <x:f>(1-$R$14)*C12*EXP(-IF(A12&lt;$R$8,$R$15,$R$16)*ABS(A12-$R$8))</x:f>
        <x:v>354677.6108866389</x:v>
      </x:c>
      <x:c r="G12" s="10" t="n">
        <x:f>(1+$R$14)*C12*EXP(IF(A12&lt;$R$8,$R$15,$R$16)*ABS(A12-$R$8))</x:f>
        <x:v>407523.7283466257</x:v>
      </x:c>
      <x:c r="H12" s="26" t="n">
        <x:f>$R$17*MIN(ABS(A12-$R$8)/$R$18,1)</x:f>
        <x:v>0.1</x:v>
      </x:c>
      <x:c r="I12" s="10" t="n">
        <x:f>F12+D12*(1-H12)</x:f>
        <x:v>377752.58390281285</x:v>
      </x:c>
      <x:c r="J12" s="10" t="n">
        <x:f>G12+D12*(1+H12)</x:f>
        <x:v>435726.47314417164</x:v>
      </x:c>
      <x:c r="K12" s="2"/>
      <x:c r="L12" s="2"/>
      <x:c r="M12" s="2"/>
      <x:c r="N12" s="2"/>
      <x:c r="O12" s="2"/>
      <x:c r="P12" s="2"/>
      <x:c r="Q12" s="2" t="str">
        <x:v>Поздний годовой темп</x:v>
      </x:c>
      <x:c r="R12" s="19" t="n">
        <x:f>EXP(R10)-1</x:f>
        <x:v>0.01396173840339543</x:v>
      </x:c>
    </x:row>
    <x:row r="13" ht="23" customHeight="1">
      <x:c r="A13" s="2" t="n">
        <x:v>1889</x:v>
      </x:c>
      <x:c r="B13" s="9" t="n">
        <x:f>'Источники'!B12</x:f>
        <x:v>20592</x:v>
      </x:c>
      <x:c r="C13" s="9" t="n">
        <x:f>$R$6*EXP(IF(A13&lt;$R$8,$R$9,$R$10)*(A13-$R$8))</x:f>
        <x:v>383491.65547493263</x:v>
      </x:c>
      <x:c r="D13" s="9" t="n">
        <x:f>IF(A13&lt;$R$8,B13*$R$20,B13+$R$21*(1+$R$13)^(A13-$R$8))</x:f>
        <x:v>26044.86126042424</x:v>
      </x:c>
      <x:c r="E13" s="9" t="n">
        <x:f>C13+D13</x:f>
        <x:v>409536.5167353569</x:v>
      </x:c>
      <x:c r="F13" s="9" t="n">
        <x:f>(1-$R$14)*C13*EXP(-IF(A13&lt;$R$8,$R$15,$R$16)*ABS(A13-$R$8))</x:f>
        <x:v>359876.3097119783</x:v>
      </x:c>
      <x:c r="G13" s="9" t="n">
        <x:f>(1+$R$14)*C13*EXP(IF(A13&lt;$R$8,$R$15,$R$16)*ABS(A13-$R$8))</x:f>
        <x:v>408564.7096925348</x:v>
      </x:c>
      <x:c r="H13" s="25" t="n">
        <x:f>$R$17*MIN(ABS(A13-$R$8)/$R$18,1)</x:f>
        <x:v>0.1</x:v>
      </x:c>
      <x:c r="I13" s="9" t="n">
        <x:f>F13+D13*(1-H13)</x:f>
        <x:v>383316.6848463601</x:v>
      </x:c>
      <x:c r="J13" s="9" t="n">
        <x:f>G13+D13*(1+H13)</x:f>
        <x:v>437214.0570790015</x:v>
      </x:c>
      <x:c r="K13" s="2"/>
      <x:c r="L13" s="2"/>
      <x:c r="M13" s="2"/>
      <x:c r="N13" s="2"/>
      <x:c r="O13" s="2"/>
      <x:c r="P13" s="2"/>
      <x:c r="Q13" s="2" t="str">
        <x:v>Рост добавки S после переписи</x:v>
      </x:c>
      <x:c r="R13" s="22" t="n">
        <x:v>0.02</x:v>
      </x:c>
    </x:row>
    <x:row r="14" ht="23" customHeight="1">
      <x:c r="A14" s="11" t="n">
        <x:v>1890</x:v>
      </x:c>
      <x:c r="B14" s="10" t="n">
        <x:f>'Источники'!B13</x:f>
        <x:v>22636</x:v>
      </x:c>
      <x:c r="C14" s="10" t="n">
        <x:f>$R$6*EXP(IF(A14&lt;$R$8,$R$9,$R$10)*(A14-$R$8))</x:f>
        <x:v>386785.0109716903</x:v>
      </x:c>
      <x:c r="D14" s="10" t="n">
        <x:f>IF(A14&lt;$R$8,B14*$R$20,B14+$R$21*(1+$R$13)^(A14-$R$8))</x:f>
        <x:v>28630.12235290225</x:v>
      </x:c>
      <x:c r="E14" s="10" t="n">
        <x:f>C14+D14</x:f>
        <x:v>415415.13332459255</x:v>
      </x:c>
      <x:c r="F14" s="10" t="n">
        <x:f>(1-$R$14)*C14*EXP(-IF(A14&lt;$R$8,$R$15,$R$16)*ABS(A14-$R$8))</x:f>
        <x:v>365151.2086374847</x:v>
      </x:c>
      <x:c r="G14" s="10" t="n">
        <x:f>(1+$R$14)*C14*EXP(IF(A14&lt;$R$8,$R$15,$R$16)*ABS(A14-$R$8))</x:f>
        <x:v>409608.3501281782</x:v>
      </x:c>
      <x:c r="H14" s="26" t="n">
        <x:f>$R$17*MIN(ABS(A14-$R$8)/$R$18,1)</x:f>
        <x:v>0.1</x:v>
      </x:c>
      <x:c r="I14" s="10" t="n">
        <x:f>F14+D14*(1-H14)</x:f>
        <x:v>390918.3187550967</x:v>
      </x:c>
      <x:c r="J14" s="10" t="n">
        <x:f>G14+D14*(1+H14)</x:f>
        <x:v>441101.4847163707</x:v>
      </x:c>
      <x:c r="K14" s="2"/>
      <x:c r="L14" s="2"/>
      <x:c r="M14" s="2"/>
      <x:c r="N14" s="2"/>
      <x:c r="O14" s="2"/>
      <x:c r="P14" s="2"/>
      <x:c r="Q14" s="2" t="str">
        <x:v>Допуск уровня K у переписи</x:v>
      </x:c>
      <x:c r="R14" s="22" t="n">
        <x:v>0.015</x:v>
      </x:c>
    </x:row>
    <x:row r="15" ht="23" customHeight="1">
      <x:c r="A15" s="2" t="n">
        <x:v>1891</x:v>
      </x:c>
      <x:c r="B15" s="9" t="n">
        <x:f>'Источники'!B14</x:f>
        <x:v>32853</x:v>
      </x:c>
      <x:c r="C15" s="9" t="n">
        <x:f>$R$6*EXP(IF(A15&lt;$R$8,$R$9,$R$10)*(A15-$R$8))</x:f>
        <x:v>390106.6491970893</x:v>
      </x:c>
      <x:c r="D15" s="9" t="n">
        <x:f>IF(A15&lt;$R$8,B15*$R$20,B15+$R$21*(1+$R$13)^(A15-$R$8))</x:f>
        <x:v>41552.633400773</x:v>
      </x:c>
      <x:c r="E15" s="9" t="n">
        <x:f>C15+D15</x:f>
        <x:v>431659.2825978623</x:v>
      </x:c>
      <x:c r="F15" s="9" t="n">
        <x:f>(1-$R$14)*C15*EXP(-IF(A15&lt;$R$8,$R$15,$R$16)*ABS(A15-$R$8))</x:f>
        <x:v>370503.42456864944</x:v>
      </x:c>
      <x:c r="G15" s="9" t="n">
        <x:f>(1+$R$14)*C15*EXP(IF(A15&lt;$R$8,$R$15,$R$16)*ABS(A15-$R$8))</x:f>
        <x:v>410654.65644595254</x:v>
      </x:c>
      <x:c r="H15" s="25" t="n">
        <x:f>$R$17*MIN(ABS(A15-$R$8)/$R$18,1)</x:f>
        <x:v>0.1</x:v>
      </x:c>
      <x:c r="I15" s="9" t="n">
        <x:f>F15+D15*(1-H15)</x:f>
        <x:v>407900.7946293451</x:v>
      </x:c>
      <x:c r="J15" s="9" t="n">
        <x:f>G15+D15*(1+H15)</x:f>
        <x:v>456362.55318680283</x:v>
      </x:c>
      <x:c r="K15" s="2"/>
      <x:c r="L15" s="2"/>
      <x:c r="M15" s="2"/>
      <x:c r="N15" s="2"/>
      <x:c r="O15" s="2"/>
      <x:c r="P15" s="2"/>
      <x:c r="Q15" s="2" t="str">
        <x:v>Допуск раннего наклона</x:v>
      </x:c>
      <x:c r="R15" s="22" t="n">
        <x:v>0.006</x:v>
      </x:c>
    </x:row>
    <x:row r="16" ht="23" customHeight="1">
      <x:c r="A16" s="11" t="n">
        <x:v>1892</x:v>
      </x:c>
      <x:c r="B16" s="10" t="n">
        <x:f>'Источники'!B15</x:f>
        <x:v>28030</x:v>
      </x:c>
      <x:c r="C16" s="10" t="n">
        <x:f>$R$6*EXP(IF(A16&lt;$R$8,$R$9,$R$10)*(A16-$R$8))</x:f>
        <x:v>393456.8130379788</x:v>
      </x:c>
      <x:c r="D16" s="10" t="n">
        <x:f>IF(A16&lt;$R$8,B16*$R$20,B16+$R$21*(1+$R$13)^(A16-$R$8))</x:f>
        <x:v>35452.4796585903</x:v>
      </x:c>
      <x:c r="E16" s="10" t="n">
        <x:f>C16+D16</x:f>
        <x:v>428909.29269656906</x:v>
      </x:c>
      <x:c r="F16" s="10" t="n">
        <x:f>(1-$R$14)*C16*EXP(-IF(A16&lt;$R$8,$R$15,$R$16)*ABS(A16-$R$8))</x:f>
        <x:v>375934.0907820432</x:v>
      </x:c>
      <x:c r="G16" s="10" t="n">
        <x:f>(1+$R$14)*C16*EXP(IF(A16&lt;$R$8,$R$15,$R$16)*ABS(A16-$R$8))</x:f>
        <x:v>411703.635455605</x:v>
      </x:c>
      <x:c r="H16" s="26" t="n">
        <x:f>$R$17*MIN(ABS(A16-$R$8)/$R$18,1)</x:f>
        <x:v>0.1</x:v>
      </x:c>
      <x:c r="I16" s="10" t="n">
        <x:f>F16+D16*(1-H16)</x:f>
        <x:v>407841.32247477444</x:v>
      </x:c>
      <x:c r="J16" s="10" t="n">
        <x:f>G16+D16*(1+H16)</x:f>
        <x:v>450701.36308005435</x:v>
      </x:c>
      <x:c r="K16" s="2"/>
      <x:c r="L16" s="2"/>
      <x:c r="M16" s="2"/>
      <x:c r="N16" s="2"/>
      <x:c r="O16" s="2"/>
      <x:c r="P16" s="2"/>
      <x:c r="Q16" s="2" t="str">
        <x:v>Допуск позднего наклона</x:v>
      </x:c>
      <x:c r="R16" s="22" t="n">
        <x:v>0.003</x:v>
      </x:c>
    </x:row>
    <x:row r="17" ht="23" customHeight="1">
      <x:c r="A17" s="2" t="n">
        <x:v>1893</x:v>
      </x:c>
      <x:c r="B17" s="9" t="n">
        <x:f>'Источники'!B16</x:f>
        <x:v>25943</x:v>
      </x:c>
      <x:c r="C17" s="9" t="n">
        <x:f>$R$6*EXP(IF(A17&lt;$R$8,$R$9,$R$10)*(A17-$R$8))</x:f>
        <x:v>396835.7474670751</x:v>
      </x:c>
      <x:c r="D17" s="9" t="n">
        <x:f>IF(A17&lt;$R$8,B17*$R$20,B17+$R$21*(1+$R$13)^(A17-$R$8))</x:f>
        <x:v>32812.83195800243</x:v>
      </x:c>
      <x:c r="E17" s="9" t="n">
        <x:f>C17+D17</x:f>
        <x:v>429648.57942507754</x:v>
      </x:c>
      <x:c r="F17" s="9" t="n">
        <x:f>(1-$R$14)*C17*EXP(-IF(A17&lt;$R$8,$R$15,$R$16)*ABS(A17-$R$8))</x:f>
        <x:v>381444.357165275</x:v>
      </x:c>
      <x:c r="G17" s="9" t="n">
        <x:f>(1+$R$14)*C17*EXP(IF(A17&lt;$R$8,$R$15,$R$16)*ABS(A17-$R$8))</x:f>
        <x:v>412755.2939842778</x:v>
      </x:c>
      <x:c r="H17" s="25" t="n">
        <x:f>$R$17*MIN(ABS(A17-$R$8)/$R$18,1)</x:f>
        <x:v>0.1</x:v>
      </x:c>
      <x:c r="I17" s="9" t="n">
        <x:f>F17+D17*(1-H17)</x:f>
        <x:v>410975.90592747723</x:v>
      </x:c>
      <x:c r="J17" s="9" t="n">
        <x:f>G17+D17*(1+H17)</x:f>
        <x:v>448849.4091380805</x:v>
      </x:c>
      <x:c r="K17" s="2"/>
      <x:c r="L17" s="2"/>
      <x:c r="M17" s="2"/>
      <x:c r="N17" s="2"/>
      <x:c r="O17" s="2"/>
      <x:c r="P17" s="2"/>
      <x:c r="Q17" s="2" t="str">
        <x:v>Максимальный относительный допуск S</x:v>
      </x:c>
      <x:c r="R17" s="22" t="n">
        <x:v>0.1</x:v>
      </x:c>
    </x:row>
    <x:row r="18" ht="23" customHeight="1">
      <x:c r="A18" s="11" t="n">
        <x:v>1894</x:v>
      </x:c>
      <x:c r="B18" s="10" t="n">
        <x:f>'Источники'!B17</x:f>
        <x:v>27193</x:v>
      </x:c>
      <x:c r="C18" s="10" t="n">
        <x:f>$R$6*EXP(IF(A18&lt;$R$8,$R$9,$R$10)*(A18-$R$8))</x:f>
        <x:v>400243.69956087513</x:v>
      </x:c>
      <x:c r="D18" s="10" t="n">
        <x:f>IF(A18&lt;$R$8,B18*$R$20,B18+$R$21*(1+$R$13)^(A18-$R$8))</x:f>
        <x:v>34393.83800770767</x:v>
      </x:c>
      <x:c r="E18" s="10" t="n">
        <x:f>C18+D18</x:f>
        <x:v>434637.5375685828</x:v>
      </x:c>
      <x:c r="F18" s="10" t="n">
        <x:f>(1-$R$14)*C18*EXP(-IF(A18&lt;$R$8,$R$15,$R$16)*ABS(A18-$R$8))</x:f>
        <x:v>387035.39046047005</x:v>
      </x:c>
      <x:c r="G18" s="10" t="n">
        <x:f>(1+$R$14)*C18*EXP(IF(A18&lt;$R$8,$R$15,$R$16)*ABS(A18-$R$8))</x:f>
        <x:v>413809.6388765521</x:v>
      </x:c>
      <x:c r="H18" s="26" t="n">
        <x:f>$R$17*MIN(ABS(A18-$R$8)/$R$18,1)</x:f>
        <x:v>0.1</x:v>
      </x:c>
      <x:c r="I18" s="10" t="n">
        <x:f>F18+D18*(1-H18)</x:f>
        <x:v>417989.844667407</x:v>
      </x:c>
      <x:c r="J18" s="10" t="n">
        <x:f>G18+D18*(1+H18)</x:f>
        <x:v>451642.8606850306</x:v>
      </x:c>
      <x:c r="K18" s="2"/>
      <x:c r="L18" s="2"/>
      <x:c r="M18" s="2"/>
      <x:c r="N18" s="2"/>
      <x:c r="O18" s="2"/>
      <x:c r="P18" s="2"/>
      <x:c r="Q18" s="2" t="str">
        <x:v>Лет для нарастания допуска S</x:v>
      </x:c>
      <x:c r="R18" s="23" t="n">
        <x:v>3</x:v>
      </x:c>
    </x:row>
    <x:row r="19" ht="23" customHeight="1">
      <x:c r="A19" s="2" t="n">
        <x:v>1895</x:v>
      </x:c>
      <x:c r="B19" s="9" t="n">
        <x:f>'Источники'!B18</x:f>
        <x:v>29502</x:v>
      </x:c>
      <x:c r="C19" s="9" t="n">
        <x:f>$R$6*EXP(IF(A19&lt;$R$8,$R$9,$R$10)*(A19-$R$8))</x:f>
        <x:v>403680.9185177231</x:v>
      </x:c>
      <x:c r="D19" s="9" t="n">
        <x:f>IF(A19&lt;$R$8,B19*$R$20,B19+$R$21*(1+$R$13)^(A19-$R$8))</x:f>
        <x:v>37314.27238272319</x:v>
      </x:c>
      <x:c r="E19" s="9" t="n">
        <x:f>C19+D19</x:f>
        <x:v>440995.19090044627</x:v>
      </x:c>
      <x:c r="F19" s="9" t="n">
        <x:f>(1-$R$14)*C19*EXP(-IF(A19&lt;$R$8,$R$15,$R$16)*ABS(A19-$R$8))</x:f>
        <x:v>392708.3745113148</x:v>
      </x:c>
      <x:c r="G19" s="9" t="n">
        <x:f>(1+$R$14)*C19*EXP(IF(A19&lt;$R$8,$R$15,$R$16)*ABS(A19-$R$8))</x:f>
        <x:v>414866.6769944933</x:v>
      </x:c>
      <x:c r="H19" s="25" t="n">
        <x:f>$R$17*MIN(ABS(A19-$R$8)/$R$18,1)</x:f>
        <x:v>0.06913242009132622</x:v>
      </x:c>
      <x:c r="I19" s="9" t="n">
        <x:f>F19+D19*(1-H19)</x:f>
        <x:v>427443.02094027336</x:v>
      </x:c>
      <x:c r="J19" s="9" t="n">
        <x:f>G19+D19*(1+H19)</x:f>
        <x:v>454760.57533098105</x:v>
      </x:c>
      <x:c r="K19" s="2"/>
      <x:c r="L19" s="2"/>
      <x:c r="M19" s="2"/>
      <x:c r="N19" s="2"/>
      <x:c r="O19" s="2"/>
      <x:c r="P19" s="2"/>
      <x:c r="Q19" s="2" t="str">
        <x:v>Индекс A на переписную дату</x:v>
      </x:c>
      <x:c r="R19" s="21" t="n">
        <x:f>B21+(B24-B21)*(R8-A21)/(A24-A21)</x:f>
        <x:v>33611.509589041314</x:v>
      </x:c>
    </x:row>
    <x:row r="20" ht="23" customHeight="1">
      <x:c r="A20" s="11" t="n">
        <x:v>1896</x:v>
      </x:c>
      <x:c r="B20" s="10" t="n">
        <x:f>'Источники'!B19</x:f>
        <x:v>30441</x:v>
      </x:c>
      <x:c r="C20" s="10" t="n">
        <x:f>$R$6*EXP(IF(A20&lt;$R$8,$R$9,$R$10)*(A20-$R$8))</x:f>
        <x:v>407147.6556760325</x:v>
      </x:c>
      <x:c r="D20" s="10" t="n">
        <x:f>IF(A20&lt;$R$8,B20*$R$20,B20+$R$21*(1+$R$13)^(A20-$R$8))</x:f>
        <x:v>38501.924127261766</x:v>
      </x:c>
      <x:c r="E20" s="10" t="n">
        <x:f>C20+D20</x:f>
        <x:v>445649.57980329427</x:v>
      </x:c>
      <x:c r="F20" s="10" t="n">
        <x:f>(1-$R$14)*C20*EXP(-IF(A20&lt;$R$8,$R$15,$R$16)*ABS(A20-$R$8))</x:f>
        <x:v>398464.5105137235</x:v>
      </x:c>
      <x:c r="G20" s="10" t="n">
        <x:f>(1+$R$14)*C20*EXP(IF(A20&lt;$R$8,$R$15,$R$16)*ABS(A20-$R$8))</x:f>
        <x:v>415926.41521769494</x:v>
      </x:c>
      <x:c r="H20" s="26" t="n">
        <x:f>$R$17*MIN(ABS(A20-$R$8)/$R$18,1)</x:f>
        <x:v>0.035799086757992885</x:v>
      </x:c>
      <x:c r="I20" s="10" t="n">
        <x:f>F20+D20*(1-H20)</x:f>
        <x:v>435588.1009188037</x:v>
      </x:c>
      <x:c r="J20" s="10" t="n">
        <x:f>G20+D20*(1+H20)</x:f>
        <x:v>455806.6730671382</x:v>
      </x:c>
      <x:c r="K20" s="2"/>
      <x:c r="L20" s="2"/>
      <x:c r="M20" s="2"/>
      <x:c r="N20" s="2"/>
      <x:c r="O20" s="2"/>
      <x:c r="P20" s="2"/>
      <x:c r="Q20" s="2" t="str">
        <x:v>Множитель S до переписи</x:v>
      </x:c>
      <x:c r="R20" s="21" t="n">
        <x:f>R7/R19</x:f>
        <x:v>1.264804839764192</x:v>
      </x:c>
    </x:row>
    <x:row r="21" ht="23" customHeight="1">
      <x:c r="A21" s="2" t="n">
        <x:v>1897</x:v>
      </x:c>
      <x:c r="B21" s="9" t="n">
        <x:f>'Источники'!B20</x:f>
        <x:v>33344</x:v>
      </x:c>
      <x:c r="C21" s="9" t="n">
        <x:f>$R$6*EXP(IF(A21&lt;$R$8,$R$9,$R$10)*(A21-$R$8))</x:f>
        <x:v>410644.16453266476</x:v>
      </x:c>
      <x:c r="D21" s="9" t="n">
        <x:f>IF(A21&lt;$R$8,B21*$R$20,B21+$R$21*(1+$R$13)^(A21-$R$8))</x:f>
        <x:v>42173.652577097215</x:v>
      </x:c>
      <x:c r="E21" s="9" t="n">
        <x:f>C21+D21</x:f>
        <x:v>452817.817109762</x:v>
      </x:c>
      <x:c r="F21" s="9" t="n">
        <x:f>(1-$R$14)*C21*EXP(-IF(A21&lt;$R$8,$R$15,$R$16)*ABS(A21-$R$8))</x:f>
        <x:v>404305.0172701796</x:v>
      </x:c>
      <x:c r="G21" s="9" t="n">
        <x:f>(1+$R$14)*C21*EXP(IF(A21&lt;$R$8,$R$15,$R$16)*ABS(A21-$R$8))</x:f>
        <x:v>416988.86044332414</x:v>
      </x:c>
      <x:c r="H21" s="25" t="n">
        <x:f>$R$17*MIN(ABS(A21-$R$8)/$R$18,1)</x:f>
        <x:v>0.0024657534246595486</x:v>
      </x:c>
      <x:c r="I21" s="9" t="n">
        <x:f>F21+D21*(1-H21)</x:f>
        <x:v>446374.6800190044</x:v>
      </x:c>
      <x:c r="J21" s="9" t="n">
        <x:f>G21+D21*(1+H21)</x:f>
        <x:v>459266.50284869375</x:v>
      </x:c>
      <x:c r="K21" s="2"/>
      <x:c r="L21" s="2"/>
      <x:c r="M21" s="2"/>
      <x:c r="N21" s="2"/>
      <x:c r="O21" s="2"/>
      <x:c r="P21" s="2"/>
      <x:c r="Q21" s="2" t="str">
        <x:v>Разрыв S на переписную дату</x:v>
      </x:c>
      <x:c r="R21" s="21" t="n">
        <x:f>R7-R19</x:f>
        <x:v>8900.490410958686</x:v>
      </x:c>
    </x:row>
    <x:row r="22" ht="23" customHeight="1">
      <x:c r="A22" s="11" t="n">
        <x:v>1898</x:v>
      </x:c>
      <x:c r="B22" s="10" t="n">
        <x:f>B21+(B24-B21)*(A22-A21)/(A24-A21)</x:f>
        <x:v>36960.333333333336</x:v>
      </x:c>
      <x:c r="C22" s="10" t="n">
        <x:f>$R$6*EXP(IF(A22&lt;$R$8,$R$9,$R$10)*(A22-$R$8))</x:f>
        <x:v>416213.8284507819</x:v>
      </x:c>
      <x:c r="D22" s="10" t="n">
        <x:f>IF(A22&lt;$R$8,B22*$R$20,B22+$R$21*(1+$R$13)^(A22-$R$8))</x:f>
        <x:v>46025.544629905635</x:v>
      </x:c>
      <x:c r="E22" s="10" t="n">
        <x:f>C22+D22</x:f>
        <x:v>462239.3730806875</x:v>
      </x:c>
      <x:c r="F22" s="10" t="n">
        <x:f>(1-$R$14)*C22*EXP(-IF(A22&lt;$R$8,$R$15,$R$16)*ABS(A22-$R$8))</x:f>
        <x:v>408833.2695020864</x:v>
      </x:c>
      <x:c r="G22" s="10" t="n">
        <x:f>(1+$R$14)*C22*EXP(IF(A22&lt;$R$8,$R$15,$R$16)*ABS(A22-$R$8))</x:f>
        <x:v>423632.2879632951</x:v>
      </x:c>
      <x:c r="H22" s="26" t="n">
        <x:f>$R$17*MIN(ABS(A22-$R$8)/$R$18,1)</x:f>
        <x:v>0.030867579908673788</x:v>
      </x:c>
      <x:c r="I22" s="10" t="n">
        <x:f>F22+D22*(1-H22)</x:f>
        <x:v>453438.11695528816</x:v>
      </x:c>
      <x:c r="J22" s="10" t="n">
        <x:f>G22+D22*(1+H22)</x:f>
        <x:v>471078.5297699046</x:v>
      </x:c>
      <x:c r="K22" s="2"/>
      <x:c r="L22" s="2"/>
      <x:c r="M22" s="2"/>
      <x:c r="N22" s="2"/>
      <x:c r="O22" s="2"/>
      <x:c r="P22" s="2"/>
      <x:c r="Q22" s="2"/>
      <x:c r="R22" s="2"/>
    </x:row>
    <x:row r="23" ht="23" customHeight="1">
      <x:c r="A23" s="2" t="n">
        <x:v>1899</x:v>
      </x:c>
      <x:c r="B23" s="9" t="n">
        <x:f>B21+(B24-B21)*(A23-A21)/(A24-A21)</x:f>
        <x:v>40576.666666666664</x:v>
      </x:c>
      <x:c r="C23" s="9" t="n">
        <x:f>$R$6*EXP(IF(A23&lt;$R$8,$R$9,$R$10)*(A23-$R$8))</x:f>
        <x:v>422024.89704348735</x:v>
      </x:c>
      <x:c r="D23" s="9" t="n">
        <x:f>IF(A23&lt;$R$8,B23*$R$20,B23+$R$21*(1+$R$13)^(A23-$R$8))</x:f>
        <x:v>49823.18218917042</x:v>
      </x:c>
      <x:c r="E23" s="9" t="n">
        <x:f>C23+D23</x:f>
        <x:v>471848.0792326578</x:v>
      </x:c>
      <x:c r="F23" s="9" t="n">
        <x:f>(1-$R$14)*C23*EXP(-IF(A23&lt;$R$8,$R$15,$R$16)*ABS(A23-$R$8))</x:f>
        <x:v>413299.5323552743</x:v>
      </x:c>
      <x:c r="G23" s="9" t="n">
        <x:f>(1+$R$14)*C23*EXP(IF(A23&lt;$R$8,$R$15,$R$16)*ABS(A23-$R$8))</x:f>
        <x:v>430837.5068361136</x:v>
      </x:c>
      <x:c r="H23" s="25" t="n">
        <x:f>$R$17*MIN(ABS(A23-$R$8)/$R$18,1)</x:f>
        <x:v>0.06420091324200712</x:v>
      </x:c>
      <x:c r="I23" s="9" t="n">
        <x:f>F23+D23*(1-H23)</x:f>
        <x:v>459924.02074727707</x:v>
      </x:c>
      <x:c r="J23" s="9" t="n">
        <x:f>G23+D23*(1+H23)</x:f>
        <x:v>483859.38282245165</x:v>
      </x:c>
      <x:c r="K23" s="2"/>
      <x:c r="L23" s="2"/>
      <x:c r="M23" s="2"/>
      <x:c r="N23" s="2"/>
      <x:c r="O23" s="2"/>
      <x:c r="P23" s="2"/>
      <x:c r="Q23" s="2" t="str">
        <x:v>Жёлтые ячейки: аналитические допущения.</x:v>
      </x:c>
      <x:c r="R23" s="2"/>
    </x:row>
    <x:row r="24" ht="23" customHeight="1">
      <x:c r="A24" s="11" t="n">
        <x:v>1900</x:v>
      </x:c>
      <x:c r="B24" s="10" t="n">
        <x:f>'Источники'!B23</x:f>
        <x:v>44193</x:v>
      </x:c>
      <x:c r="C24" s="10" t="n">
        <x:f>$R$6*EXP(IF(A24&lt;$R$8,$R$9,$R$10)*(A24-$R$8))</x:f>
        <x:v>427917.0982557285</x:v>
      </x:c>
      <x:c r="D24" s="10" t="n">
        <x:f>IF(A24&lt;$R$8,B24*$R$20,B24+$R$21*(1+$R$13)^(A24-$R$8))</x:f>
        <x:v>53624.445832953825</x:v>
      </x:c>
      <x:c r="E24" s="10" t="n">
        <x:f>C24+D24</x:f>
        <x:v>481541.54408868233</x:v>
      </x:c>
      <x:c r="F24" s="10" t="n">
        <x:f>(1-$R$14)*C24*EXP(-IF(A24&lt;$R$8,$R$15,$R$16)*ABS(A24-$R$8))</x:f>
        <x:v>417814.58650154393</x:v>
      </x:c>
      <x:c r="G24" s="10" t="n">
        <x:f>(1+$R$14)*C24*EXP(IF(A24&lt;$R$8,$R$15,$R$16)*ABS(A24-$R$8))</x:f>
        <x:v>438165.27344780933</x:v>
      </x:c>
      <x:c r="H24" s="26" t="n">
        <x:f>$R$17*MIN(ABS(A24-$R$8)/$R$18,1)</x:f>
        <x:v>0.09753424657534046</x:v>
      </x:c>
      <x:c r="I24" s="10" t="n">
        <x:f>F24+D24*(1-H24)</x:f>
        <x:v>466208.81241216045</x:v>
      </x:c>
      <x:c r="J24" s="10" t="n">
        <x:f>G24+D24*(1+H24)</x:f>
        <x:v>497019.93920310045</x:v>
      </x:c>
      <x:c r="K24" s="2"/>
      <x:c r="L24" s="2"/>
      <x:c r="M24" s="2"/>
      <x:c r="N24" s="2"/>
      <x:c r="O24" s="2"/>
      <x:c r="P24" s="2"/>
      <x:c r="Q24" s="2" t="str">
        <x:v>Данные источников находятся на листе «Источники».</x:v>
      </x:c>
      <x:c r="R24" s="2"/>
    </x:row>
    <x:row r="25" ht="23" customHeight="1">
      <x:c r="A25" s="2" t="n">
        <x:v>1901</x:v>
      </x:c>
      <x:c r="B25" s="9" t="n">
        <x:f>B24+(B27-B24)*(A25-A24)/(A27-A24)</x:f>
        <x:v>55367.333333333336</x:v>
      </x:c>
      <x:c r="C25" s="9" t="n">
        <x:f>$R$6*EXP(IF(A25&lt;$R$8,$R$9,$R$10)*(A25-$R$8))</x:f>
        <x:v>433891.564839915</x:v>
      </x:c>
      <x:c r="D25" s="9" t="n">
        <x:f>IF(A25&lt;$R$8,B25*$R$20,B25+$R$21*(1+$R$13)^(A25-$R$8))</x:f>
        <x:v>64987.40808294623</x:v>
      </x:c>
      <x:c r="E25" s="9" t="n">
        <x:f>C25+D25</x:f>
        <x:v>498878.9729228612</x:v>
      </x:c>
      <x:c r="F25" s="9" t="n">
        <x:f>(1-$R$14)*C25*EXP(-IF(A25&lt;$R$8,$R$15,$R$16)*ABS(A25-$R$8))</x:f>
        <x:v>422378.9649570561</x:v>
      </x:c>
      <x:c r="G25" s="9" t="n">
        <x:f>(1+$R$14)*C25*EXP(IF(A25&lt;$R$8,$R$15,$R$16)*ABS(A25-$R$8))</x:f>
        <x:v>445617.67211373296</x:v>
      </x:c>
      <x:c r="H25" s="25" t="n">
        <x:f>$R$17*MIN(ABS(A25-$R$8)/$R$18,1)</x:f>
        <x:v>0.1</x:v>
      </x:c>
      <x:c r="I25" s="9" t="n">
        <x:f>F25+D25*(1-H25)</x:f>
        <x:v>480867.6322317077</x:v>
      </x:c>
      <x:c r="J25" s="9" t="n">
        <x:f>G25+D25*(1+H25)</x:f>
        <x:v>517103.82100497384</x:v>
      </x:c>
      <x:c r="K25" s="2"/>
      <x:c r="L25" s="2"/>
      <x:c r="M25" s="2"/>
      <x:c r="N25" s="2"/>
      <x:c r="O25" s="2"/>
      <x:c r="P25" s="2"/>
      <x:c r="Q25" s="2"/>
      <x:c r="R25" s="2"/>
    </x:row>
    <x:row r="26" ht="23" customHeight="1">
      <x:c r="A26" s="11" t="n">
        <x:v>1902</x:v>
      </x:c>
      <x:c r="B26" s="10" t="n">
        <x:f>B24+(B27-B24)*(A26-A24)/(A27-A24)</x:f>
        <x:v>66541.66666666667</x:v>
      </x:c>
      <x:c r="C26" s="10" t="n">
        <x:f>$R$6*EXP(IF(A26&lt;$R$8,$R$9,$R$10)*(A26-$R$8))</x:f>
        <x:v>439949.4453636498</x:v>
      </x:c>
      <x:c r="D26" s="10" t="n">
        <x:f>IF(A26&lt;$R$8,B26*$R$20,B26+$R$21*(1+$R$13)^(A26-$R$8))</x:f>
        <x:v>76354.14291127183</x:v>
      </x:c>
      <x:c r="E26" s="10" t="n">
        <x:f>C26+D26</x:f>
        <x:v>516303.58827492164</x:v>
      </x:c>
      <x:c r="F26" s="10" t="n">
        <x:f>(1-$R$14)*C26*EXP(-IF(A26&lt;$R$8,$R$15,$R$16)*ABS(A26-$R$8))</x:f>
        <x:v>426993.2065608599</x:v>
      </x:c>
      <x:c r="G26" s="10" t="n">
        <x:f>(1+$R$14)*C26*EXP(IF(A26&lt;$R$8,$R$15,$R$16)*ABS(A26-$R$8))</x:f>
        <x:v>453196.82259966934</x:v>
      </x:c>
      <x:c r="H26" s="26" t="n">
        <x:f>$R$17*MIN(ABS(A26-$R$8)/$R$18,1)</x:f>
        <x:v>0.1</x:v>
      </x:c>
      <x:c r="I26" s="10" t="n">
        <x:f>F26+D26*(1-H26)</x:f>
        <x:v>495711.9351810046</x:v>
      </x:c>
      <x:c r="J26" s="10" t="n">
        <x:f>G26+D26*(1+H26)</x:f>
        <x:v>537186.3798020683</x:v>
      </x:c>
      <x:c r="K26" s="2"/>
      <x:c r="L26" s="2"/>
      <x:c r="M26" s="2"/>
      <x:c r="N26" s="2"/>
      <x:c r="O26" s="2"/>
      <x:c r="P26" s="2"/>
      <x:c r="Q26" s="2"/>
      <x:c r="R26" s="2"/>
    </x:row>
    <x:row r="27" ht="36" customHeight="1">
      <x:c r="A27" s="2" t="n">
        <x:v>1903</x:v>
      </x:c>
      <x:c r="B27" s="9" t="n">
        <x:f>'Источники'!B26</x:f>
        <x:v>77716</x:v>
      </x:c>
      <x:c r="C27" s="9" t="n">
        <x:f>$R$6*EXP(IF(A27&lt;$R$8,$R$9,$R$10)*(A27-$R$8))</x:f>
        <x:v>446091.904430536</x:v>
      </x:c>
      <x:c r="D27" s="9" t="n">
        <x:f>IF(A27&lt;$R$8,B27*$R$20,B27+$R$21*(1+$R$13)^(A27-$R$8))</x:f>
        <x:v>87724.72576949726</x:v>
      </x:c>
      <x:c r="E27" s="9" t="n">
        <x:f>C27+D27</x:f>
        <x:v>533816.6302000332</x:v>
      </x:c>
      <x:c r="F27" s="9" t="n">
        <x:f>(1-$R$14)*C27*EXP(-IF(A27&lt;$R$8,$R$15,$R$16)*ABS(A27-$R$8))</x:f>
        <x:v>431657.8560385039</x:v>
      </x:c>
      <x:c r="G27" s="9" t="n">
        <x:f>(1+$R$14)*C27*EXP(IF(A27&lt;$R$8,$R$15,$R$16)*ABS(A27-$R$8))</x:f>
        <x:v>460904.88072478434</x:v>
      </x:c>
      <x:c r="H27" s="25" t="n">
        <x:f>$R$17*MIN(ABS(A27-$R$8)/$R$18,1)</x:f>
        <x:v>0.1</x:v>
      </x:c>
      <x:c r="I27" s="9" t="n">
        <x:f>F27+D27*(1-H27)</x:f>
        <x:v>510610.1092310514</x:v>
      </x:c>
      <x:c r="J27" s="9" t="n">
        <x:f>G27+D27*(1+H27)</x:f>
        <x:v>557402.0790712313</x:v>
      </x:c>
      <x:c r="K27" s="2"/>
      <x:c r="L27" s="2"/>
      <x:c r="M27" s="2"/>
      <x:c r="N27" s="2"/>
      <x:c r="O27" s="2"/>
      <x:c r="P27" s="2"/>
      <x:c r="Q27" s="7" t="str">
        <x:v>Диагностика кибиток</x:v>
      </x:c>
      <x:c r="R27" s="7" t="str">
        <x:v>Значение</x:v>
      </x:c>
    </x:row>
    <x:row r="28" ht="23" customHeight="1">
      <x:c r="A28" s="11" t="n">
        <x:v>1904</x:v>
      </x:c>
      <x:c r="B28" s="10" t="n">
        <x:f>'Источники'!B27</x:f>
        <x:v>83008</x:v>
      </x:c>
      <x:c r="C28" s="10" t="n">
        <x:f>$R$6*EXP(IF(A28&lt;$R$8,$R$9,$R$10)*(A28-$R$8))</x:f>
        <x:v>452320.12290406757</x:v>
      </x:c>
      <x:c r="D28" s="10" t="n">
        <x:f>IF(A28&lt;$R$8,B28*$R$20,B28+$R$21*(1+$R$13)^(A28-$R$8))</x:f>
        <x:v>93216.9002848872</x:v>
      </x:c>
      <x:c r="E28" s="10" t="n">
        <x:f>C28+D28</x:f>
        <x:v>545537.0231889548</x:v>
      </x:c>
      <x:c r="F28" s="10" t="n">
        <x:f>(1-$R$14)*C28*EXP(-IF(A28&lt;$R$8,$R$15,$R$16)*ABS(A28-$R$8))</x:f>
        <x:v>436373.46406634245</x:v>
      </x:c>
      <x:c r="G28" s="10" t="n">
        <x:f>(1+$R$14)*C28*EXP(IF(A28&lt;$R$8,$R$15,$R$16)*ABS(A28-$R$8))</x:f>
        <x:v>468744.03897482815</x:v>
      </x:c>
      <x:c r="H28" s="26" t="n">
        <x:f>$R$17*MIN(ABS(A28-$R$8)/$R$18,1)</x:f>
        <x:v>0.1</x:v>
      </x:c>
      <x:c r="I28" s="10" t="n">
        <x:f>F28+D28*(1-H28)</x:f>
        <x:v>520268.67432274093</x:v>
      </x:c>
      <x:c r="J28" s="10" t="n">
        <x:f>G28+D28*(1+H28)</x:f>
        <x:v>571282.629288204</x:v>
      </x:c>
      <x:c r="K28" s="2"/>
      <x:c r="L28" s="2"/>
      <x:c r="M28" s="2"/>
      <x:c r="N28" s="2"/>
      <x:c r="O28" s="2"/>
      <x:c r="P28" s="2"/>
      <x:c r="Q28" s="2" t="str">
        <x:v>Условные кибитки на начало 1897</x:v>
      </x:c>
      <x:c r="R28" s="28" t="n">
        <x:f>'Источники'!B57/5</x:f>
        <x:v>77668.8</x:v>
      </x:c>
    </x:row>
    <x:row r="29" ht="23" customHeight="1">
      <x:c r="A29" s="2" t="n">
        <x:v>1905</x:v>
      </x:c>
      <x:c r="B29" s="9" t="n">
        <x:f>'Источники'!B28</x:f>
        <x:v>100095</x:v>
      </x:c>
      <x:c r="C29" s="9" t="n">
        <x:f>$R$6*EXP(IF(A29&lt;$R$8,$R$9,$R$10)*(A29-$R$8))</x:f>
        <x:v>458635.29813464585</x:v>
      </x:c>
      <x:c r="D29" s="9" t="n">
        <x:f>IF(A29&lt;$R$8,B29*$R$20,B29+$R$21*(1+$R$13)^(A29-$R$8))</x:f>
        <x:v>110508.07829058495</x:v>
      </x:c>
      <x:c r="E29" s="9" t="n">
        <x:f>C29+D29</x:f>
        <x:v>569143.3764252308</x:v>
      </x:c>
      <x:c r="F29" s="9" t="n">
        <x:f>(1-$R$14)*C29*EXP(-IF(A29&lt;$R$8,$R$15,$R$16)*ABS(A29-$R$8))</x:f>
        <x:v>441140.58733654517</x:v>
      </x:c>
      <x:c r="G29" s="9" t="n">
        <x:f>(1+$R$14)*C29*EXP(IF(A29&lt;$R$8,$R$15,$R$16)*ABS(A29-$R$8))</x:f>
        <x:v>476716.52712576743</x:v>
      </x:c>
      <x:c r="H29" s="25" t="n">
        <x:f>$R$17*MIN(ABS(A29-$R$8)/$R$18,1)</x:f>
        <x:v>0.1</x:v>
      </x:c>
      <x:c r="I29" s="9" t="n">
        <x:f>F29+D29*(1-H29)</x:f>
        <x:v>540597.8577980716</x:v>
      </x:c>
      <x:c r="J29" s="9" t="n">
        <x:f>G29+D29*(1+H29)</x:f>
        <x:v>598275.4132454109</x:v>
      </x:c>
      <x:c r="K29" s="2"/>
      <x:c r="L29" s="2"/>
      <x:c r="M29" s="2"/>
      <x:c r="N29" s="2"/>
      <x:c r="O29" s="2"/>
      <x:c r="P29" s="2"/>
      <x:c r="Q29" s="2" t="str">
        <x:v>Эффективный коэффициент: K/кибитки</x:v>
      </x:c>
      <x:c r="R29" s="28" t="n">
        <x:f>R6/R28</x:f>
        <x:v>5.290464124590569</x:v>
      </x:c>
    </x:row>
    <x:row r="30" ht="23" customHeight="1">
      <x:c r="A30" s="11" t="n">
        <x:v>1906</x:v>
      </x:c>
      <x:c r="B30" s="10" t="n">
        <x:f>'Источники'!B29</x:f>
        <x:v>123913</x:v>
      </x:c>
      <x:c r="C30" s="10" t="n">
        <x:f>$R$6*EXP(IF(A30&lt;$R$8,$R$9,$R$10)*(A30-$R$8))</x:f>
        <x:v>465038.64418976504</x:v>
      </x:c>
      <x:c r="D30" s="10" t="n">
        <x:f>IF(A30&lt;$R$8,B30*$R$20,B30+$R$21*(1+$R$13)^(A30-$R$8))</x:f>
        <x:v>134534.33985639666</x:v>
      </x:c>
      <x:c r="E30" s="10" t="n">
        <x:f>C30+D30</x:f>
        <x:v>599572.9840461616</x:v>
      </x:c>
      <x:c r="F30" s="10" t="n">
        <x:f>(1-$R$14)*C30*EXP(-IF(A30&lt;$R$8,$R$15,$R$16)*ABS(A30-$R$8))</x:f>
        <x:v>445959.78862281586</x:v>
      </x:c>
      <x:c r="G30" s="10" t="n">
        <x:f>(1+$R$14)*C30*EXP(IF(A30&lt;$R$8,$R$15,$R$16)*ABS(A30-$R$8))</x:f>
        <x:v>484824.61287802405</x:v>
      </x:c>
      <x:c r="H30" s="26" t="n">
        <x:f>$R$17*MIN(ABS(A30-$R$8)/$R$18,1)</x:f>
        <x:v>0.1</x:v>
      </x:c>
      <x:c r="I30" s="10" t="n">
        <x:f>F30+D30*(1-H30)</x:f>
        <x:v>567040.6944935728</x:v>
      </x:c>
      <x:c r="J30" s="10" t="n">
        <x:f>G30+D30*(1+H30)</x:f>
        <x:v>632812.3867200604</x:v>
      </x:c>
      <x:c r="K30" s="2"/>
      <x:c r="L30" s="2"/>
      <x:c r="M30" s="2"/>
      <x:c r="N30" s="2"/>
      <x:c r="O30" s="2"/>
      <x:c r="P30" s="2"/>
      <x:c r="Q30" s="2" t="str">
        <x:v>Коэффициент при неизменном оседлом</x:v>
      </x:c>
      <x:c r="R30" s="28" t="n">
        <x:f>(R5-'Источники'!B58)/R28</x:f>
        <x:v>5.40850380075397</x:v>
      </x:c>
    </x:row>
    <x:row r="31" ht="23" customHeight="1">
      <x:c r="A31" s="2" t="n">
        <x:v>1907</x:v>
      </x:c>
      <x:c r="B31" s="9" t="n">
        <x:f>'Источники'!B30</x:f>
        <x:v>146454</x:v>
      </x:c>
      <x:c r="C31" s="9" t="n">
        <x:f>$R$6*EXP(IF(A31&lt;$R$8,$R$9,$R$10)*(A31-$R$8))</x:f>
        <x:v>471531.39208741224</x:v>
      </x:c>
      <x:c r="D31" s="9" t="n">
        <x:f>IF(A31&lt;$R$8,B31*$R$20,B31+$R$21*(1+$R$13)^(A31-$R$8))</x:f>
        <x:v>157287.7666535246</x:v>
      </x:c>
      <x:c r="E31" s="9" t="n">
        <x:f>C31+D31</x:f>
        <x:v>628819.1587409368</x:v>
      </x:c>
      <x:c r="F31" s="9" t="n">
        <x:f>(1-$R$14)*C31*EXP(-IF(A31&lt;$R$8,$R$15,$R$16)*ABS(A31-$R$8))</x:f>
        <x:v>450831.63684683</x:v>
      </x:c>
      <x:c r="G31" s="9" t="n">
        <x:f>(1+$R$14)*C31*EXP(IF(A31&lt;$R$8,$R$15,$R$16)*ABS(A31-$R$8))</x:f>
        <x:v>493070.60250150244</x:v>
      </x:c>
      <x:c r="H31" s="25" t="n">
        <x:f>$R$17*MIN(ABS(A31-$R$8)/$R$18,1)</x:f>
        <x:v>0.1</x:v>
      </x:c>
      <x:c r="I31" s="9" t="n">
        <x:f>F31+D31*(1-H31)</x:f>
        <x:v>592390.6268350021</x:v>
      </x:c>
      <x:c r="J31" s="9" t="n">
        <x:f>G31+D31*(1+H31)</x:f>
        <x:v>666087.1458203795</x:v>
      </x:c>
      <x:c r="K31" s="2"/>
      <x:c r="L31" s="2"/>
      <x:c r="M31" s="2"/>
      <x:c r="N31" s="2"/>
      <x:c r="O31" s="2"/>
      <x:c r="P31" s="2"/>
      <x:c r="Q31" s="2" t="str">
        <x:v>Людей на хозяйство, вся область</x:v>
      </x:c>
      <x:c r="R31" s="28" t="n">
        <x:f>'Источники'!B45/'Источники'!B48</x:f>
        <x:v>5.5154058558065415</x:v>
      </x:c>
    </x:row>
    <x:row r="32" ht="23" customHeight="1">
      <x:c r="A32" s="11" t="n">
        <x:v>1908</x:v>
      </x:c>
      <x:c r="B32" s="10" t="n">
        <x:f>B31+(B34-B31)*(A32-A31)/(A34-A31)</x:f>
        <x:v>173556</x:v>
      </x:c>
      <x:c r="C32" s="10" t="n">
        <x:f>$R$6*EXP(IF(A32&lt;$R$8,$R$9,$R$10)*(A32-$R$8))</x:f>
        <x:v>478114.79003272555</x:v>
      </x:c>
      <x:c r="D32" s="10" t="n">
        <x:f>IF(A32&lt;$R$8,B32*$R$20,B32+$R$21*(1+$R$13)^(A32-$R$8))</x:f>
        <x:v>184606.44198659508</x:v>
      </x:c>
      <x:c r="E32" s="10" t="n">
        <x:f>C32+D32</x:f>
        <x:v>662721.2320193206</x:v>
      </x:c>
      <x:c r="F32" s="10" t="n">
        <x:f>(1-$R$14)*C32*EXP(-IF(A32&lt;$R$8,$R$15,$R$16)*ABS(A32-$R$8))</x:f>
        <x:v>455756.7071453974</x:v>
      </x:c>
      <x:c r="G32" s="10" t="n">
        <x:f>(1+$R$14)*C32*EXP(IF(A32&lt;$R$8,$R$15,$R$16)*ABS(A32-$R$8))</x:f>
        <x:v>501456.8414915853</x:v>
      </x:c>
      <x:c r="H32" s="26" t="n">
        <x:f>$R$17*MIN(ABS(A32-$R$8)/$R$18,1)</x:f>
        <x:v>0.1</x:v>
      </x:c>
      <x:c r="I32" s="10" t="n">
        <x:f>F32+D32*(1-H32)</x:f>
        <x:v>621902.5049333329</x:v>
      </x:c>
      <x:c r="J32" s="10" t="n">
        <x:f>G32+D32*(1+H32)</x:f>
        <x:v>704523.9276768399</x:v>
      </x:c>
      <x:c r="K32" s="2"/>
      <x:c r="L32" s="2"/>
      <x:c r="M32" s="2"/>
      <x:c r="N32" s="2"/>
      <x:c r="O32" s="2"/>
      <x:c r="P32" s="2"/>
      <x:c r="Q32" s="2" t="str">
        <x:v>Людей на хозяйство, вне городов</x:v>
      </x:c>
      <x:c r="R32" s="28" t="n">
        <x:f>('Источники'!B45-'Источники'!B51)/('Источники'!B48-'Источники'!B52)</x:f>
        <x:v>5.505329137694767</x:v>
      </x:c>
    </x:row>
    <x:row r="33" ht="23" customHeight="1">
      <x:c r="A33" s="2" t="n">
        <x:v>1909</x:v>
      </x:c>
      <x:c r="B33" s="9" t="n">
        <x:f>B31+(B34-B31)*(A33-A31)/(A34-A31)</x:f>
        <x:v>200658</x:v>
      </x:c>
      <x:c r="C33" s="9" t="n">
        <x:f>$R$6*EXP(IF(A33&lt;$R$8,$R$9,$R$10)*(A33-$R$8))</x:f>
        <x:v>484790.1036579569</x:v>
      </x:c>
      <x:c r="D33" s="9" t="n">
        <x:f>IF(A33&lt;$R$8,B33*$R$20,B33+$R$21*(1+$R$13)^(A33-$R$8))</x:f>
        <x:v>211929.45082632697</x:v>
      </x:c>
      <x:c r="E33" s="9" t="n">
        <x:f>C33+D33</x:f>
        <x:v>696719.5544842838</x:v>
      </x:c>
      <x:c r="F33" s="9" t="n">
        <x:f>(1-$R$14)*C33*EXP(-IF(A33&lt;$R$8,$R$15,$R$16)*ABS(A33-$R$8))</x:f>
        <x:v>460735.580938359</x:v>
      </x:c>
      <x:c r="G33" s="9" t="n">
        <x:f>(1+$R$14)*C33*EXP(IF(A33&lt;$R$8,$R$15,$R$16)*ABS(A33-$R$8))</x:f>
        <x:v>509985.7152362897</x:v>
      </x:c>
      <x:c r="H33" s="25" t="n">
        <x:f>$R$17*MIN(ABS(A33-$R$8)/$R$18,1)</x:f>
        <x:v>0.1</x:v>
      </x:c>
      <x:c r="I33" s="9" t="n">
        <x:f>F33+D33*(1-H33)</x:f>
        <x:v>651472.0866820533</x:v>
      </x:c>
      <x:c r="J33" s="9" t="n">
        <x:f>G33+D33*(1+H33)</x:f>
        <x:v>743108.1111452493</x:v>
      </x:c>
      <x:c r="K33" s="2"/>
      <x:c r="L33" s="2"/>
      <x:c r="M33" s="2"/>
      <x:c r="N33" s="2"/>
      <x:c r="O33" s="2"/>
      <x:c r="P33" s="2"/>
      <x:c r="Q33" s="2"/>
      <x:c r="R33" s="2"/>
    </x:row>
    <x:row r="34" ht="23" customHeight="1">
      <x:c r="A34" s="11" t="n">
        <x:v>1910</x:v>
      </x:c>
      <x:c r="B34" s="10" t="n">
        <x:f>'Источники'!B33</x:f>
        <x:v>227760</x:v>
      </x:c>
      <x:c r="C34" s="10" t="n">
        <x:f>$R$6*EXP(IF(A34&lt;$R$8,$R$9,$R$10)*(A34-$R$8))</x:f>
        <x:v>491558.6162657842</x:v>
      </x:c>
      <x:c r="D34" s="10" t="n">
        <x:f>IF(A34&lt;$R$8,B34*$R$20,B34+$R$21*(1+$R$13)^(A34-$R$8))</x:f>
        <x:v>239256.87984285352</x:v>
      </x:c>
      <x:c r="E34" s="10" t="n">
        <x:f>C34+D34</x:f>
        <x:v>730815.4961086377</x:v>
      </x:c>
      <x:c r="F34" s="10" t="n">
        <x:f>(1-$R$14)*C34*EXP(-IF(A34&lt;$R$8,$R$15,$R$16)*ABS(A34-$R$8))</x:f>
        <x:v>465768.84599722543</x:v>
      </x:c>
      <x:c r="G34" s="10" t="n">
        <x:f>(1+$R$14)*C34*EXP(IF(A34&lt;$R$8,$R$15,$R$16)*ABS(A34-$R$8))</x:f>
        <x:v>518659.6496947669</x:v>
      </x:c>
      <x:c r="H34" s="26" t="n">
        <x:f>$R$17*MIN(ABS(A34-$R$8)/$R$18,1)</x:f>
        <x:v>0.1</x:v>
      </x:c>
      <x:c r="I34" s="10" t="n">
        <x:f>F34+D34*(1-H34)</x:f>
        <x:v>681100.0378557936</x:v>
      </x:c>
      <x:c r="J34" s="10" t="n">
        <x:f>G34+D34*(1+H34)</x:f>
        <x:v>781842.2175219058</x:v>
      </x:c>
      <x:c r="K34" s="2"/>
      <x:c r="L34" s="2"/>
      <x:c r="M34" s="2"/>
      <x:c r="N34" s="2"/>
      <x:c r="O34" s="2"/>
      <x:c r="P34" s="2"/>
      <x:c r="Q34" s="2"/>
      <x:c r="R34" s="2"/>
    </x:row>
    <x:row r="35" ht="23" customHeight="1">
      <x:c r="A35" s="2" t="n">
        <x:v>1911</x:v>
      </x:c>
      <x:c r="B35" s="9" t="n">
        <x:f>'Источники'!B34</x:f>
        <x:v>250872</x:v>
      </x:c>
      <x:c r="C35" s="9" t="n">
        <x:f>$R$6*EXP(IF(A35&lt;$R$8,$R$9,$R$10)*(A35-$R$8))</x:f>
        <x:v>498421.6290760221</x:v>
      </x:c>
      <x:c r="D35" s="9" t="n">
        <x:f>IF(A35&lt;$R$8,B35*$R$20,B35+$R$21*(1+$R$13)^(A35-$R$8))</x:f>
        <x:v>262598.8174397106</x:v>
      </x:c>
      <x:c r="E35" s="9" t="n">
        <x:f>C35+D35</x:f>
        <x:v>761020.4465157327</x:v>
      </x:c>
      <x:c r="F35" s="9" t="n">
        <x:f>(1-$R$14)*C35*EXP(-IF(A35&lt;$R$8,$R$15,$R$16)*ABS(A35-$R$8))</x:f>
        <x:v>470857.09651456494</x:v>
      </x:c>
      <x:c r="G35" s="9" t="n">
        <x:f>(1+$R$14)*C35*EXP(IF(A35&lt;$R$8,$R$15,$R$16)*ABS(A35-$R$8))</x:f>
        <x:v>527481.1120873454</x:v>
      </x:c>
      <x:c r="H35" s="25" t="n">
        <x:f>$R$17*MIN(ABS(A35-$R$8)/$R$18,1)</x:f>
        <x:v>0.1</x:v>
      </x:c>
      <x:c r="I35" s="9" t="n">
        <x:f>F35+D35*(1-H35)</x:f>
        <x:v>707196.0322103045</x:v>
      </x:c>
      <x:c r="J35" s="9" t="n">
        <x:f>G35+D35*(1+H35)</x:f>
        <x:v>816339.8112710272</x:v>
      </x:c>
      <x:c r="K35" s="2"/>
      <x:c r="L35" s="2"/>
      <x:c r="M35" s="2"/>
      <x:c r="N35" s="2"/>
      <x:c r="O35" s="2"/>
      <x:c r="P35" s="2"/>
      <x:c r="Q35" s="2"/>
      <x:c r="R35" s="2"/>
    </x:row>
    <x:row r="36" ht="23" customHeight="1">
      <x:c r="A36" s="11" t="n">
        <x:v>1912</x:v>
      </x:c>
      <x:c r="B36" s="10" t="n">
        <x:f>'Источники'!B35</x:f>
        <x:v>279034</x:v>
      </x:c>
      <x:c r="C36" s="10" t="n">
        <x:f>$R$6*EXP(IF(A36&lt;$R$8,$R$9,$R$10)*(A36-$R$8))</x:f>
        <x:v>505380.46147577564</x:v>
      </x:c>
      <x:c r="D36" s="10" t="n">
        <x:f>IF(A36&lt;$R$8,B36*$R$20,B36+$R$21*(1+$R$13)^(A36-$R$8))</x:f>
        <x:v>290995.3537885048</x:v>
      </x:c>
      <x:c r="E36" s="10" t="n">
        <x:f>C36+D36</x:f>
        <x:v>796375.8152642804</x:v>
      </x:c>
      <x:c r="F36" s="10" t="n">
        <x:f>(1-$R$14)*C36*EXP(-IF(A36&lt;$R$8,$R$15,$R$16)*ABS(A36-$R$8))</x:f>
        <x:v>476000.9331741502</x:v>
      </x:c>
      <x:c r="G36" s="10" t="n">
        <x:f>(1+$R$14)*C36*EXP(IF(A36&lt;$R$8,$R$15,$R$16)*ABS(A36-$R$8))</x:f>
        <x:v>536452.611597308</x:v>
      </x:c>
      <x:c r="H36" s="26" t="n">
        <x:f>$R$17*MIN(ABS(A36-$R$8)/$R$18,1)</x:f>
        <x:v>0.1</x:v>
      </x:c>
      <x:c r="I36" s="10" t="n">
        <x:f>F36+D36*(1-H36)</x:f>
        <x:v>737896.7515838045</x:v>
      </x:c>
      <x:c r="J36" s="10" t="n">
        <x:f>G36+D36*(1+H36)</x:f>
        <x:v>856547.5007646633</x:v>
      </x:c>
      <x:c r="K36" s="2"/>
      <x:c r="L36" s="2"/>
      <x:c r="M36" s="2"/>
      <x:c r="N36" s="2"/>
      <x:c r="O36" s="2"/>
      <x:c r="P36" s="2"/>
      <x:c r="Q36" s="2"/>
      <x:c r="R36" s="2"/>
    </x:row>
    <x:row r="37" ht="23" customHeight="1">
      <x:c r="A37" s="2" t="n">
        <x:v>1913</x:v>
      </x:c>
      <x:c r="B37" s="9" t="n">
        <x:f>'Источники'!B36</x:f>
        <x:v>318168</x:v>
      </x:c>
      <x:c r="C37" s="9" t="n">
        <x:f>$R$6*EXP(IF(A37&lt;$R$8,$R$9,$R$10)*(A37-$R$8))</x:f>
        <x:v>512436.4512730877</x:v>
      </x:c>
      <x:c r="D37" s="9" t="n">
        <x:f>IF(A37&lt;$R$8,B37*$R$20,B37+$R$21*(1+$R$13)^(A37-$R$8))</x:f>
        <x:v>330368.5808642749</x:v>
      </x:c>
      <x:c r="E37" s="9" t="n">
        <x:f>C37+D37</x:f>
        <x:v>842805.0321373625</x:v>
      </x:c>
      <x:c r="F37" s="9" t="n">
        <x:f>(1-$R$14)*C37*EXP(-IF(A37&lt;$R$8,$R$15,$R$16)*ABS(A37-$R$8))</x:f>
        <x:v>481200.96322187036</x:v>
      </x:c>
      <x:c r="G37" s="9" t="n">
        <x:f>(1+$R$14)*C37*EXP(IF(A37&lt;$R$8,$R$15,$R$16)*ABS(A37-$R$8))</x:f>
        <x:v>545576.7000846063</x:v>
      </x:c>
      <x:c r="H37" s="25" t="n">
        <x:f>$R$17*MIN(ABS(A37-$R$8)/$R$18,1)</x:f>
        <x:v>0.1</x:v>
      </x:c>
      <x:c r="I37" s="9" t="n">
        <x:f>F37+D37*(1-H37)</x:f>
        <x:v>778532.6859997178</x:v>
      </x:c>
      <x:c r="J37" s="9" t="n">
        <x:f>G37+D37*(1+H37)</x:f>
        <x:v>908982.1390353087</x:v>
      </x:c>
      <x:c r="K37" s="2"/>
      <x:c r="L37" s="2"/>
      <x:c r="M37" s="2"/>
      <x:c r="N37" s="2"/>
      <x:c r="O37" s="2"/>
      <x:c r="P37" s="2"/>
      <x:c r="Q37" s="2"/>
      <x:c r="R37" s="2"/>
    </x:row>
    <x:row r="38" ht="23" customHeight="1">
      <x:c r="A38" s="11" t="n">
        <x:v>1914</x:v>
      </x:c>
      <x:c r="B38" s="10" t="n">
        <x:f>'Источники'!B37</x:f>
        <x:v>334968</x:v>
      </x:c>
      <x:c r="C38" s="10" t="n">
        <x:f>$R$6*EXP(IF(A38&lt;$R$8,$R$9,$R$10)*(A38-$R$8))</x:f>
        <x:v>519590.9549541269</x:v>
      </x:c>
      <x:c r="D38" s="10" t="n">
        <x:f>IF(A38&lt;$R$8,B38*$R$20,B38+$R$21*(1+$R$13)^(A38-$R$8))</x:f>
        <x:v>347412.5924815604</x:v>
      </x:c>
      <x:c r="E38" s="10" t="n">
        <x:f>C38+D38</x:f>
        <x:v>867003.5474356874</x:v>
      </x:c>
      <x:c r="F38" s="10" t="n">
        <x:f>(1-$R$14)*C38*EXP(-IF(A38&lt;$R$8,$R$15,$R$16)*ABS(A38-$R$8))</x:f>
        <x:v>486457.8005374185</x:v>
      </x:c>
      <x:c r="G38" s="10" t="n">
        <x:f>(1+$R$14)*C38*EXP(IF(A38&lt;$R$8,$R$15,$R$16)*ABS(A38-$R$8))</x:f>
        <x:v>554855.9728117133</x:v>
      </x:c>
      <x:c r="H38" s="26" t="n">
        <x:f>$R$17*MIN(ABS(A38-$R$8)/$R$18,1)</x:f>
        <x:v>0.1</x:v>
      </x:c>
      <x:c r="I38" s="10" t="n">
        <x:f>F38+D38*(1-H38)</x:f>
        <x:v>799129.1337708229</x:v>
      </x:c>
      <x:c r="J38" s="10" t="n">
        <x:f>G38+D38*(1+H38)</x:f>
        <x:v>937009.8245414299</x:v>
      </x:c>
      <x:c r="K38" s="2"/>
      <x:c r="L38" s="2"/>
      <x:c r="M38" s="2"/>
      <x:c r="N38" s="2"/>
      <x:c r="O38" s="2"/>
      <x:c r="P38" s="2"/>
      <x:c r="Q38" s="2"/>
      <x:c r="R38" s="2"/>
    </x:row>
    <x:row r="39" ht="23" customHeight="1">
      <x:c r="A39" s="2" t="n">
        <x:v>1915</x:v>
      </x:c>
      <x:c r="B39" s="9" t="n">
        <x:f>'Источники'!B38</x:f>
        <x:v>343890</x:v>
      </x:c>
      <x:c r="C39" s="9" t="n">
        <x:f>$R$6*EXP(IF(A39&lt;$R$8,$R$9,$R$10)*(A39-$R$8))</x:f>
        <x:v>526845.3479439667</x:v>
      </x:c>
      <x:c r="D39" s="9" t="n">
        <x:f>IF(A39&lt;$R$8,B39*$R$20,B39+$R$21*(1+$R$13)^(A39-$R$8))</x:f>
        <x:v>356583.4843311916</x:v>
      </x:c>
      <x:c r="E39" s="9" t="n">
        <x:f>C39+D39</x:f>
        <x:v>883428.8322751583</x:v>
      </x:c>
      <x:c r="F39" s="9" t="n">
        <x:f>(1-$R$14)*C39*EXP(-IF(A39&lt;$R$8,$R$15,$R$16)*ABS(A39-$R$8))</x:f>
        <x:v>491772.065706762</x:v>
      </x:c>
      <x:c r="G39" s="9" t="n">
        <x:f>(1+$R$14)*C39*EXP(IF(A39&lt;$R$8,$R$15,$R$16)*ABS(A39-$R$8))</x:f>
        <x:v>564293.0691818214</x:v>
      </x:c>
      <x:c r="H39" s="25" t="n">
        <x:f>$R$17*MIN(ABS(A39-$R$8)/$R$18,1)</x:f>
        <x:v>0.1</x:v>
      </x:c>
      <x:c r="I39" s="9" t="n">
        <x:f>F39+D39*(1-H39)</x:f>
        <x:v>812697.2016048345</x:v>
      </x:c>
      <x:c r="J39" s="9" t="n">
        <x:f>G39+D39*(1+H39)</x:f>
        <x:v>956534.9019461322</x:v>
      </x:c>
      <x:c r="K39" s="2"/>
      <x:c r="L39" s="2"/>
      <x:c r="M39" s="2"/>
      <x:c r="N39" s="2"/>
      <x:c r="O39" s="2"/>
      <x:c r="P39" s="2"/>
      <x:c r="Q39" s="2"/>
      <x:c r="R39" s="2"/>
    </x:row>
    <x:row r="40" ht="23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</x:row>
    <x:row r="41" ht="23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</x:row>
    <x:row r="42" ht="23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</x:row>
    <x:row r="43" ht="36" customHeight="1">
      <x:c r="A43" s="7" t="str">
        <x:v>Переписная дата</x:v>
      </x:c>
      <x:c r="B43" s="7" t="str">
        <x:v>Индекс A</x:v>
      </x:c>
      <x:c r="C43" s="7" t="str">
        <x:v>Компонента K</x:v>
      </x:c>
      <x:c r="D43" s="7" t="str">
        <x:v>Компонента S</x:v>
      </x:c>
      <x:c r="E43" s="7" t="str">
        <x:v>Контроль итога</x:v>
      </x:c>
      <x:c r="F43" s="7" t="str">
        <x:v>Остаток</x:v>
      </x:c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</x:row>
    <x:row r="44" ht="23" customHeight="1">
      <x:c r="A44" s="16" t="n">
        <x:f>$R$8</x:f>
        <x:v>1897.0739726027398</x:v>
      </x:c>
      <x:c r="B44" s="27" t="n">
        <x:f>$R$19</x:f>
        <x:v>33611.509589041314</x:v>
      </x:c>
      <x:c r="C44" s="27" t="n">
        <x:f>$R$6*EXP($R$10*(A44-$R$8))</x:f>
        <x:v>410904</x:v>
      </x:c>
      <x:c r="D44" s="27" t="n">
        <x:f>B44+$R$21*(1+$R$13)^(A44-$R$8)</x:f>
        <x:v>42512</x:v>
      </x:c>
      <x:c r="E44" s="27" t="n">
        <x:f>C44+D44</x:f>
        <x:v>453416</x:v>
      </x:c>
      <x:c r="F44" s="27" t="n">
        <x:f>E44-$R$5</x:f>
        <x:v>0</x:v>
      </x:c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</x:row>
    <x:row r="45" ht="23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</x:row>
    <x:row r="46" ht="23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</x:row>
    <x:row r="47" ht="23" customHeight="1">
      <x:c r="A47" s="2" t="str">
        <x:v>Коридор — проверка допущений, а не статистический доверительный интервал. Метод и ограничения — в HTML-описании.</x:v>
      </x:c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</x:row>
    <x:row r="48" ht="23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3" hidden="0" customWidth="1"/>
    <x:col min="2" max="2" width="15" hidden="0" customWidth="1"/>
    <x:col min="3" max="3" width="56" hidden="0" customWidth="1"/>
    <x:col min="4" max="4" width="15" hidden="0" customWidth="1"/>
    <x:col min="5" max="5" width="15" hidden="0" customWidth="1"/>
    <x:col min="6" max="6" width="72" hidden="0" customWidth="1"/>
    <x:col min="7" max="7" width="66" hidden="0" customWidth="1"/>
    <x:col min="8" max="8" width="3" hidden="0" customWidth="1"/>
    <x:col min="9" max="9" width="17" hidden="0" customWidth="1"/>
    <x:col min="10" max="10" width="17" hidden="0" customWidth="1"/>
    <x:col min="11" max="11" width="17" hidden="0" customWidth="1"/>
    <x:col min="12" max="12" width="3" hidden="0" customWidth="1"/>
    <x:col min="13" max="13" width="17" hidden="0" customWidth="1"/>
    <x:col min="14" max="14" width="17" hidden="0" customWidth="1"/>
    <x:col min="15" max="15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3" customHeight="1">
      <x:c r="A2" s="3" t="str">
        <x:v>Тургайская область: исходные наблюдения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23" customHeight="1">
      <x:c r="A3" s="2" t="str">
        <x:v>Человек, оба пола. Пусто = нет числа. Даты и группы источника сохранены.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36" customHeight="1">
      <x:c r="A4" s="7" t="str">
        <x:v>Выпуск</x:v>
      </x:c>
      <x:c r="B4" s="7" t="str">
        <x:v>Оседлое</x:v>
      </x:c>
      <x:c r="C4" s="7" t="str">
        <x:v>Кочевое</x:v>
      </x:c>
      <x:c r="D4" s="7" t="str">
        <x:v>Сумма частей</x:v>
      </x:c>
      <x:c r="E4" s="7" t="str">
        <x:v>Другой итог</x:v>
      </x:c>
      <x:c r="F4" s="7" t="str">
        <x:v>Дата / база источника</x:v>
      </x:c>
      <x:c r="G4" s="7" t="str">
        <x:v>Оговорка</x:v>
      </x:c>
      <x:c r="H4" s="2"/>
      <x:c r="I4" s="7" t="str">
        <x:v>Ранняя дата</x:v>
      </x:c>
      <x:c r="J4" s="7" t="str">
        <x:v>Кочевое</x:v>
      </x:c>
      <x:c r="K4" s="7" t="str">
        <x:v>LN(числа)</x:v>
      </x:c>
      <x:c r="L4" s="2"/>
      <x:c r="M4" s="7" t="str">
        <x:v>Поздняя дата</x:v>
      </x:c>
      <x:c r="N4" s="7" t="str">
        <x:v>Кочевое</x:v>
      </x:c>
      <x:c r="O4" s="7" t="str">
        <x:v>LN(числа)</x:v>
      </x:c>
    </x:row>
    <x:row r="5" ht="55" customHeight="1">
      <x:c r="A5" s="9" t="n">
        <x:v>1881</x:v>
      </x:c>
      <x:c r="B5" s="9" t="n">
        <x:v>3596</x:v>
      </x:c>
      <x:c r="C5" s="9" t="n">
        <x:v>323110</x:v>
      </x:c>
      <x:c r="D5" s="9" t="n">
        <x:v>326706</x:v>
      </x:c>
      <x:c r="E5" s="9"/>
      <x:c r="F5" s="14" t="str">
        <x:v>Оседлое: Не указана. Кочевое: Перечёт 1881; трёхлетие 1881–1883.</x:v>
      </x:c>
      <x:c r="G5" s="14" t="str">
        <x:v>323,110 кочевых — расчёт по 5 чел./кибитку</x:v>
      </x:c>
      <x:c r="H5" s="2"/>
      <x:c r="I5" s="17" t="n">
        <x:f>A5+0.5</x:f>
        <x:v>1881.5</x:v>
      </x:c>
      <x:c r="J5" s="8" t="n">
        <x:f>C5</x:f>
        <x:v>323110</x:v>
      </x:c>
      <x:c r="K5" s="16" t="n">
        <x:f>LN(J5)</x:f>
        <x:v>12.685748101503869</x:v>
      </x:c>
      <x:c r="L5" s="2"/>
      <x:c r="M5" s="17" t="n">
        <x:f>A23+1</x:f>
        <x:v>1900</x:v>
      </x:c>
      <x:c r="N5" s="8" t="n">
        <x:f>C23</x:f>
        <x:v>400886</x:v>
      </x:c>
      <x:c r="O5" s="16" t="n">
        <x:f>LN(N5)</x:f>
        <x:v>12.901432376594041</x:v>
      </x:c>
    </x:row>
    <x:row r="6" ht="55" customHeight="1">
      <x:c r="A6" s="10" t="n">
        <x:v>1882</x:v>
      </x:c>
      <x:c r="B6" s="10" t="n">
        <x:v>6403</x:v>
      </x:c>
      <x:c r="C6" s="10" t="n">
        <x:v>323110</x:v>
      </x:c>
      <x:c r="D6" s="10" t="n">
        <x:v>329513</x:v>
      </x:c>
      <x:c r="E6" s="10"/>
      <x:c r="F6" s="15" t="str">
        <x:v>Оседлое: Не указана. Кочевое: Перечёт 1881; трёхлетие 1881–1883.</x:v>
      </x:c>
      <x:c r="G6" s="15" t="str">
        <x:v>Кочевая оценка перенесена из 1881</x:v>
      </x:c>
      <x:c r="H6" s="2"/>
      <x:c r="I6" s="17" t="n">
        <x:f>A8+0.5</x:f>
        <x:v>1884.5</x:v>
      </x:c>
      <x:c r="J6" s="8" t="n">
        <x:f>C8</x:f>
        <x:v>322070</x:v>
      </x:c>
      <x:c r="K6" s="16" t="n">
        <x:f>LN(J6)</x:f>
        <x:v>12.682524192204827</x:v>
      </x:c>
      <x:c r="L6" s="2"/>
      <x:c r="M6" s="17" t="n">
        <x:f>A26+1</x:f>
        <x:v>1903</x:v>
      </x:c>
      <x:c r="N6" s="8" t="n">
        <x:f>C26</x:f>
        <x:v>422754</x:v>
      </x:c>
      <x:c r="O6" s="16" t="n">
        <x:f>LN(N6)</x:f>
        <x:v>12.954545728572953</x:v>
      </x:c>
    </x:row>
    <x:row r="7" ht="55" customHeight="1">
      <x:c r="A7" s="9" t="n">
        <x:v>1883</x:v>
      </x:c>
      <x:c r="B7" s="9" t="n">
        <x:v>10081</x:v>
      </x:c>
      <x:c r="C7" s="9" t="n">
        <x:v>323110</x:v>
      </x:c>
      <x:c r="D7" s="9" t="n">
        <x:v>333191</x:v>
      </x:c>
      <x:c r="E7" s="9"/>
      <x:c r="F7" s="14" t="str">
        <x:v>Оседлое: Не указана. Кочевое: Последний год трёхлетия 1881–1883.</x:v>
      </x:c>
      <x:c r="G7" s="14" t="str">
        <x:v>Оседлые: «до 10,081»</x:v>
      </x:c>
      <x:c r="H7" s="2"/>
      <x:c r="I7" s="17" t="n">
        <x:f>A11+0.5</x:f>
        <x:v>1887.5</x:v>
      </x:c>
      <x:c r="J7" s="8" t="n">
        <x:f>C11</x:f>
        <x:v>328915</x:v>
      </x:c>
      <x:c r="K7" s="16" t="n">
        <x:f>LN(J7)</x:f>
        <x:v>12.703554637704546</x:v>
      </x:c>
      <x:c r="L7" s="2"/>
      <x:c r="M7" s="17" t="n">
        <x:f>A27+1</x:f>
        <x:v>1904</x:v>
      </x:c>
      <x:c r="N7" s="8" t="n">
        <x:f>C27</x:f>
        <x:v>420623</x:v>
      </x:c>
      <x:c r="O7" s="16" t="n">
        <x:f>LN(N7)</x:f>
        <x:v>12.949492224540702</x:v>
      </x:c>
    </x:row>
    <x:row r="8" ht="55" customHeight="1">
      <x:c r="A8" s="10" t="n">
        <x:v>1884</x:v>
      </x:c>
      <x:c r="B8" s="10" t="n">
        <x:v>7525</x:v>
      </x:c>
      <x:c r="C8" s="10" t="n">
        <x:v>322070</x:v>
      </x:c>
      <x:c r="D8" s="10" t="n">
        <x:v>329595</x:v>
      </x:c>
      <x:c r="E8" s="10"/>
      <x:c r="F8" s="15" t="str">
        <x:v>Оседлое: Не указана. Кочевое: Новый перечёт на 1884–1886.</x:v>
      </x:c>
      <x:c r="G8" s="15" t="str">
        <x:v>Ведомость № 3 отсутствует в скане</x:v>
      </x:c>
      <x:c r="H8" s="2"/>
      <x:c r="I8" s="17" t="n">
        <x:f>A12+0.5</x:f>
        <x:v>1888.5</x:v>
      </x:c>
      <x:c r="J8" s="8" t="n">
        <x:f>C12</x:f>
        <x:v>329545</x:v>
      </x:c>
      <x:c r="K8" s="16" t="n">
        <x:f>LN(J8)</x:f>
        <x:v>12.705468194161245</x:v>
      </x:c>
      <x:c r="L8" s="2"/>
      <x:c r="M8" s="17" t="n">
        <x:f>A28+1</x:f>
        <x:v>1905</x:v>
      </x:c>
      <x:c r="N8" s="8" t="n">
        <x:f>C28</x:f>
        <x:v>435735</x:v>
      </x:c>
      <x:c r="O8" s="16" t="n">
        <x:f>LN(N8)</x:f>
        <x:v>12.98478953938185</x:v>
      </x:c>
    </x:row>
    <x:row r="9" ht="55" customHeight="1">
      <x:c r="A9" s="9" t="n">
        <x:v>1885</x:v>
      </x:c>
      <x:c r="B9" s="9" t="n">
        <x:v>9570</x:v>
      </x:c>
      <x:c r="C9" s="9" t="n">
        <x:v>322070</x:v>
      </x:c>
      <x:c r="D9" s="9" t="n">
        <x:v>331640</x:v>
      </x:c>
      <x:c r="E9" s="9"/>
      <x:c r="F9" s="14" t="str">
        <x:v>Оседлое: 01.01.1886. Кочевое: Перенесён перечёт 1884–1886.</x:v>
      </x:c>
      <x:c r="G9" s="14" t="str">
        <x:v>Опечатка прироста 2,015 вместо 2,045</x:v>
      </x:c>
      <x:c r="H9" s="2"/>
      <x:c r="I9" s="17" t="n">
        <x:f>A13+0.5</x:f>
        <x:v>1889.5</x:v>
      </x:c>
      <x:c r="J9" s="8" t="n">
        <x:f>C13</x:f>
        <x:v>342011</x:v>
      </x:c>
      <x:c r="K9" s="16" t="n">
        <x:f>LN(J9)</x:f>
        <x:v>12.74259817927019</x:v>
      </x:c>
      <x:c r="L9" s="2"/>
      <x:c r="M9" s="17" t="n">
        <x:f>A29+1</x:f>
        <x:v>1906</x:v>
      </x:c>
      <x:c r="N9" s="8" t="n">
        <x:f>C29</x:f>
        <x:v>421550</x:v>
      </x:c>
      <x:c r="O9" s="16" t="n">
        <x:f>LN(N9)</x:f>
        <x:v>12.951693673350821</x:v>
      </x:c>
    </x:row>
    <x:row r="10" ht="55" customHeight="1">
      <x:c r="A10" s="10" t="n">
        <x:v>1886</x:v>
      </x:c>
      <x:c r="B10" s="10" t="n">
        <x:v>16756</x:v>
      </x:c>
      <x:c r="C10" s="10" t="n">
        <x:v>322070</x:v>
      </x:c>
      <x:c r="D10" s="10" t="n">
        <x:v>338826</x:v>
      </x:c>
      <x:c r="E10" s="10"/>
      <x:c r="F10" s="15" t="str">
        <x:v>Оседлое: Не указана. Кочевое: Перенесён перечёт 1884–1886.</x:v>
      </x:c>
      <x:c r="G10" s="15" t="str">
        <x:v>Принято 322,070 из таблицы</x:v>
      </x:c>
      <x:c r="H10" s="2"/>
      <x:c r="I10" s="17" t="n">
        <x:f>A14+1</x:f>
        <x:v>1891</x:v>
      </x:c>
      <x:c r="J10" s="8" t="n">
        <x:f>C14</x:f>
        <x:v>340639</x:v>
      </x:c>
      <x:c r="K10" s="16" t="n">
        <x:f>LN(J10)</x:f>
        <x:v>12.738578544472457</x:v>
      </x:c>
      <x:c r="L10" s="2"/>
      <x:c r="M10" s="17" t="n">
        <x:f>A30+1</x:f>
        <x:v>1907</x:v>
      </x:c>
      <x:c r="N10" s="8" t="n">
        <x:f>C30</x:f>
        <x:v>440608</x:v>
      </x:c>
      <x:c r="O10" s="16" t="n">
        <x:f>LN(N10)</x:f>
        <x:v>12.9959108702441</x:v>
      </x:c>
    </x:row>
    <x:row r="11" ht="55" customHeight="1">
      <x:c r="A11" s="9" t="n">
        <x:v>1887</x:v>
      </x:c>
      <x:c r="B11" s="9" t="n">
        <x:v>20271</x:v>
      </x:c>
      <x:c r="C11" s="9" t="n">
        <x:v>328915</x:v>
      </x:c>
      <x:c r="D11" s="9" t="n">
        <x:v>349186</x:v>
      </x:c>
      <x:c r="E11" s="9"/>
      <x:c r="F11" s="14" t="str">
        <x:v>Оседлое: Не указана. Кочевое: В отчётном году, дата не указана.</x:v>
      </x:c>
      <x:c r="G11" s="14" t="str">
        <x:v>Р/С только по оседлым пунктам</x:v>
      </x:c>
      <x:c r="H11" s="2"/>
      <x:c r="I11" s="17" t="n">
        <x:f>A15+1</x:f>
        <x:v>1892</x:v>
      </x:c>
      <x:c r="J11" s="8" t="n">
        <x:f>C15</x:f>
        <x:v>349994</x:v>
      </x:c>
      <x:c r="K11" s="16" t="n">
        <x:f>LN(J11)</x:f>
        <x:v>12.765671290461514</x:v>
      </x:c>
      <x:c r="L11" s="2"/>
      <x:c r="M11" s="17" t="n">
        <x:f>A31+1</x:f>
        <x:v>1908</x:v>
      </x:c>
      <x:c r="N11" s="8" t="n">
        <x:f>C31</x:f>
        <x:v>441195</x:v>
      </x:c>
      <x:c r="O11" s="16" t="n">
        <x:f>LN(N11)</x:f>
        <x:v>12.997242233568347</x:v>
      </x:c>
    </x:row>
    <x:row r="12" ht="55" customHeight="1">
      <x:c r="A12" s="10" t="n">
        <x:v>1888</x:v>
      </x:c>
      <x:c r="B12" s="10" t="n">
        <x:v>20592</x:v>
      </x:c>
      <x:c r="C12" s="10" t="n">
        <x:v>329545</x:v>
      </x:c>
      <x:c r="D12" s="10" t="n">
        <x:v>350137</x:v>
      </x:c>
      <x:c r="E12" s="10"/>
      <x:c r="F12" s="15" t="str">
        <x:v>Оседлое: Не указана. Кочевое: В отчётном году, дата не указана.</x:v>
      </x:c>
      <x:c r="G12" s="15" t="str">
        <x:v>Кочевой итог отличается от кибитки × 5 на 10</x:v>
      </x:c>
      <x:c r="H12" s="2"/>
      <x:c r="I12" s="17" t="n">
        <x:f>A16+1</x:f>
        <x:v>1893</x:v>
      </x:c>
      <x:c r="J12" s="8" t="n">
        <x:f>C16</x:f>
        <x:v>353056</x:v>
      </x:c>
      <x:c r="K12" s="16" t="n">
        <x:f>LN(J12)</x:f>
        <x:v>12.774381963560032</x:v>
      </x:c>
      <x:c r="L12" s="2"/>
      <x:c r="M12" s="17" t="n">
        <x:f>A32+1</x:f>
        <x:v>1909</x:v>
      </x:c>
      <x:c r="N12" s="8" t="n">
        <x:f>C32</x:f>
        <x:v>438446</x:v>
      </x:c>
      <x:c r="O12" s="16" t="n">
        <x:f>LN(N12)</x:f>
        <x:v>12.990991936118789</x:v>
      </x:c>
    </x:row>
    <x:row r="13" ht="55" customHeight="1">
      <x:c r="A13" s="9" t="n">
        <x:v>1889</x:v>
      </x:c>
      <x:c r="B13" s="9" t="n">
        <x:v>22636</x:v>
      </x:c>
      <x:c r="C13" s="9" t="n">
        <x:v>342011</x:v>
      </x:c>
      <x:c r="D13" s="9" t="n">
        <x:v>364647</x:v>
      </x:c>
      <x:c r="E13" s="9"/>
      <x:c r="F13" s="14" t="str">
        <x:v>Оседлое: Не указана. Кочевое: В отчётном году, дата не указана.</x:v>
      </x:c>
      <x:c r="G13" s="14" t="str">
        <x:v>Кустанай: резкий скачок рождений и смертей</x:v>
      </x:c>
      <x:c r="H13" s="2"/>
      <x:c r="I13" s="17" t="n">
        <x:f>A17+1</x:f>
        <x:v>1894</x:v>
      </x:c>
      <x:c r="J13" s="8" t="n">
        <x:f>C17</x:f>
        <x:v>351290</x:v>
      </x:c>
      <x:c r="K13" s="16" t="n">
        <x:f>LN(J13)</x:f>
        <x:v>12.76936737214993</x:v>
      </x:c>
      <x:c r="L13" s="2"/>
      <x:c r="M13" s="17" t="n">
        <x:f>A33+1</x:f>
        <x:v>1910</x:v>
      </x:c>
      <x:c r="N13" s="8" t="n">
        <x:f>C33</x:f>
        <x:v>452750</x:v>
      </x:c>
      <x:c r="O13" s="16" t="n">
        <x:f>LN(N13)</x:f>
        <x:v>13.02309537574566</x:v>
      </x:c>
    </x:row>
    <x:row r="14" ht="55" customHeight="1">
      <x:c r="A14" s="10" t="n">
        <x:v>1890</x:v>
      </x:c>
      <x:c r="B14" s="10" t="n">
        <x:v>32853</x:v>
      </x:c>
      <x:c r="C14" s="10" t="n">
        <x:v>340639</x:v>
      </x:c>
      <x:c r="D14" s="10" t="n">
        <x:v>373492</x:v>
      </x:c>
      <x:c r="E14" s="10" t="n">
        <x:v>367839</x:v>
      </x:c>
      <x:c r="F14" s="15" t="str">
        <x:v>01.01.1891 по Обзору 1891</x:v>
      </x:c>
      <x:c r="G14" s="15" t="str">
        <x:v>Другой общий итог 367 839 — раздел скотоводства.</x:v>
      </x:c>
      <x:c r="H14" s="2"/>
      <x:c r="I14" s="17" t="n">
        <x:f>A18+1</x:f>
        <x:v>1895</x:v>
      </x:c>
      <x:c r="J14" s="8" t="n">
        <x:f>C18</x:f>
        <x:v>356798</x:v>
      </x:c>
      <x:c r="K14" s="16" t="n">
        <x:f>LN(J14)</x:f>
        <x:v>12.784925074291115</x:v>
      </x:c>
      <x:c r="L14" s="2"/>
      <x:c r="M14" s="17" t="n">
        <x:f>A34+1</x:f>
        <x:v>1911</x:v>
      </x:c>
      <x:c r="N14" s="8" t="n">
        <x:f>C34</x:f>
        <x:v>461743</x:v>
      </x:c>
      <x:c r="O14" s="16" t="n">
        <x:f>LN(N14)</x:f>
        <x:v>13.042763738228114</x:v>
      </x:c>
    </x:row>
    <x:row r="15" ht="55" customHeight="1">
      <x:c r="A15" s="9" t="n">
        <x:v>1891</x:v>
      </x:c>
      <x:c r="B15" s="9" t="n">
        <x:v>28030</x:v>
      </x:c>
      <x:c r="C15" s="9" t="n">
        <x:v>349994</x:v>
      </x:c>
      <x:c r="D15" s="9" t="n">
        <x:v>378024</x:v>
      </x:c>
      <x:c r="E15" s="9"/>
      <x:c r="F15" s="14" t="str">
        <x:v>01.01.1892</x:v>
      </x:c>
      <x:c r="G15" s="14" t="str">
        <x:v>н/д</x:v>
      </x:c>
      <x:c r="H15" s="2"/>
      <x:c r="I15" s="17" t="n">
        <x:f>A19+1</x:f>
        <x:v>1896</x:v>
      </x:c>
      <x:c r="J15" s="8" t="n">
        <x:f>C19</x:f>
        <x:v>359311</x:v>
      </x:c>
      <x:c r="K15" s="16" t="n">
        <x:f>LN(J15)</x:f>
        <x:v>12.791943587717865</x:v>
      </x:c>
      <x:c r="L15" s="2"/>
      <x:c r="M15" s="17" t="n">
        <x:f>A35+1</x:f>
        <x:v>1912</x:v>
      </x:c>
      <x:c r="N15" s="8" t="n">
        <x:f>C35</x:f>
        <x:v>470109</x:v>
      </x:c>
      <x:c r="O15" s="16" t="n">
        <x:f>LN(N15)</x:f>
        <x:v>13.060719861691757</x:v>
      </x:c>
    </x:row>
    <x:row r="16" ht="55" customHeight="1">
      <x:c r="A16" s="10" t="n">
        <x:v>1892</x:v>
      </x:c>
      <x:c r="B16" s="10" t="n">
        <x:v>25943</x:v>
      </x:c>
      <x:c r="C16" s="10" t="n">
        <x:v>353056</x:v>
      </x:c>
      <x:c r="D16" s="10" t="n">
        <x:v>378999</x:v>
      </x:c>
      <x:c r="E16" s="10"/>
      <x:c r="F16" s="15" t="str">
        <x:v>01.01.1892 напечатано; вероятно 01.01.1893</x:v>
      </x:c>
      <x:c r="G16" s="15" t="str">
        <x:v>Напечатанная дата не исправлена.</x:v>
      </x:c>
      <x:c r="H16" s="2"/>
      <x:c r="I16" s="2"/>
      <x:c r="J16" s="2"/>
      <x:c r="K16" s="2"/>
      <x:c r="L16" s="2"/>
      <x:c r="M16" s="17" t="n">
        <x:f>A36+1</x:f>
        <x:v>1913</x:v>
      </x:c>
      <x:c r="N16" s="8" t="n">
        <x:f>C36</x:f>
        <x:v>480569</x:v>
      </x:c>
      <x:c r="O16" s="16" t="n">
        <x:f>LN(N16)</x:f>
        <x:v>13.082726097499165</x:v>
      </x:c>
    </x:row>
    <x:row r="17" ht="55" customHeight="1">
      <x:c r="A17" s="9" t="n">
        <x:v>1893</x:v>
      </x:c>
      <x:c r="B17" s="9" t="n">
        <x:v>27193</x:v>
      </x:c>
      <x:c r="C17" s="9" t="n">
        <x:v>351290</x:v>
      </x:c>
      <x:c r="D17" s="9" t="n">
        <x:v>378483</x:v>
      </x:c>
      <x:c r="E17" s="9"/>
      <x:c r="F17" s="14" t="str">
        <x:v>01.01.1894</x:v>
      </x:c>
      <x:c r="G17" s="14" t="str">
        <x:v>н/д</x:v>
      </x:c>
      <x:c r="H17" s="2"/>
      <x:c r="I17" s="2"/>
      <x:c r="J17" s="2"/>
      <x:c r="K17" s="2"/>
      <x:c r="L17" s="2"/>
      <x:c r="M17" s="17" t="n">
        <x:f>A37+1</x:f>
        <x:v>1914</x:v>
      </x:c>
      <x:c r="N17" s="8" t="n">
        <x:f>C37</x:f>
        <x:v>488917</x:v>
      </x:c>
      <x:c r="O17" s="16" t="n">
        <x:f>LN(N17)</x:f>
        <x:v>13.099948019899209</x:v>
      </x:c>
    </x:row>
    <x:row r="18" ht="55" customHeight="1">
      <x:c r="A18" s="10" t="n">
        <x:v>1894</x:v>
      </x:c>
      <x:c r="B18" s="10" t="n">
        <x:v>29502</x:v>
      </x:c>
      <x:c r="C18" s="10" t="n">
        <x:v>356798</x:v>
      </x:c>
      <x:c r="D18" s="10" t="n">
        <x:v>386300</x:v>
      </x:c>
      <x:c r="E18" s="10"/>
      <x:c r="F18" s="15" t="str">
        <x:v>01.01.1895</x:v>
      </x:c>
      <x:c r="G18" s="15" t="str">
        <x:v>н/д</x:v>
      </x:c>
      <x:c r="H18" s="2"/>
      <x:c r="I18" s="2"/>
      <x:c r="J18" s="2"/>
      <x:c r="K18" s="2"/>
      <x:c r="L18" s="2"/>
      <x:c r="M18" s="17" t="n">
        <x:f>A38+1</x:f>
        <x:v>1915</x:v>
      </x:c>
      <x:c r="N18" s="8" t="n">
        <x:f>C38</x:f>
        <x:v>498516</x:v>
      </x:c>
      <x:c r="O18" s="16" t="n">
        <x:f>LN(N18)</x:f>
        <x:v>13.119390964157821</x:v>
      </x:c>
    </x:row>
    <x:row r="19" ht="55" customHeight="1">
      <x:c r="A19" s="9" t="n">
        <x:v>1895</x:v>
      </x:c>
      <x:c r="B19" s="9" t="n">
        <x:v>30441</x:v>
      </x:c>
      <x:c r="C19" s="9" t="n">
        <x:v>359311</x:v>
      </x:c>
      <x:c r="D19" s="9" t="n">
        <x:v>389752</x:v>
      </x:c>
      <x:c r="E19" s="9"/>
      <x:c r="F19" s="14" t="str">
        <x:v>01.01.1896</x:v>
      </x:c>
      <x:c r="G19" s="14" t="str">
        <x:v>н/д</x:v>
      </x:c>
      <x:c r="H19" s="2"/>
      <x:c r="I19" s="2"/>
      <x:c r="J19" s="2"/>
      <x:c r="K19" s="2"/>
      <x:c r="L19" s="2"/>
      <x:c r="M19" s="2"/>
      <x:c r="N19" s="2"/>
      <x:c r="O19" s="2"/>
    </x:row>
    <x:row r="20" ht="55" customHeight="1">
      <x:c r="A20" s="10" t="n">
        <x:v>1896</x:v>
      </x:c>
      <x:c r="B20" s="10" t="n">
        <x:v>33344</x:v>
      </x:c>
      <x:c r="C20" s="10" t="n">
        <x:v>388344</x:v>
      </x:c>
      <x:c r="D20" s="10" t="n">
        <x:v>421688</x:v>
      </x:c>
      <x:c r="E20" s="10"/>
      <x:c r="F20" s="15" t="str">
        <x:v>01.01.1897</x:v>
      </x:c>
      <x:c r="G20" s="15" t="str">
        <x:v>Рождения и смерти: неполная сумма доступных записей.</x:v>
      </x:c>
      <x:c r="H20" s="2"/>
      <x:c r="I20" s="2"/>
      <x:c r="J20" s="2"/>
      <x:c r="K20" s="2"/>
      <x:c r="L20" s="2"/>
      <x:c r="M20" s="2"/>
      <x:c r="N20" s="2"/>
      <x:c r="O20" s="2"/>
    </x:row>
    <x:row r="21" ht="55" customHeight="1">
      <x:c r="A21" s="9" t="n">
        <x:v>1897</x:v>
      </x:c>
      <x:c r="B21" s="9"/>
      <x:c r="C21" s="9"/>
      <x:c r="D21" s="9"/>
      <x:c r="E21" s="9"/>
      <x:c r="F21" s="14" t="str">
        <x:v>Выпуска нет</x:v>
      </x:c>
      <x:c r="G21" s="14" t="str">
        <x:v>Нет выпуска в подборке.</x:v>
      </x:c>
      <x:c r="H21" s="2"/>
      <x:c r="I21" s="2"/>
      <x:c r="J21" s="2"/>
      <x:c r="K21" s="2"/>
      <x:c r="L21" s="2"/>
      <x:c r="M21" s="2"/>
      <x:c r="N21" s="2"/>
      <x:c r="O21" s="2"/>
    </x:row>
    <x:row r="22" ht="55" customHeight="1">
      <x:c r="A22" s="10" t="n">
        <x:v>1898</x:v>
      </x:c>
      <x:c r="B22" s="10"/>
      <x:c r="C22" s="10"/>
      <x:c r="D22" s="10"/>
      <x:c r="E22" s="10"/>
      <x:c r="F22" s="15" t="str">
        <x:v>Выпуска нет</x:v>
      </x:c>
      <x:c r="G22" s="15" t="str">
        <x:v>Нет выпуска в подборке.</x:v>
      </x:c>
      <x:c r="H22" s="2"/>
      <x:c r="I22" s="2"/>
      <x:c r="J22" s="2"/>
      <x:c r="K22" s="2"/>
      <x:c r="L22" s="2"/>
      <x:c r="M22" s="2"/>
      <x:c r="N22" s="2"/>
      <x:c r="O22" s="2"/>
    </x:row>
    <x:row r="23" ht="55" customHeight="1">
      <x:c r="A23" s="9" t="n">
        <x:v>1899</x:v>
      </x:c>
      <x:c r="B23" s="9" t="n">
        <x:v>44193</x:v>
      </x:c>
      <x:c r="C23" s="9" t="n">
        <x:v>400886</x:v>
      </x:c>
      <x:c r="D23" s="9" t="n">
        <x:v>445079</x:v>
      </x:c>
      <x:c r="E23" s="9"/>
      <x:c r="F23" s="14" t="str">
        <x:v>01.01.1900</x:v>
      </x:c>
      <x:c r="G23" s="14" t="str">
        <x:v>н/д</x:v>
      </x:c>
      <x:c r="H23" s="2"/>
      <x:c r="I23" s="2"/>
      <x:c r="J23" s="2"/>
      <x:c r="K23" s="2"/>
      <x:c r="L23" s="2"/>
      <x:c r="M23" s="2"/>
      <x:c r="N23" s="2"/>
      <x:c r="O23" s="2"/>
    </x:row>
    <x:row r="24" ht="55" customHeight="1">
      <x:c r="A24" s="10" t="n">
        <x:v>1900</x:v>
      </x:c>
      <x:c r="B24" s="10"/>
      <x:c r="C24" s="10"/>
      <x:c r="D24" s="10"/>
      <x:c r="E24" s="10" t="n">
        <x:v>461516</x:v>
      </x:c>
      <x:c r="F24" s="15" t="str">
        <x:v>Общая таблица: 01.01.1901. Общий итог датирован прямо. Прямого разделения оседлое/кочевое нет.</x:v>
      </x:c>
      <x:c r="G24" s="15" t="str">
        <x:v>Сословное деление не подставлено вместо оседлого/кочевого.</x:v>
      </x:c>
      <x:c r="H24" s="2"/>
      <x:c r="I24" s="2"/>
      <x:c r="J24" s="2"/>
      <x:c r="K24" s="2"/>
      <x:c r="L24" s="2"/>
      <x:c r="M24" s="2"/>
      <x:c r="N24" s="2"/>
      <x:c r="O24" s="2"/>
    </x:row>
    <x:row r="25" ht="55" customHeight="1">
      <x:c r="A25" s="9" t="n">
        <x:v>1901</x:v>
      </x:c>
      <x:c r="B25" s="9"/>
      <x:c r="C25" s="9"/>
      <x:c r="D25" s="9"/>
      <x:c r="E25" s="9" t="n">
        <x:v>488879</x:v>
      </x:c>
      <x:c r="F25" s="14" t="str">
        <x:v>Общая таблица: 01.01.1902. Общий итог датирован прямо. Прямого разделения оседлое/кочевое нет.</x:v>
      </x:c>
      <x:c r="G25" s="14" t="str">
        <x:v>Сословное деление не подставлено вместо оседлого/кочевого.</x:v>
      </x:c>
      <x:c r="H25" s="2"/>
      <x:c r="I25" s="2"/>
      <x:c r="J25" s="2"/>
      <x:c r="K25" s="2"/>
      <x:c r="L25" s="2"/>
      <x:c r="M25" s="2"/>
      <x:c r="N25" s="2"/>
      <x:c r="O25" s="2"/>
    </x:row>
    <x:row r="26" ht="55" customHeight="1">
      <x:c r="A26" s="10" t="n">
        <x:v>1902</x:v>
      </x:c>
      <x:c r="B26" s="10" t="n">
        <x:v>77716</x:v>
      </x:c>
      <x:c r="C26" s="10" t="n">
        <x:v>422754</x:v>
      </x:c>
      <x:c r="D26" s="10" t="n">
        <x:v>500470</x:v>
      </x:c>
      <x:c r="E26" s="10" t="n">
        <x:v>499123</x:v>
      </x:c>
      <x:c r="F26" s="15" t="str">
        <x:v>Общая таблица: 01.01.1903. Дата общей таблицы. Таблица оседлого/кочевого отдельно не датирована.</x:v>
      </x:c>
      <x:c r="G26" s="15" t="str">
        <x:v>Дата общей таблицы. Таблица оседлого/кочевого отдельно не датирована.</x:v>
      </x:c>
      <x:c r="H26" s="2"/>
      <x:c r="I26" s="2"/>
      <x:c r="J26" s="2"/>
      <x:c r="K26" s="2"/>
      <x:c r="L26" s="2"/>
      <x:c r="M26" s="2"/>
      <x:c r="N26" s="2"/>
      <x:c r="O26" s="2"/>
    </x:row>
    <x:row r="27" ht="55" customHeight="1">
      <x:c r="A27" s="9" t="n">
        <x:v>1903</x:v>
      </x:c>
      <x:c r="B27" s="9" t="n">
        <x:v>83008</x:v>
      </x:c>
      <x:c r="C27" s="9" t="n">
        <x:v>420623</x:v>
      </x:c>
      <x:c r="D27" s="9" t="n">
        <x:v>503631</x:v>
      </x:c>
      <x:c r="E27" s="9" t="n">
        <x:v>514745</x:v>
      </x:c>
      <x:c r="F27" s="14" t="str">
        <x:v>Общая таблица: 01.01.1904. Дата общей таблицы. Таблица оседлого/кочевого отдельно не датирована.</x:v>
      </x:c>
      <x:c r="G27" s="14" t="str">
        <x:v>Дата общей таблицы. Таблица оседлого/кочевого отдельно не датирована.</x:v>
      </x:c>
      <x:c r="H27" s="2"/>
      <x:c r="I27" s="2"/>
      <x:c r="J27" s="2"/>
      <x:c r="K27" s="2"/>
      <x:c r="L27" s="2"/>
      <x:c r="M27" s="2"/>
      <x:c r="N27" s="2"/>
      <x:c r="O27" s="2"/>
    </x:row>
    <x:row r="28" ht="55" customHeight="1">
      <x:c r="A28" s="10" t="n">
        <x:v>1904</x:v>
      </x:c>
      <x:c r="B28" s="10" t="n">
        <x:v>100095</x:v>
      </x:c>
      <x:c r="C28" s="10" t="n">
        <x:v>435735</x:v>
      </x:c>
      <x:c r="D28" s="10" t="n">
        <x:v>535830</x:v>
      </x:c>
      <x:c r="E28" s="10" t="n">
        <x:v>533032</x:v>
      </x:c>
      <x:c r="F28" s="15" t="str">
        <x:v>Общая таблица: 01.01.1904. Напечатано начало отчётного года. Возможна ошибка даты; молча не исправлено.</x:v>
      </x:c>
      <x:c r="G28" s="15" t="str">
        <x:v>Напечатано начало отчётного года. Возможна ошибка даты; молча не исправлено.</x:v>
      </x:c>
      <x:c r="H28" s="2"/>
      <x:c r="I28" s="2"/>
      <x:c r="J28" s="2"/>
      <x:c r="K28" s="2"/>
      <x:c r="L28" s="2"/>
      <x:c r="M28" s="2"/>
      <x:c r="N28" s="2"/>
      <x:c r="O28" s="2"/>
    </x:row>
    <x:row r="29" ht="55" customHeight="1">
      <x:c r="A29" s="9" t="n">
        <x:v>1905</x:v>
      </x:c>
      <x:c r="B29" s="9" t="n">
        <x:v>123913</x:v>
      </x:c>
      <x:c r="C29" s="9" t="n">
        <x:v>421550</x:v>
      </x:c>
      <x:c r="D29" s="9" t="n">
        <x:v>545463</x:v>
      </x:c>
      <x:c r="E29" s="9" t="n">
        <x:v>559965</x:v>
      </x:c>
      <x:c r="F29" s="14" t="str">
        <x:v>Общая таблица: 01.01.1905. Напечатано начало отчётного года. Возможна ошибка даты; молча не исправлено.</x:v>
      </x:c>
      <x:c r="G29" s="14" t="str">
        <x:v>Напечатано начало отчётного года. Возможна ошибка даты; молча не исправлено.</x:v>
      </x:c>
      <x:c r="H29" s="2"/>
      <x:c r="I29" s="2"/>
      <x:c r="J29" s="2"/>
      <x:c r="K29" s="2"/>
      <x:c r="L29" s="2"/>
      <x:c r="M29" s="2"/>
      <x:c r="N29" s="2"/>
      <x:c r="O29" s="2"/>
    </x:row>
    <x:row r="30" ht="55" customHeight="1">
      <x:c r="A30" s="10" t="n">
        <x:v>1906</x:v>
      </x:c>
      <x:c r="B30" s="10" t="n">
        <x:v>146454</x:v>
      </x:c>
      <x:c r="C30" s="10" t="n">
        <x:v>440608</x:v>
      </x:c>
      <x:c r="D30" s="10" t="n">
        <x:v>587062</x:v>
      </x:c>
      <x:c r="E30" s="10" t="n">
        <x:v>586051</x:v>
      </x:c>
      <x:c r="F30" s="15" t="str">
        <x:v>Общая таблица: 01.01.1907. Дата общей таблицы. Таблица оседлого/кочевого отдельно не датирована.</x:v>
      </x:c>
      <x:c r="G30" s="15" t="str">
        <x:v>Дата общей таблицы. Таблица оседлого/кочевого отдельно не датирована.</x:v>
      </x:c>
      <x:c r="H30" s="2"/>
      <x:c r="I30" s="2"/>
      <x:c r="J30" s="2"/>
      <x:c r="K30" s="2"/>
      <x:c r="L30" s="2"/>
      <x:c r="M30" s="2"/>
      <x:c r="N30" s="2"/>
      <x:c r="O30" s="2"/>
    </x:row>
    <x:row r="31" ht="55" customHeight="1">
      <x:c r="A31" s="9" t="n">
        <x:v>1907</x:v>
      </x:c>
      <x:c r="B31" s="9" t="n">
        <x:v>155629</x:v>
      </x:c>
      <x:c r="C31" s="9" t="n">
        <x:v>441195</x:v>
      </x:c>
      <x:c r="D31" s="9" t="n">
        <x:v>596824</x:v>
      </x:c>
      <x:c r="E31" s="9" t="n">
        <x:v>597824</x:v>
      </x:c>
      <x:c r="F31" s="14" t="str">
        <x:v>Общая таблица: 01.01.1908. Дата общей таблицы. Таблица оседлого/кочевого отдельно не датирована.</x:v>
      </x:c>
      <x:c r="G31" s="14" t="str">
        <x:v>Дата общей таблицы. Таблица оседлого/кочевого отдельно не датирована.</x:v>
      </x:c>
      <x:c r="H31" s="2"/>
      <x:c r="I31" s="2"/>
      <x:c r="J31" s="2"/>
      <x:c r="K31" s="2"/>
      <x:c r="L31" s="2"/>
      <x:c r="M31" s="2"/>
      <x:c r="N31" s="2"/>
      <x:c r="O31" s="2"/>
    </x:row>
    <x:row r="32" ht="55" customHeight="1">
      <x:c r="A32" s="10" t="n">
        <x:v>1908</x:v>
      </x:c>
      <x:c r="B32" s="10" t="n">
        <x:v>175725</x:v>
      </x:c>
      <x:c r="C32" s="10" t="n">
        <x:v>438446</x:v>
      </x:c>
      <x:c r="D32" s="10" t="n">
        <x:v>614171</x:v>
      </x:c>
      <x:c r="E32" s="10" t="n">
        <x:v>614171</x:v>
      </x:c>
      <x:c r="F32" s="15" t="str">
        <x:v>Общая таблица: 01.01.1909. Дата общей таблицы. Таблица оседлого/кочевого отдельно не датирована.</x:v>
      </x:c>
      <x:c r="G32" s="15" t="str">
        <x:v>Две версии движения; см. «Детализация».</x:v>
      </x:c>
      <x:c r="H32" s="2"/>
      <x:c r="I32" s="2"/>
      <x:c r="J32" s="2"/>
      <x:c r="K32" s="2"/>
      <x:c r="L32" s="2"/>
      <x:c r="M32" s="2"/>
      <x:c r="N32" s="2"/>
      <x:c r="O32" s="2"/>
    </x:row>
    <x:row r="33" ht="55" customHeight="1">
      <x:c r="A33" s="9" t="n">
        <x:v>1909</x:v>
      </x:c>
      <x:c r="B33" s="9" t="n">
        <x:v>227760</x:v>
      </x:c>
      <x:c r="C33" s="9" t="n">
        <x:v>452750</x:v>
      </x:c>
      <x:c r="D33" s="9" t="n">
        <x:v>680510</x:v>
      </x:c>
      <x:c r="E33" s="9" t="n">
        <x:v>680510</x:v>
      </x:c>
      <x:c r="F33" s="14" t="str">
        <x:v>Общая таблица: 01.01.1910. Дата прямо указана в источнике.</x:v>
      </x:c>
      <x:c r="G33" s="14" t="str">
        <x:v>Начало 1909: 652 041; оценка 1908 на ту же дату: 614 171.</x:v>
      </x:c>
      <x:c r="H33" s="2"/>
      <x:c r="I33" s="2"/>
      <x:c r="J33" s="2"/>
      <x:c r="K33" s="2"/>
      <x:c r="L33" s="2"/>
      <x:c r="M33" s="2"/>
      <x:c r="N33" s="2"/>
      <x:c r="O33" s="2"/>
    </x:row>
    <x:row r="34" ht="55" customHeight="1">
      <x:c r="A34" s="10" t="n">
        <x:v>1910</x:v>
      </x:c>
      <x:c r="B34" s="10" t="n">
        <x:v>250872</x:v>
      </x:c>
      <x:c r="C34" s="10" t="n">
        <x:v>461743</x:v>
      </x:c>
      <x:c r="D34" s="10" t="n">
        <x:v>712615</x:v>
      </x:c>
      <x:c r="E34" s="10"/>
      <x:c r="F34" s="15" t="str">
        <x:v>01.01.1911</x:v>
      </x:c>
      <x:c r="G34" s="15" t="str">
        <x:v>н/д</x:v>
      </x:c>
      <x:c r="H34" s="2"/>
      <x:c r="I34" s="2"/>
      <x:c r="J34" s="2"/>
      <x:c r="K34" s="2"/>
      <x:c r="L34" s="2"/>
      <x:c r="M34" s="2"/>
      <x:c r="N34" s="2"/>
      <x:c r="O34" s="2"/>
    </x:row>
    <x:row r="35" ht="55" customHeight="1">
      <x:c r="A35" s="9" t="n">
        <x:v>1911</x:v>
      </x:c>
      <x:c r="B35" s="9" t="n">
        <x:v>279034</x:v>
      </x:c>
      <x:c r="C35" s="9" t="n">
        <x:v>470109</x:v>
      </x:c>
      <x:c r="D35" s="9" t="n">
        <x:v>749143</x:v>
      </x:c>
      <x:c r="E35" s="9"/>
      <x:c r="F35" s="14" t="str">
        <x:v>01.01.1912</x:v>
      </x:c>
      <x:c r="G35" s="14" t="str">
        <x:v>н/д</x:v>
      </x:c>
      <x:c r="H35" s="2"/>
      <x:c r="I35" s="2"/>
      <x:c r="J35" s="2"/>
      <x:c r="K35" s="2"/>
      <x:c r="L35" s="2"/>
      <x:c r="M35" s="2"/>
      <x:c r="N35" s="2"/>
      <x:c r="O35" s="2"/>
    </x:row>
    <x:row r="36" ht="55" customHeight="1">
      <x:c r="A36" s="10" t="n">
        <x:v>1912</x:v>
      </x:c>
      <x:c r="B36" s="10" t="n">
        <x:v>318168</x:v>
      </x:c>
      <x:c r="C36" s="10" t="n">
        <x:v>480569</x:v>
      </x:c>
      <x:c r="D36" s="10" t="n">
        <x:v>798737</x:v>
      </x:c>
      <x:c r="E36" s="10"/>
      <x:c r="F36" s="15" t="str">
        <x:v>01.01.1913</x:v>
      </x:c>
      <x:c r="G36" s="15" t="str">
        <x:v>Выбытие: принято объяснённое отнесение групп; буквальные заголовки сохранены.</x:v>
      </x:c>
      <x:c r="H36" s="2"/>
      <x:c r="I36" s="2"/>
      <x:c r="J36" s="2"/>
      <x:c r="K36" s="2"/>
      <x:c r="L36" s="2"/>
      <x:c r="M36" s="2"/>
      <x:c r="N36" s="2"/>
      <x:c r="O36" s="2"/>
    </x:row>
    <x:row r="37" ht="55" customHeight="1">
      <x:c r="A37" s="9" t="n">
        <x:v>1913</x:v>
      </x:c>
      <x:c r="B37" s="9" t="n">
        <x:v>334968</x:v>
      </x:c>
      <x:c r="C37" s="9" t="n">
        <x:v>488917</x:v>
      </x:c>
      <x:c r="D37" s="9" t="n">
        <x:v>823885</x:v>
      </x:c>
      <x:c r="E37" s="9"/>
      <x:c r="F37" s="14" t="str">
        <x:v>01.01.1914</x:v>
      </x:c>
      <x:c r="G37" s="14" t="str">
        <x:v>Чулаксай: остаток баланса 1 144.</x:v>
      </x:c>
      <x:c r="H37" s="2"/>
      <x:c r="I37" s="2"/>
      <x:c r="J37" s="2"/>
      <x:c r="K37" s="2"/>
      <x:c r="L37" s="2"/>
      <x:c r="M37" s="2"/>
      <x:c r="N37" s="2"/>
      <x:c r="O37" s="2"/>
    </x:row>
    <x:row r="38" ht="55" customHeight="1">
      <x:c r="A38" s="10" t="n">
        <x:v>1914</x:v>
      </x:c>
      <x:c r="B38" s="10" t="n">
        <x:v>343890</x:v>
      </x:c>
      <x:c r="C38" s="10" t="n">
        <x:v>498516</x:v>
      </x:c>
      <x:c r="D38" s="10" t="n">
        <x:v>842406</x:v>
      </x:c>
      <x:c r="E38" s="10"/>
      <x:c r="F38" s="15" t="str">
        <x:v>01.01.1915</x:v>
      </x:c>
      <x:c r="G38" s="15" t="str">
        <x:v>н/д</x:v>
      </x:c>
      <x:c r="H38" s="2"/>
      <x:c r="I38" s="2"/>
      <x:c r="J38" s="2"/>
      <x:c r="K38" s="2"/>
      <x:c r="L38" s="2"/>
      <x:c r="M38" s="2"/>
      <x:c r="N38" s="2"/>
      <x:c r="O38" s="2"/>
    </x:row>
    <x:row r="39" ht="55" customHeight="1">
      <x:c r="A39" s="9" t="n">
        <x:v>1915</x:v>
      </x:c>
      <x:c r="B39" s="9" t="n">
        <x:v>347278</x:v>
      </x:c>
      <x:c r="C39" s="9" t="n">
        <x:v>507338</x:v>
      </x:c>
      <x:c r="D39" s="9" t="n">
        <x:v>854616</x:v>
      </x:c>
      <x:c r="E39" s="9"/>
      <x:c r="F39" s="14" t="str">
        <x:v>01.01.1916</x:v>
      </x:c>
      <x:c r="G39" s="14" t="str">
        <x:v>Беженский учёт не суммируется с обычным переселением.</x:v>
      </x:c>
      <x:c r="H39" s="2"/>
      <x:c r="I39" s="2"/>
      <x:c r="J39" s="2"/>
      <x:c r="K39" s="2"/>
      <x:c r="L39" s="2"/>
      <x:c r="M39" s="2"/>
      <x:c r="N39" s="2"/>
      <x:c r="O39" s="2"/>
    </x:row>
    <x:row r="40" ht="23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</x:row>
    <x:row r="41" ht="23" customHeight="1">
      <x:c r="A41" s="2" t="str">
        <x:v>Источник основной таблицы: предоставленные Turgaiskaia_1881_1915.html и XLSX, листы «Сводка», «Примечания».</x:v>
      </x:c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</x:row>
    <x:row r="42" ht="23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</x:row>
    <x:row r="43" ht="23" customHeight="1">
      <x:c r="A43" s="3" t="str">
        <x:v>Перепись, пересмотр 1909 года и дополнительные числа</x:v>
      </x:c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</x:row>
    <x:row r="44" ht="36" customHeight="1">
      <x:c r="A44" s="7" t="str">
        <x:v>Показатель</x:v>
      </x:c>
      <x:c r="B44" s="7" t="str">
        <x:v>Значение</x:v>
      </x:c>
      <x:c r="C44" s="7" t="str">
        <x:v>Источник</x:v>
      </x:c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</x:row>
    <x:row r="45" ht="57" customHeight="1">
      <x:c r="A45" s="12" t="str">
        <x:v>Наличное население, 28.01.1897</x:v>
      </x:c>
      <x:c r="B45" s="8" t="n">
        <x:v>453416</x:v>
      </x:c>
      <x:c r="C45" s="12" t="str">
        <x:v>Перепись, т. I, табл. I, с. 10–11, PDF 35 RAW</x:v>
      </x:c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</x:row>
    <x:row r="46" ht="57" customHeight="1">
      <x:c r="A46" s="12" t="str">
        <x:v>Постоянное население, 28.01.1897</x:v>
      </x:c>
      <x:c r="B46" s="8" t="n">
        <x:v>454612</x:v>
      </x:c>
      <x:c r="C46" s="12" t="str">
        <x:v>Там же</x:v>
      </x:c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</x:row>
    <x:row r="47" ht="57" customHeight="1">
      <x:c r="A47" s="12" t="str">
        <x:v>Казахский родной язык</x:v>
      </x:c>
      <x:c r="B47" s="8" t="n">
        <x:v>410904</x:v>
      </x:c>
      <x:c r="C47" s="12" t="str">
        <x:v>Перепись, т. II, обзор, с. XXV, PDF 47 RAW</x:v>
      </x:c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</x:row>
    <x:row r="48" ht="57" customHeight="1">
      <x:c r="A48" s="12" t="str">
        <x:v>Все хозяйства</x:v>
      </x:c>
      <x:c r="B48" s="8" t="n">
        <x:v>82209</x:v>
      </x:c>
      <x:c r="C48" s="12" t="str">
        <x:v>Перепись, т. I, табл. II, с. 24–25, PDF 42 RAW</x:v>
      </x:c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</x:row>
    <x:row r="49" ht="57" customHeight="1">
      <x:c r="A49" s="12" t="str">
        <x:v>Частные хозяйства</x:v>
      </x:c>
      <x:c r="B49" s="8" t="n">
        <x:v>82164</x:v>
      </x:c>
      <x:c r="C49" s="12" t="str">
        <x:v>Перепись, т. I, табл. II, с. 26–27, PDF 43 RAW</x:v>
      </x:c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</x:row>
    <x:row r="50" ht="57" customHeight="1">
      <x:c r="A50" s="12" t="str">
        <x:v>Людей в частных хозяйствах</x:v>
      </x:c>
      <x:c r="B50" s="8" t="n">
        <x:v>452346</x:v>
      </x:c>
      <x:c r="C50" s="12" t="str">
        <x:v>Там же: 237071 + 215275</x:v>
      </x:c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</x:row>
    <x:row r="51" ht="57" customHeight="1">
      <x:c r="A51" s="12" t="str">
        <x:v>Городское население</x:v>
      </x:c>
      <x:c r="B51" s="8" t="n">
        <x:v>19530</x:v>
      </x:c>
      <x:c r="C51" s="12" t="str">
        <x:v>Перепись, т. I, табл. II, с. 32–33, PDF 46 RAW</x:v>
      </x:c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</x:row>
    <x:row r="52" ht="57" customHeight="1">
      <x:c r="A52" s="12" t="str">
        <x:v>Городские хозяйства</x:v>
      </x:c>
      <x:c r="B52" s="8" t="n">
        <x:v>3397</x:v>
      </x:c>
      <x:c r="C52" s="12" t="str">
        <x:v>Там же</x:v>
      </x:c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</x:row>
    <x:row r="53" ht="57" customHeight="1">
      <x:c r="A53" s="12" t="str">
        <x:v>Оседлое на 01.01.1909, пересмотр</x:v>
      </x:c>
      <x:c r="B53" s="8" t="n">
        <x:v>206751</x:v>
      </x:c>
      <x:c r="C53" s="12" t="str">
        <x:v>Сводка; Обзор 1909, с. 13, PDF 16, табл. 3</x:v>
      </x:c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</x:row>
    <x:row r="54" ht="57" customHeight="1">
      <x:c r="A54" s="12" t="str">
        <x:v>Кочевое на 01.01.1909, пересмотр</x:v>
      </x:c>
      <x:c r="B54" s="8" t="n">
        <x:v>445290</x:v>
      </x:c>
      <x:c r="C54" s="12" t="str">
        <x:v>Там же</x:v>
      </x:c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</x:row>
    <x:row r="55" ht="57" customHeight="1">
      <x:c r="A55" s="12" t="str">
        <x:v>Указанный прирост оседлого, 1881</x:v>
      </x:c>
      <x:c r="B55" s="8" t="n">
        <x:v>1326</x:v>
      </x:c>
      <x:c r="C55" s="12" t="str">
        <x:v>Сводка, примечание к 1881: Обзор, с. 7–8, PDF 9–10</x:v>
      </x:c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</x:row>
    <x:row r="56" ht="57" customHeight="1">
      <x:c r="A56" s="12" t="str">
        <x:v>Общий итог на 01.01.1897</x:v>
      </x:c>
      <x:c r="B56" s="8" t="n">
        <x:v>421688</x:v>
      </x:c>
      <x:c r="C56" s="12" t="str">
        <x:v>Обзор 1896; сводка, население</x:v>
      </x:c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</x:row>
    <x:row r="57" ht="57" customHeight="1">
      <x:c r="A57" s="12" t="str">
        <x:v>Кочевое на 01.01.1897</x:v>
      </x:c>
      <x:c r="B57" s="8" t="n">
        <x:v>388344</x:v>
      </x:c>
      <x:c r="C57" s="12" t="str">
        <x:v>Там же</x:v>
      </x:c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</x:row>
    <x:row r="58" ht="57" customHeight="1">
      <x:c r="A58" s="12" t="str">
        <x:v>Оседлое на 01.01.1897</x:v>
      </x:c>
      <x:c r="B58" s="8" t="n">
        <x:v>33344</x:v>
      </x:c>
      <x:c r="C58" s="12" t="str">
        <x:v>Там же</x:v>
      </x:c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</x:row>
    <x:row r="59" ht="57" customHeight="1">
      <x:c r="A59" s="12" t="str">
        <x:v>Дата переписи, десятичный год</x:v>
      </x:c>
      <x:c r="B59" s="16" t="n">
        <x:f>1897+27/365</x:f>
        <x:v>1897.0739726027398</x:v>
      </x:c>
      <x:c r="C59" s="12" t="str">
        <x:v>1897 + 27/365; календарь источника</x:v>
      </x:c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</x:row>
    <x:row r="60" ht="23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</x:row>
    <x:row r="61" ht="23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</x:row>
  </x:sheetData>
  <x:pageMargins left="0.7" right="0.7" top="0.75" bottom="0.75" header="0.3" footer="0.3"/>
</x:worksheet>
</file>