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63304b542d4d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ценка" sheetId="1" r:id="Re922ba2e909f4d4b"/>
    <x:sheet xmlns:r="http://schemas.openxmlformats.org/officeDocument/2006/relationships" name="Параметры" sheetId="2" r:id="R1a0bf71f391f4c3c"/>
    <x:sheet xmlns:r="http://schemas.openxmlformats.org/officeDocument/2006/relationships" name="Расчёт" sheetId="3" r:id="R9b19c850b5a74c2b"/>
    <x:sheet xmlns:r="http://schemas.openxmlformats.org/officeDocument/2006/relationships" name="Источники" sheetId="4" r:id="Rf0976b1104c04e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#,##0.0"/>
    <x:numFmt numFmtId="202" formatCode="#,##0.00"/>
    <x:numFmt numFmtId="203" formatCode="0"/>
    <x:numFmt numFmtId="204" formatCode="0.00%"/>
    <x:numFmt numFmtId="205" formatCode="0.00"/>
  </x:numFmts>
  <x:fonts count="6">
    <x:font>
      <x:sz val="11"/>
      <x:name val="Carlito"/>
    </x:font>
    <x:font>
      <x:sz val="10"/>
      <x:color rgb="FF1B2F40"/>
      <x:name val="Arial"/>
    </x:font>
    <x:font>
      <x:b/>
      <x:sz val="15"/>
      <x:color rgb="FF174D78"/>
      <x:name val="Arial"/>
    </x:font>
    <x:font>
      <x:sz val="10"/>
      <x:color rgb="FF52636F"/>
      <x:name val="Arial"/>
    </x:font>
    <x:font>
      <x:b/>
      <x:sz val="10"/>
      <x:color rgb="FFFFFFFF"/>
      <x:name val="Arial"/>
    </x:font>
    <x:font>
      <x:b/>
      <x:sz val="10"/>
      <x:color rgb="FF174D7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54D6B"/>
      </x:patternFill>
    </x:fill>
    <x:fill>
      <x:patternFill patternType="solid">
        <x:fgColor rgb="FFFFF3D5"/>
      </x:patternFill>
    </x:fill>
    <x:fill>
      <x:patternFill patternType="solid">
        <x:fgColor rgb="FFF0F5F9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ABFCE"/>
      </x:bottom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d671800c944482" /><Relationship Type="http://schemas.openxmlformats.org/officeDocument/2006/relationships/theme" Target="/xl/theme/theme1.xml" Id="R6dcd24588e864431" /><Relationship Type="http://schemas.microsoft.com/office/2022/11/relationships/FeaturePropertyBag" Target="/xl/featurePropertyBag/featurePropertyBag.xml" Id="Rdb85613fbf0e416f" /><Relationship Type="http://schemas.openxmlformats.org/officeDocument/2006/relationships/sharedStrings" Target="/xl/sharedStrings.xml" Id="R0745ce27899b4e6a" /><Relationship Type="http://schemas.openxmlformats.org/officeDocument/2006/relationships/worksheet" Target="/xl/worksheets/sheet1.xml" Id="Re922ba2e909f4d4b" /><Relationship Type="http://schemas.openxmlformats.org/officeDocument/2006/relationships/worksheet" Target="/xl/worksheets/sheet2.xml" Id="R1a0bf71f391f4c3c" /><Relationship Type="http://schemas.openxmlformats.org/officeDocument/2006/relationships/worksheet" Target="/xl/worksheets/sheet3.xml" Id="R9b19c850b5a74c2b" /><Relationship Type="http://schemas.openxmlformats.org/officeDocument/2006/relationships/worksheet" Target="/xl/worksheets/sheet4.xml" Id="Rf0976b1104c04e5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4D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4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3" t="str">
        <x:v>Уральская область: население, 1881–1915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4" t="str">
        <x:v>На 1 января, старый стиль. Человек обоего пола. Условная реконструкция.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5"/>
      <x:c r="B4" s="5"/>
      <x:c r="C4" s="5"/>
      <x:c r="D4" s="5"/>
      <x:c r="E4" s="5"/>
      <x:c r="F4" s="5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42" customHeight="1">
      <x:c r="A5" s="10" t="str">
        <x:v>Год</x:v>
      </x:c>
      <x:c r="B5" s="10" t="str">
        <x:v>Центральная оценка</x:v>
      </x:c>
      <x:c r="C5" s="10" t="str">
        <x:v>Коридор: нижняя</x:v>
      </x:c>
      <x:c r="D5" s="10" t="str">
        <x:v>Коридор: верхняя</x:v>
      </x:c>
      <x:c r="E5" s="10" t="str">
        <x:v>Обзор на эту дату</x:v>
      </x:c>
      <x:c r="F5" s="10" t="str">
        <x:v>Основание оценки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25" customHeight="1">
      <x:c r="A6" s="2" t="n">
        <x:v>1881</x:v>
      </x:c>
      <x:c r="B6" s="27" t="n">
        <x:f>ROUND('Расчёт'!L6/1000,0)*1000</x:f>
        <x:v>558000</x:v>
      </x:c>
      <x:c r="C6" s="11" t="n">
        <x:f>ROUNDDOWN('Расчёт'!N6/5000,0)*5000</x:f>
        <x:v>490000</x:v>
      </x:c>
      <x:c r="D6" s="11" t="n">
        <x:f>ROUNDUP('Расчёт'!O6/5000,0)*5000</x:f>
        <x:v>625000</x:v>
      </x:c>
      <x:c r="E6" s="14" t="str">
        <x:v>—</x:v>
      </x:c>
      <x:c r="F6" s="2" t="str">
        <x:v>Обратный расчёт от переписи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25" customHeight="1">
      <x:c r="A7" s="25" t="n">
        <x:v>1882</x:v>
      </x:c>
      <x:c r="B7" s="28" t="n">
        <x:f>ROUND('Расчёт'!L7/1000,0)*1000</x:f>
        <x:v>563000</x:v>
      </x:c>
      <x:c r="C7" s="26" t="n">
        <x:f>ROUNDDOWN('Расчёт'!N7/5000,0)*5000</x:f>
        <x:v>500000</x:v>
      </x:c>
      <x:c r="D7" s="26" t="n">
        <x:f>ROUNDUP('Расчёт'!O7/5000,0)*5000</x:f>
        <x:v>625000</x:v>
      </x:c>
      <x:c r="E7" s="29" t="str">
        <x:v>—</x:v>
      </x:c>
      <x:c r="F7" s="25" t="str">
        <x:v>Обратный расчёт от переписи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25" customHeight="1">
      <x:c r="A8" s="2" t="n">
        <x:v>1883</x:v>
      </x:c>
      <x:c r="B8" s="27" t="n">
        <x:f>ROUND('Расчёт'!L8/1000,0)*1000</x:f>
        <x:v>569000</x:v>
      </x:c>
      <x:c r="C8" s="11" t="n">
        <x:f>ROUNDDOWN('Расчёт'!N8/5000,0)*5000</x:f>
        <x:v>510000</x:v>
      </x:c>
      <x:c r="D8" s="11" t="n">
        <x:f>ROUNDUP('Расчёт'!O8/5000,0)*5000</x:f>
        <x:v>630000</x:v>
      </x:c>
      <x:c r="E8" s="14" t="str">
        <x:v>—</x:v>
      </x:c>
      <x:c r="F8" s="2" t="str">
        <x:v>Обратный расчёт от переписи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25" customHeight="1">
      <x:c r="A9" s="25" t="n">
        <x:v>1884</x:v>
      </x:c>
      <x:c r="B9" s="28" t="n">
        <x:f>ROUND('Расчёт'!L9/1000,0)*1000</x:f>
        <x:v>576000</x:v>
      </x:c>
      <x:c r="C9" s="26" t="n">
        <x:f>ROUNDDOWN('Расчёт'!N9/5000,0)*5000</x:f>
        <x:v>520000</x:v>
      </x:c>
      <x:c r="D9" s="26" t="n">
        <x:f>ROUNDUP('Расчёт'!O9/5000,0)*5000</x:f>
        <x:v>635000</x:v>
      </x:c>
      <x:c r="E9" s="29" t="str">
        <x:v>—</x:v>
      </x:c>
      <x:c r="F9" s="25" t="str">
        <x:v>Обратный расчёт от переписи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25" customHeight="1">
      <x:c r="A10" s="2" t="n">
        <x:v>1885</x:v>
      </x:c>
      <x:c r="B10" s="27" t="n">
        <x:f>ROUND('Расчёт'!L10/1000,0)*1000</x:f>
        <x:v>584000</x:v>
      </x:c>
      <x:c r="C10" s="11" t="n">
        <x:f>ROUNDDOWN('Расчёт'!N10/5000,0)*5000</x:f>
        <x:v>530000</x:v>
      </x:c>
      <x:c r="D10" s="11" t="n">
        <x:f>ROUNDUP('Расчёт'!O10/5000,0)*5000</x:f>
        <x:v>635000</x:v>
      </x:c>
      <x:c r="E10" s="14" t="str">
        <x:v>—</x:v>
      </x:c>
      <x:c r="F10" s="2" t="str">
        <x:v>Обратный расчёт от переписи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25" customHeight="1">
      <x:c r="A11" s="25" t="n">
        <x:v>1886</x:v>
      </x:c>
      <x:c r="B11" s="28" t="n">
        <x:f>ROUND('Расчёт'!L11/1000,0)*1000</x:f>
        <x:v>590000</x:v>
      </x:c>
      <x:c r="C11" s="26" t="n">
        <x:f>ROUNDDOWN('Расчёт'!N11/5000,0)*5000</x:f>
        <x:v>540000</x:v>
      </x:c>
      <x:c r="D11" s="26" t="n">
        <x:f>ROUNDUP('Расчёт'!O11/5000,0)*5000</x:f>
        <x:v>640000</x:v>
      </x:c>
      <x:c r="E11" s="29" t="str">
        <x:v>—</x:v>
      </x:c>
      <x:c r="F11" s="25" t="str">
        <x:v>Обратный расчёт от переписи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25" customHeight="1">
      <x:c r="A12" s="2" t="n">
        <x:v>1887</x:v>
      </x:c>
      <x:c r="B12" s="27" t="n">
        <x:f>ROUND('Расчёт'!L12/1000,0)*1000</x:f>
        <x:v>597000</x:v>
      </x:c>
      <x:c r="C12" s="11" t="n">
        <x:f>ROUNDDOWN('Расчёт'!N12/5000,0)*5000</x:f>
        <x:v>550000</x:v>
      </x:c>
      <x:c r="D12" s="11" t="n">
        <x:f>ROUNDUP('Расчёт'!O12/5000,0)*5000</x:f>
        <x:v>645000</x:v>
      </x:c>
      <x:c r="E12" s="14" t="str">
        <x:v>—</x:v>
      </x:c>
      <x:c r="F12" s="2" t="str">
        <x:v>Обратный расчёт от переписи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25" customHeight="1">
      <x:c r="A13" s="25" t="n">
        <x:v>1888</x:v>
      </x:c>
      <x:c r="B13" s="28" t="n">
        <x:f>ROUND('Расчёт'!L13/1000,0)*1000</x:f>
        <x:v>604000</x:v>
      </x:c>
      <x:c r="C13" s="26" t="n">
        <x:f>ROUNDDOWN('Расчёт'!N13/5000,0)*5000</x:f>
        <x:v>560000</x:v>
      </x:c>
      <x:c r="D13" s="26" t="n">
        <x:f>ROUNDUP('Расчёт'!O13/5000,0)*5000</x:f>
        <x:v>650000</x:v>
      </x:c>
      <x:c r="E13" s="29" t="str">
        <x:v>—</x:v>
      </x:c>
      <x:c r="F13" s="25" t="str">
        <x:v>Обратный расчёт от переписи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25" customHeight="1">
      <x:c r="A14" s="2" t="n">
        <x:v>1889</x:v>
      </x:c>
      <x:c r="B14" s="27" t="n">
        <x:f>ROUND('Расчёт'!L14/1000,0)*1000</x:f>
        <x:v>611000</x:v>
      </x:c>
      <x:c r="C14" s="11" t="n">
        <x:f>ROUNDDOWN('Расчёт'!N14/5000,0)*5000</x:f>
        <x:v>570000</x:v>
      </x:c>
      <x:c r="D14" s="11" t="n">
        <x:f>ROUNDUP('Расчёт'!O14/5000,0)*5000</x:f>
        <x:v>650000</x:v>
      </x:c>
      <x:c r="E14" s="14" t="str">
        <x:v>—</x:v>
      </x:c>
      <x:c r="F14" s="2" t="str">
        <x:v>Обратный расчёт от переписи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25" customHeight="1">
      <x:c r="A15" s="25" t="n">
        <x:v>1890</x:v>
      </x:c>
      <x:c r="B15" s="28" t="n">
        <x:f>ROUND('Расчёт'!L15/1000,0)*1000</x:f>
        <x:v>618000</x:v>
      </x:c>
      <x:c r="C15" s="26" t="n">
        <x:f>ROUNDDOWN('Расчёт'!N15/5000,0)*5000</x:f>
        <x:v>580000</x:v>
      </x:c>
      <x:c r="D15" s="26" t="n">
        <x:f>ROUNDUP('Расчёт'!O15/5000,0)*5000</x:f>
        <x:v>655000</x:v>
      </x:c>
      <x:c r="E15" s="29" t="str">
        <x:v>—</x:v>
      </x:c>
      <x:c r="F15" s="25" t="str">
        <x:v>Обратный расчёт от переписи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25" customHeight="1">
      <x:c r="A16" s="2" t="n">
        <x:v>1891</x:v>
      </x:c>
      <x:c r="B16" s="27" t="n">
        <x:f>ROUND('Расчёт'!L16/1000,0)*1000</x:f>
        <x:v>627000</x:v>
      </x:c>
      <x:c r="C16" s="11" t="n">
        <x:f>ROUNDDOWN('Расчёт'!N16/5000,0)*5000</x:f>
        <x:v>590000</x:v>
      </x:c>
      <x:c r="D16" s="11" t="n">
        <x:f>ROUNDUP('Расчёт'!O16/5000,0)*5000</x:f>
        <x:v>660000</x:v>
      </x:c>
      <x:c r="E16" s="14" t="str">
        <x:v>—</x:v>
      </x:c>
      <x:c r="F16" s="2" t="str">
        <x:v>Обратный расчёт от переписи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25" customHeight="1">
      <x:c r="A17" s="25" t="n">
        <x:v>1892</x:v>
      </x:c>
      <x:c r="B17" s="28" t="n">
        <x:f>ROUND('Расчёт'!L17/1000,0)*1000</x:f>
        <x:v>625000</x:v>
      </x:c>
      <x:c r="C17" s="26" t="n">
        <x:f>ROUNDDOWN('Расчёт'!N17/5000,0)*5000</x:f>
        <x:v>590000</x:v>
      </x:c>
      <x:c r="D17" s="26" t="n">
        <x:f>ROUNDUP('Расчёт'!O17/5000,0)*5000</x:f>
        <x:v>655000</x:v>
      </x:c>
      <x:c r="E17" s="29" t="str">
        <x:v>—</x:v>
      </x:c>
      <x:c r="F17" s="25" t="str">
        <x:v>Обратный расчёт от переписи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25" customHeight="1">
      <x:c r="A18" s="2" t="n">
        <x:v>1893</x:v>
      </x:c>
      <x:c r="B18" s="27" t="n">
        <x:f>ROUND('Расчёт'!L18/1000,0)*1000</x:f>
        <x:v>611000</x:v>
      </x:c>
      <x:c r="C18" s="11" t="n">
        <x:f>ROUNDDOWN('Расчёт'!N18/5000,0)*5000</x:f>
        <x:v>580000</x:v>
      </x:c>
      <x:c r="D18" s="11" t="n">
        <x:f>ROUNDUP('Расчёт'!O18/5000,0)*5000</x:f>
        <x:v>640000</x:v>
      </x:c>
      <x:c r="E18" s="14" t="str">
        <x:v>—</x:v>
      </x:c>
      <x:c r="F18" s="2" t="str">
        <x:v>Обратный расчёт от переписи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25" customHeight="1">
      <x:c r="A19" s="25" t="n">
        <x:v>1894</x:v>
      </x:c>
      <x:c r="B19" s="28" t="n">
        <x:f>ROUND('Расчёт'!L19/1000,0)*1000</x:f>
        <x:v>619000</x:v>
      </x:c>
      <x:c r="C19" s="26" t="n">
        <x:f>ROUNDDOWN('Расчёт'!N19/5000,0)*5000</x:f>
        <x:v>590000</x:v>
      </x:c>
      <x:c r="D19" s="26" t="n">
        <x:f>ROUNDUP('Расчёт'!O19/5000,0)*5000</x:f>
        <x:v>645000</x:v>
      </x:c>
      <x:c r="E19" s="29" t="str">
        <x:v>—</x:v>
      </x:c>
      <x:c r="F19" s="25" t="str">
        <x:v>Обратный расчёт от переписи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25" customHeight="1">
      <x:c r="A20" s="2" t="n">
        <x:v>1895</x:v>
      </x:c>
      <x:c r="B20" s="27" t="n">
        <x:f>ROUND('Расчёт'!L20/1000,0)*1000</x:f>
        <x:v>626000</x:v>
      </x:c>
      <x:c r="C20" s="11" t="n">
        <x:f>ROUNDDOWN('Расчёт'!N20/5000,0)*5000</x:f>
        <x:v>600000</x:v>
      </x:c>
      <x:c r="D20" s="11" t="n">
        <x:f>ROUNDUP('Расчёт'!O20/5000,0)*5000</x:f>
        <x:v>650000</x:v>
      </x:c>
      <x:c r="E20" s="14" t="str">
        <x:v>—</x:v>
      </x:c>
      <x:c r="F20" s="2" t="str">
        <x:v>Обратный расчёт от переписи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25" customHeight="1">
      <x:c r="A21" s="25" t="n">
        <x:v>1896</x:v>
      </x:c>
      <x:c r="B21" s="28" t="n">
        <x:f>ROUND('Расчёт'!L21/1000,0)*1000</x:f>
        <x:v>635000</x:v>
      </x:c>
      <x:c r="C21" s="26" t="n">
        <x:f>ROUNDDOWN('Расчёт'!N21/5000,0)*5000</x:f>
        <x:v>615000</x:v>
      </x:c>
      <x:c r="D21" s="26" t="n">
        <x:f>ROUNDUP('Расчёт'!O21/5000,0)*5000</x:f>
        <x:v>655000</x:v>
      </x:c>
      <x:c r="E21" s="29" t="str">
        <x:v>—</x:v>
      </x:c>
      <x:c r="F21" s="25" t="str">
        <x:v>Обратный расчёт от переписи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25" customHeight="1">
      <x:c r="A22" s="2" t="n">
        <x:v>1897</x:v>
      </x:c>
      <x:c r="B22" s="27" t="n">
        <x:f>ROUND('Расчёт'!L22/1000,0)*1000</x:f>
        <x:v>644000</x:v>
      </x:c>
      <x:c r="C22" s="11" t="n">
        <x:f>ROUNDDOWN('Расчёт'!N22/5000,0)*5000</x:f>
        <x:v>625000</x:v>
      </x:c>
      <x:c r="D22" s="11" t="n">
        <x:f>ROUNDUP('Расчёт'!O22/5000,0)*5000</x:f>
        <x:v>660000</x:v>
      </x:c>
      <x:c r="E22" s="14" t="str">
        <x:v>—</x:v>
      </x:c>
      <x:c r="F22" s="2" t="str">
        <x:v>Перепись с переносом на 1 января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25" customHeight="1">
      <x:c r="A23" s="25" t="n">
        <x:v>1898</x:v>
      </x:c>
      <x:c r="B23" s="28" t="n">
        <x:f>ROUND('Расчёт'!L23/1000,0)*1000</x:f>
        <x:v>660000</x:v>
      </x:c>
      <x:c r="C23" s="26" t="n">
        <x:f>ROUNDDOWN('Расчёт'!N23/5000,0)*5000</x:f>
        <x:v>640000</x:v>
      </x:c>
      <x:c r="D23" s="26" t="n">
        <x:f>ROUNDUP('Расчёт'!O23/5000,0)*5000</x:f>
        <x:v>680000</x:v>
      </x:c>
      <x:c r="E23" s="29" t="str">
        <x:v>—</x:v>
      </x:c>
      <x:c r="F23" s="25" t="str">
        <x:v>Интерполяция и модельные поправки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25" customHeight="1">
      <x:c r="A24" s="2" t="n">
        <x:v>1899</x:v>
      </x:c>
      <x:c r="B24" s="27" t="n">
        <x:f>ROUND('Расчёт'!L24/1000,0)*1000</x:f>
        <x:v>676000</x:v>
      </x:c>
      <x:c r="C24" s="11" t="n">
        <x:f>ROUNDDOWN('Расчёт'!N24/5000,0)*5000</x:f>
        <x:v>655000</x:v>
      </x:c>
      <x:c r="D24" s="11" t="n">
        <x:f>ROUNDUP('Расчёт'!O24/5000,0)*5000</x:f>
        <x:v>700000</x:v>
      </x:c>
      <x:c r="E24" s="14" t="n">
        <x:f>'Источники'!D23</x:f>
        <x:v>665763</x:v>
      </x:c>
      <x:c r="F24" s="2" t="str">
        <x:v>Интерполяция и модельные поправки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25" customHeight="1">
      <x:c r="A25" s="25" t="n">
        <x:v>1900</x:v>
      </x:c>
      <x:c r="B25" s="28" t="n">
        <x:f>ROUND('Расчёт'!L25/1000,0)*1000</x:f>
        <x:v>687000</x:v>
      </x:c>
      <x:c r="C25" s="26" t="n">
        <x:f>ROUNDDOWN('Расчёт'!N25/5000,0)*5000</x:f>
        <x:v>660000</x:v>
      </x:c>
      <x:c r="D25" s="26" t="n">
        <x:f>ROUNDUP('Расчёт'!O25/5000,0)*5000</x:f>
        <x:v>710000</x:v>
      </x:c>
      <x:c r="E25" s="29" t="n">
        <x:f>'Источники'!D24</x:f>
        <x:v>683867</x:v>
      </x:c>
      <x:c r="F25" s="25" t="str">
        <x:v>Обзорная база и модельные поправки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25" customHeight="1">
      <x:c r="A26" s="2" t="n">
        <x:v>1901</x:v>
      </x:c>
      <x:c r="B26" s="27" t="n">
        <x:f>ROUND('Расчёт'!L26/1000,0)*1000</x:f>
        <x:v>695000</x:v>
      </x:c>
      <x:c r="C26" s="11" t="n">
        <x:f>ROUNDDOWN('Расчёт'!N26/5000,0)*5000</x:f>
        <x:v>670000</x:v>
      </x:c>
      <x:c r="D26" s="11" t="n">
        <x:f>ROUNDUP('Расчёт'!O26/5000,0)*5000</x:f>
        <x:v>725000</x:v>
      </x:c>
      <x:c r="E26" s="14" t="n">
        <x:f>'Источники'!D25</x:f>
        <x:v>691687</x:v>
      </x:c>
      <x:c r="F26" s="2" t="str">
        <x:v>Обзорная база и модельные поправки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25" customHeight="1">
      <x:c r="A27" s="25" t="n">
        <x:v>1902</x:v>
      </x:c>
      <x:c r="B27" s="28" t="n">
        <x:f>ROUND('Расчёт'!L27/1000,0)*1000</x:f>
        <x:v>705000</x:v>
      </x:c>
      <x:c r="C27" s="26" t="n">
        <x:f>ROUNDDOWN('Расчёт'!N27/5000,0)*5000</x:f>
        <x:v>675000</x:v>
      </x:c>
      <x:c r="D27" s="26" t="n">
        <x:f>ROUNDUP('Расчёт'!O27/5000,0)*5000</x:f>
        <x:v>735000</x:v>
      </x:c>
      <x:c r="E27" s="29" t="n">
        <x:f>'Источники'!D26</x:f>
        <x:v>700014</x:v>
      </x:c>
      <x:c r="F27" s="25" t="str">
        <x:v>Обзорная база и модельные поправки</x:v>
      </x:c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25" customHeight="1">
      <x:c r="A28" s="2" t="n">
        <x:v>1903</x:v>
      </x:c>
      <x:c r="B28" s="27" t="n">
        <x:f>ROUND('Расчёт'!L28/1000,0)*1000</x:f>
        <x:v>715000</x:v>
      </x:c>
      <x:c r="C28" s="11" t="n">
        <x:f>ROUNDDOWN('Расчёт'!N28/5000,0)*5000</x:f>
        <x:v>680000</x:v>
      </x:c>
      <x:c r="D28" s="11" t="n">
        <x:f>ROUNDUP('Расчёт'!O28/5000,0)*5000</x:f>
        <x:v>745000</x:v>
      </x:c>
      <x:c r="E28" s="14" t="n">
        <x:f>'Источники'!D27</x:f>
        <x:v>709165</x:v>
      </x:c>
      <x:c r="F28" s="2" t="str">
        <x:v>Обзорная база и модельные поправки</x:v>
      </x:c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25" customHeight="1">
      <x:c r="A29" s="25" t="n">
        <x:v>1904</x:v>
      </x:c>
      <x:c r="B29" s="28" t="n">
        <x:f>ROUND('Расчёт'!L29/1000,0)*1000</x:f>
        <x:v>726000</x:v>
      </x:c>
      <x:c r="C29" s="26" t="n">
        <x:f>ROUNDDOWN('Расчёт'!N29/5000,0)*5000</x:f>
        <x:v>690000</x:v>
      </x:c>
      <x:c r="D29" s="26" t="n">
        <x:f>ROUNDUP('Расчёт'!O29/5000,0)*5000</x:f>
        <x:v>760000</x:v>
      </x:c>
      <x:c r="E29" s="29" t="n">
        <x:f>'Источники'!D28</x:f>
        <x:v>719320</x:v>
      </x:c>
      <x:c r="F29" s="25" t="str">
        <x:v>Обзорная база и модельные поправки</x:v>
      </x:c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25" customHeight="1">
      <x:c r="A30" s="2" t="n">
        <x:v>1905</x:v>
      </x:c>
      <x:c r="B30" s="27" t="n">
        <x:f>ROUND('Расчёт'!L30/1000,0)*1000</x:f>
        <x:v>733000</x:v>
      </x:c>
      <x:c r="C30" s="11" t="n">
        <x:f>ROUNDDOWN('Расчёт'!N30/5000,0)*5000</x:f>
        <x:v>695000</x:v>
      </x:c>
      <x:c r="D30" s="11" t="n">
        <x:f>ROUNDUP('Расчёт'!O30/5000,0)*5000</x:f>
        <x:v>770000</x:v>
      </x:c>
      <x:c r="E30" s="14" t="n">
        <x:f>'Источники'!D29</x:f>
        <x:v>724639</x:v>
      </x:c>
      <x:c r="F30" s="2" t="str">
        <x:v>Обзорная база и модельные поправки</x:v>
      </x:c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25" customHeight="1">
      <x:c r="A31" s="25" t="n">
        <x:v>1906</x:v>
      </x:c>
      <x:c r="B31" s="28" t="n">
        <x:f>ROUND('Расчёт'!L31/1000,0)*1000</x:f>
        <x:v>741000</x:v>
      </x:c>
      <x:c r="C31" s="26" t="n">
        <x:f>ROUNDDOWN('Расчёт'!N31/5000,0)*5000</x:f>
        <x:v>700000</x:v>
      </x:c>
      <x:c r="D31" s="26" t="n">
        <x:f>ROUNDUP('Расчёт'!O31/5000,0)*5000</x:f>
        <x:v>780000</x:v>
      </x:c>
      <x:c r="E31" s="29" t="n">
        <x:f>'Источники'!D30</x:f>
        <x:v>729551</x:v>
      </x:c>
      <x:c r="F31" s="25" t="str">
        <x:v>Обзорная база и модельные поправки</x:v>
      </x:c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25" customHeight="1">
      <x:c r="A32" s="2" t="n">
        <x:v>1907</x:v>
      </x:c>
      <x:c r="B32" s="27" t="n">
        <x:f>ROUND('Расчёт'!L32/1000,0)*1000</x:f>
        <x:v>750000</x:v>
      </x:c>
      <x:c r="C32" s="11" t="n">
        <x:f>ROUNDDOWN('Расчёт'!N32/5000,0)*5000</x:f>
        <x:v>705000</x:v>
      </x:c>
      <x:c r="D32" s="11" t="n">
        <x:f>ROUNDUP('Расчёт'!O32/5000,0)*5000</x:f>
        <x:v>790000</x:v>
      </x:c>
      <x:c r="E32" s="14" t="n">
        <x:f>'Источники'!D31</x:f>
        <x:v>736765</x:v>
      </x:c>
      <x:c r="F32" s="2" t="str">
        <x:v>Обзорная база и модельные поправки</x:v>
      </x:c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25" customHeight="1">
      <x:c r="A33" s="25" t="n">
        <x:v>1908</x:v>
      </x:c>
      <x:c r="B33" s="28" t="n">
        <x:f>ROUND('Расчёт'!L33/1000,0)*1000</x:f>
        <x:v>759000</x:v>
      </x:c>
      <x:c r="C33" s="26" t="n">
        <x:f>ROUNDDOWN('Расчёт'!N33/5000,0)*5000</x:f>
        <x:v>715000</x:v>
      </x:c>
      <x:c r="D33" s="26" t="n">
        <x:f>ROUNDUP('Расчёт'!O33/5000,0)*5000</x:f>
        <x:v>805000</x:v>
      </x:c>
      <x:c r="E33" s="29" t="n">
        <x:f>'Источники'!D32</x:f>
        <x:v>743818</x:v>
      </x:c>
      <x:c r="F33" s="25" t="str">
        <x:v>Обзорная база и модельные поправки</x:v>
      </x:c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25" customHeight="1">
      <x:c r="A34" s="2" t="n">
        <x:v>1909</x:v>
      </x:c>
      <x:c r="B34" s="27" t="n">
        <x:f>ROUND('Расчёт'!L34/1000,0)*1000</x:f>
        <x:v>779000</x:v>
      </x:c>
      <x:c r="C34" s="11" t="n">
        <x:f>ROUNDDOWN('Расчёт'!N34/5000,0)*5000</x:f>
        <x:v>730000</x:v>
      </x:c>
      <x:c r="D34" s="11" t="n">
        <x:f>ROUNDUP('Расчёт'!O34/5000,0)*5000</x:f>
        <x:v>825000</x:v>
      </x:c>
      <x:c r="E34" s="14" t="n">
        <x:f>'Источники'!D33</x:f>
        <x:v>750228</x:v>
      </x:c>
      <x:c r="F34" s="2" t="str">
        <x:v>Обзорная база и модельные поправки</x:v>
      </x:c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25" customHeight="1">
      <x:c r="A35" s="25" t="n">
        <x:v>1910</x:v>
      </x:c>
      <x:c r="B35" s="28" t="n">
        <x:f>ROUND('Расчёт'!L35/1000,0)*1000</x:f>
        <x:v>797000</x:v>
      </x:c>
      <x:c r="C35" s="26" t="n">
        <x:f>ROUNDDOWN('Расчёт'!N35/5000,0)*5000</x:f>
        <x:v>745000</x:v>
      </x:c>
      <x:c r="D35" s="26" t="n">
        <x:f>ROUNDUP('Расчёт'!O35/5000,0)*5000</x:f>
        <x:v>845000</x:v>
      </x:c>
      <x:c r="E35" s="29" t="n">
        <x:f>'Источники'!D34</x:f>
        <x:v>777976</x:v>
      </x:c>
      <x:c r="F35" s="25" t="str">
        <x:v>Обзорная база и модельные поправки</x:v>
      </x:c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25" customHeight="1">
      <x:c r="A36" s="2" t="n">
        <x:v>1911</x:v>
      </x:c>
      <x:c r="B36" s="27" t="n">
        <x:f>ROUND('Расчёт'!L36/1000,0)*1000</x:f>
        <x:v>824000</x:v>
      </x:c>
      <x:c r="C36" s="11" t="n">
        <x:f>ROUNDDOWN('Расчёт'!N36/5000,0)*5000</x:f>
        <x:v>770000</x:v>
      </x:c>
      <x:c r="D36" s="11" t="n">
        <x:f>ROUNDUP('Расчёт'!O36/5000,0)*5000</x:f>
        <x:v>875000</x:v>
      </x:c>
      <x:c r="E36" s="14" t="n">
        <x:f>'Источники'!D35</x:f>
        <x:v>804245</x:v>
      </x:c>
      <x:c r="F36" s="2" t="str">
        <x:v>Обзорная база и модельные поправки</x:v>
      </x:c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25" customHeight="1">
      <x:c r="A37" s="25" t="n">
        <x:v>1912</x:v>
      </x:c>
      <x:c r="B37" s="28" t="n">
        <x:f>ROUND('Расчёт'!L37/1000,0)*1000</x:f>
        <x:v>837000</x:v>
      </x:c>
      <x:c r="C37" s="26" t="n">
        <x:f>ROUNDDOWN('Расчёт'!N37/5000,0)*5000</x:f>
        <x:v>780000</x:v>
      </x:c>
      <x:c r="D37" s="26" t="n">
        <x:f>ROUNDUP('Расчёт'!O37/5000,0)*5000</x:f>
        <x:v>890000</x:v>
      </x:c>
      <x:c r="E37" s="29" t="n">
        <x:f>'Источники'!D36</x:f>
        <x:v>813948</x:v>
      </x:c>
      <x:c r="F37" s="25" t="str">
        <x:v>Обзорная база и модельные поправки</x:v>
      </x:c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25" customHeight="1">
      <x:c r="A38" s="2" t="n">
        <x:v>1913</x:v>
      </x:c>
      <x:c r="B38" s="27" t="n">
        <x:f>ROUND('Расчёт'!L38/1000,0)*1000</x:f>
        <x:v>844000</x:v>
      </x:c>
      <x:c r="C38" s="11" t="n">
        <x:f>ROUNDDOWN('Расчёт'!N38/5000,0)*5000</x:f>
        <x:v>785000</x:v>
      </x:c>
      <x:c r="D38" s="11" t="n">
        <x:f>ROUNDUP('Расчёт'!O38/5000,0)*5000</x:f>
        <x:v>900000</x:v>
      </x:c>
      <x:c r="E38" s="14" t="n">
        <x:f>'Источники'!D37</x:f>
        <x:v>818260</x:v>
      </x:c>
      <x:c r="F38" s="2" t="str">
        <x:v>Обзорная база и модельные поправки</x:v>
      </x:c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25" customHeight="1">
      <x:c r="A39" s="25" t="n">
        <x:v>1914</x:v>
      </x:c>
      <x:c r="B39" s="28" t="n">
        <x:f>ROUND('Расчёт'!L39/1000,0)*1000</x:f>
        <x:v>864000</x:v>
      </x:c>
      <x:c r="C39" s="26" t="n">
        <x:f>ROUNDDOWN('Расчёт'!N39/5000,0)*5000</x:f>
        <x:v>805000</x:v>
      </x:c>
      <x:c r="D39" s="26" t="n">
        <x:f>ROUNDUP('Расчёт'!O39/5000,0)*5000</x:f>
        <x:v>925000</x:v>
      </x:c>
      <x:c r="E39" s="29" t="n">
        <x:f>'Источники'!D38</x:f>
        <x:v>835928</x:v>
      </x:c>
      <x:c r="F39" s="25" t="str">
        <x:v>Обзорная база и модельные поправки</x:v>
      </x:c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25" customHeight="1">
      <x:c r="A40" s="2" t="n">
        <x:v>1915</x:v>
      </x:c>
      <x:c r="B40" s="27" t="n">
        <x:f>ROUND('Расчёт'!L40/1000,0)*1000</x:f>
        <x:v>887000</x:v>
      </x:c>
      <x:c r="C40" s="11" t="n">
        <x:f>ROUNDDOWN('Расчёт'!N40/5000,0)*5000</x:f>
        <x:v>825000</x:v>
      </x:c>
      <x:c r="D40" s="11" t="n">
        <x:f>ROUNDUP('Расчёт'!O40/5000,0)*5000</x:f>
        <x:v>950000</x:v>
      </x:c>
      <x:c r="E40" s="14" t="n">
        <x:f>'Источники'!D39</x:f>
        <x:v>856522</x:v>
      </x:c>
      <x:c r="F40" s="2" t="str">
        <x:v>Обзорная база и модельные поправки</x:v>
      </x:c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4" t="str">
        <x:v>Коридор экспертный, не статистический доверительный интервал. Оценки округлены до 1 000, границы наружу до 5 000.</x:v>
      </x:c>
      <x:c r="B42" s="4"/>
      <x:c r="C42" s="4"/>
      <x:c r="D42" s="4"/>
      <x:c r="E42" s="4"/>
      <x:c r="F42" s="4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4" t="str">
        <x:v>До 1897 даты исходных оценок неизвестны. Изменения допущений могут сдвинуть результат на десятки тысяч.</x:v>
      </x:c>
      <x:c r="B43" s="4"/>
      <x:c r="C43" s="4"/>
      <x:c r="D43" s="4"/>
      <x:c r="E43" s="4"/>
      <x:c r="F43" s="4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4" t="str">
        <x:v>Начало 1915 использует обзор 1914. Обзор 1915 с итогом 866 946 относится к началу 1916 и в итоговый ряд не включён.</x:v>
      </x:c>
      <x:c r="B44" s="4"/>
      <x:c r="C44" s="4"/>
      <x:c r="D44" s="4"/>
      <x:c r="E44" s="4"/>
      <x:c r="F44" s="4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094B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4" hidden="0" customWidth="1"/>
    <x:col min="2" max="2" width="18" hidden="0" customWidth="1"/>
    <x:col min="3" max="3" width="16" hidden="0" customWidth="1"/>
    <x:col min="4" max="4" width="66" hidden="0" customWidth="1"/>
    <x:col min="5" max="5" width="6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3" t="str">
        <x:v>Предположения и калибровка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4" t="str">
        <x:v>Жёлтые числовые ячейки — выбранные допущения. Формулы калибровки используют только исходные сведения.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5"/>
      <x:c r="B4" s="5"/>
      <x:c r="C4" s="5"/>
      <x:c r="D4" s="5"/>
      <x:c r="E4" s="5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42" customHeight="1">
      <x:c r="A5" s="10" t="str">
        <x:v>Показатель</x:v>
      </x:c>
      <x:c r="B5" s="10" t="str">
        <x:v>Значение</x:v>
      </x:c>
      <x:c r="C5" s="10" t="str">
        <x:v>Единица</x:v>
      </x:c>
      <x:c r="D5" s="10" t="str">
        <x:v>Смысл и ограничение</x:v>
      </x:c>
      <x:c r="E5" s="10" t="str">
        <x:v>Основание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4" customHeight="1">
      <x:c r="A6" s="15" t="str">
        <x:v>Окончательный итог переписи</x:v>
      </x:c>
      <x:c r="B6" s="17" t="n">
        <x:v>645121</x:v>
      </x:c>
      <x:c r="C6" s="15" t="str">
        <x:v>чел.</x:v>
      </x:c>
      <x:c r="D6" s="15" t="str">
        <x:v>Наличное население 28 января 1897, старый стиль.</x:v>
      </x:c>
      <x:c r="E6" s="15" t="str">
        <x:v>Общий свод, т. I, с. 8; PDF 30.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44" customHeight="1">
      <x:c r="A7" s="15" t="str">
        <x:v>Предварительный итог переписи</x:v>
      </x:c>
      <x:c r="B7" s="17" t="n">
        <x:v>645429</x:v>
      </x:c>
      <x:c r="C7" s="15" t="str">
        <x:v>чел.</x:v>
      </x:c>
      <x:c r="D7" s="15" t="str">
        <x:v>База, использованная в обзорах.</x:v>
      </x:c>
      <x:c r="E7" s="15" t="str">
        <x:v>Предоставленная сводка, раздел 2, 1897.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44" customHeight="1">
      <x:c r="A8" s="15" t="str">
        <x:v>Оседлое, предварительная перепись</x:v>
      </x:c>
      <x:c r="B8" s="17" t="n">
        <x:v>219696</x:v>
      </x:c>
      <x:c r="C8" s="15" t="str">
        <x:v>чел.</x:v>
      </x:c>
      <x:c r="D8" s="15" t="str">
        <x:v>Технический компонент; состав отличается от ранних рубрик.</x:v>
      </x:c>
      <x:c r="E8" s="15" t="str">
        <x:v>Сводка; Обзор 1897, с. 1–2 / PDF 9–10.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44" customHeight="1">
      <x:c r="A9" s="15" t="str">
        <x:v>Кочевое, предварительная перепись</x:v>
      </x:c>
      <x:c r="B9" s="17" t="n">
        <x:v>425733</x:v>
      </x:c>
      <x:c r="C9" s="15" t="str">
        <x:v>чел.</x:v>
      </x:c>
      <x:c r="D9" s="15" t="str">
        <x:v>Технический компонент; не равно всему казахскому населению.</x:v>
      </x:c>
      <x:c r="E9" s="15" t="str">
        <x:v>Сводка; Обзор 1897, с. 1–2 / PDF 9–10.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44" customHeight="1">
      <x:c r="A10" s="15" t="str">
        <x:v>Постоянное население переписи</x:v>
      </x:c>
      <x:c r="B10" s="17" t="n">
        <x:v>646899</x:v>
      </x:c>
      <x:c r="C10" s="15" t="str">
        <x:v>чел.</x:v>
      </x:c>
      <x:c r="D10" s="15" t="str">
        <x:v>Справочно; не используется вместо наличного.</x:v>
      </x:c>
      <x:c r="E10" s="15" t="str">
        <x:v>Общий свод, т. I, с. 10–11; PDF 35.</x:v>
      </x:c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44" customHeight="1">
      <x:c r="A11" s="15" t="str">
        <x:v>Перенос якоря на 1 января</x:v>
      </x:c>
      <x:c r="B11" s="17" t="n">
        <x:v>27</x:v>
      </x:c>
      <x:c r="C11" s="15" t="str">
        <x:v>дней</x:v>
      </x:c>
      <x:c r="D11" s="15" t="str">
        <x:v>Предполагается равномерность годового изменения.</x:v>
      </x:c>
      <x:c r="E11" s="15" t="str">
        <x:v>28 января минус 1 января, один календарный стиль.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44" customHeight="1">
      <x:c r="A12" s="15" t="str">
        <x:v>Продолжительность 1897</x:v>
      </x:c>
      <x:c r="B12" s="17" t="n">
        <x:v>365</x:v>
      </x:c>
      <x:c r="C12" s="15" t="str">
        <x:v>дней</x:v>
      </x:c>
      <x:c r="D12" s="15" t="str">
        <x:v>Для переноса январского якоря.</x:v>
      </x:c>
      <x:c r="E12" s="15" t="str">
        <x:v>Календарь.</x:v>
      </x:c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44" customHeight="1">
      <x:c r="A13" s="15" t="str">
        <x:v>Поправка событий оседлых 1881–1887</x:v>
      </x:c>
      <x:c r="B13" s="20" t="n">
        <x:v>1.65</x:v>
      </x:c>
      <x:c r="C13" s="15" t="str">
        <x:v>раз</x:v>
      </x:c>
      <x:c r="D13" s="15" t="str">
        <x:v>Экспертное приближение, не измеренная полнота регистрации.</x:v>
      </x:c>
      <x:c r="E13" s="15" t="str">
        <x:v>Ориентир: отношение грубых интенсивностей событий, строка 38.</x:v>
      </x:c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44" customHeight="1">
      <x:c r="A14" s="15" t="str">
        <x:v>Неучтённое сальдо миграции до 1897</x:v>
      </x:c>
      <x:c r="B14" s="21" t="n">
        <x:v>1000</x:v>
      </x:c>
      <x:c r="C14" s="15" t="str">
        <x:v>чел./год</x:v>
      </x:c>
      <x:c r="D14" s="15" t="str">
        <x:v>Центральное допущение. Проверять 0–2 000.</x:v>
      </x:c>
      <x:c r="E14" s="15" t="str">
        <x:v>Выбранный параметр; годовой баланс в обзорах отсутствует.</x:v>
      </x:c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44" customHeight="1">
      <x:c r="A15" s="15" t="str">
        <x:v>Дополнительное сальдо 1897–1908</x:v>
      </x:c>
      <x:c r="B15" s="21" t="n">
        <x:v>1000</x:v>
      </x:c>
      <x:c r="C15" s="15" t="str">
        <x:v>чел./год</x:v>
      </x:c>
      <x:c r="D15" s="15" t="str">
        <x:v>Только предполагаемая часть, ещё не отражённая в базе.</x:v>
      </x:c>
      <x:c r="E15" s="15" t="str">
        <x:v>Выбранный параметр; оседание сезонных рабочих описано без числа.</x:v>
      </x:c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44" customHeight="1">
      <x:c r="A16" s="15" t="str">
        <x:v>Последний год дополнительного сальдо</x:v>
      </x:c>
      <x:c r="B16" s="21" t="n">
        <x:v>1908</x:v>
      </x:c>
      <x:c r="C16" s="15" t="str">
        <x:v>год</x:v>
      </x:c>
      <x:c r="D16" s="15" t="str">
        <x:v>После него поправка сохраняется, но не нарастает.</x:v>
      </x:c>
      <x:c r="E16" s="15" t="str">
        <x:v>Новые переселенцы отдельно отражаются в поздних обзорах.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44" customHeight="1">
      <x:c r="A17" s="15" t="str">
        <x:v>Вес поправки естественного движения</x:v>
      </x:c>
      <x:c r="B17" s="20" t="n">
        <x:v>0.5</x:v>
      </x:c>
      <x:c r="C17" s="15" t="str">
        <x:v>доля</x:v>
      </x:c>
      <x:c r="D17" s="15" t="str">
        <x:v>0 = опубликованная динамика; 1 = ранний обычный темп.</x:v>
      </x:c>
      <x:c r="E17" s="15" t="str">
        <x:v>Выбранный параметр; половина расхождения с ранним ориентиром.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44" customHeight="1">
      <x:c r="A18" s="15" t="str">
        <x:v>Первый год поправки движения</x:v>
      </x:c>
      <x:c r="B18" s="22" t="n">
        <x:v>1904</x:v>
      </x:c>
      <x:c r="C18" s="15" t="str">
        <x:v>год</x:v>
      </x:c>
      <x:c r="D18" s="15" t="str">
        <x:v>Накопленная поправка проявляется на 1 января следующего.</x:v>
      </x:c>
      <x:c r="E18" s="15" t="str">
        <x:v>Выбранная граница после калибровочного периода 1899–1903.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44" customHeight="1">
      <x:c r="A19" s="15" t="str">
        <x:v>Доля добавления 1909, отнесённая к 1908</x:v>
      </x:c>
      <x:c r="B19" s="20" t="n">
        <x:v>0.5</x:v>
      </x:c>
      <x:c r="C19" s="15" t="str">
        <x:v>доля</x:v>
      </x:c>
      <x:c r="D19" s="15" t="str">
        <x:v>Условный перенос по времени. Не наблюдённая миграция.</x:v>
      </x:c>
      <x:c r="E19" s="15" t="str">
        <x:v>Прямое исключение новых переселенцев в обзоре 1908.</x:v>
      </x:c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44" customHeight="1">
      <x:c r="A20" s="15" t="str">
        <x:v>Полуширина экспертного коридора у якоря</x:v>
      </x:c>
      <x:c r="B20" s="21" t="n">
        <x:v>15000</x:v>
      </x:c>
      <x:c r="C20" s="15" t="str">
        <x:v>чел.</x:v>
      </x:c>
      <x:c r="D20" s="15" t="str">
        <x:v>Не доверительный интервал и не измеренная ошибка переписи.</x:v>
      </x:c>
      <x:c r="E20" s="15" t="str">
        <x:v>Выбранный масштаб неопределённости.</x:v>
      </x:c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44" customHeight="1">
      <x:c r="A21" s="15" t="str">
        <x:v>Рост полуширины назад от 1897</x:v>
      </x:c>
      <x:c r="B21" s="21" t="n">
        <x:v>3000</x:v>
      </x:c>
      <x:c r="C21" s="15" t="str">
        <x:v>чел./год</x:v>
      </x:c>
      <x:c r="D21" s="15" t="str">
        <x:v>Линейное расширение экспертного коридора.</x:v>
      </x:c>
      <x:c r="E21" s="15" t="str">
        <x:v>Выбранный масштаб; см. чувствительность в HTML-отчёте.</x:v>
      </x:c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44" customHeight="1">
      <x:c r="A22" s="15" t="str">
        <x:v>Рост полуширины вперёд от 1897</x:v>
      </x:c>
      <x:c r="B22" s="21" t="n">
        <x:v>2500</x:v>
      </x:c>
      <x:c r="C22" s="15" t="str">
        <x:v>чел./год</x:v>
      </x:c>
      <x:c r="D22" s="15" t="str">
        <x:v>Линейное расширение экспертного коридора.</x:v>
      </x:c>
      <x:c r="E22" s="15" t="str">
        <x:v>Выбранный масштаб; см. чувствительность в HTML-отчёте.</x:v>
      </x:c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44" customHeight="1">
      <x:c r="A23" s="15" t="str">
        <x:v>Обычный прирост кочевого компонента</x:v>
      </x:c>
      <x:c r="B23" s="19" t="n">
        <x:f>SUM('Источники'!K24:K28)/SUM('Источники'!L24:L28)</x:f>
        <x:v>0.00941814863058345</x:v>
      </x:c>
      <x:c r="C23" s="15" t="str">
        <x:v>доля/год</x:v>
      </x:c>
      <x:c r="D23" s="15" t="str">
        <x:v>Взвешенная интенсивность за 1899–1903.</x:v>
      </x:c>
      <x:c r="E23" s="15" t="str">
        <x:v>Сумма B−D / сумма средних соседних кочевых численностей.</x:v>
      </x:c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44" customHeight="1">
      <x:c r="A24" s="15" t="str">
        <x:v>Кризисный темп 1891</x:v>
      </x:c>
      <x:c r="B24" s="19" t="n">
        <x:f>'Источники'!C16/'Источники'!C15-1</x:f>
        <x:v>-0.011723841598513585</x:v>
      </x:c>
      <x:c r="C24" s="15" t="str">
        <x:v>доля/год</x:v>
      </x:c>
      <x:c r="D24" s="15" t="str">
        <x:v>Предполагается, что кризисная часть спада реальна. Дата неточна.</x:v>
      </x:c>
      <x:c r="E24" s="15" t="str">
        <x:v>Изменение кочевой обзорной оценки 1891 к 1890.</x:v>
      </x:c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44" customHeight="1">
      <x:c r="A25" s="15" t="str">
        <x:v>Кризисный темп 1892</x:v>
      </x:c>
      <x:c r="B25" s="19" t="n">
        <x:f>'Источники'!C17/'Источники'!C16-1</x:f>
        <x:v>-0.033288559957056374</x:v>
      </x:c>
      <x:c r="C25" s="15" t="str">
        <x:v>доля/год</x:v>
      </x:c>
      <x:c r="D25" s="15" t="str">
        <x:v>Не независимая оценка смертности или миграции.</x:v>
      </x:c>
      <x:c r="E25" s="15" t="str">
        <x:v>Изменение кочевой обзорной оценки 1892 к 1891.</x:v>
      </x:c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44" customHeight="1">
      <x:c r="A26" s="15" t="str">
        <x:v>Прирост оседлых 1897</x:v>
      </x:c>
      <x:c r="B26" s="16" t="n">
        <x:f>'Источники'!J22</x:f>
        <x:v>4899</x:v>
      </x:c>
      <x:c r="C26" s="15" t="str">
        <x:v>чел.</x:v>
      </x:c>
      <x:c r="D26" s="15" t="str">
        <x:v>Опубликованные события.</x:v>
      </x:c>
      <x:c r="E26" s="15" t="str">
        <x:v>Источники, J22.</x:v>
      </x:c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44" customHeight="1">
      <x:c r="A27" s="15" t="str">
        <x:v>Прирост кочевых 1897 с досчётом</x:v>
      </x:c>
      <x:c r="B27" s="16" t="n">
        <x:f>'Источники'!K22+SUM('Источники'!Y6:Y7)</x:f>
        <x:v>5655</x:v>
      </x:c>
      <x:c r="C27" s="15" t="str">
        <x:v>чел.</x:v>
      </x:c>
      <x:c r="D27" s="15" t="str">
        <x:v>Включены два южных уезда; исправлена арифметическая ошибка на 100.</x:v>
      </x:c>
      <x:c r="E27" s="15" t="str">
        <x:v>Источники, K22 и Y6:Y7.</x:v>
      </x:c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44" customHeight="1">
      <x:c r="A28" s="15" t="str">
        <x:v>Прирост оседлых 1898</x:v>
      </x:c>
      <x:c r="B28" s="16" t="n">
        <x:f>'Источники'!J23</x:f>
        <x:v>4325</x:v>
      </x:c>
      <x:c r="C28" s="15" t="str">
        <x:v>чел.</x:v>
      </x:c>
      <x:c r="D28" s="15" t="str">
        <x:v>Опубликованные события.</x:v>
      </x:c>
      <x:c r="E28" s="15" t="str">
        <x:v>Источники, J23.</x:v>
      </x:c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44" customHeight="1">
      <x:c r="A29" s="15" t="str">
        <x:v>Прирост кочевых 1898 с досчётом</x:v>
      </x:c>
      <x:c r="B29" s="16" t="n">
        <x:f>'Источники'!K23+SUM('Источники'!Y8:Y9)</x:f>
        <x:v>6971</x:v>
      </x:c>
      <x:c r="C29" s="15" t="str">
        <x:v>чел.</x:v>
      </x:c>
      <x:c r="D29" s="15" t="str">
        <x:v>Включены два южных уезда.</x:v>
      </x:c>
      <x:c r="E29" s="15" t="str">
        <x:v>Источники, K23 и Y8:Y9.</x:v>
      </x:c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44" customHeight="1">
      <x:c r="A30" s="15" t="str">
        <x:v>Поправка предварительного итога</x:v>
      </x:c>
      <x:c r="B30" s="16" t="n">
        <x:f>B6-B7</x:f>
        <x:v>-308</x:v>
      </x:c>
      <x:c r="C30" s="15" t="str">
        <x:v>чел.</x:v>
      </x:c>
      <x:c r="D30" s="15" t="str">
        <x:v>Окончательный минус предварительный общий итог.</x:v>
      </x:c>
      <x:c r="E30" s="15" t="str">
        <x:v>Перепись и сводка.</x:v>
      </x:c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44" customHeight="1">
      <x:c r="A31" s="15" t="str">
        <x:v>Оседлый компонент на 01.01.1897</x:v>
      </x:c>
      <x:c r="B31" s="16" t="n">
        <x:f>B8*B6/B7-B11/B12*(B26+B14)</x:f>
        <x:v>219154.7962491338</x:v>
      </x:c>
      <x:c r="C31" s="15" t="str">
        <x:v>чел.</x:v>
      </x:c>
      <x:c r="D31" s="15" t="str">
        <x:v>Пропорциональное распределение общей поправки и перенос даты.</x:v>
      </x:c>
      <x:c r="E31" s="15" t="str">
        <x:v>Расчёт от переписи.</x:v>
      </x:c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44" customHeight="1">
      <x:c r="A32" s="15" t="str">
        <x:v>Кочевой компонент на 01.01.1897</x:v>
      </x:c>
      <x:c r="B32" s="16" t="n">
        <x:f>B9*B6/B7-B11/B12*B27</x:f>
        <x:v>425111.5242988114</x:v>
      </x:c>
      <x:c r="C32" s="15" t="str">
        <x:v>чел.</x:v>
      </x:c>
      <x:c r="D32" s="15" t="str">
        <x:v>Пропорциональное распределение общей поправки и перенос даты.</x:v>
      </x:c>
      <x:c r="E32" s="15" t="str">
        <x:v>Расчёт от переписи.</x:v>
      </x:c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44" customHeight="1">
      <x:c r="A33" s="15" t="str">
        <x:v>Базовый уровень на 01.01.1900</x:v>
      </x:c>
      <x:c r="B33" s="16" t="n">
        <x:f>'Источники'!D24+B30</x:f>
        <x:v>683559</x:v>
      </x:c>
      <x:c r="C33" s="15" t="str">
        <x:v>чел.</x:v>
      </x:c>
      <x:c r="D33" s="15" t="str">
        <x:v>Без дополнительных реконструкционных поправок.</x:v>
      </x:c>
      <x:c r="E33" s="15" t="str">
        <x:v>Обзор 1899 минус 308.</x:v>
      </x:c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44" customHeight="1">
      <x:c r="A34" s="15" t="str">
        <x:v>Распределяемый остаток 1897–1899</x:v>
      </x:c>
      <x:c r="B34" s="16" t="n">
        <x:f>(B33-SUM(B31:B32)-SUM(B26:B29)-SUM('Источники'!J24:K24))/3</x:f>
        <x:v>3790.893150684928</x:v>
      </x:c>
      <x:c r="C34" s="15" t="str">
        <x:v>чел./год</x:v>
      </x:c>
      <x:c r="D34" s="15" t="str">
        <x:v>Распределяется поровну поверх естественного движения. Не миграция.</x:v>
      </x:c>
      <x:c r="E34" s="15" t="str">
        <x:v>Согласование переписи и обзорного уровня 1900.</x:v>
      </x:c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44" customHeight="1">
      <x:c r="A35" s="15" t="str">
        <x:v>Балансовый остаток 1909</x:v>
      </x:c>
      <x:c r="B35" s="16" t="n">
        <x:f>'Источники'!D34-'Источники'!D33-SUM('Источники'!J34:K34)</x:f>
        <x:v>21502</x:v>
      </x:c>
      <x:c r="C35" s="15" t="str">
        <x:v>чел.</x:v>
      </x:c>
      <x:c r="D35" s="15" t="str">
        <x:v>Изменение уровней минус естественный прирост; причина не установлена.</x:v>
      </x:c>
      <x:c r="E35" s="15" t="str">
        <x:v>Обзоры 1908–1909 и события 1909.</x:v>
      </x:c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44" customHeight="1">
      <x:c r="A36" s="15" t="str">
        <x:v>Грубая интенсивность событий 1881–1887</x:v>
      </x:c>
      <x:c r="B36" s="19" t="n">
        <x:f>(SUM('Источники'!F6:F12)+SUM('Источники'!H6:H12))/SUM('Источники'!T6:T12)</x:f>
        <x:v>0.05765578588660095</x:v>
      </x:c>
      <x:c r="C36" s="15" t="str">
        <x:v>доля/год</x:v>
      </x:c>
      <x:c r="D36" s="15" t="str">
        <x:v>B+D / условная экспозиция оседлого компонента.</x:v>
      </x:c>
      <x:c r="E36" s="15" t="str">
        <x:v>Сводка; за 1884 среднее соседних численностей.</x:v>
      </x:c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44" customHeight="1">
      <x:c r="A37" s="15" t="str">
        <x:v>Грубая интенсивность событий 1888–1896</x:v>
      </x:c>
      <x:c r="B37" s="19" t="n">
        <x:f>(SUM('Источники'!F13:F21)+SUM('Источники'!H13:H21))/SUM('Источники'!T13:T21)</x:f>
        <x:v>0.09523148857887476</x:v>
      </x:c>
      <x:c r="C37" s="15" t="str">
        <x:v>доля/год</x:v>
      </x:c>
      <x:c r="D37" s="15" t="str">
        <x:v>Состав групп и полнота регистрации не постоянны.</x:v>
      </x:c>
      <x:c r="E37" s="15" t="str">
        <x:v>Сводка; опубликованные численности.</x:v>
      </x:c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44" customHeight="1">
      <x:c r="A38" s="15" t="str">
        <x:v>Отношение грубых интенсивностей</x:v>
      </x:c>
      <x:c r="B38" s="16" t="n">
        <x:f>B37/B36</x:f>
        <x:v>1.6517247508546458</x:v>
      </x:c>
      <x:c r="C38" s="15" t="str">
        <x:v>раз</x:v>
      </x:c>
      <x:c r="D38" s="15" t="str">
        <x:v>Справочный ориентир для выбранного множителя 1,65.</x:v>
      </x:c>
      <x:c r="E38" s="15" t="str">
        <x:v>Строка 37 / строка 36.</x:v>
      </x:c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3" t="str">
        <x:v>Демографический расчёт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4" t="str">
        <x:v>Компоненты до переписи и поправки после неё. Полная точность служит проверке формул.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42" customHeight="1">
      <x:c r="A5" s="10" t="str">
        <x:v>На 1 января</x:v>
      </x:c>
      <x:c r="B5" s="10" t="str">
        <x:v>Прирост оседлых за год</x:v>
      </x:c>
      <x:c r="C5" s="10" t="str">
        <x:v>Темп кочевых за год</x:v>
      </x:c>
      <x:c r="D5" s="10" t="str">
        <x:v>Множитель событий</x:v>
      </x:c>
      <x:c r="E5" s="10" t="str">
        <x:v>Оседлый компонент до 1897</x:v>
      </x:c>
      <x:c r="F5" s="10" t="str">
        <x:v>Кочевой компонент до 1897</x:v>
      </x:c>
      <x:c r="G5" s="10" t="str">
        <x:v>База после переписи</x:v>
      </x:c>
      <x:c r="H5" s="10" t="str">
        <x:v>Поправка движения за предыдущий год</x:v>
      </x:c>
      <x:c r="I5" s="10" t="str">
        <x:v>Поправка движения накопленная</x:v>
      </x:c>
      <x:c r="J5" s="10" t="str">
        <x:v>Дополнительное сальдо накопленное</x:v>
      </x:c>
      <x:c r="K5" s="10" t="str">
        <x:v>Перенос переселенцев на 1909</x:v>
      </x:c>
      <x:c r="L5" s="10" t="str">
        <x:v>Центральная оценка</x:v>
      </x:c>
      <x:c r="M5" s="10" t="str">
        <x:v>Экспертная полуширина</x:v>
      </x:c>
      <x:c r="N5" s="10" t="str">
        <x:v>Нижняя граница</x:v>
      </x:c>
      <x:c r="O5" s="10" t="str">
        <x:v>Верхняя граница</x:v>
      </x:c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23" customHeight="1">
      <x:c r="A6" s="2" t="n">
        <x:v>1881</x:v>
      </x:c>
      <x:c r="B6" s="13" t="n">
        <x:f>'Источники'!J6</x:f>
        <x:v>485</x:v>
      </x:c>
      <x:c r="C6" s="23" t="n">
        <x:f>'Параметры'!$B$23</x:f>
        <x:v>0.00941814863058345</x:v>
      </x:c>
      <x:c r="D6" s="24" t="n">
        <x:f>'Параметры'!$B$13</x:f>
        <x:v>1.65</x:v>
      </x:c>
      <x:c r="E6" s="13" t="n">
        <x:f>E7-B6*D6-'Параметры'!$B$14</x:f>
        <x:v>167568.8462491338</x:v>
      </x:c>
      <x:c r="F6" s="13" t="n">
        <x:f>F7/(1+C6)</x:f>
        <x:v>390240.35588567366</x:v>
      </x:c>
      <x:c r="G6" s="13"/>
      <x:c r="H6" s="13" t="n">
        <x:f>0</x:f>
        <x:v>0</x:v>
      </x:c>
      <x:c r="I6" s="13" t="n">
        <x:f>H6</x:f>
        <x:v>0</x:v>
      </x:c>
      <x:c r="J6" s="13" t="n">
        <x:f>'Параметры'!$B$15*MAX(0,MIN(A6,'Параметры'!$B$16+1)-1897)</x:f>
        <x:v>0</x:v>
      </x:c>
      <x:c r="K6" s="13" t="n">
        <x:f>0</x:f>
        <x:v>0</x:v>
      </x:c>
      <x:c r="L6" s="13" t="n">
        <x:f>SUM(E6:F6)</x:f>
        <x:v>557809.2021348075</x:v>
      </x:c>
      <x:c r="M6" s="13" t="n">
        <x:f>'Параметры'!$B$20+IF(A6&lt;=1897,(1897-A6)*'Параметры'!$B$21,(A6-1897)*'Параметры'!$B$22)</x:f>
        <x:v>63000</x:v>
      </x:c>
      <x:c r="N6" s="13" t="n">
        <x:f>L6-M6</x:f>
        <x:v>494809.2021348075</x:v>
      </x:c>
      <x:c r="O6" s="13" t="n">
        <x:f>L6+M6</x:f>
        <x:v>620809.2021348075</x:v>
      </x:c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23" customHeight="1">
      <x:c r="A7" s="2" t="n">
        <x:v>1882</x:v>
      </x:c>
      <x:c r="B7" s="13" t="n">
        <x:f>'Источники'!J7</x:f>
        <x:v>782</x:v>
      </x:c>
      <x:c r="C7" s="23" t="n">
        <x:f>'Параметры'!$B$23</x:f>
        <x:v>0.00941814863058345</x:v>
      </x:c>
      <x:c r="D7" s="24" t="n">
        <x:f>'Параметры'!$B$13</x:f>
        <x:v>1.65</x:v>
      </x:c>
      <x:c r="E7" s="13" t="n">
        <x:f>E8-B7*D7-'Параметры'!$B$14</x:f>
        <x:v>169369.0962491338</x:v>
      </x:c>
      <x:c r="F7" s="13" t="n">
        <x:f>F8/(1+C7)</x:f>
        <x:v>393915.69755905675</x:v>
      </x:c>
      <x:c r="G7" s="13"/>
      <x:c r="H7" s="13" t="n">
        <x:f>0</x:f>
        <x:v>0</x:v>
      </x:c>
      <x:c r="I7" s="13" t="n">
        <x:f>I6+H7</x:f>
        <x:v>0</x:v>
      </x:c>
      <x:c r="J7" s="13" t="n">
        <x:f>'Параметры'!$B$15*MAX(0,MIN(A7,'Параметры'!$B$16+1)-1897)</x:f>
        <x:v>0</x:v>
      </x:c>
      <x:c r="K7" s="13" t="n">
        <x:f>0</x:f>
        <x:v>0</x:v>
      </x:c>
      <x:c r="L7" s="13" t="n">
        <x:f>SUM(E7:F7)</x:f>
        <x:v>563284.7938081906</x:v>
      </x:c>
      <x:c r="M7" s="13" t="n">
        <x:f>'Параметры'!$B$20+IF(A7&lt;=1897,(1897-A7)*'Параметры'!$B$21,(A7-1897)*'Параметры'!$B$22)</x:f>
        <x:v>60000</x:v>
      </x:c>
      <x:c r="N7" s="13" t="n">
        <x:f>L7-M7</x:f>
        <x:v>503284.7938081906</x:v>
      </x:c>
      <x:c r="O7" s="13" t="n">
        <x:f>L7+M7</x:f>
        <x:v>623284.7938081906</x:v>
      </x:c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23" customHeight="1">
      <x:c r="A8" s="2" t="n">
        <x:v>1883</x:v>
      </x:c>
      <x:c r="B8" s="13" t="n">
        <x:f>'Источники'!J8</x:f>
        <x:v>1248</x:v>
      </x:c>
      <x:c r="C8" s="23" t="n">
        <x:f>'Параметры'!$B$23</x:f>
        <x:v>0.00941814863058345</x:v>
      </x:c>
      <x:c r="D8" s="24" t="n">
        <x:f>'Параметры'!$B$13</x:f>
        <x:v>1.65</x:v>
      </x:c>
      <x:c r="E8" s="13" t="n">
        <x:f>E9-B8*D8-'Параметры'!$B$14</x:f>
        <x:v>171659.3962491338</x:v>
      </x:c>
      <x:c r="F8" s="13" t="n">
        <x:f>F9/(1+C8)</x:f>
        <x:v>397625.65414658794</x:v>
      </x:c>
      <x:c r="G8" s="13"/>
      <x:c r="H8" s="13" t="n">
        <x:f>0</x:f>
        <x:v>0</x:v>
      </x:c>
      <x:c r="I8" s="13" t="n">
        <x:f>I7+H8</x:f>
        <x:v>0</x:v>
      </x:c>
      <x:c r="J8" s="13" t="n">
        <x:f>'Параметры'!$B$15*MAX(0,MIN(A8,'Параметры'!$B$16+1)-1897)</x:f>
        <x:v>0</x:v>
      </x:c>
      <x:c r="K8" s="13" t="n">
        <x:f>0</x:f>
        <x:v>0</x:v>
      </x:c>
      <x:c r="L8" s="13" t="n">
        <x:f>SUM(E8:F8)</x:f>
        <x:v>569285.0503957218</x:v>
      </x:c>
      <x:c r="M8" s="13" t="n">
        <x:f>'Параметры'!$B$20+IF(A8&lt;=1897,(1897-A8)*'Параметры'!$B$21,(A8-1897)*'Параметры'!$B$22)</x:f>
        <x:v>57000</x:v>
      </x:c>
      <x:c r="N8" s="13" t="n">
        <x:f>L8-M8</x:f>
        <x:v>512285.0503957218</x:v>
      </x:c>
      <x:c r="O8" s="13" t="n">
        <x:f>L8+M8</x:f>
        <x:v>626285.0503957218</x:v>
      </x:c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23" customHeight="1">
      <x:c r="A9" s="2" t="n">
        <x:v>1884</x:v>
      </x:c>
      <x:c r="B9" s="13" t="n">
        <x:f>'Источники'!J9</x:f>
        <x:v>1717</x:v>
      </x:c>
      <x:c r="C9" s="23" t="n">
        <x:f>'Параметры'!$B$23</x:f>
        <x:v>0.00941814863058345</x:v>
      </x:c>
      <x:c r="D9" s="24" t="n">
        <x:f>'Параметры'!$B$13</x:f>
        <x:v>1.65</x:v>
      </x:c>
      <x:c r="E9" s="13" t="n">
        <x:f>E10-B9*D9-'Параметры'!$B$14</x:f>
        <x:v>174718.5962491338</x:v>
      </x:c>
      <x:c r="F9" s="13" t="n">
        <x:f>F10/(1+C9)</x:f>
        <x:v>401370.5516566735</x:v>
      </x:c>
      <x:c r="G9" s="13"/>
      <x:c r="H9" s="13" t="n">
        <x:f>0</x:f>
        <x:v>0</x:v>
      </x:c>
      <x:c r="I9" s="13" t="n">
        <x:f>I8+H9</x:f>
        <x:v>0</x:v>
      </x:c>
      <x:c r="J9" s="13" t="n">
        <x:f>'Параметры'!$B$15*MAX(0,MIN(A9,'Параметры'!$B$16+1)-1897)</x:f>
        <x:v>0</x:v>
      </x:c>
      <x:c r="K9" s="13" t="n">
        <x:f>0</x:f>
        <x:v>0</x:v>
      </x:c>
      <x:c r="L9" s="13" t="n">
        <x:f>SUM(E9:F9)</x:f>
        <x:v>576089.1479058072</x:v>
      </x:c>
      <x:c r="M9" s="13" t="n">
        <x:f>'Параметры'!$B$20+IF(A9&lt;=1897,(1897-A9)*'Параметры'!$B$21,(A9-1897)*'Параметры'!$B$22)</x:f>
        <x:v>54000</x:v>
      </x:c>
      <x:c r="N9" s="13" t="n">
        <x:f>L9-M9</x:f>
        <x:v>522089.14790580724</x:v>
      </x:c>
      <x:c r="O9" s="13" t="n">
        <x:f>L9+M9</x:f>
        <x:v>630089.1479058072</x:v>
      </x:c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23" customHeight="1">
      <x:c r="A10" s="2" t="n">
        <x:v>1885</x:v>
      </x:c>
      <x:c r="B10" s="13" t="n">
        <x:f>'Источники'!J10</x:f>
        <x:v>697</x:v>
      </x:c>
      <x:c r="C10" s="23" t="n">
        <x:f>'Параметры'!$B$23</x:f>
        <x:v>0.00941814863058345</x:v>
      </x:c>
      <x:c r="D10" s="24" t="n">
        <x:f>'Параметры'!$B$13</x:f>
        <x:v>1.65</x:v>
      </x:c>
      <x:c r="E10" s="13" t="n">
        <x:f>E11-B10*D10-'Параметры'!$B$14</x:f>
        <x:v>178551.6462491338</x:v>
      </x:c>
      <x:c r="F10" s="13" t="n">
        <x:f>F11/(1+C10)</x:f>
        <x:v>405150.71916811535</x:v>
      </x:c>
      <x:c r="G10" s="13"/>
      <x:c r="H10" s="13" t="n">
        <x:f>0</x:f>
        <x:v>0</x:v>
      </x:c>
      <x:c r="I10" s="13" t="n">
        <x:f>I9+H10</x:f>
        <x:v>0</x:v>
      </x:c>
      <x:c r="J10" s="13" t="n">
        <x:f>'Параметры'!$B$15*MAX(0,MIN(A10,'Параметры'!$B$16+1)-1897)</x:f>
        <x:v>0</x:v>
      </x:c>
      <x:c r="K10" s="13" t="n">
        <x:f>0</x:f>
        <x:v>0</x:v>
      </x:c>
      <x:c r="L10" s="13" t="n">
        <x:f>SUM(E10:F10)</x:f>
        <x:v>583702.3654172492</x:v>
      </x:c>
      <x:c r="M10" s="13" t="n">
        <x:f>'Параметры'!$B$20+IF(A10&lt;=1897,(1897-A10)*'Параметры'!$B$21,(A10-1897)*'Параметры'!$B$22)</x:f>
        <x:v>51000</x:v>
      </x:c>
      <x:c r="N10" s="13" t="n">
        <x:f>L10-M10</x:f>
        <x:v>532702.3654172492</x:v>
      </x:c>
      <x:c r="O10" s="13" t="n">
        <x:f>L10+M10</x:f>
        <x:v>634702.3654172492</x:v>
      </x:c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23" customHeight="1">
      <x:c r="A11" s="2" t="n">
        <x:v>1886</x:v>
      </x:c>
      <x:c r="B11" s="13" t="n">
        <x:f>'Источники'!J11</x:f>
        <x:v>1388</x:v>
      </x:c>
      <x:c r="C11" s="23" t="n">
        <x:f>'Параметры'!$B$23</x:f>
        <x:v>0.00941814863058345</x:v>
      </x:c>
      <x:c r="D11" s="24" t="n">
        <x:f>'Параметры'!$B$13</x:f>
        <x:v>1.65</x:v>
      </x:c>
      <x:c r="E11" s="13" t="n">
        <x:f>E12-B11*D11-'Параметры'!$B$14</x:f>
        <x:v>180701.6962491338</x:v>
      </x:c>
      <x:c r="F11" s="13" t="n">
        <x:f>F12/(1+C11)</x:f>
        <x:v>408966.4888590285</x:v>
      </x:c>
      <x:c r="G11" s="13"/>
      <x:c r="H11" s="13" t="n">
        <x:f>0</x:f>
        <x:v>0</x:v>
      </x:c>
      <x:c r="I11" s="13" t="n">
        <x:f>I10+H11</x:f>
        <x:v>0</x:v>
      </x:c>
      <x:c r="J11" s="13" t="n">
        <x:f>'Параметры'!$B$15*MAX(0,MIN(A11,'Параметры'!$B$16+1)-1897)</x:f>
        <x:v>0</x:v>
      </x:c>
      <x:c r="K11" s="13" t="n">
        <x:f>0</x:f>
        <x:v>0</x:v>
      </x:c>
      <x:c r="L11" s="13" t="n">
        <x:f>SUM(E11:F11)</x:f>
        <x:v>589668.1851081622</x:v>
      </x:c>
      <x:c r="M11" s="13" t="n">
        <x:f>'Параметры'!$B$20+IF(A11&lt;=1897,(1897-A11)*'Параметры'!$B$21,(A11-1897)*'Параметры'!$B$22)</x:f>
        <x:v>48000</x:v>
      </x:c>
      <x:c r="N11" s="13" t="n">
        <x:f>L11-M11</x:f>
        <x:v>541668.1851081622</x:v>
      </x:c>
      <x:c r="O11" s="13" t="n">
        <x:f>L11+M11</x:f>
        <x:v>637668.1851081622</x:v>
      </x:c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23" customHeight="1">
      <x:c r="A12" s="2" t="n">
        <x:v>1887</x:v>
      </x:c>
      <x:c r="B12" s="13" t="n">
        <x:f>'Источники'!J12</x:f>
        <x:v>1166</x:v>
      </x:c>
      <x:c r="C12" s="23" t="n">
        <x:f>'Параметры'!$B$23</x:f>
        <x:v>0.00941814863058345</x:v>
      </x:c>
      <x:c r="D12" s="24" t="n">
        <x:f>'Параметры'!$B$13</x:f>
        <x:v>1.65</x:v>
      </x:c>
      <x:c r="E12" s="13" t="n">
        <x:f>E13-B12*D12-'Параметры'!$B$14</x:f>
        <x:v>183991.8962491338</x:v>
      </x:c>
      <x:c r="F12" s="13" t="n">
        <x:f>F13/(1+C12)</x:f>
        <x:v>412818.1960360307</x:v>
      </x:c>
      <x:c r="G12" s="13"/>
      <x:c r="H12" s="13" t="n">
        <x:f>0</x:f>
        <x:v>0</x:v>
      </x:c>
      <x:c r="I12" s="13" t="n">
        <x:f>I11+H12</x:f>
        <x:v>0</x:v>
      </x:c>
      <x:c r="J12" s="13" t="n">
        <x:f>'Параметры'!$B$15*MAX(0,MIN(A12,'Параметры'!$B$16+1)-1897)</x:f>
        <x:v>0</x:v>
      </x:c>
      <x:c r="K12" s="13" t="n">
        <x:f>0</x:f>
        <x:v>0</x:v>
      </x:c>
      <x:c r="L12" s="13" t="n">
        <x:f>SUM(E12:F12)</x:f>
        <x:v>596810.0922851645</x:v>
      </x:c>
      <x:c r="M12" s="13" t="n">
        <x:f>'Параметры'!$B$20+IF(A12&lt;=1897,(1897-A12)*'Параметры'!$B$21,(A12-1897)*'Параметры'!$B$22)</x:f>
        <x:v>45000</x:v>
      </x:c>
      <x:c r="N12" s="13" t="n">
        <x:f>L12-M12</x:f>
        <x:v>551810.0922851645</x:v>
      </x:c>
      <x:c r="O12" s="13" t="n">
        <x:f>L12+M12</x:f>
        <x:v>641810.0922851645</x:v>
      </x:c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23" customHeight="1">
      <x:c r="A13" s="2" t="n">
        <x:v>1888</x:v>
      </x:c>
      <x:c r="B13" s="13" t="n">
        <x:f>'Источники'!J13</x:f>
        <x:v>2410</x:v>
      </x:c>
      <x:c r="C13" s="23" t="n">
        <x:f>'Параметры'!$B$23</x:f>
        <x:v>0.00941814863058345</x:v>
      </x:c>
      <x:c r="D13" s="24" t="n">
        <x:f>1</x:f>
        <x:v>1</x:v>
      </x:c>
      <x:c r="E13" s="13" t="n">
        <x:f>E14-B13*D13-'Параметры'!$B$14</x:f>
        <x:v>186915.7962491338</x:v>
      </x:c>
      <x:c r="F13" s="13" t="n">
        <x:f>F14/(1+C13)</x:f>
        <x:v>416706.1791637074</x:v>
      </x:c>
      <x:c r="G13" s="13"/>
      <x:c r="H13" s="13" t="n">
        <x:f>0</x:f>
        <x:v>0</x:v>
      </x:c>
      <x:c r="I13" s="13" t="n">
        <x:f>I12+H13</x:f>
        <x:v>0</x:v>
      </x:c>
      <x:c r="J13" s="13" t="n">
        <x:f>'Параметры'!$B$15*MAX(0,MIN(A13,'Параметры'!$B$16+1)-1897)</x:f>
        <x:v>0</x:v>
      </x:c>
      <x:c r="K13" s="13" t="n">
        <x:f>0</x:f>
        <x:v>0</x:v>
      </x:c>
      <x:c r="L13" s="13" t="n">
        <x:f>SUM(E13:F13)</x:f>
        <x:v>603621.9754128412</x:v>
      </x:c>
      <x:c r="M13" s="13" t="n">
        <x:f>'Параметры'!$B$20+IF(A13&lt;=1897,(1897-A13)*'Параметры'!$B$21,(A13-1897)*'Параметры'!$B$22)</x:f>
        <x:v>42000</x:v>
      </x:c>
      <x:c r="N13" s="13" t="n">
        <x:f>L13-M13</x:f>
        <x:v>561621.9754128412</x:v>
      </x:c>
      <x:c r="O13" s="13" t="n">
        <x:f>L13+M13</x:f>
        <x:v>645621.9754128412</x:v>
      </x:c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23" customHeight="1">
      <x:c r="A14" s="2" t="n">
        <x:v>1889</x:v>
      </x:c>
      <x:c r="B14" s="13" t="n">
        <x:f>'Источники'!J14</x:f>
        <x:v>2433</x:v>
      </x:c>
      <x:c r="C14" s="23" t="n">
        <x:f>'Параметры'!$B$23</x:f>
        <x:v>0.00941814863058345</x:v>
      </x:c>
      <x:c r="D14" s="24" t="n">
        <x:f>1</x:f>
        <x:v>1</x:v>
      </x:c>
      <x:c r="E14" s="13" t="n">
        <x:f>E15-B14*D14-'Параметры'!$B$14</x:f>
        <x:v>190325.7962491338</x:v>
      </x:c>
      <x:c r="F14" s="13" t="n">
        <x:f>F15/(1+C14)</x:f>
        <x:v>420630.77989435376</x:v>
      </x:c>
      <x:c r="G14" s="13"/>
      <x:c r="H14" s="13" t="n">
        <x:f>0</x:f>
        <x:v>0</x:v>
      </x:c>
      <x:c r="I14" s="13" t="n">
        <x:f>I13+H14</x:f>
        <x:v>0</x:v>
      </x:c>
      <x:c r="J14" s="13" t="n">
        <x:f>'Параметры'!$B$15*MAX(0,MIN(A14,'Параметры'!$B$16+1)-1897)</x:f>
        <x:v>0</x:v>
      </x:c>
      <x:c r="K14" s="13" t="n">
        <x:f>0</x:f>
        <x:v>0</x:v>
      </x:c>
      <x:c r="L14" s="13" t="n">
        <x:f>SUM(E14:F14)</x:f>
        <x:v>610956.5761434876</x:v>
      </x:c>
      <x:c r="M14" s="13" t="n">
        <x:f>'Параметры'!$B$20+IF(A14&lt;=1897,(1897-A14)*'Параметры'!$B$21,(A14-1897)*'Параметры'!$B$22)</x:f>
        <x:v>39000</x:v>
      </x:c>
      <x:c r="N14" s="13" t="n">
        <x:f>L14-M14</x:f>
        <x:v>571956.5761434876</x:v>
      </x:c>
      <x:c r="O14" s="13" t="n">
        <x:f>L14+M14</x:f>
        <x:v>649956.5761434876</x:v>
      </x:c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23" customHeight="1">
      <x:c r="A15" s="2" t="n">
        <x:v>1890</x:v>
      </x:c>
      <x:c r="B15" s="13" t="n">
        <x:f>'Источники'!J15</x:f>
        <x:v>3441</x:v>
      </x:c>
      <x:c r="C15" s="23" t="n">
        <x:f>'Параметры'!$B$23</x:f>
        <x:v>0.00941814863058345</x:v>
      </x:c>
      <x:c r="D15" s="24" t="n">
        <x:f>1</x:f>
        <x:v>1</x:v>
      </x:c>
      <x:c r="E15" s="13" t="n">
        <x:f>E16-B15*D15-'Параметры'!$B$14</x:f>
        <x:v>193758.7962491338</x:v>
      </x:c>
      <x:c r="F15" s="13" t="n">
        <x:f>F16/(1+C15)</x:f>
        <x:v>424592.3430979971</x:v>
      </x:c>
      <x:c r="G15" s="13"/>
      <x:c r="H15" s="13" t="n">
        <x:f>0</x:f>
        <x:v>0</x:v>
      </x:c>
      <x:c r="I15" s="13" t="n">
        <x:f>I14+H15</x:f>
        <x:v>0</x:v>
      </x:c>
      <x:c r="J15" s="13" t="n">
        <x:f>'Параметры'!$B$15*MAX(0,MIN(A15,'Параметры'!$B$16+1)-1897)</x:f>
        <x:v>0</x:v>
      </x:c>
      <x:c r="K15" s="13" t="n">
        <x:f>0</x:f>
        <x:v>0</x:v>
      </x:c>
      <x:c r="L15" s="13" t="n">
        <x:f>SUM(E15:F15)</x:f>
        <x:v>618351.1393471309</x:v>
      </x:c>
      <x:c r="M15" s="13" t="n">
        <x:f>'Параметры'!$B$20+IF(A15&lt;=1897,(1897-A15)*'Параметры'!$B$21,(A15-1897)*'Параметры'!$B$22)</x:f>
        <x:v>36000</x:v>
      </x:c>
      <x:c r="N15" s="13" t="n">
        <x:f>L15-M15</x:f>
        <x:v>582351.1393471309</x:v>
      </x:c>
      <x:c r="O15" s="13" t="n">
        <x:f>L15+M15</x:f>
        <x:v>654351.1393471309</x:v>
      </x:c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23" customHeight="1">
      <x:c r="A16" s="2" t="n">
        <x:v>1891</x:v>
      </x:c>
      <x:c r="B16" s="13" t="n">
        <x:f>'Источники'!J16</x:f>
        <x:v>1845</x:v>
      </x:c>
      <x:c r="C16" s="23" t="n">
        <x:f>'Параметры'!$B$24</x:f>
        <x:v>-0.011723841598513585</x:v>
      </x:c>
      <x:c r="D16" s="24" t="n">
        <x:f>1</x:f>
        <x:v>1</x:v>
      </x:c>
      <x:c r="E16" s="13" t="n">
        <x:f>E17-B16*D16-'Параметры'!$B$14</x:f>
        <x:v>198199.7962491338</x:v>
      </x:c>
      <x:c r="F16" s="13" t="n">
        <x:f>F17/(1+C16)</x:f>
        <x:v>428591.21689270175</x:v>
      </x:c>
      <x:c r="G16" s="13"/>
      <x:c r="H16" s="13" t="n">
        <x:f>0</x:f>
        <x:v>0</x:v>
      </x:c>
      <x:c r="I16" s="13" t="n">
        <x:f>I15+H16</x:f>
        <x:v>0</x:v>
      </x:c>
      <x:c r="J16" s="13" t="n">
        <x:f>'Параметры'!$B$15*MAX(0,MIN(A16,'Параметры'!$B$16+1)-1897)</x:f>
        <x:v>0</x:v>
      </x:c>
      <x:c r="K16" s="13" t="n">
        <x:f>0</x:f>
        <x:v>0</x:v>
      </x:c>
      <x:c r="L16" s="13" t="n">
        <x:f>SUM(E16:F16)</x:f>
        <x:v>626791.0131418356</x:v>
      </x:c>
      <x:c r="M16" s="13" t="n">
        <x:f>'Параметры'!$B$20+IF(A16&lt;=1897,(1897-A16)*'Параметры'!$B$21,(A16-1897)*'Параметры'!$B$22)</x:f>
        <x:v>33000</x:v>
      </x:c>
      <x:c r="N16" s="13" t="n">
        <x:f>L16-M16</x:f>
        <x:v>593791.0131418356</x:v>
      </x:c>
      <x:c r="O16" s="13" t="n">
        <x:f>L16+M16</x:f>
        <x:v>659791.0131418356</x:v>
      </x:c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23" customHeight="1">
      <x:c r="A17" s="2" t="n">
        <x:v>1892</x:v>
      </x:c>
      <x:c r="B17" s="13" t="n">
        <x:f>'Источники'!J17</x:f>
        <x:v>-371</x:v>
      </x:c>
      <x:c r="C17" s="23" t="n">
        <x:f>'Параметры'!$B$25</x:f>
        <x:v>-0.033288559957056374</x:v>
      </x:c>
      <x:c r="D17" s="24" t="n">
        <x:f>1</x:f>
        <x:v>1</x:v>
      </x:c>
      <x:c r="E17" s="13" t="n">
        <x:f>E18-B17*D17-'Параметры'!$B$14</x:f>
        <x:v>201044.7962491338</x:v>
      </x:c>
      <x:c r="F17" s="13" t="n">
        <x:f>F18/(1+C17)</x:f>
        <x:v>423566.48135533754</x:v>
      </x:c>
      <x:c r="G17" s="13"/>
      <x:c r="H17" s="13" t="n">
        <x:f>0</x:f>
        <x:v>0</x:v>
      </x:c>
      <x:c r="I17" s="13" t="n">
        <x:f>I16+H17</x:f>
        <x:v>0</x:v>
      </x:c>
      <x:c r="J17" s="13" t="n">
        <x:f>'Параметры'!$B$15*MAX(0,MIN(A17,'Параметры'!$B$16+1)-1897)</x:f>
        <x:v>0</x:v>
      </x:c>
      <x:c r="K17" s="13" t="n">
        <x:f>0</x:f>
        <x:v>0</x:v>
      </x:c>
      <x:c r="L17" s="13" t="n">
        <x:f>SUM(E17:F17)</x:f>
        <x:v>624611.2776044713</x:v>
      </x:c>
      <x:c r="M17" s="13" t="n">
        <x:f>'Параметры'!$B$20+IF(A17&lt;=1897,(1897-A17)*'Параметры'!$B$21,(A17-1897)*'Параметры'!$B$22)</x:f>
        <x:v>30000</x:v>
      </x:c>
      <x:c r="N17" s="13" t="n">
        <x:f>L17-M17</x:f>
        <x:v>594611.2776044713</x:v>
      </x:c>
      <x:c r="O17" s="13" t="n">
        <x:f>L17+M17</x:f>
        <x:v>654611.2776044713</x:v>
      </x:c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23" customHeight="1">
      <x:c r="A18" s="2" t="n">
        <x:v>1893</x:v>
      </x:c>
      <x:c r="B18" s="13" t="n">
        <x:f>'Источники'!J18</x:f>
        <x:v>2583</x:v>
      </x:c>
      <x:c r="C18" s="23" t="n">
        <x:f>'Параметры'!$B$23</x:f>
        <x:v>0.00941814863058345</x:v>
      </x:c>
      <x:c r="D18" s="24" t="n">
        <x:f>1</x:f>
        <x:v>1</x:v>
      </x:c>
      <x:c r="E18" s="13" t="n">
        <x:f>E19-B18*D18-'Параметры'!$B$14</x:f>
        <x:v>201673.7962491338</x:v>
      </x:c>
      <x:c r="F18" s="13" t="n">
        <x:f>F19/(1+C18)</x:f>
        <x:v>409466.563144941</x:v>
      </x:c>
      <x:c r="G18" s="13"/>
      <x:c r="H18" s="13" t="n">
        <x:f>0</x:f>
        <x:v>0</x:v>
      </x:c>
      <x:c r="I18" s="13" t="n">
        <x:f>I17+H18</x:f>
        <x:v>0</x:v>
      </x:c>
      <x:c r="J18" s="13" t="n">
        <x:f>'Параметры'!$B$15*MAX(0,MIN(A18,'Параметры'!$B$16+1)-1897)</x:f>
        <x:v>0</x:v>
      </x:c>
      <x:c r="K18" s="13" t="n">
        <x:f>0</x:f>
        <x:v>0</x:v>
      </x:c>
      <x:c r="L18" s="13" t="n">
        <x:f>SUM(E18:F18)</x:f>
        <x:v>611140.3593940748</x:v>
      </x:c>
      <x:c r="M18" s="13" t="n">
        <x:f>'Параметры'!$B$20+IF(A18&lt;=1897,(1897-A18)*'Параметры'!$B$21,(A18-1897)*'Параметры'!$B$22)</x:f>
        <x:v>27000</x:v>
      </x:c>
      <x:c r="N18" s="13" t="n">
        <x:f>L18-M18</x:f>
        <x:v>584140.3593940748</x:v>
      </x:c>
      <x:c r="O18" s="13" t="n">
        <x:f>L18+M18</x:f>
        <x:v>638140.3593940748</x:v>
      </x:c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23" customHeight="1">
      <x:c r="A19" s="2" t="n">
        <x:v>1894</x:v>
      </x:c>
      <x:c r="B19" s="13" t="n">
        <x:f>'Источники'!J19</x:f>
        <x:v>2493</x:v>
      </x:c>
      <x:c r="C19" s="23" t="n">
        <x:f>'Параметры'!$B$23</x:f>
        <x:v>0.00941814863058345</x:v>
      </x:c>
      <x:c r="D19" s="24" t="n">
        <x:f>1</x:f>
        <x:v>1</x:v>
      </x:c>
      <x:c r="E19" s="13" t="n">
        <x:f>E20-B19*D19-'Параметры'!$B$14</x:f>
        <x:v>205256.7962491338</x:v>
      </x:c>
      <x:c r="F19" s="13" t="n">
        <x:f>F20/(1+C19)</x:f>
        <x:v>413322.98009589425</x:v>
      </x:c>
      <x:c r="G19" s="13"/>
      <x:c r="H19" s="13" t="n">
        <x:f>0</x:f>
        <x:v>0</x:v>
      </x:c>
      <x:c r="I19" s="13" t="n">
        <x:f>I18+H19</x:f>
        <x:v>0</x:v>
      </x:c>
      <x:c r="J19" s="13" t="n">
        <x:f>'Параметры'!$B$15*MAX(0,MIN(A19,'Параметры'!$B$16+1)-1897)</x:f>
        <x:v>0</x:v>
      </x:c>
      <x:c r="K19" s="13" t="n">
        <x:f>0</x:f>
        <x:v>0</x:v>
      </x:c>
      <x:c r="L19" s="13" t="n">
        <x:f>SUM(E19:F19)</x:f>
        <x:v>618579.7763450281</x:v>
      </x:c>
      <x:c r="M19" s="13" t="n">
        <x:f>'Параметры'!$B$20+IF(A19&lt;=1897,(1897-A19)*'Параметры'!$B$21,(A19-1897)*'Параметры'!$B$22)</x:f>
        <x:v>24000</x:v>
      </x:c>
      <x:c r="N19" s="13" t="n">
        <x:f>L19-M19</x:f>
        <x:v>594579.7763450281</x:v>
      </x:c>
      <x:c r="O19" s="13" t="n">
        <x:f>L19+M19</x:f>
        <x:v>642579.7763450281</x:v>
      </x:c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23" customHeight="1">
      <x:c r="A20" s="2" t="n">
        <x:v>1895</x:v>
      </x:c>
      <x:c r="B20" s="13" t="n">
        <x:f>'Источники'!J20</x:f>
        <x:v>3741</x:v>
      </x:c>
      <x:c r="C20" s="23" t="n">
        <x:f>'Параметры'!$B$23</x:f>
        <x:v>0.00941814863058345</x:v>
      </x:c>
      <x:c r="D20" s="24" t="n">
        <x:f>1</x:f>
        <x:v>1</x:v>
      </x:c>
      <x:c r="E20" s="13" t="n">
        <x:f>E21-B20*D20-'Параметры'!$B$14</x:f>
        <x:v>208749.7962491338</x:v>
      </x:c>
      <x:c r="F20" s="13" t="n">
        <x:f>F21/(1+C20)</x:f>
        <x:v>417215.7173548731</x:v>
      </x:c>
      <x:c r="G20" s="13"/>
      <x:c r="H20" s="13" t="n">
        <x:f>0</x:f>
        <x:v>0</x:v>
      </x:c>
      <x:c r="I20" s="13" t="n">
        <x:f>I19+H20</x:f>
        <x:v>0</x:v>
      </x:c>
      <x:c r="J20" s="13" t="n">
        <x:f>'Параметры'!$B$15*MAX(0,MIN(A20,'Параметры'!$B$16+1)-1897)</x:f>
        <x:v>0</x:v>
      </x:c>
      <x:c r="K20" s="13" t="n">
        <x:f>0</x:f>
        <x:v>0</x:v>
      </x:c>
      <x:c r="L20" s="13" t="n">
        <x:f>SUM(E20:F20)</x:f>
        <x:v>625965.5136040068</x:v>
      </x:c>
      <x:c r="M20" s="13" t="n">
        <x:f>'Параметры'!$B$20+IF(A20&lt;=1897,(1897-A20)*'Параметры'!$B$21,(A20-1897)*'Параметры'!$B$22)</x:f>
        <x:v>21000</x:v>
      </x:c>
      <x:c r="N20" s="13" t="n">
        <x:f>L20-M20</x:f>
        <x:v>604965.5136040068</x:v>
      </x:c>
      <x:c r="O20" s="13" t="n">
        <x:f>L20+M20</x:f>
        <x:v>646965.5136040068</x:v>
      </x:c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23" customHeight="1">
      <x:c r="A21" s="2" t="n">
        <x:v>1896</x:v>
      </x:c>
      <x:c r="B21" s="13" t="n">
        <x:f>'Источники'!J21</x:f>
        <x:v>4664</x:v>
      </x:c>
      <x:c r="C21" s="23" t="n">
        <x:f>'Параметры'!$B$23</x:f>
        <x:v>0.00941814863058345</x:v>
      </x:c>
      <x:c r="D21" s="24" t="n">
        <x:f>1</x:f>
        <x:v>1</x:v>
      </x:c>
      <x:c r="E21" s="13" t="n">
        <x:f>E22-B21*D21-'Параметры'!$B$14</x:f>
        <x:v>213490.7962491338</x:v>
      </x:c>
      <x:c r="F21" s="13" t="n">
        <x:f>F22/(1+C21)</x:f>
        <x:v>421145.1169919368</x:v>
      </x:c>
      <x:c r="G21" s="13"/>
      <x:c r="H21" s="13" t="n">
        <x:f>0</x:f>
        <x:v>0</x:v>
      </x:c>
      <x:c r="I21" s="13" t="n">
        <x:f>I20+H21</x:f>
        <x:v>0</x:v>
      </x:c>
      <x:c r="J21" s="13" t="n">
        <x:f>'Параметры'!$B$15*MAX(0,MIN(A21,'Параметры'!$B$16+1)-1897)</x:f>
        <x:v>0</x:v>
      </x:c>
      <x:c r="K21" s="13" t="n">
        <x:f>0</x:f>
        <x:v>0</x:v>
      </x:c>
      <x:c r="L21" s="13" t="n">
        <x:f>SUM(E21:F21)</x:f>
        <x:v>634635.9132410706</x:v>
      </x:c>
      <x:c r="M21" s="13" t="n">
        <x:f>'Параметры'!$B$20+IF(A21&lt;=1897,(1897-A21)*'Параметры'!$B$21,(A21-1897)*'Параметры'!$B$22)</x:f>
        <x:v>18000</x:v>
      </x:c>
      <x:c r="N21" s="13" t="n">
        <x:f>L21-M21</x:f>
        <x:v>616635.9132410706</x:v>
      </x:c>
      <x:c r="O21" s="13" t="n">
        <x:f>L21+M21</x:f>
        <x:v>652635.9132410706</x:v>
      </x:c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23" customHeight="1">
      <x:c r="A22" s="2" t="n">
        <x:v>1897</x:v>
      </x:c>
      <x:c r="B22" s="13" t="n">
        <x:f>'Параметры'!$B$26</x:f>
        <x:v>4899</x:v>
      </x:c>
      <x:c r="C22" s="23"/>
      <x:c r="D22" s="24"/>
      <x:c r="E22" s="13" t="n">
        <x:f>'Параметры'!$B$31</x:f>
        <x:v>219154.7962491338</x:v>
      </x:c>
      <x:c r="F22" s="13" t="n">
        <x:f>'Параметры'!$B$32</x:f>
        <x:v>425111.5242988114</x:v>
      </x:c>
      <x:c r="G22" s="13" t="n">
        <x:f>SUM(E22:F22)</x:f>
        <x:v>644266.3205479452</x:v>
      </x:c>
      <x:c r="H22" s="13" t="n">
        <x:f>0</x:f>
        <x:v>0</x:v>
      </x:c>
      <x:c r="I22" s="13" t="n">
        <x:f>I21+H22</x:f>
        <x:v>0</x:v>
      </x:c>
      <x:c r="J22" s="13" t="n">
        <x:f>'Параметры'!$B$15*MAX(0,MIN(A22,'Параметры'!$B$16+1)-1897)</x:f>
        <x:v>0</x:v>
      </x:c>
      <x:c r="K22" s="13" t="n">
        <x:f>0</x:f>
        <x:v>0</x:v>
      </x:c>
      <x:c r="L22" s="13" t="n">
        <x:f>SUM(E22:F22)</x:f>
        <x:v>644266.3205479452</x:v>
      </x:c>
      <x:c r="M22" s="13" t="n">
        <x:f>'Параметры'!$B$20+IF(A22&lt;=1897,(1897-A22)*'Параметры'!$B$21,(A22-1897)*'Параметры'!$B$22)</x:f>
        <x:v>15000</x:v>
      </x:c>
      <x:c r="N22" s="13" t="n">
        <x:f>L22-M22</x:f>
        <x:v>629266.3205479452</x:v>
      </x:c>
      <x:c r="O22" s="13" t="n">
        <x:f>L22+M22</x:f>
        <x:v>659266.3205479452</x:v>
      </x:c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23" customHeight="1">
      <x:c r="A23" s="2" t="n">
        <x:v>1898</x:v>
      </x:c>
      <x:c r="B23" s="13" t="n">
        <x:f>'Параметры'!$B$28</x:f>
        <x:v>4325</x:v>
      </x:c>
      <x:c r="C23" s="23"/>
      <x:c r="D23" s="24"/>
      <x:c r="E23" s="13"/>
      <x:c r="F23" s="13"/>
      <x:c r="G23" s="13" t="n">
        <x:f>G22+SUM('Параметры'!$B$26:'Параметры'!$B$27)+'Параметры'!$B$34</x:f>
        <x:v>658611.2136986301</x:v>
      </x:c>
      <x:c r="H23" s="13" t="n">
        <x:f>0</x:f>
        <x:v>0</x:v>
      </x:c>
      <x:c r="I23" s="13" t="n">
        <x:f>I22+H23</x:f>
        <x:v>0</x:v>
      </x:c>
      <x:c r="J23" s="13" t="n">
        <x:f>'Параметры'!$B$15*MAX(0,MIN(A23,'Параметры'!$B$16+1)-1897)</x:f>
        <x:v>1000</x:v>
      </x:c>
      <x:c r="K23" s="13" t="n">
        <x:f>0</x:f>
        <x:v>0</x:v>
      </x:c>
      <x:c r="L23" s="13" t="n">
        <x:f>SUM(G23,I23:K23)</x:f>
        <x:v>659611.2136986301</x:v>
      </x:c>
      <x:c r="M23" s="13" t="n">
        <x:f>'Параметры'!$B$20+IF(A23&lt;=1897,(1897-A23)*'Параметры'!$B$21,(A23-1897)*'Параметры'!$B$22)</x:f>
        <x:v>17500</x:v>
      </x:c>
      <x:c r="N23" s="13" t="n">
        <x:f>L23-M23</x:f>
        <x:v>642111.2136986301</x:v>
      </x:c>
      <x:c r="O23" s="13" t="n">
        <x:f>L23+M23</x:f>
        <x:v>677111.2136986301</x:v>
      </x:c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23" customHeight="1">
      <x:c r="A24" s="2" t="n">
        <x:v>1899</x:v>
      </x:c>
      <x:c r="B24" s="13" t="n">
        <x:f>'Источники'!J24</x:f>
        <x:v>3149</x:v>
      </x:c>
      <x:c r="C24" s="23"/>
      <x:c r="D24" s="24"/>
      <x:c r="E24" s="13"/>
      <x:c r="F24" s="13"/>
      <x:c r="G24" s="13" t="n">
        <x:f>G23+SUM('Параметры'!$B$28:'Параметры'!$B$29)+'Параметры'!$B$34</x:f>
        <x:v>673698.106849315</x:v>
      </x:c>
      <x:c r="H24" s="13" t="n">
        <x:f>IF(A24&gt;'Параметры'!$B$18,'Параметры'!$B$17*('Параметры'!$B$23*'Источники'!L23-'Источники'!K23),0)</x:f>
        <x:v>0</x:v>
      </x:c>
      <x:c r="I24" s="13" t="n">
        <x:f>I23+H24</x:f>
        <x:v>0</x:v>
      </x:c>
      <x:c r="J24" s="13" t="n">
        <x:f>'Параметры'!$B$15*MAX(0,MIN(A24,'Параметры'!$B$16+1)-1897)</x:f>
        <x:v>2000</x:v>
      </x:c>
      <x:c r="K24" s="13" t="n">
        <x:f>0</x:f>
        <x:v>0</x:v>
      </x:c>
      <x:c r="L24" s="13" t="n">
        <x:f>SUM(G24,I24:K24)</x:f>
        <x:v>675698.106849315</x:v>
      </x:c>
      <x:c r="M24" s="13" t="n">
        <x:f>'Параметры'!$B$20+IF(A24&lt;=1897,(1897-A24)*'Параметры'!$B$21,(A24-1897)*'Параметры'!$B$22)</x:f>
        <x:v>20000</x:v>
      </x:c>
      <x:c r="N24" s="13" t="n">
        <x:f>L24-M24</x:f>
        <x:v>655698.106849315</x:v>
      </x:c>
      <x:c r="O24" s="13" t="n">
        <x:f>L24+M24</x:f>
        <x:v>695698.106849315</x:v>
      </x:c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23" customHeight="1">
      <x:c r="A25" s="2" t="n">
        <x:v>1900</x:v>
      </x:c>
      <x:c r="B25" s="13" t="n">
        <x:f>'Источники'!J25</x:f>
        <x:v>4026</x:v>
      </x:c>
      <x:c r="C25" s="23"/>
      <x:c r="D25" s="24"/>
      <x:c r="E25" s="13"/>
      <x:c r="F25" s="13"/>
      <x:c r="G25" s="13" t="n">
        <x:f>G24+SUM('Источники'!J24:K24)+'Параметры'!$B$34</x:f>
        <x:v>683558.9999999999</x:v>
      </x:c>
      <x:c r="H25" s="13" t="n">
        <x:f>IF(A25&gt;'Параметры'!$B$18,'Параметры'!$B$17*('Параметры'!$B$23*'Источники'!L24-'Источники'!K24),0)</x:f>
        <x:v>0</x:v>
      </x:c>
      <x:c r="I25" s="13" t="n">
        <x:f>I24+H25</x:f>
        <x:v>0</x:v>
      </x:c>
      <x:c r="J25" s="13" t="n">
        <x:f>'Параметры'!$B$15*MAX(0,MIN(A25,'Параметры'!$B$16+1)-1897)</x:f>
        <x:v>3000</x:v>
      </x:c>
      <x:c r="K25" s="13" t="n">
        <x:f>0</x:f>
        <x:v>0</x:v>
      </x:c>
      <x:c r="L25" s="13" t="n">
        <x:f>SUM(G25,I25:K25)</x:f>
        <x:v>686558.9999999999</x:v>
      </x:c>
      <x:c r="M25" s="13" t="n">
        <x:f>'Параметры'!$B$20+IF(A25&lt;=1897,(1897-A25)*'Параметры'!$B$21,(A25-1897)*'Параметры'!$B$22)</x:f>
        <x:v>22500</x:v>
      </x:c>
      <x:c r="N25" s="13" t="n">
        <x:f>L25-M25</x:f>
        <x:v>664058.9999999999</x:v>
      </x:c>
      <x:c r="O25" s="13" t="n">
        <x:f>L25+M25</x:f>
        <x:v>709058.9999999999</x:v>
      </x:c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23" customHeight="1">
      <x:c r="A26" s="2" t="n">
        <x:v>1901</x:v>
      </x:c>
      <x:c r="B26" s="13" t="n">
        <x:f>'Источники'!J26</x:f>
        <x:v>4203</x:v>
      </x:c>
      <x:c r="C26" s="23"/>
      <x:c r="D26" s="24"/>
      <x:c r="E26" s="13"/>
      <x:c r="F26" s="13"/>
      <x:c r="G26" s="13" t="n">
        <x:f>'Источники'!D25+'Параметры'!$B$30</x:f>
        <x:v>691379</x:v>
      </x:c>
      <x:c r="H26" s="13" t="n">
        <x:f>IF(A26&gt;'Параметры'!$B$18,'Параметры'!$B$17*('Параметры'!$B$23*'Источники'!L25-'Источники'!K25),0)</x:f>
        <x:v>0</x:v>
      </x:c>
      <x:c r="I26" s="13" t="n">
        <x:f>I25+H26</x:f>
        <x:v>0</x:v>
      </x:c>
      <x:c r="J26" s="13" t="n">
        <x:f>'Параметры'!$B$15*MAX(0,MIN(A26,'Параметры'!$B$16+1)-1897)</x:f>
        <x:v>4000</x:v>
      </x:c>
      <x:c r="K26" s="13" t="n">
        <x:f>0</x:f>
        <x:v>0</x:v>
      </x:c>
      <x:c r="L26" s="13" t="n">
        <x:f>SUM(G26,I26:K26)</x:f>
        <x:v>695379</x:v>
      </x:c>
      <x:c r="M26" s="13" t="n">
        <x:f>'Параметры'!$B$20+IF(A26&lt;=1897,(1897-A26)*'Параметры'!$B$21,(A26-1897)*'Параметры'!$B$22)</x:f>
        <x:v>25000</x:v>
      </x:c>
      <x:c r="N26" s="13" t="n">
        <x:f>L26-M26</x:f>
        <x:v>670379</x:v>
      </x:c>
      <x:c r="O26" s="13" t="n">
        <x:f>L26+M26</x:f>
        <x:v>720379</x:v>
      </x:c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23" customHeight="1">
      <x:c r="A27" s="2" t="n">
        <x:v>1902</x:v>
      </x:c>
      <x:c r="B27" s="13" t="n">
        <x:f>'Источники'!J27</x:f>
        <x:v>3034</x:v>
      </x:c>
      <x:c r="C27" s="23"/>
      <x:c r="D27" s="24"/>
      <x:c r="E27" s="13"/>
      <x:c r="F27" s="13"/>
      <x:c r="G27" s="13" t="n">
        <x:f>'Источники'!D26+'Параметры'!$B$30</x:f>
        <x:v>699706</x:v>
      </x:c>
      <x:c r="H27" s="13" t="n">
        <x:f>IF(A27&gt;'Параметры'!$B$18,'Параметры'!$B$17*('Параметры'!$B$23*'Источники'!L26-'Источники'!K26),0)</x:f>
        <x:v>0</x:v>
      </x:c>
      <x:c r="I27" s="13" t="n">
        <x:f>I26+H27</x:f>
        <x:v>0</x:v>
      </x:c>
      <x:c r="J27" s="13" t="n">
        <x:f>'Параметры'!$B$15*MAX(0,MIN(A27,'Параметры'!$B$16+1)-1897)</x:f>
        <x:v>5000</x:v>
      </x:c>
      <x:c r="K27" s="13" t="n">
        <x:f>0</x:f>
        <x:v>0</x:v>
      </x:c>
      <x:c r="L27" s="13" t="n">
        <x:f>SUM(G27,I27:K27)</x:f>
        <x:v>704706</x:v>
      </x:c>
      <x:c r="M27" s="13" t="n">
        <x:f>'Параметры'!$B$20+IF(A27&lt;=1897,(1897-A27)*'Параметры'!$B$21,(A27-1897)*'Параметры'!$B$22)</x:f>
        <x:v>27500</x:v>
      </x:c>
      <x:c r="N27" s="13" t="n">
        <x:f>L27-M27</x:f>
        <x:v>677206</x:v>
      </x:c>
      <x:c r="O27" s="13" t="n">
        <x:f>L27+M27</x:f>
        <x:v>732206</x:v>
      </x:c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23" customHeight="1">
      <x:c r="A28" s="2" t="n">
        <x:v>1903</x:v>
      </x:c>
      <x:c r="B28" s="13" t="n">
        <x:f>'Источники'!J28</x:f>
        <x:v>4951</x:v>
      </x:c>
      <x:c r="C28" s="23"/>
      <x:c r="D28" s="24"/>
      <x:c r="E28" s="13"/>
      <x:c r="F28" s="13"/>
      <x:c r="G28" s="13" t="n">
        <x:f>'Источники'!D27+'Параметры'!$B$30</x:f>
        <x:v>708857</x:v>
      </x:c>
      <x:c r="H28" s="13" t="n">
        <x:f>IF(A28&gt;'Параметры'!$B$18,'Параметры'!$B$17*('Параметры'!$B$23*'Источники'!L27-'Источники'!K27),0)</x:f>
        <x:v>0</x:v>
      </x:c>
      <x:c r="I28" s="13" t="n">
        <x:f>I27+H28</x:f>
        <x:v>0</x:v>
      </x:c>
      <x:c r="J28" s="13" t="n">
        <x:f>'Параметры'!$B$15*MAX(0,MIN(A28,'Параметры'!$B$16+1)-1897)</x:f>
        <x:v>6000</x:v>
      </x:c>
      <x:c r="K28" s="13" t="n">
        <x:f>0</x:f>
        <x:v>0</x:v>
      </x:c>
      <x:c r="L28" s="13" t="n">
        <x:f>SUM(G28,I28:K28)</x:f>
        <x:v>714857</x:v>
      </x:c>
      <x:c r="M28" s="13" t="n">
        <x:f>'Параметры'!$B$20+IF(A28&lt;=1897,(1897-A28)*'Параметры'!$B$21,(A28-1897)*'Параметры'!$B$22)</x:f>
        <x:v>30000</x:v>
      </x:c>
      <x:c r="N28" s="13" t="n">
        <x:f>L28-M28</x:f>
        <x:v>684857</x:v>
      </x:c>
      <x:c r="O28" s="13" t="n">
        <x:f>L28+M28</x:f>
        <x:v>744857</x:v>
      </x:c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23" customHeight="1">
      <x:c r="A29" s="2" t="n">
        <x:v>1904</x:v>
      </x:c>
      <x:c r="B29" s="13" t="n">
        <x:f>'Источники'!J29</x:f>
        <x:v>2169</x:v>
      </x:c>
      <x:c r="C29" s="23"/>
      <x:c r="D29" s="24"/>
      <x:c r="E29" s="13"/>
      <x:c r="F29" s="13"/>
      <x:c r="G29" s="13" t="n">
        <x:f>'Источники'!D28+'Параметры'!$B$30</x:f>
        <x:v>719012</x:v>
      </x:c>
      <x:c r="H29" s="13" t="n">
        <x:f>IF(A29&gt;'Параметры'!$B$18,'Параметры'!$B$17*('Параметры'!$B$23*'Источники'!L28-'Источники'!K28),0)</x:f>
        <x:v>0</x:v>
      </x:c>
      <x:c r="I29" s="13" t="n">
        <x:f>I28+H29</x:f>
        <x:v>0</x:v>
      </x:c>
      <x:c r="J29" s="13" t="n">
        <x:f>'Параметры'!$B$15*MAX(0,MIN(A29,'Параметры'!$B$16+1)-1897)</x:f>
        <x:v>7000</x:v>
      </x:c>
      <x:c r="K29" s="13" t="n">
        <x:f>0</x:f>
        <x:v>0</x:v>
      </x:c>
      <x:c r="L29" s="13" t="n">
        <x:f>SUM(G29,I29:K29)</x:f>
        <x:v>726012</x:v>
      </x:c>
      <x:c r="M29" s="13" t="n">
        <x:f>'Параметры'!$B$20+IF(A29&lt;=1897,(1897-A29)*'Параметры'!$B$21,(A29-1897)*'Параметры'!$B$22)</x:f>
        <x:v>32500</x:v>
      </x:c>
      <x:c r="N29" s="13" t="n">
        <x:f>L29-M29</x:f>
        <x:v>693512</x:v>
      </x:c>
      <x:c r="O29" s="13" t="n">
        <x:f>L29+M29</x:f>
        <x:v>758512</x:v>
      </x:c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23" customHeight="1">
      <x:c r="A30" s="2" t="n">
        <x:v>1905</x:v>
      </x:c>
      <x:c r="B30" s="13" t="n">
        <x:f>'Источники'!J30</x:f>
        <x:v>3733</x:v>
      </x:c>
      <x:c r="C30" s="23"/>
      <x:c r="D30" s="24"/>
      <x:c r="E30" s="13"/>
      <x:c r="F30" s="13"/>
      <x:c r="G30" s="13" t="n">
        <x:f>'Источники'!D29+'Параметры'!$B$30</x:f>
        <x:v>724331</x:v>
      </x:c>
      <x:c r="H30" s="13" t="n">
        <x:f>IF(A30&gt;'Параметры'!$B$18,'Параметры'!$B$17*('Параметры'!$B$23*'Источники'!L29-'Источники'!K29),0)</x:f>
        <x:v>730.6778103122779</x:v>
      </x:c>
      <x:c r="I30" s="13" t="n">
        <x:f>I29+H30</x:f>
        <x:v>730.6778103122779</x:v>
      </x:c>
      <x:c r="J30" s="13" t="n">
        <x:f>'Параметры'!$B$15*MAX(0,MIN(A30,'Параметры'!$B$16+1)-1897)</x:f>
        <x:v>8000</x:v>
      </x:c>
      <x:c r="K30" s="13" t="n">
        <x:f>0</x:f>
        <x:v>0</x:v>
      </x:c>
      <x:c r="L30" s="13" t="n">
        <x:f>SUM(G30,I30:K30)</x:f>
        <x:v>733061.6778103122</x:v>
      </x:c>
      <x:c r="M30" s="13" t="n">
        <x:f>'Параметры'!$B$20+IF(A30&lt;=1897,(1897-A30)*'Параметры'!$B$21,(A30-1897)*'Параметры'!$B$22)</x:f>
        <x:v>35000</x:v>
      </x:c>
      <x:c r="N30" s="13" t="n">
        <x:f>L30-M30</x:f>
        <x:v>698061.6778103122</x:v>
      </x:c>
      <x:c r="O30" s="13" t="n">
        <x:f>L30+M30</x:f>
        <x:v>768061.6778103122</x:v>
      </x:c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23" customHeight="1">
      <x:c r="A31" s="2" t="n">
        <x:v>1906</x:v>
      </x:c>
      <x:c r="B31" s="13" t="n">
        <x:f>'Источники'!J31</x:f>
        <x:v>4574</x:v>
      </x:c>
      <x:c r="C31" s="23"/>
      <x:c r="D31" s="24"/>
      <x:c r="E31" s="13"/>
      <x:c r="F31" s="13"/>
      <x:c r="G31" s="13" t="n">
        <x:f>'Источники'!D30+'Параметры'!$B$30</x:f>
        <x:v>729243</x:v>
      </x:c>
      <x:c r="H31" s="13" t="n">
        <x:f>IF(A31&gt;'Параметры'!$B$18,'Параметры'!$B$17*('Параметры'!$B$23*'Источники'!L30-'Источники'!K30),0)</x:f>
        <x:v>1638.4114669219857</x:v>
      </x:c>
      <x:c r="I31" s="13" t="n">
        <x:f>I30+H31</x:f>
        <x:v>2369.0892772342636</x:v>
      </x:c>
      <x:c r="J31" s="13" t="n">
        <x:f>'Параметры'!$B$15*MAX(0,MIN(A31,'Параметры'!$B$16+1)-1897)</x:f>
        <x:v>9000</x:v>
      </x:c>
      <x:c r="K31" s="13" t="n">
        <x:f>0</x:f>
        <x:v>0</x:v>
      </x:c>
      <x:c r="L31" s="13" t="n">
        <x:f>SUM(G31,I31:K31)</x:f>
        <x:v>740612.0892772343</x:v>
      </x:c>
      <x:c r="M31" s="13" t="n">
        <x:f>'Параметры'!$B$20+IF(A31&lt;=1897,(1897-A31)*'Параметры'!$B$21,(A31-1897)*'Параметры'!$B$22)</x:f>
        <x:v>37500</x:v>
      </x:c>
      <x:c r="N31" s="13" t="n">
        <x:f>L31-M31</x:f>
        <x:v>703112.0892772343</x:v>
      </x:c>
      <x:c r="O31" s="13" t="n">
        <x:f>L31+M31</x:f>
        <x:v>778112.0892772343</x:v>
      </x:c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23" customHeight="1">
      <x:c r="A32" s="2" t="n">
        <x:v>1907</x:v>
      </x:c>
      <x:c r="B32" s="13" t="n">
        <x:f>'Источники'!J32</x:f>
        <x:v>5437</x:v>
      </x:c>
      <x:c r="C32" s="23"/>
      <x:c r="D32" s="24"/>
      <x:c r="E32" s="13"/>
      <x:c r="F32" s="13"/>
      <x:c r="G32" s="13" t="n">
        <x:f>'Источники'!D31+'Параметры'!$B$30</x:f>
        <x:v>736457</x:v>
      </x:c>
      <x:c r="H32" s="13" t="n">
        <x:f>IF(A32&gt;'Параметры'!$B$18,'Параметры'!$B$17*('Параметры'!$B$23*'Источники'!L31-'Источники'!K31),0)</x:f>
        <x:v>945.2221449658964</x:v>
      </x:c>
      <x:c r="I32" s="13" t="n">
        <x:f>I31+H32</x:f>
        <x:v>3314.31142220016</x:v>
      </x:c>
      <x:c r="J32" s="13" t="n">
        <x:f>'Параметры'!$B$15*MAX(0,MIN(A32,'Параметры'!$B$16+1)-1897)</x:f>
        <x:v>10000</x:v>
      </x:c>
      <x:c r="K32" s="13" t="n">
        <x:f>0</x:f>
        <x:v>0</x:v>
      </x:c>
      <x:c r="L32" s="13" t="n">
        <x:f>SUM(G32,I32:K32)</x:f>
        <x:v>749771.3114222002</x:v>
      </x:c>
      <x:c r="M32" s="13" t="n">
        <x:f>'Параметры'!$B$20+IF(A32&lt;=1897,(1897-A32)*'Параметры'!$B$21,(A32-1897)*'Параметры'!$B$22)</x:f>
        <x:v>40000</x:v>
      </x:c>
      <x:c r="N32" s="13" t="n">
        <x:f>L32-M32</x:f>
        <x:v>709771.3114222002</x:v>
      </x:c>
      <x:c r="O32" s="13" t="n">
        <x:f>L32+M32</x:f>
        <x:v>789771.3114222002</x:v>
      </x:c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23" customHeight="1">
      <x:c r="A33" s="2" t="n">
        <x:v>1908</x:v>
      </x:c>
      <x:c r="B33" s="13" t="n">
        <x:f>'Источники'!J33</x:f>
        <x:v>4843</x:v>
      </x:c>
      <x:c r="C33" s="23"/>
      <x:c r="D33" s="24"/>
      <x:c r="E33" s="13"/>
      <x:c r="F33" s="13"/>
      <x:c r="G33" s="13" t="n">
        <x:f>'Источники'!D32+'Параметры'!$B$30</x:f>
        <x:v>743510</x:v>
      </x:c>
      <x:c r="H33" s="13" t="n">
        <x:f>IF(A33&gt;'Параметры'!$B$18,'Параметры'!$B$17*('Параметры'!$B$23*'Источники'!L32-'Источники'!K32),0)</x:f>
        <x:v>1433.5853011192748</x:v>
      </x:c>
      <x:c r="I33" s="13" t="n">
        <x:f>I32+H33</x:f>
        <x:v>4747.896723319434</x:v>
      </x:c>
      <x:c r="J33" s="13" t="n">
        <x:f>'Параметры'!$B$15*MAX(0,MIN(A33,'Параметры'!$B$16+1)-1897)</x:f>
        <x:v>11000</x:v>
      </x:c>
      <x:c r="K33" s="13" t="n">
        <x:f>0</x:f>
        <x:v>0</x:v>
      </x:c>
      <x:c r="L33" s="13" t="n">
        <x:f>SUM(G33,I33:K33)</x:f>
        <x:v>759257.8967233194</x:v>
      </x:c>
      <x:c r="M33" s="13" t="n">
        <x:f>'Параметры'!$B$20+IF(A33&lt;=1897,(1897-A33)*'Параметры'!$B$21,(A33-1897)*'Параметры'!$B$22)</x:f>
        <x:v>42500</x:v>
      </x:c>
      <x:c r="N33" s="13" t="n">
        <x:f>L33-M33</x:f>
        <x:v>716757.8967233194</x:v>
      </x:c>
      <x:c r="O33" s="13" t="n">
        <x:f>L33+M33</x:f>
        <x:v>801757.8967233194</x:v>
      </x:c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23" customHeight="1">
      <x:c r="A34" s="2" t="n">
        <x:v>1909</x:v>
      </x:c>
      <x:c r="B34" s="13" t="n">
        <x:f>'Источники'!J34</x:f>
        <x:v>4587</x:v>
      </x:c>
      <x:c r="C34" s="23"/>
      <x:c r="D34" s="24"/>
      <x:c r="E34" s="13"/>
      <x:c r="F34" s="13"/>
      <x:c r="G34" s="13" t="n">
        <x:f>'Источники'!D33+'Параметры'!$B$30</x:f>
        <x:v>749920</x:v>
      </x:c>
      <x:c r="H34" s="13" t="n">
        <x:f>IF(A34&gt;'Параметры'!$B$18,'Параметры'!$B$17*('Параметры'!$B$23*'Источники'!L33-'Источники'!K33),0)</x:f>
        <x:v>1482.997384091544</x:v>
      </x:c>
      <x:c r="I34" s="13" t="n">
        <x:f>I33+H34</x:f>
        <x:v>6230.894107410979</x:v>
      </x:c>
      <x:c r="J34" s="13" t="n">
        <x:f>'Параметры'!$B$15*MAX(0,MIN(A34,'Параметры'!$B$16+1)-1897)</x:f>
        <x:v>12000</x:v>
      </x:c>
      <x:c r="K34" s="13" t="n">
        <x:f>'Параметры'!$B$19*'Параметры'!$B$35</x:f>
        <x:v>10751</x:v>
      </x:c>
      <x:c r="L34" s="13" t="n">
        <x:f>SUM(G34,I34:K34)</x:f>
        <x:v>778901.894107411</x:v>
      </x:c>
      <x:c r="M34" s="13" t="n">
        <x:f>'Параметры'!$B$20+IF(A34&lt;=1897,(1897-A34)*'Параметры'!$B$21,(A34-1897)*'Параметры'!$B$22)</x:f>
        <x:v>45000</x:v>
      </x:c>
      <x:c r="N34" s="13" t="n">
        <x:f>L34-M34</x:f>
        <x:v>733901.894107411</x:v>
      </x:c>
      <x:c r="O34" s="13" t="n">
        <x:f>L34+M34</x:f>
        <x:v>823901.894107411</x:v>
      </x:c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23" customHeight="1">
      <x:c r="A35" s="2" t="n">
        <x:v>1910</x:v>
      </x:c>
      <x:c r="B35" s="13" t="n">
        <x:f>'Источники'!J35</x:f>
        <x:v>4496</x:v>
      </x:c>
      <x:c r="C35" s="23"/>
      <x:c r="D35" s="24"/>
      <x:c r="E35" s="13"/>
      <x:c r="F35" s="13"/>
      <x:c r="G35" s="13" t="n">
        <x:f>'Источники'!D34+'Параметры'!$B$30</x:f>
        <x:v>777668</x:v>
      </x:c>
      <x:c r="H35" s="13" t="n">
        <x:f>IF(A35&gt;'Параметры'!$B$18,'Параметры'!$B$17*('Параметры'!$B$23*'Источники'!L34-'Источники'!K34),0)</x:f>
        <x:v>1427.010712161592</x:v>
      </x:c>
      <x:c r="I35" s="13" t="n">
        <x:f>I34+H35</x:f>
        <x:v>7657.904819572571</x:v>
      </x:c>
      <x:c r="J35" s="13" t="n">
        <x:f>'Параметры'!$B$15*MAX(0,MIN(A35,'Параметры'!$B$16+1)-1897)</x:f>
        <x:v>12000</x:v>
      </x:c>
      <x:c r="K35" s="13" t="n">
        <x:f>0</x:f>
        <x:v>0</x:v>
      </x:c>
      <x:c r="L35" s="13" t="n">
        <x:f>SUM(G35,I35:K35)</x:f>
        <x:v>797325.9048195726</x:v>
      </x:c>
      <x:c r="M35" s="13" t="n">
        <x:f>'Параметры'!$B$20+IF(A35&lt;=1897,(1897-A35)*'Параметры'!$B$21,(A35-1897)*'Параметры'!$B$22)</x:f>
        <x:v>47500</x:v>
      </x:c>
      <x:c r="N35" s="13" t="n">
        <x:f>L35-M35</x:f>
        <x:v>749825.9048195726</x:v>
      </x:c>
      <x:c r="O35" s="13" t="n">
        <x:f>L35+M35</x:f>
        <x:v>844825.9048195726</x:v>
      </x:c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23" customHeight="1">
      <x:c r="A36" s="2" t="n">
        <x:v>1911</x:v>
      </x:c>
      <x:c r="B36" s="13" t="n">
        <x:f>'Источники'!J36</x:f>
        <x:v>4659</x:v>
      </x:c>
      <x:c r="C36" s="23"/>
      <x:c r="D36" s="24"/>
      <x:c r="E36" s="13"/>
      <x:c r="F36" s="13"/>
      <x:c r="G36" s="13" t="n">
        <x:f>'Источники'!D35+'Параметры'!$B$30</x:f>
        <x:v>803937</x:v>
      </x:c>
      <x:c r="H36" s="13" t="n">
        <x:f>IF(A36&gt;'Параметры'!$B$18,'Параметры'!$B$17*('Параметры'!$B$23*'Источники'!L35-'Источники'!K35),0)</x:f>
        <x:v>899.4492135040155</x:v>
      </x:c>
      <x:c r="I36" s="13" t="n">
        <x:f>I35+H36</x:f>
        <x:v>8557.354033076586</x:v>
      </x:c>
      <x:c r="J36" s="13" t="n">
        <x:f>'Параметры'!$B$15*MAX(0,MIN(A36,'Параметры'!$B$16+1)-1897)</x:f>
        <x:v>12000</x:v>
      </x:c>
      <x:c r="K36" s="13" t="n">
        <x:f>0</x:f>
        <x:v>0</x:v>
      </x:c>
      <x:c r="L36" s="13" t="n">
        <x:f>SUM(G36,I36:K36)</x:f>
        <x:v>824494.3540330766</x:v>
      </x:c>
      <x:c r="M36" s="13" t="n">
        <x:f>'Параметры'!$B$20+IF(A36&lt;=1897,(1897-A36)*'Параметры'!$B$21,(A36-1897)*'Параметры'!$B$22)</x:f>
        <x:v>50000</x:v>
      </x:c>
      <x:c r="N36" s="13" t="n">
        <x:f>L36-M36</x:f>
        <x:v>774494.3540330766</x:v>
      </x:c>
      <x:c r="O36" s="13" t="n">
        <x:f>L36+M36</x:f>
        <x:v>874494.3540330766</x:v>
      </x:c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23" customHeight="1">
      <x:c r="A37" s="2" t="n">
        <x:v>1912</x:v>
      </x:c>
      <x:c r="B37" s="13" t="n">
        <x:f>'Источники'!J37</x:f>
        <x:v>4933</x:v>
      </x:c>
      <x:c r="C37" s="23"/>
      <x:c r="D37" s="24"/>
      <x:c r="E37" s="13"/>
      <x:c r="F37" s="13"/>
      <x:c r="G37" s="13" t="n">
        <x:f>'Источники'!D36+'Параметры'!$B$30</x:f>
        <x:v>813640</x:v>
      </x:c>
      <x:c r="H37" s="13" t="n">
        <x:f>IF(A37&gt;'Параметры'!$B$18,'Параметры'!$B$17*('Параметры'!$B$23*'Источники'!L36-'Источники'!K36),0)</x:f>
        <x:v>2431.7280858114573</x:v>
      </x:c>
      <x:c r="I37" s="13" t="n">
        <x:f>I36+H37</x:f>
        <x:v>10989.082118888044</x:v>
      </x:c>
      <x:c r="J37" s="13" t="n">
        <x:f>'Параметры'!$B$15*MAX(0,MIN(A37,'Параметры'!$B$16+1)-1897)</x:f>
        <x:v>12000</x:v>
      </x:c>
      <x:c r="K37" s="13" t="n">
        <x:f>0</x:f>
        <x:v>0</x:v>
      </x:c>
      <x:c r="L37" s="13" t="n">
        <x:f>SUM(G37,I37:K37)</x:f>
        <x:v>836629.082118888</x:v>
      </x:c>
      <x:c r="M37" s="13" t="n">
        <x:f>'Параметры'!$B$20+IF(A37&lt;=1897,(1897-A37)*'Параметры'!$B$21,(A37-1897)*'Параметры'!$B$22)</x:f>
        <x:v>52500</x:v>
      </x:c>
      <x:c r="N37" s="13" t="n">
        <x:f>L37-M37</x:f>
        <x:v>784129.082118888</x:v>
      </x:c>
      <x:c r="O37" s="13" t="n">
        <x:f>L37+M37</x:f>
        <x:v>889129.082118888</x:v>
      </x:c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23" customHeight="1">
      <x:c r="A38" s="2" t="n">
        <x:v>1913</x:v>
      </x:c>
      <x:c r="B38" s="13" t="n">
        <x:f>'Источники'!J38</x:f>
        <x:v>5393</x:v>
      </x:c>
      <x:c r="C38" s="23"/>
      <x:c r="D38" s="24"/>
      <x:c r="E38" s="13"/>
      <x:c r="F38" s="13"/>
      <x:c r="G38" s="13" t="n">
        <x:f>'Источники'!D37+'Параметры'!$B$30</x:f>
        <x:v>817952</x:v>
      </x:c>
      <x:c r="H38" s="13" t="n">
        <x:f>IF(A38&gt;'Параметры'!$B$18,'Параметры'!$B$17*('Параметры'!$B$23*'Источники'!L37-'Источники'!K37),0)</x:f>
        <x:v>2862.1774437777276</x:v>
      </x:c>
      <x:c r="I38" s="13" t="n">
        <x:f>I37+H38</x:f>
        <x:v>13851.259562665771</x:v>
      </x:c>
      <x:c r="J38" s="13" t="n">
        <x:f>'Параметры'!$B$15*MAX(0,MIN(A38,'Параметры'!$B$16+1)-1897)</x:f>
        <x:v>12000</x:v>
      </x:c>
      <x:c r="K38" s="13" t="n">
        <x:f>0</x:f>
        <x:v>0</x:v>
      </x:c>
      <x:c r="L38" s="13" t="n">
        <x:f>SUM(G38,I38:K38)</x:f>
        <x:v>843803.2595626658</x:v>
      </x:c>
      <x:c r="M38" s="13" t="n">
        <x:f>'Параметры'!$B$20+IF(A38&lt;=1897,(1897-A38)*'Параметры'!$B$21,(A38-1897)*'Параметры'!$B$22)</x:f>
        <x:v>55000</x:v>
      </x:c>
      <x:c r="N38" s="13" t="n">
        <x:f>L38-M38</x:f>
        <x:v>788803.2595626658</x:v>
      </x:c>
      <x:c r="O38" s="13" t="n">
        <x:f>L38+M38</x:f>
        <x:v>898803.2595626658</x:v>
      </x:c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23" customHeight="1">
      <x:c r="A39" s="2" t="n">
        <x:v>1914</x:v>
      </x:c>
      <x:c r="B39" s="13" t="n">
        <x:f>'Источники'!J39</x:f>
        <x:v>5782</x:v>
      </x:c>
      <x:c r="C39" s="23"/>
      <x:c r="D39" s="24"/>
      <x:c r="E39" s="13"/>
      <x:c r="F39" s="13"/>
      <x:c r="G39" s="13" t="n">
        <x:f>'Источники'!D38+'Параметры'!$B$30</x:f>
        <x:v>835620</x:v>
      </x:c>
      <x:c r="H39" s="13" t="n">
        <x:f>IF(A39&gt;'Параметры'!$B$18,'Параметры'!$B$17*('Параметры'!$B$23*'Источники'!L38-'Источники'!K38),0)</x:f>
        <x:v>2289.267235850877</x:v>
      </x:c>
      <x:c r="I39" s="13" t="n">
        <x:f>I38+H39</x:f>
        <x:v>16140.526798516648</x:v>
      </x:c>
      <x:c r="J39" s="13" t="n">
        <x:f>'Параметры'!$B$15*MAX(0,MIN(A39,'Параметры'!$B$16+1)-1897)</x:f>
        <x:v>12000</x:v>
      </x:c>
      <x:c r="K39" s="13" t="n">
        <x:f>0</x:f>
        <x:v>0</x:v>
      </x:c>
      <x:c r="L39" s="13" t="n">
        <x:f>SUM(G39,I39:K39)</x:f>
        <x:v>863760.5267985166</x:v>
      </x:c>
      <x:c r="M39" s="13" t="n">
        <x:f>'Параметры'!$B$20+IF(A39&lt;=1897,(1897-A39)*'Параметры'!$B$21,(A39-1897)*'Параметры'!$B$22)</x:f>
        <x:v>57500</x:v>
      </x:c>
      <x:c r="N39" s="13" t="n">
        <x:f>L39-M39</x:f>
        <x:v>806260.5267985166</x:v>
      </x:c>
      <x:c r="O39" s="13" t="n">
        <x:f>L39+M39</x:f>
        <x:v>921260.5267985166</x:v>
      </x:c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23" customHeight="1">
      <x:c r="A40" s="2" t="n">
        <x:v>1915</x:v>
      </x:c>
      <x:c r="B40" s="13" t="n">
        <x:f>'Источники'!J40</x:f>
        <x:v>5078</x:v>
      </x:c>
      <x:c r="C40" s="23"/>
      <x:c r="D40" s="24"/>
      <x:c r="E40" s="13"/>
      <x:c r="F40" s="13"/>
      <x:c r="G40" s="13" t="n">
        <x:f>'Источники'!D39+'Параметры'!$B$30</x:f>
        <x:v>856214</x:v>
      </x:c>
      <x:c r="H40" s="13" t="n">
        <x:f>IF(A40&gt;'Параметры'!$B$18,'Параметры'!$B$17*('Параметры'!$B$23*'Источники'!L39-'Источники'!K39),0)</x:f>
        <x:v>2282.0741638039503</x:v>
      </x:c>
      <x:c r="I40" s="13" t="n">
        <x:f>I39+H40</x:f>
        <x:v>18422.600962320597</x:v>
      </x:c>
      <x:c r="J40" s="13" t="n">
        <x:f>'Параметры'!$B$15*MAX(0,MIN(A40,'Параметры'!$B$16+1)-1897)</x:f>
        <x:v>12000</x:v>
      </x:c>
      <x:c r="K40" s="13" t="n">
        <x:f>0</x:f>
        <x:v>0</x:v>
      </x:c>
      <x:c r="L40" s="13" t="n">
        <x:f>SUM(G40,I40:K40)</x:f>
        <x:v>886636.6009623206</x:v>
      </x:c>
      <x:c r="M40" s="13" t="n">
        <x:f>'Параметры'!$B$20+IF(A40&lt;=1897,(1897-A40)*'Параметры'!$B$21,(A40-1897)*'Параметры'!$B$22)</x:f>
        <x:v>60000</x:v>
      </x:c>
      <x:c r="N40" s="13" t="n">
        <x:f>L40-M40</x:f>
        <x:v>826636.6009623206</x:v>
      </x:c>
      <x:c r="O40" s="13" t="n">
        <x:f>L40+M40</x:f>
        <x:v>946636.6009623206</x:v>
      </x:c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7" hidden="0" customWidth="1"/>
    <x:col min="3" max="3" width="17" hidden="0" customWidth="1"/>
    <x:col min="4" max="4" width="17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43" hidden="0" customWidth="1"/>
    <x:col min="14" max="14" width="43" hidden="0" customWidth="1"/>
    <x:col min="15" max="15" width="43" hidden="0" customWidth="1"/>
    <x:col min="16" max="16" width="43" hidden="0" customWidth="1"/>
    <x:col min="17" max="17" width="43" hidden="0" customWidth="1"/>
    <x:col min="18" max="18" width="45" hidden="0" customWidth="1"/>
    <x:col min="19" max="19" width="23" hidden="0" customWidth="1"/>
    <x:col min="20" max="20" width="23" hidden="0" customWidth="1"/>
    <x:col min="21" max="21" width="12" hidden="0" customWidth="1"/>
    <x:col min="22" max="22" width="20" hidden="0" customWidth="1"/>
    <x:col min="23" max="23" width="15" hidden="0" customWidth="1"/>
    <x:col min="24" max="24" width="15" hidden="0" customWidth="1"/>
    <x:col min="25" max="25" width="15" hidden="0" customWidth="1"/>
    <x:col min="26" max="26" width="3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3" t="str">
        <x:v>Исходные сведения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4" t="str">
        <x:v>Сводка Uralskaia_1881_1915.html и .xlsx. Даты и группы источника сохранены.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2"/>
      <x:c r="V4" s="2"/>
      <x:c r="W4" s="2"/>
      <x:c r="X4" s="2"/>
      <x:c r="Y4" s="2"/>
      <x:c r="Z4" s="2"/>
    </x:row>
    <x:row r="5" ht="42" customHeight="1">
      <x:c r="A5" s="10" t="str">
        <x:v>Отчётный год</x:v>
      </x:c>
      <x:c r="B5" s="10" t="str">
        <x:v>Оседлое, чел.</x:v>
      </x:c>
      <x:c r="C5" s="10" t="str">
        <x:v>Кочевое, чел.</x:v>
      </x:c>
      <x:c r="D5" s="10" t="str">
        <x:v>Всего, чел.</x:v>
      </x:c>
      <x:c r="E5" s="10" t="str">
        <x:v>Итог приблизительный</x:v>
      </x:c>
      <x:c r="F5" s="10" t="str">
        <x:v>Рождения оседлых</x:v>
      </x:c>
      <x:c r="G5" s="10" t="str">
        <x:v>Рождения кочевых</x:v>
      </x:c>
      <x:c r="H5" s="10" t="str">
        <x:v>Смерти оседлых</x:v>
      </x:c>
      <x:c r="I5" s="10" t="str">
        <x:v>Смерти кочевых</x:v>
      </x:c>
      <x:c r="J5" s="10" t="str">
        <x:v>Ест. прирост оседлых</x:v>
      </x:c>
      <x:c r="K5" s="10" t="str">
        <x:v>Ест. прирост кочевых</x:v>
      </x:c>
      <x:c r="L5" s="10" t="str">
        <x:v>Среднее кочевых, чел.-лет</x:v>
      </x:c>
      <x:c r="M5" s="10" t="str">
        <x:v>Дата численности</x:v>
      </x:c>
      <x:c r="N5" s="10" t="str">
        <x:v>Страницы численности</x:v>
      </x:c>
      <x:c r="O5" s="10" t="str">
        <x:v>Страницы событий</x:v>
      </x:c>
      <x:c r="P5" s="10" t="str">
        <x:v>Охват событий</x:v>
      </x:c>
      <x:c r="Q5" s="10" t="str">
        <x:v>Определение групп</x:v>
      </x:c>
      <x:c r="R5" s="10" t="str">
        <x:v>Первичный источник</x:v>
      </x:c>
      <x:c r="S5" s="10" t="str">
        <x:v>Итог как в тексте</x:v>
      </x:c>
      <x:c r="T5" s="10" t="str">
        <x:v>Экспозиция оседлых для калибровки</x:v>
      </x:c>
      <x:c r="U5" s="10" t="str">
        <x:v>Год</x:v>
      </x:c>
      <x:c r="V5" s="10" t="str">
        <x:v>Уезд</x:v>
      </x:c>
      <x:c r="W5" s="10" t="str">
        <x:v>Рождения</x:v>
      </x:c>
      <x:c r="X5" s="10" t="str">
        <x:v>Смерти</x:v>
      </x:c>
      <x:c r="Y5" s="10" t="str">
        <x:v>B−D, расчёт</x:v>
      </x:c>
      <x:c r="Z5" s="10" t="str">
        <x:v>Источник</x:v>
      </x:c>
    </x:row>
    <x:row r="6" ht="62" customHeight="1">
      <x:c r="A6" s="2" t="n">
        <x:v>1881</x:v>
      </x:c>
      <x:c r="B6" s="11" t="n">
        <x:v>109553</x:v>
      </x:c>
      <x:c r="C6" s="11" t="n">
        <x:v>412474</x:v>
      </x:c>
      <x:c r="D6" s="11" t="n">
        <x:v>522027</x:v>
      </x:c>
      <x:c r="E6" s="12" t="b">
        <x:v>0</x:v>
      </x:c>
      <x:c r="F6" s="11" t="n">
        <x:v>3885</x:v>
      </x:c>
      <x:c r="G6" s="11"/>
      <x:c r="H6" s="11" t="n">
        <x:v>3400</x:v>
      </x:c>
      <x:c r="I6" s="11"/>
      <x:c r="J6" s="11" t="n">
        <x:f>F6-H6</x:f>
        <x:v>485</x:v>
      </x:c>
      <x:c r="K6" s="14" t="str">
        <x:f>IF(OR(G6="",I6=""),"н/д",G6-I6)</x:f>
        <x:v>н/д</x:v>
      </x:c>
      <x:c r="L6" s="11"/>
      <x:c r="M6" s="15" t="str">
        <x:v>За 1881 г.; точная дата не указана</x:v>
      </x:c>
      <x:c r="N6" s="15" t="str">
        <x:v>вед. А, PDF 31</x:v>
      </x:c>
      <x:c r="O6" s="15" t="str">
        <x:v>разд. I-е / PDF 9; вед. № 3 / PDF 21</x:v>
      </x:c>
      <x:c r="P6" s="15" t="str">
        <x:v>Только оседлое; кочевые события отсутствуют; полный областной итог неизвестен</x:v>
      </x:c>
      <x:c r="Q6" s="15" t="str">
        <x:v>Условно: общий итог минус сословная строка инородцев</x:v>
      </x:c>
      <x:c r="R6" s="15" t="str">
        <x:v>https://archive.org/download/obzor_uralskoi_oblasti/Обзор Уральской области за 1881 - RAW.pdf</x:v>
      </x:c>
      <x:c r="S6" s="15" t="str">
        <x:v>522 027</x:v>
      </x:c>
      <x:c r="T6" s="13" t="n">
        <x:f>B6</x:f>
        <x:v>109553</x:v>
      </x:c>
      <x:c r="U6" s="2" t="n">
        <x:v>1897</x:v>
      </x:c>
      <x:c r="V6" s="2" t="str">
        <x:v>Гурьевский</x:v>
      </x:c>
      <x:c r="W6" s="11" t="n">
        <x:v>2224</x:v>
      </x:c>
      <x:c r="X6" s="11" t="n">
        <x:v>1038</x:v>
      </x:c>
      <x:c r="Y6" s="11" t="n">
        <x:f>W6-X6</x:f>
        <x:v>1186</x:v>
      </x:c>
      <x:c r="Z6" s="2" t="str">
        <x:v>Обзор 1897, с. 16 / PDF 24</x:v>
      </x:c>
    </x:row>
    <x:row r="7" ht="62" customHeight="1">
      <x:c r="A7" s="2" t="n">
        <x:v>1882</x:v>
      </x:c>
      <x:c r="B7" s="11" t="n">
        <x:v>108943</x:v>
      </x:c>
      <x:c r="C7" s="11" t="n">
        <x:v>412601</x:v>
      </x:c>
      <x:c r="D7" s="11" t="n">
        <x:v>521544</x:v>
      </x:c>
      <x:c r="E7" s="12" t="b">
        <x:v>0</x:v>
      </x:c>
      <x:c r="F7" s="11" t="n">
        <x:v>4423</x:v>
      </x:c>
      <x:c r="G7" s="11"/>
      <x:c r="H7" s="11" t="n">
        <x:v>3641</x:v>
      </x:c>
      <x:c r="I7" s="11"/>
      <x:c r="J7" s="11" t="n">
        <x:f>F7-H7</x:f>
        <x:v>782</x:v>
      </x:c>
      <x:c r="K7" s="14" t="str">
        <x:f>IF(OR(G7="",I7=""),"н/д",G7-I7)</x:f>
        <x:v>н/д</x:v>
      </x:c>
      <x:c r="L7" s="11"/>
      <x:c r="M7" s="15" t="str">
        <x:v>За 1882 г.; точная дата не указана</x:v>
      </x:c>
      <x:c r="N7" s="15" t="str">
        <x:v>вед. А, PDF 23</x:v>
      </x:c>
      <x:c r="O7" s="15" t="str">
        <x:v>разд. I-е / PDF 9</x:v>
      </x:c>
      <x:c r="P7" s="15" t="str">
        <x:v>Только оседлое; кочевые события отсутствуют; полный областной итог неизвестен</x:v>
      </x:c>
      <x:c r="Q7" s="15" t="str">
        <x:v>Условно: общий итог минус сословная строка инородцев</x:v>
      </x:c>
      <x:c r="R7" s="15" t="str">
        <x:v>https://archive.org/download/obzor_uralskoi_oblasti/Обзор Уральской области за 1882 - RAW.pdf</x:v>
      </x:c>
      <x:c r="S7" s="15" t="str">
        <x:v>521 544</x:v>
      </x:c>
      <x:c r="T7" s="13" t="n">
        <x:f>B7</x:f>
        <x:v>108943</x:v>
      </x:c>
      <x:c r="U7" s="2" t="n">
        <x:v>1897</x:v>
      </x:c>
      <x:c r="V7" s="2" t="str">
        <x:v>Темирский</x:v>
      </x:c>
      <x:c r="W7" s="11" t="n">
        <x:v>2505</x:v>
      </x:c>
      <x:c r="X7" s="11" t="n">
        <x:v>1282</x:v>
      </x:c>
      <x:c r="Y7" s="11" t="n">
        <x:f>W7-X7</x:f>
        <x:v>1223</x:v>
      </x:c>
      <x:c r="Z7" s="2" t="str">
        <x:v>Обзор 1897, с. 16 / PDF 24</x:v>
      </x:c>
    </x:row>
    <x:row r="8" ht="62" customHeight="1">
      <x:c r="A8" s="2" t="n">
        <x:v>1883</x:v>
      </x:c>
      <x:c r="B8" s="11" t="n">
        <x:v>113087</x:v>
      </x:c>
      <x:c r="C8" s="11" t="n">
        <x:v>393260</x:v>
      </x:c>
      <x:c r="D8" s="11" t="n">
        <x:v>506347</x:v>
      </x:c>
      <x:c r="E8" s="12" t="b">
        <x:v>0</x:v>
      </x:c>
      <x:c r="F8" s="11" t="n">
        <x:v>4004</x:v>
      </x:c>
      <x:c r="G8" s="11"/>
      <x:c r="H8" s="11" t="n">
        <x:v>2756</x:v>
      </x:c>
      <x:c r="I8" s="11"/>
      <x:c r="J8" s="11" t="n">
        <x:f>F8-H8</x:f>
        <x:v>1248</x:v>
      </x:c>
      <x:c r="K8" s="14" t="str">
        <x:f>IF(OR(G8="",I8=""),"н/д",G8-I8)</x:f>
        <x:v>н/д</x:v>
      </x:c>
      <x:c r="L8" s="11"/>
      <x:c r="M8" s="15" t="str">
        <x:v>За 1883 г.; точная дата не указана</x:v>
      </x:c>
      <x:c r="N8" s="15" t="str">
        <x:v>вед. А, PDF 32</x:v>
      </x:c>
      <x:c r="O8" s="15" t="str">
        <x:v>разд. I-е / PDF 5; вед. № 3 / PDF 17</x:v>
      </x:c>
      <x:c r="P8" s="15" t="str">
        <x:v>Только оседлое; кочевые события отсутствуют; полный областной итог неизвестен</x:v>
      </x:c>
      <x:c r="Q8" s="15" t="str">
        <x:v>Условно: общий итог минус сословная строка инородцев</x:v>
      </x:c>
      <x:c r="R8" s="15" t="str">
        <x:v>https://archive.org/download/obzor_uralskoi_oblasti/Обзор Уральской области за 1883 - RAW.pdf</x:v>
      </x:c>
      <x:c r="S8" s="15" t="str">
        <x:v>506 347</x:v>
      </x:c>
      <x:c r="T8" s="13" t="n">
        <x:f>B8</x:f>
        <x:v>113087</x:v>
      </x:c>
      <x:c r="U8" s="2" t="n">
        <x:v>1898</x:v>
      </x:c>
      <x:c r="V8" s="2" t="str">
        <x:v>Гурьевский</x:v>
      </x:c>
      <x:c r="W8" s="11" t="n">
        <x:v>2676</x:v>
      </x:c>
      <x:c r="X8" s="11" t="n">
        <x:v>1368</x:v>
      </x:c>
      <x:c r="Y8" s="11" t="n">
        <x:f>W8-X8</x:f>
        <x:v>1308</x:v>
      </x:c>
      <x:c r="Z8" s="2" t="str">
        <x:v>Обзор 1898, с. 14 / PDF 22</x:v>
      </x:c>
    </x:row>
    <x:row r="9" ht="62" customHeight="1">
      <x:c r="A9" s="2" t="n">
        <x:v>1884</x:v>
      </x:c>
      <x:c r="B9" s="11"/>
      <x:c r="C9" s="11"/>
      <x:c r="D9" s="11"/>
      <x:c r="E9" s="12" t="b">
        <x:v>0</x:v>
      </x:c>
      <x:c r="F9" s="11" t="n">
        <x:v>4473</x:v>
      </x:c>
      <x:c r="G9" s="11"/>
      <x:c r="H9" s="11" t="n">
        <x:v>2756</x:v>
      </x:c>
      <x:c r="I9" s="11"/>
      <x:c r="J9" s="11" t="n">
        <x:f>F9-H9</x:f>
        <x:v>1717</x:v>
      </x:c>
      <x:c r="K9" s="14" t="str">
        <x:f>IF(OR(G9="",I9=""),"н/д",G9-I9)</x:f>
        <x:v>н/д</x:v>
      </x:c>
      <x:c r="L9" s="11"/>
      <x:c r="M9" s="15" t="str">
        <x:v>Оценка не найдена</x:v>
      </x:c>
      <x:c r="N9" s="15" t="str">
        <x:v>разд. VI, PDF 13; ведомости А и Б не найдены</x:v>
      </x:c>
      <x:c r="O9" s="15" t="str">
        <x:v>разд. I-е / PDF 7</x:v>
      </x:c>
      <x:c r="P9" s="15" t="str">
        <x:v>Только оседлое; кочевые события отсутствуют; полный областной итог неизвестен</x:v>
      </x:c>
      <x:c r="Q9" s="15" t="str">
        <x:v>Областная численность не установлена</x:v>
      </x:c>
      <x:c r="R9" s="15" t="str">
        <x:v>https://archive.org/download/obzor_uralskoi_oblasti/Обзор Уральской области за 1884 - RAW.pdf</x:v>
      </x:c>
      <x:c r="S9" s="15" t="str">
        <x:v>н/д</x:v>
      </x:c>
      <x:c r="T9" s="13" t="n">
        <x:f>AVERAGE(B8,B10)</x:f>
        <x:v>126108</x:v>
      </x:c>
      <x:c r="U9" s="2" t="n">
        <x:v>1898</x:v>
      </x:c>
      <x:c r="V9" s="2" t="str">
        <x:v>Темирский</x:v>
      </x:c>
      <x:c r="W9" s="11" t="n">
        <x:v>3014</x:v>
      </x:c>
      <x:c r="X9" s="11" t="n">
        <x:v>1541</x:v>
      </x:c>
      <x:c r="Y9" s="11" t="n">
        <x:f>W9-X9</x:f>
        <x:v>1473</x:v>
      </x:c>
      <x:c r="Z9" s="2" t="str">
        <x:v>Обзор 1898, с. 14 / PDF 22</x:v>
      </x:c>
    </x:row>
    <x:row r="10" ht="62" customHeight="1">
      <x:c r="A10" s="2" t="n">
        <x:v>1885</x:v>
      </x:c>
      <x:c r="B10" s="11" t="n">
        <x:v>139129</x:v>
      </x:c>
      <x:c r="C10" s="11" t="n">
        <x:v>388472</x:v>
      </x:c>
      <x:c r="D10" s="11" t="n">
        <x:v>527601</x:v>
      </x:c>
      <x:c r="E10" s="12" t="b">
        <x:v>0</x:v>
      </x:c>
      <x:c r="F10" s="11" t="n">
        <x:v>4295</x:v>
      </x:c>
      <x:c r="G10" s="11"/>
      <x:c r="H10" s="11" t="n">
        <x:v>3598</x:v>
      </x:c>
      <x:c r="I10" s="11"/>
      <x:c r="J10" s="11" t="n">
        <x:f>F10-H10</x:f>
        <x:v>697</x:v>
      </x:c>
      <x:c r="K10" s="14" t="str">
        <x:f>IF(OR(G10="",I10=""),"н/д",G10-I10)</x:f>
        <x:v>н/д</x:v>
      </x:c>
      <x:c r="L10" s="11"/>
      <x:c r="M10" s="15" t="str">
        <x:v>За 1885 г.; точная дата не указана</x:v>
      </x:c>
      <x:c r="N10" s="15" t="str">
        <x:v>разд. VI-а / PDF 13</x:v>
      </x:c>
      <x:c r="O10" s="15" t="str">
        <x:v>разд. I-е / PDF 7</x:v>
      </x:c>
      <x:c r="P10" s="15" t="str">
        <x:v>Только оседлое; кочевые события отсутствуют; полный областной итог неизвестен</x:v>
      </x:c>
      <x:c r="Q10" s="15" t="str">
        <x:v>По группам обзора; оседлые = казаки + иногородние</x:v>
      </x:c>
      <x:c r="R10" s="15" t="str">
        <x:v>https://archive.org/download/obzor_uralskoi_oblasti/Обзор Уральской области за 1885 - RAW.pdf</x:v>
      </x:c>
      <x:c r="S10" s="15" t="str">
        <x:v>527 601</x:v>
      </x:c>
      <x:c r="T10" s="13" t="n">
        <x:f>B10</x:f>
        <x:v>139129</x:v>
      </x:c>
      <x:c r="U10" s="2"/>
      <x:c r="V10" s="2"/>
      <x:c r="W10" s="2"/>
      <x:c r="X10" s="2"/>
      <x:c r="Y10" s="2"/>
      <x:c r="Z10" s="2"/>
    </x:row>
    <x:row r="11" ht="62" customHeight="1">
      <x:c r="A11" s="2" t="n">
        <x:v>1886</x:v>
      </x:c>
      <x:c r="B11" s="11" t="n">
        <x:v>144224</x:v>
      </x:c>
      <x:c r="C11" s="11" t="n">
        <x:v>401550</x:v>
      </x:c>
      <x:c r="D11" s="11" t="n">
        <x:v>545774</x:v>
      </x:c>
      <x:c r="E11" s="12" t="b">
        <x:v>0</x:v>
      </x:c>
      <x:c r="F11" s="11" t="n">
        <x:v>4278</x:v>
      </x:c>
      <x:c r="G11" s="11"/>
      <x:c r="H11" s="11" t="n">
        <x:v>2890</x:v>
      </x:c>
      <x:c r="I11" s="11"/>
      <x:c r="J11" s="11" t="n">
        <x:f>F11-H11</x:f>
        <x:v>1388</x:v>
      </x:c>
      <x:c r="K11" s="14" t="str">
        <x:f>IF(OR(G11="",I11=""),"н/д",G11-I11)</x:f>
        <x:v>н/д</x:v>
      </x:c>
      <x:c r="L11" s="11"/>
      <x:c r="M11" s="15" t="str">
        <x:v>Статистическая перепись 1886 г.; день не указан</x:v>
      </x:c>
      <x:c r="N11" s="15" t="str">
        <x:v>с. 9 / PDF 13; вед. А / PDF 36, Б / PDF 38</x:v>
      </x:c>
      <x:c r="O11" s="15" t="str">
        <x:v>с. 3 / PDF 7; вед. № 3 / PDF 19</x:v>
      </x:c>
      <x:c r="P11" s="15" t="str">
        <x:v>Только оседлое; кочевые события отсутствуют; полный областной итог неизвестен</x:v>
      </x:c>
      <x:c r="Q11" s="15" t="str">
        <x:v>По группам обзора; оседлые = казаки + иногородние</x:v>
      </x:c>
      <x:c r="R11" s="15" t="str">
        <x:v>https://archive.org/download/obzor_uralskoi_oblasti/Обзор Уральской области за 1886 - RAW.pdf</x:v>
      </x:c>
      <x:c r="S11" s="15" t="str">
        <x:v>545 774</x:v>
      </x:c>
      <x:c r="T11" s="13" t="n">
        <x:f>B11</x:f>
        <x:v>144224</x:v>
      </x:c>
      <x:c r="U11" s="2"/>
      <x:c r="V11" s="2"/>
      <x:c r="W11" s="2"/>
      <x:c r="X11" s="2"/>
      <x:c r="Y11" s="2"/>
      <x:c r="Z11" s="2"/>
    </x:row>
    <x:row r="12" ht="62" customHeight="1">
      <x:c r="A12" s="2" t="n">
        <x:v>1887</x:v>
      </x:c>
      <x:c r="B12" s="11" t="n">
        <x:v>155154</x:v>
      </x:c>
      <x:c r="C12" s="11" t="n">
        <x:v>407199</x:v>
      </x:c>
      <x:c r="D12" s="11" t="n">
        <x:v>562353</x:v>
      </x:c>
      <x:c r="E12" s="12" t="b">
        <x:v>0</x:v>
      </x:c>
      <x:c r="F12" s="11" t="n">
        <x:v>4219</x:v>
      </x:c>
      <x:c r="G12" s="11"/>
      <x:c r="H12" s="11" t="n">
        <x:v>3053</x:v>
      </x:c>
      <x:c r="I12" s="11"/>
      <x:c r="J12" s="11" t="n">
        <x:f>F12-H12</x:f>
        <x:v>1166</x:v>
      </x:c>
      <x:c r="K12" s="14" t="str">
        <x:f>IF(OR(G12="",I12=""),"н/д",G12-I12)</x:f>
        <x:v>н/д</x:v>
      </x:c>
      <x:c r="L12" s="11"/>
      <x:c r="M12" s="15" t="str">
        <x:v>За 1887 г.; точная дата не указана</x:v>
      </x:c>
      <x:c r="N12" s="15" t="str">
        <x:v>с. 9 / PDF 13; вед. А / PDF 30</x:v>
      </x:c>
      <x:c r="O12" s="15" t="str">
        <x:v>с. 3 / PDF 7; вед. № 3 / PDF 19</x:v>
      </x:c>
      <x:c r="P12" s="15" t="str">
        <x:v>Только оседлое; кочевые события отсутствуют; полный областной итог неизвестен</x:v>
      </x:c>
      <x:c r="Q12" s="15" t="str">
        <x:v>По группам обзора; оседлые = казаки + иногородние</x:v>
      </x:c>
      <x:c r="R12" s="15" t="str">
        <x:v>https://archive.org/download/obzor_uralskoi_oblasti/Обзор Уральской области за 1887 - RAW.pdf</x:v>
      </x:c>
      <x:c r="S12" s="15" t="str">
        <x:v>562 353</x:v>
      </x:c>
      <x:c r="T12" s="13" t="n">
        <x:f>B12</x:f>
        <x:v>155154</x:v>
      </x:c>
      <x:c r="U12" s="2" t="str">
        <x:v>Авторские досчёты отсутствующих южных уездов</x:v>
      </x:c>
      <x:c r="V12" s="2"/>
      <x:c r="W12" s="2"/>
      <x:c r="X12" s="2"/>
      <x:c r="Y12" s="2"/>
      <x:c r="Z12" s="2"/>
    </x:row>
    <x:row r="13" ht="62" customHeight="1">
      <x:c r="A13" s="2" t="n">
        <x:v>1888</x:v>
      </x:c>
      <x:c r="B13" s="11" t="n">
        <x:v>144084</x:v>
      </x:c>
      <x:c r="C13" s="11" t="n">
        <x:v>407411</x:v>
      </x:c>
      <x:c r="D13" s="11" t="n">
        <x:v>551495</x:v>
      </x:c>
      <x:c r="E13" s="12" t="b">
        <x:v>0</x:v>
      </x:c>
      <x:c r="F13" s="11" t="n">
        <x:v>6921</x:v>
      </x:c>
      <x:c r="G13" s="11"/>
      <x:c r="H13" s="11" t="n">
        <x:v>4511</x:v>
      </x:c>
      <x:c r="I13" s="11"/>
      <x:c r="J13" s="11" t="n">
        <x:f>F13-H13</x:f>
        <x:v>2410</x:v>
      </x:c>
      <x:c r="K13" s="14" t="str">
        <x:f>IF(OR(G13="",I13=""),"н/д",G13-I13)</x:f>
        <x:v>н/д</x:v>
      </x:c>
      <x:c r="L13" s="11"/>
      <x:c r="M13" s="15" t="str">
        <x:v>За 1888 г.; точная дата не указана</x:v>
      </x:c>
      <x:c r="N13" s="15" t="str">
        <x:v>с. 9 / PDF 15; вед. № 11 / PDF 34</x:v>
      </x:c>
      <x:c r="O13" s="15" t="str">
        <x:v>с. 3 / PDF 9; вед. № 3 / PDF 21</x:v>
      </x:c>
      <x:c r="P13" s="15" t="str">
        <x:v>Только оседлое; кочевые события отсутствуют; полный областной итог неизвестен</x:v>
      </x:c>
      <x:c r="Q13" s="15" t="str">
        <x:v>По группам обзора; оседлые = казаки + иногородние</x:v>
      </x:c>
      <x:c r="R13" s="15" t="str">
        <x:v>https://archive.org/download/obzor_uralskoi_oblasti/Обзор Уральской области за 1888 - RAW.pdf</x:v>
      </x:c>
      <x:c r="S13" s="15" t="str">
        <x:v>551 495</x:v>
      </x:c>
      <x:c r="T13" s="13" t="n">
        <x:f>B13</x:f>
        <x:v>144084</x:v>
      </x:c>
      <x:c r="U13" s="2" t="str">
        <x:v>Сводка, раздел 5. Это оценённые события, отдельно от регистрации.</x:v>
      </x:c>
      <x:c r="V13" s="2"/>
      <x:c r="W13" s="2"/>
      <x:c r="X13" s="2"/>
      <x:c r="Y13" s="2"/>
      <x:c r="Z13" s="2"/>
    </x:row>
    <x:row r="14" ht="62" customHeight="1">
      <x:c r="A14" s="2" t="n">
        <x:v>1889</x:v>
      </x:c>
      <x:c r="B14" s="11" t="n">
        <x:v>143328</x:v>
      </x:c>
      <x:c r="C14" s="11" t="n">
        <x:v>416224</x:v>
      </x:c>
      <x:c r="D14" s="11" t="n">
        <x:v>559552</x:v>
      </x:c>
      <x:c r="E14" s="12" t="b">
        <x:v>0</x:v>
      </x:c>
      <x:c r="F14" s="11" t="n">
        <x:v>8009</x:v>
      </x:c>
      <x:c r="G14" s="11"/>
      <x:c r="H14" s="11" t="n">
        <x:v>5576</x:v>
      </x:c>
      <x:c r="I14" s="11"/>
      <x:c r="J14" s="11" t="n">
        <x:f>F14-H14</x:f>
        <x:v>2433</x:v>
      </x:c>
      <x:c r="K14" s="14" t="str">
        <x:f>IF(OR(G14="",I14=""),"н/д",G14-I14)</x:f>
        <x:v>н/д</x:v>
      </x:c>
      <x:c r="L14" s="11"/>
      <x:c r="M14" s="15" t="str">
        <x:v>За 1889 г.; точная дата не указана</x:v>
      </x:c>
      <x:c r="N14" s="15" t="str">
        <x:v>с. 10 / PDF 16; вед. № 11 / PDF 35</x:v>
      </x:c>
      <x:c r="O14" s="15" t="str">
        <x:v>с. 3–4 / PDF 9–10; вед. № 3 / PDF 20</x:v>
      </x:c>
      <x:c r="P14" s="15" t="str">
        <x:v>Только оседлое; кочевые события отсутствуют; полный областной итог неизвестен</x:v>
      </x:c>
      <x:c r="Q14" s="15" t="str">
        <x:v>По группам обзора; оседлые = казаки + иногородние</x:v>
      </x:c>
      <x:c r="R14" s="15" t="str">
        <x:v>https://archive.org/download/obzor_uralskoi_oblasti/Обзор Уральской области за 1889 - RAW.pdf</x:v>
      </x:c>
      <x:c r="S14" s="15" t="str">
        <x:v>559 552</x:v>
      </x:c>
      <x:c r="T14" s="13" t="n">
        <x:f>B14</x:f>
        <x:v>143328</x:v>
      </x:c>
      <x:c r="U14" s="2"/>
      <x:c r="V14" s="2"/>
      <x:c r="W14" s="2"/>
      <x:c r="X14" s="2"/>
      <x:c r="Y14" s="2"/>
      <x:c r="Z14" s="2"/>
    </x:row>
    <x:row r="15" ht="62" customHeight="1">
      <x:c r="A15" s="2" t="n">
        <x:v>1890</x:v>
      </x:c>
      <x:c r="B15" s="11" t="n">
        <x:v>145898</x:v>
      </x:c>
      <x:c r="C15" s="11" t="n">
        <x:v>416587</x:v>
      </x:c>
      <x:c r="D15" s="11" t="n">
        <x:v>562485</x:v>
      </x:c>
      <x:c r="E15" s="12" t="b">
        <x:v>0</x:v>
      </x:c>
      <x:c r="F15" s="11" t="n">
        <x:v>7889</x:v>
      </x:c>
      <x:c r="G15" s="11"/>
      <x:c r="H15" s="11" t="n">
        <x:v>4448</x:v>
      </x:c>
      <x:c r="I15" s="11"/>
      <x:c r="J15" s="11" t="n">
        <x:f>F15-H15</x:f>
        <x:v>3441</x:v>
      </x:c>
      <x:c r="K15" s="14" t="str">
        <x:f>IF(OR(G15="",I15=""),"н/д",G15-I15)</x:f>
        <x:v>н/д</x:v>
      </x:c>
      <x:c r="L15" s="11"/>
      <x:c r="M15" s="15" t="str">
        <x:v>За 1890 г.; точная дата не указана</x:v>
      </x:c>
      <x:c r="N15" s="15" t="str">
        <x:v>с. 10 / PDF 16; вед. № 11 / PDF 37</x:v>
      </x:c>
      <x:c r="O15" s="15" t="str">
        <x:v>с. 4 / PDF 10; вед. № 3 / PDF 20</x:v>
      </x:c>
      <x:c r="P15" s="15" t="str">
        <x:v>Только оседлое; кочевые события отсутствуют; полный областной итог неизвестен</x:v>
      </x:c>
      <x:c r="Q15" s="15" t="str">
        <x:v>По группам обзора; оседлые = казаки + иногородние</x:v>
      </x:c>
      <x:c r="R15" s="15" t="str">
        <x:v>https://archive.org/download/obzor_uralskoi_oblasti/Обзор Уральской области за 1890 - RAW.pdf</x:v>
      </x:c>
      <x:c r="S15" s="15" t="str">
        <x:v>562 485</x:v>
      </x:c>
      <x:c r="T15" s="13" t="n">
        <x:f>B15</x:f>
        <x:v>145898</x:v>
      </x:c>
      <x:c r="U15" s="2"/>
      <x:c r="V15" s="2"/>
      <x:c r="W15" s="2"/>
      <x:c r="X15" s="2"/>
      <x:c r="Y15" s="2"/>
      <x:c r="Z15" s="2"/>
    </x:row>
    <x:row r="16" ht="62" customHeight="1">
      <x:c r="A16" s="2" t="n">
        <x:v>1891</x:v>
      </x:c>
      <x:c r="B16" s="11" t="n">
        <x:v>143200</x:v>
      </x:c>
      <x:c r="C16" s="11" t="n">
        <x:v>411703</x:v>
      </x:c>
      <x:c r="D16" s="11" t="n">
        <x:v>554903</x:v>
      </x:c>
      <x:c r="E16" s="12" t="b">
        <x:v>0</x:v>
      </x:c>
      <x:c r="F16" s="11" t="n">
        <x:v>7527</x:v>
      </x:c>
      <x:c r="G16" s="11"/>
      <x:c r="H16" s="11" t="n">
        <x:v>5682</x:v>
      </x:c>
      <x:c r="I16" s="11"/>
      <x:c r="J16" s="11" t="n">
        <x:f>F16-H16</x:f>
        <x:v>1845</x:v>
      </x:c>
      <x:c r="K16" s="14" t="str">
        <x:f>IF(OR(G16="",I16=""),"н/д",G16-I16)</x:f>
        <x:v>н/д</x:v>
      </x:c>
      <x:c r="L16" s="11"/>
      <x:c r="M16" s="15" t="str">
        <x:v>За 1891 г.; точная дата не указана</x:v>
      </x:c>
      <x:c r="N16" s="15" t="str">
        <x:v>с. 10 / PDF 16; вед. № 11 / PDF 40</x:v>
      </x:c>
      <x:c r="O16" s="15" t="str">
        <x:v>с. 4 / PDF 10; вед. № 3 / PDF 23</x:v>
      </x:c>
      <x:c r="P16" s="15" t="str">
        <x:v>Только оседлое; кочевые события отсутствуют; полный областной итог неизвестен</x:v>
      </x:c>
      <x:c r="Q16" s="15" t="str">
        <x:v>По группам обзора; оседлые = казаки + иногородние</x:v>
      </x:c>
      <x:c r="R16" s="15" t="str">
        <x:v>https://archive.org/download/obzor_uralskoi_oblasti/Обзор Уральской области за 1891 - RAW.pdf</x:v>
      </x:c>
      <x:c r="S16" s="15" t="str">
        <x:v>554 903</x:v>
      </x:c>
      <x:c r="T16" s="13" t="n">
        <x:f>B16</x:f>
        <x:v>143200</x:v>
      </x:c>
      <x:c r="U16" s="2"/>
      <x:c r="V16" s="2"/>
      <x:c r="W16" s="2"/>
      <x:c r="X16" s="2"/>
      <x:c r="Y16" s="2"/>
      <x:c r="Z16" s="2"/>
    </x:row>
    <x:row r="17" ht="62" customHeight="1">
      <x:c r="A17" s="2" t="n">
        <x:v>1892</x:v>
      </x:c>
      <x:c r="B17" s="11" t="n">
        <x:v>140962</x:v>
      </x:c>
      <x:c r="C17" s="11" t="n">
        <x:v>397998</x:v>
      </x:c>
      <x:c r="D17" s="11" t="n">
        <x:v>538960</x:v>
      </x:c>
      <x:c r="E17" s="12" t="b">
        <x:v>0</x:v>
      </x:c>
      <x:c r="F17" s="11" t="n">
        <x:v>8473</x:v>
      </x:c>
      <x:c r="G17" s="11"/>
      <x:c r="H17" s="11" t="n">
        <x:v>8844</x:v>
      </x:c>
      <x:c r="I17" s="11"/>
      <x:c r="J17" s="11" t="n">
        <x:f>F17-H17</x:f>
        <x:v>-371</x:v>
      </x:c>
      <x:c r="K17" s="14" t="str">
        <x:f>IF(OR(G17="",I17=""),"н/д",G17-I17)</x:f>
        <x:v>н/д</x:v>
      </x:c>
      <x:c r="L17" s="11"/>
      <x:c r="M17" s="15" t="str">
        <x:v>За 1892 г.; точная дата не указана</x:v>
      </x:c>
      <x:c r="N17" s="15" t="str">
        <x:v>с. 11–12 / PDF 19–20; вед. № 11 / PDF 42</x:v>
      </x:c>
      <x:c r="O17" s="15" t="str">
        <x:v>с. 4 / PDF 12; вед. № 3 / PDF 25</x:v>
      </x:c>
      <x:c r="P17" s="15" t="str">
        <x:v>Только оседлое; кочевые события отсутствуют; полный областной итог неизвестен</x:v>
      </x:c>
      <x:c r="Q17" s="15" t="str">
        <x:v>По группам обзора; оседлые = казаки + иногородние</x:v>
      </x:c>
      <x:c r="R17" s="15" t="str">
        <x:v>https://archive.org/download/obzor_uralskoi_oblasti/Обзор Уральской области за 1892 - RAW.pdf</x:v>
      </x:c>
      <x:c r="S17" s="15" t="str">
        <x:v>538 960</x:v>
      </x:c>
      <x:c r="T17" s="13" t="n">
        <x:f>B17</x:f>
        <x:v>140962</x:v>
      </x:c>
      <x:c r="U17" s="2"/>
      <x:c r="V17" s="2"/>
      <x:c r="W17" s="2"/>
      <x:c r="X17" s="2"/>
      <x:c r="Y17" s="2"/>
      <x:c r="Z17" s="2"/>
    </x:row>
    <x:row r="18" ht="62" customHeight="1">
      <x:c r="A18" s="2" t="n">
        <x:v>1893</x:v>
      </x:c>
      <x:c r="B18" s="11" t="n">
        <x:v>143819</x:v>
      </x:c>
      <x:c r="C18" s="11" t="n">
        <x:v>401569</x:v>
      </x:c>
      <x:c r="D18" s="11" t="n">
        <x:v>545388</x:v>
      </x:c>
      <x:c r="E18" s="12" t="b">
        <x:v>0</x:v>
      </x:c>
      <x:c r="F18" s="11" t="n">
        <x:v>7703</x:v>
      </x:c>
      <x:c r="G18" s="11"/>
      <x:c r="H18" s="11" t="n">
        <x:v>5120</x:v>
      </x:c>
      <x:c r="I18" s="11"/>
      <x:c r="J18" s="11" t="n">
        <x:f>F18-H18</x:f>
        <x:v>2583</x:v>
      </x:c>
      <x:c r="K18" s="14" t="str">
        <x:f>IF(OR(G18="",I18=""),"н/д",G18-I18)</x:f>
        <x:v>н/д</x:v>
      </x:c>
      <x:c r="L18" s="11"/>
      <x:c r="M18" s="15" t="str">
        <x:v>За 1893 г.; точная дата не указана</x:v>
      </x:c>
      <x:c r="N18" s="15" t="str">
        <x:v>с. 12 / PDF 20; вед. А / PDF 41</x:v>
      </x:c>
      <x:c r="O18" s="15" t="str">
        <x:v>с. 4 / PDF 12; вед. № 3 / PDF 25</x:v>
      </x:c>
      <x:c r="P18" s="15" t="str">
        <x:v>Только оседлое; кочевые события отсутствуют; полный областной итог неизвестен</x:v>
      </x:c>
      <x:c r="Q18" s="15" t="str">
        <x:v>По группам обзора; оседлые = казаки + иногородние</x:v>
      </x:c>
      <x:c r="R18" s="15" t="str">
        <x:v>https://archive.org/download/obzor_uralskoi_oblasti/Обзор Уральской области за 1893 - RAW.pdf</x:v>
      </x:c>
      <x:c r="S18" s="15" t="str">
        <x:v>545 388</x:v>
      </x:c>
      <x:c r="T18" s="13" t="n">
        <x:f>B18</x:f>
        <x:v>143819</x:v>
      </x:c>
      <x:c r="U18" s="2"/>
      <x:c r="V18" s="2"/>
      <x:c r="W18" s="2"/>
      <x:c r="X18" s="2"/>
      <x:c r="Y18" s="2"/>
      <x:c r="Z18" s="2"/>
    </x:row>
    <x:row r="19" ht="62" customHeight="1">
      <x:c r="A19" s="2" t="n">
        <x:v>1894</x:v>
      </x:c>
      <x:c r="B19" s="11" t="n">
        <x:v>143991</x:v>
      </x:c>
      <x:c r="C19" s="11" t="n">
        <x:v>404293</x:v>
      </x:c>
      <x:c r="D19" s="11" t="n">
        <x:v>548284</x:v>
      </x:c>
      <x:c r="E19" s="12" t="b">
        <x:v>0</x:v>
      </x:c>
      <x:c r="F19" s="11" t="n">
        <x:v>7837</x:v>
      </x:c>
      <x:c r="G19" s="11"/>
      <x:c r="H19" s="11" t="n">
        <x:v>5344</x:v>
      </x:c>
      <x:c r="I19" s="11"/>
      <x:c r="J19" s="11" t="n">
        <x:f>F19-H19</x:f>
        <x:v>2493</x:v>
      </x:c>
      <x:c r="K19" s="14" t="str">
        <x:f>IF(OR(G19="",I19=""),"н/д",G19-I19)</x:f>
        <x:v>н/д</x:v>
      </x:c>
      <x:c r="L19" s="11"/>
      <x:c r="M19" s="15" t="str">
        <x:v>Статистическая перепись 1894 г.; день не указан</x:v>
      </x:c>
      <x:c r="N19" s="15" t="str">
        <x:v>с. 13 / PDF 21; вед. А / PDF 41</x:v>
      </x:c>
      <x:c r="O19" s="15" t="str">
        <x:v>с. 4 / PDF 12; вед. № 3 / PDF 27</x:v>
      </x:c>
      <x:c r="P19" s="15" t="str">
        <x:v>Только оседлое; кочевые события отсутствуют; полный областной итог неизвестен</x:v>
      </x:c>
      <x:c r="Q19" s="15" t="str">
        <x:v>По группам обзора; оседлые = казаки + иногородние</x:v>
      </x:c>
      <x:c r="R19" s="15" t="str">
        <x:v>https://archive.org/download/obzor_uralskoi_oblasti/Обзор Уральской области за 1894 - RAW.pdf</x:v>
      </x:c>
      <x:c r="S19" s="15" t="str">
        <x:v>548 284</x:v>
      </x:c>
      <x:c r="T19" s="13" t="n">
        <x:f>B19</x:f>
        <x:v>143991</x:v>
      </x:c>
      <x:c r="U19" s="2"/>
      <x:c r="V19" s="2"/>
      <x:c r="W19" s="2"/>
      <x:c r="X19" s="2"/>
      <x:c r="Y19" s="2"/>
      <x:c r="Z19" s="2"/>
    </x:row>
    <x:row r="20" ht="62" customHeight="1">
      <x:c r="A20" s="2" t="n">
        <x:v>1895</x:v>
      </x:c>
      <x:c r="B20" s="11" t="n">
        <x:v>147327</x:v>
      </x:c>
      <x:c r="C20" s="11" t="n">
        <x:v>410893</x:v>
      </x:c>
      <x:c r="D20" s="11" t="n">
        <x:v>558220</x:v>
      </x:c>
      <x:c r="E20" s="12" t="b">
        <x:v>0</x:v>
      </x:c>
      <x:c r="F20" s="11" t="n">
        <x:v>9110</x:v>
      </x:c>
      <x:c r="G20" s="11"/>
      <x:c r="H20" s="11" t="n">
        <x:v>5369</x:v>
      </x:c>
      <x:c r="I20" s="11"/>
      <x:c r="J20" s="11" t="n">
        <x:f>F20-H20</x:f>
        <x:v>3741</x:v>
      </x:c>
      <x:c r="K20" s="14" t="str">
        <x:f>IF(OR(G20="",I20=""),"н/д",G20-I20)</x:f>
        <x:v>н/д</x:v>
      </x:c>
      <x:c r="L20" s="11"/>
      <x:c r="M20" s="15" t="str">
        <x:v>За 1895 г.; точная дата не указана</x:v>
      </x:c>
      <x:c r="N20" s="15" t="str">
        <x:v>с. 13 / PDF 14; вед. А / PDF 25</x:v>
      </x:c>
      <x:c r="O20" s="15" t="str">
        <x:v>с. 4 / PDF 5; вед. № 3 / PDF 17</x:v>
      </x:c>
      <x:c r="P20" s="15" t="str">
        <x:v>Только оседлое; кочевые события отсутствуют; полный областной итог неизвестен</x:v>
      </x:c>
      <x:c r="Q20" s="15" t="str">
        <x:v>По группам обзора; оседлые = казаки + иногородние</x:v>
      </x:c>
      <x:c r="R20" s="15" t="str">
        <x:v>https://archive.org/download/obzor_uralskoi_oblasti/Обзор Уральской области за 1895 - RAW.pdf</x:v>
      </x:c>
      <x:c r="S20" s="15" t="str">
        <x:v>558 220</x:v>
      </x:c>
      <x:c r="T20" s="13" t="n">
        <x:f>B20</x:f>
        <x:v>147327</x:v>
      </x:c>
      <x:c r="U20" s="2"/>
      <x:c r="V20" s="2"/>
      <x:c r="W20" s="2"/>
      <x:c r="X20" s="2"/>
      <x:c r="Y20" s="2"/>
      <x:c r="Z20" s="2"/>
    </x:row>
    <x:row r="21" ht="62" customHeight="1">
      <x:c r="A21" s="2" t="n">
        <x:v>1896</x:v>
      </x:c>
      <x:c r="B21" s="11" t="n">
        <x:v>151991</x:v>
      </x:c>
      <x:c r="C21" s="11" t="n">
        <x:v>410893</x:v>
      </x:c>
      <x:c r="D21" s="11" t="n">
        <x:v>560000</x:v>
      </x:c>
      <x:c r="E21" s="12" t="b">
        <x:v>1</x:v>
      </x:c>
      <x:c r="F21" s="11" t="n">
        <x:v>10270</x:v>
      </x:c>
      <x:c r="G21" s="11"/>
      <x:c r="H21" s="11" t="n">
        <x:v>5606</x:v>
      </x:c>
      <x:c r="I21" s="11"/>
      <x:c r="J21" s="11" t="n">
        <x:f>F21-H21</x:f>
        <x:v>4664</x:v>
      </x:c>
      <x:c r="K21" s="14" t="str">
        <x:f>IF(OR(G21="",I21=""),"н/д",G21-I21)</x:f>
        <x:v>н/д</x:v>
      </x:c>
      <x:c r="L21" s="11"/>
      <x:c r="M21" s="15" t="str">
        <x:v>До всеобщей переписи 1897 г.; дата не указана</x:v>
      </x:c>
      <x:c r="N21" s="15" t="str">
        <x:v>с. 16 / PDF 17</x:v>
      </x:c>
      <x:c r="O21" s="15" t="str">
        <x:v>вед. № 6 / PDF 24; текст с. 5 / PDF 6</x:v>
      </x:c>
      <x:c r="P21" s="15" t="str">
        <x:v>Только оседлое; кочевые события отсутствуют; полный областной итог неизвестен</x:v>
      </x:c>
      <x:c r="Q21" s="15" t="str">
        <x:v>Правый / левый берег; левый включает оседлую степную часть</x:v>
      </x:c>
      <x:c r="R21" s="15" t="str">
        <x:v>https://archive.org/download/obzor_uralskoi_oblasti/Обзор Уральской области за 1896 - RAW.pdf</x:v>
      </x:c>
      <x:c r="S21" s="15" t="str">
        <x:v>≈ до 560 000</x:v>
      </x:c>
      <x:c r="T21" s="13" t="n">
        <x:f>B21</x:f>
        <x:v>151991</x:v>
      </x:c>
      <x:c r="U21" s="2"/>
      <x:c r="V21" s="2"/>
      <x:c r="W21" s="2"/>
      <x:c r="X21" s="2"/>
      <x:c r="Y21" s="2"/>
      <x:c r="Z21" s="2"/>
    </x:row>
    <x:row r="22" ht="62" customHeight="1">
      <x:c r="A22" s="2" t="n">
        <x:v>1897</x:v>
      </x:c>
      <x:c r="B22" s="11" t="n">
        <x:v>219696</x:v>
      </x:c>
      <x:c r="C22" s="11" t="n">
        <x:v>425733</x:v>
      </x:c>
      <x:c r="D22" s="11" t="n">
        <x:v>645429</x:v>
      </x:c>
      <x:c r="E22" s="12" t="b">
        <x:v>0</x:v>
      </x:c>
      <x:c r="F22" s="11" t="n">
        <x:v>9130</x:v>
      </x:c>
      <x:c r="G22" s="11" t="n">
        <x:v>6636</x:v>
      </x:c>
      <x:c r="H22" s="11" t="n">
        <x:v>4231</x:v>
      </x:c>
      <x:c r="I22" s="11" t="n">
        <x:v>3390</x:v>
      </x:c>
      <x:c r="J22" s="11" t="n">
        <x:f>F22-H22</x:f>
        <x:v>4899</x:v>
      </x:c>
      <x:c r="K22" s="14" t="n">
        <x:f>IF(OR(G22="",I22=""),"н/д",G22-I22)</x:f>
        <x:v>3246</x:v>
      </x:c>
      <x:c r="L22" s="11"/>
      <x:c r="M22" s="15" t="str">
        <x:v>Перепись начала 1897 г.; предварительное наличное; день не назван</x:v>
      </x:c>
      <x:c r="N22" s="15" t="str">
        <x:v>с. 1–2 / PDF 9–10</x:v>
      </x:c>
      <x:c r="O22" s="15" t="str">
        <x:v>с. 16 / PDF 24; вед. № 6 / PDF 54</x:v>
      </x:c>
      <x:c r="P22" s="15" t="str">
        <x:v>Оседлое и кочевое Уральского/Калмыковского уездов; два южных уезда отсутствуют</x:v>
      </x:c>
      <x:c r="Q22" s="15" t="str">
        <x:v>По характеру поселения в переписной таблице</x:v>
      </x:c>
      <x:c r="R22" s="15" t="str">
        <x:v>https://archive.org/download/obzor_uralskoi_oblasti/Обзор Уральской области за 1897 - RAW.pdf</x:v>
      </x:c>
      <x:c r="S22" s="15" t="str">
        <x:v>645 429</x:v>
      </x:c>
      <x:c r="T22" s="13" t="n">
        <x:f>B22</x:f>
        <x:v>219696</x:v>
      </x:c>
      <x:c r="U22" s="2"/>
      <x:c r="V22" s="2"/>
      <x:c r="W22" s="2"/>
      <x:c r="X22" s="2"/>
      <x:c r="Y22" s="2"/>
      <x:c r="Z22" s="2"/>
    </x:row>
    <x:row r="23" ht="62" customHeight="1">
      <x:c r="A23" s="2" t="n">
        <x:v>1898</x:v>
      </x:c>
      <x:c r="B23" s="11" t="n">
        <x:v>227675</x:v>
      </x:c>
      <x:c r="C23" s="11" t="n">
        <x:v>438078</x:v>
      </x:c>
      <x:c r="D23" s="11" t="n">
        <x:v>665763</x:v>
      </x:c>
      <x:c r="E23" s="12" t="b">
        <x:v>0</x:v>
      </x:c>
      <x:c r="F23" s="11" t="n">
        <x:v>9345</x:v>
      </x:c>
      <x:c r="G23" s="11" t="n">
        <x:v>8592</x:v>
      </x:c>
      <x:c r="H23" s="11" t="n">
        <x:v>5020</x:v>
      </x:c>
      <x:c r="I23" s="11" t="n">
        <x:v>4402</x:v>
      </x:c>
      <x:c r="J23" s="11" t="n">
        <x:f>F23-H23</x:f>
        <x:v>4325</x:v>
      </x:c>
      <x:c r="K23" s="14" t="n">
        <x:f>IF(OR(G23="",I23=""),"н/д",G23-I23)</x:f>
        <x:v>4190</x:v>
      </x:c>
      <x:c r="L23" s="11"/>
      <x:c r="M23" s="15" t="str">
        <x:v>К январю 1899 г.; день не указан</x:v>
      </x:c>
      <x:c r="N23" s="15" t="str">
        <x:v>с. 1–2 / PDF 9–10</x:v>
      </x:c>
      <x:c r="O23" s="15" t="str">
        <x:v>с. 14 / PDF 22; вед. № 6 / PDF 54</x:v>
      </x:c>
      <x:c r="P23" s="15" t="str">
        <x:v>Оседлое и кочевое Уральского/Калмыковского уездов; два южных уезда отсутствуют</x:v>
      </x:c>
      <x:c r="Q23" s="15" t="str">
        <x:v>По группам обзора; оседлые = казаки + иногородние</x:v>
      </x:c>
      <x:c r="R23" s="15" t="str">
        <x:v>https://archive.org/download/obzor_uralskoi_oblasti/Обзор Уральской области за 1898 - RAW.pdf</x:v>
      </x:c>
      <x:c r="S23" s="15" t="str">
        <x:v>665 763</x:v>
      </x:c>
      <x:c r="T23" s="13" t="n">
        <x:f>B23</x:f>
        <x:v>227675</x:v>
      </x:c>
      <x:c r="U23" s="2"/>
      <x:c r="V23" s="2"/>
      <x:c r="W23" s="2"/>
      <x:c r="X23" s="2"/>
      <x:c r="Y23" s="2"/>
      <x:c r="Z23" s="2"/>
    </x:row>
    <x:row r="24" ht="62" customHeight="1">
      <x:c r="A24" s="2" t="n">
        <x:v>1899</x:v>
      </x:c>
      <x:c r="B24" s="11" t="n">
        <x:v>234676</x:v>
      </x:c>
      <x:c r="C24" s="11" t="n">
        <x:v>449191</x:v>
      </x:c>
      <x:c r="D24" s="11" t="n">
        <x:v>683867</x:v>
      </x:c>
      <x:c r="E24" s="12" t="b">
        <x:v>0</x:v>
      </x:c>
      <x:c r="F24" s="11" t="n">
        <x:v>9209</x:v>
      </x:c>
      <x:c r="G24" s="11" t="n">
        <x:v>12223</x:v>
      </x:c>
      <x:c r="H24" s="11" t="n">
        <x:v>6060</x:v>
      </x:c>
      <x:c r="I24" s="11" t="n">
        <x:v>9302</x:v>
      </x:c>
      <x:c r="J24" s="11" t="n">
        <x:f>F24-H24</x:f>
        <x:v>3149</x:v>
      </x:c>
      <x:c r="K24" s="14" t="n">
        <x:f>IF(OR(G24="",I24=""),"н/д",G24-I24)</x:f>
        <x:v>2921</x:v>
      </x:c>
      <x:c r="L24" s="11" t="n">
        <x:f>AVERAGE(C23:C24)</x:f>
        <x:v>443634.5</x:v>
      </x:c>
      <x:c r="M24" s="15" t="str">
        <x:v>К январю 1900 г.; день не указан</x:v>
      </x:c>
      <x:c r="N24" s="15" t="str">
        <x:v>с. 2 / PDF 10; copy 2 / PDF 4</x:v>
      </x:c>
      <x:c r="O24" s="15" t="str">
        <x:v>с. 16 / PDF 24; вед. № 6 / PDF 56; copy 2 PDF 18, 45</x:v>
      </x:c>
      <x:c r="P24" s="15" t="str">
        <x:v>Все четыре уезда; полнота регистрации внутри групп не измерена</x:v>
      </x:c>
      <x:c r="Q24" s="15" t="str">
        <x:v>Оседлое с отдельно выделенными поселенцами</x:v>
      </x:c>
      <x:c r="R24" s="15" t="str">
        <x:v>https://archive.org/download/obzor_uralskoi_oblasti/Обзор Уральской области за 1899 - RAW.pdf</x:v>
      </x:c>
      <x:c r="S24" s="15" t="str">
        <x:v>683 867</x:v>
      </x:c>
      <x:c r="T24" s="13" t="n">
        <x:f>B24</x:f>
        <x:v>234676</x:v>
      </x:c>
      <x:c r="U24" s="2"/>
      <x:c r="V24" s="2"/>
      <x:c r="W24" s="2"/>
      <x:c r="X24" s="2"/>
      <x:c r="Y24" s="2"/>
      <x:c r="Z24" s="2"/>
    </x:row>
    <x:row r="25" ht="62" customHeight="1">
      <x:c r="A25" s="2" t="n">
        <x:v>1900</x:v>
      </x:c>
      <x:c r="B25" s="11" t="n">
        <x:v>238713</x:v>
      </x:c>
      <x:c r="C25" s="11" t="n">
        <x:v>452974</x:v>
      </x:c>
      <x:c r="D25" s="11" t="n">
        <x:v>691687</x:v>
      </x:c>
      <x:c r="E25" s="12" t="b">
        <x:v>0</x:v>
      </x:c>
      <x:c r="F25" s="11" t="n">
        <x:v>8886</x:v>
      </x:c>
      <x:c r="G25" s="11" t="n">
        <x:v>12396</x:v>
      </x:c>
      <x:c r="H25" s="11" t="n">
        <x:v>4860</x:v>
      </x:c>
      <x:c r="I25" s="11" t="n">
        <x:v>8401</x:v>
      </x:c>
      <x:c r="J25" s="11" t="n">
        <x:f>F25-H25</x:f>
        <x:v>4026</x:v>
      </x:c>
      <x:c r="K25" s="14" t="n">
        <x:f>IF(OR(G25="",I25=""),"н/д",G25-I25)</x:f>
        <x:v>3995</x:v>
      </x:c>
      <x:c r="L25" s="11" t="n">
        <x:f>AVERAGE(C24:C25)</x:f>
        <x:v>451082.5</x:v>
      </x:c>
      <x:c r="M25" s="15" t="str">
        <x:v>К январю 1901 г.; день не указан</x:v>
      </x:c>
      <x:c r="N25" s="15" t="str">
        <x:v>с. 2 / основной RAW PDF 10; copy 2 PDF 5</x:v>
      </x:c>
      <x:c r="O25" s="15" t="str">
        <x:v>с. 16 / PDF 24; вед. № 6 / PDF 56; copy 2 PDF 47</x:v>
      </x:c>
      <x:c r="P25" s="15" t="str">
        <x:v>Все четыре уезда; полнота регистрации внутри групп не измерена</x:v>
      </x:c>
      <x:c r="Q25" s="15" t="str">
        <x:v>Оседлое с отдельно выделенными поселенцами</x:v>
      </x:c>
      <x:c r="R25" s="15" t="str">
        <x:v>https://archive.org/download/obzor_uralskoi_oblasti/Обзор Уральской области за 1900 - RAW.pdf</x:v>
      </x:c>
      <x:c r="S25" s="15" t="str">
        <x:v>691 687</x:v>
      </x:c>
      <x:c r="T25" s="13" t="n">
        <x:f>B25</x:f>
        <x:v>238713</x:v>
      </x:c>
      <x:c r="U25" s="2"/>
      <x:c r="V25" s="2"/>
      <x:c r="W25" s="2"/>
      <x:c r="X25" s="2"/>
      <x:c r="Y25" s="2"/>
      <x:c r="Z25" s="2"/>
    </x:row>
    <x:row r="26" ht="62" customHeight="1">
      <x:c r="A26" s="2" t="n">
        <x:v>1901</x:v>
      </x:c>
      <x:c r="B26" s="11" t="n">
        <x:v>241475</x:v>
      </x:c>
      <x:c r="C26" s="11" t="n">
        <x:v>458539</x:v>
      </x:c>
      <x:c r="D26" s="11" t="n">
        <x:v>700014</x:v>
      </x:c>
      <x:c r="E26" s="12" t="b">
        <x:v>0</x:v>
      </x:c>
      <x:c r="F26" s="11" t="n">
        <x:v>7480</x:v>
      </x:c>
      <x:c r="G26" s="11" t="n">
        <x:v>12817</x:v>
      </x:c>
      <x:c r="H26" s="11" t="n">
        <x:v>3277</x:v>
      </x:c>
      <x:c r="I26" s="11" t="n">
        <x:v>7231</x:v>
      </x:c>
      <x:c r="J26" s="11" t="n">
        <x:f>F26-H26</x:f>
        <x:v>4203</x:v>
      </x:c>
      <x:c r="K26" s="14" t="n">
        <x:f>IF(OR(G26="",I26=""),"н/д",G26-I26)</x:f>
        <x:v>5586</x:v>
      </x:c>
      <x:c r="L26" s="11" t="n">
        <x:f>AVERAGE(C25:C26)</x:f>
        <x:v>455756.5</x:v>
      </x:c>
      <x:c r="M26" s="15" t="str">
        <x:v>К январю 1902 г.; день не указан</x:v>
      </x:c>
      <x:c r="N26" s="15" t="str">
        <x:v>с. 2 / основной RAW PDF 10; copy 2 PDF 5</x:v>
      </x:c>
      <x:c r="O26" s="15" t="str">
        <x:v>с. 13–14 / PDF 21–22; вед. № 6 / PDF 54; copy 2 PDF 44</x:v>
      </x:c>
      <x:c r="P26" s="15" t="str">
        <x:v>Все четыре уезда; полнота регистрации внутри групп не измерена</x:v>
      </x:c>
      <x:c r="Q26" s="15" t="str">
        <x:v>Оседлое с отдельно выделенными поселенцами</x:v>
      </x:c>
      <x:c r="R26" s="15" t="str">
        <x:v>https://archive.org/download/obzor_uralskoi_oblasti/Обзор Уральской области за 1901 - RAW.pdf</x:v>
      </x:c>
      <x:c r="S26" s="15" t="str">
        <x:v>700 014</x:v>
      </x:c>
      <x:c r="T26" s="13" t="n">
        <x:f>B26</x:f>
        <x:v>241475</x:v>
      </x:c>
      <x:c r="U26" s="2"/>
      <x:c r="V26" s="2"/>
      <x:c r="W26" s="2"/>
      <x:c r="X26" s="2"/>
      <x:c r="Y26" s="2"/>
      <x:c r="Z26" s="2"/>
    </x:row>
    <x:row r="27" ht="62" customHeight="1">
      <x:c r="A27" s="2" t="n">
        <x:v>1902</x:v>
      </x:c>
      <x:c r="B27" s="11" t="n">
        <x:v>245746</x:v>
      </x:c>
      <x:c r="C27" s="11" t="n">
        <x:v>463419</x:v>
      </x:c>
      <x:c r="D27" s="11" t="n">
        <x:v>709165</x:v>
      </x:c>
      <x:c r="E27" s="12" t="b">
        <x:v>0</x:v>
      </x:c>
      <x:c r="F27" s="11" t="n">
        <x:v>7840</x:v>
      </x:c>
      <x:c r="G27" s="11" t="n">
        <x:v>12270</x:v>
      </x:c>
      <x:c r="H27" s="11" t="n">
        <x:v>4806</x:v>
      </x:c>
      <x:c r="I27" s="11" t="n">
        <x:v>8403</x:v>
      </x:c>
      <x:c r="J27" s="11" t="n">
        <x:f>F27-H27</x:f>
        <x:v>3034</x:v>
      </x:c>
      <x:c r="K27" s="14" t="n">
        <x:f>IF(OR(G27="",I27=""),"н/д",G27-I27)</x:f>
        <x:v>3867</x:v>
      </x:c>
      <x:c r="L27" s="11" t="n">
        <x:f>AVERAGE(C26:C27)</x:f>
        <x:v>460979</x:v>
      </x:c>
      <x:c r="M27" s="15" t="str">
        <x:v>01.01.1903</x:v>
      </x:c>
      <x:c r="N27" s="15" t="str">
        <x:v>с. 2 / основной RAW PDF 10; copy 2 PDF 5</x:v>
      </x:c>
      <x:c r="O27" s="15" t="str">
        <x:v>с. 14 / PDF 22; вед. № 6 / PDF 50; copy 2 PDF 58</x:v>
      </x:c>
      <x:c r="P27" s="15" t="str">
        <x:v>Все четыре уезда; полнота регистрации внутри групп не измерена</x:v>
      </x:c>
      <x:c r="Q27" s="15" t="str">
        <x:v>Оседлое с отдельно выделенными поселенцами</x:v>
      </x:c>
      <x:c r="R27" s="15" t="str">
        <x:v>https://archive.org/download/obzor_uralskoi_oblasti/Обзор Уральской области за 1902 - RAW.pdf</x:v>
      </x:c>
      <x:c r="S27" s="15" t="str">
        <x:v>709 165</x:v>
      </x:c>
      <x:c r="T27" s="13" t="n">
        <x:f>B27</x:f>
        <x:v>245746</x:v>
      </x:c>
      <x:c r="U27" s="2"/>
      <x:c r="V27" s="2"/>
      <x:c r="W27" s="2"/>
      <x:c r="X27" s="2"/>
      <x:c r="Y27" s="2"/>
      <x:c r="Z27" s="2"/>
    </x:row>
    <x:row r="28" ht="62" customHeight="1">
      <x:c r="A28" s="2" t="n">
        <x:v>1903</x:v>
      </x:c>
      <x:c r="B28" s="11" t="n">
        <x:v>250821</x:v>
      </x:c>
      <x:c r="C28" s="11" t="n">
        <x:v>468499</x:v>
      </x:c>
      <x:c r="D28" s="11" t="n">
        <x:v>719320</x:v>
      </x:c>
      <x:c r="E28" s="12" t="b">
        <x:v>0</x:v>
      </x:c>
      <x:c r="F28" s="11" t="n">
        <x:v>9054</x:v>
      </x:c>
      <x:c r="G28" s="11" t="n">
        <x:v>12349</x:v>
      </x:c>
      <x:c r="H28" s="11" t="n">
        <x:v>4103</x:v>
      </x:c>
      <x:c r="I28" s="11" t="n">
        <x:v>7269</x:v>
      </x:c>
      <x:c r="J28" s="11" t="n">
        <x:f>F28-H28</x:f>
        <x:v>4951</x:v>
      </x:c>
      <x:c r="K28" s="14" t="n">
        <x:f>IF(OR(G28="",I28=""),"н/д",G28-I28)</x:f>
        <x:v>5080</x:v>
      </x:c>
      <x:c r="L28" s="11" t="n">
        <x:f>AVERAGE(C27:C28)</x:f>
        <x:v>465959</x:v>
      </x:c>
      <x:c r="M28" s="15" t="str">
        <x:v>01.01.1904</x:v>
      </x:c>
      <x:c r="N28" s="15" t="str">
        <x:v>с. 2 / основной RAW PDF 10; copy 2 PDF 5</x:v>
      </x:c>
      <x:c r="O28" s="15" t="str">
        <x:v>с. 17 / PDF 25; вед. № 6 / PDF 60; copy 2 PDF 47</x:v>
      </x:c>
      <x:c r="P28" s="15" t="str">
        <x:v>Все четыре уезда; полнота регистрации внутри групп не измерена</x:v>
      </x:c>
      <x:c r="Q28" s="15" t="str">
        <x:v>Оседлое с отдельно выделенными поселенцами</x:v>
      </x:c>
      <x:c r="R28" s="15" t="str">
        <x:v>https://archive.org/download/obzor_uralskoi_oblasti/Обзор Уральской области за 1903 - RAW.pdf</x:v>
      </x:c>
      <x:c r="S28" s="15" t="str">
        <x:v>719 320</x:v>
      </x:c>
      <x:c r="T28" s="13" t="n">
        <x:f>B28</x:f>
        <x:v>250821</x:v>
      </x:c>
      <x:c r="U28" s="2"/>
      <x:c r="V28" s="2"/>
      <x:c r="W28" s="2"/>
      <x:c r="X28" s="2"/>
      <x:c r="Y28" s="2"/>
      <x:c r="Z28" s="2"/>
    </x:row>
    <x:row r="29" ht="62" customHeight="1">
      <x:c r="A29" s="2" t="n">
        <x:v>1904</x:v>
      </x:c>
      <x:c r="B29" s="11" t="n">
        <x:v>253175</x:v>
      </x:c>
      <x:c r="C29" s="11" t="n">
        <x:v>471464</x:v>
      </x:c>
      <x:c r="D29" s="11" t="n">
        <x:v>724639</x:v>
      </x:c>
      <x:c r="E29" s="12" t="b">
        <x:v>0</x:v>
      </x:c>
      <x:c r="F29" s="11" t="n">
        <x:v>9439</x:v>
      </x:c>
      <x:c r="G29" s="11" t="n">
        <x:v>10806</x:v>
      </x:c>
      <x:c r="H29" s="11" t="n">
        <x:v>7270</x:v>
      </x:c>
      <x:c r="I29" s="11" t="n">
        <x:v>7841</x:v>
      </x:c>
      <x:c r="J29" s="11" t="n">
        <x:f>F29-H29</x:f>
        <x:v>2169</x:v>
      </x:c>
      <x:c r="K29" s="14" t="n">
        <x:f>IF(OR(G29="",I29=""),"н/д",G29-I29)</x:f>
        <x:v>2965</x:v>
      </x:c>
      <x:c r="L29" s="11" t="n">
        <x:f>AVERAGE(C28:C29)</x:f>
        <x:v>469981.5</x:v>
      </x:c>
      <x:c r="M29" s="15" t="str">
        <x:v>01.01.1905</x:v>
      </x:c>
      <x:c r="N29" s="15" t="str">
        <x:v>с. 2 / основной RAW PDF 10; copy 2 PDF 5</x:v>
      </x:c>
      <x:c r="O29" s="15" t="str">
        <x:v>с. 14–16 / PDF 22–24; вед. № 6 / PDF 49; copy 2 PDF 45</x:v>
      </x:c>
      <x:c r="P29" s="15" t="str">
        <x:v>Все четыре уезда; полнота регистрации внутри групп не измерена</x:v>
      </x:c>
      <x:c r="Q29" s="15" t="str">
        <x:v>Оседлое с отдельно выделенными поселенцами</x:v>
      </x:c>
      <x:c r="R29" s="15" t="str">
        <x:v>https://archive.org/download/obzor_uralskoi_oblasti/Обзор Уральской области за 1904 - RAW.pdf</x:v>
      </x:c>
      <x:c r="S29" s="15" t="str">
        <x:v>724 639</x:v>
      </x:c>
      <x:c r="T29" s="13" t="n">
        <x:f>B29</x:f>
        <x:v>253175</x:v>
      </x:c>
      <x:c r="U29" s="2"/>
      <x:c r="V29" s="2"/>
      <x:c r="W29" s="2"/>
      <x:c r="X29" s="2"/>
      <x:c r="Y29" s="2"/>
      <x:c r="Z29" s="2"/>
    </x:row>
    <x:row r="30" ht="62" customHeight="1">
      <x:c r="A30" s="2" t="n">
        <x:v>1905</x:v>
      </x:c>
      <x:c r="B30" s="11" t="n">
        <x:v>256918</x:v>
      </x:c>
      <x:c r="C30" s="11" t="n">
        <x:v>472633</x:v>
      </x:c>
      <x:c r="D30" s="11" t="n">
        <x:v>729551</x:v>
      </x:c>
      <x:c r="E30" s="12" t="b">
        <x:v>0</x:v>
      </x:c>
      <x:c r="F30" s="11" t="n">
        <x:v>9350</x:v>
      </x:c>
      <x:c r="G30" s="11" t="n">
        <x:v>10624</x:v>
      </x:c>
      <x:c r="H30" s="11" t="n">
        <x:v>5617</x:v>
      </x:c>
      <x:c r="I30" s="11" t="n">
        <x:v>9455</x:v>
      </x:c>
      <x:c r="J30" s="11" t="n">
        <x:f>F30-H30</x:f>
        <x:v>3733</x:v>
      </x:c>
      <x:c r="K30" s="14" t="n">
        <x:f>IF(OR(G30="",I30=""),"н/д",G30-I30)</x:f>
        <x:v>1169</x:v>
      </x:c>
      <x:c r="L30" s="11" t="n">
        <x:f>AVERAGE(C29:C30)</x:f>
        <x:v>472048.5</x:v>
      </x:c>
      <x:c r="M30" s="15" t="str">
        <x:v>01.01.1906</x:v>
      </x:c>
      <x:c r="N30" s="15" t="str">
        <x:v>с. 2 / основной RAW PDF 10; copy 2 PDF 5</x:v>
      </x:c>
      <x:c r="O30" s="15" t="str">
        <x:v>с. 13 / PDF 21; вед. № 6 / PDF 47; copy 2 PDF 42</x:v>
      </x:c>
      <x:c r="P30" s="15" t="str">
        <x:v>Все четыре уезда; полнота регистрации внутри групп не измерена</x:v>
      </x:c>
      <x:c r="Q30" s="15" t="str">
        <x:v>Оседлое с отдельно выделенными поселенцами</x:v>
      </x:c>
      <x:c r="R30" s="15" t="str">
        <x:v>https://archive.org/download/obzor_uralskoi_oblasti/Обзор Уральской области за 1905 - RAW.pdf</x:v>
      </x:c>
      <x:c r="S30" s="15" t="str">
        <x:v>729 551</x:v>
      </x:c>
      <x:c r="T30" s="13" t="n">
        <x:f>B30</x:f>
        <x:v>256918</x:v>
      </x:c>
      <x:c r="U30" s="2"/>
      <x:c r="V30" s="2"/>
      <x:c r="W30" s="2"/>
      <x:c r="X30" s="2"/>
      <x:c r="Y30" s="2"/>
      <x:c r="Z30" s="2"/>
    </x:row>
    <x:row r="31" ht="62" customHeight="1">
      <x:c r="A31" s="2" t="n">
        <x:v>1906</x:v>
      </x:c>
      <x:c r="B31" s="11" t="n">
        <x:v>261559</x:v>
      </x:c>
      <x:c r="C31" s="11" t="n">
        <x:v>475206</x:v>
      </x:c>
      <x:c r="D31" s="11" t="n">
        <x:v>736765</x:v>
      </x:c>
      <x:c r="E31" s="12" t="b">
        <x:v>0</x:v>
      </x:c>
      <x:c r="F31" s="11" t="n">
        <x:v>8983</x:v>
      </x:c>
      <x:c r="G31" s="11" t="n">
        <x:v>10988</x:v>
      </x:c>
      <x:c r="H31" s="11" t="n">
        <x:v>4409</x:v>
      </x:c>
      <x:c r="I31" s="11" t="n">
        <x:v>8415</x:v>
      </x:c>
      <x:c r="J31" s="11" t="n">
        <x:f>F31-H31</x:f>
        <x:v>4574</x:v>
      </x:c>
      <x:c r="K31" s="14" t="n">
        <x:f>IF(OR(G31="",I31=""),"н/д",G31-I31)</x:f>
        <x:v>2573</x:v>
      </x:c>
      <x:c r="L31" s="11" t="n">
        <x:f>AVERAGE(C30:C31)</x:f>
        <x:v>473919.5</x:v>
      </x:c>
      <x:c r="M31" s="15" t="str">
        <x:v>01.01.1907</x:v>
      </x:c>
      <x:c r="N31" s="15" t="str">
        <x:v>с. 2 / основной RAW PDF 10; copy 2 PDF 5</x:v>
      </x:c>
      <x:c r="O31" s="15" t="str">
        <x:v>вед. № 6 / PDF 45; copy 2 PDF 40; текст с. 14 / PDF 22</x:v>
      </x:c>
      <x:c r="P31" s="15" t="str">
        <x:v>Все четыре уезда; полнота регистрации внутри групп не измерена</x:v>
      </x:c>
      <x:c r="Q31" s="15" t="str">
        <x:v>Оседлое с отдельно выделенными поселенцами</x:v>
      </x:c>
      <x:c r="R31" s="15" t="str">
        <x:v>https://archive.org/download/obzor_uralskoi_oblasti/Обзор Уральской области за 1906 - RAW.pdf</x:v>
      </x:c>
      <x:c r="S31" s="15" t="str">
        <x:v>736 765</x:v>
      </x:c>
      <x:c r="T31" s="13" t="n">
        <x:f>B31</x:f>
        <x:v>261559</x:v>
      </x:c>
      <x:c r="U31" s="2"/>
      <x:c r="V31" s="2"/>
      <x:c r="W31" s="2"/>
      <x:c r="X31" s="2"/>
      <x:c r="Y31" s="2"/>
      <x:c r="Z31" s="2"/>
    </x:row>
    <x:row r="32" ht="62" customHeight="1">
      <x:c r="A32" s="2" t="n">
        <x:v>1907</x:v>
      </x:c>
      <x:c r="B32" s="11" t="n">
        <x:v>266996</x:v>
      </x:c>
      <x:c r="C32" s="11" t="n">
        <x:v>476822</x:v>
      </x:c>
      <x:c r="D32" s="11" t="n">
        <x:v>743818</x:v>
      </x:c>
      <x:c r="E32" s="12" t="b">
        <x:v>0</x:v>
      </x:c>
      <x:c r="F32" s="11" t="n">
        <x:v>10110</x:v>
      </x:c>
      <x:c r="G32" s="11" t="n">
        <x:v>9029</x:v>
      </x:c>
      <x:c r="H32" s="11" t="n">
        <x:v>4673</x:v>
      </x:c>
      <x:c r="I32" s="11" t="n">
        <x:v>7413</x:v>
      </x:c>
      <x:c r="J32" s="11" t="n">
        <x:f>F32-H32</x:f>
        <x:v>5437</x:v>
      </x:c>
      <x:c r="K32" s="14" t="n">
        <x:f>IF(OR(G32="",I32=""),"н/д",G32-I32)</x:f>
        <x:v>1616</x:v>
      </x:c>
      <x:c r="L32" s="11" t="n">
        <x:f>AVERAGE(C31:C32)</x:f>
        <x:v>476014</x:v>
      </x:c>
      <x:c r="M32" s="15" t="str">
        <x:v>01.01.1908</x:v>
      </x:c>
      <x:c r="N32" s="15" t="str">
        <x:v>с. 2 / основной RAW PDF 10; copy 2 PDF 5</x:v>
      </x:c>
      <x:c r="O32" s="15" t="str">
        <x:v>с. 12–13 / PDF 20–21; вед. № 6 / PDF 43; copy 2 PDF 39</x:v>
      </x:c>
      <x:c r="P32" s="15" t="str">
        <x:v>Все четыре уезда; полнота регистрации внутри групп не измерена</x:v>
      </x:c>
      <x:c r="Q32" s="15" t="str">
        <x:v>Оседлое с отдельно выделенными поселенцами</x:v>
      </x:c>
      <x:c r="R32" s="15" t="str">
        <x:v>https://archive.org/download/obzor_uralskoi_oblasti/Обзор Уральской области за 1907 - RAW.pdf</x:v>
      </x:c>
      <x:c r="S32" s="15" t="str">
        <x:v>743 818</x:v>
      </x:c>
      <x:c r="T32" s="13" t="n">
        <x:f>B32</x:f>
        <x:v>266996</x:v>
      </x:c>
      <x:c r="U32" s="2"/>
      <x:c r="V32" s="2"/>
      <x:c r="W32" s="2"/>
      <x:c r="X32" s="2"/>
      <x:c r="Y32" s="2"/>
      <x:c r="Z32" s="2"/>
    </x:row>
    <x:row r="33" ht="62" customHeight="1">
      <x:c r="A33" s="2" t="n">
        <x:v>1908</x:v>
      </x:c>
      <x:c r="B33" s="11" t="n">
        <x:v>271874</x:v>
      </x:c>
      <x:c r="C33" s="11" t="n">
        <x:v>478354</x:v>
      </x:c>
      <x:c r="D33" s="11" t="n">
        <x:v>750228</x:v>
      </x:c>
      <x:c r="E33" s="12" t="b">
        <x:v>0</x:v>
      </x:c>
      <x:c r="F33" s="11" t="n">
        <x:v>10420</x:v>
      </x:c>
      <x:c r="G33" s="11" t="n">
        <x:v>9675</x:v>
      </x:c>
      <x:c r="H33" s="11" t="n">
        <x:v>5577</x:v>
      </x:c>
      <x:c r="I33" s="11" t="n">
        <x:v>8143</x:v>
      </x:c>
      <x:c r="J33" s="11" t="n">
        <x:f>F33-H33</x:f>
        <x:v>4843</x:v>
      </x:c>
      <x:c r="K33" s="14" t="n">
        <x:f>IF(OR(G33="",I33=""),"н/д",G33-I33)</x:f>
        <x:v>1532</x:v>
      </x:c>
      <x:c r="L33" s="11" t="n">
        <x:f>AVERAGE(C32:C33)</x:f>
        <x:v>477588</x:v>
      </x:c>
      <x:c r="M33" s="15" t="str">
        <x:v>01.01.1909</x:v>
      </x:c>
      <x:c r="N33" s="15" t="str">
        <x:v>с. 2 / PDF 8</x:v>
      </x:c>
      <x:c r="O33" s="15" t="str">
        <x:v>с. 12–13 / PDF 18–19; вед. № 6 / PDF 41</x:v>
      </x:c>
      <x:c r="P33" s="15" t="str">
        <x:v>Все четыре уезда; полнота регистрации внутри групп не измерена</x:v>
      </x:c>
      <x:c r="Q33" s="15" t="str">
        <x:v>Оседлое с отдельно выделенными поселенцами</x:v>
      </x:c>
      <x:c r="R33" s="15" t="str">
        <x:v>https://archive.org/download/obzor_uralskoi_oblasti/Обзор Уральской области за 1908 - RAW.pdf</x:v>
      </x:c>
      <x:c r="S33" s="15" t="str">
        <x:v>750 228</x:v>
      </x:c>
      <x:c r="T33" s="13" t="n">
        <x:f>B33</x:f>
        <x:v>271874</x:v>
      </x:c>
      <x:c r="U33" s="2"/>
      <x:c r="V33" s="2"/>
      <x:c r="W33" s="2"/>
      <x:c r="X33" s="2"/>
      <x:c r="Y33" s="2"/>
      <x:c r="Z33" s="2"/>
    </x:row>
    <x:row r="34" ht="62" customHeight="1">
      <x:c r="A34" s="2" t="n">
        <x:v>1909</x:v>
      </x:c>
      <x:c r="B34" s="11" t="n">
        <x:v>297963</x:v>
      </x:c>
      <x:c r="C34" s="11" t="n">
        <x:v>480013</x:v>
      </x:c>
      <x:c r="D34" s="11" t="n">
        <x:v>777976</x:v>
      </x:c>
      <x:c r="E34" s="12" t="b">
        <x:v>0</x:v>
      </x:c>
      <x:c r="F34" s="11" t="n">
        <x:v>10322</x:v>
      </x:c>
      <x:c r="G34" s="11" t="n">
        <x:v>9817</x:v>
      </x:c>
      <x:c r="H34" s="11" t="n">
        <x:v>5735</x:v>
      </x:c>
      <x:c r="I34" s="11" t="n">
        <x:v>8158</x:v>
      </x:c>
      <x:c r="J34" s="11" t="n">
        <x:f>F34-H34</x:f>
        <x:v>4587</x:v>
      </x:c>
      <x:c r="K34" s="14" t="n">
        <x:f>IF(OR(G34="",I34=""),"н/д",G34-I34)</x:f>
        <x:v>1659</x:v>
      </x:c>
      <x:c r="L34" s="11" t="n">
        <x:f>AVERAGE(C33:C34)</x:f>
        <x:v>479183.5</x:v>
      </x:c>
      <x:c r="M34" s="15" t="str">
        <x:v>01.01.1910</x:v>
      </x:c>
      <x:c r="N34" s="15" t="str">
        <x:v>с. 2 / PDF 8</x:v>
      </x:c>
      <x:c r="O34" s="15" t="str">
        <x:v>с. 12–13 / PDF 18–19; вед. № 6 / PDF 41</x:v>
      </x:c>
      <x:c r="P34" s="15" t="str">
        <x:v>Итоги ведомости; охват недавно осевших переселенцев не установлен</x:v>
      </x:c>
      <x:c r="Q34" s="15" t="str">
        <x:v>Оседлое с отдельно выделенными поселенцами</x:v>
      </x:c>
      <x:c r="R34" s="15" t="str">
        <x:v>https://archive.org/download/obzor_uralskoi_oblasti/Обзор Уральской области за 1909 - RAW.pdf</x:v>
      </x:c>
      <x:c r="S34" s="15" t="str">
        <x:v>777 976</x:v>
      </x:c>
      <x:c r="T34" s="13" t="n">
        <x:f>B34</x:f>
        <x:v>297963</x:v>
      </x:c>
      <x:c r="U34" s="2"/>
      <x:c r="V34" s="2"/>
      <x:c r="W34" s="2"/>
      <x:c r="X34" s="2"/>
      <x:c r="Y34" s="2"/>
      <x:c r="Z34" s="2"/>
    </x:row>
    <x:row r="35" ht="62" customHeight="1">
      <x:c r="A35" s="2" t="n">
        <x:v>1910</x:v>
      </x:c>
      <x:c r="B35" s="11" t="n">
        <x:v>321670</x:v>
      </x:c>
      <x:c r="C35" s="11" t="n">
        <x:v>482575</x:v>
      </x:c>
      <x:c r="D35" s="11" t="n">
        <x:v>804245</x:v>
      </x:c>
      <x:c r="E35" s="12" t="b">
        <x:v>0</x:v>
      </x:c>
      <x:c r="F35" s="11" t="n">
        <x:v>11770</x:v>
      </x:c>
      <x:c r="G35" s="11" t="n">
        <x:v>10683</x:v>
      </x:c>
      <x:c r="H35" s="11" t="n">
        <x:v>7274</x:v>
      </x:c>
      <x:c r="I35" s="11" t="n">
        <x:v>7949</x:v>
      </x:c>
      <x:c r="J35" s="11" t="n">
        <x:f>F35-H35</x:f>
        <x:v>4496</x:v>
      </x:c>
      <x:c r="K35" s="14" t="n">
        <x:f>IF(OR(G35="",I35=""),"н/д",G35-I35)</x:f>
        <x:v>2734</x:v>
      </x:c>
      <x:c r="L35" s="11" t="n">
        <x:f>AVERAGE(C34:C35)</x:f>
        <x:v>481294</x:v>
      </x:c>
      <x:c r="M35" s="15" t="str">
        <x:v>01.01.1911</x:v>
      </x:c>
      <x:c r="N35" s="15" t="str">
        <x:v>с. 2 / RAW copy 2 PDF 5; OCR PDF 10</x:v>
      </x:c>
      <x:c r="O35" s="15" t="str">
        <x:v>с. 3–4 / RAW copy 2 PDF 6–7; вед. № 6 / RAW PDF 58, OCR PDF 62</x:v>
      </x:c>
      <x:c r="P35" s="15" t="str">
        <x:v>Исключены самовольцы и переселенцы Темирского уезда</x:v>
      </x:c>
      <x:c r="Q35" s="15" t="str">
        <x:v>Условно: «киргизское» население и остальные категории</x:v>
      </x:c>
      <x:c r="R35" s="15" t="str">
        <x:v>https://archive.org/download/obzor_uralskoi_oblasti/Обзор Уральской области за 1910 (copy 2) - RAW.pdf</x:v>
      </x:c>
      <x:c r="S35" s="15" t="str">
        <x:v>804 245</x:v>
      </x:c>
      <x:c r="T35" s="13" t="n">
        <x:f>B35</x:f>
        <x:v>321670</x:v>
      </x:c>
      <x:c r="U35" s="2"/>
      <x:c r="V35" s="2"/>
      <x:c r="W35" s="2"/>
      <x:c r="X35" s="2"/>
      <x:c r="Y35" s="2"/>
      <x:c r="Z35" s="2"/>
    </x:row>
    <x:row r="36" ht="62" customHeight="1">
      <x:c r="A36" s="2" t="n">
        <x:v>1911</x:v>
      </x:c>
      <x:c r="B36" s="11" t="n">
        <x:v>331693</x:v>
      </x:c>
      <x:c r="C36" s="11" t="n">
        <x:v>482255</x:v>
      </x:c>
      <x:c r="D36" s="11" t="n">
        <x:v>813948</x:v>
      </x:c>
      <x:c r="E36" s="12" t="b">
        <x:v>0</x:v>
      </x:c>
      <x:c r="F36" s="11" t="n">
        <x:v>11120</x:v>
      </x:c>
      <x:c r="G36" s="11" t="n">
        <x:v>7959</x:v>
      </x:c>
      <x:c r="H36" s="11" t="n">
        <x:v>6461</x:v>
      </x:c>
      <x:c r="I36" s="11" t="n">
        <x:v>8279</x:v>
      </x:c>
      <x:c r="J36" s="11" t="n">
        <x:f>F36-H36</x:f>
        <x:v>4659</x:v>
      </x:c>
      <x:c r="K36" s="14" t="n">
        <x:f>IF(OR(G36="",I36=""),"н/д",G36-I36)</x:f>
        <x:v>-320</x:v>
      </x:c>
      <x:c r="L36" s="11" t="n">
        <x:f>AVERAGE(C35:C36)</x:f>
        <x:v>482415</x:v>
      </x:c>
      <x:c r="M36" s="15" t="str">
        <x:v>01.01.1912</x:v>
      </x:c>
      <x:c r="N36" s="15" t="str">
        <x:v>с. 3 / RAW copy 2 PDF 6; OCR PDF 13</x:v>
      </x:c>
      <x:c r="O36" s="15" t="str">
        <x:v>с. 4–5 / RAW copy 2 PDF 7–8; вед. № 6 / RAW PDF 86, OCR PDF 90</x:v>
      </x:c>
      <x:c r="P36" s="15" t="str">
        <x:v>Основные группы включены; полнота регистрации не измерена</x:v>
      </x:c>
      <x:c r="Q36" s="15" t="str">
        <x:v>Условно: «киргизское» население и остальные категории</x:v>
      </x:c>
      <x:c r="R36" s="15" t="str">
        <x:v>https://archive.org/download/obzor_uralskoi_oblasti/Обзор Уральской области за 1911 (copy 2) - RAW.pdf</x:v>
      </x:c>
      <x:c r="S36" s="15" t="str">
        <x:v>813 948</x:v>
      </x:c>
      <x:c r="T36" s="13" t="n">
        <x:f>B36</x:f>
        <x:v>331693</x:v>
      </x:c>
      <x:c r="U36" s="2"/>
      <x:c r="V36" s="2"/>
      <x:c r="W36" s="2"/>
      <x:c r="X36" s="2"/>
      <x:c r="Y36" s="2"/>
      <x:c r="Z36" s="2"/>
    </x:row>
    <x:row r="37" ht="62" customHeight="1">
      <x:c r="A37" s="2" t="n">
        <x:v>1912</x:v>
      </x:c>
      <x:c r="B37" s="11" t="n">
        <x:v>337193</x:v>
      </x:c>
      <x:c r="C37" s="11" t="n">
        <x:v>481067</x:v>
      </x:c>
      <x:c r="D37" s="11" t="n">
        <x:v>818260</x:v>
      </x:c>
      <x:c r="E37" s="12" t="b">
        <x:v>0</x:v>
      </x:c>
      <x:c r="F37" s="11" t="n">
        <x:v>11280</x:v>
      </x:c>
      <x:c r="G37" s="11" t="n">
        <x:v>6576</x:v>
      </x:c>
      <x:c r="H37" s="11" t="n">
        <x:v>6347</x:v>
      </x:c>
      <x:c r="I37" s="11" t="n">
        <x:v>7764</x:v>
      </x:c>
      <x:c r="J37" s="11" t="n">
        <x:f>F37-H37</x:f>
        <x:v>4933</x:v>
      </x:c>
      <x:c r="K37" s="14" t="n">
        <x:f>IF(OR(G37="",I37=""),"н/д",G37-I37)</x:f>
        <x:v>-1188</x:v>
      </x:c>
      <x:c r="L37" s="11" t="n">
        <x:f>AVERAGE(C36:C37)</x:f>
        <x:v>481661</x:v>
      </x:c>
      <x:c r="M37" s="15" t="str">
        <x:v>01.01.1913</x:v>
      </x:c>
      <x:c r="N37" s="15" t="str">
        <x:v>с. 3 / RAW и OCR PDF 7</x:v>
      </x:c>
      <x:c r="O37" s="15" t="str">
        <x:v>с. 4–5 / PDF 8–9; вед. № 6 / PDF 120</x:v>
      </x:c>
      <x:c r="P37" s="15" t="str">
        <x:v>Основные группы включены; полнота регистрации не измерена</x:v>
      </x:c>
      <x:c r="Q37" s="15" t="str">
        <x:v>Условно: «киргизское» население и остальные категории</x:v>
      </x:c>
      <x:c r="R37" s="15" t="str">
        <x:v>https://archive.org/download/obzor_uralskoi_oblasti/Обзор Уральской области за 1912 - RAW.pdf</x:v>
      </x:c>
      <x:c r="S37" s="15" t="str">
        <x:v>818 260</x:v>
      </x:c>
      <x:c r="T37" s="13" t="n">
        <x:f>B37</x:f>
        <x:v>337193</x:v>
      </x:c>
      <x:c r="U37" s="2"/>
      <x:c r="V37" s="2"/>
      <x:c r="W37" s="2"/>
      <x:c r="X37" s="2"/>
      <x:c r="Y37" s="2"/>
      <x:c r="Z37" s="2"/>
    </x:row>
    <x:row r="38" ht="62" customHeight="1">
      <x:c r="A38" s="2" t="n">
        <x:v>1913</x:v>
      </x:c>
      <x:c r="B38" s="11" t="n">
        <x:v>354909</x:v>
      </x:c>
      <x:c r="C38" s="11" t="n">
        <x:v>481019</x:v>
      </x:c>
      <x:c r="D38" s="11" t="n">
        <x:v>835928</x:v>
      </x:c>
      <x:c r="E38" s="12" t="b">
        <x:v>0</x:v>
      </x:c>
      <x:c r="F38" s="11" t="n">
        <x:v>12287</x:v>
      </x:c>
      <x:c r="G38" s="11" t="n">
        <x:v>7654</x:v>
      </x:c>
      <x:c r="H38" s="11" t="n">
        <x:v>6894</x:v>
      </x:c>
      <x:c r="I38" s="11" t="n">
        <x:v>7702</x:v>
      </x:c>
      <x:c r="J38" s="11" t="n">
        <x:f>F38-H38</x:f>
        <x:v>5393</x:v>
      </x:c>
      <x:c r="K38" s="14" t="n">
        <x:f>IF(OR(G38="",I38=""),"н/д",G38-I38)</x:f>
        <x:v>-48</x:v>
      </x:c>
      <x:c r="L38" s="11" t="n">
        <x:f>AVERAGE(C37:C38)</x:f>
        <x:v>481043</x:v>
      </x:c>
      <x:c r="M38" s="15" t="str">
        <x:v>01.01.1914</x:v>
      </x:c>
      <x:c r="N38" s="15" t="str">
        <x:v>с. 2–3 / RAW PDF 12–13</x:v>
      </x:c>
      <x:c r="O38" s="15" t="str">
        <x:v>с. 5 / RAW PDF 15; вед. № 6 / RAW PDF 143</x:v>
      </x:c>
      <x:c r="P38" s="15" t="str">
        <x:v>Основные группы включены; полнота регистрации не измерена</x:v>
      </x:c>
      <x:c r="Q38" s="15" t="str">
        <x:v>Условно: «киргизское» население и остальные категории</x:v>
      </x:c>
      <x:c r="R38" s="15" t="str">
        <x:v>https://archive.org/download/obzor_uralskoi_oblasti/Обзор Уральской области за 1913 - RAW.pdf</x:v>
      </x:c>
      <x:c r="S38" s="15" t="str">
        <x:v>835 928</x:v>
      </x:c>
      <x:c r="T38" s="13" t="n">
        <x:f>B38</x:f>
        <x:v>354909</x:v>
      </x:c>
      <x:c r="U38" s="2"/>
      <x:c r="V38" s="2"/>
      <x:c r="W38" s="2"/>
      <x:c r="X38" s="2"/>
      <x:c r="Y38" s="2"/>
      <x:c r="Z38" s="2"/>
    </x:row>
    <x:row r="39" ht="62" customHeight="1">
      <x:c r="A39" s="2" t="n">
        <x:v>1914</x:v>
      </x:c>
      <x:c r="B39" s="11" t="n">
        <x:v>375537</x:v>
      </x:c>
      <x:c r="C39" s="11" t="n">
        <x:v>480985</x:v>
      </x:c>
      <x:c r="D39" s="11" t="n">
        <x:v>856522</x:v>
      </x:c>
      <x:c r="E39" s="12" t="b">
        <x:v>0</x:v>
      </x:c>
      <x:c r="F39" s="11" t="n">
        <x:v>13054</x:v>
      </x:c>
      <x:c r="G39" s="11" t="n">
        <x:v>7647</x:v>
      </x:c>
      <x:c r="H39" s="11" t="n">
        <x:v>7272</x:v>
      </x:c>
      <x:c r="I39" s="11" t="n">
        <x:v>7681</x:v>
      </x:c>
      <x:c r="J39" s="11" t="n">
        <x:f>F39-H39</x:f>
        <x:v>5782</x:v>
      </x:c>
      <x:c r="K39" s="14" t="n">
        <x:f>IF(OR(G39="",I39=""),"н/д",G39-I39)</x:f>
        <x:v>-34</x:v>
      </x:c>
      <x:c r="L39" s="11" t="n">
        <x:f>AVERAGE(C38:C39)</x:f>
        <x:v>481002</x:v>
      </x:c>
      <x:c r="M39" s="15" t="str">
        <x:v>01.01.1915</x:v>
      </x:c>
      <x:c r="N39" s="15" t="str">
        <x:v>с. 2–3 / RAW copy 2 PDF 6–7</x:v>
      </x:c>
      <x:c r="O39" s="15" t="str">
        <x:v>с. 5 / RAW copy 2 PDF 9; вед. № 6 / PDF 160</x:v>
      </x:c>
      <x:c r="P39" s="15" t="str">
        <x:v>Основные группы включены; полнота регистрации не измерена</x:v>
      </x:c>
      <x:c r="Q39" s="15" t="str">
        <x:v>Условно: «киргизское» население и остальные категории</x:v>
      </x:c>
      <x:c r="R39" s="15" t="str">
        <x:v>https://archive.org/download/obzor_uralskoi_oblasti/Обзор Уральской области за 1914 (copy 2) - RAW.pdf</x:v>
      </x:c>
      <x:c r="S39" s="15" t="str">
        <x:v>856 522</x:v>
      </x:c>
      <x:c r="T39" s="13" t="n">
        <x:f>B39</x:f>
        <x:v>375537</x:v>
      </x:c>
      <x:c r="U39" s="2"/>
      <x:c r="V39" s="2"/>
      <x:c r="W39" s="2"/>
      <x:c r="X39" s="2"/>
      <x:c r="Y39" s="2"/>
      <x:c r="Z39" s="2"/>
    </x:row>
    <x:row r="40" ht="62" customHeight="1">
      <x:c r="A40" s="2" t="n">
        <x:v>1915</x:v>
      </x:c>
      <x:c r="B40" s="11" t="n">
        <x:v>385035</x:v>
      </x:c>
      <x:c r="C40" s="11" t="n">
        <x:v>481911</x:v>
      </x:c>
      <x:c r="D40" s="11" t="n">
        <x:v>866946</x:v>
      </x:c>
      <x:c r="E40" s="12" t="b">
        <x:v>0</x:v>
      </x:c>
      <x:c r="F40" s="11" t="n">
        <x:v>13237</x:v>
      </x:c>
      <x:c r="G40" s="11" t="n">
        <x:v>8393</x:v>
      </x:c>
      <x:c r="H40" s="11" t="n">
        <x:v>8159</x:v>
      </x:c>
      <x:c r="I40" s="11" t="n">
        <x:v>7467</x:v>
      </x:c>
      <x:c r="J40" s="11" t="n">
        <x:f>F40-H40</x:f>
        <x:v>5078</x:v>
      </x:c>
      <x:c r="K40" s="14" t="n">
        <x:f>IF(OR(G40="",I40=""),"н/д",G40-I40)</x:f>
        <x:v>926</x:v>
      </x:c>
      <x:c r="L40" s="11" t="n">
        <x:f>AVERAGE(C39:C40)</x:f>
        <x:v>481448</x:v>
      </x:c>
      <x:c r="M40" s="15" t="str">
        <x:v>01.01.1916</x:v>
      </x:c>
      <x:c r="N40" s="15" t="str">
        <x:v>с. 2–4 / RAW copy 2 PDF 7–9</x:v>
      </x:c>
      <x:c r="O40" s="15" t="str">
        <x:v>с. 5 / RAW copy 2 PDF 10; вед. № 6 / RAW PDF 150, OCR PDF 155</x:v>
      </x:c>
      <x:c r="P40" s="15" t="str">
        <x:v>Группы ведомости; включение беженцев и военных потерь не установлено</x:v>
      </x:c>
      <x:c r="Q40" s="15" t="str">
        <x:v>Условно: «киргизское» население и остальные категории</x:v>
      </x:c>
      <x:c r="R40" s="15" t="str">
        <x:v>https://archive.org/download/obzor_uralskoi_oblasti/Обзор Уральской области за 1915 (copy 2) - RAW.pdf</x:v>
      </x:c>
      <x:c r="S40" s="15" t="str">
        <x:v>866 946</x:v>
      </x:c>
      <x:c r="T40" s="13" t="n">
        <x:f>B40</x:f>
        <x:v>385035</x:v>
      </x:c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</x:sheetData>
  <x:pageMargins left="0.7" right="0.7" top="0.75" bottom="0.75" header="0.3" footer="0.3"/>
</x:worksheet>
</file>