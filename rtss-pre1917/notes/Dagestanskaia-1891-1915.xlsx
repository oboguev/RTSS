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e0672b0a448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селение" sheetId="1" r:id="R8440835e6dab4cdb"/>
    <x:sheet xmlns:r="http://schemas.openxmlformats.org/officeDocument/2006/relationships" name="Рождения и смерти" sheetId="2" r:id="R614da69df0154f7f"/>
    <x:sheet xmlns:r="http://schemas.openxmlformats.org/officeDocument/2006/relationships" name="Миграция" sheetId="3" r:id="R7021395016314784"/>
    <x:sheet xmlns:r="http://schemas.openxmlformats.org/officeDocument/2006/relationships" name="Регистрация и контроль" sheetId="4" r:id="R21b851c447e54be0"/>
    <x:sheet xmlns:r="http://schemas.openxmlformats.org/officeDocument/2006/relationships" name="Методика и источники" sheetId="5" r:id="Rba73eab9697341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;[Red](#,##0);–"/>
    <x:numFmt numFmtId="202" formatCode="+#,##0;-#,##0;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1364D"/>
      </x:patternFill>
    </x:fill>
    <x:fill>
      <x:patternFill patternType="solid">
        <x:fgColor rgb="FFDCECEB"/>
      </x:patternFill>
    </x:fill>
    <x:fill>
      <x:patternFill patternType="solid">
        <x:fgColor rgb="FFF2F6FA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0" fillId="3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0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vertical="top"/>
    </x:xf>
    <x:xf numFmtId="200" fontId="2" fillId="3" borderId="0" xfId="0" applyNumberFormat="1" applyFont="1" applyFill="1" applyBorder="1" applyAlignment="1">
      <x:alignment horizontal="center" vertical="top"/>
    </x:xf>
    <x:xf numFmtId="200" fontId="2" fillId="3" borderId="1" xfId="0" applyNumberFormat="1" applyFont="1" applyFill="1" applyBorder="1" applyAlignment="1">
      <x:alignment horizontal="center" vertical="top"/>
    </x:xf>
    <x:xf numFmtId="201" fontId="0" fillId="0" borderId="0" xfId="0" applyNumberFormat="1" applyFont="1" applyFill="1" applyBorder="1" applyAlignment="1">
      <x:alignment vertical="top"/>
    </x:xf>
    <x:xf numFmtId="201" fontId="0" fillId="4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4" borderId="1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2" fontId="0" fillId="4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69a44f44794aac" /><Relationship Type="http://schemas.openxmlformats.org/officeDocument/2006/relationships/theme" Target="/xl/theme/theme1.xml" Id="Re63883656af54051" /><Relationship Type="http://schemas.openxmlformats.org/officeDocument/2006/relationships/sharedStrings" Target="/xl/sharedStrings.xml" Id="Rece410ba8f9f44c3" /><Relationship Type="http://schemas.openxmlformats.org/officeDocument/2006/relationships/worksheet" Target="/xl/worksheets/sheet1.xml" Id="R8440835e6dab4cdb" /><Relationship Type="http://schemas.openxmlformats.org/officeDocument/2006/relationships/worksheet" Target="/xl/worksheets/sheet2.xml" Id="R614da69df0154f7f" /><Relationship Type="http://schemas.openxmlformats.org/officeDocument/2006/relationships/worksheet" Target="/xl/worksheets/sheet3.xml" Id="R7021395016314784" /><Relationship Type="http://schemas.openxmlformats.org/officeDocument/2006/relationships/worksheet" Target="/xl/worksheets/sheet4.xml" Id="R21b851c447e54be0" /><Relationship Type="http://schemas.openxmlformats.org/officeDocument/2006/relationships/worksheet" Target="/xl/worksheets/sheet5.xml" Id="Rba73eab9697341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1" hidden="0" customWidth="1"/>
    <x:col min="11" max="11" width="70" hidden="0" customWidth="1"/>
    <x:col min="12" max="12" width="42" hidden="0" customWidth="1"/>
  </x:cols>
  <x:sheetData>
    <x:row r="1" ht="46" customHeight="1">
      <x:c r="A1" s="5" t="str">
        <x:v>Год</x:v>
      </x:c>
      <x:c r="B1" s="5" t="str">
        <x:v>Дата оценки</x:v>
      </x:c>
      <x:c r="C1" s="5" t="str">
        <x:v>Коренное</x:v>
      </x:c>
      <x:c r="D1" s="5" t="str">
        <x:v>Временное</x:v>
      </x:c>
      <x:c r="E1" s="5" t="str">
        <x:v>Без войск</x:v>
      </x:c>
      <x:c r="F1" s="5" t="str">
        <x:v>Войска</x:v>
      </x:c>
      <x:c r="G1" s="5" t="str">
        <x:v>Итог с войсками / условный</x:v>
      </x:c>
      <x:c r="H1" s="5" t="str">
        <x:v>Города¹</x:v>
      </x:c>
      <x:c r="I1" s="5" t="str">
        <x:v>Округа¹</x:v>
      </x:c>
      <x:c r="J1" s="5" t="str">
        <x:v>Итог опубликован / расчёт</x:v>
      </x:c>
      <x:c r="K1" s="5" t="str">
        <x:v>Примечание к группам</x:v>
      </x:c>
      <x:c r="L1" s="5" t="str">
        <x:v>Источник</x:v>
      </x:c>
    </x:row>
    <x:row r="2" ht="20" customHeight="1">
      <x:c r="A2" s="20" t="n">
        <x:v>1891</x:v>
      </x:c>
      <x:c r="B2" s="10" t="str">
        <x:v>01.01.1892</x:v>
      </x:c>
      <x:c r="C2" s="22"/>
      <x:c r="D2" s="22"/>
      <x:c r="E2" s="22" t="n">
        <x:v>609982</x:v>
      </x:c>
      <x:c r="F2" s="22" t="n">
        <x:v>4599</x:v>
      </x:c>
      <x:c r="G2" s="22"/>
      <x:c r="H2" s="22" t="n">
        <x:v>24425</x:v>
      </x:c>
      <x:c r="I2" s="22" t="n">
        <x:v>585557</x:v>
      </x:c>
      <x:c r="J2" s="10" t="str">
        <x:v>Расчёт; официального областного итога нет</x:v>
      </x:c>
      <x:c r="K2" s="10" t="str">
        <x:v>Расчёт 585 557 + 24 425 без отдельно указанных городских военных; 4 599 войск с семьями сверх городских жителей. Коренные округа 581 097; коренные города 16 949; временные города 7 476.</x:v>
      </x:c>
      <x:c r="L2" s="10" t="str">
        <x:v>Dagestanskaia-1891(2).md; Dagestanskaia-1891-1895(2).md</x:v>
      </x:c>
    </x:row>
    <x:row r="3" ht="20" customHeight="1">
      <x:c r="A3" s="20" t="n">
        <x:v>1892</x:v>
      </x:c>
      <x:c r="B3" s="18" t="str">
        <x:v>Не установлен</x:v>
      </x:c>
      <x:c r="C3" s="23"/>
      <x:c r="D3" s="23"/>
      <x:c r="E3" s="23"/>
      <x:c r="F3" s="23"/>
      <x:c r="G3" s="23"/>
      <x:c r="H3" s="23"/>
      <x:c r="I3" s="23"/>
      <x:c r="J3" s="18" t="str">
        <x:v>Нет полного итога</x:v>
      </x:c>
      <x:c r="K3" s="18" t="str">
        <x:v>Единый абсолютный итог населения в частичной сводке не установлен.</x:v>
      </x:c>
      <x:c r="L3" s="18" t="str">
        <x:v>Dagestanskaia-1891-1895(2).md</x:v>
      </x:c>
    </x:row>
    <x:row r="4" ht="20" customHeight="1">
      <x:c r="A4" s="20" t="n">
        <x:v>1893</x:v>
      </x:c>
      <x:c r="B4" s="10" t="str">
        <x:v>в отчётном году</x:v>
      </x:c>
      <x:c r="C4" s="22"/>
      <x:c r="D4" s="22"/>
      <x:c r="E4" s="22"/>
      <x:c r="F4" s="22" t="n">
        <x:v>6250</x:v>
      </x:c>
      <x:c r="G4" s="22"/>
      <x:c r="H4" s="22" t="n">
        <x:v>30286</x:v>
      </x:c>
      <x:c r="I4" s="22" t="n">
        <x:v>571186</x:v>
      </x:c>
      <x:c r="J4" s="10" t="str">
        <x:v>Нет полного итога</x:v>
      </x:c>
      <x:c r="K4" s="10" t="str">
        <x:v>Города 30 286 включают 16 681 коренных + 7 355 временных + 6 250 военных; округа 571 186 — только коренные. Не суммировать как полный итог области.</x:v>
      </x:c>
      <x:c r="L4" s="10" t="str">
        <x:v>Dagestanskaia-1891-1895(2).md</x:v>
      </x:c>
    </x:row>
    <x:row r="5" ht="20" customHeight="1">
      <x:c r="A5" s="20" t="n">
        <x:v>1894</x:v>
      </x:c>
      <x:c r="B5" s="18" t="str">
        <x:v>в отчётном году</x:v>
      </x:c>
      <x:c r="C5" s="23"/>
      <x:c r="D5" s="23"/>
      <x:c r="E5" s="23"/>
      <x:c r="F5" s="23" t="n">
        <x:v>7883</x:v>
      </x:c>
      <x:c r="G5" s="23"/>
      <x:c r="H5" s="23" t="n">
        <x:v>34177</x:v>
      </x:c>
      <x:c r="I5" s="23" t="n">
        <x:v>571806</x:v>
      </x:c>
      <x:c r="J5" s="18" t="str">
        <x:v>Нет полного итога</x:v>
      </x:c>
      <x:c r="K5" s="18" t="str">
        <x:v>Города 34 177 (с войсками), но категории города дают 34 167; округа 571 806 — только коренные. Не суммировать как полный итог области.</x:v>
      </x:c>
      <x:c r="L5" s="18" t="str">
        <x:v>Dagestanskaia-1891-1895(2).md</x:v>
      </x:c>
    </x:row>
    <x:row r="6" ht="20" customHeight="1">
      <x:c r="A6" s="20" t="n">
        <x:v>1895</x:v>
      </x:c>
      <x:c r="B6" s="10" t="str">
        <x:v>01.01.1896</x:v>
      </x:c>
      <x:c r="C6" s="22" t="n">
        <x:v>594257</x:v>
      </x:c>
      <x:c r="D6" s="22" t="n">
        <x:v>11801</x:v>
      </x:c>
      <x:c r="E6" s="22" t="n">
        <x:v>606058</x:v>
      </x:c>
      <x:c r="F6" s="22" t="n">
        <x:v>9038</x:v>
      </x:c>
      <x:c r="G6" s="22" t="n">
        <x:v>615096</x:v>
      </x:c>
      <x:c r="H6" s="22" t="n">
        <x:v>28526</x:v>
      </x:c>
      <x:c r="I6" s="22" t="n">
        <x:v>577532</x:v>
      </x:c>
      <x:c r="J6" s="10" t="str">
        <x:v>Официальный итог, с войсками</x:v>
      </x:c>
      <x:c r="K6" s="10" t="str">
        <x:v>Коренные 594 257 + временные 11 801 = 606 058 без войск; с войсками 615 096. Город и округа без войск 28 526 + 577 532. Опечатки промежуточных итогов 33 233/33 244 и 577 539/577 532.</x:v>
      </x:c>
      <x:c r="L6" s="10" t="str">
        <x:v>Dagestanskaia-1891-1895(2).md</x:v>
      </x:c>
    </x:row>
    <x:row r="7" ht="20" customHeight="1">
      <x:c r="A7" s="20" t="n">
        <x:v>1896</x:v>
      </x:c>
      <x:c r="B7" s="18" t="str">
        <x:v>01.01.1897</x:v>
      </x:c>
      <x:c r="C7" s="23"/>
      <x:c r="D7" s="23"/>
      <x:c r="E7" s="23" t="n">
        <x:v>604012</x:v>
      </x:c>
      <x:c r="F7" s="23" t="n">
        <x:v>7782</x:v>
      </x:c>
      <x:c r="G7" s="23" t="n">
        <x:v>611794</x:v>
      </x:c>
      <x:c r="H7" s="23" t="n">
        <x:v>30447</x:v>
      </x:c>
      <x:c r="I7" s="23" t="n">
        <x:v>573565</x:v>
      </x:c>
      <x:c r="J7" s="18" t="str">
        <x:v>Расчёт: официальное без войск + войска</x:v>
      </x:c>
      <x:c r="K7" s="18" t="str">
        <x:v>604 012 без регулярных войск (7 782 отдельно); 611 794 — вычисленная сумма с войсками, не опубликованный в сводке итог. Изменение границ 9 декабря.</x:v>
      </x:c>
      <x:c r="L7" s="18" t="str">
        <x:v>Dagestanskaia-1896-1899(2).md</x:v>
      </x:c>
    </x:row>
    <x:row r="8" ht="20" customHeight="1">
      <x:c r="A8" s="20" t="n">
        <x:v>1897</x:v>
      </x:c>
      <x:c r="B8" s="10" t="str">
        <x:v>01.01.1898</x:v>
      </x:c>
      <x:c r="C8" s="22"/>
      <x:c r="D8" s="22"/>
      <x:c r="E8" s="22" t="n">
        <x:v>606632</x:v>
      </x:c>
      <x:c r="F8" s="22" t="n">
        <x:v>9987</x:v>
      </x:c>
      <x:c r="G8" s="22" t="n">
        <x:v>616619</x:v>
      </x:c>
      <x:c r="H8" s="22" t="n">
        <x:v>31294</x:v>
      </x:c>
      <x:c r="I8" s="22" t="n">
        <x:v>575338</x:v>
      </x:c>
      <x:c r="J8" s="10" t="str">
        <x:v>Расчёт: официальное без войск + войска</x:v>
      </x:c>
      <x:c r="K8" s="10" t="str">
        <x:v>606 632 без регулярных войск (9 987 отдельно); 616 619 арифметическая сумма, не отдельный опубликованный итог.</x:v>
      </x:c>
      <x:c r="L8" s="10" t="str">
        <x:v>Dagestanskaia-1896-1899(2).md</x:v>
      </x:c>
    </x:row>
    <x:row r="9" ht="20" customHeight="1">
      <x:c r="A9" s="20" t="n">
        <x:v>1898</x:v>
      </x:c>
      <x:c r="B9" s="18" t="str">
        <x:v>01.01.1899</x:v>
      </x:c>
      <x:c r="C9" s="23"/>
      <x:c r="D9" s="23"/>
      <x:c r="E9" s="23" t="n">
        <x:v>622328</x:v>
      </x:c>
      <x:c r="F9" s="23" t="n">
        <x:v>7917</x:v>
      </x:c>
      <x:c r="G9" s="23" t="n">
        <x:v>630245</x:v>
      </x:c>
      <x:c r="H9" s="23" t="n">
        <x:v>34489</x:v>
      </x:c>
      <x:c r="I9" s="23" t="n">
        <x:v>587839</x:v>
      </x:c>
      <x:c r="J9" s="18" t="str">
        <x:v>Расчёт: официальное без войск + войска</x:v>
      </x:c>
      <x:c r="K9" s="18" t="str">
        <x:v>622 328 без регулярных войск; в тексте встречается 622 326. Показатель Кайтаго-Табасаранского округа позднее пересмотрен вниз на 7 098.</x:v>
      </x:c>
      <x:c r="L9" s="18" t="str">
        <x:v>Dagestanskaia-1896-1899(2).md</x:v>
      </x:c>
    </x:row>
    <x:row r="10" ht="20" customHeight="1">
      <x:c r="A10" s="20" t="n">
        <x:v>1899</x:v>
      </x:c>
      <x:c r="B10" s="10" t="str">
        <x:v>01.01.1900</x:v>
      </x:c>
      <x:c r="C10" s="22"/>
      <x:c r="D10" s="22"/>
      <x:c r="E10" s="22" t="n">
        <x:v>613881</x:v>
      </x:c>
      <x:c r="F10" s="22" t="n">
        <x:v>7987</x:v>
      </x:c>
      <x:c r="G10" s="22" t="n">
        <x:v>621868</x:v>
      </x:c>
      <x:c r="H10" s="22" t="n">
        <x:v>33781</x:v>
      </x:c>
      <x:c r="I10" s="22" t="n">
        <x:v>580100</x:v>
      </x:c>
      <x:c r="J10" s="10" t="str">
        <x:v>Расчёт: официальное без войск + войска</x:v>
      </x:c>
      <x:c r="K10" s="10" t="str">
        <x:v>613 881 без войск; 621 868 — расчёт с учётом 7 987 войск. Ненадёжность административного подсчёта.</x:v>
      </x:c>
      <x:c r="L10" s="10" t="str">
        <x:v>Dagestanskaia-1896-1899(2).md</x:v>
      </x:c>
    </x:row>
    <x:row r="11" ht="20" customHeight="1">
      <x:c r="A11" s="20" t="n">
        <x:v>1900</x:v>
      </x:c>
      <x:c r="B11" s="18" t="str">
        <x:v>01.01.1901</x:v>
      </x:c>
      <x:c r="C11" s="23" t="n">
        <x:v>603335</x:v>
      </x:c>
      <x:c r="D11" s="23" t="n">
        <x:v>16700</x:v>
      </x:c>
      <x:c r="E11" s="23" t="n">
        <x:v>620035</x:v>
      </x:c>
      <x:c r="F11" s="23" t="n">
        <x:v>9266</x:v>
      </x:c>
      <x:c r="G11" s="23" t="n">
        <x:v>629301</x:v>
      </x:c>
      <x:c r="H11" s="23"/>
      <x:c r="I11" s="23"/>
      <x:c r="J11" s="18" t="str">
        <x:v>Официальный итог, с войсками</x:v>
      </x:c>
      <x:c r="K11" s="18" t="str">
        <x:v>Итог обзора 629 301 включает войска; 620 035 без войск.</x:v>
      </x:c>
      <x:c r="L11" s="18" t="str">
        <x:v>Dagestanskaia-1900-1904(2).md</x:v>
      </x:c>
    </x:row>
    <x:row r="12" ht="20" customHeight="1">
      <x:c r="A12" s="20" t="n">
        <x:v>1901</x:v>
      </x:c>
      <x:c r="B12" s="10" t="str">
        <x:v>01.01.1902</x:v>
      </x:c>
      <x:c r="C12" s="22" t="n">
        <x:v>605490</x:v>
      </x:c>
      <x:c r="D12" s="22" t="n">
        <x:v>24586</x:v>
      </x:c>
      <x:c r="E12" s="22" t="n">
        <x:v>630076</x:v>
      </x:c>
      <x:c r="F12" s="22" t="n">
        <x:v>9231</x:v>
      </x:c>
      <x:c r="G12" s="22" t="n">
        <x:v>639307</x:v>
      </x:c>
      <x:c r="H12" s="22"/>
      <x:c r="I12" s="22"/>
      <x:c r="J12" s="10" t="str">
        <x:v>Официальный итог, с войсками</x:v>
      </x:c>
      <x:c r="K12" s="10" t="str">
        <x:v>Итог обзора включает войска.</x:v>
      </x:c>
      <x:c r="L12" s="10" t="str">
        <x:v>Dagestanskaia-1900-1904(2).md</x:v>
      </x:c>
    </x:row>
    <x:row r="13" ht="20" customHeight="1">
      <x:c r="A13" s="20" t="n">
        <x:v>1902</x:v>
      </x:c>
      <x:c r="B13" s="18" t="str">
        <x:v>01.01.1903</x:v>
      </x:c>
      <x:c r="C13" s="23" t="n">
        <x:v>604850</x:v>
      </x:c>
      <x:c r="D13" s="23" t="n">
        <x:v>24329</x:v>
      </x:c>
      <x:c r="E13" s="23" t="n">
        <x:v>629179</x:v>
      </x:c>
      <x:c r="F13" s="23" t="n">
        <x:v>8871</x:v>
      </x:c>
      <x:c r="G13" s="23" t="n">
        <x:v>638050</x:v>
      </x:c>
      <x:c r="H13" s="23"/>
      <x:c r="I13" s="23"/>
      <x:c r="J13" s="18" t="str">
        <x:v>Официальный итог, с войсками</x:v>
      </x:c>
      <x:c r="K13" s="18" t="str">
        <x:v>Итог обзора включает войска.</x:v>
      </x:c>
      <x:c r="L13" s="18" t="str">
        <x:v>Dagestanskaia-1900-1904(2).md</x:v>
      </x:c>
    </x:row>
    <x:row r="14" ht="20" customHeight="1">
      <x:c r="A14" s="20" t="n">
        <x:v>1903</x:v>
      </x:c>
      <x:c r="B14" s="10" t="str">
        <x:v>01.01.1904</x:v>
      </x:c>
      <x:c r="C14" s="22" t="n">
        <x:v>614868</x:v>
      </x:c>
      <x:c r="D14" s="22" t="n">
        <x:v>25918</x:v>
      </x:c>
      <x:c r="E14" s="22" t="n">
        <x:v>640786</x:v>
      </x:c>
      <x:c r="F14" s="22" t="n">
        <x:v>9122</x:v>
      </x:c>
      <x:c r="G14" s="22" t="n">
        <x:v>649908</x:v>
      </x:c>
      <x:c r="H14" s="22"/>
      <x:c r="I14" s="22"/>
      <x:c r="J14" s="10" t="str">
        <x:v>Официальный итог, с войсками</x:v>
      </x:c>
      <x:c r="K14" s="10" t="str">
        <x:v>Без войск 640 786 по таблице (в прозе ошибочно 641 786).</x:v>
      </x:c>
      <x:c r="L14" s="10" t="str">
        <x:v>Dagestanskaia-1900-1904(2).md</x:v>
      </x:c>
    </x:row>
    <x:row r="15" ht="20" customHeight="1">
      <x:c r="A15" s="20" t="n">
        <x:v>1904</x:v>
      </x:c>
      <x:c r="B15" s="18" t="str">
        <x:v>01.01.1905</x:v>
      </x:c>
      <x:c r="C15" s="23" t="n">
        <x:v>619244</x:v>
      </x:c>
      <x:c r="D15" s="23" t="n">
        <x:v>28960</x:v>
      </x:c>
      <x:c r="E15" s="23" t="n">
        <x:v>648204</x:v>
      </x:c>
      <x:c r="F15" s="23" t="n">
        <x:v>8728</x:v>
      </x:c>
      <x:c r="G15" s="23" t="n">
        <x:v>656932</x:v>
      </x:c>
      <x:c r="H15" s="23"/>
      <x:c r="I15" s="23"/>
      <x:c r="J15" s="18" t="str">
        <x:v>Официальный итог, с войсками</x:v>
      </x:c>
      <x:c r="K15" s="18" t="str">
        <x:v>Итог обзора включает войска.</x:v>
      </x:c>
      <x:c r="L15" s="18" t="str">
        <x:v>Dagestanskaia-1900-1904(2).md</x:v>
      </x:c>
    </x:row>
    <x:row r="16" ht="20" customHeight="1">
      <x:c r="A16" s="20" t="n">
        <x:v>1905</x:v>
      </x:c>
      <x:c r="B16" s="10" t="str">
        <x:v>01.01.1906</x:v>
      </x:c>
      <x:c r="C16" s="22" t="n">
        <x:v>612633</x:v>
      </x:c>
      <x:c r="D16" s="22" t="n">
        <x:v>32515</x:v>
      </x:c>
      <x:c r="E16" s="22" t="n">
        <x:v>645148</x:v>
      </x:c>
      <x:c r="F16" s="22" t="n">
        <x:v>7339</x:v>
      </x:c>
      <x:c r="G16" s="22" t="n">
        <x:v>652487</x:v>
      </x:c>
      <x:c r="H16" s="22" t="n">
        <x:v>50200</x:v>
      </x:c>
      <x:c r="I16" s="22" t="n">
        <x:v>602287</x:v>
      </x:c>
      <x:c r="J16" s="10" t="str">
        <x:v>Официальный итог, с войсками</x:v>
      </x:c>
      <x:c r="K16" s="10" t="str">
        <x:v>Города и округа в указанном разрезе включают войска.</x:v>
      </x:c>
      <x:c r="L16" s="10" t="str">
        <x:v>Dagestanskaia-1905-1909(3).md</x:v>
      </x:c>
    </x:row>
    <x:row r="17" ht="20" customHeight="1">
      <x:c r="A17" s="20" t="n">
        <x:v>1906</x:v>
      </x:c>
      <x:c r="B17" s="18" t="str">
        <x:v>01.01.1907</x:v>
      </x:c>
      <x:c r="C17" s="23" t="n">
        <x:v>616672</x:v>
      </x:c>
      <x:c r="D17" s="23" t="n">
        <x:v>34789</x:v>
      </x:c>
      <x:c r="E17" s="23" t="n">
        <x:v>651461</x:v>
      </x:c>
      <x:c r="F17" s="23" t="n">
        <x:v>8491</x:v>
      </x:c>
      <x:c r="G17" s="23" t="n">
        <x:v>659952</x:v>
      </x:c>
      <x:c r="H17" s="23" t="n">
        <x:v>58430</x:v>
      </x:c>
      <x:c r="I17" s="23" t="n">
        <x:v>601522</x:v>
      </x:c>
      <x:c r="J17" s="18" t="str">
        <x:v>Официальный итог, с войсками</x:v>
      </x:c>
      <x:c r="K17" s="18" t="str">
        <x:v>Города и округа в указанном разрезе включают войска.</x:v>
      </x:c>
      <x:c r="L17" s="18" t="str">
        <x:v>Dagestanskaia-1905-1909(3).md</x:v>
      </x:c>
    </x:row>
    <x:row r="18" ht="20" customHeight="1">
      <x:c r="A18" s="20" t="n">
        <x:v>1907</x:v>
      </x:c>
      <x:c r="B18" s="10" t="str">
        <x:v>01.01.1908</x:v>
      </x:c>
      <x:c r="C18" s="22" t="n">
        <x:v>620456</x:v>
      </x:c>
      <x:c r="D18" s="22" t="n">
        <x:v>37371</x:v>
      </x:c>
      <x:c r="E18" s="22" t="n">
        <x:v>657827</x:v>
      </x:c>
      <x:c r="F18" s="22" t="n">
        <x:v>9688</x:v>
      </x:c>
      <x:c r="G18" s="22" t="n">
        <x:v>667515</x:v>
      </x:c>
      <x:c r="H18" s="22" t="n">
        <x:v>60358</x:v>
      </x:c>
      <x:c r="I18" s="22" t="n">
        <x:v>607157</x:v>
      </x:c>
      <x:c r="J18" s="10" t="str">
        <x:v>Официальный итог, с войсками</x:v>
      </x:c>
      <x:c r="K18" s="10" t="str">
        <x:v>Города и округа в указанном разрезе включают войска.</x:v>
      </x:c>
      <x:c r="L18" s="10" t="str">
        <x:v>Dagestanskaia-1905-1909(3).md</x:v>
      </x:c>
    </x:row>
    <x:row r="19" ht="20" customHeight="1">
      <x:c r="A19" s="20" t="n">
        <x:v>1908</x:v>
      </x:c>
      <x:c r="B19" s="18" t="str">
        <x:v>01.01.1909</x:v>
      </x:c>
      <x:c r="C19" s="23" t="n">
        <x:v>626838</x:v>
      </x:c>
      <x:c r="D19" s="23" t="n">
        <x:v>37565</x:v>
      </x:c>
      <x:c r="E19" s="23" t="n">
        <x:v>664403</x:v>
      </x:c>
      <x:c r="F19" s="23" t="n">
        <x:v>8821</x:v>
      </x:c>
      <x:c r="G19" s="23" t="n">
        <x:v>673224</x:v>
      </x:c>
      <x:c r="H19" s="23" t="n">
        <x:v>65049</x:v>
      </x:c>
      <x:c r="I19" s="23" t="n">
        <x:v>608175</x:v>
      </x:c>
      <x:c r="J19" s="18" t="str">
        <x:v>Официальный итог, с войсками</x:v>
      </x:c>
      <x:c r="K19" s="18" t="str">
        <x:v>Таблица даёт 673 224; описательный текст 673 234 (расхождение 10).</x:v>
      </x:c>
      <x:c r="L19" s="18" t="str">
        <x:v>Dagestanskaia-1905-1909(3).md</x:v>
      </x:c>
    </x:row>
    <x:row r="20" ht="20" customHeight="1">
      <x:c r="A20" s="20" t="n">
        <x:v>1909</x:v>
      </x:c>
      <x:c r="B20" s="10" t="str">
        <x:v>01.01.1910</x:v>
      </x:c>
      <x:c r="C20" s="22" t="n">
        <x:v>631850</x:v>
      </x:c>
      <x:c r="D20" s="22" t="n">
        <x:v>37791</x:v>
      </x:c>
      <x:c r="E20" s="22" t="n">
        <x:v>669641</x:v>
      </x:c>
      <x:c r="F20" s="22" t="n">
        <x:v>9527</x:v>
      </x:c>
      <x:c r="G20" s="22" t="n">
        <x:v>679168</x:v>
      </x:c>
      <x:c r="H20" s="22" t="n">
        <x:v>62538</x:v>
      </x:c>
      <x:c r="I20" s="22" t="n">
        <x:v>616630</x:v>
      </x:c>
      <x:c r="J20" s="10" t="str">
        <x:v>Официальный итог, с войсками</x:v>
      </x:c>
      <x:c r="K20" s="10" t="str">
        <x:v>Города и округа включают войска.</x:v>
      </x:c>
      <x:c r="L20" s="10" t="str">
        <x:v>Dagestanskaia-1905-1909(3).md</x:v>
      </x:c>
    </x:row>
    <x:row r="21" ht="20" customHeight="1">
      <x:c r="A21" s="20" t="n">
        <x:v>1910</x:v>
      </x:c>
      <x:c r="B21" s="18" t="str">
        <x:v>01.01.1911</x:v>
      </x:c>
      <x:c r="C21" s="23" t="n">
        <x:v>633117</x:v>
      </x:c>
      <x:c r="D21" s="23" t="n">
        <x:v>40122</x:v>
      </x:c>
      <x:c r="E21" s="23" t="n">
        <x:v>673239</x:v>
      </x:c>
      <x:c r="F21" s="23" t="n">
        <x:v>8350</x:v>
      </x:c>
      <x:c r="G21" s="23" t="n">
        <x:v>681589</x:v>
      </x:c>
      <x:c r="H21" s="23" t="n">
        <x:v>64585</x:v>
      </x:c>
      <x:c r="I21" s="23" t="n">
        <x:v>617004</x:v>
      </x:c>
      <x:c r="J21" s="18" t="str">
        <x:v>Официальный итог, с войсками</x:v>
      </x:c>
      <x:c r="K21" s="18" t="str">
        <x:v>Итог обзора включает войска.</x:v>
      </x:c>
      <x:c r="L21" s="18" t="str">
        <x:v>Dagestanskaia-1910-1913(2).md</x:v>
      </x:c>
    </x:row>
    <x:row r="22" ht="20" customHeight="1">
      <x:c r="A22" s="20" t="n">
        <x:v>1911</x:v>
      </x:c>
      <x:c r="B22" s="10" t="str">
        <x:v>01.01.1912</x:v>
      </x:c>
      <x:c r="C22" s="22" t="n">
        <x:v>638565</x:v>
      </x:c>
      <x:c r="D22" s="22" t="n">
        <x:v>44791</x:v>
      </x:c>
      <x:c r="E22" s="22" t="n">
        <x:v>683356</x:v>
      </x:c>
      <x:c r="F22" s="22" t="n">
        <x:v>5656</x:v>
      </x:c>
      <x:c r="G22" s="22" t="n">
        <x:v>689012</x:v>
      </x:c>
      <x:c r="H22" s="22" t="n">
        <x:v>68571</x:v>
      </x:c>
      <x:c r="I22" s="22" t="n">
        <x:v>620441</x:v>
      </x:c>
      <x:c r="J22" s="10" t="str">
        <x:v>Официальный итог, с войсками</x:v>
      </x:c>
      <x:c r="K22" s="10" t="str">
        <x:v>Итог обзора включает войска.</x:v>
      </x:c>
      <x:c r="L22" s="10" t="str">
        <x:v>Dagestanskaia-1910-1913(2).md</x:v>
      </x:c>
    </x:row>
    <x:row r="23" ht="20" customHeight="1">
      <x:c r="A23" s="20" t="n">
        <x:v>1912</x:v>
      </x:c>
      <x:c r="B23" s="18" t="str">
        <x:v>01.01.1913</x:v>
      </x:c>
      <x:c r="C23" s="23" t="n">
        <x:v>641693</x:v>
      </x:c>
      <x:c r="D23" s="23" t="n">
        <x:v>45238</x:v>
      </x:c>
      <x:c r="E23" s="23" t="n">
        <x:v>686855</x:v>
      </x:c>
      <x:c r="F23" s="23" t="n">
        <x:v>6594</x:v>
      </x:c>
      <x:c r="G23" s="23" t="n">
        <x:v>693449</x:v>
      </x:c>
      <x:c r="H23" s="23"/>
      <x:c r="I23" s="23"/>
      <x:c r="J23" s="18" t="str">
        <x:v>Официальный итог, с войсками; несходящиеся категории</x:v>
      </x:c>
      <x:c r="K23" s="18" t="str">
        <x:v>Только сравнительная строка обзора за 1913 год. Напечатано всего 693 449 с войсками; сумма групп 693 525 (+76); 686 855 без войск выведено из напечатанного итога за вычетом войск, но сумма коренные+временные = 686 931.</x:v>
      </x:c>
      <x:c r="L23" s="18" t="str">
        <x:v>Dagestanskaia-1910-1913(2).md</x:v>
      </x:c>
    </x:row>
    <x:row r="24" ht="20" customHeight="1">
      <x:c r="A24" s="20" t="n">
        <x:v>1913</x:v>
      </x:c>
      <x:c r="B24" s="10" t="str">
        <x:v>01.01.1914</x:v>
      </x:c>
      <x:c r="C24" s="22" t="n">
        <x:v>648240</x:v>
      </x:c>
      <x:c r="D24" s="22" t="n">
        <x:v>52624</x:v>
      </x:c>
      <x:c r="E24" s="22" t="n">
        <x:v>700864</x:v>
      </x:c>
      <x:c r="F24" s="22" t="n">
        <x:v>7095</x:v>
      </x:c>
      <x:c r="G24" s="22" t="n">
        <x:v>707959</x:v>
      </x:c>
      <x:c r="H24" s="22" t="n">
        <x:v>78427</x:v>
      </x:c>
      <x:c r="I24" s="22" t="n">
        <x:v>629532</x:v>
      </x:c>
      <x:c r="J24" s="10" t="str">
        <x:v>Официальный итог, с войсками</x:v>
      </x:c>
      <x:c r="K24" s="10" t="str">
        <x:v>Итог обзора включает войска.</x:v>
      </x:c>
      <x:c r="L24" s="10" t="str">
        <x:v>Dagestanskaia-1910-1913(2).md</x:v>
      </x:c>
    </x:row>
    <x:row r="25" ht="20" customHeight="1">
      <x:c r="A25" s="20" t="n">
        <x:v>1914</x:v>
      </x:c>
      <x:c r="B25" s="18" t="str">
        <x:v>01.01.1915</x:v>
      </x:c>
      <x:c r="C25" s="23" t="n">
        <x:v>651276</x:v>
      </x:c>
      <x:c r="D25" s="23" t="n">
        <x:v>52424</x:v>
      </x:c>
      <x:c r="E25" s="23" t="n">
        <x:v>703510</x:v>
      </x:c>
      <x:c r="F25" s="23"/>
      <x:c r="G25" s="23" t="n">
        <x:v>703510</x:v>
      </x:c>
      <x:c r="H25" s="23" t="n">
        <x:v>69756</x:v>
      </x:c>
      <x:c r="I25" s="23" t="n">
        <x:v>633754</x:v>
      </x:c>
      <x:c r="J25" s="18" t="str">
        <x:v>Официальный итог, без войск</x:v>
      </x:c>
      <x:c r="K25" s="18" t="str">
        <x:v>Войска исключены из опубликованного итога 703 510. Коренное + временное по итоговым графам = 703 700 (+190 к итогу); напечатанные категории конфликтуют.</x:v>
      </x:c>
      <x:c r="L25" s="18" t="str">
        <x:v>Dagestanskaia-1914-1915(2).md</x:v>
      </x:c>
    </x:row>
    <x:row r="26" ht="20" customHeight="1">
      <x:c r="A26" s="20" t="n">
        <x:v>1915</x:v>
      </x:c>
      <x:c r="B26" s="10" t="str">
        <x:v>01.01.1916</x:v>
      </x:c>
      <x:c r="C26" s="22" t="n">
        <x:v>657710</x:v>
      </x:c>
      <x:c r="D26" s="22" t="n">
        <x:v>54224</x:v>
      </x:c>
      <x:c r="E26" s="22" t="n">
        <x:v>712654</x:v>
      </x:c>
      <x:c r="F26" s="22"/>
      <x:c r="G26" s="22" t="n">
        <x:v>712654</x:v>
      </x:c>
      <x:c r="H26" s="22" t="n">
        <x:v>72271</x:v>
      </x:c>
      <x:c r="I26" s="22" t="n">
        <x:v>640183</x:v>
      </x:c>
      <x:c r="J26" s="10" t="str">
        <x:v>Официальный итог, без войск</x:v>
      </x:c>
      <x:c r="K26" s="10" t="str">
        <x:v>Войска исключены. Коренное + временное по итоговым графам = 711 934 (−720 к итогу); 72 271 + 640 183 = 712 454 (−200 к итогу); сумма трёх городов 72 471.</x:v>
      </x:c>
      <x:c r="L26" s="10" t="str">
        <x:v>Dagestanskaia-1914-1915(2).md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1" max="1" width="13" hidden="0" customWidth="1"/>
    <x:col min="9" max="9" width="87" hidden="0" customWidth="1"/>
    <x:col min="10" max="10" width="40" hidden="0" customWidth="1"/>
  </x:cols>
  <x:sheetData>
    <x:row r="1" ht="46" customHeight="1">
      <x:c r="A1" s="5" t="str">
        <x:v>Год</x:v>
      </x:c>
      <x:c r="B1" s="5" t="str">
        <x:v>Рождения города</x:v>
      </x:c>
      <x:c r="C1" s="5" t="str">
        <x:v>Рождения округа</x:v>
      </x:c>
      <x:c r="D1" s="5" t="str">
        <x:v>Рождения всего</x:v>
      </x:c>
      <x:c r="E1" s="5" t="str">
        <x:v>Смерти города</x:v>
      </x:c>
      <x:c r="F1" s="5" t="str">
        <x:v>Смерти округа</x:v>
      </x:c>
      <x:c r="G1" s="5" t="str">
        <x:v>Смерти всего</x:v>
      </x:c>
      <x:c r="H1" s="5" t="str">
        <x:v>Прирост (формула)</x:v>
      </x:c>
      <x:c r="I1" s="5" t="str">
        <x:v>Указание источника</x:v>
      </x:c>
      <x:c r="J1" s="5" t="str">
        <x:v>Источник</x:v>
      </x:c>
    </x:row>
    <x:row r="2" ht="20" customHeight="1">
      <x:c r="A2" s="20" t="n">
        <x:v>1891</x:v>
      </x:c>
      <x:c r="B2" s="22" t="n">
        <x:v>1123</x:v>
      </x:c>
      <x:c r="C2" s="22"/>
      <x:c r="D2" s="22"/>
      <x:c r="E2" s="22" t="n">
        <x:v>868</x:v>
      </x:c>
      <x:c r="F2" s="22"/>
      <x:c r="G2" s="22"/>
      <x:c r="H2" s="22" t="str">
        <x:f>IF(AND(ISNUMBER(D2),ISNUMBER(G2)),D2-G2,"")</x:f>
      </x:c>
      <x:c r="I2" s="10" t="str">
        <x:v>Только 3 города по рукописи; +255. Обзор 1892 сообщает отличающиеся 768 городских рождений; обзор 1893 дает +847 естественного прироста округов без самих событий.</x:v>
      </x:c>
      <x:c r="J2" s="10" t="str">
        <x:v>Dagestanskaia-1891(2).md; Dagestanskaia-1891-1895(2).md</x:v>
      </x:c>
    </x:row>
    <x:row r="3" ht="20" customHeight="1">
      <x:c r="A3" s="20" t="n">
        <x:v>1892</x:v>
      </x:c>
      <x:c r="B3" s="23" t="n">
        <x:v>1077</x:v>
      </x:c>
      <x:c r="C3" s="23" t="n">
        <x:v>12863</x:v>
      </x:c>
      <x:c r="D3" s="23" t="n">
        <x:v>13940</x:v>
      </x:c>
      <x:c r="E3" s="23" t="n">
        <x:v>1320</x:v>
      </x:c>
      <x:c r="F3" s="23" t="n">
        <x:v>25537</x:v>
      </x:c>
      <x:c r="G3" s="23" t="n">
        <x:v>26857</x:v>
      </x:c>
      <x:c r="H3" s="23" t="n">
        <x:f>IF(AND(ISNUMBER(D3),ISNUMBER(G3)),D3-G3,"")</x:f>
        <x:v>-12917</x:v>
      </x:c>
      <x:c r="I3" s="18" t="str">
        <x:v>Эпидемия холеры; 10 391 смерть от холеры в округах, 397 в городах.</x:v>
      </x:c>
      <x:c r="J3" s="18" t="str">
        <x:v>Dagestanskaia-1891-1895(2).md</x:v>
      </x:c>
    </x:row>
    <x:row r="4" ht="20" customHeight="1">
      <x:c r="A4" s="20" t="n">
        <x:v>1893</x:v>
      </x:c>
      <x:c r="B4" s="22" t="n">
        <x:v>777</x:v>
      </x:c>
      <x:c r="C4" s="22" t="n">
        <x:v>12060</x:v>
      </x:c>
      <x:c r="D4" s="22" t="n">
        <x:v>12837</x:v>
      </x:c>
      <x:c r="E4" s="22" t="n">
        <x:v>778</x:v>
      </x:c>
      <x:c r="F4" s="22" t="n">
        <x:v>11152</x:v>
      </x:c>
      <x:c r="G4" s="22" t="n">
        <x:v>11930</x:v>
      </x:c>
      <x:c r="H4" s="22" t="n">
        <x:f>IF(AND(ISNUMBER(D4),ISNUMBER(G4)),D4-G4,"")</x:f>
        <x:v>907</x:v>
      </x:c>
      <x:c r="I4" s="10" t="str">
        <x:v>Указана неполная точность регистрации новорождённых.</x:v>
      </x:c>
      <x:c r="J4" s="10" t="str">
        <x:v>Dagestanskaia-1891-1895(2).md</x:v>
      </x:c>
    </x:row>
    <x:row r="5" ht="20" customHeight="1">
      <x:c r="A5" s="20" t="n">
        <x:v>1894</x:v>
      </x:c>
      <x:c r="B5" s="23" t="n">
        <x:v>756</x:v>
      </x:c>
      <x:c r="C5" s="23" t="n">
        <x:v>12162</x:v>
      </x:c>
      <x:c r="D5" s="23" t="n">
        <x:v>12918</x:v>
      </x:c>
      <x:c r="E5" s="23" t="n">
        <x:v>620</x:v>
      </x:c>
      <x:c r="F5" s="23" t="n">
        <x:v>11542</x:v>
      </x:c>
      <x:c r="G5" s="23" t="n">
        <x:v>12162</x:v>
      </x:c>
      <x:c r="H5" s="23" t="n">
        <x:f>IF(AND(ISNUMBER(D5),ISNUMBER(G5)),D5-G5,"")</x:f>
        <x:v>756</x:v>
      </x:c>
      <x:c r="I5" s="18" t="str">
        <x:v>В обзоре отмечена неудовлетворительная регистрация новорождённых.</x:v>
      </x:c>
      <x:c r="J5" s="18" t="str">
        <x:v>Dagestanskaia-1891-1895(2).md</x:v>
      </x:c>
    </x:row>
    <x:row r="6" ht="20" customHeight="1">
      <x:c r="A6" s="20" t="n">
        <x:v>1895</x:v>
      </x:c>
      <x:c r="B6" s="22" t="n">
        <x:v>845</x:v>
      </x:c>
      <x:c r="C6" s="22" t="n">
        <x:v>13748</x:v>
      </x:c>
      <x:c r="D6" s="22" t="n">
        <x:v>14593</x:v>
      </x:c>
      <x:c r="E6" s="22" t="n">
        <x:v>644</x:v>
      </x:c>
      <x:c r="F6" s="22" t="n">
        <x:v>10134</x:v>
      </x:c>
      <x:c r="G6" s="22" t="n">
        <x:v>10778</x:v>
      </x:c>
      <x:c r="H6" s="22" t="n">
        <x:f>IF(AND(ISNUMBER(D6),ISNUMBER(G6)),D6-G6,"")</x:f>
        <x:v>3815</x:v>
      </x:c>
      <x:c r="I6" s="10" t="str">
        <x:v>Особой количественной оценки полноты нет.</x:v>
      </x:c>
      <x:c r="J6" s="10" t="str">
        <x:v>Dagestanskaia-1891-1895(2).md</x:v>
      </x:c>
    </x:row>
    <x:row r="7" ht="20" customHeight="1">
      <x:c r="A7" s="20" t="n">
        <x:v>1896</x:v>
      </x:c>
      <x:c r="B7" s="23"/>
      <x:c r="C7" s="23"/>
      <x:c r="D7" s="23" t="n">
        <x:v>15417</x:v>
      </x:c>
      <x:c r="E7" s="23"/>
      <x:c r="F7" s="23"/>
      <x:c r="G7" s="23" t="n">
        <x:v>12247</x:v>
      </x:c>
      <x:c r="H7" s="23" t="n">
        <x:f>IF(AND(ISNUMBER(D7),ISNUMBER(G7)),D7-G7,"")</x:f>
        <x:v>3170</x:v>
      </x:c>
      <x:c r="I7" s="18" t="str">
        <x:v>Отсутствует разрез родившихся/умерших по городам и округам в данной частичной сводке.</x:v>
      </x:c>
      <x:c r="J7" s="18" t="str">
        <x:v>Dagestanskaia-1896-1899(2).md</x:v>
      </x:c>
    </x:row>
    <x:row r="8" ht="20" customHeight="1">
      <x:c r="A8" s="20" t="n">
        <x:v>1897</x:v>
      </x:c>
      <x:c r="B8" s="22"/>
      <x:c r="C8" s="22"/>
      <x:c r="D8" s="22" t="n">
        <x:v>13767</x:v>
      </x:c>
      <x:c r="E8" s="22"/>
      <x:c r="F8" s="22"/>
      <x:c r="G8" s="22" t="n">
        <x:v>12555</x:v>
      </x:c>
      <x:c r="H8" s="22" t="n">
        <x:f>IF(AND(ISNUMBER(D8),ISNUMBER(G8)),D8-G8,"")</x:f>
        <x:v>1212</x:v>
      </x:c>
      <x:c r="I8" s="10" t="str">
        <x:v>Итоги области; разрез по городам/округам в сводке не извлечён.</x:v>
      </x:c>
      <x:c r="J8" s="10" t="str">
        <x:v>Dagestanskaia-1896-1899(2).md</x:v>
      </x:c>
    </x:row>
    <x:row r="9" ht="20" customHeight="1">
      <x:c r="A9" s="20" t="n">
        <x:v>1898</x:v>
      </x:c>
      <x:c r="B9" s="23"/>
      <x:c r="C9" s="23"/>
      <x:c r="D9" s="23" t="n">
        <x:v>14572</x:v>
      </x:c>
      <x:c r="E9" s="23"/>
      <x:c r="F9" s="23"/>
      <x:c r="G9" s="23" t="n">
        <x:v>12656</x:v>
      </x:c>
      <x:c r="H9" s="23" t="n">
        <x:f>IF(AND(ISNUMBER(D9),ISNUMBER(G9)),D9-G9,"")</x:f>
        <x:v>1916</x:v>
      </x:c>
      <x:c r="I9" s="18" t="str">
        <x:v>Итоги области; разрез по городам/округам в сводке не извлечён.</x:v>
      </x:c>
      <x:c r="J9" s="18" t="str">
        <x:v>Dagestanskaia-1896-1899(2).md</x:v>
      </x:c>
    </x:row>
    <x:row r="10" ht="20" customHeight="1">
      <x:c r="A10" s="20" t="n">
        <x:v>1899</x:v>
      </x:c>
      <x:c r="B10" s="22"/>
      <x:c r="C10" s="22"/>
      <x:c r="D10" s="22" t="n">
        <x:v>12368</x:v>
      </x:c>
      <x:c r="E10" s="22"/>
      <x:c r="F10" s="22"/>
      <x:c r="G10" s="22" t="n">
        <x:v>15845</x:v>
      </x:c>
      <x:c r="H10" s="22" t="n">
        <x:f>IF(AND(ISNUMBER(D10),ISNUMBER(G10)),D10-G10,"")</x:f>
        <x:v>-3477</x:v>
      </x:c>
      <x:c r="I10" s="10" t="str">
        <x:v>Итоги области; малодостоверная регистрация и оценка населения.</x:v>
      </x:c>
      <x:c r="J10" s="10" t="str">
        <x:v>Dagestanskaia-1896-1899(2).md</x:v>
      </x:c>
    </x:row>
    <x:row r="11" ht="20" customHeight="1">
      <x:c r="A11" s="20" t="n">
        <x:v>1900</x:v>
      </x:c>
      <x:c r="B11" s="23" t="n">
        <x:v>1085</x:v>
      </x:c>
      <x:c r="C11" s="23" t="n">
        <x:v>12210</x:v>
      </x:c>
      <x:c r="D11" s="23" t="n">
        <x:v>13295</x:v>
      </x:c>
      <x:c r="E11" s="23" t="n">
        <x:v>978</x:v>
      </x:c>
      <x:c r="F11" s="23" t="n">
        <x:v>10579</x:v>
      </x:c>
      <x:c r="G11" s="23" t="n">
        <x:v>11557</x:v>
      </x:c>
      <x:c r="H11" s="23" t="n">
        <x:f>IF(AND(ISNUMBER(D11),ISNUMBER(G11)),D11-G11,"")</x:f>
        <x:v>1738</x:v>
      </x:c>
      <x:c r="I11" s="18" t="str">
        <x:v>Число смертей из ведомости №10 — 11 557, прирост +1 738 (а не +1 733 в ретроспективной фразе).</x:v>
      </x:c>
      <x:c r="J11" s="18" t="str">
        <x:v>Dagestanskaia-1900-1904(2).md</x:v>
      </x:c>
    </x:row>
    <x:row r="12" ht="20" customHeight="1">
      <x:c r="A12" s="20" t="n">
        <x:v>1901</x:v>
      </x:c>
      <x:c r="B12" s="22" t="n">
        <x:v>1415</x:v>
      </x:c>
      <x:c r="C12" s="22" t="n">
        <x:v>13805</x:v>
      </x:c>
      <x:c r="D12" s="22" t="n">
        <x:v>15220</x:v>
      </x:c>
      <x:c r="E12" s="22" t="n">
        <x:v>948</x:v>
      </x:c>
      <x:c r="F12" s="22" t="n">
        <x:v>10992</x:v>
      </x:c>
      <x:c r="G12" s="22" t="n">
        <x:v>11940</x:v>
      </x:c>
      <x:c r="H12" s="22" t="n">
        <x:f>IF(AND(ISNUMBER(D12),ISNUMBER(G12)),D12-G12,"")</x:f>
        <x:v>3280</x:v>
      </x:c>
      <x:c r="I12" s="10" t="str">
        <x:v>Записи кадиев велись не вполне правильно; унификация форм.</x:v>
      </x:c>
      <x:c r="J12" s="10" t="str">
        <x:v>Dagestanskaia-1900-1904(2).md</x:v>
      </x:c>
    </x:row>
    <x:row r="13" ht="20" customHeight="1">
      <x:c r="A13" s="20" t="n">
        <x:v>1902</x:v>
      </x:c>
      <x:c r="B13" s="23" t="n">
        <x:v>1453</x:v>
      </x:c>
      <x:c r="C13" s="23" t="n">
        <x:v>13115</x:v>
      </x:c>
      <x:c r="D13" s="23" t="n">
        <x:v>14568</x:v>
      </x:c>
      <x:c r="E13" s="23" t="n">
        <x:v>1050</x:v>
      </x:c>
      <x:c r="F13" s="23" t="n">
        <x:v>13013</x:v>
      </x:c>
      <x:c r="G13" s="23" t="n">
        <x:v>14063</x:v>
      </x:c>
      <x:c r="H13" s="23" t="n">
        <x:f>IF(AND(ISNUMBER(D13),ISNUMBER(G13)),D13-G13,"")</x:f>
        <x:v>505</x:v>
      </x:c>
      <x:c r="I13" s="18" t="str">
        <x:v>Коэффициент полноты неизвестен.</x:v>
      </x:c>
      <x:c r="J13" s="18" t="str">
        <x:v>Dagestanskaia-1900-1904(2).md</x:v>
      </x:c>
    </x:row>
    <x:row r="14" ht="20" customHeight="1">
      <x:c r="A14" s="20" t="n">
        <x:v>1903</x:v>
      </x:c>
      <x:c r="B14" s="22" t="n">
        <x:v>1492</x:v>
      </x:c>
      <x:c r="C14" s="22" t="n">
        <x:v>13050</x:v>
      </x:c>
      <x:c r="D14" s="22" t="n">
        <x:v>14542</x:v>
      </x:c>
      <x:c r="E14" s="22" t="n">
        <x:v>1137</x:v>
      </x:c>
      <x:c r="F14" s="22" t="n">
        <x:v>10654</x:v>
      </x:c>
      <x:c r="G14" s="22" t="n">
        <x:v>11791</x:v>
      </x:c>
      <x:c r="H14" s="22" t="n">
        <x:f>IF(AND(ISNUMBER(D14),ISNUMBER(G14)),D14-G14,"")</x:f>
        <x:v>2751</x:v>
      </x:c>
      <x:c r="I14" s="10" t="str">
        <x:v>Коэффициент полноты неизвестен.</x:v>
      </x:c>
      <x:c r="J14" s="10" t="str">
        <x:v>Dagestanskaia-1900-1904(2).md</x:v>
      </x:c>
    </x:row>
    <x:row r="15" ht="20" customHeight="1">
      <x:c r="A15" s="20" t="n">
        <x:v>1904</x:v>
      </x:c>
      <x:c r="B15" s="23" t="n">
        <x:v>1560</x:v>
      </x:c>
      <x:c r="C15" s="23" t="n">
        <x:v>16160</x:v>
      </x:c>
      <x:c r="D15" s="23" t="n">
        <x:v>17720</x:v>
      </x:c>
      <x:c r="E15" s="23" t="n">
        <x:v>1008</x:v>
      </x:c>
      <x:c r="F15" s="23" t="n">
        <x:v>11280</x:v>
      </x:c>
      <x:c r="G15" s="23" t="n">
        <x:v>12288</x:v>
      </x:c>
      <x:c r="H15" s="23" t="n">
        <x:f>IF(AND(ISNUMBER(D15),ISNUMBER(G15)),D15-G15,"")</x:f>
        <x:v>5432</x:v>
      </x:c>
      <x:c r="I15" s="18" t="str">
        <x:v>Правильный итог по ведомости №3 12 288 смертей, а не опечатка 12 888 в тексте.</x:v>
      </x:c>
      <x:c r="J15" s="18" t="str">
        <x:v>Dagestanskaia-1900-1904(2).md</x:v>
      </x:c>
    </x:row>
    <x:row r="16" ht="20" customHeight="1">
      <x:c r="A16" s="20" t="n">
        <x:v>1905</x:v>
      </x:c>
      <x:c r="B16" s="22" t="n">
        <x:v>1578</x:v>
      </x:c>
      <x:c r="C16" s="22" t="n">
        <x:v>15930</x:v>
      </x:c>
      <x:c r="D16" s="22" t="n">
        <x:v>17508</x:v>
      </x:c>
      <x:c r="E16" s="22" t="n">
        <x:v>1830</x:v>
      </x:c>
      <x:c r="F16" s="22" t="n">
        <x:v>14328</x:v>
      </x:c>
      <x:c r="G16" s="22" t="n">
        <x:v>16158</x:v>
      </x:c>
      <x:c r="H16" s="22" t="n">
        <x:f>IF(AND(ISNUMBER(D16),ISNUMBER(G16)),D16-G16,"")</x:f>
        <x:v>1350</x:v>
      </x:c>
      <x:c r="I16" s="10" t="str">
        <x:v>Раздельно показаны города и округа.</x:v>
      </x:c>
      <x:c r="J16" s="10" t="str">
        <x:v>Dagestanskaia-1905-1909(3).md</x:v>
      </x:c>
    </x:row>
    <x:row r="17" ht="20" customHeight="1">
      <x:c r="A17" s="20" t="n">
        <x:v>1906</x:v>
      </x:c>
      <x:c r="B17" s="23" t="n">
        <x:v>1502</x:v>
      </x:c>
      <x:c r="C17" s="23" t="n">
        <x:v>14592</x:v>
      </x:c>
      <x:c r="D17" s="23" t="n">
        <x:v>16094</x:v>
      </x:c>
      <x:c r="E17" s="23" t="n">
        <x:v>1267</x:v>
      </x:c>
      <x:c r="F17" s="23" t="n">
        <x:v>11577</x:v>
      </x:c>
      <x:c r="G17" s="23" t="n">
        <x:v>12844</x:v>
      </x:c>
      <x:c r="H17" s="23" t="n">
        <x:f>IF(AND(ISNUMBER(D17),ISNUMBER(G17)),D17-G17,"")</x:f>
        <x:v>3250</x:v>
      </x:c>
      <x:c r="I17" s="18" t="str">
        <x:v>Раздельно показаны города и округа.</x:v>
      </x:c>
      <x:c r="J17" s="18" t="str">
        <x:v>Dagestanskaia-1905-1909(3).md</x:v>
      </x:c>
    </x:row>
    <x:row r="18" ht="20" customHeight="1">
      <x:c r="A18" s="20" t="n">
        <x:v>1907</x:v>
      </x:c>
      <x:c r="B18" s="22" t="n">
        <x:v>1591</x:v>
      </x:c>
      <x:c r="C18" s="22" t="n">
        <x:v>13689</x:v>
      </x:c>
      <x:c r="D18" s="22" t="n">
        <x:v>15280</x:v>
      </x:c>
      <x:c r="E18" s="22" t="n">
        <x:v>1131</x:v>
      </x:c>
      <x:c r="F18" s="22" t="n">
        <x:v>10703</x:v>
      </x:c>
      <x:c r="G18" s="22" t="n">
        <x:v>11834</x:v>
      </x:c>
      <x:c r="H18" s="22" t="n">
        <x:f>IF(AND(ISNUMBER(D18),ISNUMBER(G18)),D18-G18,"")</x:f>
        <x:v>3446</x:v>
      </x:c>
      <x:c r="I18" s="10" t="str">
        <x:v>Раздельно показаны города и округа.</x:v>
      </x:c>
      <x:c r="J18" s="10" t="str">
        <x:v>Dagestanskaia-1905-1909(3).md</x:v>
      </x:c>
    </x:row>
    <x:row r="19" ht="20" customHeight="1">
      <x:c r="A19" s="20" t="n">
        <x:v>1908</x:v>
      </x:c>
      <x:c r="B19" s="23" t="n">
        <x:v>1471</x:v>
      </x:c>
      <x:c r="C19" s="23" t="n">
        <x:v>13800</x:v>
      </x:c>
      <x:c r="D19" s="23" t="n">
        <x:v>15271</x:v>
      </x:c>
      <x:c r="E19" s="23" t="n">
        <x:v>1171</x:v>
      </x:c>
      <x:c r="F19" s="23" t="n">
        <x:v>11057</x:v>
      </x:c>
      <x:c r="G19" s="23" t="n">
        <x:v>12228</x:v>
      </x:c>
      <x:c r="H19" s="23" t="n">
        <x:f>IF(AND(ISNUMBER(D19),ISNUMBER(G19)),D19-G19,"")</x:f>
        <x:v>3043</x:v>
      </x:c>
      <x:c r="I19" s="18" t="str">
        <x:v>Раздельно показаны города и округа.</x:v>
      </x:c>
      <x:c r="J19" s="18" t="str">
        <x:v>Dagestanskaia-1905-1909(3).md</x:v>
      </x:c>
    </x:row>
    <x:row r="20" ht="20" customHeight="1">
      <x:c r="A20" s="20" t="n">
        <x:v>1909</x:v>
      </x:c>
      <x:c r="B20" s="22" t="n">
        <x:v>1438</x:v>
      </x:c>
      <x:c r="C20" s="22" t="n">
        <x:v>13193</x:v>
      </x:c>
      <x:c r="D20" s="22" t="n">
        <x:v>14631</x:v>
      </x:c>
      <x:c r="E20" s="22" t="n">
        <x:v>1240</x:v>
      </x:c>
      <x:c r="F20" s="22" t="n">
        <x:v>12184</x:v>
      </x:c>
      <x:c r="G20" s="22" t="n">
        <x:v>13424</x:v>
      </x:c>
      <x:c r="H20" s="22" t="n">
        <x:f>IF(AND(ISNUMBER(D20),ISNUMBER(G20)),D20-G20,"")</x:f>
        <x:v>1207</x:v>
      </x:c>
      <x:c r="I20" s="10" t="str">
        <x:v>Раздельно показаны города и округа.</x:v>
      </x:c>
      <x:c r="J20" s="10" t="str">
        <x:v>Dagestanskaia-1905-1909(3).md</x:v>
      </x:c>
    </x:row>
    <x:row r="21" ht="20" customHeight="1">
      <x:c r="A21" s="20" t="n">
        <x:v>1910</x:v>
      </x:c>
      <x:c r="B21" s="23" t="n">
        <x:v>1371</x:v>
      </x:c>
      <x:c r="C21" s="23" t="n">
        <x:v>13455</x:v>
      </x:c>
      <x:c r="D21" s="23" t="n">
        <x:v>14826</x:v>
      </x:c>
      <x:c r="E21" s="23" t="n">
        <x:v>1319</x:v>
      </x:c>
      <x:c r="F21" s="23" t="n">
        <x:v>12756</x:v>
      </x:c>
      <x:c r="G21" s="23" t="n">
        <x:v>14075</x:v>
      </x:c>
      <x:c r="H21" s="23" t="n">
        <x:f>IF(AND(ISNUMBER(D21),ISNUMBER(G21)),D21-G21,"")</x:f>
        <x:v>751</x:v>
      </x:c>
      <x:c r="I21" s="18" t="str">
        <x:v>Раздельно показаны города и округа.</x:v>
      </x:c>
      <x:c r="J21" s="18" t="str">
        <x:v>Dagestanskaia-1910-1913(2).md</x:v>
      </x:c>
    </x:row>
    <x:row r="22" ht="20" customHeight="1">
      <x:c r="A22" s="20" t="n">
        <x:v>1911</x:v>
      </x:c>
      <x:c r="B22" s="22" t="n">
        <x:v>1511</x:v>
      </x:c>
      <x:c r="C22" s="22" t="n">
        <x:v>14784</x:v>
      </x:c>
      <x:c r="D22" s="22" t="n">
        <x:v>16295</x:v>
      </x:c>
      <x:c r="E22" s="22" t="n">
        <x:v>1104</x:v>
      </x:c>
      <x:c r="F22" s="22" t="n">
        <x:v>9124</x:v>
      </x:c>
      <x:c r="G22" s="22" t="n">
        <x:v>10228</x:v>
      </x:c>
      <x:c r="H22" s="22" t="n">
        <x:f>IF(AND(ISNUMBER(D22),ISNUMBER(G22)),D22-G22,"")</x:f>
        <x:v>6067</x:v>
      </x:c>
      <x:c r="I22" s="10" t="str">
        <x:v>Раздельно показаны города и округа.</x:v>
      </x:c>
      <x:c r="J22" s="10" t="str">
        <x:v>Dagestanskaia-1910-1913(2).md</x:v>
      </x:c>
    </x:row>
    <x:row r="23" ht="20" customHeight="1">
      <x:c r="A23" s="20" t="n">
        <x:v>1912</x:v>
      </x:c>
      <x:c r="B23" s="23"/>
      <x:c r="C23" s="23"/>
      <x:c r="D23" s="23" t="n">
        <x:v>15799</x:v>
      </x:c>
      <x:c r="E23" s="23"/>
      <x:c r="F23" s="23"/>
      <x:c r="G23" s="23" t="n">
        <x:v>11978</x:v>
      </x:c>
      <x:c r="H23" s="23" t="n">
        <x:f>IF(AND(ISNUMBER(D23),ISNUMBER(G23)),D23-G23,"")</x:f>
        <x:v>3821</x:v>
      </x:c>
      <x:c r="I23" s="18" t="str">
        <x:v>Итог только ретроспективной строки ведомости №3 за 1913 год.</x:v>
      </x:c>
      <x:c r="J23" s="18" t="str">
        <x:v>Dagestanskaia-1910-1913(2).md</x:v>
      </x:c>
    </x:row>
    <x:row r="24" ht="20" customHeight="1">
      <x:c r="A24" s="20" t="n">
        <x:v>1913</x:v>
      </x:c>
      <x:c r="B24" s="22" t="n">
        <x:v>1607</x:v>
      </x:c>
      <x:c r="C24" s="22" t="n">
        <x:v>15649</x:v>
      </x:c>
      <x:c r="D24" s="22" t="n">
        <x:v>17256</x:v>
      </x:c>
      <x:c r="E24" s="22" t="n">
        <x:v>1189</x:v>
      </x:c>
      <x:c r="F24" s="22" t="n">
        <x:v>11858</x:v>
      </x:c>
      <x:c r="G24" s="22" t="n">
        <x:v>13047</x:v>
      </x:c>
      <x:c r="H24" s="22" t="n">
        <x:f>IF(AND(ISNUMBER(D24),ISNUMBER(G24)),D24-G24,"")</x:f>
        <x:v>4209</x:v>
      </x:c>
      <x:c r="I24" s="10" t="str">
        <x:v>Раздельно показаны города и округа.</x:v>
      </x:c>
      <x:c r="J24" s="10" t="str">
        <x:v>Dagestanskaia-1910-1913(2).md</x:v>
      </x:c>
    </x:row>
    <x:row r="25" ht="20" customHeight="1">
      <x:c r="A25" s="20" t="n">
        <x:v>1914</x:v>
      </x:c>
      <x:c r="B25" s="23" t="n">
        <x:v>1761</x:v>
      </x:c>
      <x:c r="C25" s="23" t="n">
        <x:v>13806</x:v>
      </x:c>
      <x:c r="D25" s="23" t="n">
        <x:v>15567</x:v>
      </x:c>
      <x:c r="E25" s="23" t="n">
        <x:v>1591</x:v>
      </x:c>
      <x:c r="F25" s="23" t="n">
        <x:v>10038</x:v>
      </x:c>
      <x:c r="G25" s="23" t="n">
        <x:v>11629</x:v>
      </x:c>
      <x:c r="H25" s="23" t="n">
        <x:f>IF(AND(ISNUMBER(D25),ISNUMBER(G25)),D25-G25,"")</x:f>
        <x:v>3938</x:v>
      </x:c>
      <x:c r="I25" s="18" t="str">
        <x:v>Итог рождаемости согласуется с городами и округами; в графах законных/внебрачных расхождение 30.</x:v>
      </x:c>
      <x:c r="J25" s="18" t="str">
        <x:v>Dagestanskaia-1914-1915(2).md</x:v>
      </x:c>
    </x:row>
    <x:row r="26" ht="20" customHeight="1">
      <x:c r="A26" s="20" t="n">
        <x:v>1915</x:v>
      </x:c>
      <x:c r="B26" s="22" t="n">
        <x:v>1755</x:v>
      </x:c>
      <x:c r="C26" s="22" t="n">
        <x:v>16311</x:v>
      </x:c>
      <x:c r="D26" s="22" t="n">
        <x:v>18066</x:v>
      </x:c>
      <x:c r="E26" s="22" t="n">
        <x:v>1224</x:v>
      </x:c>
      <x:c r="F26" s="22" t="n">
        <x:v>11828</x:v>
      </x:c>
      <x:c r="G26" s="22" t="n">
        <x:v>13052</x:v>
      </x:c>
      <x:c r="H26" s="22" t="n">
        <x:f>IF(AND(ISNUMBER(D26),ISNUMBER(G26)),D26-G26,"")</x:f>
        <x:v>5014</x:v>
      </x:c>
      <x:c r="I26" s="10" t="str">
        <x:v>Итог рождаемости согласуется с городами и округами.</x:v>
      </x:c>
      <x:c r="J26" s="10" t="str">
        <x:v>Dagestanskaia-1914-1915(2).md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5" hidden="0" customWidth="1"/>
    <x:col min="3" max="3" width="85" hidden="0" customWidth="1"/>
    <x:col min="4" max="4" width="76" hidden="0" customWidth="1"/>
    <x:col min="5" max="5" width="42" hidden="0" customWidth="1"/>
  </x:cols>
  <x:sheetData>
    <x:row r="1" ht="46" customHeight="1">
      <x:c r="A1" s="5" t="str">
        <x:v>Год</x:v>
      </x:c>
      <x:c r="B1" s="5" t="str">
        <x:v>Въезд, наличие, приписка</x:v>
      </x:c>
      <x:c r="C1" s="5" t="str">
        <x:v>Выезд, сезонное движение</x:v>
      </x:c>
      <x:c r="D1" s="5" t="str">
        <x:v>Охват и трактовка</x:v>
      </x:c>
      <x:c r="E1" s="5" t="str">
        <x:v>Источник</x:v>
      </x:c>
    </x:row>
    <x:row r="2" ht="20" customHeight="1">
      <x:c r="A2" s="20" t="n">
        <x:v>1891</x:v>
      </x:c>
      <x:c r="B2" s="10" t="str">
        <x:v>Города: рост числа пришлого населения +1 260 (изменение запаса, не валовое прибытие); население городов +1 590, из них естественное движение с припиской +330.</x:v>
      </x:c>
      <x:c r="C2" s="10" t="str">
        <x:v>Выбывших из области не подсчитано.</x:v>
      </x:c>
      <x:c r="D2" s="10" t="str">
        <x:v>Нет годовых потоков всей области.</x:v>
      </x:c>
      <x:c r="E2" s="10" t="str">
        <x:v>Dagestanskaia-1891(2).md; Dagestanskaia-1891-1895(2).md</x:v>
      </x:c>
    </x:row>
    <x:row r="3" ht="20" customHeight="1">
      <x:c r="A3" s="20" t="n">
        <x:v>1892</x:v>
      </x:c>
      <x:c r="B3" s="18" t="str">
        <x:v>Переселенцы и приезжие работники упомянуты без общего числа.</x:v>
      </x:c>
      <x:c r="C3" s="18" t="str">
        <x:v>Отходников 70 366; зимняя перекочёвка примерно 50 000 человек со скотом, возвращение весной.</x:v>
      </x:c>
      <x:c r="D3" s="18" t="str">
        <x:v>Это временная мобильность, не эмиграция.</x:v>
      </x:c>
      <x:c r="E3" s="18" t="str">
        <x:v>Dagestanskaia-1891-1895(2).md</x:v>
      </x:c>
    </x:row>
    <x:row r="4" ht="20" customHeight="1">
      <x:c r="A4" s="20" t="n">
        <x:v>1893</x:v>
      </x:c>
      <x:c r="B4" s="10" t="str">
        <x:v>Нет чисел постоянного въезда.</x:v>
      </x:c>
      <x:c r="C4" s="10" t="str">
        <x:v>Отходников 74 610; перекочёвывавших до 50 000, примерно на 9 месяцев в Закавказье.</x:v>
      </x:c>
      <x:c r="D4" s="10" t="str">
        <x:v>Сезонный отход/перекочёвки.</x:v>
      </x:c>
      <x:c r="E4" s="10" t="str">
        <x:v>Dagestanskaia-1891-1895(2).md</x:v>
      </x:c>
    </x:row>
    <x:row r="5" ht="20" customHeight="1">
      <x:c r="A5" s="20" t="n">
        <x:v>1894</x:v>
      </x:c>
      <x:c r="B5" s="18" t="str">
        <x:v>Нет чисел постоянного въезда.</x:v>
      </x:c>
      <x:c r="C5" s="18" t="str">
        <x:v>Отходников 72 419; зимние перекочёвки примерно 9 месяцев, численность не дана.</x:v>
      </x:c>
      <x:c r="D5" s="18" t="str">
        <x:v>Сезонные перемещения.</x:v>
      </x:c>
      <x:c r="E5" s="18" t="str">
        <x:v>Dagestanskaia-1891-1895(2).md</x:v>
      </x:c>
    </x:row>
    <x:row r="6" ht="20" customHeight="1">
      <x:c r="A6" s="20" t="n">
        <x:v>1895</x:v>
      </x:c>
      <x:c r="B6" s="10" t="str">
        <x:v>Нет чисел постоянного въезда.</x:v>
      </x:c>
      <x:c r="C6" s="10" t="str">
        <x:v>44 849 мужчин, уходивших в одиночку на заработки; до 80 000 перекочёвывавших с семьями и скотом.</x:v>
      </x:c>
      <x:c r="D6" s="10" t="str">
        <x:v>Две разные категории временной мобильности, не суммировать.</x:v>
      </x:c>
      <x:c r="E6" s="10" t="str">
        <x:v>Dagestanskaia-1891-1895(2).md</x:v>
      </x:c>
    </x:row>
    <x:row r="7" ht="20" customHeight="1">
      <x:c r="A7" s="20" t="n">
        <x:v>1896</x:v>
      </x:c>
      <x:c r="B7" s="18" t="str">
        <x:v>Нет надёжных потоков въезда.</x:v>
      </x:c>
      <x:c r="C7" s="18" t="str">
        <x:v>Передача южного склона Самурского округа Елисаветпольской губернии 9 декабря: 4 037 жителей на 01.01.1896.</x:v>
      </x:c>
      <x:c r="D7" s="18" t="str">
        <x:v>Территориальная перемена — НЕ эмиграция; остаток баланса −5 216 не равен потоку.</x:v>
      </x:c>
      <x:c r="E7" s="18" t="str">
        <x:v>Dagestanskaia-1896-1899(2).md</x:v>
      </x:c>
    </x:row>
    <x:row r="8" ht="20" customHeight="1">
      <x:c r="A8" s="20" t="n">
        <x:v>1897</x:v>
      </x:c>
      <x:c r="B8" s="10" t="str">
        <x:v>Балансный остаток +1 408 отнесён автором к пришлому населению.</x:v>
      </x:c>
      <x:c r="C8" s="10" t="str">
        <x:v>Упомянуты сезонные перекочёвки из Самурского округа.</x:v>
      </x:c>
      <x:c r="D8" s="10" t="str">
        <x:v>+1 408 — не независимо зарегистрированные переселения.</x:v>
      </x:c>
      <x:c r="E8" s="10" t="str">
        <x:v>Dagestanskaia-1896-1899(2).md</x:v>
      </x:c>
    </x:row>
    <x:row r="9" ht="20" customHeight="1">
      <x:c r="A9" s="20" t="n">
        <x:v>1898</x:v>
      </x:c>
      <x:c r="B9" s="18" t="str">
        <x:v>Балансный остаток +13 780 отнесён к пришлому населению (работы на ж/д Петровск—Баку).</x:v>
      </x:c>
      <x:c r="C9" s="18" t="str">
        <x:v>Чисел выбывших нет.</x:v>
      </x:c>
      <x:c r="D9" s="18" t="str">
        <x:v>Пересмотр полицейского подсчёта Кайтаго-Табасаранского округа на −7 098 делает остаток ненадёжным.</x:v>
      </x:c>
      <x:c r="E9" s="18" t="str">
        <x:v>Dagestanskaia-1896-1899(2).md</x:v>
      </x:c>
    </x:row>
    <x:row r="10" ht="20" customHeight="1">
      <x:c r="A10" s="20" t="n">
        <x:v>1899</x:v>
      </x:c>
      <x:c r="B10" s="10" t="str">
        <x:v>Постоянный въезд не подсчитан.</x:v>
      </x:c>
      <x:c r="C10" s="10" t="str">
        <x:v>Балансный остаток −4 970, значительная часть объяснена ошибками регистрации; есть перекочёвки.</x:v>
      </x:c>
      <x:c r="D10" s="10" t="str">
        <x:v>НЕ считать −4 970 эмиграцией.</x:v>
      </x:c>
      <x:c r="E10" s="10" t="str">
        <x:v>Dagestanskaia-1896-1899(2).md</x:v>
      </x:c>
    </x:row>
    <x:row r="11" ht="20" customHeight="1">
      <x:c r="A11" s="20" t="n">
        <x:v>1900</x:v>
      </x:c>
      <x:c r="B11" s="18" t="str">
        <x:v>Независимого учёта прибывших нет; балансный остаток +5 695.</x:v>
      </x:c>
      <x:c r="C11" s="18" t="str">
        <x:v>Выбытие не подсчитано.</x:v>
      </x:c>
      <x:c r="D11" s="18" t="str">
        <x:v>Сопоставление 1899–1900 включает военных и поправки.</x:v>
      </x:c>
      <x:c r="E11" s="18" t="str">
        <x:v>Dagestanskaia-1900-1904(2).md</x:v>
      </x:c>
    </x:row>
    <x:row r="12" ht="20" customHeight="1">
      <x:c r="A12" s="20" t="n">
        <x:v>1901</x:v>
      </x:c>
      <x:c r="B12" s="10" t="str">
        <x:v>Рост временных жителей на 7 886, балансный остаток +6 726; приток работников рыбных промыслов и русских поселенцев.</x:v>
      </x:c>
      <x:c r="C12" s="10" t="str">
        <x:v>Сведений об общем исходящем потоке нет.</x:v>
      </x:c>
      <x:c r="D12" s="10" t="str">
        <x:v>Рост запаса не равен числу прибытий.</x:v>
      </x:c>
      <x:c r="E12" s="10" t="str">
        <x:v>Dagestanskaia-1900-1904(2).md</x:v>
      </x:c>
    </x:row>
    <x:row r="13" ht="20" customHeight="1">
      <x:c r="A13" s="20" t="n">
        <x:v>1902</x:v>
      </x:c>
      <x:c r="B13" s="18" t="str">
        <x:v>Темиргоевский участок: 7 семей / 30 человек жили на правах арендаторов; ещё 4 семьи переселенцев в Кюринском округе.</x:v>
      </x:c>
      <x:c r="C13" s="18" t="str">
        <x:v>Часть арендаторов получила разрешение переселиться в Елисаветпольскую губернию; размер итогового потока неизвестен.</x:v>
      </x:c>
      <x:c r="D13" s="18" t="str">
        <x:v>Наличие к концу года и единичные разрешения, не полный годовой баланс.</x:v>
      </x:c>
      <x:c r="E13" s="18" t="str">
        <x:v>Dagestanskaia-1900-1904(2).md</x:v>
      </x:c>
    </x:row>
    <x:row r="14" ht="20" customHeight="1">
      <x:c r="A14" s="20" t="n">
        <x:v>1903</x:v>
      </x:c>
      <x:c r="B14" s="10" t="str">
        <x:v>В Темир-Хан-Шуринском округе около 400 семей (примерно 3 000 чел.) переселенцев-арендаторов к концу года.</x:v>
      </x:c>
      <x:c r="C14" s="10" t="str">
        <x:v>13 семей получили разрешение на отъезд в Закавказье; большая часть ишкартинских семей выбыла.</x:v>
      </x:c>
      <x:c r="D14" s="10" t="str">
        <x:v>400 семей — запас, 13 семей — частичный поток.</x:v>
      </x:c>
      <x:c r="E14" s="10" t="str">
        <x:v>Dagestanskaia-1900-1904(2).md</x:v>
      </x:c>
    </x:row>
    <x:row r="15" ht="20" customHeight="1">
      <x:c r="A15" s="20" t="n">
        <x:v>1904</x:v>
      </x:c>
      <x:c r="B15" s="18" t="str">
        <x:v>В трёх поселениях учтены 40 семей/208 чел., 16/95, 62/355 к концу года.</x:v>
      </x:c>
      <x:c r="C15" s="18" t="str">
        <x:v>Областной исходящий поток не приведён.</x:v>
      </x:c>
      <x:c r="D15" s="18" t="str">
        <x:v>Это наличное население участков, не вновь прибывшие.</x:v>
      </x:c>
      <x:c r="E15" s="18" t="str">
        <x:v>Dagestanskaia-1900-1904(2).md</x:v>
      </x:c>
    </x:row>
    <x:row r="16" ht="20" customHeight="1">
      <x:c r="A16" s="20" t="n">
        <x:v>1905</x:v>
      </x:c>
      <x:c r="B16" s="10" t="str">
        <x:v>Приписано к городам 81. К 1 января 1906 в пяти посёлках 330 семей / 1 826 человек.</x:v>
      </x:c>
      <x:c r="C16" s="10" t="str">
        <x:v>Отчислено от городов 14.</x:v>
      </x:c>
      <x:c r="D16" s="10" t="str">
        <x:v>Приписка ≠ фактический въезд; поселения — запас.</x:v>
      </x:c>
      <x:c r="E16" s="10" t="str">
        <x:v>Dagestanskaia-1905-1909(3).md</x:v>
      </x:c>
    </x:row>
    <x:row r="17" ht="20" customHeight="1">
      <x:c r="A17" s="20" t="n">
        <x:v>1906</x:v>
      </x:c>
      <x:c r="B17" s="18" t="str">
        <x:v>Приписано к городам 87; посёлки 351 семья / 1 939 человек на дату.</x:v>
      </x:c>
      <x:c r="C17" s="18" t="str">
        <x:v>Отчислено от городов 16.</x:v>
      </x:c>
      <x:c r="D17" s="18" t="str">
        <x:v>Внутриобластные переводы не равны иммиграции.</x:v>
      </x:c>
      <x:c r="E17" s="18" t="str">
        <x:v>Dagestanskaia-1905-1909(3).md</x:v>
      </x:c>
    </x:row>
    <x:row r="18" ht="20" customHeight="1">
      <x:c r="A18" s="20" t="n">
        <x:v>1907</x:v>
      </x:c>
      <x:c r="B18" s="10" t="str">
        <x:v>Посёлки 368 семей / 1 999 человек на дату.</x:v>
      </x:c>
      <x:c r="C18" s="10" t="str">
        <x:v>Сезонные заработки в Тифлисской губернии; валового исходящего потока нет.</x:v>
      </x:c>
      <x:c r="D18" s="10" t="str">
        <x:v>Въезд/выезд всей области не установлен.</x:v>
      </x:c>
      <x:c r="E18" s="10" t="str">
        <x:v>Dagestanskaia-1905-1909(3).md</x:v>
      </x:c>
    </x:row>
    <x:row r="19" ht="20" customHeight="1">
      <x:c r="A19" s="20" t="n">
        <x:v>1908</x:v>
      </x:c>
      <x:c r="B19" s="18" t="str">
        <x:v>Посёлки 375 семей / 2 163 человека по окружной администрации; альтернативный охват 360 семей / 1 959 проживающих.</x:v>
      </x:c>
      <x:c r="C19" s="18" t="str">
        <x:v>Полный исходящий поток не указан.</x:v>
      </x:c>
      <x:c r="D19" s="18" t="str">
        <x:v>Несопоставимые ведомственные оценки.</x:v>
      </x:c>
      <x:c r="E19" s="18" t="str">
        <x:v>Dagestanskaia-1905-1909(3).md</x:v>
      </x:c>
    </x:row>
    <x:row r="20" ht="20" customHeight="1">
      <x:c r="A20" s="20" t="n">
        <x:v>1909</x:v>
      </x:c>
      <x:c r="B20" s="10" t="str">
        <x:v>Приписано к городам 70; посёлки 392 семьи / 2 538 человек (альтернативная оценка 137 семей / 1 992 чел.).</x:v>
      </x:c>
      <x:c r="C20" s="10" t="str">
        <x:v>Отчислено от городов 131.</x:v>
      </x:c>
      <x:c r="D20" s="10" t="str">
        <x:v>Приписка и данные поселений не образуют общий миграционный баланс.</x:v>
      </x:c>
      <x:c r="E20" s="10" t="str">
        <x:v>Dagestanskaia-1905-1909(3).md</x:v>
      </x:c>
    </x:row>
    <x:row r="21" ht="20" customHeight="1">
      <x:c r="A21" s="20" t="n">
        <x:v>1910</x:v>
      </x:c>
      <x:c r="B21" s="18" t="str">
        <x:v>Частичная городская приписка; полного числа въезда нет.</x:v>
      </x:c>
      <x:c r="C21" s="18" t="str">
        <x:v>Отходники: напечатано 76 312 мужчин, сумма строк 76 272. Зимние перекочёвки Самурского округа до 5 000 семей / около 16 000 человек.</x:v>
      </x:c>
      <x:c r="D21" s="18" t="str">
        <x:v>Отходники возвращаются; две ошибки/приблизительные оценки сохранены.</x:v>
      </x:c>
      <x:c r="E21" s="18" t="str">
        <x:v>Dagestanskaia-1910-1913(2).md</x:v>
      </x:c>
    </x:row>
    <x:row r="22" ht="20" customHeight="1">
      <x:c r="A22" s="20" t="n">
        <x:v>1911</x:v>
      </x:c>
      <x:c r="B22" s="10" t="str">
        <x:v>В пяти посёлках за год водворено 28 семей / 67 душ мужского пола; приписано к городам 38.</x:v>
      </x:c>
      <x:c r="C22" s="10" t="str">
        <x:v>Из посёлков ушло 12 семей / 22 души мужского пола; отходников 77 762; перекочёвки Самурского округа около 16 000.</x:v>
      </x:c>
      <x:c r="D22" s="10" t="str">
        <x:v>Две противоположные величины касаются только пяти посёлков, в душах мужского пола.</x:v>
      </x:c>
      <x:c r="E22" s="10" t="str">
        <x:v>Dagestanskaia-1910-1913(2).md</x:v>
      </x:c>
    </x:row>
    <x:row r="23" ht="20" customHeight="1">
      <x:c r="A23" s="20" t="n">
        <x:v>1912</x:v>
      </x:c>
      <x:c r="B23" s="18" t="str">
        <x:v>Нет самостоятельных данных о въезде.</x:v>
      </x:c>
      <x:c r="C23" s="18" t="str">
        <x:v>Нет самостоятельных данных о выезде.</x:v>
      </x:c>
      <x:c r="D23" s="18" t="str">
        <x:v>Отдельного обзора за год не найдено; только ретроспективные сведения о населении и движении.</x:v>
      </x:c>
      <x:c r="E23" s="18" t="str">
        <x:v>Dagestanskaia-1910-1913(2).md</x:v>
      </x:c>
    </x:row>
    <x:row r="24" ht="20" customHeight="1">
      <x:c r="A24" s="20" t="n">
        <x:v>1913</x:v>
      </x:c>
      <x:c r="B24" s="10" t="str">
        <x:v>Приписано к городам 22; в переселенческих посёлках к 01.01.1914 числилось 1 085 душ.</x:v>
      </x:c>
      <x:c r="C24" s="10" t="str">
        <x:v>Отчислено 9. Отходники: напечатано 83 317, сумма окружных строк 93 317; перекочёвки около 16 000.</x:v>
      </x:c>
      <x:c r="D24" s="10" t="str">
        <x:v>Сомнителен итог отходников, это не эмиграция.</x:v>
      </x:c>
      <x:c r="E24" s="10" t="str">
        <x:v>Dagestanskaia-1910-1913(2).md</x:v>
      </x:c>
    </x:row>
    <x:row r="25" ht="20" customHeight="1">
      <x:c r="A25" s="20" t="n">
        <x:v>1914</x:v>
      </x:c>
      <x:c r="B25" s="18" t="str">
        <x:v>К Темир-Хан-Шуре причислены 73 человека, к Петровску 14; к 01.01.1915 в пяти посёлках 372 семьи / 1 088 душ мужского пола.</x:v>
      </x:c>
      <x:c r="C25" s="18" t="str">
        <x:v>От Темир-Хан-Шуры отчислены 2 человека.</x:v>
      </x:c>
      <x:c r="D25" s="18" t="str">
        <x:v>В посёлках «за отчётный год» 2 семьи / 3 души мужского пола, но в следующем выпуске таблица повторена.</x:v>
      </x:c>
      <x:c r="E25" s="18" t="str">
        <x:v>Dagestanskaia-1914-1915(2).md</x:v>
      </x:c>
    </x:row>
    <x:row r="26" ht="20" customHeight="1">
      <x:c r="A26" s="20" t="n">
        <x:v>1915</x:v>
      </x:c>
      <x:c r="B26" s="10" t="str">
        <x:v>К Темир-Хан-Шуре причислены 11, к Петровску 13.</x:v>
      </x:c>
      <x:c r="C26" s="10" t="str">
        <x:v>От Темир-Хан-Шуры отчислено 19.</x:v>
      </x:c>
      <x:c r="D26" s="10" t="str">
        <x:v>Таблица пяти посёлков повторяет данные 1914 и дату 01.01.1915; нельзя считать 2 семьи прибывшими за 1915.</x:v>
      </x:c>
      <x:c r="E26" s="10" t="str">
        <x:v>Dagestanskaia-1914-1915(2).md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06" hidden="0" customWidth="1"/>
    <x:col min="3" max="3" width="26" hidden="0" customWidth="1"/>
    <x:col min="4" max="4" width="26" hidden="0" customWidth="1"/>
    <x:col min="5" max="5" width="40" hidden="0" customWidth="1"/>
  </x:cols>
  <x:sheetData>
    <x:row r="1" ht="46" customHeight="1">
      <x:c r="A1" s="5" t="str">
        <x:v>Год</x:v>
      </x:c>
      <x:c r="B1" s="5" t="str">
        <x:v>Оговорки о регистрации и данных</x:v>
      </x:c>
      <x:c r="C1" s="5" t="str">
        <x:v>Расхождение групп населения¹</x:v>
      </x:c>
      <x:c r="D1" s="5" t="str">
        <x:v>Расхождение города + округа²</x:v>
      </x:c>
      <x:c r="E1" s="5" t="str">
        <x:v>Источник</x:v>
      </x:c>
    </x:row>
    <x:row r="2" ht="20" customHeight="1">
      <x:c r="A2" s="20" t="n">
        <x:v>1891</x:v>
      </x:c>
      <x:c r="B2" s="10" t="str">
        <x:v>Охват рождений/смертей в просмотренных рукописных частях не описан; по округам событий не извлечено. Конфликт двух городских подсчётов 1 123 и 768.</x:v>
      </x:c>
      <x:c r="C2" s="26" t="str">
        <x:f>IF(AND(ISNUMBER(Население!C2),ISNUMBER(Население!D2),ISNUMBER(Население!E2)),Население!C2+Население!D2-Население!E2,"")</x:f>
      </x:c>
      <x:c r="D2" s="26" t="n">
        <x:f>IF(AND(ISNUMBER(Население!H2),ISNUMBER(Население!I2),ISNUMBER(Население!E2)),Население!H2+Население!I2-Население!E2,"")</x:f>
        <x:v>0</x:v>
      </x:c>
      <x:c r="E2" s="10" t="str">
        <x:v>Dagestanskaia-1891(2).md; Dagestanskaia-1891-1895(2).md</x:v>
      </x:c>
    </x:row>
    <x:row r="3" ht="20" customHeight="1">
      <x:c r="A3" s="20" t="n">
        <x:v>1892</x:v>
      </x:c>
      <x:c r="B3" s="18" t="str">
        <x:v>Холера (10 391 смертей от холеры в округах, 397 в городах); коэффициента охвата не установлено.</x:v>
      </x:c>
      <x:c r="C3" s="27" t="str">
        <x:f>IF(AND(ISNUMBER(Население!C3),ISNUMBER(Население!D3),ISNUMBER(Население!E3)),Население!C3+Население!D3-Население!E3,"")</x:f>
      </x:c>
      <x:c r="D3" s="27" t="str">
        <x:f>IF(AND(ISNUMBER(Население!H3),ISNUMBER(Население!I3),ISNUMBER(Население!G3)),Население!H3+Население!I3-Население!G3,"")</x:f>
      </x:c>
      <x:c r="E3" s="18" t="str">
        <x:v>Dagestanskaia-1891-1895(2).md</x:v>
      </x:c>
    </x:row>
    <x:row r="4" ht="20" customHeight="1">
      <x:c r="A4" s="20" t="n">
        <x:v>1893</x:v>
      </x:c>
      <x:c r="B4" s="10" t="str">
        <x:v>Прямо отмечена «не вполне точная регистрация новорождённых».</x:v>
      </x:c>
      <x:c r="C4" s="26" t="str">
        <x:f>IF(AND(ISNUMBER(Население!C4),ISNUMBER(Население!D4),ISNUMBER(Население!E4)),Население!C4+Население!D4-Население!E4,"")</x:f>
      </x:c>
      <x:c r="D4" s="26" t="str">
        <x:f>IF(AND(ISNUMBER(Население!H4),ISNUMBER(Население!I4),ISNUMBER(Население!G4)),Население!H4+Население!I4-Население!G4,"")</x:f>
      </x:c>
      <x:c r="E4" s="10" t="str">
        <x:v>Dagestanskaia-1891-1895(2).md</x:v>
      </x:c>
    </x:row>
    <x:row r="5" ht="20" customHeight="1">
      <x:c r="A5" s="20" t="n">
        <x:v>1894</x:v>
      </x:c>
      <x:c r="B5" s="18" t="str">
        <x:v>Прямо отмечена возможная «неудовлетворительная регистрация новорождённых».</x:v>
      </x:c>
      <x:c r="C5" s="27" t="str">
        <x:f>IF(AND(ISNUMBER(Население!C5),ISNUMBER(Население!D5),ISNUMBER(Население!E5)),Население!C5+Население!D5-Население!E5,"")</x:f>
      </x:c>
      <x:c r="D5" s="27" t="str">
        <x:f>IF(AND(ISNUMBER(Население!H5),ISNUMBER(Население!I5),ISNUMBER(Население!G5)),Население!H5+Население!I5-Население!G5,"")</x:f>
      </x:c>
      <x:c r="E5" s="18" t="str">
        <x:v>Dagestanskaia-1891-1895(2).md</x:v>
      </x:c>
    </x:row>
    <x:row r="6" ht="20" customHeight="1">
      <x:c r="A6" s="20" t="n">
        <x:v>1895</x:v>
      </x:c>
      <x:c r="B6" s="10" t="str">
        <x:v>Не найдено отдельной оценки полноты метрических данных.</x:v>
      </x:c>
      <x:c r="C6" s="26" t="n">
        <x:f>IF(AND(ISNUMBER(Население!C6),ISNUMBER(Население!D6),ISNUMBER(Население!E6)),Население!C6+Население!D6-Население!E6,"")</x:f>
        <x:v>0</x:v>
      </x:c>
      <x:c r="D6" s="26" t="n">
        <x:f>IF(AND(ISNUMBER(Население!H6),ISNUMBER(Население!I6),ISNUMBER(Население!E6)),Население!H6+Население!I6-Население!E6,"")</x:f>
        <x:v>0</x:v>
      </x:c>
      <x:c r="E6" s="10" t="str">
        <x:v>Dagestanskaia-1891-1895(2).md</x:v>
      </x:c>
    </x:row>
    <x:row r="7" ht="20" customHeight="1">
      <x:c r="A7" s="20" t="n">
        <x:v>1896</x:v>
      </x:c>
      <x:c r="B7" s="18" t="str">
        <x:v>Численного коэффициента полноты не приведено; полицейские оценки.</x:v>
      </x:c>
      <x:c r="C7" s="27" t="str">
        <x:f>IF(AND(ISNUMBER(Население!C7),ISNUMBER(Население!D7),ISNUMBER(Население!E7)),Население!C7+Население!D7-Население!E7,"")</x:f>
      </x:c>
      <x:c r="D7" s="27" t="n">
        <x:f>IF(AND(ISNUMBER(Население!H7),ISNUMBER(Население!I7),ISNUMBER(Население!E7)),Население!H7+Население!I7-Население!E7,"")</x:f>
        <x:v>0</x:v>
      </x:c>
      <x:c r="E7" s="18" t="str">
        <x:v>Dagestanskaia-1896-1899(2).md</x:v>
      </x:c>
    </x:row>
    <x:row r="8" ht="20" customHeight="1">
      <x:c r="A8" s="20" t="n">
        <x:v>1897</x:v>
      </x:c>
      <x:c r="B8" s="10" t="str">
        <x:v>Точный процент полноты не установлен; низкий естественный прирост не подтверждает исчерпывающий охват.</x:v>
      </x:c>
      <x:c r="C8" s="26" t="str">
        <x:f>IF(AND(ISNUMBER(Население!C8),ISNUMBER(Население!D8),ISNUMBER(Население!E8)),Население!C8+Население!D8-Население!E8,"")</x:f>
      </x:c>
      <x:c r="D8" s="26" t="n">
        <x:f>IF(AND(ISNUMBER(Население!H8),ISNUMBER(Население!I8),ISNUMBER(Население!E8)),Население!H8+Население!I8-Население!E8,"")</x:f>
        <x:v>0</x:v>
      </x:c>
      <x:c r="E8" s="10" t="str">
        <x:v>Dagestanskaia-1896-1899(2).md</x:v>
      </x:c>
    </x:row>
    <x:row r="9" ht="20" customHeight="1">
      <x:c r="A9" s="20" t="n">
        <x:v>1898</x:v>
      </x:c>
      <x:c r="B9" s="18" t="str">
        <x:v>Внутренняя ошибка численности Кайтаго-Табасаранского округа; процент полноты рождений/смертей неизвестен.</x:v>
      </x:c>
      <x:c r="C9" s="27" t="str">
        <x:f>IF(AND(ISNUMBER(Население!C9),ISNUMBER(Население!D9),ISNUMBER(Население!E9)),Население!C9+Население!D9-Население!E9,"")</x:f>
      </x:c>
      <x:c r="D9" s="27" t="n">
        <x:f>IF(AND(ISNUMBER(Население!H9),ISNUMBER(Население!I9),ISNUMBER(Население!E9)),Население!H9+Население!I9-Население!E9,"")</x:f>
        <x:v>0</x:v>
      </x:c>
      <x:c r="E9" s="18" t="str">
        <x:v>Dagestanskaia-1896-1899(2).md</x:v>
      </x:c>
    </x:row>
    <x:row r="10" ht="20" customHeight="1">
      <x:c r="A10" s="20" t="n">
        <x:v>1899</x:v>
      </x:c>
      <x:c r="B10" s="10" t="str">
        <x:v>Прямо указана ненадёжность полицейского подсчёта и отсутствие правильно ведущихся метрических книг у значительной части мусульман.</x:v>
      </x:c>
      <x:c r="C10" s="26" t="str">
        <x:f>IF(AND(ISNUMBER(Население!C10),ISNUMBER(Население!D10),ISNUMBER(Население!E10)),Население!C10+Население!D10-Население!E10,"")</x:f>
      </x:c>
      <x:c r="D10" s="26" t="n">
        <x:f>IF(AND(ISNUMBER(Население!H10),ISNUMBER(Население!I10),ISNUMBER(Население!E10)),Население!H10+Население!I10-Население!E10,"")</x:f>
        <x:v>0</x:v>
      </x:c>
      <x:c r="E10" s="10" t="str">
        <x:v>Dagestanskaia-1896-1899(2).md</x:v>
      </x:c>
    </x:row>
    <x:row r="11" ht="20" customHeight="1">
      <x:c r="A11" s="20" t="n">
        <x:v>1900</x:v>
      </x:c>
      <x:c r="B11" s="18" t="str">
        <x:v>По ретроспективному обзору 1901 записи кадиев ненадёжны; процент охвата неизвестен.</x:v>
      </x:c>
      <x:c r="C11" s="27" t="n">
        <x:f>IF(AND(ISNUMBER(Население!C11),ISNUMBER(Население!D11),ISNUMBER(Население!E11)),Население!C11+Население!D11-Население!E11,"")</x:f>
        <x:v>0</x:v>
      </x:c>
      <x:c r="D11" s="27" t="str">
        <x:f>IF(AND(ISNUMBER(Население!H11),ISNUMBER(Население!I11),ISNUMBER(Население!G11)),Население!H11+Население!I11-Население!G11,"")</x:f>
      </x:c>
      <x:c r="E11" s="18" t="str">
        <x:v>Dagestanskaia-1900-1904(2).md</x:v>
      </x:c>
    </x:row>
    <x:row r="12" ht="20" customHeight="1">
      <x:c r="A12" s="20" t="n">
        <x:v>1901</x:v>
      </x:c>
      <x:c r="B12" s="10" t="str">
        <x:v>Сельские кадии вели записи не вполне правильно, единая форма отсутствовала; предписание 25 января 1901 об унификации и проверке.</x:v>
      </x:c>
      <x:c r="C12" s="26" t="n">
        <x:f>IF(AND(ISNUMBER(Население!C12),ISNUMBER(Население!D12),ISNUMBER(Население!E12)),Население!C12+Население!D12-Население!E12,"")</x:f>
        <x:v>0</x:v>
      </x:c>
      <x:c r="D12" s="26" t="str">
        <x:f>IF(AND(ISNUMBER(Население!H12),ISNUMBER(Население!I12),ISNUMBER(Население!G12)),Население!H12+Население!I12-Население!G12,"")</x:f>
      </x:c>
      <x:c r="E12" s="10" t="str">
        <x:v>Dagestanskaia-1900-1904(2).md</x:v>
      </x:c>
    </x:row>
    <x:row r="13" ht="20" customHeight="1">
      <x:c r="A13" s="20" t="n">
        <x:v>1902</x:v>
      </x:c>
      <x:c r="B13" s="18" t="str">
        <x:v>Процент полноты неизвестен; применимы известные ограничения метрического учёта кадиев.</x:v>
      </x:c>
      <x:c r="C13" s="27" t="n">
        <x:f>IF(AND(ISNUMBER(Население!C13),ISNUMBER(Население!D13),ISNUMBER(Население!E13)),Население!C13+Население!D13-Население!E13,"")</x:f>
        <x:v>0</x:v>
      </x:c>
      <x:c r="D13" s="27" t="str">
        <x:f>IF(AND(ISNUMBER(Население!H13),ISNUMBER(Население!I13),ISNUMBER(Население!G13)),Население!H13+Население!I13-Население!G13,"")</x:f>
      </x:c>
      <x:c r="E13" s="18" t="str">
        <x:v>Dagestanskaia-1900-1904(2).md</x:v>
      </x:c>
    </x:row>
    <x:row r="14" ht="20" customHeight="1">
      <x:c r="A14" s="20" t="n">
        <x:v>1903</x:v>
      </x:c>
      <x:c r="B14" s="10" t="str">
        <x:v>Процент полноты неизвестен; сохраняются недостатки метрического учёта.</x:v>
      </x:c>
      <x:c r="C14" s="26" t="n">
        <x:f>IF(AND(ISNUMBER(Население!C14),ISNUMBER(Население!D14),ISNUMBER(Население!E14)),Население!C14+Население!D14-Население!E14,"")</x:f>
        <x:v>0</x:v>
      </x:c>
      <x:c r="D14" s="26" t="str">
        <x:f>IF(AND(ISNUMBER(Население!H14),ISNUMBER(Население!I14),ISNUMBER(Население!G14)),Население!H14+Население!I14-Население!G14,"")</x:f>
      </x:c>
      <x:c r="E14" s="10" t="str">
        <x:v>Dagestanskaia-1900-1904(2).md</x:v>
      </x:c>
    </x:row>
    <x:row r="15" ht="20" customHeight="1">
      <x:c r="A15" s="20" t="n">
        <x:v>1904</x:v>
      </x:c>
      <x:c r="B15" s="18" t="str">
        <x:v>Процент полноты неизвестен; подтверждена опечатка смертей 12 888 вместо 12 288.</x:v>
      </x:c>
      <x:c r="C15" s="27" t="n">
        <x:f>IF(AND(ISNUMBER(Население!C15),ISNUMBER(Население!D15),ISNUMBER(Население!E15)),Население!C15+Население!D15-Население!E15,"")</x:f>
        <x:v>0</x:v>
      </x:c>
      <x:c r="D15" s="27" t="str">
        <x:f>IF(AND(ISNUMBER(Население!H15),ISNUMBER(Население!I15),ISNUMBER(Население!G15)),Население!H15+Население!I15-Население!G15,"")</x:f>
      </x:c>
      <x:c r="E15" s="18" t="str">
        <x:v>Dagestanskaia-1900-1904(2).md</x:v>
      </x:c>
    </x:row>
    <x:row r="16" ht="20" customHeight="1">
      <x:c r="A16" s="20" t="n">
        <x:v>1905</x:v>
      </x:c>
      <x:c r="B16" s="10" t="str">
        <x:v>Административная регистрация из разных ведомств; численная полнота рождений/смертей не установлена.</x:v>
      </x:c>
      <x:c r="C16" s="26" t="n">
        <x:f>IF(AND(ISNUMBER(Население!C16),ISNUMBER(Население!D16),ISNUMBER(Население!E16)),Население!C16+Население!D16-Население!E16,"")</x:f>
        <x:v>0</x:v>
      </x:c>
      <x:c r="D16" s="26" t="n">
        <x:f>IF(AND(ISNUMBER(Население!H16),ISNUMBER(Население!I16),ISNUMBER(Население!G16)),Население!H16+Население!I16-Население!G16,"")</x:f>
        <x:v>0</x:v>
      </x:c>
      <x:c r="E16" s="10" t="str">
        <x:v>Dagestanskaia-1905-1909(3).md</x:v>
      </x:c>
    </x:row>
    <x:row r="17" ht="20" customHeight="1">
      <x:c r="A17" s="20" t="n">
        <x:v>1906</x:v>
      </x:c>
      <x:c r="B17" s="18" t="str">
        <x:v>Численный коэффициент полноты регистрации не установлен.</x:v>
      </x:c>
      <x:c r="C17" s="27" t="n">
        <x:f>IF(AND(ISNUMBER(Население!C17),ISNUMBER(Население!D17),ISNUMBER(Население!E17)),Население!C17+Население!D17-Население!E17,"")</x:f>
        <x:v>0</x:v>
      </x:c>
      <x:c r="D17" s="27" t="n">
        <x:f>IF(AND(ISNUMBER(Население!H17),ISNUMBER(Население!I17),ISNUMBER(Население!G17)),Население!H17+Население!I17-Население!G17,"")</x:f>
        <x:v>0</x:v>
      </x:c>
      <x:c r="E17" s="18" t="str">
        <x:v>Dagestanskaia-1905-1909(3).md</x:v>
      </x:c>
    </x:row>
    <x:row r="18" ht="20" customHeight="1">
      <x:c r="A18" s="20" t="n">
        <x:v>1907</x:v>
      </x:c>
      <x:c r="B18" s="10" t="str">
        <x:v>Численный коэффициент полноты регистрации не установлен; составляются новые городские списки.</x:v>
      </x:c>
      <x:c r="C18" s="26" t="n">
        <x:f>IF(AND(ISNUMBER(Население!C18),ISNUMBER(Население!D18),ISNUMBER(Население!E18)),Население!C18+Население!D18-Население!E18,"")</x:f>
        <x:v>0</x:v>
      </x:c>
      <x:c r="D18" s="26" t="n">
        <x:f>IF(AND(ISNUMBER(Население!H18),ISNUMBER(Население!I18),ISNUMBER(Население!G18)),Население!H18+Население!I18-Население!G18,"")</x:f>
        <x:v>0</x:v>
      </x:c>
      <x:c r="E18" s="10" t="str">
        <x:v>Dagestanskaia-1905-1909(3).md</x:v>
      </x:c>
    </x:row>
    <x:row r="19" ht="20" customHeight="1">
      <x:c r="A19" s="20" t="n">
        <x:v>1908</x:v>
      </x:c>
      <x:c r="B19" s="18" t="str">
        <x:v>Численный коэффициент полноты регистрации не установлен; расходятся промежуточные итоги по населению.</x:v>
      </x:c>
      <x:c r="C19" s="27" t="n">
        <x:f>IF(AND(ISNUMBER(Население!C19),ISNUMBER(Население!D19),ISNUMBER(Население!E19)),Население!C19+Население!D19-Население!E19,"")</x:f>
        <x:v>0</x:v>
      </x:c>
      <x:c r="D19" s="27" t="n">
        <x:f>IF(AND(ISNUMBER(Население!H19),ISNUMBER(Население!I19),ISNUMBER(Население!G19)),Население!H19+Население!I19-Население!G19,"")</x:f>
        <x:v>0</x:v>
      </x:c>
      <x:c r="E19" s="18" t="str">
        <x:v>Dagestanskaia-1905-1909(3).md</x:v>
      </x:c>
    </x:row>
    <x:row r="20" ht="20" customHeight="1">
      <x:c r="A20" s="20" t="n">
        <x:v>1909</x:v>
      </x:c>
      <x:c r="B20" s="10" t="str">
        <x:v>Численный коэффициент полноты регистрации не установлен; разные ведомства дают разные оценки переселенцев.</x:v>
      </x:c>
      <x:c r="C20" s="26" t="n">
        <x:f>IF(AND(ISNUMBER(Население!C20),ISNUMBER(Население!D20),ISNUMBER(Население!E20)),Население!C20+Население!D20-Население!E20,"")</x:f>
        <x:v>0</x:v>
      </x:c>
      <x:c r="D20" s="26" t="n">
        <x:f>IF(AND(ISNUMBER(Население!H20),ISNUMBER(Население!I20),ISNUMBER(Население!G20)),Население!H20+Население!I20-Население!G20,"")</x:f>
        <x:v>0</x:v>
      </x:c>
      <x:c r="E20" s="10" t="str">
        <x:v>Dagestanskaia-1905-1909(3).md</x:v>
      </x:c>
    </x:row>
    <x:row r="21" ht="20" customHeight="1">
      <x:c r="A21" s="20" t="n">
        <x:v>1910</x:v>
      </x:c>
      <x:c r="B21" s="18" t="str">
        <x:v>Нет численного коэффициента полноты рождений/смертей.</x:v>
      </x:c>
      <x:c r="C21" s="27" t="n">
        <x:f>IF(AND(ISNUMBER(Население!C21),ISNUMBER(Население!D21),ISNUMBER(Население!E21)),Население!C21+Население!D21-Население!E21,"")</x:f>
        <x:v>0</x:v>
      </x:c>
      <x:c r="D21" s="27" t="n">
        <x:f>IF(AND(ISNUMBER(Население!H21),ISNUMBER(Население!I21),ISNUMBER(Население!G21)),Население!H21+Население!I21-Население!G21,"")</x:f>
        <x:v>0</x:v>
      </x:c>
      <x:c r="E21" s="18" t="str">
        <x:v>Dagestanskaia-1910-1913(2).md</x:v>
      </x:c>
    </x:row>
    <x:row r="22" ht="20" customHeight="1">
      <x:c r="A22" s="20" t="n">
        <x:v>1911</x:v>
      </x:c>
      <x:c r="B22" s="10" t="str">
        <x:v>Нет численного коэффициента полноты рождений/смертей.</x:v>
      </x:c>
      <x:c r="C22" s="26" t="n">
        <x:f>IF(AND(ISNUMBER(Население!C22),ISNUMBER(Население!D22),ISNUMBER(Население!E22)),Население!C22+Население!D22-Население!E22,"")</x:f>
        <x:v>0</x:v>
      </x:c>
      <x:c r="D22" s="26" t="n">
        <x:f>IF(AND(ISNUMBER(Население!H22),ISNUMBER(Население!I22),ISNUMBER(Население!G22)),Население!H22+Население!I22-Население!G22,"")</x:f>
        <x:v>0</x:v>
      </x:c>
      <x:c r="E22" s="10" t="str">
        <x:v>Dagestanskaia-1910-1913(2).md</x:v>
      </x:c>
    </x:row>
    <x:row r="23" ht="20" customHeight="1">
      <x:c r="A23" s="20" t="n">
        <x:v>1912</x:v>
      </x:c>
      <x:c r="B23" s="18" t="str">
        <x:v>Только сравнительные строки обзора 1913; процент охвата неизвестен.</x:v>
      </x:c>
      <x:c r="C23" s="27" t="n">
        <x:f>IF(AND(ISNUMBER(Население!C23),ISNUMBER(Население!D23),ISNUMBER(Население!E23)),Население!C23+Население!D23-Население!E23,"")</x:f>
        <x:v>76</x:v>
      </x:c>
      <x:c r="D23" s="27" t="str">
        <x:f>IF(AND(ISNUMBER(Население!H23),ISNUMBER(Население!I23),ISNUMBER(Население!G23)),Население!H23+Население!I23-Население!G23,"")</x:f>
      </x:c>
      <x:c r="E23" s="18" t="str">
        <x:v>Dagestanskaia-1910-1913(2).md</x:v>
      </x:c>
    </x:row>
    <x:row r="24" ht="20" customHeight="1">
      <x:c r="A24" s="20" t="n">
        <x:v>1913</x:v>
      </x:c>
      <x:c r="B24" s="10" t="str">
        <x:v>Нет численного коэффициента полноты рождений/смертей.</x:v>
      </x:c>
      <x:c r="C24" s="26" t="n">
        <x:f>IF(AND(ISNUMBER(Население!C24),ISNUMBER(Население!D24),ISNUMBER(Население!E24)),Население!C24+Население!D24-Население!E24,"")</x:f>
        <x:v>0</x:v>
      </x:c>
      <x:c r="D24" s="26" t="n">
        <x:f>IF(AND(ISNUMBER(Население!H24),ISNUMBER(Население!I24),ISNUMBER(Население!G24)),Население!H24+Население!I24-Население!G24,"")</x:f>
        <x:v>0</x:v>
      </x:c>
      <x:c r="E24" s="10" t="str">
        <x:v>Dagestanskaia-1910-1913(2).md</x:v>
      </x:c>
    </x:row>
    <x:row r="25" ht="20" customHeight="1">
      <x:c r="A25" s="20" t="n">
        <x:v>1914</x:v>
      </x:c>
      <x:c r="B25" s="18" t="str">
        <x:v>Нет количественной оценки полноты; войска исключены; в таблице населения и законнорождённых имеются расхождения.</x:v>
      </x:c>
      <x:c r="C25" s="27" t="n">
        <x:f>IF(AND(ISNUMBER(Население!C25),ISNUMBER(Население!D25),ISNUMBER(Население!E25)),Население!C25+Население!D25-Население!E25,"")</x:f>
        <x:v>190</x:v>
      </x:c>
      <x:c r="D25" s="27" t="n">
        <x:f>IF(AND(ISNUMBER(Население!H25),ISNUMBER(Население!I25),ISNUMBER(Население!E25)),Население!H25+Население!I25-Население!E25,"")</x:f>
        <x:v>0</x:v>
      </x:c>
      <x:c r="E25" s="18" t="str">
        <x:v>Dagestanskaia-1914-1915(2).md</x:v>
      </x:c>
    </x:row>
    <x:row r="26" ht="20" customHeight="1">
      <x:c r="A26" s="20" t="n">
        <x:v>1915</x:v>
      </x:c>
      <x:c r="B26" s="10" t="str">
        <x:v>Нет количественной оценки полноты; войска исключены; расхождения в итогах населения и городов.</x:v>
      </x:c>
      <x:c r="C26" s="26" t="n">
        <x:f>IF(AND(ISNUMBER(Население!C26),ISNUMBER(Население!D26),ISNUMBER(Население!E26)),Население!C26+Население!D26-Население!E26,"")</x:f>
        <x:v>-720</x:v>
      </x:c>
      <x:c r="D26" s="26" t="n">
        <x:f>IF(AND(ISNUMBER(Население!H26),ISNUMBER(Население!I26),ISNUMBER(Население!E26)),Население!H26+Население!I26-Население!E26,"")</x:f>
        <x:v>-200</x:v>
      </x:c>
      <x:c r="E26" s="10" t="str">
        <x:v>Dagestanskaia-1914-1915(2).md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10" hidden="0" customWidth="1"/>
  </x:cols>
  <x:sheetData>
    <x:row r="1" ht="46" customHeight="1">
      <x:c r="A1" s="5" t="str">
        <x:v>ПОЛЕ</x:v>
      </x:c>
      <x:c r="B1" s="5" t="str">
        <x:v>ПОЯСНЕНИЕ</x:v>
      </x:c>
    </x:row>
    <x:row r="2" ht="20" customHeight="1">
      <x:c r="A2" s="20" t="str">
        <x:v>Цель</x:v>
      </x:c>
      <x:c r="B2" s="10" t="str">
        <x:v>Собрать обработанные частичные сводки из «Обзоров Дагестанской области», 1891–1915.</x:v>
      </x:c>
    </x:row>
    <x:row r="3" ht="20" customHeight="1">
      <x:c r="A3" s="20" t="str">
        <x:v>Отчётный год</x:v>
      </x:c>
      <x:c r="B3" s="18" t="str">
        <x:v>Рождения, смерти и перемещения за календарный год в колонке «Год».</x:v>
      </x:c>
    </x:row>
    <x:row r="4" ht="20" customHeight="1">
      <x:c r="A4" s="20" t="str">
        <x:v>Момент численности</x:v>
      </x:c>
      <x:c r="B4" s="10" t="str">
        <x:v>Преимущественно 1 января следующего года; за 1893–1894 точная дата не выявлена.</x:v>
      </x:c>
    </x:row>
    <x:row r="5" ht="20" customHeight="1">
      <x:c r="A5" s="20" t="str">
        <x:v>Принцип групп</x:v>
      </x:c>
      <x:c r="B5" s="18" t="str">
        <x:v>Коренное / временное / войска не обозначают оседлых и кочевников.</x:v>
      </x:c>
    </x:row>
    <x:row r="6" ht="20" customHeight="1">
      <x:c r="A6" s="20" t="str">
        <x:v>Население 1891</x:v>
      </x:c>
      <x:c r="B6" s="10" t="str">
        <x:v>609 982 — условный расчёт округов и городов без городских войск; не официальный итог.</x:v>
      </x:c>
    </x:row>
    <x:row r="7" ht="20" customHeight="1">
      <x:c r="A7" s="20" t="str">
        <x:v>1893–1894</x:v>
      </x:c>
      <x:c r="B7" s="18" t="str">
        <x:v>Итоги городов (с войсками) и коренного населения округов не складываются в полноценный итог.</x:v>
      </x:c>
    </x:row>
    <x:row r="8" ht="20" customHeight="1">
      <x:c r="A8" s="20" t="str">
        <x:v>1896–1899</x:v>
      </x:c>
      <x:c r="B8" s="10" t="str">
        <x:v>В исходных сводках общий итог без военных, военные показаны отдельно. «С войсками» рассчитано.</x:v>
      </x:c>
    </x:row>
    <x:row r="9" ht="20" customHeight="1">
      <x:c r="A9" s="20" t="str">
        <x:v>1900–1913</x:v>
      </x:c>
      <x:c r="B9" s="18" t="str">
        <x:v>Итоги обзоров в графе «с войсками» включают военных.</x:v>
      </x:c>
    </x:row>
    <x:row r="10" ht="20" customHeight="1">
      <x:c r="A10" s="20" t="str">
        <x:v>1914–1915</x:v>
      </x:c>
      <x:c r="B10" s="10" t="str">
        <x:v>Итоги исключают войска; промежуточные суммы в исходниках не сходятся.</x:v>
      </x:c>
    </x:row>
    <x:row r="11" ht="20" customHeight="1">
      <x:c r="A11" s="20" t="str">
        <x:v>1891 рождения</x:v>
      </x:c>
      <x:c r="B11" s="18" t="str">
        <x:v>Рукопись: 1 123 городских рождения, 868 городских смертей; 768 городских рождений в другой ретроспективной сводке. Конфликт не устранён.</x:v>
      </x:c>
    </x:row>
    <x:row r="12" ht="20" customHeight="1">
      <x:c r="A12" s="20" t="str">
        <x:v>1912</x:v>
      </x:c>
      <x:c r="B12" s="10" t="str">
        <x:v>Отдельного обзора за 1912 год не выявлено: цифры из сравнительных строк обзора 1913 года.</x:v>
      </x:c>
    </x:row>
    <x:row r="13" ht="20" customHeight="1">
      <x:c r="A13" s="20" t="str">
        <x:v>Отсутствующие данные</x:v>
      </x:c>
      <x:c r="B13" s="18" t="str">
        <x:v>Пустая ячейка = нет надёжно установленного значения; НЕ нуль.</x:v>
      </x:c>
    </x:row>
    <x:row r="14" ht="20" customHeight="1">
      <x:c r="A14" s="20" t="str">
        <x:v>Миграция</x:v>
      </x:c>
      <x:c r="B14" s="10" t="str">
        <x:v>Нет полного ряда всех прибывших/выбывших из области. Сезонный отход и переселения не смешиваются.</x:v>
      </x:c>
    </x:row>
    <x:row r="15" ht="20" customHeight="1">
      <x:c r="A15" s="20" t="str">
        <x:v>Контроль ¹</x:v>
      </x:c>
      <x:c r="B15" s="18" t="str">
        <x:v>В колонке разница «коренное + временное − без войск»; это арифметическая диагностика, не исправление данных.</x:v>
      </x:c>
    </x:row>
    <x:row r="16" ht="20" customHeight="1">
      <x:c r="A16" s="20" t="str">
        <x:v>Контроль ²</x:v>
      </x:c>
      <x:c r="B16" s="10" t="str">
        <x:v>Разница «города + округа − базовый опубликованный итог». Данные по разным охватам могут быть несопоставимы.</x:v>
      </x:c>
    </x:row>
    <x:row r="17" ht="20" customHeight="1">
      <x:c r="A17" s="20" t="str">
        <x:v>Источник</x:v>
      </x:c>
      <x:c r="B17" s="18" t="str">
        <x:v>Использованы семь Markdown-сводок, предоставленных в этом диалоге, а не новая постраничная проверка PDF.</x:v>
      </x:c>
    </x:row>
    <x:row r="18" ht="20" customHeight="1">
      <x:c r="A18" s="20" t="str">
        <x:v>Архив первоисточников</x:v>
      </x:c>
      <x:c r="B18" s="10" t="str">
        <x:v>https://archive.org/download/obzor-dagestanskoi-oblasti</x:v>
      </x:c>
    </x:row>
  </x:sheetData>
  <x:pageMargins left="0.7" right="0.7" top="0.75" bottom="0.75" header="0.3" footer="0.3"/>
</x:worksheet>
</file>